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راهنما" sheetId="1" state="visible" r:id="rId3"/>
    <sheet name="ورودی اقدامات" sheetId="2" state="visible" r:id="rId4"/>
    <sheet name="لیست‌ها" sheetId="3" state="visible" r:id="rId5"/>
    <sheet name="داشبورد" sheetId="4" state="visible" r:id="rId6"/>
  </sheets>
  <definedNames>
    <definedName function="false" hidden="false" localSheetId="3" name="_xlnm.Print_Area" vbProcedure="false">داشبورد!$A$1:$M$94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<sst xmlns="http://schemas.openxmlformats.org/spreadsheetml/2006/main" count="2497" uniqueCount="631">
  <si>
    <t xml:space="preserve">راهنمای فایل پایش اقدامات اصلاحی / پیشگیرانه</t>
  </si>
  <si>
    <t xml:space="preserve">ساختار ستون‌ها</t>
  </si>
  <si>
    <t xml:space="preserve">ستون‌های اول شیت «ورودی اقدامات» دقیقاً همان ستون‌های گرید سیستم هستند: شماره فرم، نوع، اصلاحی (منشأ)، موضوع عدم تطابق، درخواست‌کننده، نام فرآیند مرتبط، مهلت انجام اقدام، اثر بخشی، نظریه نهایی نماینده مدیریت، شماره اقدام مجدد، تاریخ ایجاد فرم، وضعیت (سیستم) و نسخه. ستون‌های واحد، تاریخ تکمیل، مسئول/نظریه ریشه‌یابی، مسئول اقدام و شرح اقدامات برای تحلیل تکمیلی اضافه شده‌اند.</t>
  </si>
  <si>
    <t xml:space="preserve">تاریخ‌ها</t>
  </si>
  <si>
    <t xml:space="preserve">همه تاریخ‌ها شمسی و به‌صورت متن سال/ماه/روز وارد می‌شوند (مثال 1404/7/4). تبدیل به میلادی برای محاسبه تاخیر به‌صورت خودکار و در ستون‌های پنهان (W تا AJ) انجام می‌شود.</t>
  </si>
  <si>
    <t xml:space="preserve">وضعیت پایش (خودکار)</t>
  </si>
  <si>
    <t xml:space="preserve">«بسته»: ستون اثر بخشی پر باشد یا تاریخ تکمیل ثبت شده باشد. «تاخیر»: مهلت گذشته و بسته نشده. «در حال انجام»: بقیه. این ستون با ستون «وضعیت (سیستم)» که مرحله گردش‌کار در سیستم است فرق دارد.</t>
  </si>
  <si>
    <t xml:space="preserve">اثر بخشی</t>
  </si>
  <si>
    <t xml:space="preserve">مقدارهای «می‌باشد»، «نمی‌باشد» و «تایید» مطابق مقادیر دیده‌شده در سیستم است و هر مقدار ثبت‌شده، اقدام را بسته می‌کند. اگر معنای «می‌باشد» در سیستم شما متفاوت است، فرمول ستون U را اصلاح کنید.</t>
  </si>
  <si>
    <t xml:space="preserve">لیست‌ها و داشبورد</t>
  </si>
  <si>
    <t xml:space="preserve">فهرست‌های کشویی از شیت «لیست‌ها» می‌آیند (ستون‌های P تا T پنهان و فقط برای تقویم شمسی است). داشبورد به‌صورت خودکار به‌روز می‌شود. ظرفیت فایل ۱۲۰۰ ردیف است. این فایل فقط اقدامات سال ۱۴۰۵ را شامل می‌شود.</t>
  </si>
  <si>
    <t xml:space="preserve">داشبورد مدیریتی</t>
  </si>
  <si>
    <t xml:space="preserve">بالای داشبورد یک جمله خلاصه خودکار (خلاصه مدیریتی)، شاخص‌های کلیدی، جدول «۱۰ اقدام با بیشترین تاخیر» برای پیگیری فوری و تفکیک تاخیرها بر اساس مدت (۱ تا ۳۰، ۳۱ تا ۶۰، ۶۱ تا ۹۰ و بیش از ۹۰ روز) اضافه شده است. این شیت برای چاپ/خروجی PDF تنظیم شده (Landscape، تناسب با عرض صفحه) — کافیست از منوی File در اکسل گزینه Export یا Print to PDF را روی همین شیت بزنید.</t>
  </si>
  <si>
    <t xml:space="preserve">پایش اقدامات اصلاحی / پیشگیرانه — ستون‌ها مطابق گرید سیستم «فرم اقدام اصلاحی/پیشگیرانه»</t>
  </si>
  <si>
    <t xml:space="preserve">خودکار</t>
  </si>
  <si>
    <t xml:space="preserve">ورودی</t>
  </si>
  <si>
    <t xml:space="preserve">ردیف</t>
  </si>
  <si>
    <t xml:space="preserve">شماره فرم</t>
  </si>
  <si>
    <t xml:space="preserve">نوع</t>
  </si>
  <si>
    <t xml:space="preserve">اصلاحی (منشأ)</t>
  </si>
  <si>
    <t xml:space="preserve">موضوع عدم تطابق</t>
  </si>
  <si>
    <t xml:space="preserve">درخواست‌کننده</t>
  </si>
  <si>
    <t xml:space="preserve">نام فرآیند مرتبط</t>
  </si>
  <si>
    <t xml:space="preserve">مهلت انجام اقدام</t>
  </si>
  <si>
    <t xml:space="preserve">نظریه نهایی نماینده مدیریت</t>
  </si>
  <si>
    <t xml:space="preserve">شماره اقدام مجدد</t>
  </si>
  <si>
    <t xml:space="preserve">تاریخ ایجاد فرم</t>
  </si>
  <si>
    <t xml:space="preserve">وضعیت (سیستم)</t>
  </si>
  <si>
    <t xml:space="preserve">نسخه</t>
  </si>
  <si>
    <t xml:space="preserve">واحد درخواست‌کننده</t>
  </si>
  <si>
    <t xml:space="preserve">تاریخ تکمیل اقدام</t>
  </si>
  <si>
    <t xml:space="preserve">مسئول ریشه‌یابی</t>
  </si>
  <si>
    <t xml:space="preserve">نظریه ریشه‌یابی</t>
  </si>
  <si>
    <t xml:space="preserve">مسئول اقدام</t>
  </si>
  <si>
    <t xml:space="preserve">شرح اقدامات</t>
  </si>
  <si>
    <t xml:space="preserve">وضعیت پایش</t>
  </si>
  <si>
    <t xml:space="preserve">روزهای تاخیر</t>
  </si>
  <si>
    <t xml:space="preserve">PL\05\15</t>
  </si>
  <si>
    <t xml:space="preserve">اقدام اصلاحی</t>
  </si>
  <si>
    <t xml:space="preserve">سایر</t>
  </si>
  <si>
    <t xml:space="preserve">انحراف از مصرف مواد smc به میزان0.7...</t>
  </si>
  <si>
    <t xml:space="preserve">حمید بیات</t>
  </si>
  <si>
    <t xml:space="preserve">برنامه‌ریزی</t>
  </si>
  <si>
    <t xml:space="preserve">1405/2/2</t>
  </si>
  <si>
    <t xml:space="preserve">ثبت فرم</t>
  </si>
  <si>
    <t xml:space="preserve">PL\05\14</t>
  </si>
  <si>
    <t xml:space="preserve">اقدام پیشگیرانه</t>
  </si>
  <si>
    <t xml:space="preserve">کلیم</t>
  </si>
  <si>
    <t xml:space="preserve">توقف خط به علت نبود منابع (خار کنسو...)</t>
  </si>
  <si>
    <t xml:space="preserve">SALE\05\13</t>
  </si>
  <si>
    <t xml:space="preserve">کلیم 1 قطعه سینی زیرموتور XU در سایت...</t>
  </si>
  <si>
    <t xml:space="preserve">میلاد زارع</t>
  </si>
  <si>
    <t xml:space="preserve">بازرسی آزمون</t>
  </si>
  <si>
    <t xml:space="preserve">1405/2/20</t>
  </si>
  <si>
    <t xml:space="preserve">می‌باشد</t>
  </si>
  <si>
    <t xml:space="preserve">1405/2/1</t>
  </si>
  <si>
    <t xml:space="preserve">جهت اطلاع</t>
  </si>
  <si>
    <t xml:space="preserve">SALE\05\12</t>
  </si>
  <si>
    <t xml:space="preserve">کلیم 1 قطعه سینی فن سمند در سایت فا...</t>
  </si>
  <si>
    <t xml:space="preserve">SALE\05\11</t>
  </si>
  <si>
    <t xml:space="preserve">کلیم 1 قطعه سینی فن سمند در سایت کر...</t>
  </si>
  <si>
    <t xml:space="preserve">1405/1/31</t>
  </si>
  <si>
    <t xml:space="preserve">SALE\05\10</t>
  </si>
  <si>
    <t xml:space="preserve">کلیم 1 قطعه سینی زیر موتور تارا (K)...</t>
  </si>
  <si>
    <t xml:space="preserve">1405/1/30</t>
  </si>
  <si>
    <t xml:space="preserve">SALE\05\9</t>
  </si>
  <si>
    <t xml:space="preserve">کلیم 4 قطعه سینی نگهدارنده رک را در...</t>
  </si>
  <si>
    <t xml:space="preserve">1405/1/29</t>
  </si>
  <si>
    <t xml:space="preserve">SALE\05\8</t>
  </si>
  <si>
    <t xml:space="preserve">1405/2/15</t>
  </si>
  <si>
    <t xml:space="preserve">1405/1/24</t>
  </si>
  <si>
    <t xml:space="preserve">نظریه مسئول اقدام</t>
  </si>
  <si>
    <t xml:space="preserve">SALE\05\7</t>
  </si>
  <si>
    <t xml:space="preserve">کلیم 4 قطعه سینی فن دنا در سایت تهر...</t>
  </si>
  <si>
    <t xml:space="preserve">1405/2/31</t>
  </si>
  <si>
    <t xml:space="preserve">SALE\05\6</t>
  </si>
  <si>
    <t xml:space="preserve">کلیم 1 قطعه سینی فن دنا پلاس توربو...</t>
  </si>
  <si>
    <t xml:space="preserve">SALE\05\5</t>
  </si>
  <si>
    <t xml:space="preserve">کلیم 40 قطعه سینی فن 206 پلاس در...</t>
  </si>
  <si>
    <t xml:space="preserve">SALE\05\4</t>
  </si>
  <si>
    <t xml:space="preserve">کلیم 6 قطعه سینی فن سمند در سایت ته...</t>
  </si>
  <si>
    <t xml:space="preserve">SALE\05\3</t>
  </si>
  <si>
    <t xml:space="preserve">کلیم 1 قطعه سینی فن سمند در سایت ته...</t>
  </si>
  <si>
    <t xml:space="preserve">1405/1/22</t>
  </si>
  <si>
    <t xml:space="preserve">SALE\05\2</t>
  </si>
  <si>
    <t xml:space="preserve">PL\05\1</t>
  </si>
  <si>
    <t xml:space="preserve">انحراف از مصرف مواد smc به میزان2.2...</t>
  </si>
  <si>
    <t xml:space="preserve">1405/1/19</t>
  </si>
  <si>
    <t xml:space="preserve">des\05\30</t>
  </si>
  <si>
    <t xml:space="preserve">پایش فرآیندها و تجزیه و تحلیل</t>
  </si>
  <si>
    <t xml:space="preserve">گارد - MTBF</t>
  </si>
  <si>
    <t xml:space="preserve">مرضیه کاظم‌زاده</t>
  </si>
  <si>
    <t xml:space="preserve">مهندسی</t>
  </si>
  <si>
    <t xml:space="preserve">1405/2/13</t>
  </si>
  <si>
    <t xml:space="preserve">des\05\29</t>
  </si>
  <si>
    <t xml:space="preserve">گارد - MTTR</t>
  </si>
  <si>
    <t xml:space="preserve">SALE\05\28</t>
  </si>
  <si>
    <t xml:space="preserve">کلیم 2 قطعه سینی فن سمند در سایت با...</t>
  </si>
  <si>
    <t xml:space="preserve">1405/2/12</t>
  </si>
  <si>
    <t xml:space="preserve">SALE\05\27</t>
  </si>
  <si>
    <t xml:space="preserve">کلیم 1 قطعه سینی نگهدارنده رک را در...</t>
  </si>
  <si>
    <t xml:space="preserve">1405/2/8</t>
  </si>
  <si>
    <t xml:space="preserve">SALE\05\26</t>
  </si>
  <si>
    <t xml:space="preserve">کلیم 1 قطعه سینی زیرموتور 206 در سا...</t>
  </si>
  <si>
    <t xml:space="preserve">1405/2/26</t>
  </si>
  <si>
    <t xml:space="preserve">SALE\05\25</t>
  </si>
  <si>
    <t xml:space="preserve">کلیم 5 قطعه سینی فن سمند در سایت فا...</t>
  </si>
  <si>
    <t xml:space="preserve">des\05\24</t>
  </si>
  <si>
    <t xml:space="preserve">رات 8 - MTTR</t>
  </si>
  <si>
    <t xml:space="preserve">1405/2/6</t>
  </si>
  <si>
    <t xml:space="preserve">نظریه ریشه یاب</t>
  </si>
  <si>
    <t xml:space="preserve">des\05\23</t>
  </si>
  <si>
    <t xml:space="preserve">رات 7 (بهمن ماه 1404) - MTBF</t>
  </si>
  <si>
    <t xml:space="preserve">des\05\22</t>
  </si>
  <si>
    <t xml:space="preserve">رات 5 (بهمن ماه 1404) - MTTR</t>
  </si>
  <si>
    <t xml:space="preserve">des\05\21</t>
  </si>
  <si>
    <t xml:space="preserve">رات 4 (بهمن ماه 1404) - MTBF</t>
  </si>
  <si>
    <t xml:space="preserve">des\05\20</t>
  </si>
  <si>
    <t xml:space="preserve">رات 4 (بهمن ماه 1404) - MTTR</t>
  </si>
  <si>
    <t xml:space="preserve">des\05\19</t>
  </si>
  <si>
    <t xml:space="preserve">سمند X7 اسفند 1404 - MTTR</t>
  </si>
  <si>
    <t xml:space="preserve">des\05\18</t>
  </si>
  <si>
    <t xml:space="preserve">سینی فن آریسان (PU1 اسفند 1404) - MTTR</t>
  </si>
  <si>
    <t xml:space="preserve">des\05\17</t>
  </si>
  <si>
    <t xml:space="preserve">405D - MTTR بهمن 1404</t>
  </si>
  <si>
    <t xml:space="preserve">des\05\16</t>
  </si>
  <si>
    <t xml:space="preserve">امپر 212B - MTTR (عقب بهمن ماه)</t>
  </si>
  <si>
    <t xml:space="preserve">QE\05\45</t>
  </si>
  <si>
    <t xml:space="preserve">ممیزی خارجی</t>
  </si>
  <si>
    <t xml:space="preserve">بر اساس اقدام شماره QA/04/313 محـ...</t>
  </si>
  <si>
    <t xml:space="preserve">شهریار نعیم</t>
  </si>
  <si>
    <t xml:space="preserve">فروش</t>
  </si>
  <si>
    <t xml:space="preserve">1405/2/21</t>
  </si>
  <si>
    <t xml:space="preserve">SALE\05\44</t>
  </si>
  <si>
    <t xml:space="preserve">کلیم 4 قطعه سینی فن سمند در سایت فا...</t>
  </si>
  <si>
    <t xml:space="preserve">QA\05\43</t>
  </si>
  <si>
    <t xml:space="preserve">تست ارسال رونوشت صدور اقدام به مدیر...</t>
  </si>
  <si>
    <t xml:space="preserve">باقر بلندی</t>
  </si>
  <si>
    <t xml:space="preserve">مدیریت کیفیت</t>
  </si>
  <si>
    <t xml:space="preserve">QA\05\42</t>
  </si>
  <si>
    <t xml:space="preserve">تست ارسال رونوشت برای مدیر محترم تو...</t>
  </si>
  <si>
    <t xml:space="preserve">PR\05\41</t>
  </si>
  <si>
    <t xml:space="preserve">بالا بودن شاخص PPM ضایعات محافظ شیشه...</t>
  </si>
  <si>
    <t xml:space="preserve">علی النقی حمیدی</t>
  </si>
  <si>
    <t xml:space="preserve">تولید</t>
  </si>
  <si>
    <t xml:space="preserve">1405/2/19</t>
  </si>
  <si>
    <t xml:space="preserve">SALE\05\40</t>
  </si>
  <si>
    <t xml:space="preserve">کلیم 2 قطعه سینی فن سمند در سایت فا...</t>
  </si>
  <si>
    <t xml:space="preserve">1405/2/16</t>
  </si>
  <si>
    <t xml:space="preserve">SALE\05\39</t>
  </si>
  <si>
    <t xml:space="preserve">کلیم 1 قطعه دیاق سپر عقب 232 (ساینا)...</t>
  </si>
  <si>
    <t xml:space="preserve">1405/2/14</t>
  </si>
  <si>
    <t xml:space="preserve">SALE\05\38</t>
  </si>
  <si>
    <t xml:space="preserve">کلیم 1 قطعه سینی فن دنا در سایت تهر...</t>
  </si>
  <si>
    <t xml:space="preserve">SALE\05\37</t>
  </si>
  <si>
    <t xml:space="preserve">des\05\36</t>
  </si>
  <si>
    <t xml:space="preserve">رات 4 - MTBF</t>
  </si>
  <si>
    <t xml:space="preserve">des\05\35</t>
  </si>
  <si>
    <t xml:space="preserve">رات 4 (اسفند ماه 1404) - MTTR</t>
  </si>
  <si>
    <t xml:space="preserve">des\05\34</t>
  </si>
  <si>
    <t xml:space="preserve">X7-سمند - MTBF</t>
  </si>
  <si>
    <t xml:space="preserve">des\05\33</t>
  </si>
  <si>
    <t xml:space="preserve">X7-سمند - MTTR</t>
  </si>
  <si>
    <t xml:space="preserve">des\05\32</t>
  </si>
  <si>
    <t xml:space="preserve">des\05\60</t>
  </si>
  <si>
    <t xml:space="preserve">1405/3/9</t>
  </si>
  <si>
    <t xml:space="preserve">des\05\59</t>
  </si>
  <si>
    <t xml:space="preserve">MTBF-CAB GUARD</t>
  </si>
  <si>
    <t xml:space="preserve">SALE\05\58</t>
  </si>
  <si>
    <t xml:space="preserve">1405/3/5</t>
  </si>
  <si>
    <t xml:space="preserve">PR\05\57</t>
  </si>
  <si>
    <t xml:space="preserve">پایین بودن عدد شاخص قطعه به نفر وا...</t>
  </si>
  <si>
    <t xml:space="preserve">PR\05\56</t>
  </si>
  <si>
    <t xml:space="preserve">بالا بودن شاخص ppm ضایعات رابط عرضی...</t>
  </si>
  <si>
    <t xml:space="preserve">SALE\05\54</t>
  </si>
  <si>
    <t xml:space="preserve">SALE\05\53</t>
  </si>
  <si>
    <t xml:space="preserve">کلیم 10 قطعه سینی فن سمند در سایت ف...</t>
  </si>
  <si>
    <t xml:space="preserve">1405/3/4</t>
  </si>
  <si>
    <t xml:space="preserve">SALE\05\52</t>
  </si>
  <si>
    <t xml:space="preserve">کلیم 1 قطعه سینی فن سمند در سایت ما...</t>
  </si>
  <si>
    <t xml:space="preserve">1405/3/2</t>
  </si>
  <si>
    <t xml:space="preserve">SALE\05\51</t>
  </si>
  <si>
    <t xml:space="preserve">1405/2/29</t>
  </si>
  <si>
    <t xml:space="preserve">SALE\05\50</t>
  </si>
  <si>
    <t xml:space="preserve">کلیم 1 قطعه سینی زیرموتور EF7 در سا...</t>
  </si>
  <si>
    <t xml:space="preserve">SALE\05\49</t>
  </si>
  <si>
    <t xml:space="preserve">1405/2/28</t>
  </si>
  <si>
    <t xml:space="preserve">SALE\05\48</t>
  </si>
  <si>
    <t xml:space="preserve">1405/2/27</t>
  </si>
  <si>
    <t xml:space="preserve">SALE\05\47</t>
  </si>
  <si>
    <t xml:space="preserve">SALE\05\46</t>
  </si>
  <si>
    <t xml:space="preserve">کلیم 1 قطعه سینی زیرموتور تارا (K)...</t>
  </si>
  <si>
    <t xml:space="preserve">1405/2/23</t>
  </si>
  <si>
    <t xml:space="preserve">SALE\05\75</t>
  </si>
  <si>
    <t xml:space="preserve">1405/4/10</t>
  </si>
  <si>
    <t xml:space="preserve">1405/3/11</t>
  </si>
  <si>
    <t xml:space="preserve">PL\05\74</t>
  </si>
  <si>
    <t xml:space="preserve">انحراف از برنامه تولید محصول سمند...</t>
  </si>
  <si>
    <t xml:space="preserve">1405/3/10</t>
  </si>
  <si>
    <t xml:space="preserve">PL\05\73</t>
  </si>
  <si>
    <t xml:space="preserve">توقف خط به علت نبود منابع (یونات)...</t>
  </si>
  <si>
    <t xml:space="preserve">PL\05\72</t>
  </si>
  <si>
    <t xml:space="preserve">توقف خط به علت نبود منابع (چراغ گار...)</t>
  </si>
  <si>
    <t xml:space="preserve">PL\05\71</t>
  </si>
  <si>
    <t xml:space="preserve">PL\05\70</t>
  </si>
  <si>
    <t xml:space="preserve">توقف خط به علت نبود منابع (خارکنسو...)</t>
  </si>
  <si>
    <t xml:space="preserve">PL\05\69</t>
  </si>
  <si>
    <t xml:space="preserve">توقف خط به علت نبود منابع (براکت ف...)</t>
  </si>
  <si>
    <t xml:space="preserve">PL\05\68</t>
  </si>
  <si>
    <t xml:space="preserve">انحراف از برنامه تولید محصول 212...</t>
  </si>
  <si>
    <t xml:space="preserve">PL\05\67</t>
  </si>
  <si>
    <t xml:space="preserve">توقف خط به علت نبود منابع به مدت 47...</t>
  </si>
  <si>
    <t xml:space="preserve">SALE\05\65</t>
  </si>
  <si>
    <t xml:space="preserve">1405/5/7</t>
  </si>
  <si>
    <t xml:space="preserve">SALE\05\64</t>
  </si>
  <si>
    <t xml:space="preserve">کلیم 1 قطعه سینی فن سمند در سایت ت...</t>
  </si>
  <si>
    <t xml:space="preserve">1405/3/31</t>
  </si>
  <si>
    <t xml:space="preserve">SALE\05\63</t>
  </si>
  <si>
    <t xml:space="preserve">des\05\62</t>
  </si>
  <si>
    <t xml:space="preserve">سینی فن دنا - MTBF</t>
  </si>
  <si>
    <t xml:space="preserve">des\05\61</t>
  </si>
  <si>
    <t xml:space="preserve">SALE\05\90</t>
  </si>
  <si>
    <t xml:space="preserve">کلیم 2 قطعه سینی زیرموتور XU در سا...</t>
  </si>
  <si>
    <t xml:space="preserve">1405/4/31</t>
  </si>
  <si>
    <t xml:space="preserve">1405/3/30</t>
  </si>
  <si>
    <t xml:space="preserve">SALE\05\89</t>
  </si>
  <si>
    <t xml:space="preserve">1405/3/27</t>
  </si>
  <si>
    <t xml:space="preserve">SALE\05\88</t>
  </si>
  <si>
    <t xml:space="preserve">1405/3/26</t>
  </si>
  <si>
    <t xml:space="preserve">SALE\05\87</t>
  </si>
  <si>
    <t xml:space="preserve">1405/5/31</t>
  </si>
  <si>
    <t xml:space="preserve">1405/3/25</t>
  </si>
  <si>
    <t xml:space="preserve">SALE\05\86</t>
  </si>
  <si>
    <t xml:space="preserve">کلیم 4 قطعه سینی زیر موتور تارا (K)...</t>
  </si>
  <si>
    <t xml:space="preserve">1405/3/24</t>
  </si>
  <si>
    <t xml:space="preserve">SALE\05\85</t>
  </si>
  <si>
    <t xml:space="preserve">1405/3/23</t>
  </si>
  <si>
    <t xml:space="preserve">SALE\05\84</t>
  </si>
  <si>
    <t xml:space="preserve">کلیم 1 قطعه سینی زیرموتور رک را در...</t>
  </si>
  <si>
    <t xml:space="preserve">1405/3/20</t>
  </si>
  <si>
    <t xml:space="preserve">SALE\05\83</t>
  </si>
  <si>
    <t xml:space="preserve">کلیم 1 قطعه سینی زیر موتور نگهدارنده...</t>
  </si>
  <si>
    <t xml:space="preserve">SALE\05\82</t>
  </si>
  <si>
    <t xml:space="preserve">SALE\05\81</t>
  </si>
  <si>
    <t xml:space="preserve">1405/3/17</t>
  </si>
  <si>
    <t xml:space="preserve">SALE\05\80</t>
  </si>
  <si>
    <t xml:space="preserve">کلیم 2 قطعه سینی فن سمند در سایت کر...</t>
  </si>
  <si>
    <t xml:space="preserve">SALE\05\79</t>
  </si>
  <si>
    <t xml:space="preserve">کلیم 2 قطعه سینی زیر موتور تارا (K)...</t>
  </si>
  <si>
    <t xml:space="preserve">1405/3/13</t>
  </si>
  <si>
    <t xml:space="preserve">SALE\05\78</t>
  </si>
  <si>
    <t xml:space="preserve">SALE\05\77</t>
  </si>
  <si>
    <t xml:space="preserve">کلیم 1 قطعه سینی دنا پلاس توربو در...</t>
  </si>
  <si>
    <t xml:space="preserve">1405/3/12</t>
  </si>
  <si>
    <t xml:space="preserve">SALE\05\105</t>
  </si>
  <si>
    <t xml:space="preserve">SALE\05\104</t>
  </si>
  <si>
    <t xml:space="preserve">SALE\05\103</t>
  </si>
  <si>
    <t xml:space="preserve">1405/4/9</t>
  </si>
  <si>
    <t xml:space="preserve">SALE\05\102</t>
  </si>
  <si>
    <t xml:space="preserve">SALE\05\101</t>
  </si>
  <si>
    <t xml:space="preserve">1405/4/7</t>
  </si>
  <si>
    <t xml:space="preserve">SALE\05\100</t>
  </si>
  <si>
    <t xml:space="preserve">SALE\05\99</t>
  </si>
  <si>
    <t xml:space="preserve">SALE\05\98</t>
  </si>
  <si>
    <t xml:space="preserve">SALE\05\97</t>
  </si>
  <si>
    <t xml:space="preserve">کلیم 3 قطعه سینی نگهدارنده رک را در...</t>
  </si>
  <si>
    <t xml:space="preserve">1405/4/6</t>
  </si>
  <si>
    <t xml:space="preserve">SALE\05\96</t>
  </si>
  <si>
    <t xml:space="preserve">کلیم 1 قطعه سینی زیرموتور XU در سا...</t>
  </si>
  <si>
    <t xml:space="preserve">1405/4/2</t>
  </si>
  <si>
    <t xml:space="preserve">SALE\05\95</t>
  </si>
  <si>
    <t xml:space="preserve">SALE\05\94</t>
  </si>
  <si>
    <t xml:space="preserve">کلیم 10 قطعه سینی فن سمند در سایت م...</t>
  </si>
  <si>
    <t xml:space="preserve">SALE\05\93</t>
  </si>
  <si>
    <t xml:space="preserve">کلیم 2 قطعه سینی زیرموتور رک را در...</t>
  </si>
  <si>
    <t xml:space="preserve">SALE\05\92</t>
  </si>
  <si>
    <t xml:space="preserve">نظریه نماینده مدیریت</t>
  </si>
  <si>
    <t xml:space="preserve">SALE\05\91</t>
  </si>
  <si>
    <t xml:space="preserve">کلیم 2 قطعه سینی زیرموتور تارا (K)...</t>
  </si>
  <si>
    <t xml:space="preserve">SALE\05\120</t>
  </si>
  <si>
    <t xml:space="preserve">کلیم 2 قطعه سینی زیرموتور 206 در سا...</t>
  </si>
  <si>
    <t xml:space="preserve">1405/4/24</t>
  </si>
  <si>
    <t xml:space="preserve">SALE\05\119</t>
  </si>
  <si>
    <t xml:space="preserve">کلیم 2 قطعه سینی فن دنا در سایت تهر...</t>
  </si>
  <si>
    <t xml:space="preserve">SALE\05\118</t>
  </si>
  <si>
    <t xml:space="preserve">SALE\05\117</t>
  </si>
  <si>
    <t xml:space="preserve">1405/4/22</t>
  </si>
  <si>
    <t xml:space="preserve">SALE\05\116</t>
  </si>
  <si>
    <t xml:space="preserve">کلیم 1 قطعه سینی زیرموتور XU در سای...</t>
  </si>
  <si>
    <t xml:space="preserve">1405/4/21</t>
  </si>
  <si>
    <t xml:space="preserve">SALE\05\115</t>
  </si>
  <si>
    <t xml:space="preserve">SALE\05\114</t>
  </si>
  <si>
    <t xml:space="preserve">1405/4/20</t>
  </si>
  <si>
    <t xml:space="preserve">SALE\05\113</t>
  </si>
  <si>
    <t xml:space="preserve">SALE\05\112</t>
  </si>
  <si>
    <t xml:space="preserve">SALE\05\111</t>
  </si>
  <si>
    <t xml:space="preserve">PL\05\109</t>
  </si>
  <si>
    <t xml:space="preserve">1405/4/18</t>
  </si>
  <si>
    <t xml:space="preserve">PL\05\108</t>
  </si>
  <si>
    <t xml:space="preserve">انحراف از مصرف مواد smc به میزان2...</t>
  </si>
  <si>
    <t xml:space="preserve">PR\05\107</t>
  </si>
  <si>
    <t xml:space="preserve">بالا بودن شاخص ppm ضایعات سینی زیر...</t>
  </si>
  <si>
    <t xml:space="preserve">1405/4/16</t>
  </si>
  <si>
    <t xml:space="preserve">PR\05\106</t>
  </si>
  <si>
    <t xml:space="preserve">بالا بودن شاخص ppm ضایعات محافظ شیشه...</t>
  </si>
  <si>
    <t xml:space="preserve">ADF\05\135</t>
  </si>
  <si>
    <t xml:space="preserve">ایمنی و بهداشت</t>
  </si>
  <si>
    <t xml:space="preserve">استفاده از پالت به عنوان سکو در مجا...</t>
  </si>
  <si>
    <t xml:space="preserve">امیررضا نقدی</t>
  </si>
  <si>
    <t xml:space="preserve">HSE</t>
  </si>
  <si>
    <t xml:space="preserve">ADF\05\134</t>
  </si>
  <si>
    <t xml:space="preserve">ایجاد حفاظ در مناطق دوار واحد بسته...</t>
  </si>
  <si>
    <t xml:space="preserve">1405/5/6</t>
  </si>
  <si>
    <t xml:space="preserve">ADF\05\133</t>
  </si>
  <si>
    <t xml:space="preserve">افزایش ارتفاع نرده‌های حفاظتی پله ه...</t>
  </si>
  <si>
    <t xml:space="preserve">1405/6/21</t>
  </si>
  <si>
    <t xml:space="preserve">SALE\05\132</t>
  </si>
  <si>
    <t xml:space="preserve">SALE\05\131</t>
  </si>
  <si>
    <t xml:space="preserve">1405/5/3</t>
  </si>
  <si>
    <t xml:space="preserve">SALE\05\130</t>
  </si>
  <si>
    <t xml:space="preserve">SALE\05\129</t>
  </si>
  <si>
    <t xml:space="preserve">کاهش امتیاز عملکرد خرداد ماه به علت...</t>
  </si>
  <si>
    <t xml:space="preserve">1405/5/25</t>
  </si>
  <si>
    <t xml:space="preserve">PL\05\128</t>
  </si>
  <si>
    <t xml:space="preserve">SALE\05\127</t>
  </si>
  <si>
    <t xml:space="preserve">کلیم 16 قطعه سینی فن 206 پلاس در...</t>
  </si>
  <si>
    <t xml:space="preserve">SALE\05\126</t>
  </si>
  <si>
    <t xml:space="preserve">1405/7/23</t>
  </si>
  <si>
    <t xml:space="preserve">1405/4/30</t>
  </si>
  <si>
    <t xml:space="preserve">SALE\05\125</t>
  </si>
  <si>
    <t xml:space="preserve">SALE\05\124</t>
  </si>
  <si>
    <t xml:space="preserve">کلیم 8 قطعه سینی فن سمند در سایت فا...</t>
  </si>
  <si>
    <t xml:space="preserve">SALE\05\123</t>
  </si>
  <si>
    <t xml:space="preserve">کلیم 2 قطعه سینی فن سمند در سایت ما...</t>
  </si>
  <si>
    <t xml:space="preserve">1405/4/28</t>
  </si>
  <si>
    <t xml:space="preserve">SALE\05\122</t>
  </si>
  <si>
    <t xml:space="preserve">1405/5/12</t>
  </si>
  <si>
    <t xml:space="preserve">1405/4/27</t>
  </si>
  <si>
    <t xml:space="preserve">QA\05\150</t>
  </si>
  <si>
    <t xml:space="preserve">ممیزی داخلی</t>
  </si>
  <si>
    <t xml:space="preserve">عدم پوشش کامل الزامات ISO 14001 و I...</t>
  </si>
  <si>
    <t xml:space="preserve">QA\05\149</t>
  </si>
  <si>
    <t xml:space="preserve">عدم اختتام به‌موقع و عدم اثربخشی اف...</t>
  </si>
  <si>
    <t xml:space="preserve">PL\05\148</t>
  </si>
  <si>
    <t xml:space="preserve">توقف خط به علت نبود منابع (نیروی انسا...)</t>
  </si>
  <si>
    <t xml:space="preserve">1405/5/11</t>
  </si>
  <si>
    <t xml:space="preserve">PL\05\147</t>
  </si>
  <si>
    <t xml:space="preserve">PL\05\146</t>
  </si>
  <si>
    <t xml:space="preserve">انحراف از مصرف مواد smc به میزان...1</t>
  </si>
  <si>
    <t xml:space="preserve">PL\05\145</t>
  </si>
  <si>
    <t xml:space="preserve">انحراف از برنامه تولید محصول رابط...</t>
  </si>
  <si>
    <t xml:space="preserve">PL\05\144</t>
  </si>
  <si>
    <t xml:space="preserve">انحراف از برنامه تولید محصول دنا...</t>
  </si>
  <si>
    <t xml:space="preserve">SALE\05\143</t>
  </si>
  <si>
    <t xml:space="preserve">1405/5/10</t>
  </si>
  <si>
    <t xml:space="preserve">SALE\05\142</t>
  </si>
  <si>
    <t xml:space="preserve">SALE\05\141</t>
  </si>
  <si>
    <t xml:space="preserve">کلیم 3 قطعه دیاق سپر عقب 212 در سا...</t>
  </si>
  <si>
    <t xml:space="preserve">ADF\05\140</t>
  </si>
  <si>
    <t xml:space="preserve">اصلاح و به‌روزرسانی سیستم اعلام حرو...</t>
  </si>
  <si>
    <t xml:space="preserve">ADF\05\139</t>
  </si>
  <si>
    <t xml:space="preserve">ایجاد حفاظ ایمنی برای مناطق دوار در...</t>
  </si>
  <si>
    <t xml:space="preserve">ADF\05\138</t>
  </si>
  <si>
    <t xml:space="preserve">ADF\05\137</t>
  </si>
  <si>
    <t xml:space="preserve">طراحی اولیه خط ریتم فاقد درب و سنسو...</t>
  </si>
  <si>
    <t xml:space="preserve">ADF\05\136</t>
  </si>
  <si>
    <t xml:space="preserve">QA\05\165</t>
  </si>
  <si>
    <t xml:space="preserve">عدم تکمیل و به‌روزرسانی گپ آنالیز شـ...</t>
  </si>
  <si>
    <t xml:space="preserve">مدیریت منابع</t>
  </si>
  <si>
    <t xml:space="preserve">QA\05\164</t>
  </si>
  <si>
    <t xml:space="preserve">عدم تعیین و بازنگری مستند فواصل زمـ...</t>
  </si>
  <si>
    <t xml:space="preserve">نظریه تیم همکار1</t>
  </si>
  <si>
    <t xml:space="preserve">QA\05\163</t>
  </si>
  <si>
    <t xml:space="preserve">عدم استقرار نظام اثربخش ثبت و نگهدار...</t>
  </si>
  <si>
    <t xml:space="preserve">نظریه اثر بخشی مدیر واحد</t>
  </si>
  <si>
    <t xml:space="preserve">QA\05\162</t>
  </si>
  <si>
    <t xml:space="preserve">عدم محاسبه و پایش به‌موقع شاخص‌های...</t>
  </si>
  <si>
    <t xml:space="preserve">QA\05\161</t>
  </si>
  <si>
    <t xml:space="preserve">شواهد نشان نداد برنامه‌ریزی تولید بر...</t>
  </si>
  <si>
    <t xml:space="preserve">QA\05\160</t>
  </si>
  <si>
    <t xml:space="preserve">عدم استقرار محل مجزا برای قرنطینه و...</t>
  </si>
  <si>
    <t xml:space="preserve">انبارش</t>
  </si>
  <si>
    <t xml:space="preserve">1405/6/23</t>
  </si>
  <si>
    <t xml:space="preserve">QA\05\159</t>
  </si>
  <si>
    <t xml:space="preserve">عدم تعیین و مستندسازی جانشین برای...</t>
  </si>
  <si>
    <t xml:space="preserve">QA\05\158</t>
  </si>
  <si>
    <t xml:space="preserve">عدم به‌روزرسانی لیاوت کارخانه بر ا...</t>
  </si>
  <si>
    <t xml:space="preserve">1405/6/31</t>
  </si>
  <si>
    <t xml:space="preserve">QA\05\157</t>
  </si>
  <si>
    <t xml:space="preserve">عدم ثبت و نگهداری سوابق تعمیرات و...</t>
  </si>
  <si>
    <t xml:space="preserve">QA\05\156</t>
  </si>
  <si>
    <t xml:space="preserve">وجود کپسول اطفاء حریق با تاریخ اعتب...</t>
  </si>
  <si>
    <t xml:space="preserve">QA\05\155</t>
  </si>
  <si>
    <t xml:space="preserve">عدم محاسبه به‌موقع شاخص‌های عملکرد...</t>
  </si>
  <si>
    <t xml:space="preserve">نگهداری و تعمیرات</t>
  </si>
  <si>
    <t xml:space="preserve">QA\05\154</t>
  </si>
  <si>
    <t xml:space="preserve">عدم رعایت الزامات 5S و ایمنی در سال...</t>
  </si>
  <si>
    <t xml:space="preserve">QA\05\153</t>
  </si>
  <si>
    <t xml:space="preserve">عدم اجرا و ثبت سوابق ممیزی‌های لایه...</t>
  </si>
  <si>
    <t xml:space="preserve">QA\05\152</t>
  </si>
  <si>
    <t xml:space="preserve">عدم تفکیک، شناسایی و قرنطینه مناسب...</t>
  </si>
  <si>
    <t xml:space="preserve">QA\05\180</t>
  </si>
  <si>
    <t xml:space="preserve">عدم اثربخشی فرآیند رسیدگی، پیگیری...</t>
  </si>
  <si>
    <t xml:space="preserve">1405/5/14</t>
  </si>
  <si>
    <t xml:space="preserve">SALE\05\179</t>
  </si>
  <si>
    <t xml:space="preserve">SALE\05\178</t>
  </si>
  <si>
    <t xml:space="preserve">SALE\05\177</t>
  </si>
  <si>
    <t xml:space="preserve">SALE\05\176</t>
  </si>
  <si>
    <t xml:space="preserve">QA\05\175</t>
  </si>
  <si>
    <t xml:space="preserve">عدم دریافت مدون اطلاعات ظرفیت نیرو...</t>
  </si>
  <si>
    <t xml:space="preserve">QA\05\174</t>
  </si>
  <si>
    <t xml:space="preserve">عدم انجام تحلیل ریشه‌ای حوادث و تعر...</t>
  </si>
  <si>
    <t xml:space="preserve">QA\05\173</t>
  </si>
  <si>
    <t xml:space="preserve">عدم استقرار نظام بازرسی‌های ایمنی‌ها...</t>
  </si>
  <si>
    <t xml:space="preserve">QA\05\172</t>
  </si>
  <si>
    <t xml:space="preserve">عدم ثبت نتایج، ارزیابی اثربخشی و اف...</t>
  </si>
  <si>
    <t xml:space="preserve">QA\05\171</t>
  </si>
  <si>
    <t xml:space="preserve">عدم ارائه گواهینامه معتبر بازرسی اد...</t>
  </si>
  <si>
    <t xml:space="preserve">QA\05\170</t>
  </si>
  <si>
    <t xml:space="preserve">عدم شناسایی و نصب علائم ایمنی متناس...</t>
  </si>
  <si>
    <t xml:space="preserve">QA\05\169</t>
  </si>
  <si>
    <t xml:space="preserve">عدم بازنگری و به‌روزرسانی دستورالعم...</t>
  </si>
  <si>
    <t xml:space="preserve">QA\05\168</t>
  </si>
  <si>
    <t xml:space="preserve">عدم اقدام مؤثر برای کنترل ریسک‌های...</t>
  </si>
  <si>
    <t xml:space="preserve">QA\05\167</t>
  </si>
  <si>
    <t xml:space="preserve">عدم بروزرسانی ارزیابی ریسک فعالیت...</t>
  </si>
  <si>
    <t xml:space="preserve">QA\05\166</t>
  </si>
  <si>
    <t xml:space="preserve">عدم بروزرسانی نیازسنجی آموزشی کارک...</t>
  </si>
  <si>
    <t xml:space="preserve">ADF\05\195</t>
  </si>
  <si>
    <t xml:space="preserve">تراز جعبه دنده معادل صوت اپراتور ریات...</t>
  </si>
  <si>
    <t xml:space="preserve">راضیه کولیوند</t>
  </si>
  <si>
    <t xml:space="preserve">ADF\05\194</t>
  </si>
  <si>
    <t xml:space="preserve">روشنایی موضعی نامطلوب در موتورخانه...</t>
  </si>
  <si>
    <t xml:space="preserve">ADF\05\193</t>
  </si>
  <si>
    <t xml:space="preserve">روشنایی موضعی نامناسب در کارگاه pm...</t>
  </si>
  <si>
    <t xml:space="preserve">ADF\05\192</t>
  </si>
  <si>
    <t xml:space="preserve">روشنایی موضعی نامطلوب (آزمایشگاه)...</t>
  </si>
  <si>
    <t xml:space="preserve">ADF\05\191</t>
  </si>
  <si>
    <t xml:space="preserve">روشنایی موضعی نامطلوب در برخی ایستگ...</t>
  </si>
  <si>
    <t xml:space="preserve">ADF\05\190</t>
  </si>
  <si>
    <t xml:space="preserve">روشنایی نامطلوب پرس آزمایشگاهی مقدا...</t>
  </si>
  <si>
    <t xml:space="preserve">ADF\05\189</t>
  </si>
  <si>
    <t xml:space="preserve">روشنایی نامطلوب اره (قالب ابزار)...</t>
  </si>
  <si>
    <t xml:space="preserve">ADF\05\188</t>
  </si>
  <si>
    <t xml:space="preserve">روشنایی نامطلوب در تولید تعداد کل ا...</t>
  </si>
  <si>
    <t xml:space="preserve">ADF\05\187</t>
  </si>
  <si>
    <t xml:space="preserve">روشنایی نامطلوب در برخی ایستگاه‌های...</t>
  </si>
  <si>
    <t xml:space="preserve">ADF\05\186</t>
  </si>
  <si>
    <t xml:space="preserve">روشنایی نامطلوب در ایستگاه‌های ه...</t>
  </si>
  <si>
    <t xml:space="preserve">ADF\05\185</t>
  </si>
  <si>
    <t xml:space="preserve">ADF\05\184</t>
  </si>
  <si>
    <t xml:space="preserve">SALE\05\183</t>
  </si>
  <si>
    <t xml:space="preserve">1405/6/7</t>
  </si>
  <si>
    <t xml:space="preserve">1405/5/24</t>
  </si>
  <si>
    <t xml:space="preserve">QA\05\182</t>
  </si>
  <si>
    <t xml:space="preserve">عدم بازنگری و به‌روزرسانی سوابق ریس...</t>
  </si>
  <si>
    <t xml:space="preserve">خرید خارجی</t>
  </si>
  <si>
    <t xml:space="preserve">QA\05\181</t>
  </si>
  <si>
    <t xml:space="preserve">عدم بروزرسانی سوابق پایش ریسک واری...</t>
  </si>
  <si>
    <t xml:space="preserve">خرید داخلی</t>
  </si>
  <si>
    <t xml:space="preserve">ADF\05\210</t>
  </si>
  <si>
    <t xml:space="preserve">خطر سقوط تیر چراغ برق مقابل انبار م...</t>
  </si>
  <si>
    <t xml:space="preserve">SALE\05\209</t>
  </si>
  <si>
    <t xml:space="preserve">1405/6/4</t>
  </si>
  <si>
    <t xml:space="preserve">ADF\05\208</t>
  </si>
  <si>
    <t xml:space="preserve">تراز معادل صوت در آسیاب بالاتر از ح...</t>
  </si>
  <si>
    <t xml:space="preserve">SALE\05\207</t>
  </si>
  <si>
    <t xml:space="preserve">1405/6/3</t>
  </si>
  <si>
    <t xml:space="preserve">SALE\05\206</t>
  </si>
  <si>
    <t xml:space="preserve">SALE\05\205</t>
  </si>
  <si>
    <t xml:space="preserve">کلیم 3 قطعه سینی فن دنا در سایت تهر...</t>
  </si>
  <si>
    <t xml:space="preserve">SALE\05\204</t>
  </si>
  <si>
    <t xml:space="preserve">ADF\05\203</t>
  </si>
  <si>
    <t xml:space="preserve">انبارش مواد قابل انفجار در واحد رنگ...</t>
  </si>
  <si>
    <t xml:space="preserve">1405/5/28</t>
  </si>
  <si>
    <t xml:space="preserve">SALE\05\202</t>
  </si>
  <si>
    <t xml:space="preserve">کاهش امتیاز عملکرد تیر ماه به علت ک...</t>
  </si>
  <si>
    <t xml:space="preserve">ADF\05\201</t>
  </si>
  <si>
    <t xml:space="preserve">رها کردن و پرتاب کپسول‌های گاز لیفت...</t>
  </si>
  <si>
    <t xml:space="preserve">1405/5/27</t>
  </si>
  <si>
    <t xml:space="preserve">SALE\05\200</t>
  </si>
  <si>
    <t xml:space="preserve">ADF\05\199</t>
  </si>
  <si>
    <t xml:space="preserve">خطر سقوط محصولات در حین بسته‌بندی و...</t>
  </si>
  <si>
    <t xml:space="preserve">1405/5/26</t>
  </si>
  <si>
    <t xml:space="preserve">SALE\05\198</t>
  </si>
  <si>
    <t xml:space="preserve">SALE\05\197</t>
  </si>
  <si>
    <t xml:space="preserve">ADF\05\196</t>
  </si>
  <si>
    <t xml:space="preserve">دزیمتر صدای ایراد پاتو ربات ایراتو...</t>
  </si>
  <si>
    <t xml:space="preserve">SALE\05\225</t>
  </si>
  <si>
    <t xml:space="preserve">1405/7/7</t>
  </si>
  <si>
    <t xml:space="preserve">1405/6/17</t>
  </si>
  <si>
    <t xml:space="preserve">SALE\05\224</t>
  </si>
  <si>
    <t xml:space="preserve">1405/6/14</t>
  </si>
  <si>
    <t xml:space="preserve">SALE\05\223</t>
  </si>
  <si>
    <t xml:space="preserve">SALE\05\222</t>
  </si>
  <si>
    <t xml:space="preserve">SALE\05\221</t>
  </si>
  <si>
    <t xml:space="preserve">SALE\05\220</t>
  </si>
  <si>
    <t xml:space="preserve">ADF\05\219</t>
  </si>
  <si>
    <t xml:space="preserve">پایین بودن سرعت جریان هوا در دهانه...</t>
  </si>
  <si>
    <t xml:space="preserve">1405/6/11</t>
  </si>
  <si>
    <t xml:space="preserve">ADF\05\218</t>
  </si>
  <si>
    <t xml:space="preserve">پایین بودن سرعت جریان هوا در هود آ...</t>
  </si>
  <si>
    <t xml:space="preserve">1405/6/10</t>
  </si>
  <si>
    <t xml:space="preserve">des\05\217</t>
  </si>
  <si>
    <t xml:space="preserve">SALE\05\216</t>
  </si>
  <si>
    <t xml:space="preserve">PL\05\215</t>
  </si>
  <si>
    <t xml:space="preserve">PL\05\214</t>
  </si>
  <si>
    <t xml:space="preserve">PL\05\213</t>
  </si>
  <si>
    <t xml:space="preserve">PL\05\212</t>
  </si>
  <si>
    <t xml:space="preserve">1405/6/9</t>
  </si>
  <si>
    <t xml:space="preserve">SALE\05\211</t>
  </si>
  <si>
    <t xml:space="preserve">SALE\05\240</t>
  </si>
  <si>
    <t xml:space="preserve">کلیم 6 قطعه سینی زیرموتور رک را در...</t>
  </si>
  <si>
    <t xml:space="preserve">1405/7/21</t>
  </si>
  <si>
    <t xml:space="preserve">1405/6/28</t>
  </si>
  <si>
    <t xml:space="preserve">SALE\05\239</t>
  </si>
  <si>
    <t xml:space="preserve">کاهش امتیاز عملکرد مردادماه به علت...</t>
  </si>
  <si>
    <t xml:space="preserve">1405/6/25</t>
  </si>
  <si>
    <t xml:space="preserve">SALE\05\238</t>
  </si>
  <si>
    <t xml:space="preserve">SALE\05\237</t>
  </si>
  <si>
    <t xml:space="preserve">کاهش امتیاز عملکرد مرداد ماه به علت...</t>
  </si>
  <si>
    <t xml:space="preserve">1405/6/24</t>
  </si>
  <si>
    <t xml:space="preserve">ADF\05\235</t>
  </si>
  <si>
    <t xml:space="preserve">نردبان‌های تاشو موجود به دلیل فرسود...</t>
  </si>
  <si>
    <t xml:space="preserve">SALE\05\234</t>
  </si>
  <si>
    <t xml:space="preserve">کلیم 2 قطعه سینی زیرموتور EF7 در سا...</t>
  </si>
  <si>
    <t xml:space="preserve">1405/6/22</t>
  </si>
  <si>
    <t xml:space="preserve">SALE\05\233</t>
  </si>
  <si>
    <t xml:space="preserve">SALE\05\232</t>
  </si>
  <si>
    <t xml:space="preserve">SALE\05\231</t>
  </si>
  <si>
    <t xml:space="preserve">SALE\05\230</t>
  </si>
  <si>
    <t xml:space="preserve">SALE\05\229</t>
  </si>
  <si>
    <t xml:space="preserve">کلیم 2 قطعه سینی نگهدارنده رک را در...</t>
  </si>
  <si>
    <t xml:space="preserve">SALE\05\228</t>
  </si>
  <si>
    <t xml:space="preserve">des\05\227</t>
  </si>
  <si>
    <t xml:space="preserve">رات 5 - MTBF</t>
  </si>
  <si>
    <t xml:space="preserve">SALE\05\226</t>
  </si>
  <si>
    <t xml:space="preserve">1405/6/18</t>
  </si>
  <si>
    <t xml:space="preserve">PR\05\255</t>
  </si>
  <si>
    <t xml:space="preserve">1405/7/8</t>
  </si>
  <si>
    <t xml:space="preserve">نظریه مدیر کارخانه</t>
  </si>
  <si>
    <t xml:space="preserve">PR\05\254</t>
  </si>
  <si>
    <t xml:space="preserve">بالا بودن شاخص ppm ضایعات محافظ شیش...</t>
  </si>
  <si>
    <t xml:space="preserve">SALE\05\253</t>
  </si>
  <si>
    <t xml:space="preserve">1405/7/6</t>
  </si>
  <si>
    <t xml:space="preserve">SALE\05\252</t>
  </si>
  <si>
    <t xml:space="preserve">کلیم 4 قطعه سینی زیرموتور رک را در...</t>
  </si>
  <si>
    <t xml:space="preserve">SALE\05\251</t>
  </si>
  <si>
    <t xml:space="preserve">SALE\05\250</t>
  </si>
  <si>
    <t xml:space="preserve">کلیم 3 قطعه سینی فن سمند در سایت فا...</t>
  </si>
  <si>
    <t xml:space="preserve">SALE\05\249</t>
  </si>
  <si>
    <t xml:space="preserve">1405/7/4</t>
  </si>
  <si>
    <t xml:space="preserve">PM\05\248</t>
  </si>
  <si>
    <t xml:space="preserve">عدم تطابق شاخص MTTR دستگاه پرس 1000...</t>
  </si>
  <si>
    <t xml:space="preserve">ساجده سادات آفریدون</t>
  </si>
  <si>
    <t xml:space="preserve">1405/7/1</t>
  </si>
  <si>
    <t xml:space="preserve">SALE\05\247</t>
  </si>
  <si>
    <t xml:space="preserve">SALE\05\246</t>
  </si>
  <si>
    <t xml:space="preserve">SALE\05\245</t>
  </si>
  <si>
    <t xml:space="preserve">SALE\05\244</t>
  </si>
  <si>
    <t xml:space="preserve">1405/6/29</t>
  </si>
  <si>
    <t xml:space="preserve">SALE\05\243</t>
  </si>
  <si>
    <t xml:space="preserve">کلیم 2 قطعه سینی فن دنا پلاس توربو...</t>
  </si>
  <si>
    <t xml:space="preserve">SALE\05\242</t>
  </si>
  <si>
    <t xml:space="preserve">جدول تقویم شمسی — فقط برای محاسبات داخلی، تغییر ندهید</t>
  </si>
  <si>
    <t xml:space="preserve">واحد</t>
  </si>
  <si>
    <t xml:space="preserve">سال شمسی</t>
  </si>
  <si>
    <t xml:space="preserve">میلادی نوروز</t>
  </si>
  <si>
    <t xml:space="preserve">سال جاری</t>
  </si>
  <si>
    <t xml:space="preserve">ماه جاری</t>
  </si>
  <si>
    <t xml:space="preserve">بازرگانی</t>
  </si>
  <si>
    <t xml:space="preserve">اخطار کیفی</t>
  </si>
  <si>
    <t xml:space="preserve">تدارکات</t>
  </si>
  <si>
    <t xml:space="preserve">نمی‌باشد</t>
  </si>
  <si>
    <t xml:space="preserve">طراحی و مهندسی</t>
  </si>
  <si>
    <t xml:space="preserve">تایید</t>
  </si>
  <si>
    <t xml:space="preserve">ممیزی شخص ثالث</t>
  </si>
  <si>
    <t xml:space="preserve">ممیزی مشتری</t>
  </si>
  <si>
    <t xml:space="preserve">مدیریت</t>
  </si>
  <si>
    <t xml:space="preserve">تامین</t>
  </si>
  <si>
    <t xml:space="preserve">نظریه تیم همکار2</t>
  </si>
  <si>
    <t xml:space="preserve">کنترل محصول نامنطبق</t>
  </si>
  <si>
    <t xml:space="preserve">کیفیت</t>
  </si>
  <si>
    <t xml:space="preserve">تضمین کیفیت</t>
  </si>
  <si>
    <t xml:space="preserve">مهندسی کیفیت</t>
  </si>
  <si>
    <t xml:space="preserve">نظریه اثربخشی مدیر واحد</t>
  </si>
  <si>
    <t xml:space="preserve">بازنگری مدیریت</t>
  </si>
  <si>
    <t xml:space="preserve">پروژه‌ها</t>
  </si>
  <si>
    <t xml:space="preserve">نظریه کارشناس کیفیت</t>
  </si>
  <si>
    <t xml:space="preserve">پیگیری اقدام اصلاحی</t>
  </si>
  <si>
    <t xml:space="preserve">IT</t>
  </si>
  <si>
    <t xml:space="preserve">نظرات مشتری</t>
  </si>
  <si>
    <t xml:space="preserve">ثبت اشتباه فرم</t>
  </si>
  <si>
    <t xml:space="preserve">شکایت مشتریان</t>
  </si>
  <si>
    <t xml:space="preserve">اداری</t>
  </si>
  <si>
    <t xml:space="preserve">پیشنهاد کارکنان</t>
  </si>
  <si>
    <t xml:space="preserve">مسئولیت مدیریت</t>
  </si>
  <si>
    <t xml:space="preserve">مالی</t>
  </si>
  <si>
    <t xml:space="preserve">مالی اداری</t>
  </si>
  <si>
    <t xml:space="preserve">ایمنی</t>
  </si>
  <si>
    <t xml:space="preserve">فناوری اطلاعات</t>
  </si>
  <si>
    <t xml:space="preserve">آزمایشگاه</t>
  </si>
  <si>
    <t xml:space="preserve">آموزش</t>
  </si>
  <si>
    <t xml:space="preserve">داشبورد مدیریتی اقدامات اصلاحی / پیشگیرانه</t>
  </si>
  <si>
    <t xml:space="preserve">کل اقدامات ثبت‌شده</t>
  </si>
  <si>
    <t xml:space="preserve">در حال انجام</t>
  </si>
  <si>
    <t xml:space="preserve">با تاخیر</t>
  </si>
  <si>
    <t xml:space="preserve">بسته‌شده</t>
  </si>
  <si>
    <t xml:space="preserve">درصد انجام به‌موقع *</t>
  </si>
  <si>
    <t xml:space="preserve">* درصد انجام به‌موقع فقط برای اقداماتی محاسبه می‌شود که «تاریخ تکمیل اقدام» ثبت شده باشد. اقدام «بسته» یعنی ستون «اثر بخشی» پر شده یا تاریخ تکمیل ثبت شده است.</t>
  </si>
  <si>
    <t xml:space="preserve">نوع اقدام</t>
  </si>
  <si>
    <t xml:space="preserve">تعداد اقدامات به تفکیک واحد</t>
  </si>
  <si>
    <t xml:space="preserve">وضعیت</t>
  </si>
  <si>
    <t xml:space="preserve">تعداد</t>
  </si>
  <si>
    <t xml:space="preserve">تاخیر</t>
  </si>
  <si>
    <t xml:space="preserve">بسته</t>
  </si>
  <si>
    <t xml:space="preserve">اصلاحی (منشأ اقدامات)</t>
  </si>
  <si>
    <t xml:space="preserve">روند ثبت (۱۲ ماه منتهی به آخرین فرم)</t>
  </si>
  <si>
    <t xml:space="preserve">منشأ</t>
  </si>
  <si>
    <t xml:space="preserve">ماه (شمسی)</t>
  </si>
  <si>
    <t xml:space="preserve">مقدار</t>
  </si>
  <si>
    <t xml:space="preserve">فرآیند</t>
  </si>
  <si>
    <t xml:space="preserve">تفکیک تاخیرها بر اساس مدت (روز)</t>
  </si>
  <si>
    <t xml:space="preserve">بازه تاخیر</t>
  </si>
  <si>
    <t xml:space="preserve">۱ تا ۳۰ روز</t>
  </si>
  <si>
    <t xml:space="preserve">۳۱ تا ۶۰ روز</t>
  </si>
  <si>
    <t xml:space="preserve">۶۱ تا ۹۰ روز</t>
  </si>
  <si>
    <t xml:space="preserve">بیش از ۹۰ روز</t>
  </si>
  <si>
    <t xml:space="preserve">۱۰ اقدام با بیشترین تاخیر (نیازمند پیگیری فوری)</t>
  </si>
  <si>
    <t xml:space="preserve">فرآیند مرتبط</t>
  </si>
  <si>
    <t xml:space="preserve">مهلت انجام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</si>
</sst>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mm/dd/yy"/>
    <numFmt numFmtId="167" formatCode="yyyy\-mm\-dd"/>
    <numFmt numFmtId="168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.5"/>
      <color rgb="FF33333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1A1A1A"/>
      <name val="Arial"/>
      <family val="0"/>
      <charset val="1"/>
    </font>
    <font>
      <sz val="11"/>
      <color theme="1"/>
      <name val="FreeSans"/>
      <family val="2"/>
    </font>
    <font>
      <b val="true"/>
      <sz val="10.5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20"/>
      <color rgb="FF2E75B6"/>
      <name val="Arial"/>
      <family val="0"/>
      <charset val="1"/>
    </font>
    <font>
      <b val="true"/>
      <sz val="20"/>
      <color rgb="FFE2A400"/>
      <name val="Arial"/>
      <family val="0"/>
      <charset val="1"/>
    </font>
    <font>
      <b val="true"/>
      <sz val="20"/>
      <color rgb="FFC0392B"/>
      <name val="Arial"/>
      <family val="0"/>
      <charset val="1"/>
    </font>
    <font>
      <b val="true"/>
      <sz val="20"/>
      <color rgb="FF1E8449"/>
      <name val="Arial"/>
      <family val="0"/>
      <charset val="1"/>
    </font>
    <font>
      <b val="true"/>
      <sz val="20"/>
      <color rgb="FF6C3483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b val="true"/>
      <sz val="18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555555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EAF1FA"/>
      </patternFill>
    </fill>
    <fill>
      <patternFill patternType="solid">
        <fgColor rgb="FFFFFFFF"/>
        <bgColor rgb="FFFFF6E0"/>
      </patternFill>
    </fill>
    <fill>
      <patternFill patternType="solid">
        <fgColor rgb="FFE2A400"/>
        <bgColor rgb="FFFFCC00"/>
      </patternFill>
    </fill>
    <fill>
      <patternFill patternType="solid">
        <fgColor rgb="FFC0392B"/>
        <bgColor rgb="FFC0504D"/>
      </patternFill>
    </fill>
    <fill>
      <patternFill patternType="solid">
        <fgColor rgb="FF1E8449"/>
        <bgColor rgb="FF008080"/>
      </patternFill>
    </fill>
    <fill>
      <patternFill patternType="solid">
        <fgColor rgb="FF6C3483"/>
        <bgColor rgb="FF555555"/>
      </patternFill>
    </fill>
    <fill>
      <patternFill patternType="solid">
        <fgColor rgb="FFEAF1FA"/>
        <bgColor rgb="FFF2F2F2"/>
      </patternFill>
    </fill>
    <fill>
      <patternFill patternType="solid">
        <fgColor rgb="FFFFF6E0"/>
        <bgColor rgb="FFF2F2F2"/>
      </patternFill>
    </fill>
    <fill>
      <patternFill patternType="solid">
        <fgColor rgb="FF9C0006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6DA"/>
      </left>
      <right style="thin">
        <color rgb="FFB7C6DA"/>
      </right>
      <top style="thin">
        <color rgb="FFB7C6DA"/>
      </top>
      <bottom style="thin">
        <color rgb="FFB7C6DA"/>
      </bottom>
      <diagonal/>
    </border>
    <border diagonalUp="false" diagonalDown="false">
      <left style="medium">
        <color rgb="FF1F4E78"/>
      </left>
      <right/>
      <top style="medium">
        <color rgb="FF1F4E7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11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C6DA"/>
      <rgbColor rgb="FF808080"/>
      <rgbColor rgb="FFA6A6A6"/>
      <rgbColor rgb="FF6C3483"/>
      <rgbColor rgb="FFFFF6E0"/>
      <rgbColor rgb="FFEAF1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BBB59"/>
      <rgbColor rgb="FFFFCC00"/>
      <rgbColor rgb="FFE2A400"/>
      <rgbColor rgb="FFFF6600"/>
      <rgbColor rgb="FF4F81BD"/>
      <rgbColor rgb="FF878787"/>
      <rgbColor rgb="FF555555"/>
      <rgbColor rgb="FF1E8449"/>
      <rgbColor rgb="FF003300"/>
      <rgbColor rgb="FF1A1A1A"/>
      <rgbColor rgb="FFC0392B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وضعیت پایش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داشبورد!C13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داشبورد!$B$14:$B$16</c:f>
              <c:strCache>
                <c:ptCount val="3"/>
                <c:pt idx="0">
                  <c:v>در حال انجام</c:v>
                </c:pt>
                <c:pt idx="1">
                  <c:v>تاخیر</c:v>
                </c:pt>
                <c:pt idx="2">
                  <c:v>بسته</c:v>
                </c:pt>
              </c:strCache>
            </c:strRef>
          </c:cat>
          <c:val>
            <c:numRef>
              <c:f>داشبورد!$C$14:$C$16</c:f>
              <c:numCache>
                <c:formatCode>General</c:formatCode>
                <c:ptCount val="3"/>
                <c:pt idx="0">
                  <c:v>65</c:v>
                </c:pt>
                <c:pt idx="1">
                  <c:v>54</c:v>
                </c:pt>
                <c:pt idx="2">
                  <c:v>127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نوع اقدام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داشبورد!F13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داشبورد!$E$14:$E$15</c:f>
              <c:strCache>
                <c:ptCount val="2"/>
                <c:pt idx="0">
                  <c:v>اقدام اصلاحی</c:v>
                </c:pt>
                <c:pt idx="1">
                  <c:v>اقدام پیشگیرانه</c:v>
                </c:pt>
              </c:strCache>
            </c:strRef>
          </c:cat>
          <c:val>
            <c:numRef>
              <c:f>داشبورد!$F$14:$F$15</c:f>
              <c:numCache>
                <c:formatCode>General</c:formatCode>
                <c:ptCount val="2"/>
                <c:pt idx="0">
                  <c:v>237</c:v>
                </c:pt>
                <c:pt idx="1">
                  <c:v>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اقدامات به تفکیک واحد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داشبورد!I13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داشبورد!$H$14:$H$31</c:f>
              <c:strCache>
                <c:ptCount val="18"/>
                <c:pt idx="0">
                  <c:v>بازرگانی</c:v>
                </c:pt>
                <c:pt idx="1">
                  <c:v>تدارکات</c:v>
                </c:pt>
                <c:pt idx="2">
                  <c:v>طراحی و مهندسی</c:v>
                </c:pt>
                <c:pt idx="3">
                  <c:v>تولید</c:v>
                </c:pt>
                <c:pt idx="4">
                  <c:v>برنامه‌ریزی</c:v>
                </c:pt>
                <c:pt idx="5">
                  <c:v>مدیریت</c:v>
                </c:pt>
                <c:pt idx="6">
                  <c:v>کیفیت</c:v>
                </c:pt>
                <c:pt idx="7">
                  <c:v>تضمین کیفیت</c:v>
                </c:pt>
                <c:pt idx="8">
                  <c:v>مهندسی کیفیت</c:v>
                </c:pt>
                <c:pt idx="9">
                  <c:v>پروژه‌ها</c:v>
                </c:pt>
                <c:pt idx="10">
                  <c:v>IT</c:v>
                </c:pt>
                <c:pt idx="11">
                  <c:v>نگهداری و تعمیرات</c:v>
                </c:pt>
                <c:pt idx="12">
                  <c:v>اداری</c:v>
                </c:pt>
                <c:pt idx="13">
                  <c:v>فروش</c:v>
                </c:pt>
                <c:pt idx="14">
                  <c:v>مالی</c:v>
                </c:pt>
                <c:pt idx="15">
                  <c:v>ایمنی</c:v>
                </c:pt>
                <c:pt idx="16">
                  <c:v>آزمایشگاه</c:v>
                </c:pt>
                <c:pt idx="17">
                  <c:v>آموزش</c:v>
                </c:pt>
              </c:strCache>
            </c:strRef>
          </c:cat>
          <c:val>
            <c:numRef>
              <c:f>داشبورد!$I$14:$I$31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gapWidth val="150"/>
        <c:overlap val="0"/>
        <c:axId val="38630685"/>
        <c:axId val="72421101"/>
      </c:barChart>
      <c:catAx>
        <c:axId val="386306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21101"/>
        <c:crosses val="autoZero"/>
        <c:auto val="1"/>
        <c:lblAlgn val="ctr"/>
        <c:lblOffset val="100"/>
        <c:noMultiLvlLbl val="0"/>
      </c:catAx>
      <c:valAx>
        <c:axId val="724211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306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اصلاحی (منشأ اقدامات)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داشبورد!C35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داشبورد!$B$36:$B$50</c:f>
              <c:strCache>
                <c:ptCount val="15"/>
                <c:pt idx="0">
                  <c:v>کلیم</c:v>
                </c:pt>
                <c:pt idx="1">
                  <c:v>اخطار کیفی</c:v>
                </c:pt>
                <c:pt idx="2">
                  <c:v>ممیزی داخلی</c:v>
                </c:pt>
                <c:pt idx="3">
                  <c:v>ممیزی خارجی</c:v>
                </c:pt>
                <c:pt idx="4">
                  <c:v>ممیزی شخص ثالث</c:v>
                </c:pt>
                <c:pt idx="5">
                  <c:v>ممیزی مشتری</c:v>
                </c:pt>
                <c:pt idx="6">
                  <c:v>کنترل محصول نامنطبق</c:v>
                </c:pt>
                <c:pt idx="7">
                  <c:v>پایش فرآیندها و تجزیه و تحلیل</c:v>
                </c:pt>
                <c:pt idx="8">
                  <c:v>ایمنی و بهداشت</c:v>
                </c:pt>
                <c:pt idx="9">
                  <c:v>بازنگری مدیریت</c:v>
                </c:pt>
                <c:pt idx="10">
                  <c:v>پیگیری اقدام اصلاحی</c:v>
                </c:pt>
                <c:pt idx="11">
                  <c:v>نظرات مشتری</c:v>
                </c:pt>
                <c:pt idx="12">
                  <c:v>شکایت مشتریان</c:v>
                </c:pt>
                <c:pt idx="13">
                  <c:v>پیشنهاد کارکنان</c:v>
                </c:pt>
                <c:pt idx="14">
                  <c:v>سایر</c:v>
                </c:pt>
              </c:strCache>
            </c:strRef>
          </c:cat>
          <c:val>
            <c:numRef>
              <c:f>داشبورد!$C$36:$C$50</c:f>
              <c:numCache>
                <c:formatCode>General</c:formatCode>
                <c:ptCount val="15"/>
                <c:pt idx="0">
                  <c:v>154</c:v>
                </c:pt>
                <c:pt idx="1">
                  <c:v>0</c:v>
                </c:pt>
                <c:pt idx="2">
                  <c:v>27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29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</c:v>
                </c:pt>
              </c:numCache>
            </c:numRef>
          </c:val>
        </c:ser>
        <c:gapWidth val="150"/>
        <c:overlap val="0"/>
        <c:axId val="15810056"/>
        <c:axId val="12654855"/>
      </c:barChart>
      <c:catAx>
        <c:axId val="15810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54855"/>
        <c:crosses val="autoZero"/>
        <c:auto val="1"/>
        <c:lblAlgn val="ctr"/>
        <c:lblOffset val="100"/>
        <c:noMultiLvlLbl val="0"/>
      </c:catAx>
      <c:valAx>
        <c:axId val="126548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100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نام فرآیند مرتبط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داشبورد!C54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داشبورد!$B$55:$B$70</c:f>
              <c:strCache>
                <c:ptCount val="16"/>
                <c:pt idx="0">
                  <c:v>بازرسی آزمون</c:v>
                </c:pt>
                <c:pt idx="1">
                  <c:v>HSE</c:v>
                </c:pt>
                <c:pt idx="2">
                  <c:v>تولید</c:v>
                </c:pt>
                <c:pt idx="3">
                  <c:v>مهندسی</c:v>
                </c:pt>
                <c:pt idx="4">
                  <c:v>انبارش</c:v>
                </c:pt>
                <c:pt idx="5">
                  <c:v>تامین</c:v>
                </c:pt>
                <c:pt idx="6">
                  <c:v>برنامه‌ریزی</c:v>
                </c:pt>
                <c:pt idx="7">
                  <c:v>نگهداری و تعمیرات</c:v>
                </c:pt>
                <c:pt idx="8">
                  <c:v>مدیریت کیفیت</c:v>
                </c:pt>
                <c:pt idx="9">
                  <c:v>مدیریت منابع</c:v>
                </c:pt>
                <c:pt idx="10">
                  <c:v>خرید داخلی</c:v>
                </c:pt>
                <c:pt idx="11">
                  <c:v>خرید خارجی</c:v>
                </c:pt>
                <c:pt idx="12">
                  <c:v>فروش</c:v>
                </c:pt>
                <c:pt idx="13">
                  <c:v>مسئولیت مدیریت</c:v>
                </c:pt>
                <c:pt idx="14">
                  <c:v>مالی اداری</c:v>
                </c:pt>
                <c:pt idx="15">
                  <c:v>فناوری اطلاعات</c:v>
                </c:pt>
              </c:strCache>
            </c:strRef>
          </c:cat>
          <c:val>
            <c:numRef>
              <c:f>داشبورد!$C$55:$C$70</c:f>
              <c:numCache>
                <c:formatCode>General</c:formatCode>
                <c:ptCount val="16"/>
                <c:pt idx="0">
                  <c:v>131</c:v>
                </c:pt>
                <c:pt idx="1">
                  <c:v>36</c:v>
                </c:pt>
                <c:pt idx="2">
                  <c:v>10</c:v>
                </c:pt>
                <c:pt idx="3">
                  <c:v>25</c:v>
                </c:pt>
                <c:pt idx="4">
                  <c:v>2</c:v>
                </c:pt>
                <c:pt idx="5">
                  <c:v>0</c:v>
                </c:pt>
                <c:pt idx="6">
                  <c:v>30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150"/>
        <c:overlap val="0"/>
        <c:axId val="80753352"/>
        <c:axId val="74042386"/>
      </c:barChart>
      <c:catAx>
        <c:axId val="80753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042386"/>
        <c:crosses val="autoZero"/>
        <c:auto val="1"/>
        <c:lblAlgn val="ctr"/>
        <c:lblOffset val="100"/>
        <c:noMultiLvlLbl val="0"/>
      </c:catAx>
      <c:valAx>
        <c:axId val="740423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533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روند ثبت (۱۲ ماه)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داشبورد!F35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داشبورد!$E$36:$E$47</c:f>
              <c:strCache>
                <c:ptCount val="12"/>
                <c:pt idx="0">
                  <c:v>1404-08</c:v>
                </c:pt>
                <c:pt idx="1">
                  <c:v>1404-09</c:v>
                </c:pt>
                <c:pt idx="2">
                  <c:v>1404-10</c:v>
                </c:pt>
                <c:pt idx="3">
                  <c:v>1404-11</c:v>
                </c:pt>
                <c:pt idx="4">
                  <c:v>1404-12</c:v>
                </c:pt>
                <c:pt idx="5">
                  <c:v>1405-01</c:v>
                </c:pt>
                <c:pt idx="6">
                  <c:v>1405-02</c:v>
                </c:pt>
                <c:pt idx="7">
                  <c:v>1405-03</c:v>
                </c:pt>
                <c:pt idx="8">
                  <c:v>1405-04</c:v>
                </c:pt>
                <c:pt idx="9">
                  <c:v>1405-05</c:v>
                </c:pt>
                <c:pt idx="10">
                  <c:v>1405-06</c:v>
                </c:pt>
                <c:pt idx="11">
                  <c:v>1405-07</c:v>
                </c:pt>
              </c:strCache>
            </c:strRef>
          </c:cat>
          <c:val>
            <c:numRef>
              <c:f>داشبورد!$F$36:$F$47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39</c:v>
                </c:pt>
                <c:pt idx="7">
                  <c:v>41</c:v>
                </c:pt>
                <c:pt idx="8">
                  <c:v>32</c:v>
                </c:pt>
                <c:pt idx="9">
                  <c:v>75</c:v>
                </c:pt>
                <c:pt idx="10">
                  <c:v>40</c:v>
                </c:pt>
                <c:pt idx="11">
                  <c:v>8</c:v>
                </c:pt>
              </c:numCache>
            </c:numRef>
          </c:val>
        </c:ser>
        <c:gapWidth val="150"/>
        <c:overlap val="0"/>
        <c:axId val="69255549"/>
        <c:axId val="79344757"/>
      </c:barChart>
      <c:catAx>
        <c:axId val="692555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44757"/>
        <c:crosses val="autoZero"/>
        <c:auto val="1"/>
        <c:lblAlgn val="ctr"/>
        <c:lblOffset val="100"/>
        <c:noMultiLvlLbl val="0"/>
      </c:catAx>
      <c:valAx>
        <c:axId val="793447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555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تفکیک تاخیرها بر اساس مدت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داشبورد!C74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داشبورد!$B$75:$B$78</c:f>
              <c:strCache>
                <c:ptCount val="4"/>
                <c:pt idx="0">
                  <c:v>۱ تا ۳۰ روز</c:v>
                </c:pt>
                <c:pt idx="1">
                  <c:v>۳۱ تا ۶۰ روز</c:v>
                </c:pt>
                <c:pt idx="2">
                  <c:v>۶۱ تا ۹۰ روز</c:v>
                </c:pt>
                <c:pt idx="3">
                  <c:v>بیش از ۹۰ روز</c:v>
                </c:pt>
              </c:strCache>
            </c:strRef>
          </c:cat>
          <c:val>
            <c:numRef>
              <c:f>داشبورد!$C$75:$C$78</c:f>
              <c:numCache>
                <c:formatCode>General</c:formatCode>
                <c:ptCount val="4"/>
                <c:pt idx="0">
                  <c:v>31</c:v>
                </c:pt>
                <c:pt idx="1">
                  <c:v>9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</c:ser>
        <c:gapWidth val="150"/>
        <c:overlap val="0"/>
        <c:axId val="31668400"/>
        <c:axId val="41254786"/>
      </c:barChart>
      <c:catAx>
        <c:axId val="3166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54786"/>
        <c:crosses val="autoZero"/>
        <c:auto val="1"/>
        <c:lblAlgn val="ctr"/>
        <c:lblOffset val="100"/>
        <c:noMultiLvlLbl val="0"/>
      </c:catAx>
      <c:valAx>
        <c:axId val="412547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684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-290880</xdr:colOff>
      <xdr:row>11</xdr:row>
      <xdr:rowOff>0</xdr:rowOff>
    </xdr:from>
    <xdr:to>
      <xdr:col>17</xdr:col>
      <xdr:colOff>0</xdr:colOff>
      <xdr:row>24</xdr:row>
      <xdr:rowOff>43200</xdr:rowOff>
    </xdr:to>
    <xdr:graphicFrame>
      <xdr:nvGraphicFramePr>
        <xdr:cNvPr id="0" name="Chart 1"/>
        <xdr:cNvGraphicFramePr/>
      </xdr:nvGraphicFramePr>
      <xdr:xfrm>
        <a:off x="-14086800" y="273384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-290520</xdr:colOff>
      <xdr:row>11</xdr:row>
      <xdr:rowOff>0</xdr:rowOff>
    </xdr:from>
    <xdr:to>
      <xdr:col>23</xdr:col>
      <xdr:colOff>0</xdr:colOff>
      <xdr:row>24</xdr:row>
      <xdr:rowOff>43200</xdr:rowOff>
    </xdr:to>
    <xdr:graphicFrame>
      <xdr:nvGraphicFramePr>
        <xdr:cNvPr id="1" name="Chart 2"/>
        <xdr:cNvGraphicFramePr/>
      </xdr:nvGraphicFramePr>
      <xdr:xfrm>
        <a:off x="-17755560" y="273384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-256320</xdr:colOff>
      <xdr:row>26</xdr:row>
      <xdr:rowOff>0</xdr:rowOff>
    </xdr:from>
    <xdr:to>
      <xdr:col>20</xdr:col>
      <xdr:colOff>0</xdr:colOff>
      <xdr:row>46</xdr:row>
      <xdr:rowOff>149760</xdr:rowOff>
    </xdr:to>
    <xdr:graphicFrame>
      <xdr:nvGraphicFramePr>
        <xdr:cNvPr id="2" name="Chart 3"/>
        <xdr:cNvGraphicFramePr/>
      </xdr:nvGraphicFramePr>
      <xdr:xfrm>
        <a:off x="-15886800" y="559116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-256320</xdr:colOff>
      <xdr:row>50</xdr:row>
      <xdr:rowOff>0</xdr:rowOff>
    </xdr:from>
    <xdr:to>
      <xdr:col>20</xdr:col>
      <xdr:colOff>0</xdr:colOff>
      <xdr:row>70</xdr:row>
      <xdr:rowOff>149760</xdr:rowOff>
    </xdr:to>
    <xdr:graphicFrame>
      <xdr:nvGraphicFramePr>
        <xdr:cNvPr id="3" name="Chart 4"/>
        <xdr:cNvGraphicFramePr/>
      </xdr:nvGraphicFramePr>
      <xdr:xfrm>
        <a:off x="-15886800" y="1016316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-256320</xdr:colOff>
      <xdr:row>74</xdr:row>
      <xdr:rowOff>0</xdr:rowOff>
    </xdr:from>
    <xdr:to>
      <xdr:col>20</xdr:col>
      <xdr:colOff>0</xdr:colOff>
      <xdr:row>94</xdr:row>
      <xdr:rowOff>149760</xdr:rowOff>
    </xdr:to>
    <xdr:graphicFrame>
      <xdr:nvGraphicFramePr>
        <xdr:cNvPr id="4" name="Chart 5"/>
        <xdr:cNvGraphicFramePr/>
      </xdr:nvGraphicFramePr>
      <xdr:xfrm>
        <a:off x="-15886800" y="1473516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-364680</xdr:colOff>
      <xdr:row>98</xdr:row>
      <xdr:rowOff>0</xdr:rowOff>
    </xdr:from>
    <xdr:to>
      <xdr:col>21</xdr:col>
      <xdr:colOff>0</xdr:colOff>
      <xdr:row>115</xdr:row>
      <xdr:rowOff>1080</xdr:rowOff>
    </xdr:to>
    <xdr:graphicFrame>
      <xdr:nvGraphicFramePr>
        <xdr:cNvPr id="5" name="Chart 6"/>
        <xdr:cNvGraphicFramePr/>
      </xdr:nvGraphicFramePr>
      <xdr:xfrm>
        <a:off x="-16606800" y="193071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17</xdr:col>
      <xdr:colOff>-38880</xdr:colOff>
      <xdr:row>98</xdr:row>
      <xdr:rowOff>0</xdr:rowOff>
    </xdr:from>
    <xdr:to>
      <xdr:col>24</xdr:col>
      <xdr:colOff>0</xdr:colOff>
      <xdr:row>115</xdr:row>
      <xdr:rowOff>1080</xdr:rowOff>
    </xdr:to>
    <xdr:graphicFrame>
      <xdr:nvGraphicFramePr>
        <xdr:cNvPr id="6" name="Chart 7"/>
        <xdr:cNvGraphicFramePr/>
      </xdr:nvGraphicFramePr>
      <xdr:xfrm>
        <a:off x="-18115560" y="1930716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2:B2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2" customFormat="false" ht="18.6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48" hidden="false" customHeight="true" outlineLevel="0" collapsed="false">
      <c r="B5" s="3" t="s">
        <v>2</v>
      </c>
    </row>
    <row r="7" customFormat="false" ht="15" hidden="false" customHeight="false" outlineLevel="0" collapsed="false">
      <c r="B7" s="2" t="s">
        <v>3</v>
      </c>
    </row>
    <row r="8" customFormat="false" ht="48" hidden="false" customHeight="true" outlineLevel="0" collapsed="false">
      <c r="B8" s="3" t="s">
        <v>4</v>
      </c>
    </row>
    <row r="10" customFormat="false" ht="15" hidden="false" customHeight="false" outlineLevel="0" collapsed="false">
      <c r="B10" s="2" t="s">
        <v>5</v>
      </c>
    </row>
    <row r="11" customFormat="false" ht="48" hidden="false" customHeight="true" outlineLevel="0" collapsed="false">
      <c r="B11" s="3" t="s">
        <v>6</v>
      </c>
    </row>
    <row r="13" customFormat="false" ht="15" hidden="false" customHeight="false" outlineLevel="0" collapsed="false">
      <c r="B13" s="2" t="s">
        <v>7</v>
      </c>
    </row>
    <row r="14" customFormat="false" ht="48" hidden="false" customHeight="true" outlineLevel="0" collapsed="false">
      <c r="B14" s="3" t="s">
        <v>8</v>
      </c>
    </row>
    <row r="16" customFormat="false" ht="15" hidden="false" customHeight="false" outlineLevel="0" collapsed="false">
      <c r="B16" s="2" t="s">
        <v>9</v>
      </c>
    </row>
    <row r="17" customFormat="false" ht="48" hidden="false" customHeight="true" outlineLevel="0" collapsed="false">
      <c r="B17" s="3" t="s">
        <v>10</v>
      </c>
    </row>
    <row r="19" customFormat="false" ht="15" hidden="false" customHeight="false" outlineLevel="0" collapsed="false">
      <c r="B19" s="2" t="s">
        <v>11</v>
      </c>
    </row>
    <row r="20" customFormat="false" ht="48" hidden="false" customHeight="true" outlineLevel="0" collapsed="false">
      <c r="B20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K120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22"/>
    <col collapsed="false" customWidth="true" hidden="false" outlineLevel="0" max="12" min="11" style="0" width="12"/>
    <col collapsed="false" customWidth="true" hidden="false" outlineLevel="0" max="13" min="13" style="0" width="22"/>
    <col collapsed="false" customWidth="true" hidden="false" outlineLevel="0" max="14" min="14" style="0" width="7"/>
    <col collapsed="false" customWidth="true" hidden="false" outlineLevel="0" max="15" min="15" style="0" width="16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28"/>
    <col collapsed="false" customWidth="true" hidden="false" outlineLevel="0" max="19" min="19" style="0" width="14"/>
    <col collapsed="false" customWidth="true" hidden="false" outlineLevel="0" max="20" min="20" style="0" width="30"/>
    <col collapsed="false" customWidth="true" hidden="false" outlineLevel="0" max="21" min="21" style="0" width="15"/>
    <col collapsed="false" customWidth="true" hidden="false" outlineLevel="0" max="22" min="22" style="0" width="10"/>
    <col collapsed="false" customWidth="true" hidden="true" outlineLevel="0" max="37" min="23" style="0" width="8"/>
  </cols>
  <sheetData>
    <row r="1" customFormat="false" ht="25.5" hidden="false" customHeight="true" outlineLevel="0" collapsed="false">
      <c r="A1" s="4" t="s">
        <v>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customFormat="false" ht="15" hidden="false" customHeight="false" outlineLevel="0" collapsed="false">
      <c r="A2" s="5" t="s">
        <v>14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  <c r="H2" s="5" t="s">
        <v>15</v>
      </c>
      <c r="I2" s="5" t="s">
        <v>15</v>
      </c>
      <c r="J2" s="5" t="s">
        <v>15</v>
      </c>
      <c r="K2" s="5" t="s">
        <v>15</v>
      </c>
      <c r="L2" s="5" t="s">
        <v>15</v>
      </c>
      <c r="M2" s="5" t="s">
        <v>15</v>
      </c>
      <c r="N2" s="5" t="s">
        <v>15</v>
      </c>
      <c r="O2" s="5" t="s">
        <v>15</v>
      </c>
      <c r="P2" s="5" t="s">
        <v>15</v>
      </c>
      <c r="Q2" s="5" t="s">
        <v>15</v>
      </c>
      <c r="R2" s="5" t="s">
        <v>15</v>
      </c>
      <c r="S2" s="5" t="s">
        <v>15</v>
      </c>
      <c r="T2" s="5" t="s">
        <v>15</v>
      </c>
      <c r="U2" s="5" t="s">
        <v>14</v>
      </c>
      <c r="V2" s="5" t="s">
        <v>14</v>
      </c>
    </row>
    <row r="3" customFormat="false" ht="33.75" hidden="false" customHeight="true" outlineLevel="0" collapsed="false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6" t="s">
        <v>7</v>
      </c>
      <c r="J3" s="6" t="s">
        <v>24</v>
      </c>
      <c r="K3" s="6" t="s">
        <v>25</v>
      </c>
      <c r="L3" s="6" t="s">
        <v>26</v>
      </c>
      <c r="M3" s="6" t="s">
        <v>27</v>
      </c>
      <c r="N3" s="6" t="s">
        <v>28</v>
      </c>
      <c r="O3" s="6" t="s">
        <v>29</v>
      </c>
      <c r="P3" s="6" t="s">
        <v>30</v>
      </c>
      <c r="Q3" s="6" t="s">
        <v>31</v>
      </c>
      <c r="R3" s="6" t="s">
        <v>32</v>
      </c>
      <c r="S3" s="6" t="s">
        <v>33</v>
      </c>
      <c r="T3" s="6" t="s">
        <v>34</v>
      </c>
      <c r="U3" s="6" t="s">
        <v>35</v>
      </c>
      <c r="V3" s="6" t="s">
        <v>36</v>
      </c>
    </row>
    <row r="4" customFormat="false" ht="15" hidden="false" customHeight="false" outlineLevel="0" collapsed="false">
      <c r="A4" s="7" t="n">
        <f aca="false">IF(B4="","",ROW()-3)</f>
        <v>1</v>
      </c>
      <c r="B4" s="8" t="s">
        <v>85</v>
      </c>
      <c r="C4" s="8" t="s">
        <v>38</v>
      </c>
      <c r="D4" s="8" t="s">
        <v>39</v>
      </c>
      <c r="E4" s="9" t="s">
        <v>86</v>
      </c>
      <c r="F4" s="9" t="s">
        <v>41</v>
      </c>
      <c r="G4" s="8" t="s">
        <v>42</v>
      </c>
      <c r="H4" s="8"/>
      <c r="I4" s="8"/>
      <c r="J4" s="9"/>
      <c r="K4" s="8"/>
      <c r="L4" s="8" t="s">
        <v>87</v>
      </c>
      <c r="M4" s="8" t="s">
        <v>56</v>
      </c>
      <c r="N4" s="8"/>
      <c r="O4" s="8"/>
      <c r="P4" s="8"/>
      <c r="Q4" s="8"/>
      <c r="R4" s="9"/>
      <c r="S4" s="8"/>
      <c r="T4" s="9"/>
      <c r="U4" s="10" t="str">
        <f aca="true">IF(B4="","",IF(OR(P4&lt;&gt;"",I4="می‌باشد"),"بسته",IF(AND(L4&lt;&gt;"",W4=""),"خطای فرمت تاریخ ایجاد",IF(AND(H4&lt;&gt;"",AA4=""),"خطای فرمت مهلت",IF(AND(H4&lt;&gt;"",AD4&lt;&gt;"",TODAY()&gt;AD4),"تاخیر",IF(L4&lt;&gt;"","در حال انجام",""))))))</f>
        <v>در حال انجام</v>
      </c>
      <c r="V4" s="7" t="n">
        <f aca="true">IF(U4="تاخیر",TODAY()-AD4,IF(AND(U4="بسته",AH4&lt;&gt;"",AD4&lt;&gt;"",AH4&gt;AD4),AH4-AD4,0))</f>
        <v>0</v>
      </c>
      <c r="W4" s="7" t="n">
        <f aca="false">IF(L4="","",VALUE(LEFT(L4,FIND("/",L4)-1)))</f>
        <v>1405</v>
      </c>
      <c r="X4" s="7" t="n">
        <f aca="false">IF(L4="","",VALUE(MID(L4,FIND("/",L4)+1,FIND("/",L4,FIND("/",L4)+1)-FIND("/",L4)-1)))</f>
        <v>1</v>
      </c>
      <c r="Y4" s="7" t="n">
        <f aca="false">IF(L4="","",VALUE(MID(L4,FIND("/",L4,FIND("/",L4)+1)+1,LEN(L4)-FIND("/",L4,FIND("/",L4)+1))))</f>
        <v>19</v>
      </c>
      <c r="Z4" s="11" t="n">
        <f aca="false">IF(OR(L4="",W4=""),"",IFERROR(INDEX('لیست‌ها'!$Q$3:$Q$53,MATCH(W4,'لیست‌ها'!$P$3:$P$53,0))+IF(X4&lt;=6,(X4-1)*31+Y4,IF(X4&lt;=11,186+(X4-7)*30+Y4,336+Y4))-1,""))</f>
        <v>46120</v>
      </c>
      <c r="AA4" s="7" t="str">
        <f aca="false">IF(H4="","",VALUE(LEFT(H4,FIND("/",H4)-1)))</f>
        <v/>
      </c>
      <c r="AB4" s="7" t="str">
        <f aca="false">IF(H4="","",VALUE(MID(H4,FIND("/",H4)+1,FIND("/",H4,FIND("/",H4)+1)-FIND("/",H4)-1)))</f>
        <v/>
      </c>
      <c r="AC4" s="7" t="str">
        <f aca="false">IF(H4="","",VALUE(MID(H4,FIND("/",H4,FIND("/",H4)+1)+1,LEN(H4)-FIND("/",H4,FIND("/",H4)+1))))</f>
        <v/>
      </c>
      <c r="AD4" s="7" t="str">
        <f aca="false">IF(OR(H4="",AA4=""),"",IFERROR(INDEX('لیست‌ها'!$Q$3:$Q$53,MATCH(AA4,'لیست‌ها'!$P$3:$P$53,0))+IF(AB4&lt;=6,(AB4-1)*31+AC4,IF(AB4&lt;=11,186+(AB4-7)*30+AC4,336+AC4))-1,""))</f>
        <v/>
      </c>
      <c r="AE4" s="7" t="str">
        <f aca="false">IF(P4="","",VALUE(LEFT(P4,FIND("/",P4)-1)))</f>
        <v/>
      </c>
      <c r="AF4" s="7" t="str">
        <f aca="false">IF(P4="","",VALUE(MID(P4,FIND("/",P4)+1,FIND("/",P4,FIND("/",P4)+1)-FIND("/",P4)-1)))</f>
        <v/>
      </c>
      <c r="AG4" s="7" t="str">
        <f aca="false">IF(P4="","",VALUE(MID(P4,FIND("/",P4,FIND("/",P4)+1)+1,LEN(P4)-FIND("/",P4,FIND("/",P4)+1))))</f>
        <v/>
      </c>
      <c r="AH4" s="7" t="str">
        <f aca="false">IF(OR(P4="",AE4=""),"",IFERROR(INDEX('لیست‌ها'!$Q$3:$Q$53,MATCH(AE4,'لیست‌ها'!$P$3:$P$53,0))+IF(AF4&lt;=6,(AF4-1)*31+AG4,IF(AF4&lt;=11,186+(AF4-7)*30+AG4,336+AG4))-1,""))</f>
        <v/>
      </c>
      <c r="AI4" s="7" t="str">
        <f aca="false">IF(W4="","",W4&amp;"-"&amp;TEXT(X4,"00"))</f>
        <v>1405-01</v>
      </c>
      <c r="AJ4" s="7" t="n">
        <f aca="false">IF(W4="","",W4*12+X4)</f>
        <v>16861</v>
      </c>
      <c r="AK4" s="7" t="str">
        <f aca="false">IF(U4="تاخیر",V4+ROW()/100000,"")</f>
        <v/>
      </c>
    </row>
    <row r="5" customFormat="false" ht="15" hidden="false" customHeight="false" outlineLevel="0" collapsed="false">
      <c r="A5" s="7" t="n">
        <f aca="false">IF(B5="","",ROW()-3)</f>
        <v>2</v>
      </c>
      <c r="B5" s="8" t="s">
        <v>84</v>
      </c>
      <c r="C5" s="8" t="s">
        <v>38</v>
      </c>
      <c r="D5" s="8" t="s">
        <v>47</v>
      </c>
      <c r="E5" s="9" t="s">
        <v>60</v>
      </c>
      <c r="F5" s="9" t="s">
        <v>51</v>
      </c>
      <c r="G5" s="8" t="s">
        <v>52</v>
      </c>
      <c r="H5" s="8" t="s">
        <v>74</v>
      </c>
      <c r="I5" s="8" t="s">
        <v>54</v>
      </c>
      <c r="J5" s="9"/>
      <c r="K5" s="8"/>
      <c r="L5" s="8" t="s">
        <v>83</v>
      </c>
      <c r="M5" s="8" t="s">
        <v>56</v>
      </c>
      <c r="N5" s="8"/>
      <c r="O5" s="8"/>
      <c r="P5" s="8"/>
      <c r="Q5" s="8"/>
      <c r="R5" s="9"/>
      <c r="S5" s="8"/>
      <c r="T5" s="9"/>
      <c r="U5" s="10" t="str">
        <f aca="true">IF(B5="","",IF(OR(P5&lt;&gt;"",I5="می‌باشد"),"بسته",IF(AND(L5&lt;&gt;"",W5=""),"خطای فرمت تاریخ ایجاد",IF(AND(H5&lt;&gt;"",AA5=""),"خطای فرمت مهلت",IF(AND(H5&lt;&gt;"",AD5&lt;&gt;"",TODAY()&gt;AD5),"تاخیر",IF(L5&lt;&gt;"","در حال انجام",""))))))</f>
        <v>بسته</v>
      </c>
      <c r="V5" s="7" t="n">
        <f aca="true">IF(U5="تاخیر",TODAY()-AD5,IF(AND(U5="بسته",AH5&lt;&gt;"",AD5&lt;&gt;"",AH5&gt;AD5),AH5-AD5,0))</f>
        <v>0</v>
      </c>
      <c r="W5" s="7" t="n">
        <f aca="false">IF(L5="","",VALUE(LEFT(L5,FIND("/",L5)-1)))</f>
        <v>1405</v>
      </c>
      <c r="X5" s="7" t="n">
        <f aca="false">IF(L5="","",VALUE(MID(L5,FIND("/",L5)+1,FIND("/",L5,FIND("/",L5)+1)-FIND("/",L5)-1)))</f>
        <v>1</v>
      </c>
      <c r="Y5" s="7" t="n">
        <f aca="false">IF(L5="","",VALUE(MID(L5,FIND("/",L5,FIND("/",L5)+1)+1,LEN(L5)-FIND("/",L5,FIND("/",L5)+1))))</f>
        <v>22</v>
      </c>
      <c r="Z5" s="11" t="n">
        <f aca="false">IF(OR(L5="",W5=""),"",IFERROR(INDEX('لیست‌ها'!$Q$3:$Q$53,MATCH(W5,'لیست‌ها'!$P$3:$P$53,0))+IF(X5&lt;=6,(X5-1)*31+Y5,IF(X5&lt;=11,186+(X5-7)*30+Y5,336+Y5))-1,""))</f>
        <v>46123</v>
      </c>
      <c r="AA5" s="7" t="n">
        <f aca="false">IF(H5="","",VALUE(LEFT(H5,FIND("/",H5)-1)))</f>
        <v>1405</v>
      </c>
      <c r="AB5" s="7" t="n">
        <f aca="false">IF(H5="","",VALUE(MID(H5,FIND("/",H5)+1,FIND("/",H5,FIND("/",H5)+1)-FIND("/",H5)-1)))</f>
        <v>2</v>
      </c>
      <c r="AC5" s="7" t="n">
        <f aca="false">IF(H5="","",VALUE(MID(H5,FIND("/",H5,FIND("/",H5)+1)+1,LEN(H5)-FIND("/",H5,FIND("/",H5)+1))))</f>
        <v>31</v>
      </c>
      <c r="AD5" s="11" t="n">
        <f aca="false">IF(OR(H5="",AA5=""),"",IFERROR(INDEX('لیست‌ها'!$Q$3:$Q$53,MATCH(AA5,'لیست‌ها'!$P$3:$P$53,0))+IF(AB5&lt;=6,(AB5-1)*31+AC5,IF(AB5&lt;=11,186+(AB5-7)*30+AC5,336+AC5))-1,""))</f>
        <v>46163</v>
      </c>
      <c r="AE5" s="7" t="str">
        <f aca="false">IF(P5="","",VALUE(LEFT(P5,FIND("/",P5)-1)))</f>
        <v/>
      </c>
      <c r="AF5" s="7" t="str">
        <f aca="false">IF(P5="","",VALUE(MID(P5,FIND("/",P5)+1,FIND("/",P5,FIND("/",P5)+1)-FIND("/",P5)-1)))</f>
        <v/>
      </c>
      <c r="AG5" s="7" t="str">
        <f aca="false">IF(P5="","",VALUE(MID(P5,FIND("/",P5,FIND("/",P5)+1)+1,LEN(P5)-FIND("/",P5,FIND("/",P5)+1))))</f>
        <v/>
      </c>
      <c r="AH5" s="7" t="str">
        <f aca="false">IF(OR(P5="",AE5=""),"",IFERROR(INDEX('لیست‌ها'!$Q$3:$Q$53,MATCH(AE5,'لیست‌ها'!$P$3:$P$53,0))+IF(AF5&lt;=6,(AF5-1)*31+AG5,IF(AF5&lt;=11,186+(AF5-7)*30+AG5,336+AG5))-1,""))</f>
        <v/>
      </c>
      <c r="AI5" s="7" t="str">
        <f aca="false">IF(W5="","",W5&amp;"-"&amp;TEXT(X5,"00"))</f>
        <v>1405-01</v>
      </c>
      <c r="AJ5" s="7" t="n">
        <f aca="false">IF(W5="","",W5*12+X5)</f>
        <v>16861</v>
      </c>
      <c r="AK5" s="7" t="str">
        <f aca="false">IF(U5="تاخیر",V5+ROW()/100000,"")</f>
        <v/>
      </c>
    </row>
    <row r="6" customFormat="false" ht="15" hidden="false" customHeight="false" outlineLevel="0" collapsed="false">
      <c r="A6" s="7" t="n">
        <f aca="false">IF(B6="","",ROW()-3)</f>
        <v>3</v>
      </c>
      <c r="B6" s="8" t="s">
        <v>81</v>
      </c>
      <c r="C6" s="8" t="s">
        <v>38</v>
      </c>
      <c r="D6" s="8" t="s">
        <v>47</v>
      </c>
      <c r="E6" s="9" t="s">
        <v>82</v>
      </c>
      <c r="F6" s="9" t="s">
        <v>51</v>
      </c>
      <c r="G6" s="8" t="s">
        <v>52</v>
      </c>
      <c r="H6" s="8" t="s">
        <v>74</v>
      </c>
      <c r="I6" s="8" t="s">
        <v>54</v>
      </c>
      <c r="J6" s="9"/>
      <c r="K6" s="8"/>
      <c r="L6" s="8" t="s">
        <v>83</v>
      </c>
      <c r="M6" s="8" t="s">
        <v>56</v>
      </c>
      <c r="N6" s="8"/>
      <c r="O6" s="8"/>
      <c r="P6" s="8"/>
      <c r="Q6" s="8"/>
      <c r="R6" s="9"/>
      <c r="S6" s="8"/>
      <c r="T6" s="9"/>
      <c r="U6" s="10" t="str">
        <f aca="true">IF(B6="","",IF(OR(P6&lt;&gt;"",I6="می‌باشد"),"بسته",IF(AND(L6&lt;&gt;"",W6=""),"خطای فرمت تاریخ ایجاد",IF(AND(H6&lt;&gt;"",AA6=""),"خطای فرمت مهلت",IF(AND(H6&lt;&gt;"",AD6&lt;&gt;"",TODAY()&gt;AD6),"تاخیر",IF(L6&lt;&gt;"","در حال انجام",""))))))</f>
        <v>بسته</v>
      </c>
      <c r="V6" s="7" t="n">
        <f aca="true">IF(U6="تاخیر",TODAY()-AD6,IF(AND(U6="بسته",AH6&lt;&gt;"",AD6&lt;&gt;"",AH6&gt;AD6),AH6-AD6,0))</f>
        <v>0</v>
      </c>
      <c r="W6" s="7" t="n">
        <f aca="false">IF(L6="","",VALUE(LEFT(L6,FIND("/",L6)-1)))</f>
        <v>1405</v>
      </c>
      <c r="X6" s="7" t="n">
        <f aca="false">IF(L6="","",VALUE(MID(L6,FIND("/",L6)+1,FIND("/",L6,FIND("/",L6)+1)-FIND("/",L6)-1)))</f>
        <v>1</v>
      </c>
      <c r="Y6" s="7" t="n">
        <f aca="false">IF(L6="","",VALUE(MID(L6,FIND("/",L6,FIND("/",L6)+1)+1,LEN(L6)-FIND("/",L6,FIND("/",L6)+1))))</f>
        <v>22</v>
      </c>
      <c r="Z6" s="11" t="n">
        <f aca="false">IF(OR(L6="",W6=""),"",IFERROR(INDEX('لیست‌ها'!$Q$3:$Q$53,MATCH(W6,'لیست‌ها'!$P$3:$P$53,0))+IF(X6&lt;=6,(X6-1)*31+Y6,IF(X6&lt;=11,186+(X6-7)*30+Y6,336+Y6))-1,""))</f>
        <v>46123</v>
      </c>
      <c r="AA6" s="7" t="n">
        <f aca="false">IF(H6="","",VALUE(LEFT(H6,FIND("/",H6)-1)))</f>
        <v>1405</v>
      </c>
      <c r="AB6" s="7" t="n">
        <f aca="false">IF(H6="","",VALUE(MID(H6,FIND("/",H6)+1,FIND("/",H6,FIND("/",H6)+1)-FIND("/",H6)-1)))</f>
        <v>2</v>
      </c>
      <c r="AC6" s="7" t="n">
        <f aca="false">IF(H6="","",VALUE(MID(H6,FIND("/",H6,FIND("/",H6)+1)+1,LEN(H6)-FIND("/",H6,FIND("/",H6)+1))))</f>
        <v>31</v>
      </c>
      <c r="AD6" s="11" t="n">
        <f aca="false">IF(OR(H6="",AA6=""),"",IFERROR(INDEX('لیست‌ها'!$Q$3:$Q$53,MATCH(AA6,'لیست‌ها'!$P$3:$P$53,0))+IF(AB6&lt;=6,(AB6-1)*31+AC6,IF(AB6&lt;=11,186+(AB6-7)*30+AC6,336+AC6))-1,""))</f>
        <v>46163</v>
      </c>
      <c r="AE6" s="7" t="str">
        <f aca="false">IF(P6="","",VALUE(LEFT(P6,FIND("/",P6)-1)))</f>
        <v/>
      </c>
      <c r="AF6" s="7" t="str">
        <f aca="false">IF(P6="","",VALUE(MID(P6,FIND("/",P6)+1,FIND("/",P6,FIND("/",P6)+1)-FIND("/",P6)-1)))</f>
        <v/>
      </c>
      <c r="AG6" s="7" t="str">
        <f aca="false">IF(P6="","",VALUE(MID(P6,FIND("/",P6,FIND("/",P6)+1)+1,LEN(P6)-FIND("/",P6,FIND("/",P6)+1))))</f>
        <v/>
      </c>
      <c r="AH6" s="7" t="str">
        <f aca="false">IF(OR(P6="",AE6=""),"",IFERROR(INDEX('لیست‌ها'!$Q$3:$Q$53,MATCH(AE6,'لیست‌ها'!$P$3:$P$53,0))+IF(AF6&lt;=6,(AF6-1)*31+AG6,IF(AF6&lt;=11,186+(AF6-7)*30+AG6,336+AG6))-1,""))</f>
        <v/>
      </c>
      <c r="AI6" s="7" t="str">
        <f aca="false">IF(W6="","",W6&amp;"-"&amp;TEXT(X6,"00"))</f>
        <v>1405-01</v>
      </c>
      <c r="AJ6" s="7" t="n">
        <f aca="false">IF(W6="","",W6*12+X6)</f>
        <v>16861</v>
      </c>
      <c r="AK6" s="7" t="str">
        <f aca="false">IF(U6="تاخیر",V6+ROW()/100000,"")</f>
        <v/>
      </c>
    </row>
    <row r="7" customFormat="false" ht="15" hidden="false" customHeight="false" outlineLevel="0" collapsed="false">
      <c r="A7" s="7" t="n">
        <f aca="false">IF(B7="","",ROW()-3)</f>
        <v>4</v>
      </c>
      <c r="B7" s="8" t="s">
        <v>79</v>
      </c>
      <c r="C7" s="8" t="s">
        <v>38</v>
      </c>
      <c r="D7" s="8" t="s">
        <v>47</v>
      </c>
      <c r="E7" s="9" t="s">
        <v>80</v>
      </c>
      <c r="F7" s="9" t="s">
        <v>51</v>
      </c>
      <c r="G7" s="8" t="s">
        <v>52</v>
      </c>
      <c r="H7" s="8" t="s">
        <v>53</v>
      </c>
      <c r="I7" s="8" t="s">
        <v>54</v>
      </c>
      <c r="J7" s="9"/>
      <c r="K7" s="8"/>
      <c r="L7" s="8" t="s">
        <v>70</v>
      </c>
      <c r="M7" s="8" t="s">
        <v>56</v>
      </c>
      <c r="N7" s="8"/>
      <c r="O7" s="8"/>
      <c r="P7" s="8"/>
      <c r="Q7" s="8"/>
      <c r="R7" s="9"/>
      <c r="S7" s="8"/>
      <c r="T7" s="9"/>
      <c r="U7" s="10" t="str">
        <f aca="true">IF(B7="","",IF(OR(P7&lt;&gt;"",I7="می‌باشد"),"بسته",IF(AND(L7&lt;&gt;"",W7=""),"خطای فرمت تاریخ ایجاد",IF(AND(H7&lt;&gt;"",AA7=""),"خطای فرمت مهلت",IF(AND(H7&lt;&gt;"",AD7&lt;&gt;"",TODAY()&gt;AD7),"تاخیر",IF(L7&lt;&gt;"","در حال انجام",""))))))</f>
        <v>بسته</v>
      </c>
      <c r="V7" s="7" t="n">
        <f aca="true">IF(U7="تاخیر",TODAY()-AD7,IF(AND(U7="بسته",AH7&lt;&gt;"",AD7&lt;&gt;"",AH7&gt;AD7),AH7-AD7,0))</f>
        <v>0</v>
      </c>
      <c r="W7" s="7" t="n">
        <f aca="false">IF(L7="","",VALUE(LEFT(L7,FIND("/",L7)-1)))</f>
        <v>1405</v>
      </c>
      <c r="X7" s="7" t="n">
        <f aca="false">IF(L7="","",VALUE(MID(L7,FIND("/",L7)+1,FIND("/",L7,FIND("/",L7)+1)-FIND("/",L7)-1)))</f>
        <v>1</v>
      </c>
      <c r="Y7" s="7" t="n">
        <f aca="false">IF(L7="","",VALUE(MID(L7,FIND("/",L7,FIND("/",L7)+1)+1,LEN(L7)-FIND("/",L7,FIND("/",L7)+1))))</f>
        <v>24</v>
      </c>
      <c r="Z7" s="11" t="n">
        <f aca="false">IF(OR(L7="",W7=""),"",IFERROR(INDEX('لیست‌ها'!$Q$3:$Q$53,MATCH(W7,'لیست‌ها'!$P$3:$P$53,0))+IF(X7&lt;=6,(X7-1)*31+Y7,IF(X7&lt;=11,186+(X7-7)*30+Y7,336+Y7))-1,""))</f>
        <v>46125</v>
      </c>
      <c r="AA7" s="7" t="n">
        <f aca="false">IF(H7="","",VALUE(LEFT(H7,FIND("/",H7)-1)))</f>
        <v>1405</v>
      </c>
      <c r="AB7" s="7" t="n">
        <f aca="false">IF(H7="","",VALUE(MID(H7,FIND("/",H7)+1,FIND("/",H7,FIND("/",H7)+1)-FIND("/",H7)-1)))</f>
        <v>2</v>
      </c>
      <c r="AC7" s="7" t="n">
        <f aca="false">IF(H7="","",VALUE(MID(H7,FIND("/",H7,FIND("/",H7)+1)+1,LEN(H7)-FIND("/",H7,FIND("/",H7)+1))))</f>
        <v>20</v>
      </c>
      <c r="AD7" s="11" t="n">
        <f aca="false">IF(OR(H7="",AA7=""),"",IFERROR(INDEX('لیست‌ها'!$Q$3:$Q$53,MATCH(AA7,'لیست‌ها'!$P$3:$P$53,0))+IF(AB7&lt;=6,(AB7-1)*31+AC7,IF(AB7&lt;=11,186+(AB7-7)*30+AC7,336+AC7))-1,""))</f>
        <v>46152</v>
      </c>
      <c r="AE7" s="7" t="str">
        <f aca="false">IF(P7="","",VALUE(LEFT(P7,FIND("/",P7)-1)))</f>
        <v/>
      </c>
      <c r="AF7" s="7" t="str">
        <f aca="false">IF(P7="","",VALUE(MID(P7,FIND("/",P7)+1,FIND("/",P7,FIND("/",P7)+1)-FIND("/",P7)-1)))</f>
        <v/>
      </c>
      <c r="AG7" s="7" t="str">
        <f aca="false">IF(P7="","",VALUE(MID(P7,FIND("/",P7,FIND("/",P7)+1)+1,LEN(P7)-FIND("/",P7,FIND("/",P7)+1))))</f>
        <v/>
      </c>
      <c r="AH7" s="7" t="str">
        <f aca="false">IF(OR(P7="",AE7=""),"",IFERROR(INDEX('لیست‌ها'!$Q$3:$Q$53,MATCH(AE7,'لیست‌ها'!$P$3:$P$53,0))+IF(AF7&lt;=6,(AF7-1)*31+AG7,IF(AF7&lt;=11,186+(AF7-7)*30+AG7,336+AG7))-1,""))</f>
        <v/>
      </c>
      <c r="AI7" s="7" t="str">
        <f aca="false">IF(W7="","",W7&amp;"-"&amp;TEXT(X7,"00"))</f>
        <v>1405-01</v>
      </c>
      <c r="AJ7" s="7" t="n">
        <f aca="false">IF(W7="","",W7*12+X7)</f>
        <v>16861</v>
      </c>
      <c r="AK7" s="7" t="str">
        <f aca="false">IF(U7="تاخیر",V7+ROW()/100000,"")</f>
        <v/>
      </c>
    </row>
    <row r="8" customFormat="false" ht="15" hidden="false" customHeight="false" outlineLevel="0" collapsed="false">
      <c r="A8" s="7" t="n">
        <f aca="false">IF(B8="","",ROW()-3)</f>
        <v>5</v>
      </c>
      <c r="B8" s="8" t="s">
        <v>77</v>
      </c>
      <c r="C8" s="8" t="s">
        <v>38</v>
      </c>
      <c r="D8" s="8" t="s">
        <v>47</v>
      </c>
      <c r="E8" s="9" t="s">
        <v>78</v>
      </c>
      <c r="F8" s="9" t="s">
        <v>51</v>
      </c>
      <c r="G8" s="8" t="s">
        <v>52</v>
      </c>
      <c r="H8" s="8" t="s">
        <v>69</v>
      </c>
      <c r="I8" s="8" t="s">
        <v>54</v>
      </c>
      <c r="J8" s="9"/>
      <c r="K8" s="8"/>
      <c r="L8" s="8" t="s">
        <v>70</v>
      </c>
      <c r="M8" s="8" t="s">
        <v>56</v>
      </c>
      <c r="N8" s="8"/>
      <c r="O8" s="8"/>
      <c r="P8" s="8"/>
      <c r="Q8" s="8"/>
      <c r="R8" s="9"/>
      <c r="S8" s="8"/>
      <c r="T8" s="9"/>
      <c r="U8" s="10" t="str">
        <f aca="true">IF(B8="","",IF(OR(P8&lt;&gt;"",I8="می‌باشد"),"بسته",IF(AND(L8&lt;&gt;"",W8=""),"خطای فرمت تاریخ ایجاد",IF(AND(H8&lt;&gt;"",AA8=""),"خطای فرمت مهلت",IF(AND(H8&lt;&gt;"",AD8&lt;&gt;"",TODAY()&gt;AD8),"تاخیر",IF(L8&lt;&gt;"","در حال انجام",""))))))</f>
        <v>بسته</v>
      </c>
      <c r="V8" s="7" t="n">
        <f aca="true">IF(U8="تاخیر",TODAY()-AD8,IF(AND(U8="بسته",AH8&lt;&gt;"",AD8&lt;&gt;"",AH8&gt;AD8),AH8-AD8,0))</f>
        <v>0</v>
      </c>
      <c r="W8" s="7" t="n">
        <f aca="false">IF(L8="","",VALUE(LEFT(L8,FIND("/",L8)-1)))</f>
        <v>1405</v>
      </c>
      <c r="X8" s="7" t="n">
        <f aca="false">IF(L8="","",VALUE(MID(L8,FIND("/",L8)+1,FIND("/",L8,FIND("/",L8)+1)-FIND("/",L8)-1)))</f>
        <v>1</v>
      </c>
      <c r="Y8" s="7" t="n">
        <f aca="false">IF(L8="","",VALUE(MID(L8,FIND("/",L8,FIND("/",L8)+1)+1,LEN(L8)-FIND("/",L8,FIND("/",L8)+1))))</f>
        <v>24</v>
      </c>
      <c r="Z8" s="11" t="n">
        <f aca="false">IF(OR(L8="",W8=""),"",IFERROR(INDEX('لیست‌ها'!$Q$3:$Q$53,MATCH(W8,'لیست‌ها'!$P$3:$P$53,0))+IF(X8&lt;=6,(X8-1)*31+Y8,IF(X8&lt;=11,186+(X8-7)*30+Y8,336+Y8))-1,""))</f>
        <v>46125</v>
      </c>
      <c r="AA8" s="7" t="n">
        <f aca="false">IF(H8="","",VALUE(LEFT(H8,FIND("/",H8)-1)))</f>
        <v>1405</v>
      </c>
      <c r="AB8" s="7" t="n">
        <f aca="false">IF(H8="","",VALUE(MID(H8,FIND("/",H8)+1,FIND("/",H8,FIND("/",H8)+1)-FIND("/",H8)-1)))</f>
        <v>2</v>
      </c>
      <c r="AC8" s="7" t="n">
        <f aca="false">IF(H8="","",VALUE(MID(H8,FIND("/",H8,FIND("/",H8)+1)+1,LEN(H8)-FIND("/",H8,FIND("/",H8)+1))))</f>
        <v>15</v>
      </c>
      <c r="AD8" s="11" t="n">
        <f aca="false">IF(OR(H8="",AA8=""),"",IFERROR(INDEX('لیست‌ها'!$Q$3:$Q$53,MATCH(AA8,'لیست‌ها'!$P$3:$P$53,0))+IF(AB8&lt;=6,(AB8-1)*31+AC8,IF(AB8&lt;=11,186+(AB8-7)*30+AC8,336+AC8))-1,""))</f>
        <v>46147</v>
      </c>
      <c r="AE8" s="7" t="str">
        <f aca="false">IF(P8="","",VALUE(LEFT(P8,FIND("/",P8)-1)))</f>
        <v/>
      </c>
      <c r="AF8" s="7" t="str">
        <f aca="false">IF(P8="","",VALUE(MID(P8,FIND("/",P8)+1,FIND("/",P8,FIND("/",P8)+1)-FIND("/",P8)-1)))</f>
        <v/>
      </c>
      <c r="AG8" s="7" t="str">
        <f aca="false">IF(P8="","",VALUE(MID(P8,FIND("/",P8,FIND("/",P8)+1)+1,LEN(P8)-FIND("/",P8,FIND("/",P8)+1))))</f>
        <v/>
      </c>
      <c r="AH8" s="7" t="str">
        <f aca="false">IF(OR(P8="",AE8=""),"",IFERROR(INDEX('لیست‌ها'!$Q$3:$Q$53,MATCH(AE8,'لیست‌ها'!$P$3:$P$53,0))+IF(AF8&lt;=6,(AF8-1)*31+AG8,IF(AF8&lt;=11,186+(AF8-7)*30+AG8,336+AG8))-1,""))</f>
        <v/>
      </c>
      <c r="AI8" s="7" t="str">
        <f aca="false">IF(W8="","",W8&amp;"-"&amp;TEXT(X8,"00"))</f>
        <v>1405-01</v>
      </c>
      <c r="AJ8" s="7" t="n">
        <f aca="false">IF(W8="","",W8*12+X8)</f>
        <v>16861</v>
      </c>
      <c r="AK8" s="7" t="str">
        <f aca="false">IF(U8="تاخیر",V8+ROW()/100000,"")</f>
        <v/>
      </c>
    </row>
    <row r="9" customFormat="false" ht="15" hidden="false" customHeight="false" outlineLevel="0" collapsed="false">
      <c r="A9" s="7" t="n">
        <f aca="false">IF(B9="","",ROW()-3)</f>
        <v>6</v>
      </c>
      <c r="B9" s="8" t="s">
        <v>75</v>
      </c>
      <c r="C9" s="8" t="s">
        <v>38</v>
      </c>
      <c r="D9" s="8" t="s">
        <v>47</v>
      </c>
      <c r="E9" s="9" t="s">
        <v>76</v>
      </c>
      <c r="F9" s="9" t="s">
        <v>51</v>
      </c>
      <c r="G9" s="8" t="s">
        <v>52</v>
      </c>
      <c r="H9" s="8" t="s">
        <v>74</v>
      </c>
      <c r="I9" s="8" t="s">
        <v>54</v>
      </c>
      <c r="J9" s="9"/>
      <c r="K9" s="8"/>
      <c r="L9" s="8" t="s">
        <v>70</v>
      </c>
      <c r="M9" s="8" t="s">
        <v>56</v>
      </c>
      <c r="N9" s="8"/>
      <c r="O9" s="8"/>
      <c r="P9" s="8"/>
      <c r="Q9" s="8"/>
      <c r="R9" s="9"/>
      <c r="S9" s="8"/>
      <c r="T9" s="9"/>
      <c r="U9" s="10" t="str">
        <f aca="true">IF(B9="","",IF(OR(P9&lt;&gt;"",I9="می‌باشد"),"بسته",IF(AND(L9&lt;&gt;"",W9=""),"خطای فرمت تاریخ ایجاد",IF(AND(H9&lt;&gt;"",AA9=""),"خطای فرمت مهلت",IF(AND(H9&lt;&gt;"",AD9&lt;&gt;"",TODAY()&gt;AD9),"تاخیر",IF(L9&lt;&gt;"","در حال انجام",""))))))</f>
        <v>بسته</v>
      </c>
      <c r="V9" s="7" t="n">
        <f aca="true">IF(U9="تاخیر",TODAY()-AD9,IF(AND(U9="بسته",AH9&lt;&gt;"",AD9&lt;&gt;"",AH9&gt;AD9),AH9-AD9,0))</f>
        <v>0</v>
      </c>
      <c r="W9" s="7" t="n">
        <f aca="false">IF(L9="","",VALUE(LEFT(L9,FIND("/",L9)-1)))</f>
        <v>1405</v>
      </c>
      <c r="X9" s="7" t="n">
        <f aca="false">IF(L9="","",VALUE(MID(L9,FIND("/",L9)+1,FIND("/",L9,FIND("/",L9)+1)-FIND("/",L9)-1)))</f>
        <v>1</v>
      </c>
      <c r="Y9" s="7" t="n">
        <f aca="false">IF(L9="","",VALUE(MID(L9,FIND("/",L9,FIND("/",L9)+1)+1,LEN(L9)-FIND("/",L9,FIND("/",L9)+1))))</f>
        <v>24</v>
      </c>
      <c r="Z9" s="11" t="n">
        <f aca="false">IF(OR(L9="",W9=""),"",IFERROR(INDEX('لیست‌ها'!$Q$3:$Q$53,MATCH(W9,'لیست‌ها'!$P$3:$P$53,0))+IF(X9&lt;=6,(X9-1)*31+Y9,IF(X9&lt;=11,186+(X9-7)*30+Y9,336+Y9))-1,""))</f>
        <v>46125</v>
      </c>
      <c r="AA9" s="7" t="n">
        <f aca="false">IF(H9="","",VALUE(LEFT(H9,FIND("/",H9)-1)))</f>
        <v>1405</v>
      </c>
      <c r="AB9" s="7" t="n">
        <f aca="false">IF(H9="","",VALUE(MID(H9,FIND("/",H9)+1,FIND("/",H9,FIND("/",H9)+1)-FIND("/",H9)-1)))</f>
        <v>2</v>
      </c>
      <c r="AC9" s="7" t="n">
        <f aca="false">IF(H9="","",VALUE(MID(H9,FIND("/",H9,FIND("/",H9)+1)+1,LEN(H9)-FIND("/",H9,FIND("/",H9)+1))))</f>
        <v>31</v>
      </c>
      <c r="AD9" s="11" t="n">
        <f aca="false">IF(OR(H9="",AA9=""),"",IFERROR(INDEX('لیست‌ها'!$Q$3:$Q$53,MATCH(AA9,'لیست‌ها'!$P$3:$P$53,0))+IF(AB9&lt;=6,(AB9-1)*31+AC9,IF(AB9&lt;=11,186+(AB9-7)*30+AC9,336+AC9))-1,""))</f>
        <v>46163</v>
      </c>
      <c r="AE9" s="7" t="str">
        <f aca="false">IF(P9="","",VALUE(LEFT(P9,FIND("/",P9)-1)))</f>
        <v/>
      </c>
      <c r="AF9" s="7" t="str">
        <f aca="false">IF(P9="","",VALUE(MID(P9,FIND("/",P9)+1,FIND("/",P9,FIND("/",P9)+1)-FIND("/",P9)-1)))</f>
        <v/>
      </c>
      <c r="AG9" s="7" t="str">
        <f aca="false">IF(P9="","",VALUE(MID(P9,FIND("/",P9,FIND("/",P9)+1)+1,LEN(P9)-FIND("/",P9,FIND("/",P9)+1))))</f>
        <v/>
      </c>
      <c r="AH9" s="7" t="str">
        <f aca="false">IF(OR(P9="",AE9=""),"",IFERROR(INDEX('لیست‌ها'!$Q$3:$Q$53,MATCH(AE9,'لیست‌ها'!$P$3:$P$53,0))+IF(AF9&lt;=6,(AF9-1)*31+AG9,IF(AF9&lt;=11,186+(AF9-7)*30+AG9,336+AG9))-1,""))</f>
        <v/>
      </c>
      <c r="AI9" s="7" t="str">
        <f aca="false">IF(W9="","",W9&amp;"-"&amp;TEXT(X9,"00"))</f>
        <v>1405-01</v>
      </c>
      <c r="AJ9" s="7" t="n">
        <f aca="false">IF(W9="","",W9*12+X9)</f>
        <v>16861</v>
      </c>
      <c r="AK9" s="7" t="str">
        <f aca="false">IF(U9="تاخیر",V9+ROW()/100000,"")</f>
        <v/>
      </c>
    </row>
    <row r="10" customFormat="false" ht="15" hidden="false" customHeight="false" outlineLevel="0" collapsed="false">
      <c r="A10" s="7" t="n">
        <f aca="false">IF(B10="","",ROW()-3)</f>
        <v>7</v>
      </c>
      <c r="B10" s="8" t="s">
        <v>72</v>
      </c>
      <c r="C10" s="8" t="s">
        <v>38</v>
      </c>
      <c r="D10" s="8" t="s">
        <v>47</v>
      </c>
      <c r="E10" s="9" t="s">
        <v>73</v>
      </c>
      <c r="F10" s="9" t="s">
        <v>51</v>
      </c>
      <c r="G10" s="8" t="s">
        <v>52</v>
      </c>
      <c r="H10" s="8" t="s">
        <v>74</v>
      </c>
      <c r="I10" s="8" t="s">
        <v>54</v>
      </c>
      <c r="J10" s="9"/>
      <c r="K10" s="8"/>
      <c r="L10" s="8" t="s">
        <v>70</v>
      </c>
      <c r="M10" s="8" t="s">
        <v>56</v>
      </c>
      <c r="N10" s="8"/>
      <c r="O10" s="8"/>
      <c r="P10" s="8"/>
      <c r="Q10" s="8"/>
      <c r="R10" s="9"/>
      <c r="S10" s="8"/>
      <c r="T10" s="9"/>
      <c r="U10" s="10" t="str">
        <f aca="true">IF(B10="","",IF(OR(P10&lt;&gt;"",I10="می‌باشد"),"بسته",IF(AND(L10&lt;&gt;"",W10=""),"خطای فرمت تاریخ ایجاد",IF(AND(H10&lt;&gt;"",AA10=""),"خطای فرمت مهلت",IF(AND(H10&lt;&gt;"",AD10&lt;&gt;"",TODAY()&gt;AD10),"تاخیر",IF(L10&lt;&gt;"","در حال انجام",""))))))</f>
        <v>بسته</v>
      </c>
      <c r="V10" s="7" t="n">
        <f aca="true">IF(U10="تاخیر",TODAY()-AD10,IF(AND(U10="بسته",AH10&lt;&gt;"",AD10&lt;&gt;"",AH10&gt;AD10),AH10-AD10,0))</f>
        <v>0</v>
      </c>
      <c r="W10" s="7" t="n">
        <f aca="false">IF(L10="","",VALUE(LEFT(L10,FIND("/",L10)-1)))</f>
        <v>1405</v>
      </c>
      <c r="X10" s="7" t="n">
        <f aca="false">IF(L10="","",VALUE(MID(L10,FIND("/",L10)+1,FIND("/",L10,FIND("/",L10)+1)-FIND("/",L10)-1)))</f>
        <v>1</v>
      </c>
      <c r="Y10" s="7" t="n">
        <f aca="false">IF(L10="","",VALUE(MID(L10,FIND("/",L10,FIND("/",L10)+1)+1,LEN(L10)-FIND("/",L10,FIND("/",L10)+1))))</f>
        <v>24</v>
      </c>
      <c r="Z10" s="11" t="n">
        <f aca="false">IF(OR(L10="",W10=""),"",IFERROR(INDEX('لیست‌ها'!$Q$3:$Q$53,MATCH(W10,'لیست‌ها'!$P$3:$P$53,0))+IF(X10&lt;=6,(X10-1)*31+Y10,IF(X10&lt;=11,186+(X10-7)*30+Y10,336+Y10))-1,""))</f>
        <v>46125</v>
      </c>
      <c r="AA10" s="7" t="n">
        <f aca="false">IF(H10="","",VALUE(LEFT(H10,FIND("/",H10)-1)))</f>
        <v>1405</v>
      </c>
      <c r="AB10" s="7" t="n">
        <f aca="false">IF(H10="","",VALUE(MID(H10,FIND("/",H10)+1,FIND("/",H10,FIND("/",H10)+1)-FIND("/",H10)-1)))</f>
        <v>2</v>
      </c>
      <c r="AC10" s="7" t="n">
        <f aca="false">IF(H10="","",VALUE(MID(H10,FIND("/",H10,FIND("/",H10)+1)+1,LEN(H10)-FIND("/",H10,FIND("/",H10)+1))))</f>
        <v>31</v>
      </c>
      <c r="AD10" s="11" t="n">
        <f aca="false">IF(OR(H10="",AA10=""),"",IFERROR(INDEX('لیست‌ها'!$Q$3:$Q$53,MATCH(AA10,'لیست‌ها'!$P$3:$P$53,0))+IF(AB10&lt;=6,(AB10-1)*31+AC10,IF(AB10&lt;=11,186+(AB10-7)*30+AC10,336+AC10))-1,""))</f>
        <v>46163</v>
      </c>
      <c r="AE10" s="7" t="str">
        <f aca="false">IF(P10="","",VALUE(LEFT(P10,FIND("/",P10)-1)))</f>
        <v/>
      </c>
      <c r="AF10" s="7" t="str">
        <f aca="false">IF(P10="","",VALUE(MID(P10,FIND("/",P10)+1,FIND("/",P10,FIND("/",P10)+1)-FIND("/",P10)-1)))</f>
        <v/>
      </c>
      <c r="AG10" s="7" t="str">
        <f aca="false">IF(P10="","",VALUE(MID(P10,FIND("/",P10,FIND("/",P10)+1)+1,LEN(P10)-FIND("/",P10,FIND("/",P10)+1))))</f>
        <v/>
      </c>
      <c r="AH10" s="7" t="str">
        <f aca="false">IF(OR(P10="",AE10=""),"",IFERROR(INDEX('لیست‌ها'!$Q$3:$Q$53,MATCH(AE10,'لیست‌ها'!$P$3:$P$53,0))+IF(AF10&lt;=6,(AF10-1)*31+AG10,IF(AF10&lt;=11,186+(AF10-7)*30+AG10,336+AG10))-1,""))</f>
        <v/>
      </c>
      <c r="AI10" s="7" t="str">
        <f aca="false">IF(W10="","",W10&amp;"-"&amp;TEXT(X10,"00"))</f>
        <v>1405-01</v>
      </c>
      <c r="AJ10" s="7" t="n">
        <f aca="false">IF(W10="","",W10*12+X10)</f>
        <v>16861</v>
      </c>
      <c r="AK10" s="7" t="str">
        <f aca="false">IF(U10="تاخیر",V10+ROW()/100000,"")</f>
        <v/>
      </c>
    </row>
    <row r="11" customFormat="false" ht="15" hidden="false" customHeight="false" outlineLevel="0" collapsed="false">
      <c r="A11" s="7" t="n">
        <f aca="false">IF(B11="","",ROW()-3)</f>
        <v>8</v>
      </c>
      <c r="B11" s="8" t="s">
        <v>68</v>
      </c>
      <c r="C11" s="8" t="s">
        <v>38</v>
      </c>
      <c r="D11" s="8" t="s">
        <v>47</v>
      </c>
      <c r="E11" s="9" t="s">
        <v>50</v>
      </c>
      <c r="F11" s="9" t="s">
        <v>51</v>
      </c>
      <c r="G11" s="8" t="s">
        <v>52</v>
      </c>
      <c r="H11" s="8" t="s">
        <v>69</v>
      </c>
      <c r="I11" s="8"/>
      <c r="J11" s="9"/>
      <c r="K11" s="8"/>
      <c r="L11" s="8" t="s">
        <v>70</v>
      </c>
      <c r="M11" s="8" t="s">
        <v>71</v>
      </c>
      <c r="N11" s="8"/>
      <c r="O11" s="8"/>
      <c r="P11" s="8"/>
      <c r="Q11" s="8"/>
      <c r="R11" s="9"/>
      <c r="S11" s="8"/>
      <c r="T11" s="9"/>
      <c r="U11" s="10" t="str">
        <f aca="true">IF(B11="","",IF(OR(P11&lt;&gt;"",I11="می‌باشد"),"بسته",IF(AND(L11&lt;&gt;"",W11=""),"خطای فرمت تاریخ ایجاد",IF(AND(H11&lt;&gt;"",AA11=""),"خطای فرمت مهلت",IF(AND(H11&lt;&gt;"",AD11&lt;&gt;"",TODAY()&gt;AD11),"تاخیر",IF(L11&lt;&gt;"","در حال انجام",""))))))</f>
        <v>تاخیر</v>
      </c>
      <c r="V11" s="7" t="n">
        <f aca="true">IF(U11="تاخیر",TODAY()-AD11,IF(AND(U11="بسته",AH11&lt;&gt;"",AD11&lt;&gt;"",AH11&gt;AD11),AH11-AD11,0))</f>
        <v>148</v>
      </c>
      <c r="W11" s="7" t="n">
        <f aca="false">IF(L11="","",VALUE(LEFT(L11,FIND("/",L11)-1)))</f>
        <v>1405</v>
      </c>
      <c r="X11" s="7" t="n">
        <f aca="false">IF(L11="","",VALUE(MID(L11,FIND("/",L11)+1,FIND("/",L11,FIND("/",L11)+1)-FIND("/",L11)-1)))</f>
        <v>1</v>
      </c>
      <c r="Y11" s="7" t="n">
        <f aca="false">IF(L11="","",VALUE(MID(L11,FIND("/",L11,FIND("/",L11)+1)+1,LEN(L11)-FIND("/",L11,FIND("/",L11)+1))))</f>
        <v>24</v>
      </c>
      <c r="Z11" s="11" t="n">
        <f aca="false">IF(OR(L11="",W11=""),"",IFERROR(INDEX('لیست‌ها'!$Q$3:$Q$53,MATCH(W11,'لیست‌ها'!$P$3:$P$53,0))+IF(X11&lt;=6,(X11-1)*31+Y11,IF(X11&lt;=11,186+(X11-7)*30+Y11,336+Y11))-1,""))</f>
        <v>46125</v>
      </c>
      <c r="AA11" s="7" t="n">
        <f aca="false">IF(H11="","",VALUE(LEFT(H11,FIND("/",H11)-1)))</f>
        <v>1405</v>
      </c>
      <c r="AB11" s="7" t="n">
        <f aca="false">IF(H11="","",VALUE(MID(H11,FIND("/",H11)+1,FIND("/",H11,FIND("/",H11)+1)-FIND("/",H11)-1)))</f>
        <v>2</v>
      </c>
      <c r="AC11" s="7" t="n">
        <f aca="false">IF(H11="","",VALUE(MID(H11,FIND("/",H11,FIND("/",H11)+1)+1,LEN(H11)-FIND("/",H11,FIND("/",H11)+1))))</f>
        <v>15</v>
      </c>
      <c r="AD11" s="11" t="n">
        <f aca="false">IF(OR(H11="",AA11=""),"",IFERROR(INDEX('لیست‌ها'!$Q$3:$Q$53,MATCH(AA11,'لیست‌ها'!$P$3:$P$53,0))+IF(AB11&lt;=6,(AB11-1)*31+AC11,IF(AB11&lt;=11,186+(AB11-7)*30+AC11,336+AC11))-1,""))</f>
        <v>46147</v>
      </c>
      <c r="AE11" s="7" t="str">
        <f aca="false">IF(P11="","",VALUE(LEFT(P11,FIND("/",P11)-1)))</f>
        <v/>
      </c>
      <c r="AF11" s="7" t="str">
        <f aca="false">IF(P11="","",VALUE(MID(P11,FIND("/",P11)+1,FIND("/",P11,FIND("/",P11)+1)-FIND("/",P11)-1)))</f>
        <v/>
      </c>
      <c r="AG11" s="7" t="str">
        <f aca="false">IF(P11="","",VALUE(MID(P11,FIND("/",P11,FIND("/",P11)+1)+1,LEN(P11)-FIND("/",P11,FIND("/",P11)+1))))</f>
        <v/>
      </c>
      <c r="AH11" s="7" t="str">
        <f aca="false">IF(OR(P11="",AE11=""),"",IFERROR(INDEX('لیست‌ها'!$Q$3:$Q$53,MATCH(AE11,'لیست‌ها'!$P$3:$P$53,0))+IF(AF11&lt;=6,(AF11-1)*31+AG11,IF(AF11&lt;=11,186+(AF11-7)*30+AG11,336+AG11))-1,""))</f>
        <v/>
      </c>
      <c r="AI11" s="7" t="str">
        <f aca="false">IF(W11="","",W11&amp;"-"&amp;TEXT(X11,"00"))</f>
        <v>1405-01</v>
      </c>
      <c r="AJ11" s="7" t="n">
        <f aca="false">IF(W11="","",W11*12+X11)</f>
        <v>16861</v>
      </c>
      <c r="AK11" s="7" t="n">
        <f aca="false">IF(U11="تاخیر",V11+ROW()/100000,"")</f>
        <v>148.00011</v>
      </c>
    </row>
    <row r="12" customFormat="false" ht="15" hidden="false" customHeight="false" outlineLevel="0" collapsed="false">
      <c r="A12" s="7" t="n">
        <f aca="false">IF(B12="","",ROW()-3)</f>
        <v>9</v>
      </c>
      <c r="B12" s="8" t="s">
        <v>65</v>
      </c>
      <c r="C12" s="8" t="s">
        <v>38</v>
      </c>
      <c r="D12" s="8" t="s">
        <v>47</v>
      </c>
      <c r="E12" s="9" t="s">
        <v>66</v>
      </c>
      <c r="F12" s="9" t="s">
        <v>51</v>
      </c>
      <c r="G12" s="8" t="s">
        <v>52</v>
      </c>
      <c r="H12" s="8" t="s">
        <v>53</v>
      </c>
      <c r="I12" s="8" t="s">
        <v>54</v>
      </c>
      <c r="J12" s="9"/>
      <c r="K12" s="8"/>
      <c r="L12" s="8" t="s">
        <v>67</v>
      </c>
      <c r="M12" s="8" t="s">
        <v>56</v>
      </c>
      <c r="N12" s="8"/>
      <c r="O12" s="8"/>
      <c r="P12" s="8"/>
      <c r="Q12" s="8"/>
      <c r="R12" s="9"/>
      <c r="S12" s="8"/>
      <c r="T12" s="9"/>
      <c r="U12" s="10" t="str">
        <f aca="true">IF(B12="","",IF(OR(P12&lt;&gt;"",I12="می‌باشد"),"بسته",IF(AND(L12&lt;&gt;"",W12=""),"خطای فرمت تاریخ ایجاد",IF(AND(H12&lt;&gt;"",AA12=""),"خطای فرمت مهلت",IF(AND(H12&lt;&gt;"",AD12&lt;&gt;"",TODAY()&gt;AD12),"تاخیر",IF(L12&lt;&gt;"","در حال انجام",""))))))</f>
        <v>بسته</v>
      </c>
      <c r="V12" s="7" t="n">
        <f aca="true">IF(U12="تاخیر",TODAY()-AD12,IF(AND(U12="بسته",AH12&lt;&gt;"",AD12&lt;&gt;"",AH12&gt;AD12),AH12-AD12,0))</f>
        <v>0</v>
      </c>
      <c r="W12" s="7" t="n">
        <f aca="false">IF(L12="","",VALUE(LEFT(L12,FIND("/",L12)-1)))</f>
        <v>1405</v>
      </c>
      <c r="X12" s="7" t="n">
        <f aca="false">IF(L12="","",VALUE(MID(L12,FIND("/",L12)+1,FIND("/",L12,FIND("/",L12)+1)-FIND("/",L12)-1)))</f>
        <v>1</v>
      </c>
      <c r="Y12" s="7" t="n">
        <f aca="false">IF(L12="","",VALUE(MID(L12,FIND("/",L12,FIND("/",L12)+1)+1,LEN(L12)-FIND("/",L12,FIND("/",L12)+1))))</f>
        <v>29</v>
      </c>
      <c r="Z12" s="11" t="n">
        <f aca="false">IF(OR(L12="",W12=""),"",IFERROR(INDEX('لیست‌ها'!$Q$3:$Q$53,MATCH(W12,'لیست‌ها'!$P$3:$P$53,0))+IF(X12&lt;=6,(X12-1)*31+Y12,IF(X12&lt;=11,186+(X12-7)*30+Y12,336+Y12))-1,""))</f>
        <v>46130</v>
      </c>
      <c r="AA12" s="7" t="n">
        <f aca="false">IF(H12="","",VALUE(LEFT(H12,FIND("/",H12)-1)))</f>
        <v>1405</v>
      </c>
      <c r="AB12" s="7" t="n">
        <f aca="false">IF(H12="","",VALUE(MID(H12,FIND("/",H12)+1,FIND("/",H12,FIND("/",H12)+1)-FIND("/",H12)-1)))</f>
        <v>2</v>
      </c>
      <c r="AC12" s="7" t="n">
        <f aca="false">IF(H12="","",VALUE(MID(H12,FIND("/",H12,FIND("/",H12)+1)+1,LEN(H12)-FIND("/",H12,FIND("/",H12)+1))))</f>
        <v>20</v>
      </c>
      <c r="AD12" s="11" t="n">
        <f aca="false">IF(OR(H12="",AA12=""),"",IFERROR(INDEX('لیست‌ها'!$Q$3:$Q$53,MATCH(AA12,'لیست‌ها'!$P$3:$P$53,0))+IF(AB12&lt;=6,(AB12-1)*31+AC12,IF(AB12&lt;=11,186+(AB12-7)*30+AC12,336+AC12))-1,""))</f>
        <v>46152</v>
      </c>
      <c r="AE12" s="7" t="str">
        <f aca="false">IF(P12="","",VALUE(LEFT(P12,FIND("/",P12)-1)))</f>
        <v/>
      </c>
      <c r="AF12" s="7" t="str">
        <f aca="false">IF(P12="","",VALUE(MID(P12,FIND("/",P12)+1,FIND("/",P12,FIND("/",P12)+1)-FIND("/",P12)-1)))</f>
        <v/>
      </c>
      <c r="AG12" s="7" t="str">
        <f aca="false">IF(P12="","",VALUE(MID(P12,FIND("/",P12,FIND("/",P12)+1)+1,LEN(P12)-FIND("/",P12,FIND("/",P12)+1))))</f>
        <v/>
      </c>
      <c r="AH12" s="7" t="str">
        <f aca="false">IF(OR(P12="",AE12=""),"",IFERROR(INDEX('لیست‌ها'!$Q$3:$Q$53,MATCH(AE12,'لیست‌ها'!$P$3:$P$53,0))+IF(AF12&lt;=6,(AF12-1)*31+AG12,IF(AF12&lt;=11,186+(AF12-7)*30+AG12,336+AG12))-1,""))</f>
        <v/>
      </c>
      <c r="AI12" s="7" t="str">
        <f aca="false">IF(W12="","",W12&amp;"-"&amp;TEXT(X12,"00"))</f>
        <v>1405-01</v>
      </c>
      <c r="AJ12" s="7" t="n">
        <f aca="false">IF(W12="","",W12*12+X12)</f>
        <v>16861</v>
      </c>
      <c r="AK12" s="7" t="str">
        <f aca="false">IF(U12="تاخیر",V12+ROW()/100000,"")</f>
        <v/>
      </c>
    </row>
    <row r="13" customFormat="false" ht="15" hidden="false" customHeight="false" outlineLevel="0" collapsed="false">
      <c r="A13" s="7" t="n">
        <f aca="false">IF(B13="","",ROW()-3)</f>
        <v>10</v>
      </c>
      <c r="B13" s="8" t="s">
        <v>62</v>
      </c>
      <c r="C13" s="8" t="s">
        <v>38</v>
      </c>
      <c r="D13" s="8" t="s">
        <v>47</v>
      </c>
      <c r="E13" s="9" t="s">
        <v>63</v>
      </c>
      <c r="F13" s="9" t="s">
        <v>51</v>
      </c>
      <c r="G13" s="8" t="s">
        <v>52</v>
      </c>
      <c r="H13" s="8" t="s">
        <v>53</v>
      </c>
      <c r="I13" s="8" t="s">
        <v>54</v>
      </c>
      <c r="J13" s="9"/>
      <c r="K13" s="8"/>
      <c r="L13" s="8" t="s">
        <v>64</v>
      </c>
      <c r="M13" s="8" t="s">
        <v>56</v>
      </c>
      <c r="N13" s="8"/>
      <c r="O13" s="8"/>
      <c r="P13" s="8"/>
      <c r="Q13" s="8"/>
      <c r="R13" s="9"/>
      <c r="S13" s="8"/>
      <c r="T13" s="9"/>
      <c r="U13" s="10" t="str">
        <f aca="true">IF(B13="","",IF(OR(P13&lt;&gt;"",I13="می‌باشد"),"بسته",IF(AND(L13&lt;&gt;"",W13=""),"خطای فرمت تاریخ ایجاد",IF(AND(H13&lt;&gt;"",AA13=""),"خطای فرمت مهلت",IF(AND(H13&lt;&gt;"",AD13&lt;&gt;"",TODAY()&gt;AD13),"تاخیر",IF(L13&lt;&gt;"","در حال انجام",""))))))</f>
        <v>بسته</v>
      </c>
      <c r="V13" s="7" t="n">
        <f aca="true">IF(U13="تاخیر",TODAY()-AD13,IF(AND(U13="بسته",AH13&lt;&gt;"",AD13&lt;&gt;"",AH13&gt;AD13),AH13-AD13,0))</f>
        <v>0</v>
      </c>
      <c r="W13" s="7" t="n">
        <f aca="false">IF(L13="","",VALUE(LEFT(L13,FIND("/",L13)-1)))</f>
        <v>1405</v>
      </c>
      <c r="X13" s="7" t="n">
        <f aca="false">IF(L13="","",VALUE(MID(L13,FIND("/",L13)+1,FIND("/",L13,FIND("/",L13)+1)-FIND("/",L13)-1)))</f>
        <v>1</v>
      </c>
      <c r="Y13" s="7" t="n">
        <f aca="false">IF(L13="","",VALUE(MID(L13,FIND("/",L13,FIND("/",L13)+1)+1,LEN(L13)-FIND("/",L13,FIND("/",L13)+1))))</f>
        <v>30</v>
      </c>
      <c r="Z13" s="11" t="n">
        <f aca="false">IF(OR(L13="",W13=""),"",IFERROR(INDEX('لیست‌ها'!$Q$3:$Q$53,MATCH(W13,'لیست‌ها'!$P$3:$P$53,0))+IF(X13&lt;=6,(X13-1)*31+Y13,IF(X13&lt;=11,186+(X13-7)*30+Y13,336+Y13))-1,""))</f>
        <v>46131</v>
      </c>
      <c r="AA13" s="7" t="n">
        <f aca="false">IF(H13="","",VALUE(LEFT(H13,FIND("/",H13)-1)))</f>
        <v>1405</v>
      </c>
      <c r="AB13" s="7" t="n">
        <f aca="false">IF(H13="","",VALUE(MID(H13,FIND("/",H13)+1,FIND("/",H13,FIND("/",H13)+1)-FIND("/",H13)-1)))</f>
        <v>2</v>
      </c>
      <c r="AC13" s="7" t="n">
        <f aca="false">IF(H13="","",VALUE(MID(H13,FIND("/",H13,FIND("/",H13)+1)+1,LEN(H13)-FIND("/",H13,FIND("/",H13)+1))))</f>
        <v>20</v>
      </c>
      <c r="AD13" s="11" t="n">
        <f aca="false">IF(OR(H13="",AA13=""),"",IFERROR(INDEX('لیست‌ها'!$Q$3:$Q$53,MATCH(AA13,'لیست‌ها'!$P$3:$P$53,0))+IF(AB13&lt;=6,(AB13-1)*31+AC13,IF(AB13&lt;=11,186+(AB13-7)*30+AC13,336+AC13))-1,""))</f>
        <v>46152</v>
      </c>
      <c r="AE13" s="7" t="str">
        <f aca="false">IF(P13="","",VALUE(LEFT(P13,FIND("/",P13)-1)))</f>
        <v/>
      </c>
      <c r="AF13" s="7" t="str">
        <f aca="false">IF(P13="","",VALUE(MID(P13,FIND("/",P13)+1,FIND("/",P13,FIND("/",P13)+1)-FIND("/",P13)-1)))</f>
        <v/>
      </c>
      <c r="AG13" s="7" t="str">
        <f aca="false">IF(P13="","",VALUE(MID(P13,FIND("/",P13,FIND("/",P13)+1)+1,LEN(P13)-FIND("/",P13,FIND("/",P13)+1))))</f>
        <v/>
      </c>
      <c r="AH13" s="7" t="str">
        <f aca="false">IF(OR(P13="",AE13=""),"",IFERROR(INDEX('لیست‌ها'!$Q$3:$Q$53,MATCH(AE13,'لیست‌ها'!$P$3:$P$53,0))+IF(AF13&lt;=6,(AF13-1)*31+AG13,IF(AF13&lt;=11,186+(AF13-7)*30+AG13,336+AG13))-1,""))</f>
        <v/>
      </c>
      <c r="AI13" s="7" t="str">
        <f aca="false">IF(W13="","",W13&amp;"-"&amp;TEXT(X13,"00"))</f>
        <v>1405-01</v>
      </c>
      <c r="AJ13" s="7" t="n">
        <f aca="false">IF(W13="","",W13*12+X13)</f>
        <v>16861</v>
      </c>
      <c r="AK13" s="7" t="str">
        <f aca="false">IF(U13="تاخیر",V13+ROW()/100000,"")</f>
        <v/>
      </c>
    </row>
    <row r="14" customFormat="false" ht="15" hidden="false" customHeight="false" outlineLevel="0" collapsed="false">
      <c r="A14" s="7" t="n">
        <f aca="false">IF(B14="","",ROW()-3)</f>
        <v>11</v>
      </c>
      <c r="B14" s="8" t="s">
        <v>59</v>
      </c>
      <c r="C14" s="8" t="s">
        <v>38</v>
      </c>
      <c r="D14" s="8" t="s">
        <v>47</v>
      </c>
      <c r="E14" s="9" t="s">
        <v>60</v>
      </c>
      <c r="F14" s="9" t="s">
        <v>51</v>
      </c>
      <c r="G14" s="8" t="s">
        <v>52</v>
      </c>
      <c r="H14" s="8" t="s">
        <v>53</v>
      </c>
      <c r="I14" s="8" t="s">
        <v>54</v>
      </c>
      <c r="J14" s="9"/>
      <c r="K14" s="8"/>
      <c r="L14" s="8" t="s">
        <v>61</v>
      </c>
      <c r="M14" s="8" t="s">
        <v>56</v>
      </c>
      <c r="N14" s="8"/>
      <c r="O14" s="8"/>
      <c r="P14" s="8"/>
      <c r="Q14" s="8"/>
      <c r="R14" s="9"/>
      <c r="S14" s="8"/>
      <c r="T14" s="9"/>
      <c r="U14" s="10" t="str">
        <f aca="true">IF(B14="","",IF(OR(P14&lt;&gt;"",I14="می‌باشد"),"بسته",IF(AND(L14&lt;&gt;"",W14=""),"خطای فرمت تاریخ ایجاد",IF(AND(H14&lt;&gt;"",AA14=""),"خطای فرمت مهلت",IF(AND(H14&lt;&gt;"",AD14&lt;&gt;"",TODAY()&gt;AD14),"تاخیر",IF(L14&lt;&gt;"","در حال انجام",""))))))</f>
        <v>بسته</v>
      </c>
      <c r="V14" s="7" t="n">
        <f aca="true">IF(U14="تاخیر",TODAY()-AD14,IF(AND(U14="بسته",AH14&lt;&gt;"",AD14&lt;&gt;"",AH14&gt;AD14),AH14-AD14,0))</f>
        <v>0</v>
      </c>
      <c r="W14" s="7" t="n">
        <f aca="false">IF(L14="","",VALUE(LEFT(L14,FIND("/",L14)-1)))</f>
        <v>1405</v>
      </c>
      <c r="X14" s="7" t="n">
        <f aca="false">IF(L14="","",VALUE(MID(L14,FIND("/",L14)+1,FIND("/",L14,FIND("/",L14)+1)-FIND("/",L14)-1)))</f>
        <v>1</v>
      </c>
      <c r="Y14" s="7" t="n">
        <f aca="false">IF(L14="","",VALUE(MID(L14,FIND("/",L14,FIND("/",L14)+1)+1,LEN(L14)-FIND("/",L14,FIND("/",L14)+1))))</f>
        <v>31</v>
      </c>
      <c r="Z14" s="11" t="n">
        <f aca="false">IF(OR(L14="",W14=""),"",IFERROR(INDEX('لیست‌ها'!$Q$3:$Q$53,MATCH(W14,'لیست‌ها'!$P$3:$P$53,0))+IF(X14&lt;=6,(X14-1)*31+Y14,IF(X14&lt;=11,186+(X14-7)*30+Y14,336+Y14))-1,""))</f>
        <v>46132</v>
      </c>
      <c r="AA14" s="7" t="n">
        <f aca="false">IF(H14="","",VALUE(LEFT(H14,FIND("/",H14)-1)))</f>
        <v>1405</v>
      </c>
      <c r="AB14" s="7" t="n">
        <f aca="false">IF(H14="","",VALUE(MID(H14,FIND("/",H14)+1,FIND("/",H14,FIND("/",H14)+1)-FIND("/",H14)-1)))</f>
        <v>2</v>
      </c>
      <c r="AC14" s="7" t="n">
        <f aca="false">IF(H14="","",VALUE(MID(H14,FIND("/",H14,FIND("/",H14)+1)+1,LEN(H14)-FIND("/",H14,FIND("/",H14)+1))))</f>
        <v>20</v>
      </c>
      <c r="AD14" s="11" t="n">
        <f aca="false">IF(OR(H14="",AA14=""),"",IFERROR(INDEX('لیست‌ها'!$Q$3:$Q$53,MATCH(AA14,'لیست‌ها'!$P$3:$P$53,0))+IF(AB14&lt;=6,(AB14-1)*31+AC14,IF(AB14&lt;=11,186+(AB14-7)*30+AC14,336+AC14))-1,""))</f>
        <v>46152</v>
      </c>
      <c r="AE14" s="7" t="str">
        <f aca="false">IF(P14="","",VALUE(LEFT(P14,FIND("/",P14)-1)))</f>
        <v/>
      </c>
      <c r="AF14" s="7" t="str">
        <f aca="false">IF(P14="","",VALUE(MID(P14,FIND("/",P14)+1,FIND("/",P14,FIND("/",P14)+1)-FIND("/",P14)-1)))</f>
        <v/>
      </c>
      <c r="AG14" s="7" t="str">
        <f aca="false">IF(P14="","",VALUE(MID(P14,FIND("/",P14,FIND("/",P14)+1)+1,LEN(P14)-FIND("/",P14,FIND("/",P14)+1))))</f>
        <v/>
      </c>
      <c r="AH14" s="7" t="str">
        <f aca="false">IF(OR(P14="",AE14=""),"",IFERROR(INDEX('لیست‌ها'!$Q$3:$Q$53,MATCH(AE14,'لیست‌ها'!$P$3:$P$53,0))+IF(AF14&lt;=6,(AF14-1)*31+AG14,IF(AF14&lt;=11,186+(AF14-7)*30+AG14,336+AG14))-1,""))</f>
        <v/>
      </c>
      <c r="AI14" s="7" t="str">
        <f aca="false">IF(W14="","",W14&amp;"-"&amp;TEXT(X14,"00"))</f>
        <v>1405-01</v>
      </c>
      <c r="AJ14" s="7" t="n">
        <f aca="false">IF(W14="","",W14*12+X14)</f>
        <v>16861</v>
      </c>
      <c r="AK14" s="7" t="str">
        <f aca="false">IF(U14="تاخیر",V14+ROW()/100000,"")</f>
        <v/>
      </c>
    </row>
    <row r="15" customFormat="false" ht="15" hidden="false" customHeight="false" outlineLevel="0" collapsed="false">
      <c r="A15" s="7" t="n">
        <f aca="false">IF(B15="","",ROW()-3)</f>
        <v>12</v>
      </c>
      <c r="B15" s="8" t="s">
        <v>57</v>
      </c>
      <c r="C15" s="8" t="s">
        <v>38</v>
      </c>
      <c r="D15" s="8" t="s">
        <v>47</v>
      </c>
      <c r="E15" s="9" t="s">
        <v>58</v>
      </c>
      <c r="F15" s="9" t="s">
        <v>51</v>
      </c>
      <c r="G15" s="8" t="s">
        <v>52</v>
      </c>
      <c r="H15" s="8" t="s">
        <v>53</v>
      </c>
      <c r="I15" s="8" t="s">
        <v>54</v>
      </c>
      <c r="J15" s="9"/>
      <c r="K15" s="8"/>
      <c r="L15" s="8" t="s">
        <v>55</v>
      </c>
      <c r="M15" s="8" t="s">
        <v>56</v>
      </c>
      <c r="N15" s="8"/>
      <c r="O15" s="8"/>
      <c r="P15" s="8"/>
      <c r="Q15" s="8"/>
      <c r="R15" s="9"/>
      <c r="S15" s="8"/>
      <c r="T15" s="9"/>
      <c r="U15" s="10" t="str">
        <f aca="true">IF(B15="","",IF(OR(P15&lt;&gt;"",I15="می‌باشد"),"بسته",IF(AND(L15&lt;&gt;"",W15=""),"خطای فرمت تاریخ ایجاد",IF(AND(H15&lt;&gt;"",AA15=""),"خطای فرمت مهلت",IF(AND(H15&lt;&gt;"",AD15&lt;&gt;"",TODAY()&gt;AD15),"تاخیر",IF(L15&lt;&gt;"","در حال انجام",""))))))</f>
        <v>بسته</v>
      </c>
      <c r="V15" s="7" t="n">
        <f aca="true">IF(U15="تاخیر",TODAY()-AD15,IF(AND(U15="بسته",AH15&lt;&gt;"",AD15&lt;&gt;"",AH15&gt;AD15),AH15-AD15,0))</f>
        <v>0</v>
      </c>
      <c r="W15" s="7" t="n">
        <f aca="false">IF(L15="","",VALUE(LEFT(L15,FIND("/",L15)-1)))</f>
        <v>1405</v>
      </c>
      <c r="X15" s="7" t="n">
        <f aca="false">IF(L15="","",VALUE(MID(L15,FIND("/",L15)+1,FIND("/",L15,FIND("/",L15)+1)-FIND("/",L15)-1)))</f>
        <v>2</v>
      </c>
      <c r="Y15" s="7" t="n">
        <f aca="false">IF(L15="","",VALUE(MID(L15,FIND("/",L15,FIND("/",L15)+1)+1,LEN(L15)-FIND("/",L15,FIND("/",L15)+1))))</f>
        <v>1</v>
      </c>
      <c r="Z15" s="11" t="n">
        <f aca="false">IF(OR(L15="",W15=""),"",IFERROR(INDEX('لیست‌ها'!$Q$3:$Q$53,MATCH(W15,'لیست‌ها'!$P$3:$P$53,0))+IF(X15&lt;=6,(X15-1)*31+Y15,IF(X15&lt;=11,186+(X15-7)*30+Y15,336+Y15))-1,""))</f>
        <v>46133</v>
      </c>
      <c r="AA15" s="7" t="n">
        <f aca="false">IF(H15="","",VALUE(LEFT(H15,FIND("/",H15)-1)))</f>
        <v>1405</v>
      </c>
      <c r="AB15" s="7" t="n">
        <f aca="false">IF(H15="","",VALUE(MID(H15,FIND("/",H15)+1,FIND("/",H15,FIND("/",H15)+1)-FIND("/",H15)-1)))</f>
        <v>2</v>
      </c>
      <c r="AC15" s="7" t="n">
        <f aca="false">IF(H15="","",VALUE(MID(H15,FIND("/",H15,FIND("/",H15)+1)+1,LEN(H15)-FIND("/",H15,FIND("/",H15)+1))))</f>
        <v>20</v>
      </c>
      <c r="AD15" s="11" t="n">
        <f aca="false">IF(OR(H15="",AA15=""),"",IFERROR(INDEX('لیست‌ها'!$Q$3:$Q$53,MATCH(AA15,'لیست‌ها'!$P$3:$P$53,0))+IF(AB15&lt;=6,(AB15-1)*31+AC15,IF(AB15&lt;=11,186+(AB15-7)*30+AC15,336+AC15))-1,""))</f>
        <v>46152</v>
      </c>
      <c r="AE15" s="7" t="str">
        <f aca="false">IF(P15="","",VALUE(LEFT(P15,FIND("/",P15)-1)))</f>
        <v/>
      </c>
      <c r="AF15" s="7" t="str">
        <f aca="false">IF(P15="","",VALUE(MID(P15,FIND("/",P15)+1,FIND("/",P15,FIND("/",P15)+1)-FIND("/",P15)-1)))</f>
        <v/>
      </c>
      <c r="AG15" s="7" t="str">
        <f aca="false">IF(P15="","",VALUE(MID(P15,FIND("/",P15,FIND("/",P15)+1)+1,LEN(P15)-FIND("/",P15,FIND("/",P15)+1))))</f>
        <v/>
      </c>
      <c r="AH15" s="7" t="str">
        <f aca="false">IF(OR(P15="",AE15=""),"",IFERROR(INDEX('لیست‌ها'!$Q$3:$Q$53,MATCH(AE15,'لیست‌ها'!$P$3:$P$53,0))+IF(AF15&lt;=6,(AF15-1)*31+AG15,IF(AF15&lt;=11,186+(AF15-7)*30+AG15,336+AG15))-1,""))</f>
        <v/>
      </c>
      <c r="AI15" s="7" t="str">
        <f aca="false">IF(W15="","",W15&amp;"-"&amp;TEXT(X15,"00"))</f>
        <v>1405-02</v>
      </c>
      <c r="AJ15" s="7" t="n">
        <f aca="false">IF(W15="","",W15*12+X15)</f>
        <v>16862</v>
      </c>
      <c r="AK15" s="7" t="str">
        <f aca="false">IF(U15="تاخیر",V15+ROW()/100000,"")</f>
        <v/>
      </c>
    </row>
    <row r="16" customFormat="false" ht="15" hidden="false" customHeight="false" outlineLevel="0" collapsed="false">
      <c r="A16" s="7" t="n">
        <f aca="false">IF(B16="","",ROW()-3)</f>
        <v>13</v>
      </c>
      <c r="B16" s="8" t="s">
        <v>49</v>
      </c>
      <c r="C16" s="8" t="s">
        <v>38</v>
      </c>
      <c r="D16" s="8" t="s">
        <v>47</v>
      </c>
      <c r="E16" s="9" t="s">
        <v>50</v>
      </c>
      <c r="F16" s="9" t="s">
        <v>51</v>
      </c>
      <c r="G16" s="8" t="s">
        <v>52</v>
      </c>
      <c r="H16" s="8" t="s">
        <v>53</v>
      </c>
      <c r="I16" s="8" t="s">
        <v>54</v>
      </c>
      <c r="J16" s="9"/>
      <c r="K16" s="8"/>
      <c r="L16" s="8" t="s">
        <v>55</v>
      </c>
      <c r="M16" s="8" t="s">
        <v>56</v>
      </c>
      <c r="N16" s="8"/>
      <c r="O16" s="8"/>
      <c r="P16" s="8"/>
      <c r="Q16" s="8"/>
      <c r="R16" s="9"/>
      <c r="S16" s="8"/>
      <c r="T16" s="9"/>
      <c r="U16" s="10" t="str">
        <f aca="true">IF(B16="","",IF(OR(P16&lt;&gt;"",I16="می‌باشد"),"بسته",IF(AND(L16&lt;&gt;"",W16=""),"خطای فرمت تاریخ ایجاد",IF(AND(H16&lt;&gt;"",AA16=""),"خطای فرمت مهلت",IF(AND(H16&lt;&gt;"",AD16&lt;&gt;"",TODAY()&gt;AD16),"تاخیر",IF(L16&lt;&gt;"","در حال انجام",""))))))</f>
        <v>بسته</v>
      </c>
      <c r="V16" s="7" t="n">
        <f aca="true">IF(U16="تاخیر",TODAY()-AD16,IF(AND(U16="بسته",AH16&lt;&gt;"",AD16&lt;&gt;"",AH16&gt;AD16),AH16-AD16,0))</f>
        <v>0</v>
      </c>
      <c r="W16" s="7" t="n">
        <f aca="false">IF(L16="","",VALUE(LEFT(L16,FIND("/",L16)-1)))</f>
        <v>1405</v>
      </c>
      <c r="X16" s="7" t="n">
        <f aca="false">IF(L16="","",VALUE(MID(L16,FIND("/",L16)+1,FIND("/",L16,FIND("/",L16)+1)-FIND("/",L16)-1)))</f>
        <v>2</v>
      </c>
      <c r="Y16" s="7" t="n">
        <f aca="false">IF(L16="","",VALUE(MID(L16,FIND("/",L16,FIND("/",L16)+1)+1,LEN(L16)-FIND("/",L16,FIND("/",L16)+1))))</f>
        <v>1</v>
      </c>
      <c r="Z16" s="11" t="n">
        <f aca="false">IF(OR(L16="",W16=""),"",IFERROR(INDEX('لیست‌ها'!$Q$3:$Q$53,MATCH(W16,'لیست‌ها'!$P$3:$P$53,0))+IF(X16&lt;=6,(X16-1)*31+Y16,IF(X16&lt;=11,186+(X16-7)*30+Y16,336+Y16))-1,""))</f>
        <v>46133</v>
      </c>
      <c r="AA16" s="7" t="n">
        <f aca="false">IF(H16="","",VALUE(LEFT(H16,FIND("/",H16)-1)))</f>
        <v>1405</v>
      </c>
      <c r="AB16" s="7" t="n">
        <f aca="false">IF(H16="","",VALUE(MID(H16,FIND("/",H16)+1,FIND("/",H16,FIND("/",H16)+1)-FIND("/",H16)-1)))</f>
        <v>2</v>
      </c>
      <c r="AC16" s="7" t="n">
        <f aca="false">IF(H16="","",VALUE(MID(H16,FIND("/",H16,FIND("/",H16)+1)+1,LEN(H16)-FIND("/",H16,FIND("/",H16)+1))))</f>
        <v>20</v>
      </c>
      <c r="AD16" s="11" t="n">
        <f aca="false">IF(OR(H16="",AA16=""),"",IFERROR(INDEX('لیست‌ها'!$Q$3:$Q$53,MATCH(AA16,'لیست‌ها'!$P$3:$P$53,0))+IF(AB16&lt;=6,(AB16-1)*31+AC16,IF(AB16&lt;=11,186+(AB16-7)*30+AC16,336+AC16))-1,""))</f>
        <v>46152</v>
      </c>
      <c r="AE16" s="7" t="str">
        <f aca="false">IF(P16="","",VALUE(LEFT(P16,FIND("/",P16)-1)))</f>
        <v/>
      </c>
      <c r="AF16" s="7" t="str">
        <f aca="false">IF(P16="","",VALUE(MID(P16,FIND("/",P16)+1,FIND("/",P16,FIND("/",P16)+1)-FIND("/",P16)-1)))</f>
        <v/>
      </c>
      <c r="AG16" s="7" t="str">
        <f aca="false">IF(P16="","",VALUE(MID(P16,FIND("/",P16,FIND("/",P16)+1)+1,LEN(P16)-FIND("/",P16,FIND("/",P16)+1))))</f>
        <v/>
      </c>
      <c r="AH16" s="7" t="str">
        <f aca="false">IF(OR(P16="",AE16=""),"",IFERROR(INDEX('لیست‌ها'!$Q$3:$Q$53,MATCH(AE16,'لیست‌ها'!$P$3:$P$53,0))+IF(AF16&lt;=6,(AF16-1)*31+AG16,IF(AF16&lt;=11,186+(AF16-7)*30+AG16,336+AG16))-1,""))</f>
        <v/>
      </c>
      <c r="AI16" s="7" t="str">
        <f aca="false">IF(W16="","",W16&amp;"-"&amp;TEXT(X16,"00"))</f>
        <v>1405-02</v>
      </c>
      <c r="AJ16" s="7" t="n">
        <f aca="false">IF(W16="","",W16*12+X16)</f>
        <v>16862</v>
      </c>
      <c r="AK16" s="7" t="str">
        <f aca="false">IF(U16="تاخیر",V16+ROW()/100000,"")</f>
        <v/>
      </c>
    </row>
    <row r="17" customFormat="false" ht="15" hidden="false" customHeight="false" outlineLevel="0" collapsed="false">
      <c r="A17" s="7" t="n">
        <f aca="false">IF(B17="","",ROW()-3)</f>
        <v>14</v>
      </c>
      <c r="B17" s="8" t="s">
        <v>45</v>
      </c>
      <c r="C17" s="8" t="s">
        <v>46</v>
      </c>
      <c r="D17" s="8" t="s">
        <v>47</v>
      </c>
      <c r="E17" s="9" t="s">
        <v>48</v>
      </c>
      <c r="F17" s="9" t="s">
        <v>41</v>
      </c>
      <c r="G17" s="8" t="s">
        <v>42</v>
      </c>
      <c r="H17" s="8"/>
      <c r="I17" s="8"/>
      <c r="J17" s="9"/>
      <c r="K17" s="8"/>
      <c r="L17" s="8" t="s">
        <v>43</v>
      </c>
      <c r="M17" s="8" t="s">
        <v>44</v>
      </c>
      <c r="N17" s="8"/>
      <c r="O17" s="8"/>
      <c r="P17" s="8"/>
      <c r="Q17" s="8"/>
      <c r="R17" s="9"/>
      <c r="S17" s="8"/>
      <c r="T17" s="9"/>
      <c r="U17" s="10" t="str">
        <f aca="true">IF(B17="","",IF(OR(P17&lt;&gt;"",I17="می‌باشد"),"بسته",IF(AND(L17&lt;&gt;"",W17=""),"خطای فرمت تاریخ ایجاد",IF(AND(H17&lt;&gt;"",AA17=""),"خطای فرمت مهلت",IF(AND(H17&lt;&gt;"",AD17&lt;&gt;"",TODAY()&gt;AD17),"تاخیر",IF(L17&lt;&gt;"","در حال انجام",""))))))</f>
        <v>در حال انجام</v>
      </c>
      <c r="V17" s="7" t="n">
        <f aca="true">IF(U17="تاخیر",TODAY()-AD17,IF(AND(U17="بسته",AH17&lt;&gt;"",AD17&lt;&gt;"",AH17&gt;AD17),AH17-AD17,0))</f>
        <v>0</v>
      </c>
      <c r="W17" s="7" t="n">
        <f aca="false">IF(L17="","",VALUE(LEFT(L17,FIND("/",L17)-1)))</f>
        <v>1405</v>
      </c>
      <c r="X17" s="7" t="n">
        <f aca="false">IF(L17="","",VALUE(MID(L17,FIND("/",L17)+1,FIND("/",L17,FIND("/",L17)+1)-FIND("/",L17)-1)))</f>
        <v>2</v>
      </c>
      <c r="Y17" s="7" t="n">
        <f aca="false">IF(L17="","",VALUE(MID(L17,FIND("/",L17,FIND("/",L17)+1)+1,LEN(L17)-FIND("/",L17,FIND("/",L17)+1))))</f>
        <v>2</v>
      </c>
      <c r="Z17" s="11" t="n">
        <f aca="false">IF(OR(L17="",W17=""),"",IFERROR(INDEX('لیست‌ها'!$Q$3:$Q$53,MATCH(W17,'لیست‌ها'!$P$3:$P$53,0))+IF(X17&lt;=6,(X17-1)*31+Y17,IF(X17&lt;=11,186+(X17-7)*30+Y17,336+Y17))-1,""))</f>
        <v>46134</v>
      </c>
      <c r="AA17" s="7" t="str">
        <f aca="false">IF(H17="","",VALUE(LEFT(H17,FIND("/",H17)-1)))</f>
        <v/>
      </c>
      <c r="AB17" s="7" t="str">
        <f aca="false">IF(H17="","",VALUE(MID(H17,FIND("/",H17)+1,FIND("/",H17,FIND("/",H17)+1)-FIND("/",H17)-1)))</f>
        <v/>
      </c>
      <c r="AC17" s="7" t="str">
        <f aca="false">IF(H17="","",VALUE(MID(H17,FIND("/",H17,FIND("/",H17)+1)+1,LEN(H17)-FIND("/",H17,FIND("/",H17)+1))))</f>
        <v/>
      </c>
      <c r="AD17" s="7" t="str">
        <f aca="false">IF(OR(H17="",AA17=""),"",IFERROR(INDEX('لیست‌ها'!$Q$3:$Q$53,MATCH(AA17,'لیست‌ها'!$P$3:$P$53,0))+IF(AB17&lt;=6,(AB17-1)*31+AC17,IF(AB17&lt;=11,186+(AB17-7)*30+AC17,336+AC17))-1,""))</f>
        <v/>
      </c>
      <c r="AE17" s="7" t="str">
        <f aca="false">IF(P17="","",VALUE(LEFT(P17,FIND("/",P17)-1)))</f>
        <v/>
      </c>
      <c r="AF17" s="7" t="str">
        <f aca="false">IF(P17="","",VALUE(MID(P17,FIND("/",P17)+1,FIND("/",P17,FIND("/",P17)+1)-FIND("/",P17)-1)))</f>
        <v/>
      </c>
      <c r="AG17" s="7" t="str">
        <f aca="false">IF(P17="","",VALUE(MID(P17,FIND("/",P17,FIND("/",P17)+1)+1,LEN(P17)-FIND("/",P17,FIND("/",P17)+1))))</f>
        <v/>
      </c>
      <c r="AH17" s="7" t="str">
        <f aca="false">IF(OR(P17="",AE17=""),"",IFERROR(INDEX('لیست‌ها'!$Q$3:$Q$53,MATCH(AE17,'لیست‌ها'!$P$3:$P$53,0))+IF(AF17&lt;=6,(AF17-1)*31+AG17,IF(AF17&lt;=11,186+(AF17-7)*30+AG17,336+AG17))-1,""))</f>
        <v/>
      </c>
      <c r="AI17" s="7" t="str">
        <f aca="false">IF(W17="","",W17&amp;"-"&amp;TEXT(X17,"00"))</f>
        <v>1405-02</v>
      </c>
      <c r="AJ17" s="7" t="n">
        <f aca="false">IF(W17="","",W17*12+X17)</f>
        <v>16862</v>
      </c>
      <c r="AK17" s="7" t="str">
        <f aca="false">IF(U17="تاخیر",V17+ROW()/100000,"")</f>
        <v/>
      </c>
    </row>
    <row r="18" customFormat="false" ht="15" hidden="false" customHeight="false" outlineLevel="0" collapsed="false">
      <c r="A18" s="7" t="n">
        <f aca="false">IF(B18="","",ROW()-3)</f>
        <v>15</v>
      </c>
      <c r="B18" s="8" t="s">
        <v>37</v>
      </c>
      <c r="C18" s="8" t="s">
        <v>38</v>
      </c>
      <c r="D18" s="8" t="s">
        <v>39</v>
      </c>
      <c r="E18" s="9" t="s">
        <v>40</v>
      </c>
      <c r="F18" s="9" t="s">
        <v>41</v>
      </c>
      <c r="G18" s="8" t="s">
        <v>42</v>
      </c>
      <c r="H18" s="8"/>
      <c r="I18" s="8"/>
      <c r="J18" s="9"/>
      <c r="K18" s="8"/>
      <c r="L18" s="8" t="s">
        <v>43</v>
      </c>
      <c r="M18" s="8" t="s">
        <v>44</v>
      </c>
      <c r="N18" s="8"/>
      <c r="O18" s="8"/>
      <c r="P18" s="8"/>
      <c r="Q18" s="8"/>
      <c r="R18" s="9"/>
      <c r="S18" s="8"/>
      <c r="T18" s="9"/>
      <c r="U18" s="10" t="str">
        <f aca="true">IF(B18="","",IF(OR(P18&lt;&gt;"",I18="می‌باشد"),"بسته",IF(AND(L18&lt;&gt;"",W18=""),"خطای فرمت تاریخ ایجاد",IF(AND(H18&lt;&gt;"",AA18=""),"خطای فرمت مهلت",IF(AND(H18&lt;&gt;"",AD18&lt;&gt;"",TODAY()&gt;AD18),"تاخیر",IF(L18&lt;&gt;"","در حال انجام",""))))))</f>
        <v>در حال انجام</v>
      </c>
      <c r="V18" s="7" t="n">
        <f aca="true">IF(U18="تاخیر",TODAY()-AD18,IF(AND(U18="بسته",AH18&lt;&gt;"",AD18&lt;&gt;"",AH18&gt;AD18),AH18-AD18,0))</f>
        <v>0</v>
      </c>
      <c r="W18" s="7" t="n">
        <f aca="false">IF(L18="","",VALUE(LEFT(L18,FIND("/",L18)-1)))</f>
        <v>1405</v>
      </c>
      <c r="X18" s="7" t="n">
        <f aca="false">IF(L18="","",VALUE(MID(L18,FIND("/",L18)+1,FIND("/",L18,FIND("/",L18)+1)-FIND("/",L18)-1)))</f>
        <v>2</v>
      </c>
      <c r="Y18" s="7" t="n">
        <f aca="false">IF(L18="","",VALUE(MID(L18,FIND("/",L18,FIND("/",L18)+1)+1,LEN(L18)-FIND("/",L18,FIND("/",L18)+1))))</f>
        <v>2</v>
      </c>
      <c r="Z18" s="11" t="n">
        <f aca="false">IF(OR(L18="",W18=""),"",IFERROR(INDEX('لیست‌ها'!$Q$3:$Q$53,MATCH(W18,'لیست‌ها'!$P$3:$P$53,0))+IF(X18&lt;=6,(X18-1)*31+Y18,IF(X18&lt;=11,186+(X18-7)*30+Y18,336+Y18))-1,""))</f>
        <v>46134</v>
      </c>
      <c r="AA18" s="7" t="str">
        <f aca="false">IF(H18="","",VALUE(LEFT(H18,FIND("/",H18)-1)))</f>
        <v/>
      </c>
      <c r="AB18" s="7" t="str">
        <f aca="false">IF(H18="","",VALUE(MID(H18,FIND("/",H18)+1,FIND("/",H18,FIND("/",H18)+1)-FIND("/",H18)-1)))</f>
        <v/>
      </c>
      <c r="AC18" s="7" t="str">
        <f aca="false">IF(H18="","",VALUE(MID(H18,FIND("/",H18,FIND("/",H18)+1)+1,LEN(H18)-FIND("/",H18,FIND("/",H18)+1))))</f>
        <v/>
      </c>
      <c r="AD18" s="7" t="str">
        <f aca="false">IF(OR(H18="",AA18=""),"",IFERROR(INDEX('لیست‌ها'!$Q$3:$Q$53,MATCH(AA18,'لیست‌ها'!$P$3:$P$53,0))+IF(AB18&lt;=6,(AB18-1)*31+AC18,IF(AB18&lt;=11,186+(AB18-7)*30+AC18,336+AC18))-1,""))</f>
        <v/>
      </c>
      <c r="AE18" s="7" t="str">
        <f aca="false">IF(P18="","",VALUE(LEFT(P18,FIND("/",P18)-1)))</f>
        <v/>
      </c>
      <c r="AF18" s="7" t="str">
        <f aca="false">IF(P18="","",VALUE(MID(P18,FIND("/",P18)+1,FIND("/",P18,FIND("/",P18)+1)-FIND("/",P18)-1)))</f>
        <v/>
      </c>
      <c r="AG18" s="7" t="str">
        <f aca="false">IF(P18="","",VALUE(MID(P18,FIND("/",P18,FIND("/",P18)+1)+1,LEN(P18)-FIND("/",P18,FIND("/",P18)+1))))</f>
        <v/>
      </c>
      <c r="AH18" s="7" t="str">
        <f aca="false">IF(OR(P18="",AE18=""),"",IFERROR(INDEX('لیست‌ها'!$Q$3:$Q$53,MATCH(AE18,'لیست‌ها'!$P$3:$P$53,0))+IF(AF18&lt;=6,(AF18-1)*31+AG18,IF(AF18&lt;=11,186+(AF18-7)*30+AG18,336+AG18))-1,""))</f>
        <v/>
      </c>
      <c r="AI18" s="7" t="str">
        <f aca="false">IF(W18="","",W18&amp;"-"&amp;TEXT(X18,"00"))</f>
        <v>1405-02</v>
      </c>
      <c r="AJ18" s="7" t="n">
        <f aca="false">IF(W18="","",W18*12+X18)</f>
        <v>16862</v>
      </c>
      <c r="AK18" s="7" t="str">
        <f aca="false">IF(U18="تاخیر",V18+ROW()/100000,"")</f>
        <v/>
      </c>
    </row>
    <row r="19" customFormat="false" ht="15" hidden="false" customHeight="false" outlineLevel="0" collapsed="false">
      <c r="A19" s="7" t="n">
        <f aca="false">IF(B19="","",ROW()-3)</f>
        <v>16</v>
      </c>
      <c r="B19" s="8" t="s">
        <v>125</v>
      </c>
      <c r="C19" s="8" t="s">
        <v>38</v>
      </c>
      <c r="D19" s="8" t="s">
        <v>89</v>
      </c>
      <c r="E19" s="9" t="s">
        <v>126</v>
      </c>
      <c r="F19" s="9" t="s">
        <v>91</v>
      </c>
      <c r="G19" s="8" t="s">
        <v>92</v>
      </c>
      <c r="H19" s="8" t="s">
        <v>74</v>
      </c>
      <c r="I19" s="8" t="s">
        <v>54</v>
      </c>
      <c r="J19" s="9"/>
      <c r="K19" s="8"/>
      <c r="L19" s="8" t="s">
        <v>109</v>
      </c>
      <c r="M19" s="8" t="s">
        <v>56</v>
      </c>
      <c r="N19" s="8"/>
      <c r="O19" s="8"/>
      <c r="P19" s="8"/>
      <c r="Q19" s="8"/>
      <c r="R19" s="9"/>
      <c r="S19" s="8"/>
      <c r="T19" s="9"/>
      <c r="U19" s="10" t="str">
        <f aca="true">IF(B19="","",IF(OR(P19&lt;&gt;"",I19="می‌باشد"),"بسته",IF(AND(L19&lt;&gt;"",W19=""),"خطای فرمت تاریخ ایجاد",IF(AND(H19&lt;&gt;"",AA19=""),"خطای فرمت مهلت",IF(AND(H19&lt;&gt;"",AD19&lt;&gt;"",TODAY()&gt;AD19),"تاخیر",IF(L19&lt;&gt;"","در حال انجام",""))))))</f>
        <v>بسته</v>
      </c>
      <c r="V19" s="7" t="n">
        <f aca="true">IF(U19="تاخیر",TODAY()-AD19,IF(AND(U19="بسته",AH19&lt;&gt;"",AD19&lt;&gt;"",AH19&gt;AD19),AH19-AD19,0))</f>
        <v>0</v>
      </c>
      <c r="W19" s="7" t="n">
        <f aca="false">IF(L19="","",VALUE(LEFT(L19,FIND("/",L19)-1)))</f>
        <v>1405</v>
      </c>
      <c r="X19" s="7" t="n">
        <f aca="false">IF(L19="","",VALUE(MID(L19,FIND("/",L19)+1,FIND("/",L19,FIND("/",L19)+1)-FIND("/",L19)-1)))</f>
        <v>2</v>
      </c>
      <c r="Y19" s="7" t="n">
        <f aca="false">IF(L19="","",VALUE(MID(L19,FIND("/",L19,FIND("/",L19)+1)+1,LEN(L19)-FIND("/",L19,FIND("/",L19)+1))))</f>
        <v>6</v>
      </c>
      <c r="Z19" s="11" t="n">
        <f aca="false">IF(OR(L19="",W19=""),"",IFERROR(INDEX('لیست‌ها'!$Q$3:$Q$53,MATCH(W19,'لیست‌ها'!$P$3:$P$53,0))+IF(X19&lt;=6,(X19-1)*31+Y19,IF(X19&lt;=11,186+(X19-7)*30+Y19,336+Y19))-1,""))</f>
        <v>46138</v>
      </c>
      <c r="AA19" s="7" t="n">
        <f aca="false">IF(H19="","",VALUE(LEFT(H19,FIND("/",H19)-1)))</f>
        <v>1405</v>
      </c>
      <c r="AB19" s="7" t="n">
        <f aca="false">IF(H19="","",VALUE(MID(H19,FIND("/",H19)+1,FIND("/",H19,FIND("/",H19)+1)-FIND("/",H19)-1)))</f>
        <v>2</v>
      </c>
      <c r="AC19" s="7" t="n">
        <f aca="false">IF(H19="","",VALUE(MID(H19,FIND("/",H19,FIND("/",H19)+1)+1,LEN(H19)-FIND("/",H19,FIND("/",H19)+1))))</f>
        <v>31</v>
      </c>
      <c r="AD19" s="11" t="n">
        <f aca="false">IF(OR(H19="",AA19=""),"",IFERROR(INDEX('لیست‌ها'!$Q$3:$Q$53,MATCH(AA19,'لیست‌ها'!$P$3:$P$53,0))+IF(AB19&lt;=6,(AB19-1)*31+AC19,IF(AB19&lt;=11,186+(AB19-7)*30+AC19,336+AC19))-1,""))</f>
        <v>46163</v>
      </c>
      <c r="AE19" s="7" t="str">
        <f aca="false">IF(P19="","",VALUE(LEFT(P19,FIND("/",P19)-1)))</f>
        <v/>
      </c>
      <c r="AF19" s="7" t="str">
        <f aca="false">IF(P19="","",VALUE(MID(P19,FIND("/",P19)+1,FIND("/",P19,FIND("/",P19)+1)-FIND("/",P19)-1)))</f>
        <v/>
      </c>
      <c r="AG19" s="7" t="str">
        <f aca="false">IF(P19="","",VALUE(MID(P19,FIND("/",P19,FIND("/",P19)+1)+1,LEN(P19)-FIND("/",P19,FIND("/",P19)+1))))</f>
        <v/>
      </c>
      <c r="AH19" s="7" t="str">
        <f aca="false">IF(OR(P19="",AE19=""),"",IFERROR(INDEX('لیست‌ها'!$Q$3:$Q$53,MATCH(AE19,'لیست‌ها'!$P$3:$P$53,0))+IF(AF19&lt;=6,(AF19-1)*31+AG19,IF(AF19&lt;=11,186+(AF19-7)*30+AG19,336+AG19))-1,""))</f>
        <v/>
      </c>
      <c r="AI19" s="7" t="str">
        <f aca="false">IF(W19="","",W19&amp;"-"&amp;TEXT(X19,"00"))</f>
        <v>1405-02</v>
      </c>
      <c r="AJ19" s="7" t="n">
        <f aca="false">IF(W19="","",W19*12+X19)</f>
        <v>16862</v>
      </c>
      <c r="AK19" s="7" t="str">
        <f aca="false">IF(U19="تاخیر",V19+ROW()/100000,"")</f>
        <v/>
      </c>
    </row>
    <row r="20" customFormat="false" ht="15" hidden="false" customHeight="false" outlineLevel="0" collapsed="false">
      <c r="A20" s="7" t="n">
        <f aca="false">IF(B20="","",ROW()-3)</f>
        <v>17</v>
      </c>
      <c r="B20" s="8" t="s">
        <v>123</v>
      </c>
      <c r="C20" s="8" t="s">
        <v>38</v>
      </c>
      <c r="D20" s="8" t="s">
        <v>89</v>
      </c>
      <c r="E20" s="9" t="s">
        <v>124</v>
      </c>
      <c r="F20" s="9" t="s">
        <v>91</v>
      </c>
      <c r="G20" s="8" t="s">
        <v>92</v>
      </c>
      <c r="H20" s="8" t="s">
        <v>74</v>
      </c>
      <c r="I20" s="8" t="s">
        <v>54</v>
      </c>
      <c r="J20" s="9"/>
      <c r="K20" s="8"/>
      <c r="L20" s="8" t="s">
        <v>109</v>
      </c>
      <c r="M20" s="8" t="s">
        <v>56</v>
      </c>
      <c r="N20" s="8"/>
      <c r="O20" s="8"/>
      <c r="P20" s="8"/>
      <c r="Q20" s="8"/>
      <c r="R20" s="9"/>
      <c r="S20" s="8"/>
      <c r="T20" s="9"/>
      <c r="U20" s="10" t="str">
        <f aca="true">IF(B20="","",IF(OR(P20&lt;&gt;"",I20="می‌باشد"),"بسته",IF(AND(L20&lt;&gt;"",W20=""),"خطای فرمت تاریخ ایجاد",IF(AND(H20&lt;&gt;"",AA20=""),"خطای فرمت مهلت",IF(AND(H20&lt;&gt;"",AD20&lt;&gt;"",TODAY()&gt;AD20),"تاخیر",IF(L20&lt;&gt;"","در حال انجام",""))))))</f>
        <v>بسته</v>
      </c>
      <c r="V20" s="7" t="n">
        <f aca="true">IF(U20="تاخیر",TODAY()-AD20,IF(AND(U20="بسته",AH20&lt;&gt;"",AD20&lt;&gt;"",AH20&gt;AD20),AH20-AD20,0))</f>
        <v>0</v>
      </c>
      <c r="W20" s="7" t="n">
        <f aca="false">IF(L20="","",VALUE(LEFT(L20,FIND("/",L20)-1)))</f>
        <v>1405</v>
      </c>
      <c r="X20" s="7" t="n">
        <f aca="false">IF(L20="","",VALUE(MID(L20,FIND("/",L20)+1,FIND("/",L20,FIND("/",L20)+1)-FIND("/",L20)-1)))</f>
        <v>2</v>
      </c>
      <c r="Y20" s="7" t="n">
        <f aca="false">IF(L20="","",VALUE(MID(L20,FIND("/",L20,FIND("/",L20)+1)+1,LEN(L20)-FIND("/",L20,FIND("/",L20)+1))))</f>
        <v>6</v>
      </c>
      <c r="Z20" s="11" t="n">
        <f aca="false">IF(OR(L20="",W20=""),"",IFERROR(INDEX('لیست‌ها'!$Q$3:$Q$53,MATCH(W20,'لیست‌ها'!$P$3:$P$53,0))+IF(X20&lt;=6,(X20-1)*31+Y20,IF(X20&lt;=11,186+(X20-7)*30+Y20,336+Y20))-1,""))</f>
        <v>46138</v>
      </c>
      <c r="AA20" s="7" t="n">
        <f aca="false">IF(H20="","",VALUE(LEFT(H20,FIND("/",H20)-1)))</f>
        <v>1405</v>
      </c>
      <c r="AB20" s="7" t="n">
        <f aca="false">IF(H20="","",VALUE(MID(H20,FIND("/",H20)+1,FIND("/",H20,FIND("/",H20)+1)-FIND("/",H20)-1)))</f>
        <v>2</v>
      </c>
      <c r="AC20" s="7" t="n">
        <f aca="false">IF(H20="","",VALUE(MID(H20,FIND("/",H20,FIND("/",H20)+1)+1,LEN(H20)-FIND("/",H20,FIND("/",H20)+1))))</f>
        <v>31</v>
      </c>
      <c r="AD20" s="11" t="n">
        <f aca="false">IF(OR(H20="",AA20=""),"",IFERROR(INDEX('لیست‌ها'!$Q$3:$Q$53,MATCH(AA20,'لیست‌ها'!$P$3:$P$53,0))+IF(AB20&lt;=6,(AB20-1)*31+AC20,IF(AB20&lt;=11,186+(AB20-7)*30+AC20,336+AC20))-1,""))</f>
        <v>46163</v>
      </c>
      <c r="AE20" s="7" t="str">
        <f aca="false">IF(P20="","",VALUE(LEFT(P20,FIND("/",P20)-1)))</f>
        <v/>
      </c>
      <c r="AF20" s="7" t="str">
        <f aca="false">IF(P20="","",VALUE(MID(P20,FIND("/",P20)+1,FIND("/",P20,FIND("/",P20)+1)-FIND("/",P20)-1)))</f>
        <v/>
      </c>
      <c r="AG20" s="7" t="str">
        <f aca="false">IF(P20="","",VALUE(MID(P20,FIND("/",P20,FIND("/",P20)+1)+1,LEN(P20)-FIND("/",P20,FIND("/",P20)+1))))</f>
        <v/>
      </c>
      <c r="AH20" s="7" t="str">
        <f aca="false">IF(OR(P20="",AE20=""),"",IFERROR(INDEX('لیست‌ها'!$Q$3:$Q$53,MATCH(AE20,'لیست‌ها'!$P$3:$P$53,0))+IF(AF20&lt;=6,(AF20-1)*31+AG20,IF(AF20&lt;=11,186+(AF20-7)*30+AG20,336+AG20))-1,""))</f>
        <v/>
      </c>
      <c r="AI20" s="7" t="str">
        <f aca="false">IF(W20="","",W20&amp;"-"&amp;TEXT(X20,"00"))</f>
        <v>1405-02</v>
      </c>
      <c r="AJ20" s="7" t="n">
        <f aca="false">IF(W20="","",W20*12+X20)</f>
        <v>16862</v>
      </c>
      <c r="AK20" s="7" t="str">
        <f aca="false">IF(U20="تاخیر",V20+ROW()/100000,"")</f>
        <v/>
      </c>
    </row>
    <row r="21" customFormat="false" ht="15" hidden="false" customHeight="false" outlineLevel="0" collapsed="false">
      <c r="A21" s="7" t="n">
        <f aca="false">IF(B21="","",ROW()-3)</f>
        <v>18</v>
      </c>
      <c r="B21" s="8" t="s">
        <v>121</v>
      </c>
      <c r="C21" s="8" t="s">
        <v>38</v>
      </c>
      <c r="D21" s="8" t="s">
        <v>89</v>
      </c>
      <c r="E21" s="9" t="s">
        <v>122</v>
      </c>
      <c r="F21" s="9" t="s">
        <v>91</v>
      </c>
      <c r="G21" s="8" t="s">
        <v>92</v>
      </c>
      <c r="H21" s="8" t="s">
        <v>74</v>
      </c>
      <c r="I21" s="8" t="s">
        <v>54</v>
      </c>
      <c r="J21" s="9"/>
      <c r="K21" s="8"/>
      <c r="L21" s="8" t="s">
        <v>109</v>
      </c>
      <c r="M21" s="8" t="s">
        <v>56</v>
      </c>
      <c r="N21" s="8"/>
      <c r="O21" s="8"/>
      <c r="P21" s="8"/>
      <c r="Q21" s="8"/>
      <c r="R21" s="9"/>
      <c r="S21" s="8"/>
      <c r="T21" s="9"/>
      <c r="U21" s="10" t="str">
        <f aca="true">IF(B21="","",IF(OR(P21&lt;&gt;"",I21="می‌باشد"),"بسته",IF(AND(L21&lt;&gt;"",W21=""),"خطای فرمت تاریخ ایجاد",IF(AND(H21&lt;&gt;"",AA21=""),"خطای فرمت مهلت",IF(AND(H21&lt;&gt;"",AD21&lt;&gt;"",TODAY()&gt;AD21),"تاخیر",IF(L21&lt;&gt;"","در حال انجام",""))))))</f>
        <v>بسته</v>
      </c>
      <c r="V21" s="7" t="n">
        <f aca="true">IF(U21="تاخیر",TODAY()-AD21,IF(AND(U21="بسته",AH21&lt;&gt;"",AD21&lt;&gt;"",AH21&gt;AD21),AH21-AD21,0))</f>
        <v>0</v>
      </c>
      <c r="W21" s="7" t="n">
        <f aca="false">IF(L21="","",VALUE(LEFT(L21,FIND("/",L21)-1)))</f>
        <v>1405</v>
      </c>
      <c r="X21" s="7" t="n">
        <f aca="false">IF(L21="","",VALUE(MID(L21,FIND("/",L21)+1,FIND("/",L21,FIND("/",L21)+1)-FIND("/",L21)-1)))</f>
        <v>2</v>
      </c>
      <c r="Y21" s="7" t="n">
        <f aca="false">IF(L21="","",VALUE(MID(L21,FIND("/",L21,FIND("/",L21)+1)+1,LEN(L21)-FIND("/",L21,FIND("/",L21)+1))))</f>
        <v>6</v>
      </c>
      <c r="Z21" s="11" t="n">
        <f aca="false">IF(OR(L21="",W21=""),"",IFERROR(INDEX('لیست‌ها'!$Q$3:$Q$53,MATCH(W21,'لیست‌ها'!$P$3:$P$53,0))+IF(X21&lt;=6,(X21-1)*31+Y21,IF(X21&lt;=11,186+(X21-7)*30+Y21,336+Y21))-1,""))</f>
        <v>46138</v>
      </c>
      <c r="AA21" s="7" t="n">
        <f aca="false">IF(H21="","",VALUE(LEFT(H21,FIND("/",H21)-1)))</f>
        <v>1405</v>
      </c>
      <c r="AB21" s="7" t="n">
        <f aca="false">IF(H21="","",VALUE(MID(H21,FIND("/",H21)+1,FIND("/",H21,FIND("/",H21)+1)-FIND("/",H21)-1)))</f>
        <v>2</v>
      </c>
      <c r="AC21" s="7" t="n">
        <f aca="false">IF(H21="","",VALUE(MID(H21,FIND("/",H21,FIND("/",H21)+1)+1,LEN(H21)-FIND("/",H21,FIND("/",H21)+1))))</f>
        <v>31</v>
      </c>
      <c r="AD21" s="11" t="n">
        <f aca="false">IF(OR(H21="",AA21=""),"",IFERROR(INDEX('لیست‌ها'!$Q$3:$Q$53,MATCH(AA21,'لیست‌ها'!$P$3:$P$53,0))+IF(AB21&lt;=6,(AB21-1)*31+AC21,IF(AB21&lt;=11,186+(AB21-7)*30+AC21,336+AC21))-1,""))</f>
        <v>46163</v>
      </c>
      <c r="AE21" s="7" t="str">
        <f aca="false">IF(P21="","",VALUE(LEFT(P21,FIND("/",P21)-1)))</f>
        <v/>
      </c>
      <c r="AF21" s="7" t="str">
        <f aca="false">IF(P21="","",VALUE(MID(P21,FIND("/",P21)+1,FIND("/",P21,FIND("/",P21)+1)-FIND("/",P21)-1)))</f>
        <v/>
      </c>
      <c r="AG21" s="7" t="str">
        <f aca="false">IF(P21="","",VALUE(MID(P21,FIND("/",P21,FIND("/",P21)+1)+1,LEN(P21)-FIND("/",P21,FIND("/",P21)+1))))</f>
        <v/>
      </c>
      <c r="AH21" s="7" t="str">
        <f aca="false">IF(OR(P21="",AE21=""),"",IFERROR(INDEX('لیست‌ها'!$Q$3:$Q$53,MATCH(AE21,'لیست‌ها'!$P$3:$P$53,0))+IF(AF21&lt;=6,(AF21-1)*31+AG21,IF(AF21&lt;=11,186+(AF21-7)*30+AG21,336+AG21))-1,""))</f>
        <v/>
      </c>
      <c r="AI21" s="7" t="str">
        <f aca="false">IF(W21="","",W21&amp;"-"&amp;TEXT(X21,"00"))</f>
        <v>1405-02</v>
      </c>
      <c r="AJ21" s="7" t="n">
        <f aca="false">IF(W21="","",W21*12+X21)</f>
        <v>16862</v>
      </c>
      <c r="AK21" s="7" t="str">
        <f aca="false">IF(U21="تاخیر",V21+ROW()/100000,"")</f>
        <v/>
      </c>
    </row>
    <row r="22" customFormat="false" ht="15" hidden="false" customHeight="false" outlineLevel="0" collapsed="false">
      <c r="A22" s="7" t="n">
        <f aca="false">IF(B22="","",ROW()-3)</f>
        <v>19</v>
      </c>
      <c r="B22" s="8" t="s">
        <v>119</v>
      </c>
      <c r="C22" s="8" t="s">
        <v>38</v>
      </c>
      <c r="D22" s="8" t="s">
        <v>89</v>
      </c>
      <c r="E22" s="9" t="s">
        <v>120</v>
      </c>
      <c r="F22" s="9" t="s">
        <v>91</v>
      </c>
      <c r="G22" s="8" t="s">
        <v>92</v>
      </c>
      <c r="H22" s="8" t="s">
        <v>74</v>
      </c>
      <c r="I22" s="8" t="s">
        <v>54</v>
      </c>
      <c r="J22" s="9"/>
      <c r="K22" s="8"/>
      <c r="L22" s="8" t="s">
        <v>109</v>
      </c>
      <c r="M22" s="8" t="s">
        <v>56</v>
      </c>
      <c r="N22" s="8"/>
      <c r="O22" s="8"/>
      <c r="P22" s="8"/>
      <c r="Q22" s="8"/>
      <c r="R22" s="9"/>
      <c r="S22" s="8"/>
      <c r="T22" s="9"/>
      <c r="U22" s="10" t="str">
        <f aca="true">IF(B22="","",IF(OR(P22&lt;&gt;"",I22="می‌باشد"),"بسته",IF(AND(L22&lt;&gt;"",W22=""),"خطای فرمت تاریخ ایجاد",IF(AND(H22&lt;&gt;"",AA22=""),"خطای فرمت مهلت",IF(AND(H22&lt;&gt;"",AD22&lt;&gt;"",TODAY()&gt;AD22),"تاخیر",IF(L22&lt;&gt;"","در حال انجام",""))))))</f>
        <v>بسته</v>
      </c>
      <c r="V22" s="7" t="n">
        <f aca="true">IF(U22="تاخیر",TODAY()-AD22,IF(AND(U22="بسته",AH22&lt;&gt;"",AD22&lt;&gt;"",AH22&gt;AD22),AH22-AD22,0))</f>
        <v>0</v>
      </c>
      <c r="W22" s="7" t="n">
        <f aca="false">IF(L22="","",VALUE(LEFT(L22,FIND("/",L22)-1)))</f>
        <v>1405</v>
      </c>
      <c r="X22" s="7" t="n">
        <f aca="false">IF(L22="","",VALUE(MID(L22,FIND("/",L22)+1,FIND("/",L22,FIND("/",L22)+1)-FIND("/",L22)-1)))</f>
        <v>2</v>
      </c>
      <c r="Y22" s="7" t="n">
        <f aca="false">IF(L22="","",VALUE(MID(L22,FIND("/",L22,FIND("/",L22)+1)+1,LEN(L22)-FIND("/",L22,FIND("/",L22)+1))))</f>
        <v>6</v>
      </c>
      <c r="Z22" s="11" t="n">
        <f aca="false">IF(OR(L22="",W22=""),"",IFERROR(INDEX('لیست‌ها'!$Q$3:$Q$53,MATCH(W22,'لیست‌ها'!$P$3:$P$53,0))+IF(X22&lt;=6,(X22-1)*31+Y22,IF(X22&lt;=11,186+(X22-7)*30+Y22,336+Y22))-1,""))</f>
        <v>46138</v>
      </c>
      <c r="AA22" s="7" t="n">
        <f aca="false">IF(H22="","",VALUE(LEFT(H22,FIND("/",H22)-1)))</f>
        <v>1405</v>
      </c>
      <c r="AB22" s="7" t="n">
        <f aca="false">IF(H22="","",VALUE(MID(H22,FIND("/",H22)+1,FIND("/",H22,FIND("/",H22)+1)-FIND("/",H22)-1)))</f>
        <v>2</v>
      </c>
      <c r="AC22" s="7" t="n">
        <f aca="false">IF(H22="","",VALUE(MID(H22,FIND("/",H22,FIND("/",H22)+1)+1,LEN(H22)-FIND("/",H22,FIND("/",H22)+1))))</f>
        <v>31</v>
      </c>
      <c r="AD22" s="11" t="n">
        <f aca="false">IF(OR(H22="",AA22=""),"",IFERROR(INDEX('لیست‌ها'!$Q$3:$Q$53,MATCH(AA22,'لیست‌ها'!$P$3:$P$53,0))+IF(AB22&lt;=6,(AB22-1)*31+AC22,IF(AB22&lt;=11,186+(AB22-7)*30+AC22,336+AC22))-1,""))</f>
        <v>46163</v>
      </c>
      <c r="AE22" s="7" t="str">
        <f aca="false">IF(P22="","",VALUE(LEFT(P22,FIND("/",P22)-1)))</f>
        <v/>
      </c>
      <c r="AF22" s="7" t="str">
        <f aca="false">IF(P22="","",VALUE(MID(P22,FIND("/",P22)+1,FIND("/",P22,FIND("/",P22)+1)-FIND("/",P22)-1)))</f>
        <v/>
      </c>
      <c r="AG22" s="7" t="str">
        <f aca="false">IF(P22="","",VALUE(MID(P22,FIND("/",P22,FIND("/",P22)+1)+1,LEN(P22)-FIND("/",P22,FIND("/",P22)+1))))</f>
        <v/>
      </c>
      <c r="AH22" s="7" t="str">
        <f aca="false">IF(OR(P22="",AE22=""),"",IFERROR(INDEX('لیست‌ها'!$Q$3:$Q$53,MATCH(AE22,'لیست‌ها'!$P$3:$P$53,0))+IF(AF22&lt;=6,(AF22-1)*31+AG22,IF(AF22&lt;=11,186+(AF22-7)*30+AG22,336+AG22))-1,""))</f>
        <v/>
      </c>
      <c r="AI22" s="7" t="str">
        <f aca="false">IF(W22="","",W22&amp;"-"&amp;TEXT(X22,"00"))</f>
        <v>1405-02</v>
      </c>
      <c r="AJ22" s="7" t="n">
        <f aca="false">IF(W22="","",W22*12+X22)</f>
        <v>16862</v>
      </c>
      <c r="AK22" s="7" t="str">
        <f aca="false">IF(U22="تاخیر",V22+ROW()/100000,"")</f>
        <v/>
      </c>
    </row>
    <row r="23" customFormat="false" ht="15" hidden="false" customHeight="false" outlineLevel="0" collapsed="false">
      <c r="A23" s="7" t="n">
        <f aca="false">IF(B23="","",ROW()-3)</f>
        <v>20</v>
      </c>
      <c r="B23" s="8" t="s">
        <v>117</v>
      </c>
      <c r="C23" s="8" t="s">
        <v>38</v>
      </c>
      <c r="D23" s="8" t="s">
        <v>89</v>
      </c>
      <c r="E23" s="9" t="s">
        <v>118</v>
      </c>
      <c r="F23" s="9" t="s">
        <v>91</v>
      </c>
      <c r="G23" s="8" t="s">
        <v>92</v>
      </c>
      <c r="H23" s="8" t="s">
        <v>74</v>
      </c>
      <c r="I23" s="8"/>
      <c r="J23" s="9"/>
      <c r="K23" s="8"/>
      <c r="L23" s="8" t="s">
        <v>109</v>
      </c>
      <c r="M23" s="8" t="s">
        <v>110</v>
      </c>
      <c r="N23" s="8"/>
      <c r="O23" s="8"/>
      <c r="P23" s="8"/>
      <c r="Q23" s="8"/>
      <c r="R23" s="9"/>
      <c r="S23" s="8"/>
      <c r="T23" s="9"/>
      <c r="U23" s="10" t="str">
        <f aca="true">IF(B23="","",IF(OR(P23&lt;&gt;"",I23="می‌باشد"),"بسته",IF(AND(L23&lt;&gt;"",W23=""),"خطای فرمت تاریخ ایجاد",IF(AND(H23&lt;&gt;"",AA23=""),"خطای فرمت مهلت",IF(AND(H23&lt;&gt;"",AD23&lt;&gt;"",TODAY()&gt;AD23),"تاخیر",IF(L23&lt;&gt;"","در حال انجام",""))))))</f>
        <v>تاخیر</v>
      </c>
      <c r="V23" s="7" t="n">
        <f aca="true">IF(U23="تاخیر",TODAY()-AD23,IF(AND(U23="بسته",AH23&lt;&gt;"",AD23&lt;&gt;"",AH23&gt;AD23),AH23-AD23,0))</f>
        <v>132</v>
      </c>
      <c r="W23" s="7" t="n">
        <f aca="false">IF(L23="","",VALUE(LEFT(L23,FIND("/",L23)-1)))</f>
        <v>1405</v>
      </c>
      <c r="X23" s="7" t="n">
        <f aca="false">IF(L23="","",VALUE(MID(L23,FIND("/",L23)+1,FIND("/",L23,FIND("/",L23)+1)-FIND("/",L23)-1)))</f>
        <v>2</v>
      </c>
      <c r="Y23" s="7" t="n">
        <f aca="false">IF(L23="","",VALUE(MID(L23,FIND("/",L23,FIND("/",L23)+1)+1,LEN(L23)-FIND("/",L23,FIND("/",L23)+1))))</f>
        <v>6</v>
      </c>
      <c r="Z23" s="11" t="n">
        <f aca="false">IF(OR(L23="",W23=""),"",IFERROR(INDEX('لیست‌ها'!$Q$3:$Q$53,MATCH(W23,'لیست‌ها'!$P$3:$P$53,0))+IF(X23&lt;=6,(X23-1)*31+Y23,IF(X23&lt;=11,186+(X23-7)*30+Y23,336+Y23))-1,""))</f>
        <v>46138</v>
      </c>
      <c r="AA23" s="7" t="n">
        <f aca="false">IF(H23="","",VALUE(LEFT(H23,FIND("/",H23)-1)))</f>
        <v>1405</v>
      </c>
      <c r="AB23" s="7" t="n">
        <f aca="false">IF(H23="","",VALUE(MID(H23,FIND("/",H23)+1,FIND("/",H23,FIND("/",H23)+1)-FIND("/",H23)-1)))</f>
        <v>2</v>
      </c>
      <c r="AC23" s="7" t="n">
        <f aca="false">IF(H23="","",VALUE(MID(H23,FIND("/",H23,FIND("/",H23)+1)+1,LEN(H23)-FIND("/",H23,FIND("/",H23)+1))))</f>
        <v>31</v>
      </c>
      <c r="AD23" s="11" t="n">
        <f aca="false">IF(OR(H23="",AA23=""),"",IFERROR(INDEX('لیست‌ها'!$Q$3:$Q$53,MATCH(AA23,'لیست‌ها'!$P$3:$P$53,0))+IF(AB23&lt;=6,(AB23-1)*31+AC23,IF(AB23&lt;=11,186+(AB23-7)*30+AC23,336+AC23))-1,""))</f>
        <v>46163</v>
      </c>
      <c r="AE23" s="7" t="str">
        <f aca="false">IF(P23="","",VALUE(LEFT(P23,FIND("/",P23)-1)))</f>
        <v/>
      </c>
      <c r="AF23" s="7" t="str">
        <f aca="false">IF(P23="","",VALUE(MID(P23,FIND("/",P23)+1,FIND("/",P23,FIND("/",P23)+1)-FIND("/",P23)-1)))</f>
        <v/>
      </c>
      <c r="AG23" s="7" t="str">
        <f aca="false">IF(P23="","",VALUE(MID(P23,FIND("/",P23,FIND("/",P23)+1)+1,LEN(P23)-FIND("/",P23,FIND("/",P23)+1))))</f>
        <v/>
      </c>
      <c r="AH23" s="7" t="str">
        <f aca="false">IF(OR(P23="",AE23=""),"",IFERROR(INDEX('لیست‌ها'!$Q$3:$Q$53,MATCH(AE23,'لیست‌ها'!$P$3:$P$53,0))+IF(AF23&lt;=6,(AF23-1)*31+AG23,IF(AF23&lt;=11,186+(AF23-7)*30+AG23,336+AG23))-1,""))</f>
        <v/>
      </c>
      <c r="AI23" s="7" t="str">
        <f aca="false">IF(W23="","",W23&amp;"-"&amp;TEXT(X23,"00"))</f>
        <v>1405-02</v>
      </c>
      <c r="AJ23" s="7" t="n">
        <f aca="false">IF(W23="","",W23*12+X23)</f>
        <v>16862</v>
      </c>
      <c r="AK23" s="7" t="n">
        <f aca="false">IF(U23="تاخیر",V23+ROW()/100000,"")</f>
        <v>132.00029</v>
      </c>
    </row>
    <row r="24" customFormat="false" ht="15" hidden="false" customHeight="false" outlineLevel="0" collapsed="false">
      <c r="A24" s="7" t="n">
        <f aca="false">IF(B24="","",ROW()-3)</f>
        <v>21</v>
      </c>
      <c r="B24" s="8" t="s">
        <v>115</v>
      </c>
      <c r="C24" s="8" t="s">
        <v>38</v>
      </c>
      <c r="D24" s="8" t="s">
        <v>89</v>
      </c>
      <c r="E24" s="9" t="s">
        <v>116</v>
      </c>
      <c r="F24" s="9" t="s">
        <v>91</v>
      </c>
      <c r="G24" s="8" t="s">
        <v>92</v>
      </c>
      <c r="H24" s="8" t="s">
        <v>74</v>
      </c>
      <c r="I24" s="8"/>
      <c r="J24" s="9"/>
      <c r="K24" s="8"/>
      <c r="L24" s="8" t="s">
        <v>109</v>
      </c>
      <c r="M24" s="8" t="s">
        <v>110</v>
      </c>
      <c r="N24" s="8"/>
      <c r="O24" s="8"/>
      <c r="P24" s="8"/>
      <c r="Q24" s="8"/>
      <c r="R24" s="9"/>
      <c r="S24" s="8"/>
      <c r="T24" s="9"/>
      <c r="U24" s="10" t="str">
        <f aca="true">IF(B24="","",IF(OR(P24&lt;&gt;"",I24="می‌باشد"),"بسته",IF(AND(L24&lt;&gt;"",W24=""),"خطای فرمت تاریخ ایجاد",IF(AND(H24&lt;&gt;"",AA24=""),"خطای فرمت مهلت",IF(AND(H24&lt;&gt;"",AD24&lt;&gt;"",TODAY()&gt;AD24),"تاخیر",IF(L24&lt;&gt;"","در حال انجام",""))))))</f>
        <v>تاخیر</v>
      </c>
      <c r="V24" s="7" t="n">
        <f aca="true">IF(U24="تاخیر",TODAY()-AD24,IF(AND(U24="بسته",AH24&lt;&gt;"",AD24&lt;&gt;"",AH24&gt;AD24),AH24-AD24,0))</f>
        <v>132</v>
      </c>
      <c r="W24" s="7" t="n">
        <f aca="false">IF(L24="","",VALUE(LEFT(L24,FIND("/",L24)-1)))</f>
        <v>1405</v>
      </c>
      <c r="X24" s="7" t="n">
        <f aca="false">IF(L24="","",VALUE(MID(L24,FIND("/",L24)+1,FIND("/",L24,FIND("/",L24)+1)-FIND("/",L24)-1)))</f>
        <v>2</v>
      </c>
      <c r="Y24" s="7" t="n">
        <f aca="false">IF(L24="","",VALUE(MID(L24,FIND("/",L24,FIND("/",L24)+1)+1,LEN(L24)-FIND("/",L24,FIND("/",L24)+1))))</f>
        <v>6</v>
      </c>
      <c r="Z24" s="11" t="n">
        <f aca="false">IF(OR(L24="",W24=""),"",IFERROR(INDEX('لیست‌ها'!$Q$3:$Q$53,MATCH(W24,'لیست‌ها'!$P$3:$P$53,0))+IF(X24&lt;=6,(X24-1)*31+Y24,IF(X24&lt;=11,186+(X24-7)*30+Y24,336+Y24))-1,""))</f>
        <v>46138</v>
      </c>
      <c r="AA24" s="7" t="n">
        <f aca="false">IF(H24="","",VALUE(LEFT(H24,FIND("/",H24)-1)))</f>
        <v>1405</v>
      </c>
      <c r="AB24" s="7" t="n">
        <f aca="false">IF(H24="","",VALUE(MID(H24,FIND("/",H24)+1,FIND("/",H24,FIND("/",H24)+1)-FIND("/",H24)-1)))</f>
        <v>2</v>
      </c>
      <c r="AC24" s="7" t="n">
        <f aca="false">IF(H24="","",VALUE(MID(H24,FIND("/",H24,FIND("/",H24)+1)+1,LEN(H24)-FIND("/",H24,FIND("/",H24)+1))))</f>
        <v>31</v>
      </c>
      <c r="AD24" s="11" t="n">
        <f aca="false">IF(OR(H24="",AA24=""),"",IFERROR(INDEX('لیست‌ها'!$Q$3:$Q$53,MATCH(AA24,'لیست‌ها'!$P$3:$P$53,0))+IF(AB24&lt;=6,(AB24-1)*31+AC24,IF(AB24&lt;=11,186+(AB24-7)*30+AC24,336+AC24))-1,""))</f>
        <v>46163</v>
      </c>
      <c r="AE24" s="7" t="str">
        <f aca="false">IF(P24="","",VALUE(LEFT(P24,FIND("/",P24)-1)))</f>
        <v/>
      </c>
      <c r="AF24" s="7" t="str">
        <f aca="false">IF(P24="","",VALUE(MID(P24,FIND("/",P24)+1,FIND("/",P24,FIND("/",P24)+1)-FIND("/",P24)-1)))</f>
        <v/>
      </c>
      <c r="AG24" s="7" t="str">
        <f aca="false">IF(P24="","",VALUE(MID(P24,FIND("/",P24,FIND("/",P24)+1)+1,LEN(P24)-FIND("/",P24,FIND("/",P24)+1))))</f>
        <v/>
      </c>
      <c r="AH24" s="7" t="str">
        <f aca="false">IF(OR(P24="",AE24=""),"",IFERROR(INDEX('لیست‌ها'!$Q$3:$Q$53,MATCH(AE24,'لیست‌ها'!$P$3:$P$53,0))+IF(AF24&lt;=6,(AF24-1)*31+AG24,IF(AF24&lt;=11,186+(AF24-7)*30+AG24,336+AG24))-1,""))</f>
        <v/>
      </c>
      <c r="AI24" s="7" t="str">
        <f aca="false">IF(W24="","",W24&amp;"-"&amp;TEXT(X24,"00"))</f>
        <v>1405-02</v>
      </c>
      <c r="AJ24" s="7" t="n">
        <f aca="false">IF(W24="","",W24*12+X24)</f>
        <v>16862</v>
      </c>
      <c r="AK24" s="7" t="n">
        <f aca="false">IF(U24="تاخیر",V24+ROW()/100000,"")</f>
        <v>132.00028</v>
      </c>
    </row>
    <row r="25" customFormat="false" ht="15" hidden="false" customHeight="false" outlineLevel="0" collapsed="false">
      <c r="A25" s="7" t="n">
        <f aca="false">IF(B25="","",ROW()-3)</f>
        <v>22</v>
      </c>
      <c r="B25" s="8" t="s">
        <v>113</v>
      </c>
      <c r="C25" s="8" t="s">
        <v>38</v>
      </c>
      <c r="D25" s="8" t="s">
        <v>89</v>
      </c>
      <c r="E25" s="9" t="s">
        <v>114</v>
      </c>
      <c r="F25" s="9" t="s">
        <v>91</v>
      </c>
      <c r="G25" s="8" t="s">
        <v>92</v>
      </c>
      <c r="H25" s="8" t="s">
        <v>74</v>
      </c>
      <c r="I25" s="8"/>
      <c r="J25" s="9"/>
      <c r="K25" s="8"/>
      <c r="L25" s="8" t="s">
        <v>109</v>
      </c>
      <c r="M25" s="8" t="s">
        <v>110</v>
      </c>
      <c r="N25" s="8"/>
      <c r="O25" s="8"/>
      <c r="P25" s="8"/>
      <c r="Q25" s="8"/>
      <c r="R25" s="9"/>
      <c r="S25" s="8"/>
      <c r="T25" s="9"/>
      <c r="U25" s="10" t="str">
        <f aca="true">IF(B25="","",IF(OR(P25&lt;&gt;"",I25="می‌باشد"),"بسته",IF(AND(L25&lt;&gt;"",W25=""),"خطای فرمت تاریخ ایجاد",IF(AND(H25&lt;&gt;"",AA25=""),"خطای فرمت مهلت",IF(AND(H25&lt;&gt;"",AD25&lt;&gt;"",TODAY()&gt;AD25),"تاخیر",IF(L25&lt;&gt;"","در حال انجام",""))))))</f>
        <v>تاخیر</v>
      </c>
      <c r="V25" s="7" t="n">
        <f aca="true">IF(U25="تاخیر",TODAY()-AD25,IF(AND(U25="بسته",AH25&lt;&gt;"",AD25&lt;&gt;"",AH25&gt;AD25),AH25-AD25,0))</f>
        <v>132</v>
      </c>
      <c r="W25" s="7" t="n">
        <f aca="false">IF(L25="","",VALUE(LEFT(L25,FIND("/",L25)-1)))</f>
        <v>1405</v>
      </c>
      <c r="X25" s="7" t="n">
        <f aca="false">IF(L25="","",VALUE(MID(L25,FIND("/",L25)+1,FIND("/",L25,FIND("/",L25)+1)-FIND("/",L25)-1)))</f>
        <v>2</v>
      </c>
      <c r="Y25" s="7" t="n">
        <f aca="false">IF(L25="","",VALUE(MID(L25,FIND("/",L25,FIND("/",L25)+1)+1,LEN(L25)-FIND("/",L25,FIND("/",L25)+1))))</f>
        <v>6</v>
      </c>
      <c r="Z25" s="11" t="n">
        <f aca="false">IF(OR(L25="",W25=""),"",IFERROR(INDEX('لیست‌ها'!$Q$3:$Q$53,MATCH(W25,'لیست‌ها'!$P$3:$P$53,0))+IF(X25&lt;=6,(X25-1)*31+Y25,IF(X25&lt;=11,186+(X25-7)*30+Y25,336+Y25))-1,""))</f>
        <v>46138</v>
      </c>
      <c r="AA25" s="7" t="n">
        <f aca="false">IF(H25="","",VALUE(LEFT(H25,FIND("/",H25)-1)))</f>
        <v>1405</v>
      </c>
      <c r="AB25" s="7" t="n">
        <f aca="false">IF(H25="","",VALUE(MID(H25,FIND("/",H25)+1,FIND("/",H25,FIND("/",H25)+1)-FIND("/",H25)-1)))</f>
        <v>2</v>
      </c>
      <c r="AC25" s="7" t="n">
        <f aca="false">IF(H25="","",VALUE(MID(H25,FIND("/",H25,FIND("/",H25)+1)+1,LEN(H25)-FIND("/",H25,FIND("/",H25)+1))))</f>
        <v>31</v>
      </c>
      <c r="AD25" s="11" t="n">
        <f aca="false">IF(OR(H25="",AA25=""),"",IFERROR(INDEX('لیست‌ها'!$Q$3:$Q$53,MATCH(AA25,'لیست‌ها'!$P$3:$P$53,0))+IF(AB25&lt;=6,(AB25-1)*31+AC25,IF(AB25&lt;=11,186+(AB25-7)*30+AC25,336+AC25))-1,""))</f>
        <v>46163</v>
      </c>
      <c r="AE25" s="7" t="str">
        <f aca="false">IF(P25="","",VALUE(LEFT(P25,FIND("/",P25)-1)))</f>
        <v/>
      </c>
      <c r="AF25" s="7" t="str">
        <f aca="false">IF(P25="","",VALUE(MID(P25,FIND("/",P25)+1,FIND("/",P25,FIND("/",P25)+1)-FIND("/",P25)-1)))</f>
        <v/>
      </c>
      <c r="AG25" s="7" t="str">
        <f aca="false">IF(P25="","",VALUE(MID(P25,FIND("/",P25,FIND("/",P25)+1)+1,LEN(P25)-FIND("/",P25,FIND("/",P25)+1))))</f>
        <v/>
      </c>
      <c r="AH25" s="7" t="str">
        <f aca="false">IF(OR(P25="",AE25=""),"",IFERROR(INDEX('لیست‌ها'!$Q$3:$Q$53,MATCH(AE25,'لیست‌ها'!$P$3:$P$53,0))+IF(AF25&lt;=6,(AF25-1)*31+AG25,IF(AF25&lt;=11,186+(AF25-7)*30+AG25,336+AG25))-1,""))</f>
        <v/>
      </c>
      <c r="AI25" s="7" t="str">
        <f aca="false">IF(W25="","",W25&amp;"-"&amp;TEXT(X25,"00"))</f>
        <v>1405-02</v>
      </c>
      <c r="AJ25" s="7" t="n">
        <f aca="false">IF(W25="","",W25*12+X25)</f>
        <v>16862</v>
      </c>
      <c r="AK25" s="7" t="n">
        <f aca="false">IF(U25="تاخیر",V25+ROW()/100000,"")</f>
        <v>132.00027</v>
      </c>
    </row>
    <row r="26" customFormat="false" ht="15" hidden="false" customHeight="false" outlineLevel="0" collapsed="false">
      <c r="A26" s="7" t="n">
        <f aca="false">IF(B26="","",ROW()-3)</f>
        <v>23</v>
      </c>
      <c r="B26" s="8" t="s">
        <v>111</v>
      </c>
      <c r="C26" s="8" t="s">
        <v>38</v>
      </c>
      <c r="D26" s="8" t="s">
        <v>89</v>
      </c>
      <c r="E26" s="9" t="s">
        <v>112</v>
      </c>
      <c r="F26" s="9" t="s">
        <v>91</v>
      </c>
      <c r="G26" s="8" t="s">
        <v>92</v>
      </c>
      <c r="H26" s="8" t="s">
        <v>74</v>
      </c>
      <c r="I26" s="8"/>
      <c r="J26" s="9"/>
      <c r="K26" s="8"/>
      <c r="L26" s="8" t="s">
        <v>109</v>
      </c>
      <c r="M26" s="8" t="s">
        <v>110</v>
      </c>
      <c r="N26" s="8"/>
      <c r="O26" s="8"/>
      <c r="P26" s="8"/>
      <c r="Q26" s="8"/>
      <c r="R26" s="9"/>
      <c r="S26" s="8"/>
      <c r="T26" s="9"/>
      <c r="U26" s="10" t="str">
        <f aca="true">IF(B26="","",IF(OR(P26&lt;&gt;"",I26="می‌باشد"),"بسته",IF(AND(L26&lt;&gt;"",W26=""),"خطای فرمت تاریخ ایجاد",IF(AND(H26&lt;&gt;"",AA26=""),"خطای فرمت مهلت",IF(AND(H26&lt;&gt;"",AD26&lt;&gt;"",TODAY()&gt;AD26),"تاخیر",IF(L26&lt;&gt;"","در حال انجام",""))))))</f>
        <v>تاخیر</v>
      </c>
      <c r="V26" s="7" t="n">
        <f aca="true">IF(U26="تاخیر",TODAY()-AD26,IF(AND(U26="بسته",AH26&lt;&gt;"",AD26&lt;&gt;"",AH26&gt;AD26),AH26-AD26,0))</f>
        <v>132</v>
      </c>
      <c r="W26" s="7" t="n">
        <f aca="false">IF(L26="","",VALUE(LEFT(L26,FIND("/",L26)-1)))</f>
        <v>1405</v>
      </c>
      <c r="X26" s="7" t="n">
        <f aca="false">IF(L26="","",VALUE(MID(L26,FIND("/",L26)+1,FIND("/",L26,FIND("/",L26)+1)-FIND("/",L26)-1)))</f>
        <v>2</v>
      </c>
      <c r="Y26" s="7" t="n">
        <f aca="false">IF(L26="","",VALUE(MID(L26,FIND("/",L26,FIND("/",L26)+1)+1,LEN(L26)-FIND("/",L26,FIND("/",L26)+1))))</f>
        <v>6</v>
      </c>
      <c r="Z26" s="11" t="n">
        <f aca="false">IF(OR(L26="",W26=""),"",IFERROR(INDEX('لیست‌ها'!$Q$3:$Q$53,MATCH(W26,'لیست‌ها'!$P$3:$P$53,0))+IF(X26&lt;=6,(X26-1)*31+Y26,IF(X26&lt;=11,186+(X26-7)*30+Y26,336+Y26))-1,""))</f>
        <v>46138</v>
      </c>
      <c r="AA26" s="7" t="n">
        <f aca="false">IF(H26="","",VALUE(LEFT(H26,FIND("/",H26)-1)))</f>
        <v>1405</v>
      </c>
      <c r="AB26" s="7" t="n">
        <f aca="false">IF(H26="","",VALUE(MID(H26,FIND("/",H26)+1,FIND("/",H26,FIND("/",H26)+1)-FIND("/",H26)-1)))</f>
        <v>2</v>
      </c>
      <c r="AC26" s="7" t="n">
        <f aca="false">IF(H26="","",VALUE(MID(H26,FIND("/",H26,FIND("/",H26)+1)+1,LEN(H26)-FIND("/",H26,FIND("/",H26)+1))))</f>
        <v>31</v>
      </c>
      <c r="AD26" s="11" t="n">
        <f aca="false">IF(OR(H26="",AA26=""),"",IFERROR(INDEX('لیست‌ها'!$Q$3:$Q$53,MATCH(AA26,'لیست‌ها'!$P$3:$P$53,0))+IF(AB26&lt;=6,(AB26-1)*31+AC26,IF(AB26&lt;=11,186+(AB26-7)*30+AC26,336+AC26))-1,""))</f>
        <v>46163</v>
      </c>
      <c r="AE26" s="7" t="str">
        <f aca="false">IF(P26="","",VALUE(LEFT(P26,FIND("/",P26)-1)))</f>
        <v/>
      </c>
      <c r="AF26" s="7" t="str">
        <f aca="false">IF(P26="","",VALUE(MID(P26,FIND("/",P26)+1,FIND("/",P26,FIND("/",P26)+1)-FIND("/",P26)-1)))</f>
        <v/>
      </c>
      <c r="AG26" s="7" t="str">
        <f aca="false">IF(P26="","",VALUE(MID(P26,FIND("/",P26,FIND("/",P26)+1)+1,LEN(P26)-FIND("/",P26,FIND("/",P26)+1))))</f>
        <v/>
      </c>
      <c r="AH26" s="7" t="str">
        <f aca="false">IF(OR(P26="",AE26=""),"",IFERROR(INDEX('لیست‌ها'!$Q$3:$Q$53,MATCH(AE26,'لیست‌ها'!$P$3:$P$53,0))+IF(AF26&lt;=6,(AF26-1)*31+AG26,IF(AF26&lt;=11,186+(AF26-7)*30+AG26,336+AG26))-1,""))</f>
        <v/>
      </c>
      <c r="AI26" s="7" t="str">
        <f aca="false">IF(W26="","",W26&amp;"-"&amp;TEXT(X26,"00"))</f>
        <v>1405-02</v>
      </c>
      <c r="AJ26" s="7" t="n">
        <f aca="false">IF(W26="","",W26*12+X26)</f>
        <v>16862</v>
      </c>
      <c r="AK26" s="7" t="n">
        <f aca="false">IF(U26="تاخیر",V26+ROW()/100000,"")</f>
        <v>132.00026</v>
      </c>
    </row>
    <row r="27" customFormat="false" ht="15" hidden="false" customHeight="false" outlineLevel="0" collapsed="false">
      <c r="A27" s="7" t="n">
        <f aca="false">IF(B27="","",ROW()-3)</f>
        <v>24</v>
      </c>
      <c r="B27" s="8" t="s">
        <v>107</v>
      </c>
      <c r="C27" s="8" t="s">
        <v>38</v>
      </c>
      <c r="D27" s="8" t="s">
        <v>89</v>
      </c>
      <c r="E27" s="9" t="s">
        <v>108</v>
      </c>
      <c r="F27" s="9" t="s">
        <v>91</v>
      </c>
      <c r="G27" s="8" t="s">
        <v>92</v>
      </c>
      <c r="H27" s="8" t="s">
        <v>61</v>
      </c>
      <c r="I27" s="8"/>
      <c r="J27" s="9"/>
      <c r="K27" s="8"/>
      <c r="L27" s="8" t="s">
        <v>109</v>
      </c>
      <c r="M27" s="8" t="s">
        <v>110</v>
      </c>
      <c r="N27" s="8"/>
      <c r="O27" s="8"/>
      <c r="P27" s="8"/>
      <c r="Q27" s="8"/>
      <c r="R27" s="9"/>
      <c r="S27" s="8"/>
      <c r="T27" s="9"/>
      <c r="U27" s="10" t="str">
        <f aca="true">IF(B27="","",IF(OR(P27&lt;&gt;"",I27="می‌باشد"),"بسته",IF(AND(L27&lt;&gt;"",W27=""),"خطای فرمت تاریخ ایجاد",IF(AND(H27&lt;&gt;"",AA27=""),"خطای فرمت مهلت",IF(AND(H27&lt;&gt;"",AD27&lt;&gt;"",TODAY()&gt;AD27),"تاخیر",IF(L27&lt;&gt;"","در حال انجام",""))))))</f>
        <v>تاخیر</v>
      </c>
      <c r="V27" s="7" t="n">
        <f aca="true">IF(U27="تاخیر",TODAY()-AD27,IF(AND(U27="بسته",AH27&lt;&gt;"",AD27&lt;&gt;"",AH27&gt;AD27),AH27-AD27,0))</f>
        <v>163</v>
      </c>
      <c r="W27" s="7" t="n">
        <f aca="false">IF(L27="","",VALUE(LEFT(L27,FIND("/",L27)-1)))</f>
        <v>1405</v>
      </c>
      <c r="X27" s="7" t="n">
        <f aca="false">IF(L27="","",VALUE(MID(L27,FIND("/",L27)+1,FIND("/",L27,FIND("/",L27)+1)-FIND("/",L27)-1)))</f>
        <v>2</v>
      </c>
      <c r="Y27" s="7" t="n">
        <f aca="false">IF(L27="","",VALUE(MID(L27,FIND("/",L27,FIND("/",L27)+1)+1,LEN(L27)-FIND("/",L27,FIND("/",L27)+1))))</f>
        <v>6</v>
      </c>
      <c r="Z27" s="11" t="n">
        <f aca="false">IF(OR(L27="",W27=""),"",IFERROR(INDEX('لیست‌ها'!$Q$3:$Q$53,MATCH(W27,'لیست‌ها'!$P$3:$P$53,0))+IF(X27&lt;=6,(X27-1)*31+Y27,IF(X27&lt;=11,186+(X27-7)*30+Y27,336+Y27))-1,""))</f>
        <v>46138</v>
      </c>
      <c r="AA27" s="7" t="n">
        <f aca="false">IF(H27="","",VALUE(LEFT(H27,FIND("/",H27)-1)))</f>
        <v>1405</v>
      </c>
      <c r="AB27" s="7" t="n">
        <f aca="false">IF(H27="","",VALUE(MID(H27,FIND("/",H27)+1,FIND("/",H27,FIND("/",H27)+1)-FIND("/",H27)-1)))</f>
        <v>1</v>
      </c>
      <c r="AC27" s="7" t="n">
        <f aca="false">IF(H27="","",VALUE(MID(H27,FIND("/",H27,FIND("/",H27)+1)+1,LEN(H27)-FIND("/",H27,FIND("/",H27)+1))))</f>
        <v>31</v>
      </c>
      <c r="AD27" s="11" t="n">
        <f aca="false">IF(OR(H27="",AA27=""),"",IFERROR(INDEX('لیست‌ها'!$Q$3:$Q$53,MATCH(AA27,'لیست‌ها'!$P$3:$P$53,0))+IF(AB27&lt;=6,(AB27-1)*31+AC27,IF(AB27&lt;=11,186+(AB27-7)*30+AC27,336+AC27))-1,""))</f>
        <v>46132</v>
      </c>
      <c r="AE27" s="7" t="str">
        <f aca="false">IF(P27="","",VALUE(LEFT(P27,FIND("/",P27)-1)))</f>
        <v/>
      </c>
      <c r="AF27" s="7" t="str">
        <f aca="false">IF(P27="","",VALUE(MID(P27,FIND("/",P27)+1,FIND("/",P27,FIND("/",P27)+1)-FIND("/",P27)-1)))</f>
        <v/>
      </c>
      <c r="AG27" s="7" t="str">
        <f aca="false">IF(P27="","",VALUE(MID(P27,FIND("/",P27,FIND("/",P27)+1)+1,LEN(P27)-FIND("/",P27,FIND("/",P27)+1))))</f>
        <v/>
      </c>
      <c r="AH27" s="7" t="str">
        <f aca="false">IF(OR(P27="",AE27=""),"",IFERROR(INDEX('لیست‌ها'!$Q$3:$Q$53,MATCH(AE27,'لیست‌ها'!$P$3:$P$53,0))+IF(AF27&lt;=6,(AF27-1)*31+AG27,IF(AF27&lt;=11,186+(AF27-7)*30+AG27,336+AG27))-1,""))</f>
        <v/>
      </c>
      <c r="AI27" s="7" t="str">
        <f aca="false">IF(W27="","",W27&amp;"-"&amp;TEXT(X27,"00"))</f>
        <v>1405-02</v>
      </c>
      <c r="AJ27" s="7" t="n">
        <f aca="false">IF(W27="","",W27*12+X27)</f>
        <v>16862</v>
      </c>
      <c r="AK27" s="7" t="n">
        <f aca="false">IF(U27="تاخیر",V27+ROW()/100000,"")</f>
        <v>163.00025</v>
      </c>
    </row>
    <row r="28" customFormat="false" ht="15" hidden="false" customHeight="false" outlineLevel="0" collapsed="false">
      <c r="A28" s="7" t="n">
        <f aca="false">IF(B28="","",ROW()-3)</f>
        <v>25</v>
      </c>
      <c r="B28" s="8" t="s">
        <v>105</v>
      </c>
      <c r="C28" s="8" t="s">
        <v>38</v>
      </c>
      <c r="D28" s="8" t="s">
        <v>47</v>
      </c>
      <c r="E28" s="9" t="s">
        <v>106</v>
      </c>
      <c r="F28" s="9" t="s">
        <v>51</v>
      </c>
      <c r="G28" s="8" t="s">
        <v>52</v>
      </c>
      <c r="H28" s="8" t="s">
        <v>74</v>
      </c>
      <c r="I28" s="8" t="s">
        <v>54</v>
      </c>
      <c r="J28" s="9"/>
      <c r="K28" s="8"/>
      <c r="L28" s="8" t="s">
        <v>101</v>
      </c>
      <c r="M28" s="8" t="s">
        <v>56</v>
      </c>
      <c r="N28" s="8"/>
      <c r="O28" s="8"/>
      <c r="P28" s="8"/>
      <c r="Q28" s="8"/>
      <c r="R28" s="9"/>
      <c r="S28" s="8"/>
      <c r="T28" s="9"/>
      <c r="U28" s="10" t="str">
        <f aca="true">IF(B28="","",IF(OR(P28&lt;&gt;"",I28="می‌باشد"),"بسته",IF(AND(L28&lt;&gt;"",W28=""),"خطای فرمت تاریخ ایجاد",IF(AND(H28&lt;&gt;"",AA28=""),"خطای فرمت مهلت",IF(AND(H28&lt;&gt;"",AD28&lt;&gt;"",TODAY()&gt;AD28),"تاخیر",IF(L28&lt;&gt;"","در حال انجام",""))))))</f>
        <v>بسته</v>
      </c>
      <c r="V28" s="7" t="n">
        <f aca="true">IF(U28="تاخیر",TODAY()-AD28,IF(AND(U28="بسته",AH28&lt;&gt;"",AD28&lt;&gt;"",AH28&gt;AD28),AH28-AD28,0))</f>
        <v>0</v>
      </c>
      <c r="W28" s="7" t="n">
        <f aca="false">IF(L28="","",VALUE(LEFT(L28,FIND("/",L28)-1)))</f>
        <v>1405</v>
      </c>
      <c r="X28" s="7" t="n">
        <f aca="false">IF(L28="","",VALUE(MID(L28,FIND("/",L28)+1,FIND("/",L28,FIND("/",L28)+1)-FIND("/",L28)-1)))</f>
        <v>2</v>
      </c>
      <c r="Y28" s="7" t="n">
        <f aca="false">IF(L28="","",VALUE(MID(L28,FIND("/",L28,FIND("/",L28)+1)+1,LEN(L28)-FIND("/",L28,FIND("/",L28)+1))))</f>
        <v>8</v>
      </c>
      <c r="Z28" s="11" t="n">
        <f aca="false">IF(OR(L28="",W28=""),"",IFERROR(INDEX('لیست‌ها'!$Q$3:$Q$53,MATCH(W28,'لیست‌ها'!$P$3:$P$53,0))+IF(X28&lt;=6,(X28-1)*31+Y28,IF(X28&lt;=11,186+(X28-7)*30+Y28,336+Y28))-1,""))</f>
        <v>46140</v>
      </c>
      <c r="AA28" s="7" t="n">
        <f aca="false">IF(H28="","",VALUE(LEFT(H28,FIND("/",H28)-1)))</f>
        <v>1405</v>
      </c>
      <c r="AB28" s="7" t="n">
        <f aca="false">IF(H28="","",VALUE(MID(H28,FIND("/",H28)+1,FIND("/",H28,FIND("/",H28)+1)-FIND("/",H28)-1)))</f>
        <v>2</v>
      </c>
      <c r="AC28" s="7" t="n">
        <f aca="false">IF(H28="","",VALUE(MID(H28,FIND("/",H28,FIND("/",H28)+1)+1,LEN(H28)-FIND("/",H28,FIND("/",H28)+1))))</f>
        <v>31</v>
      </c>
      <c r="AD28" s="11" t="n">
        <f aca="false">IF(OR(H28="",AA28=""),"",IFERROR(INDEX('لیست‌ها'!$Q$3:$Q$53,MATCH(AA28,'لیست‌ها'!$P$3:$P$53,0))+IF(AB28&lt;=6,(AB28-1)*31+AC28,IF(AB28&lt;=11,186+(AB28-7)*30+AC28,336+AC28))-1,""))</f>
        <v>46163</v>
      </c>
      <c r="AE28" s="7" t="str">
        <f aca="false">IF(P28="","",VALUE(LEFT(P28,FIND("/",P28)-1)))</f>
        <v/>
      </c>
      <c r="AF28" s="7" t="str">
        <f aca="false">IF(P28="","",VALUE(MID(P28,FIND("/",P28)+1,FIND("/",P28,FIND("/",P28)+1)-FIND("/",P28)-1)))</f>
        <v/>
      </c>
      <c r="AG28" s="7" t="str">
        <f aca="false">IF(P28="","",VALUE(MID(P28,FIND("/",P28,FIND("/",P28)+1)+1,LEN(P28)-FIND("/",P28,FIND("/",P28)+1))))</f>
        <v/>
      </c>
      <c r="AH28" s="7" t="str">
        <f aca="false">IF(OR(P28="",AE28=""),"",IFERROR(INDEX('لیست‌ها'!$Q$3:$Q$53,MATCH(AE28,'لیست‌ها'!$P$3:$P$53,0))+IF(AF28&lt;=6,(AF28-1)*31+AG28,IF(AF28&lt;=11,186+(AF28-7)*30+AG28,336+AG28))-1,""))</f>
        <v/>
      </c>
      <c r="AI28" s="7" t="str">
        <f aca="false">IF(W28="","",W28&amp;"-"&amp;TEXT(X28,"00"))</f>
        <v>1405-02</v>
      </c>
      <c r="AJ28" s="7" t="n">
        <f aca="false">IF(W28="","",W28*12+X28)</f>
        <v>16862</v>
      </c>
      <c r="AK28" s="7" t="str">
        <f aca="false">IF(U28="تاخیر",V28+ROW()/100000,"")</f>
        <v/>
      </c>
    </row>
    <row r="29" customFormat="false" ht="15" hidden="false" customHeight="false" outlineLevel="0" collapsed="false">
      <c r="A29" s="7" t="n">
        <f aca="false">IF(B29="","",ROW()-3)</f>
        <v>26</v>
      </c>
      <c r="B29" s="8" t="s">
        <v>102</v>
      </c>
      <c r="C29" s="8" t="s">
        <v>38</v>
      </c>
      <c r="D29" s="8" t="s">
        <v>47</v>
      </c>
      <c r="E29" s="9" t="s">
        <v>103</v>
      </c>
      <c r="F29" s="9" t="s">
        <v>51</v>
      </c>
      <c r="G29" s="8" t="s">
        <v>52</v>
      </c>
      <c r="H29" s="8" t="s">
        <v>104</v>
      </c>
      <c r="I29" s="8" t="s">
        <v>54</v>
      </c>
      <c r="J29" s="9"/>
      <c r="K29" s="8"/>
      <c r="L29" s="8" t="s">
        <v>101</v>
      </c>
      <c r="M29" s="8" t="s">
        <v>56</v>
      </c>
      <c r="N29" s="8"/>
      <c r="O29" s="8"/>
      <c r="P29" s="8"/>
      <c r="Q29" s="8"/>
      <c r="R29" s="9"/>
      <c r="S29" s="8"/>
      <c r="T29" s="9"/>
      <c r="U29" s="10" t="str">
        <f aca="true">IF(B29="","",IF(OR(P29&lt;&gt;"",I29="می‌باشد"),"بسته",IF(AND(L29&lt;&gt;"",W29=""),"خطای فرمت تاریخ ایجاد",IF(AND(H29&lt;&gt;"",AA29=""),"خطای فرمت مهلت",IF(AND(H29&lt;&gt;"",AD29&lt;&gt;"",TODAY()&gt;AD29),"تاخیر",IF(L29&lt;&gt;"","در حال انجام",""))))))</f>
        <v>بسته</v>
      </c>
      <c r="V29" s="7" t="n">
        <f aca="true">IF(U29="تاخیر",TODAY()-AD29,IF(AND(U29="بسته",AH29&lt;&gt;"",AD29&lt;&gt;"",AH29&gt;AD29),AH29-AD29,0))</f>
        <v>0</v>
      </c>
      <c r="W29" s="7" t="n">
        <f aca="false">IF(L29="","",VALUE(LEFT(L29,FIND("/",L29)-1)))</f>
        <v>1405</v>
      </c>
      <c r="X29" s="7" t="n">
        <f aca="false">IF(L29="","",VALUE(MID(L29,FIND("/",L29)+1,FIND("/",L29,FIND("/",L29)+1)-FIND("/",L29)-1)))</f>
        <v>2</v>
      </c>
      <c r="Y29" s="7" t="n">
        <f aca="false">IF(L29="","",VALUE(MID(L29,FIND("/",L29,FIND("/",L29)+1)+1,LEN(L29)-FIND("/",L29,FIND("/",L29)+1))))</f>
        <v>8</v>
      </c>
      <c r="Z29" s="11" t="n">
        <f aca="false">IF(OR(L29="",W29=""),"",IFERROR(INDEX('لیست‌ها'!$Q$3:$Q$53,MATCH(W29,'لیست‌ها'!$P$3:$P$53,0))+IF(X29&lt;=6,(X29-1)*31+Y29,IF(X29&lt;=11,186+(X29-7)*30+Y29,336+Y29))-1,""))</f>
        <v>46140</v>
      </c>
      <c r="AA29" s="7" t="n">
        <f aca="false">IF(H29="","",VALUE(LEFT(H29,FIND("/",H29)-1)))</f>
        <v>1405</v>
      </c>
      <c r="AB29" s="7" t="n">
        <f aca="false">IF(H29="","",VALUE(MID(H29,FIND("/",H29)+1,FIND("/",H29,FIND("/",H29)+1)-FIND("/",H29)-1)))</f>
        <v>2</v>
      </c>
      <c r="AC29" s="7" t="n">
        <f aca="false">IF(H29="","",VALUE(MID(H29,FIND("/",H29,FIND("/",H29)+1)+1,LEN(H29)-FIND("/",H29,FIND("/",H29)+1))))</f>
        <v>26</v>
      </c>
      <c r="AD29" s="11" t="n">
        <f aca="false">IF(OR(H29="",AA29=""),"",IFERROR(INDEX('لیست‌ها'!$Q$3:$Q$53,MATCH(AA29,'لیست‌ها'!$P$3:$P$53,0))+IF(AB29&lt;=6,(AB29-1)*31+AC29,IF(AB29&lt;=11,186+(AB29-7)*30+AC29,336+AC29))-1,""))</f>
        <v>46158</v>
      </c>
      <c r="AE29" s="7" t="str">
        <f aca="false">IF(P29="","",VALUE(LEFT(P29,FIND("/",P29)-1)))</f>
        <v/>
      </c>
      <c r="AF29" s="7" t="str">
        <f aca="false">IF(P29="","",VALUE(MID(P29,FIND("/",P29)+1,FIND("/",P29,FIND("/",P29)+1)-FIND("/",P29)-1)))</f>
        <v/>
      </c>
      <c r="AG29" s="7" t="str">
        <f aca="false">IF(P29="","",VALUE(MID(P29,FIND("/",P29,FIND("/",P29)+1)+1,LEN(P29)-FIND("/",P29,FIND("/",P29)+1))))</f>
        <v/>
      </c>
      <c r="AH29" s="7" t="str">
        <f aca="false">IF(OR(P29="",AE29=""),"",IFERROR(INDEX('لیست‌ها'!$Q$3:$Q$53,MATCH(AE29,'لیست‌ها'!$P$3:$P$53,0))+IF(AF29&lt;=6,(AF29-1)*31+AG29,IF(AF29&lt;=11,186+(AF29-7)*30+AG29,336+AG29))-1,""))</f>
        <v/>
      </c>
      <c r="AI29" s="7" t="str">
        <f aca="false">IF(W29="","",W29&amp;"-"&amp;TEXT(X29,"00"))</f>
        <v>1405-02</v>
      </c>
      <c r="AJ29" s="7" t="n">
        <f aca="false">IF(W29="","",W29*12+X29)</f>
        <v>16862</v>
      </c>
      <c r="AK29" s="7" t="str">
        <f aca="false">IF(U29="تاخیر",V29+ROW()/100000,"")</f>
        <v/>
      </c>
    </row>
    <row r="30" customFormat="false" ht="15" hidden="false" customHeight="false" outlineLevel="0" collapsed="false">
      <c r="A30" s="7" t="n">
        <f aca="false">IF(B30="","",ROW()-3)</f>
        <v>27</v>
      </c>
      <c r="B30" s="8" t="s">
        <v>99</v>
      </c>
      <c r="C30" s="8" t="s">
        <v>38</v>
      </c>
      <c r="D30" s="8" t="s">
        <v>47</v>
      </c>
      <c r="E30" s="9" t="s">
        <v>100</v>
      </c>
      <c r="F30" s="9" t="s">
        <v>51</v>
      </c>
      <c r="G30" s="8" t="s">
        <v>52</v>
      </c>
      <c r="H30" s="8" t="s">
        <v>74</v>
      </c>
      <c r="I30" s="8" t="s">
        <v>54</v>
      </c>
      <c r="J30" s="9"/>
      <c r="K30" s="8"/>
      <c r="L30" s="8" t="s">
        <v>101</v>
      </c>
      <c r="M30" s="8" t="s">
        <v>56</v>
      </c>
      <c r="N30" s="8"/>
      <c r="O30" s="8"/>
      <c r="P30" s="8"/>
      <c r="Q30" s="8"/>
      <c r="R30" s="9"/>
      <c r="S30" s="8"/>
      <c r="T30" s="9"/>
      <c r="U30" s="10" t="str">
        <f aca="true">IF(B30="","",IF(OR(P30&lt;&gt;"",I30="می‌باشد"),"بسته",IF(AND(L30&lt;&gt;"",W30=""),"خطای فرمت تاریخ ایجاد",IF(AND(H30&lt;&gt;"",AA30=""),"خطای فرمت مهلت",IF(AND(H30&lt;&gt;"",AD30&lt;&gt;"",TODAY()&gt;AD30),"تاخیر",IF(L30&lt;&gt;"","در حال انجام",""))))))</f>
        <v>بسته</v>
      </c>
      <c r="V30" s="7" t="n">
        <f aca="true">IF(U30="تاخیر",TODAY()-AD30,IF(AND(U30="بسته",AH30&lt;&gt;"",AD30&lt;&gt;"",AH30&gt;AD30),AH30-AD30,0))</f>
        <v>0</v>
      </c>
      <c r="W30" s="7" t="n">
        <f aca="false">IF(L30="","",VALUE(LEFT(L30,FIND("/",L30)-1)))</f>
        <v>1405</v>
      </c>
      <c r="X30" s="7" t="n">
        <f aca="false">IF(L30="","",VALUE(MID(L30,FIND("/",L30)+1,FIND("/",L30,FIND("/",L30)+1)-FIND("/",L30)-1)))</f>
        <v>2</v>
      </c>
      <c r="Y30" s="7" t="n">
        <f aca="false">IF(L30="","",VALUE(MID(L30,FIND("/",L30,FIND("/",L30)+1)+1,LEN(L30)-FIND("/",L30,FIND("/",L30)+1))))</f>
        <v>8</v>
      </c>
      <c r="Z30" s="11" t="n">
        <f aca="false">IF(OR(L30="",W30=""),"",IFERROR(INDEX('لیست‌ها'!$Q$3:$Q$53,MATCH(W30,'لیست‌ها'!$P$3:$P$53,0))+IF(X30&lt;=6,(X30-1)*31+Y30,IF(X30&lt;=11,186+(X30-7)*30+Y30,336+Y30))-1,""))</f>
        <v>46140</v>
      </c>
      <c r="AA30" s="7" t="n">
        <f aca="false">IF(H30="","",VALUE(LEFT(H30,FIND("/",H30)-1)))</f>
        <v>1405</v>
      </c>
      <c r="AB30" s="7" t="n">
        <f aca="false">IF(H30="","",VALUE(MID(H30,FIND("/",H30)+1,FIND("/",H30,FIND("/",H30)+1)-FIND("/",H30)-1)))</f>
        <v>2</v>
      </c>
      <c r="AC30" s="7" t="n">
        <f aca="false">IF(H30="","",VALUE(MID(H30,FIND("/",H30,FIND("/",H30)+1)+1,LEN(H30)-FIND("/",H30,FIND("/",H30)+1))))</f>
        <v>31</v>
      </c>
      <c r="AD30" s="11" t="n">
        <f aca="false">IF(OR(H30="",AA30=""),"",IFERROR(INDEX('لیست‌ها'!$Q$3:$Q$53,MATCH(AA30,'لیست‌ها'!$P$3:$P$53,0))+IF(AB30&lt;=6,(AB30-1)*31+AC30,IF(AB30&lt;=11,186+(AB30-7)*30+AC30,336+AC30))-1,""))</f>
        <v>46163</v>
      </c>
      <c r="AE30" s="7" t="str">
        <f aca="false">IF(P30="","",VALUE(LEFT(P30,FIND("/",P30)-1)))</f>
        <v/>
      </c>
      <c r="AF30" s="7" t="str">
        <f aca="false">IF(P30="","",VALUE(MID(P30,FIND("/",P30)+1,FIND("/",P30,FIND("/",P30)+1)-FIND("/",P30)-1)))</f>
        <v/>
      </c>
      <c r="AG30" s="7" t="str">
        <f aca="false">IF(P30="","",VALUE(MID(P30,FIND("/",P30,FIND("/",P30)+1)+1,LEN(P30)-FIND("/",P30,FIND("/",P30)+1))))</f>
        <v/>
      </c>
      <c r="AH30" s="7" t="str">
        <f aca="false">IF(OR(P30="",AE30=""),"",IFERROR(INDEX('لیست‌ها'!$Q$3:$Q$53,MATCH(AE30,'لیست‌ها'!$P$3:$P$53,0))+IF(AF30&lt;=6,(AF30-1)*31+AG30,IF(AF30&lt;=11,186+(AF30-7)*30+AG30,336+AG30))-1,""))</f>
        <v/>
      </c>
      <c r="AI30" s="7" t="str">
        <f aca="false">IF(W30="","",W30&amp;"-"&amp;TEXT(X30,"00"))</f>
        <v>1405-02</v>
      </c>
      <c r="AJ30" s="7" t="n">
        <f aca="false">IF(W30="","",W30*12+X30)</f>
        <v>16862</v>
      </c>
      <c r="AK30" s="7" t="str">
        <f aca="false">IF(U30="تاخیر",V30+ROW()/100000,"")</f>
        <v/>
      </c>
    </row>
    <row r="31" customFormat="false" ht="15" hidden="false" customHeight="false" outlineLevel="0" collapsed="false">
      <c r="A31" s="7" t="n">
        <f aca="false">IF(B31="","",ROW()-3)</f>
        <v>28</v>
      </c>
      <c r="B31" s="8" t="s">
        <v>96</v>
      </c>
      <c r="C31" s="8" t="s">
        <v>38</v>
      </c>
      <c r="D31" s="8" t="s">
        <v>47</v>
      </c>
      <c r="E31" s="9" t="s">
        <v>97</v>
      </c>
      <c r="F31" s="9" t="s">
        <v>51</v>
      </c>
      <c r="G31" s="8" t="s">
        <v>52</v>
      </c>
      <c r="H31" s="8" t="s">
        <v>74</v>
      </c>
      <c r="I31" s="8" t="s">
        <v>54</v>
      </c>
      <c r="J31" s="9"/>
      <c r="K31" s="8"/>
      <c r="L31" s="8" t="s">
        <v>98</v>
      </c>
      <c r="M31" s="8" t="s">
        <v>56</v>
      </c>
      <c r="N31" s="8"/>
      <c r="O31" s="8"/>
      <c r="P31" s="8"/>
      <c r="Q31" s="8"/>
      <c r="R31" s="9"/>
      <c r="S31" s="8"/>
      <c r="T31" s="9"/>
      <c r="U31" s="10" t="str">
        <f aca="true">IF(B31="","",IF(OR(P31&lt;&gt;"",I31="می‌باشد"),"بسته",IF(AND(L31&lt;&gt;"",W31=""),"خطای فرمت تاریخ ایجاد",IF(AND(H31&lt;&gt;"",AA31=""),"خطای فرمت مهلت",IF(AND(H31&lt;&gt;"",AD31&lt;&gt;"",TODAY()&gt;AD31),"تاخیر",IF(L31&lt;&gt;"","در حال انجام",""))))))</f>
        <v>بسته</v>
      </c>
      <c r="V31" s="7" t="n">
        <f aca="true">IF(U31="تاخیر",TODAY()-AD31,IF(AND(U31="بسته",AH31&lt;&gt;"",AD31&lt;&gt;"",AH31&gt;AD31),AH31-AD31,0))</f>
        <v>0</v>
      </c>
      <c r="W31" s="7" t="n">
        <f aca="false">IF(L31="","",VALUE(LEFT(L31,FIND("/",L31)-1)))</f>
        <v>1405</v>
      </c>
      <c r="X31" s="7" t="n">
        <f aca="false">IF(L31="","",VALUE(MID(L31,FIND("/",L31)+1,FIND("/",L31,FIND("/",L31)+1)-FIND("/",L31)-1)))</f>
        <v>2</v>
      </c>
      <c r="Y31" s="7" t="n">
        <f aca="false">IF(L31="","",VALUE(MID(L31,FIND("/",L31,FIND("/",L31)+1)+1,LEN(L31)-FIND("/",L31,FIND("/",L31)+1))))</f>
        <v>12</v>
      </c>
      <c r="Z31" s="11" t="n">
        <f aca="false">IF(OR(L31="",W31=""),"",IFERROR(INDEX('لیست‌ها'!$Q$3:$Q$53,MATCH(W31,'لیست‌ها'!$P$3:$P$53,0))+IF(X31&lt;=6,(X31-1)*31+Y31,IF(X31&lt;=11,186+(X31-7)*30+Y31,336+Y31))-1,""))</f>
        <v>46144</v>
      </c>
      <c r="AA31" s="7" t="n">
        <f aca="false">IF(H31="","",VALUE(LEFT(H31,FIND("/",H31)-1)))</f>
        <v>1405</v>
      </c>
      <c r="AB31" s="7" t="n">
        <f aca="false">IF(H31="","",VALUE(MID(H31,FIND("/",H31)+1,FIND("/",H31,FIND("/",H31)+1)-FIND("/",H31)-1)))</f>
        <v>2</v>
      </c>
      <c r="AC31" s="7" t="n">
        <f aca="false">IF(H31="","",VALUE(MID(H31,FIND("/",H31,FIND("/",H31)+1)+1,LEN(H31)-FIND("/",H31,FIND("/",H31)+1))))</f>
        <v>31</v>
      </c>
      <c r="AD31" s="11" t="n">
        <f aca="false">IF(OR(H31="",AA31=""),"",IFERROR(INDEX('لیست‌ها'!$Q$3:$Q$53,MATCH(AA31,'لیست‌ها'!$P$3:$P$53,0))+IF(AB31&lt;=6,(AB31-1)*31+AC31,IF(AB31&lt;=11,186+(AB31-7)*30+AC31,336+AC31))-1,""))</f>
        <v>46163</v>
      </c>
      <c r="AE31" s="7" t="str">
        <f aca="false">IF(P31="","",VALUE(LEFT(P31,FIND("/",P31)-1)))</f>
        <v/>
      </c>
      <c r="AF31" s="7" t="str">
        <f aca="false">IF(P31="","",VALUE(MID(P31,FIND("/",P31)+1,FIND("/",P31,FIND("/",P31)+1)-FIND("/",P31)-1)))</f>
        <v/>
      </c>
      <c r="AG31" s="7" t="str">
        <f aca="false">IF(P31="","",VALUE(MID(P31,FIND("/",P31,FIND("/",P31)+1)+1,LEN(P31)-FIND("/",P31,FIND("/",P31)+1))))</f>
        <v/>
      </c>
      <c r="AH31" s="7" t="str">
        <f aca="false">IF(OR(P31="",AE31=""),"",IFERROR(INDEX('لیست‌ها'!$Q$3:$Q$53,MATCH(AE31,'لیست‌ها'!$P$3:$P$53,0))+IF(AF31&lt;=6,(AF31-1)*31+AG31,IF(AF31&lt;=11,186+(AF31-7)*30+AG31,336+AG31))-1,""))</f>
        <v/>
      </c>
      <c r="AI31" s="7" t="str">
        <f aca="false">IF(W31="","",W31&amp;"-"&amp;TEXT(X31,"00"))</f>
        <v>1405-02</v>
      </c>
      <c r="AJ31" s="7" t="n">
        <f aca="false">IF(W31="","",W31*12+X31)</f>
        <v>16862</v>
      </c>
      <c r="AK31" s="7" t="str">
        <f aca="false">IF(U31="تاخیر",V31+ROW()/100000,"")</f>
        <v/>
      </c>
    </row>
    <row r="32" customFormat="false" ht="15" hidden="false" customHeight="false" outlineLevel="0" collapsed="false">
      <c r="A32" s="7" t="n">
        <f aca="false">IF(B32="","",ROW()-3)</f>
        <v>29</v>
      </c>
      <c r="B32" s="8" t="s">
        <v>94</v>
      </c>
      <c r="C32" s="8" t="s">
        <v>38</v>
      </c>
      <c r="D32" s="8" t="s">
        <v>89</v>
      </c>
      <c r="E32" s="9" t="s">
        <v>95</v>
      </c>
      <c r="F32" s="9" t="s">
        <v>91</v>
      </c>
      <c r="G32" s="8" t="s">
        <v>92</v>
      </c>
      <c r="H32" s="8"/>
      <c r="I32" s="8"/>
      <c r="J32" s="9"/>
      <c r="K32" s="8"/>
      <c r="L32" s="8" t="s">
        <v>93</v>
      </c>
      <c r="M32" s="8" t="s">
        <v>56</v>
      </c>
      <c r="N32" s="8"/>
      <c r="O32" s="8"/>
      <c r="P32" s="8"/>
      <c r="Q32" s="8"/>
      <c r="R32" s="9"/>
      <c r="S32" s="8"/>
      <c r="T32" s="9"/>
      <c r="U32" s="10" t="str">
        <f aca="true">IF(B32="","",IF(OR(P32&lt;&gt;"",I32="می‌باشد"),"بسته",IF(AND(L32&lt;&gt;"",W32=""),"خطای فرمت تاریخ ایجاد",IF(AND(H32&lt;&gt;"",AA32=""),"خطای فرمت مهلت",IF(AND(H32&lt;&gt;"",AD32&lt;&gt;"",TODAY()&gt;AD32),"تاخیر",IF(L32&lt;&gt;"","در حال انجام",""))))))</f>
        <v>در حال انجام</v>
      </c>
      <c r="V32" s="7" t="n">
        <f aca="true">IF(U32="تاخیر",TODAY()-AD32,IF(AND(U32="بسته",AH32&lt;&gt;"",AD32&lt;&gt;"",AH32&gt;AD32),AH32-AD32,0))</f>
        <v>0</v>
      </c>
      <c r="W32" s="7" t="n">
        <f aca="false">IF(L32="","",VALUE(LEFT(L32,FIND("/",L32)-1)))</f>
        <v>1405</v>
      </c>
      <c r="X32" s="7" t="n">
        <f aca="false">IF(L32="","",VALUE(MID(L32,FIND("/",L32)+1,FIND("/",L32,FIND("/",L32)+1)-FIND("/",L32)-1)))</f>
        <v>2</v>
      </c>
      <c r="Y32" s="7" t="n">
        <f aca="false">IF(L32="","",VALUE(MID(L32,FIND("/",L32,FIND("/",L32)+1)+1,LEN(L32)-FIND("/",L32,FIND("/",L32)+1))))</f>
        <v>13</v>
      </c>
      <c r="Z32" s="11" t="n">
        <f aca="false">IF(OR(L32="",W32=""),"",IFERROR(INDEX('لیست‌ها'!$Q$3:$Q$53,MATCH(W32,'لیست‌ها'!$P$3:$P$53,0))+IF(X32&lt;=6,(X32-1)*31+Y32,IF(X32&lt;=11,186+(X32-7)*30+Y32,336+Y32))-1,""))</f>
        <v>46145</v>
      </c>
      <c r="AA32" s="7" t="str">
        <f aca="false">IF(H32="","",VALUE(LEFT(H32,FIND("/",H32)-1)))</f>
        <v/>
      </c>
      <c r="AB32" s="7" t="str">
        <f aca="false">IF(H32="","",VALUE(MID(H32,FIND("/",H32)+1,FIND("/",H32,FIND("/",H32)+1)-FIND("/",H32)-1)))</f>
        <v/>
      </c>
      <c r="AC32" s="7" t="str">
        <f aca="false">IF(H32="","",VALUE(MID(H32,FIND("/",H32,FIND("/",H32)+1)+1,LEN(H32)-FIND("/",H32,FIND("/",H32)+1))))</f>
        <v/>
      </c>
      <c r="AD32" s="7" t="str">
        <f aca="false">IF(OR(H32="",AA32=""),"",IFERROR(INDEX('لیست‌ها'!$Q$3:$Q$53,MATCH(AA32,'لیست‌ها'!$P$3:$P$53,0))+IF(AB32&lt;=6,(AB32-1)*31+AC32,IF(AB32&lt;=11,186+(AB32-7)*30+AC32,336+AC32))-1,""))</f>
        <v/>
      </c>
      <c r="AE32" s="7" t="str">
        <f aca="false">IF(P32="","",VALUE(LEFT(P32,FIND("/",P32)-1)))</f>
        <v/>
      </c>
      <c r="AF32" s="7" t="str">
        <f aca="false">IF(P32="","",VALUE(MID(P32,FIND("/",P32)+1,FIND("/",P32,FIND("/",P32)+1)-FIND("/",P32)-1)))</f>
        <v/>
      </c>
      <c r="AG32" s="7" t="str">
        <f aca="false">IF(P32="","",VALUE(MID(P32,FIND("/",P32,FIND("/",P32)+1)+1,LEN(P32)-FIND("/",P32,FIND("/",P32)+1))))</f>
        <v/>
      </c>
      <c r="AH32" s="7" t="str">
        <f aca="false">IF(OR(P32="",AE32=""),"",IFERROR(INDEX('لیست‌ها'!$Q$3:$Q$53,MATCH(AE32,'لیست‌ها'!$P$3:$P$53,0))+IF(AF32&lt;=6,(AF32-1)*31+AG32,IF(AF32&lt;=11,186+(AF32-7)*30+AG32,336+AG32))-1,""))</f>
        <v/>
      </c>
      <c r="AI32" s="7" t="str">
        <f aca="false">IF(W32="","",W32&amp;"-"&amp;TEXT(X32,"00"))</f>
        <v>1405-02</v>
      </c>
      <c r="AJ32" s="7" t="n">
        <f aca="false">IF(W32="","",W32*12+X32)</f>
        <v>16862</v>
      </c>
      <c r="AK32" s="7" t="str">
        <f aca="false">IF(U32="تاخیر",V32+ROW()/100000,"")</f>
        <v/>
      </c>
    </row>
    <row r="33" customFormat="false" ht="15" hidden="false" customHeight="false" outlineLevel="0" collapsed="false">
      <c r="A33" s="7" t="n">
        <f aca="false">IF(B33="","",ROW()-3)</f>
        <v>30</v>
      </c>
      <c r="B33" s="8" t="s">
        <v>88</v>
      </c>
      <c r="C33" s="8" t="s">
        <v>38</v>
      </c>
      <c r="D33" s="8" t="s">
        <v>89</v>
      </c>
      <c r="E33" s="9" t="s">
        <v>90</v>
      </c>
      <c r="F33" s="9" t="s">
        <v>91</v>
      </c>
      <c r="G33" s="8" t="s">
        <v>92</v>
      </c>
      <c r="H33" s="8"/>
      <c r="I33" s="8"/>
      <c r="J33" s="9"/>
      <c r="K33" s="8"/>
      <c r="L33" s="8" t="s">
        <v>93</v>
      </c>
      <c r="M33" s="8" t="s">
        <v>56</v>
      </c>
      <c r="N33" s="8"/>
      <c r="O33" s="8"/>
      <c r="P33" s="8"/>
      <c r="Q33" s="8"/>
      <c r="R33" s="9"/>
      <c r="S33" s="8"/>
      <c r="T33" s="9"/>
      <c r="U33" s="10" t="str">
        <f aca="true">IF(B33="","",IF(OR(P33&lt;&gt;"",I33="می‌باشد"),"بسته",IF(AND(L33&lt;&gt;"",W33=""),"خطای فرمت تاریخ ایجاد",IF(AND(H33&lt;&gt;"",AA33=""),"خطای فرمت مهلت",IF(AND(H33&lt;&gt;"",AD33&lt;&gt;"",TODAY()&gt;AD33),"تاخیر",IF(L33&lt;&gt;"","در حال انجام",""))))))</f>
        <v>در حال انجام</v>
      </c>
      <c r="V33" s="7" t="n">
        <f aca="true">IF(U33="تاخیر",TODAY()-AD33,IF(AND(U33="بسته",AH33&lt;&gt;"",AD33&lt;&gt;"",AH33&gt;AD33),AH33-AD33,0))</f>
        <v>0</v>
      </c>
      <c r="W33" s="7" t="n">
        <f aca="false">IF(L33="","",VALUE(LEFT(L33,FIND("/",L33)-1)))</f>
        <v>1405</v>
      </c>
      <c r="X33" s="7" t="n">
        <f aca="false">IF(L33="","",VALUE(MID(L33,FIND("/",L33)+1,FIND("/",L33,FIND("/",L33)+1)-FIND("/",L33)-1)))</f>
        <v>2</v>
      </c>
      <c r="Y33" s="7" t="n">
        <f aca="false">IF(L33="","",VALUE(MID(L33,FIND("/",L33,FIND("/",L33)+1)+1,LEN(L33)-FIND("/",L33,FIND("/",L33)+1))))</f>
        <v>13</v>
      </c>
      <c r="Z33" s="11" t="n">
        <f aca="false">IF(OR(L33="",W33=""),"",IFERROR(INDEX('لیست‌ها'!$Q$3:$Q$53,MATCH(W33,'لیست‌ها'!$P$3:$P$53,0))+IF(X33&lt;=6,(X33-1)*31+Y33,IF(X33&lt;=11,186+(X33-7)*30+Y33,336+Y33))-1,""))</f>
        <v>46145</v>
      </c>
      <c r="AA33" s="7" t="str">
        <f aca="false">IF(H33="","",VALUE(LEFT(H33,FIND("/",H33)-1)))</f>
        <v/>
      </c>
      <c r="AB33" s="7" t="str">
        <f aca="false">IF(H33="","",VALUE(MID(H33,FIND("/",H33)+1,FIND("/",H33,FIND("/",H33)+1)-FIND("/",H33)-1)))</f>
        <v/>
      </c>
      <c r="AC33" s="7" t="str">
        <f aca="false">IF(H33="","",VALUE(MID(H33,FIND("/",H33,FIND("/",H33)+1)+1,LEN(H33)-FIND("/",H33,FIND("/",H33)+1))))</f>
        <v/>
      </c>
      <c r="AD33" s="7" t="str">
        <f aca="false">IF(OR(H33="",AA33=""),"",IFERROR(INDEX('لیست‌ها'!$Q$3:$Q$53,MATCH(AA33,'لیست‌ها'!$P$3:$P$53,0))+IF(AB33&lt;=6,(AB33-1)*31+AC33,IF(AB33&lt;=11,186+(AB33-7)*30+AC33,336+AC33))-1,""))</f>
        <v/>
      </c>
      <c r="AE33" s="7" t="str">
        <f aca="false">IF(P33="","",VALUE(LEFT(P33,FIND("/",P33)-1)))</f>
        <v/>
      </c>
      <c r="AF33" s="7" t="str">
        <f aca="false">IF(P33="","",VALUE(MID(P33,FIND("/",P33)+1,FIND("/",P33,FIND("/",P33)+1)-FIND("/",P33)-1)))</f>
        <v/>
      </c>
      <c r="AG33" s="7" t="str">
        <f aca="false">IF(P33="","",VALUE(MID(P33,FIND("/",P33,FIND("/",P33)+1)+1,LEN(P33)-FIND("/",P33,FIND("/",P33)+1))))</f>
        <v/>
      </c>
      <c r="AH33" s="7" t="str">
        <f aca="false">IF(OR(P33="",AE33=""),"",IFERROR(INDEX('لیست‌ها'!$Q$3:$Q$53,MATCH(AE33,'لیست‌ها'!$P$3:$P$53,0))+IF(AF33&lt;=6,(AF33-1)*31+AG33,IF(AF33&lt;=11,186+(AF33-7)*30+AG33,336+AG33))-1,""))</f>
        <v/>
      </c>
      <c r="AI33" s="7" t="str">
        <f aca="false">IF(W33="","",W33&amp;"-"&amp;TEXT(X33,"00"))</f>
        <v>1405-02</v>
      </c>
      <c r="AJ33" s="7" t="n">
        <f aca="false">IF(W33="","",W33*12+X33)</f>
        <v>16862</v>
      </c>
      <c r="AK33" s="7" t="str">
        <f aca="false">IF(U33="تاخیر",V33+ROW()/100000,"")</f>
        <v/>
      </c>
    </row>
    <row r="34" customFormat="false" ht="15" hidden="false" customHeight="false" outlineLevel="0" collapsed="false">
      <c r="A34" s="7" t="n">
        <f aca="false">IF(B34="","",ROW()-3)</f>
        <v>31</v>
      </c>
      <c r="B34" s="8" t="s">
        <v>163</v>
      </c>
      <c r="C34" s="8" t="s">
        <v>38</v>
      </c>
      <c r="D34" s="8" t="s">
        <v>89</v>
      </c>
      <c r="E34" s="9" t="s">
        <v>160</v>
      </c>
      <c r="F34" s="9" t="s">
        <v>91</v>
      </c>
      <c r="G34" s="8" t="s">
        <v>92</v>
      </c>
      <c r="H34" s="8"/>
      <c r="I34" s="8"/>
      <c r="J34" s="9"/>
      <c r="K34" s="8"/>
      <c r="L34" s="8" t="s">
        <v>93</v>
      </c>
      <c r="M34" s="8" t="s">
        <v>56</v>
      </c>
      <c r="N34" s="8"/>
      <c r="O34" s="8"/>
      <c r="P34" s="8"/>
      <c r="Q34" s="8"/>
      <c r="R34" s="9"/>
      <c r="S34" s="8"/>
      <c r="T34" s="9"/>
      <c r="U34" s="10" t="str">
        <f aca="true">IF(B34="","",IF(OR(P34&lt;&gt;"",I34="می‌باشد"),"بسته",IF(AND(L34&lt;&gt;"",W34=""),"خطای فرمت تاریخ ایجاد",IF(AND(H34&lt;&gt;"",AA34=""),"خطای فرمت مهلت",IF(AND(H34&lt;&gt;"",AD34&lt;&gt;"",TODAY()&gt;AD34),"تاخیر",IF(L34&lt;&gt;"","در حال انجام",""))))))</f>
        <v>در حال انجام</v>
      </c>
      <c r="V34" s="7" t="n">
        <f aca="true">IF(U34="تاخیر",TODAY()-AD34,IF(AND(U34="بسته",AH34&lt;&gt;"",AD34&lt;&gt;"",AH34&gt;AD34),AH34-AD34,0))</f>
        <v>0</v>
      </c>
      <c r="W34" s="7" t="n">
        <f aca="false">IF(L34="","",VALUE(LEFT(L34,FIND("/",L34)-1)))</f>
        <v>1405</v>
      </c>
      <c r="X34" s="7" t="n">
        <f aca="false">IF(L34="","",VALUE(MID(L34,FIND("/",L34)+1,FIND("/",L34,FIND("/",L34)+1)-FIND("/",L34)-1)))</f>
        <v>2</v>
      </c>
      <c r="Y34" s="7" t="n">
        <f aca="false">IF(L34="","",VALUE(MID(L34,FIND("/",L34,FIND("/",L34)+1)+1,LEN(L34)-FIND("/",L34,FIND("/",L34)+1))))</f>
        <v>13</v>
      </c>
      <c r="Z34" s="11" t="n">
        <f aca="false">IF(OR(L34="",W34=""),"",IFERROR(INDEX('لیست‌ها'!$Q$3:$Q$53,MATCH(W34,'لیست‌ها'!$P$3:$P$53,0))+IF(X34&lt;=6,(X34-1)*31+Y34,IF(X34&lt;=11,186+(X34-7)*30+Y34,336+Y34))-1,""))</f>
        <v>46145</v>
      </c>
      <c r="AA34" s="7" t="str">
        <f aca="false">IF(H34="","",VALUE(LEFT(H34,FIND("/",H34)-1)))</f>
        <v/>
      </c>
      <c r="AB34" s="7" t="str">
        <f aca="false">IF(H34="","",VALUE(MID(H34,FIND("/",H34)+1,FIND("/",H34,FIND("/",H34)+1)-FIND("/",H34)-1)))</f>
        <v/>
      </c>
      <c r="AC34" s="7" t="str">
        <f aca="false">IF(H34="","",VALUE(MID(H34,FIND("/",H34,FIND("/",H34)+1)+1,LEN(H34)-FIND("/",H34,FIND("/",H34)+1))))</f>
        <v/>
      </c>
      <c r="AD34" s="7" t="str">
        <f aca="false">IF(OR(H34="",AA34=""),"",IFERROR(INDEX('لیست‌ها'!$Q$3:$Q$53,MATCH(AA34,'لیست‌ها'!$P$3:$P$53,0))+IF(AB34&lt;=6,(AB34-1)*31+AC34,IF(AB34&lt;=11,186+(AB34-7)*30+AC34,336+AC34))-1,""))</f>
        <v/>
      </c>
      <c r="AE34" s="7" t="str">
        <f aca="false">IF(P34="","",VALUE(LEFT(P34,FIND("/",P34)-1)))</f>
        <v/>
      </c>
      <c r="AF34" s="7" t="str">
        <f aca="false">IF(P34="","",VALUE(MID(P34,FIND("/",P34)+1,FIND("/",P34,FIND("/",P34)+1)-FIND("/",P34)-1)))</f>
        <v/>
      </c>
      <c r="AG34" s="7" t="str">
        <f aca="false">IF(P34="","",VALUE(MID(P34,FIND("/",P34,FIND("/",P34)+1)+1,LEN(P34)-FIND("/",P34,FIND("/",P34)+1))))</f>
        <v/>
      </c>
      <c r="AH34" s="7" t="str">
        <f aca="false">IF(OR(P34="",AE34=""),"",IFERROR(INDEX('لیست‌ها'!$Q$3:$Q$53,MATCH(AE34,'لیست‌ها'!$P$3:$P$53,0))+IF(AF34&lt;=6,(AF34-1)*31+AG34,IF(AF34&lt;=11,186+(AF34-7)*30+AG34,336+AG34))-1,""))</f>
        <v/>
      </c>
      <c r="AI34" s="7" t="str">
        <f aca="false">IF(W34="","",W34&amp;"-"&amp;TEXT(X34,"00"))</f>
        <v>1405-02</v>
      </c>
      <c r="AJ34" s="7" t="n">
        <f aca="false">IF(W34="","",W34*12+X34)</f>
        <v>16862</v>
      </c>
      <c r="AK34" s="7" t="str">
        <f aca="false">IF(U34="تاخیر",V34+ROW()/100000,"")</f>
        <v/>
      </c>
    </row>
    <row r="35" customFormat="false" ht="15" hidden="false" customHeight="false" outlineLevel="0" collapsed="false">
      <c r="A35" s="7" t="n">
        <f aca="false">IF(B35="","",ROW()-3)</f>
        <v>32</v>
      </c>
      <c r="B35" s="8" t="s">
        <v>161</v>
      </c>
      <c r="C35" s="8" t="s">
        <v>38</v>
      </c>
      <c r="D35" s="8" t="s">
        <v>89</v>
      </c>
      <c r="E35" s="9" t="s">
        <v>162</v>
      </c>
      <c r="F35" s="9" t="s">
        <v>91</v>
      </c>
      <c r="G35" s="8" t="s">
        <v>92</v>
      </c>
      <c r="H35" s="8"/>
      <c r="I35" s="8"/>
      <c r="J35" s="9"/>
      <c r="K35" s="8"/>
      <c r="L35" s="8" t="s">
        <v>93</v>
      </c>
      <c r="M35" s="8" t="s">
        <v>56</v>
      </c>
      <c r="N35" s="8"/>
      <c r="O35" s="8"/>
      <c r="P35" s="8"/>
      <c r="Q35" s="8"/>
      <c r="R35" s="9"/>
      <c r="S35" s="8"/>
      <c r="T35" s="9"/>
      <c r="U35" s="10" t="str">
        <f aca="true">IF(B35="","",IF(OR(P35&lt;&gt;"",I35="می‌باشد"),"بسته",IF(AND(L35&lt;&gt;"",W35=""),"خطای فرمت تاریخ ایجاد",IF(AND(H35&lt;&gt;"",AA35=""),"خطای فرمت مهلت",IF(AND(H35&lt;&gt;"",AD35&lt;&gt;"",TODAY()&gt;AD35),"تاخیر",IF(L35&lt;&gt;"","در حال انجام",""))))))</f>
        <v>در حال انجام</v>
      </c>
      <c r="V35" s="7" t="n">
        <f aca="true">IF(U35="تاخیر",TODAY()-AD35,IF(AND(U35="بسته",AH35&lt;&gt;"",AD35&lt;&gt;"",AH35&gt;AD35),AH35-AD35,0))</f>
        <v>0</v>
      </c>
      <c r="W35" s="7" t="n">
        <f aca="false">IF(L35="","",VALUE(LEFT(L35,FIND("/",L35)-1)))</f>
        <v>1405</v>
      </c>
      <c r="X35" s="7" t="n">
        <f aca="false">IF(L35="","",VALUE(MID(L35,FIND("/",L35)+1,FIND("/",L35,FIND("/",L35)+1)-FIND("/",L35)-1)))</f>
        <v>2</v>
      </c>
      <c r="Y35" s="7" t="n">
        <f aca="false">IF(L35="","",VALUE(MID(L35,FIND("/",L35,FIND("/",L35)+1)+1,LEN(L35)-FIND("/",L35,FIND("/",L35)+1))))</f>
        <v>13</v>
      </c>
      <c r="Z35" s="11" t="n">
        <f aca="false">IF(OR(L35="",W35=""),"",IFERROR(INDEX('لیست‌ها'!$Q$3:$Q$53,MATCH(W35,'لیست‌ها'!$P$3:$P$53,0))+IF(X35&lt;=6,(X35-1)*31+Y35,IF(X35&lt;=11,186+(X35-7)*30+Y35,336+Y35))-1,""))</f>
        <v>46145</v>
      </c>
      <c r="AA35" s="7" t="str">
        <f aca="false">IF(H35="","",VALUE(LEFT(H35,FIND("/",H35)-1)))</f>
        <v/>
      </c>
      <c r="AB35" s="7" t="str">
        <f aca="false">IF(H35="","",VALUE(MID(H35,FIND("/",H35)+1,FIND("/",H35,FIND("/",H35)+1)-FIND("/",H35)-1)))</f>
        <v/>
      </c>
      <c r="AC35" s="7" t="str">
        <f aca="false">IF(H35="","",VALUE(MID(H35,FIND("/",H35,FIND("/",H35)+1)+1,LEN(H35)-FIND("/",H35,FIND("/",H35)+1))))</f>
        <v/>
      </c>
      <c r="AD35" s="7" t="str">
        <f aca="false">IF(OR(H35="",AA35=""),"",IFERROR(INDEX('لیست‌ها'!$Q$3:$Q$53,MATCH(AA35,'لیست‌ها'!$P$3:$P$53,0))+IF(AB35&lt;=6,(AB35-1)*31+AC35,IF(AB35&lt;=11,186+(AB35-7)*30+AC35,336+AC35))-1,""))</f>
        <v/>
      </c>
      <c r="AE35" s="7" t="str">
        <f aca="false">IF(P35="","",VALUE(LEFT(P35,FIND("/",P35)-1)))</f>
        <v/>
      </c>
      <c r="AF35" s="7" t="str">
        <f aca="false">IF(P35="","",VALUE(MID(P35,FIND("/",P35)+1,FIND("/",P35,FIND("/",P35)+1)-FIND("/",P35)-1)))</f>
        <v/>
      </c>
      <c r="AG35" s="7" t="str">
        <f aca="false">IF(P35="","",VALUE(MID(P35,FIND("/",P35,FIND("/",P35)+1)+1,LEN(P35)-FIND("/",P35,FIND("/",P35)+1))))</f>
        <v/>
      </c>
      <c r="AH35" s="7" t="str">
        <f aca="false">IF(OR(P35="",AE35=""),"",IFERROR(INDEX('لیست‌ها'!$Q$3:$Q$53,MATCH(AE35,'لیست‌ها'!$P$3:$P$53,0))+IF(AF35&lt;=6,(AF35-1)*31+AG35,IF(AF35&lt;=11,186+(AF35-7)*30+AG35,336+AG35))-1,""))</f>
        <v/>
      </c>
      <c r="AI35" s="7" t="str">
        <f aca="false">IF(W35="","",W35&amp;"-"&amp;TEXT(X35,"00"))</f>
        <v>1405-02</v>
      </c>
      <c r="AJ35" s="7" t="n">
        <f aca="false">IF(W35="","",W35*12+X35)</f>
        <v>16862</v>
      </c>
      <c r="AK35" s="7" t="str">
        <f aca="false">IF(U35="تاخیر",V35+ROW()/100000,"")</f>
        <v/>
      </c>
    </row>
    <row r="36" customFormat="false" ht="15" hidden="false" customHeight="false" outlineLevel="0" collapsed="false">
      <c r="A36" s="7" t="n">
        <f aca="false">IF(B36="","",ROW()-3)</f>
        <v>33</v>
      </c>
      <c r="B36" s="8" t="s">
        <v>159</v>
      </c>
      <c r="C36" s="8" t="s">
        <v>38</v>
      </c>
      <c r="D36" s="8" t="s">
        <v>89</v>
      </c>
      <c r="E36" s="9" t="s">
        <v>160</v>
      </c>
      <c r="F36" s="9" t="s">
        <v>91</v>
      </c>
      <c r="G36" s="8" t="s">
        <v>92</v>
      </c>
      <c r="H36" s="8"/>
      <c r="I36" s="8"/>
      <c r="J36" s="9"/>
      <c r="K36" s="8"/>
      <c r="L36" s="8" t="s">
        <v>93</v>
      </c>
      <c r="M36" s="8" t="s">
        <v>56</v>
      </c>
      <c r="N36" s="8"/>
      <c r="O36" s="8"/>
      <c r="P36" s="8"/>
      <c r="Q36" s="8"/>
      <c r="R36" s="9"/>
      <c r="S36" s="8"/>
      <c r="T36" s="9"/>
      <c r="U36" s="10" t="str">
        <f aca="true">IF(B36="","",IF(OR(P36&lt;&gt;"",I36="می‌باشد"),"بسته",IF(AND(L36&lt;&gt;"",W36=""),"خطای فرمت تاریخ ایجاد",IF(AND(H36&lt;&gt;"",AA36=""),"خطای فرمت مهلت",IF(AND(H36&lt;&gt;"",AD36&lt;&gt;"",TODAY()&gt;AD36),"تاخیر",IF(L36&lt;&gt;"","در حال انجام",""))))))</f>
        <v>در حال انجام</v>
      </c>
      <c r="V36" s="7" t="n">
        <f aca="true">IF(U36="تاخیر",TODAY()-AD36,IF(AND(U36="بسته",AH36&lt;&gt;"",AD36&lt;&gt;"",AH36&gt;AD36),AH36-AD36,0))</f>
        <v>0</v>
      </c>
      <c r="W36" s="7" t="n">
        <f aca="false">IF(L36="","",VALUE(LEFT(L36,FIND("/",L36)-1)))</f>
        <v>1405</v>
      </c>
      <c r="X36" s="7" t="n">
        <f aca="false">IF(L36="","",VALUE(MID(L36,FIND("/",L36)+1,FIND("/",L36,FIND("/",L36)+1)-FIND("/",L36)-1)))</f>
        <v>2</v>
      </c>
      <c r="Y36" s="7" t="n">
        <f aca="false">IF(L36="","",VALUE(MID(L36,FIND("/",L36,FIND("/",L36)+1)+1,LEN(L36)-FIND("/",L36,FIND("/",L36)+1))))</f>
        <v>13</v>
      </c>
      <c r="Z36" s="11" t="n">
        <f aca="false">IF(OR(L36="",W36=""),"",IFERROR(INDEX('لیست‌ها'!$Q$3:$Q$53,MATCH(W36,'لیست‌ها'!$P$3:$P$53,0))+IF(X36&lt;=6,(X36-1)*31+Y36,IF(X36&lt;=11,186+(X36-7)*30+Y36,336+Y36))-1,""))</f>
        <v>46145</v>
      </c>
      <c r="AA36" s="7" t="str">
        <f aca="false">IF(H36="","",VALUE(LEFT(H36,FIND("/",H36)-1)))</f>
        <v/>
      </c>
      <c r="AB36" s="7" t="str">
        <f aca="false">IF(H36="","",VALUE(MID(H36,FIND("/",H36)+1,FIND("/",H36,FIND("/",H36)+1)-FIND("/",H36)-1)))</f>
        <v/>
      </c>
      <c r="AC36" s="7" t="str">
        <f aca="false">IF(H36="","",VALUE(MID(H36,FIND("/",H36,FIND("/",H36)+1)+1,LEN(H36)-FIND("/",H36,FIND("/",H36)+1))))</f>
        <v/>
      </c>
      <c r="AD36" s="7" t="str">
        <f aca="false">IF(OR(H36="",AA36=""),"",IFERROR(INDEX('لیست‌ها'!$Q$3:$Q$53,MATCH(AA36,'لیست‌ها'!$P$3:$P$53,0))+IF(AB36&lt;=6,(AB36-1)*31+AC36,IF(AB36&lt;=11,186+(AB36-7)*30+AC36,336+AC36))-1,""))</f>
        <v/>
      </c>
      <c r="AE36" s="7" t="str">
        <f aca="false">IF(P36="","",VALUE(LEFT(P36,FIND("/",P36)-1)))</f>
        <v/>
      </c>
      <c r="AF36" s="7" t="str">
        <f aca="false">IF(P36="","",VALUE(MID(P36,FIND("/",P36)+1,FIND("/",P36,FIND("/",P36)+1)-FIND("/",P36)-1)))</f>
        <v/>
      </c>
      <c r="AG36" s="7" t="str">
        <f aca="false">IF(P36="","",VALUE(MID(P36,FIND("/",P36,FIND("/",P36)+1)+1,LEN(P36)-FIND("/",P36,FIND("/",P36)+1))))</f>
        <v/>
      </c>
      <c r="AH36" s="7" t="str">
        <f aca="false">IF(OR(P36="",AE36=""),"",IFERROR(INDEX('لیست‌ها'!$Q$3:$Q$53,MATCH(AE36,'لیست‌ها'!$P$3:$P$53,0))+IF(AF36&lt;=6,(AF36-1)*31+AG36,IF(AF36&lt;=11,186+(AF36-7)*30+AG36,336+AG36))-1,""))</f>
        <v/>
      </c>
      <c r="AI36" s="7" t="str">
        <f aca="false">IF(W36="","",W36&amp;"-"&amp;TEXT(X36,"00"))</f>
        <v>1405-02</v>
      </c>
      <c r="AJ36" s="7" t="n">
        <f aca="false">IF(W36="","",W36*12+X36)</f>
        <v>16862</v>
      </c>
      <c r="AK36" s="7" t="str">
        <f aca="false">IF(U36="تاخیر",V36+ROW()/100000,"")</f>
        <v/>
      </c>
    </row>
    <row r="37" customFormat="false" ht="15" hidden="false" customHeight="false" outlineLevel="0" collapsed="false">
      <c r="A37" s="7" t="n">
        <f aca="false">IF(B37="","",ROW()-3)</f>
        <v>34</v>
      </c>
      <c r="B37" s="8" t="s">
        <v>157</v>
      </c>
      <c r="C37" s="8" t="s">
        <v>38</v>
      </c>
      <c r="D37" s="8" t="s">
        <v>89</v>
      </c>
      <c r="E37" s="9" t="s">
        <v>158</v>
      </c>
      <c r="F37" s="9" t="s">
        <v>91</v>
      </c>
      <c r="G37" s="8" t="s">
        <v>92</v>
      </c>
      <c r="H37" s="8"/>
      <c r="I37" s="8"/>
      <c r="J37" s="9"/>
      <c r="K37" s="8"/>
      <c r="L37" s="8" t="s">
        <v>93</v>
      </c>
      <c r="M37" s="8" t="s">
        <v>56</v>
      </c>
      <c r="N37" s="8"/>
      <c r="O37" s="8"/>
      <c r="P37" s="8"/>
      <c r="Q37" s="8"/>
      <c r="R37" s="9"/>
      <c r="S37" s="8"/>
      <c r="T37" s="9"/>
      <c r="U37" s="10" t="str">
        <f aca="true">IF(B37="","",IF(OR(P37&lt;&gt;"",I37="می‌باشد"),"بسته",IF(AND(L37&lt;&gt;"",W37=""),"خطای فرمت تاریخ ایجاد",IF(AND(H37&lt;&gt;"",AA37=""),"خطای فرمت مهلت",IF(AND(H37&lt;&gt;"",AD37&lt;&gt;"",TODAY()&gt;AD37),"تاخیر",IF(L37&lt;&gt;"","در حال انجام",""))))))</f>
        <v>در حال انجام</v>
      </c>
      <c r="V37" s="7" t="n">
        <f aca="true">IF(U37="تاخیر",TODAY()-AD37,IF(AND(U37="بسته",AH37&lt;&gt;"",AD37&lt;&gt;"",AH37&gt;AD37),AH37-AD37,0))</f>
        <v>0</v>
      </c>
      <c r="W37" s="7" t="n">
        <f aca="false">IF(L37="","",VALUE(LEFT(L37,FIND("/",L37)-1)))</f>
        <v>1405</v>
      </c>
      <c r="X37" s="7" t="n">
        <f aca="false">IF(L37="","",VALUE(MID(L37,FIND("/",L37)+1,FIND("/",L37,FIND("/",L37)+1)-FIND("/",L37)-1)))</f>
        <v>2</v>
      </c>
      <c r="Y37" s="7" t="n">
        <f aca="false">IF(L37="","",VALUE(MID(L37,FIND("/",L37,FIND("/",L37)+1)+1,LEN(L37)-FIND("/",L37,FIND("/",L37)+1))))</f>
        <v>13</v>
      </c>
      <c r="Z37" s="11" t="n">
        <f aca="false">IF(OR(L37="",W37=""),"",IFERROR(INDEX('لیست‌ها'!$Q$3:$Q$53,MATCH(W37,'لیست‌ها'!$P$3:$P$53,0))+IF(X37&lt;=6,(X37-1)*31+Y37,IF(X37&lt;=11,186+(X37-7)*30+Y37,336+Y37))-1,""))</f>
        <v>46145</v>
      </c>
      <c r="AA37" s="7" t="str">
        <f aca="false">IF(H37="","",VALUE(LEFT(H37,FIND("/",H37)-1)))</f>
        <v/>
      </c>
      <c r="AB37" s="7" t="str">
        <f aca="false">IF(H37="","",VALUE(MID(H37,FIND("/",H37)+1,FIND("/",H37,FIND("/",H37)+1)-FIND("/",H37)-1)))</f>
        <v/>
      </c>
      <c r="AC37" s="7" t="str">
        <f aca="false">IF(H37="","",VALUE(MID(H37,FIND("/",H37,FIND("/",H37)+1)+1,LEN(H37)-FIND("/",H37,FIND("/",H37)+1))))</f>
        <v/>
      </c>
      <c r="AD37" s="7" t="str">
        <f aca="false">IF(OR(H37="",AA37=""),"",IFERROR(INDEX('لیست‌ها'!$Q$3:$Q$53,MATCH(AA37,'لیست‌ها'!$P$3:$P$53,0))+IF(AB37&lt;=6,(AB37-1)*31+AC37,IF(AB37&lt;=11,186+(AB37-7)*30+AC37,336+AC37))-1,""))</f>
        <v/>
      </c>
      <c r="AE37" s="7" t="str">
        <f aca="false">IF(P37="","",VALUE(LEFT(P37,FIND("/",P37)-1)))</f>
        <v/>
      </c>
      <c r="AF37" s="7" t="str">
        <f aca="false">IF(P37="","",VALUE(MID(P37,FIND("/",P37)+1,FIND("/",P37,FIND("/",P37)+1)-FIND("/",P37)-1)))</f>
        <v/>
      </c>
      <c r="AG37" s="7" t="str">
        <f aca="false">IF(P37="","",VALUE(MID(P37,FIND("/",P37,FIND("/",P37)+1)+1,LEN(P37)-FIND("/",P37,FIND("/",P37)+1))))</f>
        <v/>
      </c>
      <c r="AH37" s="7" t="str">
        <f aca="false">IF(OR(P37="",AE37=""),"",IFERROR(INDEX('لیست‌ها'!$Q$3:$Q$53,MATCH(AE37,'لیست‌ها'!$P$3:$P$53,0))+IF(AF37&lt;=6,(AF37-1)*31+AG37,IF(AF37&lt;=11,186+(AF37-7)*30+AG37,336+AG37))-1,""))</f>
        <v/>
      </c>
      <c r="AI37" s="7" t="str">
        <f aca="false">IF(W37="","",W37&amp;"-"&amp;TEXT(X37,"00"))</f>
        <v>1405-02</v>
      </c>
      <c r="AJ37" s="7" t="n">
        <f aca="false">IF(W37="","",W37*12+X37)</f>
        <v>16862</v>
      </c>
      <c r="AK37" s="7" t="str">
        <f aca="false">IF(U37="تاخیر",V37+ROW()/100000,"")</f>
        <v/>
      </c>
    </row>
    <row r="38" customFormat="false" ht="15" hidden="false" customHeight="false" outlineLevel="0" collapsed="false">
      <c r="A38" s="7" t="n">
        <f aca="false">IF(B38="","",ROW()-3)</f>
        <v>35</v>
      </c>
      <c r="B38" s="8" t="s">
        <v>155</v>
      </c>
      <c r="C38" s="8" t="s">
        <v>38</v>
      </c>
      <c r="D38" s="8" t="s">
        <v>89</v>
      </c>
      <c r="E38" s="9" t="s">
        <v>156</v>
      </c>
      <c r="F38" s="9" t="s">
        <v>91</v>
      </c>
      <c r="G38" s="8" t="s">
        <v>92</v>
      </c>
      <c r="H38" s="8"/>
      <c r="I38" s="8"/>
      <c r="J38" s="9"/>
      <c r="K38" s="8"/>
      <c r="L38" s="8" t="s">
        <v>93</v>
      </c>
      <c r="M38" s="8" t="s">
        <v>56</v>
      </c>
      <c r="N38" s="8"/>
      <c r="O38" s="8"/>
      <c r="P38" s="8"/>
      <c r="Q38" s="8"/>
      <c r="R38" s="9"/>
      <c r="S38" s="8"/>
      <c r="T38" s="9"/>
      <c r="U38" s="10" t="str">
        <f aca="true">IF(B38="","",IF(OR(P38&lt;&gt;"",I38="می‌باشد"),"بسته",IF(AND(L38&lt;&gt;"",W38=""),"خطای فرمت تاریخ ایجاد",IF(AND(H38&lt;&gt;"",AA38=""),"خطای فرمت مهلت",IF(AND(H38&lt;&gt;"",AD38&lt;&gt;"",TODAY()&gt;AD38),"تاخیر",IF(L38&lt;&gt;"","در حال انجام",""))))))</f>
        <v>در حال انجام</v>
      </c>
      <c r="V38" s="7" t="n">
        <f aca="true">IF(U38="تاخیر",TODAY()-AD38,IF(AND(U38="بسته",AH38&lt;&gt;"",AD38&lt;&gt;"",AH38&gt;AD38),AH38-AD38,0))</f>
        <v>0</v>
      </c>
      <c r="W38" s="7" t="n">
        <f aca="false">IF(L38="","",VALUE(LEFT(L38,FIND("/",L38)-1)))</f>
        <v>1405</v>
      </c>
      <c r="X38" s="7" t="n">
        <f aca="false">IF(L38="","",VALUE(MID(L38,FIND("/",L38)+1,FIND("/",L38,FIND("/",L38)+1)-FIND("/",L38)-1)))</f>
        <v>2</v>
      </c>
      <c r="Y38" s="7" t="n">
        <f aca="false">IF(L38="","",VALUE(MID(L38,FIND("/",L38,FIND("/",L38)+1)+1,LEN(L38)-FIND("/",L38,FIND("/",L38)+1))))</f>
        <v>13</v>
      </c>
      <c r="Z38" s="11" t="n">
        <f aca="false">IF(OR(L38="",W38=""),"",IFERROR(INDEX('لیست‌ها'!$Q$3:$Q$53,MATCH(W38,'لیست‌ها'!$P$3:$P$53,0))+IF(X38&lt;=6,(X38-1)*31+Y38,IF(X38&lt;=11,186+(X38-7)*30+Y38,336+Y38))-1,""))</f>
        <v>46145</v>
      </c>
      <c r="AA38" s="7" t="str">
        <f aca="false">IF(H38="","",VALUE(LEFT(H38,FIND("/",H38)-1)))</f>
        <v/>
      </c>
      <c r="AB38" s="7" t="str">
        <f aca="false">IF(H38="","",VALUE(MID(H38,FIND("/",H38)+1,FIND("/",H38,FIND("/",H38)+1)-FIND("/",H38)-1)))</f>
        <v/>
      </c>
      <c r="AC38" s="7" t="str">
        <f aca="false">IF(H38="","",VALUE(MID(H38,FIND("/",H38,FIND("/",H38)+1)+1,LEN(H38)-FIND("/",H38,FIND("/",H38)+1))))</f>
        <v/>
      </c>
      <c r="AD38" s="7" t="str">
        <f aca="false">IF(OR(H38="",AA38=""),"",IFERROR(INDEX('لیست‌ها'!$Q$3:$Q$53,MATCH(AA38,'لیست‌ها'!$P$3:$P$53,0))+IF(AB38&lt;=6,(AB38-1)*31+AC38,IF(AB38&lt;=11,186+(AB38-7)*30+AC38,336+AC38))-1,""))</f>
        <v/>
      </c>
      <c r="AE38" s="7" t="str">
        <f aca="false">IF(P38="","",VALUE(LEFT(P38,FIND("/",P38)-1)))</f>
        <v/>
      </c>
      <c r="AF38" s="7" t="str">
        <f aca="false">IF(P38="","",VALUE(MID(P38,FIND("/",P38)+1,FIND("/",P38,FIND("/",P38)+1)-FIND("/",P38)-1)))</f>
        <v/>
      </c>
      <c r="AG38" s="7" t="str">
        <f aca="false">IF(P38="","",VALUE(MID(P38,FIND("/",P38,FIND("/",P38)+1)+1,LEN(P38)-FIND("/",P38,FIND("/",P38)+1))))</f>
        <v/>
      </c>
      <c r="AH38" s="7" t="str">
        <f aca="false">IF(OR(P38="",AE38=""),"",IFERROR(INDEX('لیست‌ها'!$Q$3:$Q$53,MATCH(AE38,'لیست‌ها'!$P$3:$P$53,0))+IF(AF38&lt;=6,(AF38-1)*31+AG38,IF(AF38&lt;=11,186+(AF38-7)*30+AG38,336+AG38))-1,""))</f>
        <v/>
      </c>
      <c r="AI38" s="7" t="str">
        <f aca="false">IF(W38="","",W38&amp;"-"&amp;TEXT(X38,"00"))</f>
        <v>1405-02</v>
      </c>
      <c r="AJ38" s="7" t="n">
        <f aca="false">IF(W38="","",W38*12+X38)</f>
        <v>16862</v>
      </c>
      <c r="AK38" s="7" t="str">
        <f aca="false">IF(U38="تاخیر",V38+ROW()/100000,"")</f>
        <v/>
      </c>
    </row>
    <row r="39" customFormat="false" ht="15" hidden="false" customHeight="false" outlineLevel="0" collapsed="false">
      <c r="A39" s="7" t="n">
        <f aca="false">IF(B39="","",ROW()-3)</f>
        <v>36</v>
      </c>
      <c r="B39" s="8" t="s">
        <v>154</v>
      </c>
      <c r="C39" s="8" t="s">
        <v>38</v>
      </c>
      <c r="D39" s="8" t="s">
        <v>47</v>
      </c>
      <c r="E39" s="9" t="s">
        <v>60</v>
      </c>
      <c r="F39" s="9" t="s">
        <v>51</v>
      </c>
      <c r="G39" s="8" t="s">
        <v>52</v>
      </c>
      <c r="H39" s="8" t="s">
        <v>74</v>
      </c>
      <c r="I39" s="8" t="s">
        <v>54</v>
      </c>
      <c r="J39" s="9"/>
      <c r="K39" s="8"/>
      <c r="L39" s="8" t="s">
        <v>93</v>
      </c>
      <c r="M39" s="8" t="s">
        <v>56</v>
      </c>
      <c r="N39" s="8"/>
      <c r="O39" s="8"/>
      <c r="P39" s="8"/>
      <c r="Q39" s="8"/>
      <c r="R39" s="9"/>
      <c r="S39" s="8"/>
      <c r="T39" s="9"/>
      <c r="U39" s="10" t="str">
        <f aca="true">IF(B39="","",IF(OR(P39&lt;&gt;"",I39="می‌باشد"),"بسته",IF(AND(L39&lt;&gt;"",W39=""),"خطای فرمت تاریخ ایجاد",IF(AND(H39&lt;&gt;"",AA39=""),"خطای فرمت مهلت",IF(AND(H39&lt;&gt;"",AD39&lt;&gt;"",TODAY()&gt;AD39),"تاخیر",IF(L39&lt;&gt;"","در حال انجام",""))))))</f>
        <v>بسته</v>
      </c>
      <c r="V39" s="7" t="n">
        <f aca="true">IF(U39="تاخیر",TODAY()-AD39,IF(AND(U39="بسته",AH39&lt;&gt;"",AD39&lt;&gt;"",AH39&gt;AD39),AH39-AD39,0))</f>
        <v>0</v>
      </c>
      <c r="W39" s="7" t="n">
        <f aca="false">IF(L39="","",VALUE(LEFT(L39,FIND("/",L39)-1)))</f>
        <v>1405</v>
      </c>
      <c r="X39" s="7" t="n">
        <f aca="false">IF(L39="","",VALUE(MID(L39,FIND("/",L39)+1,FIND("/",L39,FIND("/",L39)+1)-FIND("/",L39)-1)))</f>
        <v>2</v>
      </c>
      <c r="Y39" s="7" t="n">
        <f aca="false">IF(L39="","",VALUE(MID(L39,FIND("/",L39,FIND("/",L39)+1)+1,LEN(L39)-FIND("/",L39,FIND("/",L39)+1))))</f>
        <v>13</v>
      </c>
      <c r="Z39" s="11" t="n">
        <f aca="false">IF(OR(L39="",W39=""),"",IFERROR(INDEX('لیست‌ها'!$Q$3:$Q$53,MATCH(W39,'لیست‌ها'!$P$3:$P$53,0))+IF(X39&lt;=6,(X39-1)*31+Y39,IF(X39&lt;=11,186+(X39-7)*30+Y39,336+Y39))-1,""))</f>
        <v>46145</v>
      </c>
      <c r="AA39" s="7" t="n">
        <f aca="false">IF(H39="","",VALUE(LEFT(H39,FIND("/",H39)-1)))</f>
        <v>1405</v>
      </c>
      <c r="AB39" s="7" t="n">
        <f aca="false">IF(H39="","",VALUE(MID(H39,FIND("/",H39)+1,FIND("/",H39,FIND("/",H39)+1)-FIND("/",H39)-1)))</f>
        <v>2</v>
      </c>
      <c r="AC39" s="7" t="n">
        <f aca="false">IF(H39="","",VALUE(MID(H39,FIND("/",H39,FIND("/",H39)+1)+1,LEN(H39)-FIND("/",H39,FIND("/",H39)+1))))</f>
        <v>31</v>
      </c>
      <c r="AD39" s="11" t="n">
        <f aca="false">IF(OR(H39="",AA39=""),"",IFERROR(INDEX('لیست‌ها'!$Q$3:$Q$53,MATCH(AA39,'لیست‌ها'!$P$3:$P$53,0))+IF(AB39&lt;=6,(AB39-1)*31+AC39,IF(AB39&lt;=11,186+(AB39-7)*30+AC39,336+AC39))-1,""))</f>
        <v>46163</v>
      </c>
      <c r="AE39" s="7" t="str">
        <f aca="false">IF(P39="","",VALUE(LEFT(P39,FIND("/",P39)-1)))</f>
        <v/>
      </c>
      <c r="AF39" s="7" t="str">
        <f aca="false">IF(P39="","",VALUE(MID(P39,FIND("/",P39)+1,FIND("/",P39,FIND("/",P39)+1)-FIND("/",P39)-1)))</f>
        <v/>
      </c>
      <c r="AG39" s="7" t="str">
        <f aca="false">IF(P39="","",VALUE(MID(P39,FIND("/",P39,FIND("/",P39)+1)+1,LEN(P39)-FIND("/",P39,FIND("/",P39)+1))))</f>
        <v/>
      </c>
      <c r="AH39" s="7" t="str">
        <f aca="false">IF(OR(P39="",AE39=""),"",IFERROR(INDEX('لیست‌ها'!$Q$3:$Q$53,MATCH(AE39,'لیست‌ها'!$P$3:$P$53,0))+IF(AF39&lt;=6,(AF39-1)*31+AG39,IF(AF39&lt;=11,186+(AF39-7)*30+AG39,336+AG39))-1,""))</f>
        <v/>
      </c>
      <c r="AI39" s="7" t="str">
        <f aca="false">IF(W39="","",W39&amp;"-"&amp;TEXT(X39,"00"))</f>
        <v>1405-02</v>
      </c>
      <c r="AJ39" s="7" t="n">
        <f aca="false">IF(W39="","",W39*12+X39)</f>
        <v>16862</v>
      </c>
      <c r="AK39" s="7" t="str">
        <f aca="false">IF(U39="تاخیر",V39+ROW()/100000,"")</f>
        <v/>
      </c>
    </row>
    <row r="40" customFormat="false" ht="15" hidden="false" customHeight="false" outlineLevel="0" collapsed="false">
      <c r="A40" s="7" t="n">
        <f aca="false">IF(B40="","",ROW()-3)</f>
        <v>37</v>
      </c>
      <c r="B40" s="8" t="s">
        <v>152</v>
      </c>
      <c r="C40" s="8" t="s">
        <v>38</v>
      </c>
      <c r="D40" s="8" t="s">
        <v>47</v>
      </c>
      <c r="E40" s="9" t="s">
        <v>153</v>
      </c>
      <c r="F40" s="9" t="s">
        <v>51</v>
      </c>
      <c r="G40" s="8" t="s">
        <v>52</v>
      </c>
      <c r="H40" s="8" t="s">
        <v>74</v>
      </c>
      <c r="I40" s="8" t="s">
        <v>54</v>
      </c>
      <c r="J40" s="9"/>
      <c r="K40" s="8"/>
      <c r="L40" s="8" t="s">
        <v>93</v>
      </c>
      <c r="M40" s="8" t="s">
        <v>56</v>
      </c>
      <c r="N40" s="8"/>
      <c r="O40" s="8"/>
      <c r="P40" s="8"/>
      <c r="Q40" s="8"/>
      <c r="R40" s="9"/>
      <c r="S40" s="8"/>
      <c r="T40" s="9"/>
      <c r="U40" s="10" t="str">
        <f aca="true">IF(B40="","",IF(OR(P40&lt;&gt;"",I40="می‌باشد"),"بسته",IF(AND(L40&lt;&gt;"",W40=""),"خطای فرمت تاریخ ایجاد",IF(AND(H40&lt;&gt;"",AA40=""),"خطای فرمت مهلت",IF(AND(H40&lt;&gt;"",AD40&lt;&gt;"",TODAY()&gt;AD40),"تاخیر",IF(L40&lt;&gt;"","در حال انجام",""))))))</f>
        <v>بسته</v>
      </c>
      <c r="V40" s="7" t="n">
        <f aca="true">IF(U40="تاخیر",TODAY()-AD40,IF(AND(U40="بسته",AH40&lt;&gt;"",AD40&lt;&gt;"",AH40&gt;AD40),AH40-AD40,0))</f>
        <v>0</v>
      </c>
      <c r="W40" s="7" t="n">
        <f aca="false">IF(L40="","",VALUE(LEFT(L40,FIND("/",L40)-1)))</f>
        <v>1405</v>
      </c>
      <c r="X40" s="7" t="n">
        <f aca="false">IF(L40="","",VALUE(MID(L40,FIND("/",L40)+1,FIND("/",L40,FIND("/",L40)+1)-FIND("/",L40)-1)))</f>
        <v>2</v>
      </c>
      <c r="Y40" s="7" t="n">
        <f aca="false">IF(L40="","",VALUE(MID(L40,FIND("/",L40,FIND("/",L40)+1)+1,LEN(L40)-FIND("/",L40,FIND("/",L40)+1))))</f>
        <v>13</v>
      </c>
      <c r="Z40" s="11" t="n">
        <f aca="false">IF(OR(L40="",W40=""),"",IFERROR(INDEX('لیست‌ها'!$Q$3:$Q$53,MATCH(W40,'لیست‌ها'!$P$3:$P$53,0))+IF(X40&lt;=6,(X40-1)*31+Y40,IF(X40&lt;=11,186+(X40-7)*30+Y40,336+Y40))-1,""))</f>
        <v>46145</v>
      </c>
      <c r="AA40" s="7" t="n">
        <f aca="false">IF(H40="","",VALUE(LEFT(H40,FIND("/",H40)-1)))</f>
        <v>1405</v>
      </c>
      <c r="AB40" s="7" t="n">
        <f aca="false">IF(H40="","",VALUE(MID(H40,FIND("/",H40)+1,FIND("/",H40,FIND("/",H40)+1)-FIND("/",H40)-1)))</f>
        <v>2</v>
      </c>
      <c r="AC40" s="7" t="n">
        <f aca="false">IF(H40="","",VALUE(MID(H40,FIND("/",H40,FIND("/",H40)+1)+1,LEN(H40)-FIND("/",H40,FIND("/",H40)+1))))</f>
        <v>31</v>
      </c>
      <c r="AD40" s="11" t="n">
        <f aca="false">IF(OR(H40="",AA40=""),"",IFERROR(INDEX('لیست‌ها'!$Q$3:$Q$53,MATCH(AA40,'لیست‌ها'!$P$3:$P$53,0))+IF(AB40&lt;=6,(AB40-1)*31+AC40,IF(AB40&lt;=11,186+(AB40-7)*30+AC40,336+AC40))-1,""))</f>
        <v>46163</v>
      </c>
      <c r="AE40" s="7" t="str">
        <f aca="false">IF(P40="","",VALUE(LEFT(P40,FIND("/",P40)-1)))</f>
        <v/>
      </c>
      <c r="AF40" s="7" t="str">
        <f aca="false">IF(P40="","",VALUE(MID(P40,FIND("/",P40)+1,FIND("/",P40,FIND("/",P40)+1)-FIND("/",P40)-1)))</f>
        <v/>
      </c>
      <c r="AG40" s="7" t="str">
        <f aca="false">IF(P40="","",VALUE(MID(P40,FIND("/",P40,FIND("/",P40)+1)+1,LEN(P40)-FIND("/",P40,FIND("/",P40)+1))))</f>
        <v/>
      </c>
      <c r="AH40" s="7" t="str">
        <f aca="false">IF(OR(P40="",AE40=""),"",IFERROR(INDEX('لیست‌ها'!$Q$3:$Q$53,MATCH(AE40,'لیست‌ها'!$P$3:$P$53,0))+IF(AF40&lt;=6,(AF40-1)*31+AG40,IF(AF40&lt;=11,186+(AF40-7)*30+AG40,336+AG40))-1,""))</f>
        <v/>
      </c>
      <c r="AI40" s="7" t="str">
        <f aca="false">IF(W40="","",W40&amp;"-"&amp;TEXT(X40,"00"))</f>
        <v>1405-02</v>
      </c>
      <c r="AJ40" s="7" t="n">
        <f aca="false">IF(W40="","",W40*12+X40)</f>
        <v>16862</v>
      </c>
      <c r="AK40" s="7" t="str">
        <f aca="false">IF(U40="تاخیر",V40+ROW()/100000,"")</f>
        <v/>
      </c>
    </row>
    <row r="41" customFormat="false" ht="15" hidden="false" customHeight="false" outlineLevel="0" collapsed="false">
      <c r="A41" s="7" t="n">
        <f aca="false">IF(B41="","",ROW()-3)</f>
        <v>38</v>
      </c>
      <c r="B41" s="8" t="s">
        <v>149</v>
      </c>
      <c r="C41" s="8" t="s">
        <v>38</v>
      </c>
      <c r="D41" s="8" t="s">
        <v>47</v>
      </c>
      <c r="E41" s="9" t="s">
        <v>150</v>
      </c>
      <c r="F41" s="9" t="s">
        <v>51</v>
      </c>
      <c r="G41" s="8" t="s">
        <v>52</v>
      </c>
      <c r="H41" s="8" t="s">
        <v>74</v>
      </c>
      <c r="I41" s="8" t="s">
        <v>54</v>
      </c>
      <c r="J41" s="9"/>
      <c r="K41" s="8"/>
      <c r="L41" s="8" t="s">
        <v>151</v>
      </c>
      <c r="M41" s="8" t="s">
        <v>56</v>
      </c>
      <c r="N41" s="8"/>
      <c r="O41" s="8"/>
      <c r="P41" s="8"/>
      <c r="Q41" s="8"/>
      <c r="R41" s="9"/>
      <c r="S41" s="8"/>
      <c r="T41" s="9"/>
      <c r="U41" s="10" t="str">
        <f aca="true">IF(B41="","",IF(OR(P41&lt;&gt;"",I41="می‌باشد"),"بسته",IF(AND(L41&lt;&gt;"",W41=""),"خطای فرمت تاریخ ایجاد",IF(AND(H41&lt;&gt;"",AA41=""),"خطای فرمت مهلت",IF(AND(H41&lt;&gt;"",AD41&lt;&gt;"",TODAY()&gt;AD41),"تاخیر",IF(L41&lt;&gt;"","در حال انجام",""))))))</f>
        <v>بسته</v>
      </c>
      <c r="V41" s="7" t="n">
        <f aca="true">IF(U41="تاخیر",TODAY()-AD41,IF(AND(U41="بسته",AH41&lt;&gt;"",AD41&lt;&gt;"",AH41&gt;AD41),AH41-AD41,0))</f>
        <v>0</v>
      </c>
      <c r="W41" s="7" t="n">
        <f aca="false">IF(L41="","",VALUE(LEFT(L41,FIND("/",L41)-1)))</f>
        <v>1405</v>
      </c>
      <c r="X41" s="7" t="n">
        <f aca="false">IF(L41="","",VALUE(MID(L41,FIND("/",L41)+1,FIND("/",L41,FIND("/",L41)+1)-FIND("/",L41)-1)))</f>
        <v>2</v>
      </c>
      <c r="Y41" s="7" t="n">
        <f aca="false">IF(L41="","",VALUE(MID(L41,FIND("/",L41,FIND("/",L41)+1)+1,LEN(L41)-FIND("/",L41,FIND("/",L41)+1))))</f>
        <v>14</v>
      </c>
      <c r="Z41" s="11" t="n">
        <f aca="false">IF(OR(L41="",W41=""),"",IFERROR(INDEX('لیست‌ها'!$Q$3:$Q$53,MATCH(W41,'لیست‌ها'!$P$3:$P$53,0))+IF(X41&lt;=6,(X41-1)*31+Y41,IF(X41&lt;=11,186+(X41-7)*30+Y41,336+Y41))-1,""))</f>
        <v>46146</v>
      </c>
      <c r="AA41" s="7" t="n">
        <f aca="false">IF(H41="","",VALUE(LEFT(H41,FIND("/",H41)-1)))</f>
        <v>1405</v>
      </c>
      <c r="AB41" s="7" t="n">
        <f aca="false">IF(H41="","",VALUE(MID(H41,FIND("/",H41)+1,FIND("/",H41,FIND("/",H41)+1)-FIND("/",H41)-1)))</f>
        <v>2</v>
      </c>
      <c r="AC41" s="7" t="n">
        <f aca="false">IF(H41="","",VALUE(MID(H41,FIND("/",H41,FIND("/",H41)+1)+1,LEN(H41)-FIND("/",H41,FIND("/",H41)+1))))</f>
        <v>31</v>
      </c>
      <c r="AD41" s="11" t="n">
        <f aca="false">IF(OR(H41="",AA41=""),"",IFERROR(INDEX('لیست‌ها'!$Q$3:$Q$53,MATCH(AA41,'لیست‌ها'!$P$3:$P$53,0))+IF(AB41&lt;=6,(AB41-1)*31+AC41,IF(AB41&lt;=11,186+(AB41-7)*30+AC41,336+AC41))-1,""))</f>
        <v>46163</v>
      </c>
      <c r="AE41" s="7" t="str">
        <f aca="false">IF(P41="","",VALUE(LEFT(P41,FIND("/",P41)-1)))</f>
        <v/>
      </c>
      <c r="AF41" s="7" t="str">
        <f aca="false">IF(P41="","",VALUE(MID(P41,FIND("/",P41)+1,FIND("/",P41,FIND("/",P41)+1)-FIND("/",P41)-1)))</f>
        <v/>
      </c>
      <c r="AG41" s="7" t="str">
        <f aca="false">IF(P41="","",VALUE(MID(P41,FIND("/",P41,FIND("/",P41)+1)+1,LEN(P41)-FIND("/",P41,FIND("/",P41)+1))))</f>
        <v/>
      </c>
      <c r="AH41" s="7" t="str">
        <f aca="false">IF(OR(P41="",AE41=""),"",IFERROR(INDEX('لیست‌ها'!$Q$3:$Q$53,MATCH(AE41,'لیست‌ها'!$P$3:$P$53,0))+IF(AF41&lt;=6,(AF41-1)*31+AG41,IF(AF41&lt;=11,186+(AF41-7)*30+AG41,336+AG41))-1,""))</f>
        <v/>
      </c>
      <c r="AI41" s="7" t="str">
        <f aca="false">IF(W41="","",W41&amp;"-"&amp;TEXT(X41,"00"))</f>
        <v>1405-02</v>
      </c>
      <c r="AJ41" s="7" t="n">
        <f aca="false">IF(W41="","",W41*12+X41)</f>
        <v>16862</v>
      </c>
      <c r="AK41" s="7" t="str">
        <f aca="false">IF(U41="تاخیر",V41+ROW()/100000,"")</f>
        <v/>
      </c>
    </row>
    <row r="42" customFormat="false" ht="15" hidden="false" customHeight="false" outlineLevel="0" collapsed="false">
      <c r="A42" s="7" t="n">
        <f aca="false">IF(B42="","",ROW()-3)</f>
        <v>39</v>
      </c>
      <c r="B42" s="8" t="s">
        <v>146</v>
      </c>
      <c r="C42" s="8" t="s">
        <v>38</v>
      </c>
      <c r="D42" s="8" t="s">
        <v>47</v>
      </c>
      <c r="E42" s="9" t="s">
        <v>147</v>
      </c>
      <c r="F42" s="9" t="s">
        <v>51</v>
      </c>
      <c r="G42" s="8" t="s">
        <v>52</v>
      </c>
      <c r="H42" s="8" t="s">
        <v>74</v>
      </c>
      <c r="I42" s="8" t="s">
        <v>54</v>
      </c>
      <c r="J42" s="9"/>
      <c r="K42" s="8"/>
      <c r="L42" s="8" t="s">
        <v>148</v>
      </c>
      <c r="M42" s="8" t="s">
        <v>56</v>
      </c>
      <c r="N42" s="8"/>
      <c r="O42" s="8"/>
      <c r="P42" s="8"/>
      <c r="Q42" s="8"/>
      <c r="R42" s="9"/>
      <c r="S42" s="8"/>
      <c r="T42" s="9"/>
      <c r="U42" s="10" t="str">
        <f aca="true">IF(B42="","",IF(OR(P42&lt;&gt;"",I42="می‌باشد"),"بسته",IF(AND(L42&lt;&gt;"",W42=""),"خطای فرمت تاریخ ایجاد",IF(AND(H42&lt;&gt;"",AA42=""),"خطای فرمت مهلت",IF(AND(H42&lt;&gt;"",AD42&lt;&gt;"",TODAY()&gt;AD42),"تاخیر",IF(L42&lt;&gt;"","در حال انجام",""))))))</f>
        <v>بسته</v>
      </c>
      <c r="V42" s="7" t="n">
        <f aca="true">IF(U42="تاخیر",TODAY()-AD42,IF(AND(U42="بسته",AH42&lt;&gt;"",AD42&lt;&gt;"",AH42&gt;AD42),AH42-AD42,0))</f>
        <v>0</v>
      </c>
      <c r="W42" s="7" t="n">
        <f aca="false">IF(L42="","",VALUE(LEFT(L42,FIND("/",L42)-1)))</f>
        <v>1405</v>
      </c>
      <c r="X42" s="7" t="n">
        <f aca="false">IF(L42="","",VALUE(MID(L42,FIND("/",L42)+1,FIND("/",L42,FIND("/",L42)+1)-FIND("/",L42)-1)))</f>
        <v>2</v>
      </c>
      <c r="Y42" s="7" t="n">
        <f aca="false">IF(L42="","",VALUE(MID(L42,FIND("/",L42,FIND("/",L42)+1)+1,LEN(L42)-FIND("/",L42,FIND("/",L42)+1))))</f>
        <v>16</v>
      </c>
      <c r="Z42" s="11" t="n">
        <f aca="false">IF(OR(L42="",W42=""),"",IFERROR(INDEX('لیست‌ها'!$Q$3:$Q$53,MATCH(W42,'لیست‌ها'!$P$3:$P$53,0))+IF(X42&lt;=6,(X42-1)*31+Y42,IF(X42&lt;=11,186+(X42-7)*30+Y42,336+Y42))-1,""))</f>
        <v>46148</v>
      </c>
      <c r="AA42" s="7" t="n">
        <f aca="false">IF(H42="","",VALUE(LEFT(H42,FIND("/",H42)-1)))</f>
        <v>1405</v>
      </c>
      <c r="AB42" s="7" t="n">
        <f aca="false">IF(H42="","",VALUE(MID(H42,FIND("/",H42)+1,FIND("/",H42,FIND("/",H42)+1)-FIND("/",H42)-1)))</f>
        <v>2</v>
      </c>
      <c r="AC42" s="7" t="n">
        <f aca="false">IF(H42="","",VALUE(MID(H42,FIND("/",H42,FIND("/",H42)+1)+1,LEN(H42)-FIND("/",H42,FIND("/",H42)+1))))</f>
        <v>31</v>
      </c>
      <c r="AD42" s="11" t="n">
        <f aca="false">IF(OR(H42="",AA42=""),"",IFERROR(INDEX('لیست‌ها'!$Q$3:$Q$53,MATCH(AA42,'لیست‌ها'!$P$3:$P$53,0))+IF(AB42&lt;=6,(AB42-1)*31+AC42,IF(AB42&lt;=11,186+(AB42-7)*30+AC42,336+AC42))-1,""))</f>
        <v>46163</v>
      </c>
      <c r="AE42" s="7" t="str">
        <f aca="false">IF(P42="","",VALUE(LEFT(P42,FIND("/",P42)-1)))</f>
        <v/>
      </c>
      <c r="AF42" s="7" t="str">
        <f aca="false">IF(P42="","",VALUE(MID(P42,FIND("/",P42)+1,FIND("/",P42,FIND("/",P42)+1)-FIND("/",P42)-1)))</f>
        <v/>
      </c>
      <c r="AG42" s="7" t="str">
        <f aca="false">IF(P42="","",VALUE(MID(P42,FIND("/",P42,FIND("/",P42)+1)+1,LEN(P42)-FIND("/",P42,FIND("/",P42)+1))))</f>
        <v/>
      </c>
      <c r="AH42" s="7" t="str">
        <f aca="false">IF(OR(P42="",AE42=""),"",IFERROR(INDEX('لیست‌ها'!$Q$3:$Q$53,MATCH(AE42,'لیست‌ها'!$P$3:$P$53,0))+IF(AF42&lt;=6,(AF42-1)*31+AG42,IF(AF42&lt;=11,186+(AF42-7)*30+AG42,336+AG42))-1,""))</f>
        <v/>
      </c>
      <c r="AI42" s="7" t="str">
        <f aca="false">IF(W42="","",W42&amp;"-"&amp;TEXT(X42,"00"))</f>
        <v>1405-02</v>
      </c>
      <c r="AJ42" s="7" t="n">
        <f aca="false">IF(W42="","",W42*12+X42)</f>
        <v>16862</v>
      </c>
      <c r="AK42" s="7" t="str">
        <f aca="false">IF(U42="تاخیر",V42+ROW()/100000,"")</f>
        <v/>
      </c>
    </row>
    <row r="43" customFormat="false" ht="15" hidden="false" customHeight="false" outlineLevel="0" collapsed="false">
      <c r="A43" s="7" t="n">
        <f aca="false">IF(B43="","",ROW()-3)</f>
        <v>40</v>
      </c>
      <c r="B43" s="8" t="s">
        <v>141</v>
      </c>
      <c r="C43" s="8" t="s">
        <v>38</v>
      </c>
      <c r="D43" s="8" t="s">
        <v>89</v>
      </c>
      <c r="E43" s="9" t="s">
        <v>142</v>
      </c>
      <c r="F43" s="9" t="s">
        <v>143</v>
      </c>
      <c r="G43" s="8" t="s">
        <v>144</v>
      </c>
      <c r="H43" s="8" t="s">
        <v>74</v>
      </c>
      <c r="I43" s="8" t="s">
        <v>54</v>
      </c>
      <c r="J43" s="9"/>
      <c r="K43" s="8"/>
      <c r="L43" s="8" t="s">
        <v>145</v>
      </c>
      <c r="M43" s="8" t="s">
        <v>56</v>
      </c>
      <c r="N43" s="8"/>
      <c r="O43" s="8"/>
      <c r="P43" s="8"/>
      <c r="Q43" s="8"/>
      <c r="R43" s="9"/>
      <c r="S43" s="8"/>
      <c r="T43" s="9"/>
      <c r="U43" s="10" t="str">
        <f aca="true">IF(B43="","",IF(OR(P43&lt;&gt;"",I43="می‌باشد"),"بسته",IF(AND(L43&lt;&gt;"",W43=""),"خطای فرمت تاریخ ایجاد",IF(AND(H43&lt;&gt;"",AA43=""),"خطای فرمت مهلت",IF(AND(H43&lt;&gt;"",AD43&lt;&gt;"",TODAY()&gt;AD43),"تاخیر",IF(L43&lt;&gt;"","در حال انجام",""))))))</f>
        <v>بسته</v>
      </c>
      <c r="V43" s="7" t="n">
        <f aca="true">IF(U43="تاخیر",TODAY()-AD43,IF(AND(U43="بسته",AH43&lt;&gt;"",AD43&lt;&gt;"",AH43&gt;AD43),AH43-AD43,0))</f>
        <v>0</v>
      </c>
      <c r="W43" s="7" t="n">
        <f aca="false">IF(L43="","",VALUE(LEFT(L43,FIND("/",L43)-1)))</f>
        <v>1405</v>
      </c>
      <c r="X43" s="7" t="n">
        <f aca="false">IF(L43="","",VALUE(MID(L43,FIND("/",L43)+1,FIND("/",L43,FIND("/",L43)+1)-FIND("/",L43)-1)))</f>
        <v>2</v>
      </c>
      <c r="Y43" s="7" t="n">
        <f aca="false">IF(L43="","",VALUE(MID(L43,FIND("/",L43,FIND("/",L43)+1)+1,LEN(L43)-FIND("/",L43,FIND("/",L43)+1))))</f>
        <v>19</v>
      </c>
      <c r="Z43" s="11" t="n">
        <f aca="false">IF(OR(L43="",W43=""),"",IFERROR(INDEX('لیست‌ها'!$Q$3:$Q$53,MATCH(W43,'لیست‌ها'!$P$3:$P$53,0))+IF(X43&lt;=6,(X43-1)*31+Y43,IF(X43&lt;=11,186+(X43-7)*30+Y43,336+Y43))-1,""))</f>
        <v>46151</v>
      </c>
      <c r="AA43" s="7" t="n">
        <f aca="false">IF(H43="","",VALUE(LEFT(H43,FIND("/",H43)-1)))</f>
        <v>1405</v>
      </c>
      <c r="AB43" s="7" t="n">
        <f aca="false">IF(H43="","",VALUE(MID(H43,FIND("/",H43)+1,FIND("/",H43,FIND("/",H43)+1)-FIND("/",H43)-1)))</f>
        <v>2</v>
      </c>
      <c r="AC43" s="7" t="n">
        <f aca="false">IF(H43="","",VALUE(MID(H43,FIND("/",H43,FIND("/",H43)+1)+1,LEN(H43)-FIND("/",H43,FIND("/",H43)+1))))</f>
        <v>31</v>
      </c>
      <c r="AD43" s="11" t="n">
        <f aca="false">IF(OR(H43="",AA43=""),"",IFERROR(INDEX('لیست‌ها'!$Q$3:$Q$53,MATCH(AA43,'لیست‌ها'!$P$3:$P$53,0))+IF(AB43&lt;=6,(AB43-1)*31+AC43,IF(AB43&lt;=11,186+(AB43-7)*30+AC43,336+AC43))-1,""))</f>
        <v>46163</v>
      </c>
      <c r="AE43" s="7" t="str">
        <f aca="false">IF(P43="","",VALUE(LEFT(P43,FIND("/",P43)-1)))</f>
        <v/>
      </c>
      <c r="AF43" s="7" t="str">
        <f aca="false">IF(P43="","",VALUE(MID(P43,FIND("/",P43)+1,FIND("/",P43,FIND("/",P43)+1)-FIND("/",P43)-1)))</f>
        <v/>
      </c>
      <c r="AG43" s="7" t="str">
        <f aca="false">IF(P43="","",VALUE(MID(P43,FIND("/",P43,FIND("/",P43)+1)+1,LEN(P43)-FIND("/",P43,FIND("/",P43)+1))))</f>
        <v/>
      </c>
      <c r="AH43" s="7" t="str">
        <f aca="false">IF(OR(P43="",AE43=""),"",IFERROR(INDEX('لیست‌ها'!$Q$3:$Q$53,MATCH(AE43,'لیست‌ها'!$P$3:$P$53,0))+IF(AF43&lt;=6,(AF43-1)*31+AG43,IF(AF43&lt;=11,186+(AF43-7)*30+AG43,336+AG43))-1,""))</f>
        <v/>
      </c>
      <c r="AI43" s="7" t="str">
        <f aca="false">IF(W43="","",W43&amp;"-"&amp;TEXT(X43,"00"))</f>
        <v>1405-02</v>
      </c>
      <c r="AJ43" s="7" t="n">
        <f aca="false">IF(W43="","",W43*12+X43)</f>
        <v>16862</v>
      </c>
      <c r="AK43" s="7" t="str">
        <f aca="false">IF(U43="تاخیر",V43+ROW()/100000,"")</f>
        <v/>
      </c>
    </row>
    <row r="44" customFormat="false" ht="15" hidden="false" customHeight="false" outlineLevel="0" collapsed="false">
      <c r="A44" s="7" t="n">
        <f aca="false">IF(B44="","",ROW()-3)</f>
        <v>41</v>
      </c>
      <c r="B44" s="8" t="s">
        <v>139</v>
      </c>
      <c r="C44" s="8" t="s">
        <v>38</v>
      </c>
      <c r="D44" s="8" t="s">
        <v>47</v>
      </c>
      <c r="E44" s="9" t="s">
        <v>140</v>
      </c>
      <c r="F44" s="9" t="s">
        <v>137</v>
      </c>
      <c r="G44" s="8" t="s">
        <v>52</v>
      </c>
      <c r="H44" s="8" t="s">
        <v>74</v>
      </c>
      <c r="I44" s="8" t="s">
        <v>54</v>
      </c>
      <c r="J44" s="9"/>
      <c r="K44" s="8"/>
      <c r="L44" s="8" t="s">
        <v>53</v>
      </c>
      <c r="M44" s="8" t="s">
        <v>56</v>
      </c>
      <c r="N44" s="8"/>
      <c r="O44" s="8"/>
      <c r="P44" s="8"/>
      <c r="Q44" s="8"/>
      <c r="R44" s="9"/>
      <c r="S44" s="8"/>
      <c r="T44" s="9"/>
      <c r="U44" s="10" t="str">
        <f aca="true">IF(B44="","",IF(OR(P44&lt;&gt;"",I44="می‌باشد"),"بسته",IF(AND(L44&lt;&gt;"",W44=""),"خطای فرمت تاریخ ایجاد",IF(AND(H44&lt;&gt;"",AA44=""),"خطای فرمت مهلت",IF(AND(H44&lt;&gt;"",AD44&lt;&gt;"",TODAY()&gt;AD44),"تاخیر",IF(L44&lt;&gt;"","در حال انجام",""))))))</f>
        <v>بسته</v>
      </c>
      <c r="V44" s="7" t="n">
        <f aca="true">IF(U44="تاخیر",TODAY()-AD44,IF(AND(U44="بسته",AH44&lt;&gt;"",AD44&lt;&gt;"",AH44&gt;AD44),AH44-AD44,0))</f>
        <v>0</v>
      </c>
      <c r="W44" s="7" t="n">
        <f aca="false">IF(L44="","",VALUE(LEFT(L44,FIND("/",L44)-1)))</f>
        <v>1405</v>
      </c>
      <c r="X44" s="7" t="n">
        <f aca="false">IF(L44="","",VALUE(MID(L44,FIND("/",L44)+1,FIND("/",L44,FIND("/",L44)+1)-FIND("/",L44)-1)))</f>
        <v>2</v>
      </c>
      <c r="Y44" s="7" t="n">
        <f aca="false">IF(L44="","",VALUE(MID(L44,FIND("/",L44,FIND("/",L44)+1)+1,LEN(L44)-FIND("/",L44,FIND("/",L44)+1))))</f>
        <v>20</v>
      </c>
      <c r="Z44" s="11" t="n">
        <f aca="false">IF(OR(L44="",W44=""),"",IFERROR(INDEX('لیست‌ها'!$Q$3:$Q$53,MATCH(W44,'لیست‌ها'!$P$3:$P$53,0))+IF(X44&lt;=6,(X44-1)*31+Y44,IF(X44&lt;=11,186+(X44-7)*30+Y44,336+Y44))-1,""))</f>
        <v>46152</v>
      </c>
      <c r="AA44" s="7" t="n">
        <f aca="false">IF(H44="","",VALUE(LEFT(H44,FIND("/",H44)-1)))</f>
        <v>1405</v>
      </c>
      <c r="AB44" s="7" t="n">
        <f aca="false">IF(H44="","",VALUE(MID(H44,FIND("/",H44)+1,FIND("/",H44,FIND("/",H44)+1)-FIND("/",H44)-1)))</f>
        <v>2</v>
      </c>
      <c r="AC44" s="7" t="n">
        <f aca="false">IF(H44="","",VALUE(MID(H44,FIND("/",H44,FIND("/",H44)+1)+1,LEN(H44)-FIND("/",H44,FIND("/",H44)+1))))</f>
        <v>31</v>
      </c>
      <c r="AD44" s="11" t="n">
        <f aca="false">IF(OR(H44="",AA44=""),"",IFERROR(INDEX('لیست‌ها'!$Q$3:$Q$53,MATCH(AA44,'لیست‌ها'!$P$3:$P$53,0))+IF(AB44&lt;=6,(AB44-1)*31+AC44,IF(AB44&lt;=11,186+(AB44-7)*30+AC44,336+AC44))-1,""))</f>
        <v>46163</v>
      </c>
      <c r="AE44" s="7" t="str">
        <f aca="false">IF(P44="","",VALUE(LEFT(P44,FIND("/",P44)-1)))</f>
        <v/>
      </c>
      <c r="AF44" s="7" t="str">
        <f aca="false">IF(P44="","",VALUE(MID(P44,FIND("/",P44)+1,FIND("/",P44,FIND("/",P44)+1)-FIND("/",P44)-1)))</f>
        <v/>
      </c>
      <c r="AG44" s="7" t="str">
        <f aca="false">IF(P44="","",VALUE(MID(P44,FIND("/",P44,FIND("/",P44)+1)+1,LEN(P44)-FIND("/",P44,FIND("/",P44)+1))))</f>
        <v/>
      </c>
      <c r="AH44" s="7" t="str">
        <f aca="false">IF(OR(P44="",AE44=""),"",IFERROR(INDEX('لیست‌ها'!$Q$3:$Q$53,MATCH(AE44,'لیست‌ها'!$P$3:$P$53,0))+IF(AF44&lt;=6,(AF44-1)*31+AG44,IF(AF44&lt;=11,186+(AF44-7)*30+AG44,336+AG44))-1,""))</f>
        <v/>
      </c>
      <c r="AI44" s="7" t="str">
        <f aca="false">IF(W44="","",W44&amp;"-"&amp;TEXT(X44,"00"))</f>
        <v>1405-02</v>
      </c>
      <c r="AJ44" s="7" t="n">
        <f aca="false">IF(W44="","",W44*12+X44)</f>
        <v>16862</v>
      </c>
      <c r="AK44" s="7" t="str">
        <f aca="false">IF(U44="تاخیر",V44+ROW()/100000,"")</f>
        <v/>
      </c>
    </row>
    <row r="45" customFormat="false" ht="15" hidden="false" customHeight="false" outlineLevel="0" collapsed="false">
      <c r="A45" s="7" t="n">
        <f aca="false">IF(B45="","",ROW()-3)</f>
        <v>42</v>
      </c>
      <c r="B45" s="8" t="s">
        <v>135</v>
      </c>
      <c r="C45" s="8" t="s">
        <v>38</v>
      </c>
      <c r="D45" s="8" t="s">
        <v>47</v>
      </c>
      <c r="E45" s="9" t="s">
        <v>136</v>
      </c>
      <c r="F45" s="9" t="s">
        <v>137</v>
      </c>
      <c r="G45" s="8" t="s">
        <v>138</v>
      </c>
      <c r="H45" s="8"/>
      <c r="I45" s="8"/>
      <c r="J45" s="9"/>
      <c r="K45" s="8"/>
      <c r="L45" s="8" t="s">
        <v>53</v>
      </c>
      <c r="M45" s="8" t="s">
        <v>44</v>
      </c>
      <c r="N45" s="8"/>
      <c r="O45" s="8"/>
      <c r="P45" s="8"/>
      <c r="Q45" s="8"/>
      <c r="R45" s="9"/>
      <c r="S45" s="8"/>
      <c r="T45" s="9"/>
      <c r="U45" s="10" t="str">
        <f aca="true">IF(B45="","",IF(OR(P45&lt;&gt;"",I45="می‌باشد"),"بسته",IF(AND(L45&lt;&gt;"",W45=""),"خطای فرمت تاریخ ایجاد",IF(AND(H45&lt;&gt;"",AA45=""),"خطای فرمت مهلت",IF(AND(H45&lt;&gt;"",AD45&lt;&gt;"",TODAY()&gt;AD45),"تاخیر",IF(L45&lt;&gt;"","در حال انجام",""))))))</f>
        <v>در حال انجام</v>
      </c>
      <c r="V45" s="7" t="n">
        <f aca="true">IF(U45="تاخیر",TODAY()-AD45,IF(AND(U45="بسته",AH45&lt;&gt;"",AD45&lt;&gt;"",AH45&gt;AD45),AH45-AD45,0))</f>
        <v>0</v>
      </c>
      <c r="W45" s="7" t="n">
        <f aca="false">IF(L45="","",VALUE(LEFT(L45,FIND("/",L45)-1)))</f>
        <v>1405</v>
      </c>
      <c r="X45" s="7" t="n">
        <f aca="false">IF(L45="","",VALUE(MID(L45,FIND("/",L45)+1,FIND("/",L45,FIND("/",L45)+1)-FIND("/",L45)-1)))</f>
        <v>2</v>
      </c>
      <c r="Y45" s="7" t="n">
        <f aca="false">IF(L45="","",VALUE(MID(L45,FIND("/",L45,FIND("/",L45)+1)+1,LEN(L45)-FIND("/",L45,FIND("/",L45)+1))))</f>
        <v>20</v>
      </c>
      <c r="Z45" s="11" t="n">
        <f aca="false">IF(OR(L45="",W45=""),"",IFERROR(INDEX('لیست‌ها'!$Q$3:$Q$53,MATCH(W45,'لیست‌ها'!$P$3:$P$53,0))+IF(X45&lt;=6,(X45-1)*31+Y45,IF(X45&lt;=11,186+(X45-7)*30+Y45,336+Y45))-1,""))</f>
        <v>46152</v>
      </c>
      <c r="AA45" s="7" t="str">
        <f aca="false">IF(H45="","",VALUE(LEFT(H45,FIND("/",H45)-1)))</f>
        <v/>
      </c>
      <c r="AB45" s="7" t="str">
        <f aca="false">IF(H45="","",VALUE(MID(H45,FIND("/",H45)+1,FIND("/",H45,FIND("/",H45)+1)-FIND("/",H45)-1)))</f>
        <v/>
      </c>
      <c r="AC45" s="7" t="str">
        <f aca="false">IF(H45="","",VALUE(MID(H45,FIND("/",H45,FIND("/",H45)+1)+1,LEN(H45)-FIND("/",H45,FIND("/",H45)+1))))</f>
        <v/>
      </c>
      <c r="AD45" s="7" t="str">
        <f aca="false">IF(OR(H45="",AA45=""),"",IFERROR(INDEX('لیست‌ها'!$Q$3:$Q$53,MATCH(AA45,'لیست‌ها'!$P$3:$P$53,0))+IF(AB45&lt;=6,(AB45-1)*31+AC45,IF(AB45&lt;=11,186+(AB45-7)*30+AC45,336+AC45))-1,""))</f>
        <v/>
      </c>
      <c r="AE45" s="7" t="str">
        <f aca="false">IF(P45="","",VALUE(LEFT(P45,FIND("/",P45)-1)))</f>
        <v/>
      </c>
      <c r="AF45" s="7" t="str">
        <f aca="false">IF(P45="","",VALUE(MID(P45,FIND("/",P45)+1,FIND("/",P45,FIND("/",P45)+1)-FIND("/",P45)-1)))</f>
        <v/>
      </c>
      <c r="AG45" s="7" t="str">
        <f aca="false">IF(P45="","",VALUE(MID(P45,FIND("/",P45,FIND("/",P45)+1)+1,LEN(P45)-FIND("/",P45,FIND("/",P45)+1))))</f>
        <v/>
      </c>
      <c r="AH45" s="7" t="str">
        <f aca="false">IF(OR(P45="",AE45=""),"",IFERROR(INDEX('لیست‌ها'!$Q$3:$Q$53,MATCH(AE45,'لیست‌ها'!$P$3:$P$53,0))+IF(AF45&lt;=6,(AF45-1)*31+AG45,IF(AF45&lt;=11,186+(AF45-7)*30+AG45,336+AG45))-1,""))</f>
        <v/>
      </c>
      <c r="AI45" s="7" t="str">
        <f aca="false">IF(W45="","",W45&amp;"-"&amp;TEXT(X45,"00"))</f>
        <v>1405-02</v>
      </c>
      <c r="AJ45" s="7" t="n">
        <f aca="false">IF(W45="","",W45*12+X45)</f>
        <v>16862</v>
      </c>
      <c r="AK45" s="7" t="str">
        <f aca="false">IF(U45="تاخیر",V45+ROW()/100000,"")</f>
        <v/>
      </c>
    </row>
    <row r="46" customFormat="false" ht="15" hidden="false" customHeight="false" outlineLevel="0" collapsed="false">
      <c r="A46" s="7" t="n">
        <f aca="false">IF(B46="","",ROW()-3)</f>
        <v>43</v>
      </c>
      <c r="B46" s="8" t="s">
        <v>133</v>
      </c>
      <c r="C46" s="8" t="s">
        <v>38</v>
      </c>
      <c r="D46" s="8" t="s">
        <v>47</v>
      </c>
      <c r="E46" s="9" t="s">
        <v>134</v>
      </c>
      <c r="F46" s="9" t="s">
        <v>51</v>
      </c>
      <c r="G46" s="8" t="s">
        <v>52</v>
      </c>
      <c r="H46" s="8"/>
      <c r="I46" s="8"/>
      <c r="J46" s="9"/>
      <c r="K46" s="8"/>
      <c r="L46" s="8" t="s">
        <v>132</v>
      </c>
      <c r="M46" s="8" t="s">
        <v>44</v>
      </c>
      <c r="N46" s="8"/>
      <c r="O46" s="8"/>
      <c r="P46" s="8"/>
      <c r="Q46" s="8"/>
      <c r="R46" s="9"/>
      <c r="S46" s="8"/>
      <c r="T46" s="9"/>
      <c r="U46" s="10" t="str">
        <f aca="true">IF(B46="","",IF(OR(P46&lt;&gt;"",I46="می‌باشد"),"بسته",IF(AND(L46&lt;&gt;"",W46=""),"خطای فرمت تاریخ ایجاد",IF(AND(H46&lt;&gt;"",AA46=""),"خطای فرمت مهلت",IF(AND(H46&lt;&gt;"",AD46&lt;&gt;"",TODAY()&gt;AD46),"تاخیر",IF(L46&lt;&gt;"","در حال انجام",""))))))</f>
        <v>در حال انجام</v>
      </c>
      <c r="V46" s="7" t="n">
        <f aca="true">IF(U46="تاخیر",TODAY()-AD46,IF(AND(U46="بسته",AH46&lt;&gt;"",AD46&lt;&gt;"",AH46&gt;AD46),AH46-AD46,0))</f>
        <v>0</v>
      </c>
      <c r="W46" s="7" t="n">
        <f aca="false">IF(L46="","",VALUE(LEFT(L46,FIND("/",L46)-1)))</f>
        <v>1405</v>
      </c>
      <c r="X46" s="7" t="n">
        <f aca="false">IF(L46="","",VALUE(MID(L46,FIND("/",L46)+1,FIND("/",L46,FIND("/",L46)+1)-FIND("/",L46)-1)))</f>
        <v>2</v>
      </c>
      <c r="Y46" s="7" t="n">
        <f aca="false">IF(L46="","",VALUE(MID(L46,FIND("/",L46,FIND("/",L46)+1)+1,LEN(L46)-FIND("/",L46,FIND("/",L46)+1))))</f>
        <v>21</v>
      </c>
      <c r="Z46" s="11" t="n">
        <f aca="false">IF(OR(L46="",W46=""),"",IFERROR(INDEX('لیست‌ها'!$Q$3:$Q$53,MATCH(W46,'لیست‌ها'!$P$3:$P$53,0))+IF(X46&lt;=6,(X46-1)*31+Y46,IF(X46&lt;=11,186+(X46-7)*30+Y46,336+Y46))-1,""))</f>
        <v>46153</v>
      </c>
      <c r="AA46" s="7" t="str">
        <f aca="false">IF(H46="","",VALUE(LEFT(H46,FIND("/",H46)-1)))</f>
        <v/>
      </c>
      <c r="AB46" s="7" t="str">
        <f aca="false">IF(H46="","",VALUE(MID(H46,FIND("/",H46)+1,FIND("/",H46,FIND("/",H46)+1)-FIND("/",H46)-1)))</f>
        <v/>
      </c>
      <c r="AC46" s="7" t="str">
        <f aca="false">IF(H46="","",VALUE(MID(H46,FIND("/",H46,FIND("/",H46)+1)+1,LEN(H46)-FIND("/",H46,FIND("/",H46)+1))))</f>
        <v/>
      </c>
      <c r="AD46" s="7" t="str">
        <f aca="false">IF(OR(H46="",AA46=""),"",IFERROR(INDEX('لیست‌ها'!$Q$3:$Q$53,MATCH(AA46,'لیست‌ها'!$P$3:$P$53,0))+IF(AB46&lt;=6,(AB46-1)*31+AC46,IF(AB46&lt;=11,186+(AB46-7)*30+AC46,336+AC46))-1,""))</f>
        <v/>
      </c>
      <c r="AE46" s="7" t="str">
        <f aca="false">IF(P46="","",VALUE(LEFT(P46,FIND("/",P46)-1)))</f>
        <v/>
      </c>
      <c r="AF46" s="7" t="str">
        <f aca="false">IF(P46="","",VALUE(MID(P46,FIND("/",P46)+1,FIND("/",P46,FIND("/",P46)+1)-FIND("/",P46)-1)))</f>
        <v/>
      </c>
      <c r="AG46" s="7" t="str">
        <f aca="false">IF(P46="","",VALUE(MID(P46,FIND("/",P46,FIND("/",P46)+1)+1,LEN(P46)-FIND("/",P46,FIND("/",P46)+1))))</f>
        <v/>
      </c>
      <c r="AH46" s="7" t="str">
        <f aca="false">IF(OR(P46="",AE46=""),"",IFERROR(INDEX('لیست‌ها'!$Q$3:$Q$53,MATCH(AE46,'لیست‌ها'!$P$3:$P$53,0))+IF(AF46&lt;=6,(AF46-1)*31+AG46,IF(AF46&lt;=11,186+(AF46-7)*30+AG46,336+AG46))-1,""))</f>
        <v/>
      </c>
      <c r="AI46" s="7" t="str">
        <f aca="false">IF(W46="","",W46&amp;"-"&amp;TEXT(X46,"00"))</f>
        <v>1405-02</v>
      </c>
      <c r="AJ46" s="7" t="n">
        <f aca="false">IF(W46="","",W46*12+X46)</f>
        <v>16862</v>
      </c>
      <c r="AK46" s="7" t="str">
        <f aca="false">IF(U46="تاخیر",V46+ROW()/100000,"")</f>
        <v/>
      </c>
    </row>
    <row r="47" customFormat="false" ht="15" hidden="false" customHeight="false" outlineLevel="0" collapsed="false">
      <c r="A47" s="7" t="n">
        <f aca="false">IF(B47="","",ROW()-3)</f>
        <v>44</v>
      </c>
      <c r="B47" s="8" t="s">
        <v>127</v>
      </c>
      <c r="C47" s="8" t="s">
        <v>38</v>
      </c>
      <c r="D47" s="8" t="s">
        <v>128</v>
      </c>
      <c r="E47" s="9" t="s">
        <v>129</v>
      </c>
      <c r="F47" s="9" t="s">
        <v>130</v>
      </c>
      <c r="G47" s="8" t="s">
        <v>131</v>
      </c>
      <c r="H47" s="8"/>
      <c r="I47" s="8"/>
      <c r="J47" s="9"/>
      <c r="K47" s="8"/>
      <c r="L47" s="8" t="s">
        <v>132</v>
      </c>
      <c r="M47" s="8" t="s">
        <v>44</v>
      </c>
      <c r="N47" s="8"/>
      <c r="O47" s="8"/>
      <c r="P47" s="8"/>
      <c r="Q47" s="8"/>
      <c r="R47" s="9"/>
      <c r="S47" s="8"/>
      <c r="T47" s="9"/>
      <c r="U47" s="10" t="str">
        <f aca="true">IF(B47="","",IF(OR(P47&lt;&gt;"",I47="می‌باشد"),"بسته",IF(AND(L47&lt;&gt;"",W47=""),"خطای فرمت تاریخ ایجاد",IF(AND(H47&lt;&gt;"",AA47=""),"خطای فرمت مهلت",IF(AND(H47&lt;&gt;"",AD47&lt;&gt;"",TODAY()&gt;AD47),"تاخیر",IF(L47&lt;&gt;"","در حال انجام",""))))))</f>
        <v>در حال انجام</v>
      </c>
      <c r="V47" s="7" t="n">
        <f aca="true">IF(U47="تاخیر",TODAY()-AD47,IF(AND(U47="بسته",AH47&lt;&gt;"",AD47&lt;&gt;"",AH47&gt;AD47),AH47-AD47,0))</f>
        <v>0</v>
      </c>
      <c r="W47" s="7" t="n">
        <f aca="false">IF(L47="","",VALUE(LEFT(L47,FIND("/",L47)-1)))</f>
        <v>1405</v>
      </c>
      <c r="X47" s="7" t="n">
        <f aca="false">IF(L47="","",VALUE(MID(L47,FIND("/",L47)+1,FIND("/",L47,FIND("/",L47)+1)-FIND("/",L47)-1)))</f>
        <v>2</v>
      </c>
      <c r="Y47" s="7" t="n">
        <f aca="false">IF(L47="","",VALUE(MID(L47,FIND("/",L47,FIND("/",L47)+1)+1,LEN(L47)-FIND("/",L47,FIND("/",L47)+1))))</f>
        <v>21</v>
      </c>
      <c r="Z47" s="11" t="n">
        <f aca="false">IF(OR(L47="",W47=""),"",IFERROR(INDEX('لیست‌ها'!$Q$3:$Q$53,MATCH(W47,'لیست‌ها'!$P$3:$P$53,0))+IF(X47&lt;=6,(X47-1)*31+Y47,IF(X47&lt;=11,186+(X47-7)*30+Y47,336+Y47))-1,""))</f>
        <v>46153</v>
      </c>
      <c r="AA47" s="7" t="str">
        <f aca="false">IF(H47="","",VALUE(LEFT(H47,FIND("/",H47)-1)))</f>
        <v/>
      </c>
      <c r="AB47" s="7" t="str">
        <f aca="false">IF(H47="","",VALUE(MID(H47,FIND("/",H47)+1,FIND("/",H47,FIND("/",H47)+1)-FIND("/",H47)-1)))</f>
        <v/>
      </c>
      <c r="AC47" s="7" t="str">
        <f aca="false">IF(H47="","",VALUE(MID(H47,FIND("/",H47,FIND("/",H47)+1)+1,LEN(H47)-FIND("/",H47,FIND("/",H47)+1))))</f>
        <v/>
      </c>
      <c r="AD47" s="7" t="str">
        <f aca="false">IF(OR(H47="",AA47=""),"",IFERROR(INDEX('لیست‌ها'!$Q$3:$Q$53,MATCH(AA47,'لیست‌ها'!$P$3:$P$53,0))+IF(AB47&lt;=6,(AB47-1)*31+AC47,IF(AB47&lt;=11,186+(AB47-7)*30+AC47,336+AC47))-1,""))</f>
        <v/>
      </c>
      <c r="AE47" s="7" t="str">
        <f aca="false">IF(P47="","",VALUE(LEFT(P47,FIND("/",P47)-1)))</f>
        <v/>
      </c>
      <c r="AF47" s="7" t="str">
        <f aca="false">IF(P47="","",VALUE(MID(P47,FIND("/",P47)+1,FIND("/",P47,FIND("/",P47)+1)-FIND("/",P47)-1)))</f>
        <v/>
      </c>
      <c r="AG47" s="7" t="str">
        <f aca="false">IF(P47="","",VALUE(MID(P47,FIND("/",P47,FIND("/",P47)+1)+1,LEN(P47)-FIND("/",P47,FIND("/",P47)+1))))</f>
        <v/>
      </c>
      <c r="AH47" s="7" t="str">
        <f aca="false">IF(OR(P47="",AE47=""),"",IFERROR(INDEX('لیست‌ها'!$Q$3:$Q$53,MATCH(AE47,'لیست‌ها'!$P$3:$P$53,0))+IF(AF47&lt;=6,(AF47-1)*31+AG47,IF(AF47&lt;=11,186+(AF47-7)*30+AG47,336+AG47))-1,""))</f>
        <v/>
      </c>
      <c r="AI47" s="7" t="str">
        <f aca="false">IF(W47="","",W47&amp;"-"&amp;TEXT(X47,"00"))</f>
        <v>1405-02</v>
      </c>
      <c r="AJ47" s="7" t="n">
        <f aca="false">IF(W47="","",W47*12+X47)</f>
        <v>16862</v>
      </c>
      <c r="AK47" s="7" t="str">
        <f aca="false">IF(U47="تاخیر",V47+ROW()/100000,"")</f>
        <v/>
      </c>
    </row>
    <row r="48" customFormat="false" ht="15" hidden="false" customHeight="false" outlineLevel="0" collapsed="false">
      <c r="A48" s="7" t="n">
        <f aca="false">IF(B48="","",ROW()-3)</f>
        <v>45</v>
      </c>
      <c r="B48" s="8" t="s">
        <v>190</v>
      </c>
      <c r="C48" s="8" t="s">
        <v>38</v>
      </c>
      <c r="D48" s="8" t="s">
        <v>47</v>
      </c>
      <c r="E48" s="9" t="s">
        <v>191</v>
      </c>
      <c r="F48" s="9" t="s">
        <v>51</v>
      </c>
      <c r="G48" s="8" t="s">
        <v>52</v>
      </c>
      <c r="H48" s="8"/>
      <c r="I48" s="8"/>
      <c r="J48" s="9"/>
      <c r="K48" s="8"/>
      <c r="L48" s="8" t="s">
        <v>192</v>
      </c>
      <c r="M48" s="8" t="s">
        <v>44</v>
      </c>
      <c r="N48" s="8"/>
      <c r="O48" s="8"/>
      <c r="P48" s="8"/>
      <c r="Q48" s="8"/>
      <c r="R48" s="9"/>
      <c r="S48" s="8"/>
      <c r="T48" s="9"/>
      <c r="U48" s="10" t="str">
        <f aca="true">IF(B48="","",IF(OR(P48&lt;&gt;"",I48="می‌باشد"),"بسته",IF(AND(L48&lt;&gt;"",W48=""),"خطای فرمت تاریخ ایجاد",IF(AND(H48&lt;&gt;"",AA48=""),"خطای فرمت مهلت",IF(AND(H48&lt;&gt;"",AD48&lt;&gt;"",TODAY()&gt;AD48),"تاخیر",IF(L48&lt;&gt;"","در حال انجام",""))))))</f>
        <v>در حال انجام</v>
      </c>
      <c r="V48" s="7" t="n">
        <f aca="true">IF(U48="تاخیر",TODAY()-AD48,IF(AND(U48="بسته",AH48&lt;&gt;"",AD48&lt;&gt;"",AH48&gt;AD48),AH48-AD48,0))</f>
        <v>0</v>
      </c>
      <c r="W48" s="7" t="n">
        <f aca="false">IF(L48="","",VALUE(LEFT(L48,FIND("/",L48)-1)))</f>
        <v>1405</v>
      </c>
      <c r="X48" s="7" t="n">
        <f aca="false">IF(L48="","",VALUE(MID(L48,FIND("/",L48)+1,FIND("/",L48,FIND("/",L48)+1)-FIND("/",L48)-1)))</f>
        <v>2</v>
      </c>
      <c r="Y48" s="7" t="n">
        <f aca="false">IF(L48="","",VALUE(MID(L48,FIND("/",L48,FIND("/",L48)+1)+1,LEN(L48)-FIND("/",L48,FIND("/",L48)+1))))</f>
        <v>23</v>
      </c>
      <c r="Z48" s="11" t="n">
        <f aca="false">IF(OR(L48="",W48=""),"",IFERROR(INDEX('لیست‌ها'!$Q$3:$Q$53,MATCH(W48,'لیست‌ها'!$P$3:$P$53,0))+IF(X48&lt;=6,(X48-1)*31+Y48,IF(X48&lt;=11,186+(X48-7)*30+Y48,336+Y48))-1,""))</f>
        <v>46155</v>
      </c>
      <c r="AA48" s="7" t="str">
        <f aca="false">IF(H48="","",VALUE(LEFT(H48,FIND("/",H48)-1)))</f>
        <v/>
      </c>
      <c r="AB48" s="7" t="str">
        <f aca="false">IF(H48="","",VALUE(MID(H48,FIND("/",H48)+1,FIND("/",H48,FIND("/",H48)+1)-FIND("/",H48)-1)))</f>
        <v/>
      </c>
      <c r="AC48" s="7" t="str">
        <f aca="false">IF(H48="","",VALUE(MID(H48,FIND("/",H48,FIND("/",H48)+1)+1,LEN(H48)-FIND("/",H48,FIND("/",H48)+1))))</f>
        <v/>
      </c>
      <c r="AD48" s="7" t="str">
        <f aca="false">IF(OR(H48="",AA48=""),"",IFERROR(INDEX('لیست‌ها'!$Q$3:$Q$53,MATCH(AA48,'لیست‌ها'!$P$3:$P$53,0))+IF(AB48&lt;=6,(AB48-1)*31+AC48,IF(AB48&lt;=11,186+(AB48-7)*30+AC48,336+AC48))-1,""))</f>
        <v/>
      </c>
      <c r="AE48" s="7" t="str">
        <f aca="false">IF(P48="","",VALUE(LEFT(P48,FIND("/",P48)-1)))</f>
        <v/>
      </c>
      <c r="AF48" s="7" t="str">
        <f aca="false">IF(P48="","",VALUE(MID(P48,FIND("/",P48)+1,FIND("/",P48,FIND("/",P48)+1)-FIND("/",P48)-1)))</f>
        <v/>
      </c>
      <c r="AG48" s="7" t="str">
        <f aca="false">IF(P48="","",VALUE(MID(P48,FIND("/",P48,FIND("/",P48)+1)+1,LEN(P48)-FIND("/",P48,FIND("/",P48)+1))))</f>
        <v/>
      </c>
      <c r="AH48" s="7" t="str">
        <f aca="false">IF(OR(P48="",AE48=""),"",IFERROR(INDEX('لیست‌ها'!$Q$3:$Q$53,MATCH(AE48,'لیست‌ها'!$P$3:$P$53,0))+IF(AF48&lt;=6,(AF48-1)*31+AG48,IF(AF48&lt;=11,186+(AF48-7)*30+AG48,336+AG48))-1,""))</f>
        <v/>
      </c>
      <c r="AI48" s="7" t="str">
        <f aca="false">IF(W48="","",W48&amp;"-"&amp;TEXT(X48,"00"))</f>
        <v>1405-02</v>
      </c>
      <c r="AJ48" s="7" t="n">
        <f aca="false">IF(W48="","",W48*12+X48)</f>
        <v>16862</v>
      </c>
      <c r="AK48" s="7" t="str">
        <f aca="false">IF(U48="تاخیر",V48+ROW()/100000,"")</f>
        <v/>
      </c>
    </row>
    <row r="49" customFormat="false" ht="15" hidden="false" customHeight="false" outlineLevel="0" collapsed="false">
      <c r="A49" s="7" t="n">
        <f aca="false">IF(B49="","",ROW()-3)</f>
        <v>46</v>
      </c>
      <c r="B49" s="8" t="s">
        <v>189</v>
      </c>
      <c r="C49" s="8" t="s">
        <v>38</v>
      </c>
      <c r="D49" s="8" t="s">
        <v>47</v>
      </c>
      <c r="E49" s="9" t="s">
        <v>82</v>
      </c>
      <c r="F49" s="9" t="s">
        <v>51</v>
      </c>
      <c r="G49" s="8" t="s">
        <v>52</v>
      </c>
      <c r="H49" s="8"/>
      <c r="I49" s="8"/>
      <c r="J49" s="9"/>
      <c r="K49" s="8"/>
      <c r="L49" s="8" t="s">
        <v>188</v>
      </c>
      <c r="M49" s="8" t="s">
        <v>44</v>
      </c>
      <c r="N49" s="8"/>
      <c r="O49" s="8"/>
      <c r="P49" s="8"/>
      <c r="Q49" s="8"/>
      <c r="R49" s="9"/>
      <c r="S49" s="8"/>
      <c r="T49" s="9"/>
      <c r="U49" s="10" t="str">
        <f aca="true">IF(B49="","",IF(OR(P49&lt;&gt;"",I49="می‌باشد"),"بسته",IF(AND(L49&lt;&gt;"",W49=""),"خطای فرمت تاریخ ایجاد",IF(AND(H49&lt;&gt;"",AA49=""),"خطای فرمت مهلت",IF(AND(H49&lt;&gt;"",AD49&lt;&gt;"",TODAY()&gt;AD49),"تاخیر",IF(L49&lt;&gt;"","در حال انجام",""))))))</f>
        <v>در حال انجام</v>
      </c>
      <c r="V49" s="7" t="n">
        <f aca="true">IF(U49="تاخیر",TODAY()-AD49,IF(AND(U49="بسته",AH49&lt;&gt;"",AD49&lt;&gt;"",AH49&gt;AD49),AH49-AD49,0))</f>
        <v>0</v>
      </c>
      <c r="W49" s="7" t="n">
        <f aca="false">IF(L49="","",VALUE(LEFT(L49,FIND("/",L49)-1)))</f>
        <v>1405</v>
      </c>
      <c r="X49" s="7" t="n">
        <f aca="false">IF(L49="","",VALUE(MID(L49,FIND("/",L49)+1,FIND("/",L49,FIND("/",L49)+1)-FIND("/",L49)-1)))</f>
        <v>2</v>
      </c>
      <c r="Y49" s="7" t="n">
        <f aca="false">IF(L49="","",VALUE(MID(L49,FIND("/",L49,FIND("/",L49)+1)+1,LEN(L49)-FIND("/",L49,FIND("/",L49)+1))))</f>
        <v>27</v>
      </c>
      <c r="Z49" s="11" t="n">
        <f aca="false">IF(OR(L49="",W49=""),"",IFERROR(INDEX('لیست‌ها'!$Q$3:$Q$53,MATCH(W49,'لیست‌ها'!$P$3:$P$53,0))+IF(X49&lt;=6,(X49-1)*31+Y49,IF(X49&lt;=11,186+(X49-7)*30+Y49,336+Y49))-1,""))</f>
        <v>46159</v>
      </c>
      <c r="AA49" s="7" t="str">
        <f aca="false">IF(H49="","",VALUE(LEFT(H49,FIND("/",H49)-1)))</f>
        <v/>
      </c>
      <c r="AB49" s="7" t="str">
        <f aca="false">IF(H49="","",VALUE(MID(H49,FIND("/",H49)+1,FIND("/",H49,FIND("/",H49)+1)-FIND("/",H49)-1)))</f>
        <v/>
      </c>
      <c r="AC49" s="7" t="str">
        <f aca="false">IF(H49="","",VALUE(MID(H49,FIND("/",H49,FIND("/",H49)+1)+1,LEN(H49)-FIND("/",H49,FIND("/",H49)+1))))</f>
        <v/>
      </c>
      <c r="AD49" s="7" t="str">
        <f aca="false">IF(OR(H49="",AA49=""),"",IFERROR(INDEX('لیست‌ها'!$Q$3:$Q$53,MATCH(AA49,'لیست‌ها'!$P$3:$P$53,0))+IF(AB49&lt;=6,(AB49-1)*31+AC49,IF(AB49&lt;=11,186+(AB49-7)*30+AC49,336+AC49))-1,""))</f>
        <v/>
      </c>
      <c r="AE49" s="7" t="str">
        <f aca="false">IF(P49="","",VALUE(LEFT(P49,FIND("/",P49)-1)))</f>
        <v/>
      </c>
      <c r="AF49" s="7" t="str">
        <f aca="false">IF(P49="","",VALUE(MID(P49,FIND("/",P49)+1,FIND("/",P49,FIND("/",P49)+1)-FIND("/",P49)-1)))</f>
        <v/>
      </c>
      <c r="AG49" s="7" t="str">
        <f aca="false">IF(P49="","",VALUE(MID(P49,FIND("/",P49,FIND("/",P49)+1)+1,LEN(P49)-FIND("/",P49,FIND("/",P49)+1))))</f>
        <v/>
      </c>
      <c r="AH49" s="7" t="str">
        <f aca="false">IF(OR(P49="",AE49=""),"",IFERROR(INDEX('لیست‌ها'!$Q$3:$Q$53,MATCH(AE49,'لیست‌ها'!$P$3:$P$53,0))+IF(AF49&lt;=6,(AF49-1)*31+AG49,IF(AF49&lt;=11,186+(AF49-7)*30+AG49,336+AG49))-1,""))</f>
        <v/>
      </c>
      <c r="AI49" s="7" t="str">
        <f aca="false">IF(W49="","",W49&amp;"-"&amp;TEXT(X49,"00"))</f>
        <v>1405-02</v>
      </c>
      <c r="AJ49" s="7" t="n">
        <f aca="false">IF(W49="","",W49*12+X49)</f>
        <v>16862</v>
      </c>
      <c r="AK49" s="7" t="str">
        <f aca="false">IF(U49="تاخیر",V49+ROW()/100000,"")</f>
        <v/>
      </c>
    </row>
    <row r="50" customFormat="false" ht="15" hidden="false" customHeight="false" outlineLevel="0" collapsed="false">
      <c r="A50" s="7" t="n">
        <f aca="false">IF(B50="","",ROW()-3)</f>
        <v>47</v>
      </c>
      <c r="B50" s="8" t="s">
        <v>187</v>
      </c>
      <c r="C50" s="8" t="s">
        <v>38</v>
      </c>
      <c r="D50" s="8" t="s">
        <v>47</v>
      </c>
      <c r="E50" s="9" t="s">
        <v>134</v>
      </c>
      <c r="F50" s="9" t="s">
        <v>51</v>
      </c>
      <c r="G50" s="8" t="s">
        <v>52</v>
      </c>
      <c r="H50" s="8"/>
      <c r="I50" s="8"/>
      <c r="J50" s="9"/>
      <c r="K50" s="8"/>
      <c r="L50" s="8" t="s">
        <v>188</v>
      </c>
      <c r="M50" s="8" t="s">
        <v>44</v>
      </c>
      <c r="N50" s="8"/>
      <c r="O50" s="8"/>
      <c r="P50" s="8"/>
      <c r="Q50" s="8"/>
      <c r="R50" s="9"/>
      <c r="S50" s="8"/>
      <c r="T50" s="9"/>
      <c r="U50" s="10" t="str">
        <f aca="true">IF(B50="","",IF(OR(P50&lt;&gt;"",I50="می‌باشد"),"بسته",IF(AND(L50&lt;&gt;"",W50=""),"خطای فرمت تاریخ ایجاد",IF(AND(H50&lt;&gt;"",AA50=""),"خطای فرمت مهلت",IF(AND(H50&lt;&gt;"",AD50&lt;&gt;"",TODAY()&gt;AD50),"تاخیر",IF(L50&lt;&gt;"","در حال انجام",""))))))</f>
        <v>در حال انجام</v>
      </c>
      <c r="V50" s="7" t="n">
        <f aca="true">IF(U50="تاخیر",TODAY()-AD50,IF(AND(U50="بسته",AH50&lt;&gt;"",AD50&lt;&gt;"",AH50&gt;AD50),AH50-AD50,0))</f>
        <v>0</v>
      </c>
      <c r="W50" s="7" t="n">
        <f aca="false">IF(L50="","",VALUE(LEFT(L50,FIND("/",L50)-1)))</f>
        <v>1405</v>
      </c>
      <c r="X50" s="7" t="n">
        <f aca="false">IF(L50="","",VALUE(MID(L50,FIND("/",L50)+1,FIND("/",L50,FIND("/",L50)+1)-FIND("/",L50)-1)))</f>
        <v>2</v>
      </c>
      <c r="Y50" s="7" t="n">
        <f aca="false">IF(L50="","",VALUE(MID(L50,FIND("/",L50,FIND("/",L50)+1)+1,LEN(L50)-FIND("/",L50,FIND("/",L50)+1))))</f>
        <v>27</v>
      </c>
      <c r="Z50" s="11" t="n">
        <f aca="false">IF(OR(L50="",W50=""),"",IFERROR(INDEX('لیست‌ها'!$Q$3:$Q$53,MATCH(W50,'لیست‌ها'!$P$3:$P$53,0))+IF(X50&lt;=6,(X50-1)*31+Y50,IF(X50&lt;=11,186+(X50-7)*30+Y50,336+Y50))-1,""))</f>
        <v>46159</v>
      </c>
      <c r="AA50" s="7" t="str">
        <f aca="false">IF(H50="","",VALUE(LEFT(H50,FIND("/",H50)-1)))</f>
        <v/>
      </c>
      <c r="AB50" s="7" t="str">
        <f aca="false">IF(H50="","",VALUE(MID(H50,FIND("/",H50)+1,FIND("/",H50,FIND("/",H50)+1)-FIND("/",H50)-1)))</f>
        <v/>
      </c>
      <c r="AC50" s="7" t="str">
        <f aca="false">IF(H50="","",VALUE(MID(H50,FIND("/",H50,FIND("/",H50)+1)+1,LEN(H50)-FIND("/",H50,FIND("/",H50)+1))))</f>
        <v/>
      </c>
      <c r="AD50" s="7" t="str">
        <f aca="false">IF(OR(H50="",AA50=""),"",IFERROR(INDEX('لیست‌ها'!$Q$3:$Q$53,MATCH(AA50,'لیست‌ها'!$P$3:$P$53,0))+IF(AB50&lt;=6,(AB50-1)*31+AC50,IF(AB50&lt;=11,186+(AB50-7)*30+AC50,336+AC50))-1,""))</f>
        <v/>
      </c>
      <c r="AE50" s="7" t="str">
        <f aca="false">IF(P50="","",VALUE(LEFT(P50,FIND("/",P50)-1)))</f>
        <v/>
      </c>
      <c r="AF50" s="7" t="str">
        <f aca="false">IF(P50="","",VALUE(MID(P50,FIND("/",P50)+1,FIND("/",P50,FIND("/",P50)+1)-FIND("/",P50)-1)))</f>
        <v/>
      </c>
      <c r="AG50" s="7" t="str">
        <f aca="false">IF(P50="","",VALUE(MID(P50,FIND("/",P50,FIND("/",P50)+1)+1,LEN(P50)-FIND("/",P50,FIND("/",P50)+1))))</f>
        <v/>
      </c>
      <c r="AH50" s="7" t="str">
        <f aca="false">IF(OR(P50="",AE50=""),"",IFERROR(INDEX('لیست‌ها'!$Q$3:$Q$53,MATCH(AE50,'لیست‌ها'!$P$3:$P$53,0))+IF(AF50&lt;=6,(AF50-1)*31+AG50,IF(AF50&lt;=11,186+(AF50-7)*30+AG50,336+AG50))-1,""))</f>
        <v/>
      </c>
      <c r="AI50" s="7" t="str">
        <f aca="false">IF(W50="","",W50&amp;"-"&amp;TEXT(X50,"00"))</f>
        <v>1405-02</v>
      </c>
      <c r="AJ50" s="7" t="n">
        <f aca="false">IF(W50="","",W50*12+X50)</f>
        <v>16862</v>
      </c>
      <c r="AK50" s="7" t="str">
        <f aca="false">IF(U50="تاخیر",V50+ROW()/100000,"")</f>
        <v/>
      </c>
    </row>
    <row r="51" customFormat="false" ht="15" hidden="false" customHeight="false" outlineLevel="0" collapsed="false">
      <c r="A51" s="7" t="n">
        <f aca="false">IF(B51="","",ROW()-3)</f>
        <v>48</v>
      </c>
      <c r="B51" s="8" t="s">
        <v>185</v>
      </c>
      <c r="C51" s="8" t="s">
        <v>38</v>
      </c>
      <c r="D51" s="8" t="s">
        <v>47</v>
      </c>
      <c r="E51" s="9" t="s">
        <v>184</v>
      </c>
      <c r="F51" s="9" t="s">
        <v>51</v>
      </c>
      <c r="G51" s="8" t="s">
        <v>52</v>
      </c>
      <c r="H51" s="8"/>
      <c r="I51" s="8"/>
      <c r="J51" s="9"/>
      <c r="K51" s="8"/>
      <c r="L51" s="8" t="s">
        <v>186</v>
      </c>
      <c r="M51" s="8" t="s">
        <v>44</v>
      </c>
      <c r="N51" s="8"/>
      <c r="O51" s="8"/>
      <c r="P51" s="8"/>
      <c r="Q51" s="8"/>
      <c r="R51" s="9"/>
      <c r="S51" s="8"/>
      <c r="T51" s="9"/>
      <c r="U51" s="10" t="str">
        <f aca="true">IF(B51="","",IF(OR(P51&lt;&gt;"",I51="می‌باشد"),"بسته",IF(AND(L51&lt;&gt;"",W51=""),"خطای فرمت تاریخ ایجاد",IF(AND(H51&lt;&gt;"",AA51=""),"خطای فرمت مهلت",IF(AND(H51&lt;&gt;"",AD51&lt;&gt;"",TODAY()&gt;AD51),"تاخیر",IF(L51&lt;&gt;"","در حال انجام",""))))))</f>
        <v>در حال انجام</v>
      </c>
      <c r="V51" s="7" t="n">
        <f aca="true">IF(U51="تاخیر",TODAY()-AD51,IF(AND(U51="بسته",AH51&lt;&gt;"",AD51&lt;&gt;"",AH51&gt;AD51),AH51-AD51,0))</f>
        <v>0</v>
      </c>
      <c r="W51" s="7" t="n">
        <f aca="false">IF(L51="","",VALUE(LEFT(L51,FIND("/",L51)-1)))</f>
        <v>1405</v>
      </c>
      <c r="X51" s="7" t="n">
        <f aca="false">IF(L51="","",VALUE(MID(L51,FIND("/",L51)+1,FIND("/",L51,FIND("/",L51)+1)-FIND("/",L51)-1)))</f>
        <v>2</v>
      </c>
      <c r="Y51" s="7" t="n">
        <f aca="false">IF(L51="","",VALUE(MID(L51,FIND("/",L51,FIND("/",L51)+1)+1,LEN(L51)-FIND("/",L51,FIND("/",L51)+1))))</f>
        <v>28</v>
      </c>
      <c r="Z51" s="11" t="n">
        <f aca="false">IF(OR(L51="",W51=""),"",IFERROR(INDEX('لیست‌ها'!$Q$3:$Q$53,MATCH(W51,'لیست‌ها'!$P$3:$P$53,0))+IF(X51&lt;=6,(X51-1)*31+Y51,IF(X51&lt;=11,186+(X51-7)*30+Y51,336+Y51))-1,""))</f>
        <v>46160</v>
      </c>
      <c r="AA51" s="7" t="str">
        <f aca="false">IF(H51="","",VALUE(LEFT(H51,FIND("/",H51)-1)))</f>
        <v/>
      </c>
      <c r="AB51" s="7" t="str">
        <f aca="false">IF(H51="","",VALUE(MID(H51,FIND("/",H51)+1,FIND("/",H51,FIND("/",H51)+1)-FIND("/",H51)-1)))</f>
        <v/>
      </c>
      <c r="AC51" s="7" t="str">
        <f aca="false">IF(H51="","",VALUE(MID(H51,FIND("/",H51,FIND("/",H51)+1)+1,LEN(H51)-FIND("/",H51,FIND("/",H51)+1))))</f>
        <v/>
      </c>
      <c r="AD51" s="7" t="str">
        <f aca="false">IF(OR(H51="",AA51=""),"",IFERROR(INDEX('لیست‌ها'!$Q$3:$Q$53,MATCH(AA51,'لیست‌ها'!$P$3:$P$53,0))+IF(AB51&lt;=6,(AB51-1)*31+AC51,IF(AB51&lt;=11,186+(AB51-7)*30+AC51,336+AC51))-1,""))</f>
        <v/>
      </c>
      <c r="AE51" s="7" t="str">
        <f aca="false">IF(P51="","",VALUE(LEFT(P51,FIND("/",P51)-1)))</f>
        <v/>
      </c>
      <c r="AF51" s="7" t="str">
        <f aca="false">IF(P51="","",VALUE(MID(P51,FIND("/",P51)+1,FIND("/",P51,FIND("/",P51)+1)-FIND("/",P51)-1)))</f>
        <v/>
      </c>
      <c r="AG51" s="7" t="str">
        <f aca="false">IF(P51="","",VALUE(MID(P51,FIND("/",P51,FIND("/",P51)+1)+1,LEN(P51)-FIND("/",P51,FIND("/",P51)+1))))</f>
        <v/>
      </c>
      <c r="AH51" s="7" t="str">
        <f aca="false">IF(OR(P51="",AE51=""),"",IFERROR(INDEX('لیست‌ها'!$Q$3:$Q$53,MATCH(AE51,'لیست‌ها'!$P$3:$P$53,0))+IF(AF51&lt;=6,(AF51-1)*31+AG51,IF(AF51&lt;=11,186+(AF51-7)*30+AG51,336+AG51))-1,""))</f>
        <v/>
      </c>
      <c r="AI51" s="7" t="str">
        <f aca="false">IF(W51="","",W51&amp;"-"&amp;TEXT(X51,"00"))</f>
        <v>1405-02</v>
      </c>
      <c r="AJ51" s="7" t="n">
        <f aca="false">IF(W51="","",W51*12+X51)</f>
        <v>16862</v>
      </c>
      <c r="AK51" s="7" t="str">
        <f aca="false">IF(U51="تاخیر",V51+ROW()/100000,"")</f>
        <v/>
      </c>
    </row>
    <row r="52" customFormat="false" ht="15" hidden="false" customHeight="false" outlineLevel="0" collapsed="false">
      <c r="A52" s="7" t="n">
        <f aca="false">IF(B52="","",ROW()-3)</f>
        <v>49</v>
      </c>
      <c r="B52" s="8" t="s">
        <v>183</v>
      </c>
      <c r="C52" s="8" t="s">
        <v>38</v>
      </c>
      <c r="D52" s="8" t="s">
        <v>47</v>
      </c>
      <c r="E52" s="9" t="s">
        <v>184</v>
      </c>
      <c r="F52" s="9" t="s">
        <v>51</v>
      </c>
      <c r="G52" s="8" t="s">
        <v>52</v>
      </c>
      <c r="H52" s="8"/>
      <c r="I52" s="8"/>
      <c r="J52" s="9"/>
      <c r="K52" s="8"/>
      <c r="L52" s="8" t="s">
        <v>182</v>
      </c>
      <c r="M52" s="8" t="s">
        <v>44</v>
      </c>
      <c r="N52" s="8"/>
      <c r="O52" s="8"/>
      <c r="P52" s="8"/>
      <c r="Q52" s="8"/>
      <c r="R52" s="9"/>
      <c r="S52" s="8"/>
      <c r="T52" s="9"/>
      <c r="U52" s="10" t="str">
        <f aca="true">IF(B52="","",IF(OR(P52&lt;&gt;"",I52="می‌باشد"),"بسته",IF(AND(L52&lt;&gt;"",W52=""),"خطای فرمت تاریخ ایجاد",IF(AND(H52&lt;&gt;"",AA52=""),"خطای فرمت مهلت",IF(AND(H52&lt;&gt;"",AD52&lt;&gt;"",TODAY()&gt;AD52),"تاخیر",IF(L52&lt;&gt;"","در حال انجام",""))))))</f>
        <v>در حال انجام</v>
      </c>
      <c r="V52" s="7" t="n">
        <f aca="true">IF(U52="تاخیر",TODAY()-AD52,IF(AND(U52="بسته",AH52&lt;&gt;"",AD52&lt;&gt;"",AH52&gt;AD52),AH52-AD52,0))</f>
        <v>0</v>
      </c>
      <c r="W52" s="7" t="n">
        <f aca="false">IF(L52="","",VALUE(LEFT(L52,FIND("/",L52)-1)))</f>
        <v>1405</v>
      </c>
      <c r="X52" s="7" t="n">
        <f aca="false">IF(L52="","",VALUE(MID(L52,FIND("/",L52)+1,FIND("/",L52,FIND("/",L52)+1)-FIND("/",L52)-1)))</f>
        <v>2</v>
      </c>
      <c r="Y52" s="7" t="n">
        <f aca="false">IF(L52="","",VALUE(MID(L52,FIND("/",L52,FIND("/",L52)+1)+1,LEN(L52)-FIND("/",L52,FIND("/",L52)+1))))</f>
        <v>29</v>
      </c>
      <c r="Z52" s="11" t="n">
        <f aca="false">IF(OR(L52="",W52=""),"",IFERROR(INDEX('لیست‌ها'!$Q$3:$Q$53,MATCH(W52,'لیست‌ها'!$P$3:$P$53,0))+IF(X52&lt;=6,(X52-1)*31+Y52,IF(X52&lt;=11,186+(X52-7)*30+Y52,336+Y52))-1,""))</f>
        <v>46161</v>
      </c>
      <c r="AA52" s="7" t="str">
        <f aca="false">IF(H52="","",VALUE(LEFT(H52,FIND("/",H52)-1)))</f>
        <v/>
      </c>
      <c r="AB52" s="7" t="str">
        <f aca="false">IF(H52="","",VALUE(MID(H52,FIND("/",H52)+1,FIND("/",H52,FIND("/",H52)+1)-FIND("/",H52)-1)))</f>
        <v/>
      </c>
      <c r="AC52" s="7" t="str">
        <f aca="false">IF(H52="","",VALUE(MID(H52,FIND("/",H52,FIND("/",H52)+1)+1,LEN(H52)-FIND("/",H52,FIND("/",H52)+1))))</f>
        <v/>
      </c>
      <c r="AD52" s="7" t="str">
        <f aca="false">IF(OR(H52="",AA52=""),"",IFERROR(INDEX('لیست‌ها'!$Q$3:$Q$53,MATCH(AA52,'لیست‌ها'!$P$3:$P$53,0))+IF(AB52&lt;=6,(AB52-1)*31+AC52,IF(AB52&lt;=11,186+(AB52-7)*30+AC52,336+AC52))-1,""))</f>
        <v/>
      </c>
      <c r="AE52" s="7" t="str">
        <f aca="false">IF(P52="","",VALUE(LEFT(P52,FIND("/",P52)-1)))</f>
        <v/>
      </c>
      <c r="AF52" s="7" t="str">
        <f aca="false">IF(P52="","",VALUE(MID(P52,FIND("/",P52)+1,FIND("/",P52,FIND("/",P52)+1)-FIND("/",P52)-1)))</f>
        <v/>
      </c>
      <c r="AG52" s="7" t="str">
        <f aca="false">IF(P52="","",VALUE(MID(P52,FIND("/",P52,FIND("/",P52)+1)+1,LEN(P52)-FIND("/",P52,FIND("/",P52)+1))))</f>
        <v/>
      </c>
      <c r="AH52" s="7" t="str">
        <f aca="false">IF(OR(P52="",AE52=""),"",IFERROR(INDEX('لیست‌ها'!$Q$3:$Q$53,MATCH(AE52,'لیست‌ها'!$P$3:$P$53,0))+IF(AF52&lt;=6,(AF52-1)*31+AG52,IF(AF52&lt;=11,186+(AF52-7)*30+AG52,336+AG52))-1,""))</f>
        <v/>
      </c>
      <c r="AI52" s="7" t="str">
        <f aca="false">IF(W52="","",W52&amp;"-"&amp;TEXT(X52,"00"))</f>
        <v>1405-02</v>
      </c>
      <c r="AJ52" s="7" t="n">
        <f aca="false">IF(W52="","",W52*12+X52)</f>
        <v>16862</v>
      </c>
      <c r="AK52" s="7" t="str">
        <f aca="false">IF(U52="تاخیر",V52+ROW()/100000,"")</f>
        <v/>
      </c>
    </row>
    <row r="53" customFormat="false" ht="15" hidden="false" customHeight="false" outlineLevel="0" collapsed="false">
      <c r="A53" s="7" t="n">
        <f aca="false">IF(B53="","",ROW()-3)</f>
        <v>50</v>
      </c>
      <c r="B53" s="8" t="s">
        <v>181</v>
      </c>
      <c r="C53" s="8" t="s">
        <v>38</v>
      </c>
      <c r="D53" s="8" t="s">
        <v>47</v>
      </c>
      <c r="E53" s="9" t="s">
        <v>50</v>
      </c>
      <c r="F53" s="9" t="s">
        <v>51</v>
      </c>
      <c r="G53" s="8" t="s">
        <v>52</v>
      </c>
      <c r="H53" s="8"/>
      <c r="I53" s="8"/>
      <c r="J53" s="9"/>
      <c r="K53" s="8"/>
      <c r="L53" s="8" t="s">
        <v>182</v>
      </c>
      <c r="M53" s="8" t="s">
        <v>44</v>
      </c>
      <c r="N53" s="8"/>
      <c r="O53" s="8"/>
      <c r="P53" s="8"/>
      <c r="Q53" s="8"/>
      <c r="R53" s="9"/>
      <c r="S53" s="8"/>
      <c r="T53" s="9"/>
      <c r="U53" s="10" t="str">
        <f aca="true">IF(B53="","",IF(OR(P53&lt;&gt;"",I53="می‌باشد"),"بسته",IF(AND(L53&lt;&gt;"",W53=""),"خطای فرمت تاریخ ایجاد",IF(AND(H53&lt;&gt;"",AA53=""),"خطای فرمت مهلت",IF(AND(H53&lt;&gt;"",AD53&lt;&gt;"",TODAY()&gt;AD53),"تاخیر",IF(L53&lt;&gt;"","در حال انجام",""))))))</f>
        <v>در حال انجام</v>
      </c>
      <c r="V53" s="7" t="n">
        <f aca="true">IF(U53="تاخیر",TODAY()-AD53,IF(AND(U53="بسته",AH53&lt;&gt;"",AD53&lt;&gt;"",AH53&gt;AD53),AH53-AD53,0))</f>
        <v>0</v>
      </c>
      <c r="W53" s="7" t="n">
        <f aca="false">IF(L53="","",VALUE(LEFT(L53,FIND("/",L53)-1)))</f>
        <v>1405</v>
      </c>
      <c r="X53" s="7" t="n">
        <f aca="false">IF(L53="","",VALUE(MID(L53,FIND("/",L53)+1,FIND("/",L53,FIND("/",L53)+1)-FIND("/",L53)-1)))</f>
        <v>2</v>
      </c>
      <c r="Y53" s="7" t="n">
        <f aca="false">IF(L53="","",VALUE(MID(L53,FIND("/",L53,FIND("/",L53)+1)+1,LEN(L53)-FIND("/",L53,FIND("/",L53)+1))))</f>
        <v>29</v>
      </c>
      <c r="Z53" s="11" t="n">
        <f aca="false">IF(OR(L53="",W53=""),"",IFERROR(INDEX('لیست‌ها'!$Q$3:$Q$53,MATCH(W53,'لیست‌ها'!$P$3:$P$53,0))+IF(X53&lt;=6,(X53-1)*31+Y53,IF(X53&lt;=11,186+(X53-7)*30+Y53,336+Y53))-1,""))</f>
        <v>46161</v>
      </c>
      <c r="AA53" s="7" t="str">
        <f aca="false">IF(H53="","",VALUE(LEFT(H53,FIND("/",H53)-1)))</f>
        <v/>
      </c>
      <c r="AB53" s="7" t="str">
        <f aca="false">IF(H53="","",VALUE(MID(H53,FIND("/",H53)+1,FIND("/",H53,FIND("/",H53)+1)-FIND("/",H53)-1)))</f>
        <v/>
      </c>
      <c r="AC53" s="7" t="str">
        <f aca="false">IF(H53="","",VALUE(MID(H53,FIND("/",H53,FIND("/",H53)+1)+1,LEN(H53)-FIND("/",H53,FIND("/",H53)+1))))</f>
        <v/>
      </c>
      <c r="AD53" s="7" t="str">
        <f aca="false">IF(OR(H53="",AA53=""),"",IFERROR(INDEX('لیست‌ها'!$Q$3:$Q$53,MATCH(AA53,'لیست‌ها'!$P$3:$P$53,0))+IF(AB53&lt;=6,(AB53-1)*31+AC53,IF(AB53&lt;=11,186+(AB53-7)*30+AC53,336+AC53))-1,""))</f>
        <v/>
      </c>
      <c r="AE53" s="7" t="str">
        <f aca="false">IF(P53="","",VALUE(LEFT(P53,FIND("/",P53)-1)))</f>
        <v/>
      </c>
      <c r="AF53" s="7" t="str">
        <f aca="false">IF(P53="","",VALUE(MID(P53,FIND("/",P53)+1,FIND("/",P53,FIND("/",P53)+1)-FIND("/",P53)-1)))</f>
        <v/>
      </c>
      <c r="AG53" s="7" t="str">
        <f aca="false">IF(P53="","",VALUE(MID(P53,FIND("/",P53,FIND("/",P53)+1)+1,LEN(P53)-FIND("/",P53,FIND("/",P53)+1))))</f>
        <v/>
      </c>
      <c r="AH53" s="7" t="str">
        <f aca="false">IF(OR(P53="",AE53=""),"",IFERROR(INDEX('لیست‌ها'!$Q$3:$Q$53,MATCH(AE53,'لیست‌ها'!$P$3:$P$53,0))+IF(AF53&lt;=6,(AF53-1)*31+AG53,IF(AF53&lt;=11,186+(AF53-7)*30+AG53,336+AG53))-1,""))</f>
        <v/>
      </c>
      <c r="AI53" s="7" t="str">
        <f aca="false">IF(W53="","",W53&amp;"-"&amp;TEXT(X53,"00"))</f>
        <v>1405-02</v>
      </c>
      <c r="AJ53" s="7" t="n">
        <f aca="false">IF(W53="","",W53*12+X53)</f>
        <v>16862</v>
      </c>
      <c r="AK53" s="7" t="str">
        <f aca="false">IF(U53="تاخیر",V53+ROW()/100000,"")</f>
        <v/>
      </c>
    </row>
    <row r="54" customFormat="false" ht="15" hidden="false" customHeight="false" outlineLevel="0" collapsed="false">
      <c r="A54" s="7" t="n">
        <f aca="false">IF(B54="","",ROW()-3)</f>
        <v>51</v>
      </c>
      <c r="B54" s="8" t="s">
        <v>178</v>
      </c>
      <c r="C54" s="8" t="s">
        <v>38</v>
      </c>
      <c r="D54" s="8" t="s">
        <v>47</v>
      </c>
      <c r="E54" s="9" t="s">
        <v>179</v>
      </c>
      <c r="F54" s="9" t="s">
        <v>51</v>
      </c>
      <c r="G54" s="8" t="s">
        <v>52</v>
      </c>
      <c r="H54" s="8"/>
      <c r="I54" s="8"/>
      <c r="J54" s="9"/>
      <c r="K54" s="8"/>
      <c r="L54" s="8" t="s">
        <v>180</v>
      </c>
      <c r="M54" s="8" t="s">
        <v>44</v>
      </c>
      <c r="N54" s="8"/>
      <c r="O54" s="8"/>
      <c r="P54" s="8"/>
      <c r="Q54" s="8"/>
      <c r="R54" s="9"/>
      <c r="S54" s="8"/>
      <c r="T54" s="9"/>
      <c r="U54" s="10" t="str">
        <f aca="true">IF(B54="","",IF(OR(P54&lt;&gt;"",I54="می‌باشد"),"بسته",IF(AND(L54&lt;&gt;"",W54=""),"خطای فرمت تاریخ ایجاد",IF(AND(H54&lt;&gt;"",AA54=""),"خطای فرمت مهلت",IF(AND(H54&lt;&gt;"",AD54&lt;&gt;"",TODAY()&gt;AD54),"تاخیر",IF(L54&lt;&gt;"","در حال انجام",""))))))</f>
        <v>در حال انجام</v>
      </c>
      <c r="V54" s="7" t="n">
        <f aca="true">IF(U54="تاخیر",TODAY()-AD54,IF(AND(U54="بسته",AH54&lt;&gt;"",AD54&lt;&gt;"",AH54&gt;AD54),AH54-AD54,0))</f>
        <v>0</v>
      </c>
      <c r="W54" s="7" t="n">
        <f aca="false">IF(L54="","",VALUE(LEFT(L54,FIND("/",L54)-1)))</f>
        <v>1405</v>
      </c>
      <c r="X54" s="7" t="n">
        <f aca="false">IF(L54="","",VALUE(MID(L54,FIND("/",L54)+1,FIND("/",L54,FIND("/",L54)+1)-FIND("/",L54)-1)))</f>
        <v>3</v>
      </c>
      <c r="Y54" s="7" t="n">
        <f aca="false">IF(L54="","",VALUE(MID(L54,FIND("/",L54,FIND("/",L54)+1)+1,LEN(L54)-FIND("/",L54,FIND("/",L54)+1))))</f>
        <v>2</v>
      </c>
      <c r="Z54" s="11" t="n">
        <f aca="false">IF(OR(L54="",W54=""),"",IFERROR(INDEX('لیست‌ها'!$Q$3:$Q$53,MATCH(W54,'لیست‌ها'!$P$3:$P$53,0))+IF(X54&lt;=6,(X54-1)*31+Y54,IF(X54&lt;=11,186+(X54-7)*30+Y54,336+Y54))-1,""))</f>
        <v>46165</v>
      </c>
      <c r="AA54" s="7" t="str">
        <f aca="false">IF(H54="","",VALUE(LEFT(H54,FIND("/",H54)-1)))</f>
        <v/>
      </c>
      <c r="AB54" s="7" t="str">
        <f aca="false">IF(H54="","",VALUE(MID(H54,FIND("/",H54)+1,FIND("/",H54,FIND("/",H54)+1)-FIND("/",H54)-1)))</f>
        <v/>
      </c>
      <c r="AC54" s="7" t="str">
        <f aca="false">IF(H54="","",VALUE(MID(H54,FIND("/",H54,FIND("/",H54)+1)+1,LEN(H54)-FIND("/",H54,FIND("/",H54)+1))))</f>
        <v/>
      </c>
      <c r="AD54" s="7" t="str">
        <f aca="false">IF(OR(H54="",AA54=""),"",IFERROR(INDEX('لیست‌ها'!$Q$3:$Q$53,MATCH(AA54,'لیست‌ها'!$P$3:$P$53,0))+IF(AB54&lt;=6,(AB54-1)*31+AC54,IF(AB54&lt;=11,186+(AB54-7)*30+AC54,336+AC54))-1,""))</f>
        <v/>
      </c>
      <c r="AE54" s="7" t="str">
        <f aca="false">IF(P54="","",VALUE(LEFT(P54,FIND("/",P54)-1)))</f>
        <v/>
      </c>
      <c r="AF54" s="7" t="str">
        <f aca="false">IF(P54="","",VALUE(MID(P54,FIND("/",P54)+1,FIND("/",P54,FIND("/",P54)+1)-FIND("/",P54)-1)))</f>
        <v/>
      </c>
      <c r="AG54" s="7" t="str">
        <f aca="false">IF(P54="","",VALUE(MID(P54,FIND("/",P54,FIND("/",P54)+1)+1,LEN(P54)-FIND("/",P54,FIND("/",P54)+1))))</f>
        <v/>
      </c>
      <c r="AH54" s="7" t="str">
        <f aca="false">IF(OR(P54="",AE54=""),"",IFERROR(INDEX('لیست‌ها'!$Q$3:$Q$53,MATCH(AE54,'لیست‌ها'!$P$3:$P$53,0))+IF(AF54&lt;=6,(AF54-1)*31+AG54,IF(AF54&lt;=11,186+(AF54-7)*30+AG54,336+AG54))-1,""))</f>
        <v/>
      </c>
      <c r="AI54" s="7" t="str">
        <f aca="false">IF(W54="","",W54&amp;"-"&amp;TEXT(X54,"00"))</f>
        <v>1405-03</v>
      </c>
      <c r="AJ54" s="7" t="n">
        <f aca="false">IF(W54="","",W54*12+X54)</f>
        <v>16863</v>
      </c>
      <c r="AK54" s="7" t="str">
        <f aca="false">IF(U54="تاخیر",V54+ROW()/100000,"")</f>
        <v/>
      </c>
    </row>
    <row r="55" customFormat="false" ht="15" hidden="false" customHeight="false" outlineLevel="0" collapsed="false">
      <c r="A55" s="7" t="n">
        <f aca="false">IF(B55="","",ROW()-3)</f>
        <v>52</v>
      </c>
      <c r="B55" s="8" t="s">
        <v>175</v>
      </c>
      <c r="C55" s="8" t="s">
        <v>38</v>
      </c>
      <c r="D55" s="8" t="s">
        <v>47</v>
      </c>
      <c r="E55" s="9" t="s">
        <v>176</v>
      </c>
      <c r="F55" s="9" t="s">
        <v>51</v>
      </c>
      <c r="G55" s="8" t="s">
        <v>52</v>
      </c>
      <c r="H55" s="8"/>
      <c r="I55" s="8"/>
      <c r="J55" s="9"/>
      <c r="K55" s="8"/>
      <c r="L55" s="8" t="s">
        <v>177</v>
      </c>
      <c r="M55" s="8" t="s">
        <v>44</v>
      </c>
      <c r="N55" s="8"/>
      <c r="O55" s="8"/>
      <c r="P55" s="8"/>
      <c r="Q55" s="8"/>
      <c r="R55" s="9"/>
      <c r="S55" s="8"/>
      <c r="T55" s="9"/>
      <c r="U55" s="10" t="str">
        <f aca="true">IF(B55="","",IF(OR(P55&lt;&gt;"",I55="می‌باشد"),"بسته",IF(AND(L55&lt;&gt;"",W55=""),"خطای فرمت تاریخ ایجاد",IF(AND(H55&lt;&gt;"",AA55=""),"خطای فرمت مهلت",IF(AND(H55&lt;&gt;"",AD55&lt;&gt;"",TODAY()&gt;AD55),"تاخیر",IF(L55&lt;&gt;"","در حال انجام",""))))))</f>
        <v>در حال انجام</v>
      </c>
      <c r="V55" s="7" t="n">
        <f aca="true">IF(U55="تاخیر",TODAY()-AD55,IF(AND(U55="بسته",AH55&lt;&gt;"",AD55&lt;&gt;"",AH55&gt;AD55),AH55-AD55,0))</f>
        <v>0</v>
      </c>
      <c r="W55" s="7" t="n">
        <f aca="false">IF(L55="","",VALUE(LEFT(L55,FIND("/",L55)-1)))</f>
        <v>1405</v>
      </c>
      <c r="X55" s="7" t="n">
        <f aca="false">IF(L55="","",VALUE(MID(L55,FIND("/",L55)+1,FIND("/",L55,FIND("/",L55)+1)-FIND("/",L55)-1)))</f>
        <v>3</v>
      </c>
      <c r="Y55" s="7" t="n">
        <f aca="false">IF(L55="","",VALUE(MID(L55,FIND("/",L55,FIND("/",L55)+1)+1,LEN(L55)-FIND("/",L55,FIND("/",L55)+1))))</f>
        <v>4</v>
      </c>
      <c r="Z55" s="11" t="n">
        <f aca="false">IF(OR(L55="",W55=""),"",IFERROR(INDEX('لیست‌ها'!$Q$3:$Q$53,MATCH(W55,'لیست‌ها'!$P$3:$P$53,0))+IF(X55&lt;=6,(X55-1)*31+Y55,IF(X55&lt;=11,186+(X55-7)*30+Y55,336+Y55))-1,""))</f>
        <v>46167</v>
      </c>
      <c r="AA55" s="7" t="str">
        <f aca="false">IF(H55="","",VALUE(LEFT(H55,FIND("/",H55)-1)))</f>
        <v/>
      </c>
      <c r="AB55" s="7" t="str">
        <f aca="false">IF(H55="","",VALUE(MID(H55,FIND("/",H55)+1,FIND("/",H55,FIND("/",H55)+1)-FIND("/",H55)-1)))</f>
        <v/>
      </c>
      <c r="AC55" s="7" t="str">
        <f aca="false">IF(H55="","",VALUE(MID(H55,FIND("/",H55,FIND("/",H55)+1)+1,LEN(H55)-FIND("/",H55,FIND("/",H55)+1))))</f>
        <v/>
      </c>
      <c r="AD55" s="7" t="str">
        <f aca="false">IF(OR(H55="",AA55=""),"",IFERROR(INDEX('لیست‌ها'!$Q$3:$Q$53,MATCH(AA55,'لیست‌ها'!$P$3:$P$53,0))+IF(AB55&lt;=6,(AB55-1)*31+AC55,IF(AB55&lt;=11,186+(AB55-7)*30+AC55,336+AC55))-1,""))</f>
        <v/>
      </c>
      <c r="AE55" s="7" t="str">
        <f aca="false">IF(P55="","",VALUE(LEFT(P55,FIND("/",P55)-1)))</f>
        <v/>
      </c>
      <c r="AF55" s="7" t="str">
        <f aca="false">IF(P55="","",VALUE(MID(P55,FIND("/",P55)+1,FIND("/",P55,FIND("/",P55)+1)-FIND("/",P55)-1)))</f>
        <v/>
      </c>
      <c r="AG55" s="7" t="str">
        <f aca="false">IF(P55="","",VALUE(MID(P55,FIND("/",P55,FIND("/",P55)+1)+1,LEN(P55)-FIND("/",P55,FIND("/",P55)+1))))</f>
        <v/>
      </c>
      <c r="AH55" s="7" t="str">
        <f aca="false">IF(OR(P55="",AE55=""),"",IFERROR(INDEX('لیست‌ها'!$Q$3:$Q$53,MATCH(AE55,'لیست‌ها'!$P$3:$P$53,0))+IF(AF55&lt;=6,(AF55-1)*31+AG55,IF(AF55&lt;=11,186+(AF55-7)*30+AG55,336+AG55))-1,""))</f>
        <v/>
      </c>
      <c r="AI55" s="7" t="str">
        <f aca="false">IF(W55="","",W55&amp;"-"&amp;TEXT(X55,"00"))</f>
        <v>1405-03</v>
      </c>
      <c r="AJ55" s="7" t="n">
        <f aca="false">IF(W55="","",W55*12+X55)</f>
        <v>16863</v>
      </c>
      <c r="AK55" s="7" t="str">
        <f aca="false">IF(U55="تاخیر",V55+ROW()/100000,"")</f>
        <v/>
      </c>
    </row>
    <row r="56" customFormat="false" ht="15" hidden="false" customHeight="false" outlineLevel="0" collapsed="false">
      <c r="A56" s="7" t="n">
        <f aca="false">IF(B56="","",ROW()-3)</f>
        <v>53</v>
      </c>
      <c r="B56" s="8" t="s">
        <v>174</v>
      </c>
      <c r="C56" s="8" t="s">
        <v>38</v>
      </c>
      <c r="D56" s="8" t="s">
        <v>47</v>
      </c>
      <c r="E56" s="9" t="s">
        <v>63</v>
      </c>
      <c r="F56" s="9" t="s">
        <v>51</v>
      </c>
      <c r="G56" s="8" t="s">
        <v>52</v>
      </c>
      <c r="H56" s="8"/>
      <c r="I56" s="8"/>
      <c r="J56" s="9"/>
      <c r="K56" s="8"/>
      <c r="L56" s="8" t="s">
        <v>169</v>
      </c>
      <c r="M56" s="8" t="s">
        <v>44</v>
      </c>
      <c r="N56" s="8"/>
      <c r="O56" s="8"/>
      <c r="P56" s="8"/>
      <c r="Q56" s="8"/>
      <c r="R56" s="9"/>
      <c r="S56" s="8"/>
      <c r="T56" s="9"/>
      <c r="U56" s="10" t="str">
        <f aca="true">IF(B56="","",IF(OR(P56&lt;&gt;"",I56="می‌باشد"),"بسته",IF(AND(L56&lt;&gt;"",W56=""),"خطای فرمت تاریخ ایجاد",IF(AND(H56&lt;&gt;"",AA56=""),"خطای فرمت مهلت",IF(AND(H56&lt;&gt;"",AD56&lt;&gt;"",TODAY()&gt;AD56),"تاخیر",IF(L56&lt;&gt;"","در حال انجام",""))))))</f>
        <v>در حال انجام</v>
      </c>
      <c r="V56" s="7" t="n">
        <f aca="true">IF(U56="تاخیر",TODAY()-AD56,IF(AND(U56="بسته",AH56&lt;&gt;"",AD56&lt;&gt;"",AH56&gt;AD56),AH56-AD56,0))</f>
        <v>0</v>
      </c>
      <c r="W56" s="7" t="n">
        <f aca="false">IF(L56="","",VALUE(LEFT(L56,FIND("/",L56)-1)))</f>
        <v>1405</v>
      </c>
      <c r="X56" s="7" t="n">
        <f aca="false">IF(L56="","",VALUE(MID(L56,FIND("/",L56)+1,FIND("/",L56,FIND("/",L56)+1)-FIND("/",L56)-1)))</f>
        <v>3</v>
      </c>
      <c r="Y56" s="7" t="n">
        <f aca="false">IF(L56="","",VALUE(MID(L56,FIND("/",L56,FIND("/",L56)+1)+1,LEN(L56)-FIND("/",L56,FIND("/",L56)+1))))</f>
        <v>5</v>
      </c>
      <c r="Z56" s="11" t="n">
        <f aca="false">IF(OR(L56="",W56=""),"",IFERROR(INDEX('لیست‌ها'!$Q$3:$Q$53,MATCH(W56,'لیست‌ها'!$P$3:$P$53,0))+IF(X56&lt;=6,(X56-1)*31+Y56,IF(X56&lt;=11,186+(X56-7)*30+Y56,336+Y56))-1,""))</f>
        <v>46168</v>
      </c>
      <c r="AA56" s="7" t="str">
        <f aca="false">IF(H56="","",VALUE(LEFT(H56,FIND("/",H56)-1)))</f>
        <v/>
      </c>
      <c r="AB56" s="7" t="str">
        <f aca="false">IF(H56="","",VALUE(MID(H56,FIND("/",H56)+1,FIND("/",H56,FIND("/",H56)+1)-FIND("/",H56)-1)))</f>
        <v/>
      </c>
      <c r="AC56" s="7" t="str">
        <f aca="false">IF(H56="","",VALUE(MID(H56,FIND("/",H56,FIND("/",H56)+1)+1,LEN(H56)-FIND("/",H56,FIND("/",H56)+1))))</f>
        <v/>
      </c>
      <c r="AD56" s="7" t="str">
        <f aca="false">IF(OR(H56="",AA56=""),"",IFERROR(INDEX('لیست‌ها'!$Q$3:$Q$53,MATCH(AA56,'لیست‌ها'!$P$3:$P$53,0))+IF(AB56&lt;=6,(AB56-1)*31+AC56,IF(AB56&lt;=11,186+(AB56-7)*30+AC56,336+AC56))-1,""))</f>
        <v/>
      </c>
      <c r="AE56" s="7" t="str">
        <f aca="false">IF(P56="","",VALUE(LEFT(P56,FIND("/",P56)-1)))</f>
        <v/>
      </c>
      <c r="AF56" s="7" t="str">
        <f aca="false">IF(P56="","",VALUE(MID(P56,FIND("/",P56)+1,FIND("/",P56,FIND("/",P56)+1)-FIND("/",P56)-1)))</f>
        <v/>
      </c>
      <c r="AG56" s="7" t="str">
        <f aca="false">IF(P56="","",VALUE(MID(P56,FIND("/",P56,FIND("/",P56)+1)+1,LEN(P56)-FIND("/",P56,FIND("/",P56)+1))))</f>
        <v/>
      </c>
      <c r="AH56" s="7" t="str">
        <f aca="false">IF(OR(P56="",AE56=""),"",IFERROR(INDEX('لیست‌ها'!$Q$3:$Q$53,MATCH(AE56,'لیست‌ها'!$P$3:$P$53,0))+IF(AF56&lt;=6,(AF56-1)*31+AG56,IF(AF56&lt;=11,186+(AF56-7)*30+AG56,336+AG56))-1,""))</f>
        <v/>
      </c>
      <c r="AI56" s="7" t="str">
        <f aca="false">IF(W56="","",W56&amp;"-"&amp;TEXT(X56,"00"))</f>
        <v>1405-03</v>
      </c>
      <c r="AJ56" s="7" t="n">
        <f aca="false">IF(W56="","",W56*12+X56)</f>
        <v>16863</v>
      </c>
      <c r="AK56" s="7" t="str">
        <f aca="false">IF(U56="تاخیر",V56+ROW()/100000,"")</f>
        <v/>
      </c>
    </row>
    <row r="57" customFormat="false" ht="15" hidden="false" customHeight="false" outlineLevel="0" collapsed="false">
      <c r="A57" s="7" t="n">
        <f aca="false">IF(B57="","",ROW()-3)</f>
        <v>54</v>
      </c>
      <c r="B57" s="8" t="s">
        <v>172</v>
      </c>
      <c r="C57" s="8" t="s">
        <v>38</v>
      </c>
      <c r="D57" s="8" t="s">
        <v>89</v>
      </c>
      <c r="E57" s="9" t="s">
        <v>173</v>
      </c>
      <c r="F57" s="9" t="s">
        <v>143</v>
      </c>
      <c r="G57" s="8" t="s">
        <v>144</v>
      </c>
      <c r="H57" s="8"/>
      <c r="I57" s="8"/>
      <c r="J57" s="9"/>
      <c r="K57" s="8"/>
      <c r="L57" s="8" t="s">
        <v>169</v>
      </c>
      <c r="M57" s="8" t="s">
        <v>44</v>
      </c>
      <c r="N57" s="8"/>
      <c r="O57" s="8"/>
      <c r="P57" s="8"/>
      <c r="Q57" s="8"/>
      <c r="R57" s="9"/>
      <c r="S57" s="8"/>
      <c r="T57" s="9"/>
      <c r="U57" s="10" t="str">
        <f aca="true">IF(B57="","",IF(OR(P57&lt;&gt;"",I57="می‌باشد"),"بسته",IF(AND(L57&lt;&gt;"",W57=""),"خطای فرمت تاریخ ایجاد",IF(AND(H57&lt;&gt;"",AA57=""),"خطای فرمت مهلت",IF(AND(H57&lt;&gt;"",AD57&lt;&gt;"",TODAY()&gt;AD57),"تاخیر",IF(L57&lt;&gt;"","در حال انجام",""))))))</f>
        <v>در حال انجام</v>
      </c>
      <c r="V57" s="7" t="n">
        <f aca="true">IF(U57="تاخیر",TODAY()-AD57,IF(AND(U57="بسته",AH57&lt;&gt;"",AD57&lt;&gt;"",AH57&gt;AD57),AH57-AD57,0))</f>
        <v>0</v>
      </c>
      <c r="W57" s="7" t="n">
        <f aca="false">IF(L57="","",VALUE(LEFT(L57,FIND("/",L57)-1)))</f>
        <v>1405</v>
      </c>
      <c r="X57" s="7" t="n">
        <f aca="false">IF(L57="","",VALUE(MID(L57,FIND("/",L57)+1,FIND("/",L57,FIND("/",L57)+1)-FIND("/",L57)-1)))</f>
        <v>3</v>
      </c>
      <c r="Y57" s="7" t="n">
        <f aca="false">IF(L57="","",VALUE(MID(L57,FIND("/",L57,FIND("/",L57)+1)+1,LEN(L57)-FIND("/",L57,FIND("/",L57)+1))))</f>
        <v>5</v>
      </c>
      <c r="Z57" s="11" t="n">
        <f aca="false">IF(OR(L57="",W57=""),"",IFERROR(INDEX('لیست‌ها'!$Q$3:$Q$53,MATCH(W57,'لیست‌ها'!$P$3:$P$53,0))+IF(X57&lt;=6,(X57-1)*31+Y57,IF(X57&lt;=11,186+(X57-7)*30+Y57,336+Y57))-1,""))</f>
        <v>46168</v>
      </c>
      <c r="AA57" s="7" t="str">
        <f aca="false">IF(H57="","",VALUE(LEFT(H57,FIND("/",H57)-1)))</f>
        <v/>
      </c>
      <c r="AB57" s="7" t="str">
        <f aca="false">IF(H57="","",VALUE(MID(H57,FIND("/",H57)+1,FIND("/",H57,FIND("/",H57)+1)-FIND("/",H57)-1)))</f>
        <v/>
      </c>
      <c r="AC57" s="7" t="str">
        <f aca="false">IF(H57="","",VALUE(MID(H57,FIND("/",H57,FIND("/",H57)+1)+1,LEN(H57)-FIND("/",H57,FIND("/",H57)+1))))</f>
        <v/>
      </c>
      <c r="AD57" s="7" t="str">
        <f aca="false">IF(OR(H57="",AA57=""),"",IFERROR(INDEX('لیست‌ها'!$Q$3:$Q$53,MATCH(AA57,'لیست‌ها'!$P$3:$P$53,0))+IF(AB57&lt;=6,(AB57-1)*31+AC57,IF(AB57&lt;=11,186+(AB57-7)*30+AC57,336+AC57))-1,""))</f>
        <v/>
      </c>
      <c r="AE57" s="7" t="str">
        <f aca="false">IF(P57="","",VALUE(LEFT(P57,FIND("/",P57)-1)))</f>
        <v/>
      </c>
      <c r="AF57" s="7" t="str">
        <f aca="false">IF(P57="","",VALUE(MID(P57,FIND("/",P57)+1,FIND("/",P57,FIND("/",P57)+1)-FIND("/",P57)-1)))</f>
        <v/>
      </c>
      <c r="AG57" s="7" t="str">
        <f aca="false">IF(P57="","",VALUE(MID(P57,FIND("/",P57,FIND("/",P57)+1)+1,LEN(P57)-FIND("/",P57,FIND("/",P57)+1))))</f>
        <v/>
      </c>
      <c r="AH57" s="7" t="str">
        <f aca="false">IF(OR(P57="",AE57=""),"",IFERROR(INDEX('لیست‌ها'!$Q$3:$Q$53,MATCH(AE57,'لیست‌ها'!$P$3:$P$53,0))+IF(AF57&lt;=6,(AF57-1)*31+AG57,IF(AF57&lt;=11,186+(AF57-7)*30+AG57,336+AG57))-1,""))</f>
        <v/>
      </c>
      <c r="AI57" s="7" t="str">
        <f aca="false">IF(W57="","",W57&amp;"-"&amp;TEXT(X57,"00"))</f>
        <v>1405-03</v>
      </c>
      <c r="AJ57" s="7" t="n">
        <f aca="false">IF(W57="","",W57*12+X57)</f>
        <v>16863</v>
      </c>
      <c r="AK57" s="7" t="str">
        <f aca="false">IF(U57="تاخیر",V57+ROW()/100000,"")</f>
        <v/>
      </c>
    </row>
    <row r="58" customFormat="false" ht="15" hidden="false" customHeight="false" outlineLevel="0" collapsed="false">
      <c r="A58" s="7" t="n">
        <f aca="false">IF(B58="","",ROW()-3)</f>
        <v>55</v>
      </c>
      <c r="B58" s="8" t="s">
        <v>170</v>
      </c>
      <c r="C58" s="8" t="s">
        <v>38</v>
      </c>
      <c r="D58" s="8" t="s">
        <v>89</v>
      </c>
      <c r="E58" s="9" t="s">
        <v>171</v>
      </c>
      <c r="F58" s="9" t="s">
        <v>143</v>
      </c>
      <c r="G58" s="8" t="s">
        <v>144</v>
      </c>
      <c r="H58" s="8"/>
      <c r="I58" s="8"/>
      <c r="J58" s="9"/>
      <c r="K58" s="8"/>
      <c r="L58" s="8" t="s">
        <v>169</v>
      </c>
      <c r="M58" s="8" t="s">
        <v>44</v>
      </c>
      <c r="N58" s="8"/>
      <c r="O58" s="8"/>
      <c r="P58" s="8"/>
      <c r="Q58" s="8"/>
      <c r="R58" s="9"/>
      <c r="S58" s="8"/>
      <c r="T58" s="9"/>
      <c r="U58" s="10" t="str">
        <f aca="true">IF(B58="","",IF(OR(P58&lt;&gt;"",I58="می‌باشد"),"بسته",IF(AND(L58&lt;&gt;"",W58=""),"خطای فرمت تاریخ ایجاد",IF(AND(H58&lt;&gt;"",AA58=""),"خطای فرمت مهلت",IF(AND(H58&lt;&gt;"",AD58&lt;&gt;"",TODAY()&gt;AD58),"تاخیر",IF(L58&lt;&gt;"","در حال انجام",""))))))</f>
        <v>در حال انجام</v>
      </c>
      <c r="V58" s="7" t="n">
        <f aca="true">IF(U58="تاخیر",TODAY()-AD58,IF(AND(U58="بسته",AH58&lt;&gt;"",AD58&lt;&gt;"",AH58&gt;AD58),AH58-AD58,0))</f>
        <v>0</v>
      </c>
      <c r="W58" s="7" t="n">
        <f aca="false">IF(L58="","",VALUE(LEFT(L58,FIND("/",L58)-1)))</f>
        <v>1405</v>
      </c>
      <c r="X58" s="7" t="n">
        <f aca="false">IF(L58="","",VALUE(MID(L58,FIND("/",L58)+1,FIND("/",L58,FIND("/",L58)+1)-FIND("/",L58)-1)))</f>
        <v>3</v>
      </c>
      <c r="Y58" s="7" t="n">
        <f aca="false">IF(L58="","",VALUE(MID(L58,FIND("/",L58,FIND("/",L58)+1)+1,LEN(L58)-FIND("/",L58,FIND("/",L58)+1))))</f>
        <v>5</v>
      </c>
      <c r="Z58" s="11" t="n">
        <f aca="false">IF(OR(L58="",W58=""),"",IFERROR(INDEX('لیست‌ها'!$Q$3:$Q$53,MATCH(W58,'لیست‌ها'!$P$3:$P$53,0))+IF(X58&lt;=6,(X58-1)*31+Y58,IF(X58&lt;=11,186+(X58-7)*30+Y58,336+Y58))-1,""))</f>
        <v>46168</v>
      </c>
      <c r="AA58" s="7" t="str">
        <f aca="false">IF(H58="","",VALUE(LEFT(H58,FIND("/",H58)-1)))</f>
        <v/>
      </c>
      <c r="AB58" s="7" t="str">
        <f aca="false">IF(H58="","",VALUE(MID(H58,FIND("/",H58)+1,FIND("/",H58,FIND("/",H58)+1)-FIND("/",H58)-1)))</f>
        <v/>
      </c>
      <c r="AC58" s="7" t="str">
        <f aca="false">IF(H58="","",VALUE(MID(H58,FIND("/",H58,FIND("/",H58)+1)+1,LEN(H58)-FIND("/",H58,FIND("/",H58)+1))))</f>
        <v/>
      </c>
      <c r="AD58" s="7" t="str">
        <f aca="false">IF(OR(H58="",AA58=""),"",IFERROR(INDEX('لیست‌ها'!$Q$3:$Q$53,MATCH(AA58,'لیست‌ها'!$P$3:$P$53,0))+IF(AB58&lt;=6,(AB58-1)*31+AC58,IF(AB58&lt;=11,186+(AB58-7)*30+AC58,336+AC58))-1,""))</f>
        <v/>
      </c>
      <c r="AE58" s="7" t="str">
        <f aca="false">IF(P58="","",VALUE(LEFT(P58,FIND("/",P58)-1)))</f>
        <v/>
      </c>
      <c r="AF58" s="7" t="str">
        <f aca="false">IF(P58="","",VALUE(MID(P58,FIND("/",P58)+1,FIND("/",P58,FIND("/",P58)+1)-FIND("/",P58)-1)))</f>
        <v/>
      </c>
      <c r="AG58" s="7" t="str">
        <f aca="false">IF(P58="","",VALUE(MID(P58,FIND("/",P58,FIND("/",P58)+1)+1,LEN(P58)-FIND("/",P58,FIND("/",P58)+1))))</f>
        <v/>
      </c>
      <c r="AH58" s="7" t="str">
        <f aca="false">IF(OR(P58="",AE58=""),"",IFERROR(INDEX('لیست‌ها'!$Q$3:$Q$53,MATCH(AE58,'لیست‌ها'!$P$3:$P$53,0))+IF(AF58&lt;=6,(AF58-1)*31+AG58,IF(AF58&lt;=11,186+(AF58-7)*30+AG58,336+AG58))-1,""))</f>
        <v/>
      </c>
      <c r="AI58" s="7" t="str">
        <f aca="false">IF(W58="","",W58&amp;"-"&amp;TEXT(X58,"00"))</f>
        <v>1405-03</v>
      </c>
      <c r="AJ58" s="7" t="n">
        <f aca="false">IF(W58="","",W58*12+X58)</f>
        <v>16863</v>
      </c>
      <c r="AK58" s="7" t="str">
        <f aca="false">IF(U58="تاخیر",V58+ROW()/100000,"")</f>
        <v/>
      </c>
    </row>
    <row r="59" customFormat="false" ht="15" hidden="false" customHeight="false" outlineLevel="0" collapsed="false">
      <c r="A59" s="7" t="n">
        <f aca="false">IF(B59="","",ROW()-3)</f>
        <v>56</v>
      </c>
      <c r="B59" s="8" t="s">
        <v>168</v>
      </c>
      <c r="C59" s="8" t="s">
        <v>38</v>
      </c>
      <c r="D59" s="8" t="s">
        <v>47</v>
      </c>
      <c r="E59" s="9" t="s">
        <v>103</v>
      </c>
      <c r="F59" s="9" t="s">
        <v>51</v>
      </c>
      <c r="G59" s="8" t="s">
        <v>52</v>
      </c>
      <c r="H59" s="8"/>
      <c r="I59" s="8"/>
      <c r="J59" s="9"/>
      <c r="K59" s="8"/>
      <c r="L59" s="8" t="s">
        <v>169</v>
      </c>
      <c r="M59" s="8" t="s">
        <v>44</v>
      </c>
      <c r="N59" s="8"/>
      <c r="O59" s="8"/>
      <c r="P59" s="8"/>
      <c r="Q59" s="8"/>
      <c r="R59" s="9"/>
      <c r="S59" s="8"/>
      <c r="T59" s="9"/>
      <c r="U59" s="10" t="str">
        <f aca="true">IF(B59="","",IF(OR(P59&lt;&gt;"",I59="می‌باشد"),"بسته",IF(AND(L59&lt;&gt;"",W59=""),"خطای فرمت تاریخ ایجاد",IF(AND(H59&lt;&gt;"",AA59=""),"خطای فرمت مهلت",IF(AND(H59&lt;&gt;"",AD59&lt;&gt;"",TODAY()&gt;AD59),"تاخیر",IF(L59&lt;&gt;"","در حال انجام",""))))))</f>
        <v>در حال انجام</v>
      </c>
      <c r="V59" s="7" t="n">
        <f aca="true">IF(U59="تاخیر",TODAY()-AD59,IF(AND(U59="بسته",AH59&lt;&gt;"",AD59&lt;&gt;"",AH59&gt;AD59),AH59-AD59,0))</f>
        <v>0</v>
      </c>
      <c r="W59" s="7" t="n">
        <f aca="false">IF(L59="","",VALUE(LEFT(L59,FIND("/",L59)-1)))</f>
        <v>1405</v>
      </c>
      <c r="X59" s="7" t="n">
        <f aca="false">IF(L59="","",VALUE(MID(L59,FIND("/",L59)+1,FIND("/",L59,FIND("/",L59)+1)-FIND("/",L59)-1)))</f>
        <v>3</v>
      </c>
      <c r="Y59" s="7" t="n">
        <f aca="false">IF(L59="","",VALUE(MID(L59,FIND("/",L59,FIND("/",L59)+1)+1,LEN(L59)-FIND("/",L59,FIND("/",L59)+1))))</f>
        <v>5</v>
      </c>
      <c r="Z59" s="11" t="n">
        <f aca="false">IF(OR(L59="",W59=""),"",IFERROR(INDEX('لیست‌ها'!$Q$3:$Q$53,MATCH(W59,'لیست‌ها'!$P$3:$P$53,0))+IF(X59&lt;=6,(X59-1)*31+Y59,IF(X59&lt;=11,186+(X59-7)*30+Y59,336+Y59))-1,""))</f>
        <v>46168</v>
      </c>
      <c r="AA59" s="7" t="str">
        <f aca="false">IF(H59="","",VALUE(LEFT(H59,FIND("/",H59)-1)))</f>
        <v/>
      </c>
      <c r="AB59" s="7" t="str">
        <f aca="false">IF(H59="","",VALUE(MID(H59,FIND("/",H59)+1,FIND("/",H59,FIND("/",H59)+1)-FIND("/",H59)-1)))</f>
        <v/>
      </c>
      <c r="AC59" s="7" t="str">
        <f aca="false">IF(H59="","",VALUE(MID(H59,FIND("/",H59,FIND("/",H59)+1)+1,LEN(H59)-FIND("/",H59,FIND("/",H59)+1))))</f>
        <v/>
      </c>
      <c r="AD59" s="7" t="str">
        <f aca="false">IF(OR(H59="",AA59=""),"",IFERROR(INDEX('لیست‌ها'!$Q$3:$Q$53,MATCH(AA59,'لیست‌ها'!$P$3:$P$53,0))+IF(AB59&lt;=6,(AB59-1)*31+AC59,IF(AB59&lt;=11,186+(AB59-7)*30+AC59,336+AC59))-1,""))</f>
        <v/>
      </c>
      <c r="AE59" s="7" t="str">
        <f aca="false">IF(P59="","",VALUE(LEFT(P59,FIND("/",P59)-1)))</f>
        <v/>
      </c>
      <c r="AF59" s="7" t="str">
        <f aca="false">IF(P59="","",VALUE(MID(P59,FIND("/",P59)+1,FIND("/",P59,FIND("/",P59)+1)-FIND("/",P59)-1)))</f>
        <v/>
      </c>
      <c r="AG59" s="7" t="str">
        <f aca="false">IF(P59="","",VALUE(MID(P59,FIND("/",P59,FIND("/",P59)+1)+1,LEN(P59)-FIND("/",P59,FIND("/",P59)+1))))</f>
        <v/>
      </c>
      <c r="AH59" s="7" t="str">
        <f aca="false">IF(OR(P59="",AE59=""),"",IFERROR(INDEX('لیست‌ها'!$Q$3:$Q$53,MATCH(AE59,'لیست‌ها'!$P$3:$P$53,0))+IF(AF59&lt;=6,(AF59-1)*31+AG59,IF(AF59&lt;=11,186+(AF59-7)*30+AG59,336+AG59))-1,""))</f>
        <v/>
      </c>
      <c r="AI59" s="7" t="str">
        <f aca="false">IF(W59="","",W59&amp;"-"&amp;TEXT(X59,"00"))</f>
        <v>1405-03</v>
      </c>
      <c r="AJ59" s="7" t="n">
        <f aca="false">IF(W59="","",W59*12+X59)</f>
        <v>16863</v>
      </c>
      <c r="AK59" s="7" t="str">
        <f aca="false">IF(U59="تاخیر",V59+ROW()/100000,"")</f>
        <v/>
      </c>
    </row>
    <row r="60" customFormat="false" ht="15" hidden="false" customHeight="false" outlineLevel="0" collapsed="false">
      <c r="A60" s="7" t="n">
        <f aca="false">IF(B60="","",ROW()-3)</f>
        <v>57</v>
      </c>
      <c r="B60" s="8" t="s">
        <v>166</v>
      </c>
      <c r="C60" s="8" t="s">
        <v>38</v>
      </c>
      <c r="D60" s="8" t="s">
        <v>89</v>
      </c>
      <c r="E60" s="9" t="s">
        <v>167</v>
      </c>
      <c r="F60" s="9" t="s">
        <v>91</v>
      </c>
      <c r="G60" s="8" t="s">
        <v>92</v>
      </c>
      <c r="H60" s="8"/>
      <c r="I60" s="8"/>
      <c r="J60" s="9"/>
      <c r="K60" s="8"/>
      <c r="L60" s="8" t="s">
        <v>165</v>
      </c>
      <c r="M60" s="8" t="s">
        <v>44</v>
      </c>
      <c r="N60" s="8"/>
      <c r="O60" s="8"/>
      <c r="P60" s="8"/>
      <c r="Q60" s="8"/>
      <c r="R60" s="9"/>
      <c r="S60" s="8"/>
      <c r="T60" s="9"/>
      <c r="U60" s="10" t="str">
        <f aca="true">IF(B60="","",IF(OR(P60&lt;&gt;"",I60="می‌باشد"),"بسته",IF(AND(L60&lt;&gt;"",W60=""),"خطای فرمت تاریخ ایجاد",IF(AND(H60&lt;&gt;"",AA60=""),"خطای فرمت مهلت",IF(AND(H60&lt;&gt;"",AD60&lt;&gt;"",TODAY()&gt;AD60),"تاخیر",IF(L60&lt;&gt;"","در حال انجام",""))))))</f>
        <v>در حال انجام</v>
      </c>
      <c r="V60" s="7" t="n">
        <f aca="true">IF(U60="تاخیر",TODAY()-AD60,IF(AND(U60="بسته",AH60&lt;&gt;"",AD60&lt;&gt;"",AH60&gt;AD60),AH60-AD60,0))</f>
        <v>0</v>
      </c>
      <c r="W60" s="7" t="n">
        <f aca="false">IF(L60="","",VALUE(LEFT(L60,FIND("/",L60)-1)))</f>
        <v>1405</v>
      </c>
      <c r="X60" s="7" t="n">
        <f aca="false">IF(L60="","",VALUE(MID(L60,FIND("/",L60)+1,FIND("/",L60,FIND("/",L60)+1)-FIND("/",L60)-1)))</f>
        <v>3</v>
      </c>
      <c r="Y60" s="7" t="n">
        <f aca="false">IF(L60="","",VALUE(MID(L60,FIND("/",L60,FIND("/",L60)+1)+1,LEN(L60)-FIND("/",L60,FIND("/",L60)+1))))</f>
        <v>9</v>
      </c>
      <c r="Z60" s="11" t="n">
        <f aca="false">IF(OR(L60="",W60=""),"",IFERROR(INDEX('لیست‌ها'!$Q$3:$Q$53,MATCH(W60,'لیست‌ها'!$P$3:$P$53,0))+IF(X60&lt;=6,(X60-1)*31+Y60,IF(X60&lt;=11,186+(X60-7)*30+Y60,336+Y60))-1,""))</f>
        <v>46172</v>
      </c>
      <c r="AA60" s="7" t="str">
        <f aca="false">IF(H60="","",VALUE(LEFT(H60,FIND("/",H60)-1)))</f>
        <v/>
      </c>
      <c r="AB60" s="7" t="str">
        <f aca="false">IF(H60="","",VALUE(MID(H60,FIND("/",H60)+1,FIND("/",H60,FIND("/",H60)+1)-FIND("/",H60)-1)))</f>
        <v/>
      </c>
      <c r="AC60" s="7" t="str">
        <f aca="false">IF(H60="","",VALUE(MID(H60,FIND("/",H60,FIND("/",H60)+1)+1,LEN(H60)-FIND("/",H60,FIND("/",H60)+1))))</f>
        <v/>
      </c>
      <c r="AD60" s="7" t="str">
        <f aca="false">IF(OR(H60="",AA60=""),"",IFERROR(INDEX('لیست‌ها'!$Q$3:$Q$53,MATCH(AA60,'لیست‌ها'!$P$3:$P$53,0))+IF(AB60&lt;=6,(AB60-1)*31+AC60,IF(AB60&lt;=11,186+(AB60-7)*30+AC60,336+AC60))-1,""))</f>
        <v/>
      </c>
      <c r="AE60" s="7" t="str">
        <f aca="false">IF(P60="","",VALUE(LEFT(P60,FIND("/",P60)-1)))</f>
        <v/>
      </c>
      <c r="AF60" s="7" t="str">
        <f aca="false">IF(P60="","",VALUE(MID(P60,FIND("/",P60)+1,FIND("/",P60,FIND("/",P60)+1)-FIND("/",P60)-1)))</f>
        <v/>
      </c>
      <c r="AG60" s="7" t="str">
        <f aca="false">IF(P60="","",VALUE(MID(P60,FIND("/",P60,FIND("/",P60)+1)+1,LEN(P60)-FIND("/",P60,FIND("/",P60)+1))))</f>
        <v/>
      </c>
      <c r="AH60" s="7" t="str">
        <f aca="false">IF(OR(P60="",AE60=""),"",IFERROR(INDEX('لیست‌ها'!$Q$3:$Q$53,MATCH(AE60,'لیست‌ها'!$P$3:$P$53,0))+IF(AF60&lt;=6,(AF60-1)*31+AG60,IF(AF60&lt;=11,186+(AF60-7)*30+AG60,336+AG60))-1,""))</f>
        <v/>
      </c>
      <c r="AI60" s="7" t="str">
        <f aca="false">IF(W60="","",W60&amp;"-"&amp;TEXT(X60,"00"))</f>
        <v>1405-03</v>
      </c>
      <c r="AJ60" s="7" t="n">
        <f aca="false">IF(W60="","",W60*12+X60)</f>
        <v>16863</v>
      </c>
      <c r="AK60" s="7" t="str">
        <f aca="false">IF(U60="تاخیر",V60+ROW()/100000,"")</f>
        <v/>
      </c>
    </row>
    <row r="61" customFormat="false" ht="15" hidden="false" customHeight="false" outlineLevel="0" collapsed="false">
      <c r="A61" s="7" t="n">
        <f aca="false">IF(B61="","",ROW()-3)</f>
        <v>58</v>
      </c>
      <c r="B61" s="8" t="s">
        <v>164</v>
      </c>
      <c r="C61" s="8" t="s">
        <v>38</v>
      </c>
      <c r="D61" s="8" t="s">
        <v>89</v>
      </c>
      <c r="E61" s="9" t="s">
        <v>160</v>
      </c>
      <c r="F61" s="9" t="s">
        <v>91</v>
      </c>
      <c r="G61" s="8" t="s">
        <v>92</v>
      </c>
      <c r="H61" s="8"/>
      <c r="I61" s="8"/>
      <c r="J61" s="9"/>
      <c r="K61" s="8"/>
      <c r="L61" s="8" t="s">
        <v>165</v>
      </c>
      <c r="M61" s="8" t="s">
        <v>44</v>
      </c>
      <c r="N61" s="8"/>
      <c r="O61" s="8"/>
      <c r="P61" s="8"/>
      <c r="Q61" s="8"/>
      <c r="R61" s="9"/>
      <c r="S61" s="8"/>
      <c r="T61" s="9"/>
      <c r="U61" s="10" t="str">
        <f aca="true">IF(B61="","",IF(OR(P61&lt;&gt;"",I61="می‌باشد"),"بسته",IF(AND(L61&lt;&gt;"",W61=""),"خطای فرمت تاریخ ایجاد",IF(AND(H61&lt;&gt;"",AA61=""),"خطای فرمت مهلت",IF(AND(H61&lt;&gt;"",AD61&lt;&gt;"",TODAY()&gt;AD61),"تاخیر",IF(L61&lt;&gt;"","در حال انجام",""))))))</f>
        <v>در حال انجام</v>
      </c>
      <c r="V61" s="7" t="n">
        <f aca="true">IF(U61="تاخیر",TODAY()-AD61,IF(AND(U61="بسته",AH61&lt;&gt;"",AD61&lt;&gt;"",AH61&gt;AD61),AH61-AD61,0))</f>
        <v>0</v>
      </c>
      <c r="W61" s="7" t="n">
        <f aca="false">IF(L61="","",VALUE(LEFT(L61,FIND("/",L61)-1)))</f>
        <v>1405</v>
      </c>
      <c r="X61" s="7" t="n">
        <f aca="false">IF(L61="","",VALUE(MID(L61,FIND("/",L61)+1,FIND("/",L61,FIND("/",L61)+1)-FIND("/",L61)-1)))</f>
        <v>3</v>
      </c>
      <c r="Y61" s="7" t="n">
        <f aca="false">IF(L61="","",VALUE(MID(L61,FIND("/",L61,FIND("/",L61)+1)+1,LEN(L61)-FIND("/",L61,FIND("/",L61)+1))))</f>
        <v>9</v>
      </c>
      <c r="Z61" s="11" t="n">
        <f aca="false">IF(OR(L61="",W61=""),"",IFERROR(INDEX('لیست‌ها'!$Q$3:$Q$53,MATCH(W61,'لیست‌ها'!$P$3:$P$53,0))+IF(X61&lt;=6,(X61-1)*31+Y61,IF(X61&lt;=11,186+(X61-7)*30+Y61,336+Y61))-1,""))</f>
        <v>46172</v>
      </c>
      <c r="AA61" s="7" t="str">
        <f aca="false">IF(H61="","",VALUE(LEFT(H61,FIND("/",H61)-1)))</f>
        <v/>
      </c>
      <c r="AB61" s="7" t="str">
        <f aca="false">IF(H61="","",VALUE(MID(H61,FIND("/",H61)+1,FIND("/",H61,FIND("/",H61)+1)-FIND("/",H61)-1)))</f>
        <v/>
      </c>
      <c r="AC61" s="7" t="str">
        <f aca="false">IF(H61="","",VALUE(MID(H61,FIND("/",H61,FIND("/",H61)+1)+1,LEN(H61)-FIND("/",H61,FIND("/",H61)+1))))</f>
        <v/>
      </c>
      <c r="AD61" s="7" t="str">
        <f aca="false">IF(OR(H61="",AA61=""),"",IFERROR(INDEX('لیست‌ها'!$Q$3:$Q$53,MATCH(AA61,'لیست‌ها'!$P$3:$P$53,0))+IF(AB61&lt;=6,(AB61-1)*31+AC61,IF(AB61&lt;=11,186+(AB61-7)*30+AC61,336+AC61))-1,""))</f>
        <v/>
      </c>
      <c r="AE61" s="7" t="str">
        <f aca="false">IF(P61="","",VALUE(LEFT(P61,FIND("/",P61)-1)))</f>
        <v/>
      </c>
      <c r="AF61" s="7" t="str">
        <f aca="false">IF(P61="","",VALUE(MID(P61,FIND("/",P61)+1,FIND("/",P61,FIND("/",P61)+1)-FIND("/",P61)-1)))</f>
        <v/>
      </c>
      <c r="AG61" s="7" t="str">
        <f aca="false">IF(P61="","",VALUE(MID(P61,FIND("/",P61,FIND("/",P61)+1)+1,LEN(P61)-FIND("/",P61,FIND("/",P61)+1))))</f>
        <v/>
      </c>
      <c r="AH61" s="7" t="str">
        <f aca="false">IF(OR(P61="",AE61=""),"",IFERROR(INDEX('لیست‌ها'!$Q$3:$Q$53,MATCH(AE61,'لیست‌ها'!$P$3:$P$53,0))+IF(AF61&lt;=6,(AF61-1)*31+AG61,IF(AF61&lt;=11,186+(AF61-7)*30+AG61,336+AG61))-1,""))</f>
        <v/>
      </c>
      <c r="AI61" s="7" t="str">
        <f aca="false">IF(W61="","",W61&amp;"-"&amp;TEXT(X61,"00"))</f>
        <v>1405-03</v>
      </c>
      <c r="AJ61" s="7" t="n">
        <f aca="false">IF(W61="","",W61*12+X61)</f>
        <v>16863</v>
      </c>
      <c r="AK61" s="7" t="str">
        <f aca="false">IF(U61="تاخیر",V61+ROW()/100000,"")</f>
        <v/>
      </c>
    </row>
    <row r="62" customFormat="false" ht="15" hidden="false" customHeight="false" outlineLevel="0" collapsed="false">
      <c r="A62" s="7" t="n">
        <f aca="false">IF(B62="","",ROW()-3)</f>
        <v>59</v>
      </c>
      <c r="B62" s="8" t="s">
        <v>220</v>
      </c>
      <c r="C62" s="8" t="s">
        <v>38</v>
      </c>
      <c r="D62" s="8" t="s">
        <v>89</v>
      </c>
      <c r="E62" s="9" t="s">
        <v>162</v>
      </c>
      <c r="F62" s="9" t="s">
        <v>91</v>
      </c>
      <c r="G62" s="8" t="s">
        <v>92</v>
      </c>
      <c r="H62" s="8"/>
      <c r="I62" s="8"/>
      <c r="J62" s="9"/>
      <c r="K62" s="8"/>
      <c r="L62" s="8" t="s">
        <v>165</v>
      </c>
      <c r="M62" s="8" t="s">
        <v>44</v>
      </c>
      <c r="N62" s="8"/>
      <c r="O62" s="8"/>
      <c r="P62" s="8"/>
      <c r="Q62" s="8"/>
      <c r="R62" s="9"/>
      <c r="S62" s="8"/>
      <c r="T62" s="9"/>
      <c r="U62" s="10" t="str">
        <f aca="true">IF(B62="","",IF(OR(P62&lt;&gt;"",I62="می‌باشد"),"بسته",IF(AND(L62&lt;&gt;"",W62=""),"خطای فرمت تاریخ ایجاد",IF(AND(H62&lt;&gt;"",AA62=""),"خطای فرمت مهلت",IF(AND(H62&lt;&gt;"",AD62&lt;&gt;"",TODAY()&gt;AD62),"تاخیر",IF(L62&lt;&gt;"","در حال انجام",""))))))</f>
        <v>در حال انجام</v>
      </c>
      <c r="V62" s="7" t="n">
        <f aca="true">IF(U62="تاخیر",TODAY()-AD62,IF(AND(U62="بسته",AH62&lt;&gt;"",AD62&lt;&gt;"",AH62&gt;AD62),AH62-AD62,0))</f>
        <v>0</v>
      </c>
      <c r="W62" s="7" t="n">
        <f aca="false">IF(L62="","",VALUE(LEFT(L62,FIND("/",L62)-1)))</f>
        <v>1405</v>
      </c>
      <c r="X62" s="7" t="n">
        <f aca="false">IF(L62="","",VALUE(MID(L62,FIND("/",L62)+1,FIND("/",L62,FIND("/",L62)+1)-FIND("/",L62)-1)))</f>
        <v>3</v>
      </c>
      <c r="Y62" s="7" t="n">
        <f aca="false">IF(L62="","",VALUE(MID(L62,FIND("/",L62,FIND("/",L62)+1)+1,LEN(L62)-FIND("/",L62,FIND("/",L62)+1))))</f>
        <v>9</v>
      </c>
      <c r="Z62" s="11" t="n">
        <f aca="false">IF(OR(L62="",W62=""),"",IFERROR(INDEX('لیست‌ها'!$Q$3:$Q$53,MATCH(W62,'لیست‌ها'!$P$3:$P$53,0))+IF(X62&lt;=6,(X62-1)*31+Y62,IF(X62&lt;=11,186+(X62-7)*30+Y62,336+Y62))-1,""))</f>
        <v>46172</v>
      </c>
      <c r="AA62" s="7" t="str">
        <f aca="false">IF(H62="","",VALUE(LEFT(H62,FIND("/",H62)-1)))</f>
        <v/>
      </c>
      <c r="AB62" s="7" t="str">
        <f aca="false">IF(H62="","",VALUE(MID(H62,FIND("/",H62)+1,FIND("/",H62,FIND("/",H62)+1)-FIND("/",H62)-1)))</f>
        <v/>
      </c>
      <c r="AC62" s="7" t="str">
        <f aca="false">IF(H62="","",VALUE(MID(H62,FIND("/",H62,FIND("/",H62)+1)+1,LEN(H62)-FIND("/",H62,FIND("/",H62)+1))))</f>
        <v/>
      </c>
      <c r="AD62" s="7" t="str">
        <f aca="false">IF(OR(H62="",AA62=""),"",IFERROR(INDEX('لیست‌ها'!$Q$3:$Q$53,MATCH(AA62,'لیست‌ها'!$P$3:$P$53,0))+IF(AB62&lt;=6,(AB62-1)*31+AC62,IF(AB62&lt;=11,186+(AB62-7)*30+AC62,336+AC62))-1,""))</f>
        <v/>
      </c>
      <c r="AE62" s="7" t="str">
        <f aca="false">IF(P62="","",VALUE(LEFT(P62,FIND("/",P62)-1)))</f>
        <v/>
      </c>
      <c r="AF62" s="7" t="str">
        <f aca="false">IF(P62="","",VALUE(MID(P62,FIND("/",P62)+1,FIND("/",P62,FIND("/",P62)+1)-FIND("/",P62)-1)))</f>
        <v/>
      </c>
      <c r="AG62" s="7" t="str">
        <f aca="false">IF(P62="","",VALUE(MID(P62,FIND("/",P62,FIND("/",P62)+1)+1,LEN(P62)-FIND("/",P62,FIND("/",P62)+1))))</f>
        <v/>
      </c>
      <c r="AH62" s="7" t="str">
        <f aca="false">IF(OR(P62="",AE62=""),"",IFERROR(INDEX('لیست‌ها'!$Q$3:$Q$53,MATCH(AE62,'لیست‌ها'!$P$3:$P$53,0))+IF(AF62&lt;=6,(AF62-1)*31+AG62,IF(AF62&lt;=11,186+(AF62-7)*30+AG62,336+AG62))-1,""))</f>
        <v/>
      </c>
      <c r="AI62" s="7" t="str">
        <f aca="false">IF(W62="","",W62&amp;"-"&amp;TEXT(X62,"00"))</f>
        <v>1405-03</v>
      </c>
      <c r="AJ62" s="7" t="n">
        <f aca="false">IF(W62="","",W62*12+X62)</f>
        <v>16863</v>
      </c>
      <c r="AK62" s="7" t="str">
        <f aca="false">IF(U62="تاخیر",V62+ROW()/100000,"")</f>
        <v/>
      </c>
    </row>
    <row r="63" customFormat="false" ht="15" hidden="false" customHeight="false" outlineLevel="0" collapsed="false">
      <c r="A63" s="7" t="n">
        <f aca="false">IF(B63="","",ROW()-3)</f>
        <v>60</v>
      </c>
      <c r="B63" s="8" t="s">
        <v>218</v>
      </c>
      <c r="C63" s="8" t="s">
        <v>38</v>
      </c>
      <c r="D63" s="8" t="s">
        <v>89</v>
      </c>
      <c r="E63" s="9" t="s">
        <v>219</v>
      </c>
      <c r="F63" s="9" t="s">
        <v>91</v>
      </c>
      <c r="G63" s="8" t="s">
        <v>92</v>
      </c>
      <c r="H63" s="8"/>
      <c r="I63" s="8"/>
      <c r="J63" s="9"/>
      <c r="K63" s="8"/>
      <c r="L63" s="8" t="s">
        <v>165</v>
      </c>
      <c r="M63" s="8" t="s">
        <v>44</v>
      </c>
      <c r="N63" s="8"/>
      <c r="O63" s="8"/>
      <c r="P63" s="8"/>
      <c r="Q63" s="8"/>
      <c r="R63" s="9"/>
      <c r="S63" s="8"/>
      <c r="T63" s="9"/>
      <c r="U63" s="10" t="str">
        <f aca="true">IF(B63="","",IF(OR(P63&lt;&gt;"",I63="می‌باشد"),"بسته",IF(AND(L63&lt;&gt;"",W63=""),"خطای فرمت تاریخ ایجاد",IF(AND(H63&lt;&gt;"",AA63=""),"خطای فرمت مهلت",IF(AND(H63&lt;&gt;"",AD63&lt;&gt;"",TODAY()&gt;AD63),"تاخیر",IF(L63&lt;&gt;"","در حال انجام",""))))))</f>
        <v>در حال انجام</v>
      </c>
      <c r="V63" s="7" t="n">
        <f aca="true">IF(U63="تاخیر",TODAY()-AD63,IF(AND(U63="بسته",AH63&lt;&gt;"",AD63&lt;&gt;"",AH63&gt;AD63),AH63-AD63,0))</f>
        <v>0</v>
      </c>
      <c r="W63" s="7" t="n">
        <f aca="false">IF(L63="","",VALUE(LEFT(L63,FIND("/",L63)-1)))</f>
        <v>1405</v>
      </c>
      <c r="X63" s="7" t="n">
        <f aca="false">IF(L63="","",VALUE(MID(L63,FIND("/",L63)+1,FIND("/",L63,FIND("/",L63)+1)-FIND("/",L63)-1)))</f>
        <v>3</v>
      </c>
      <c r="Y63" s="7" t="n">
        <f aca="false">IF(L63="","",VALUE(MID(L63,FIND("/",L63,FIND("/",L63)+1)+1,LEN(L63)-FIND("/",L63,FIND("/",L63)+1))))</f>
        <v>9</v>
      </c>
      <c r="Z63" s="11" t="n">
        <f aca="false">IF(OR(L63="",W63=""),"",IFERROR(INDEX('لیست‌ها'!$Q$3:$Q$53,MATCH(W63,'لیست‌ها'!$P$3:$P$53,0))+IF(X63&lt;=6,(X63-1)*31+Y63,IF(X63&lt;=11,186+(X63-7)*30+Y63,336+Y63))-1,""))</f>
        <v>46172</v>
      </c>
      <c r="AA63" s="7" t="str">
        <f aca="false">IF(H63="","",VALUE(LEFT(H63,FIND("/",H63)-1)))</f>
        <v/>
      </c>
      <c r="AB63" s="7" t="str">
        <f aca="false">IF(H63="","",VALUE(MID(H63,FIND("/",H63)+1,FIND("/",H63,FIND("/",H63)+1)-FIND("/",H63)-1)))</f>
        <v/>
      </c>
      <c r="AC63" s="7" t="str">
        <f aca="false">IF(H63="","",VALUE(MID(H63,FIND("/",H63,FIND("/",H63)+1)+1,LEN(H63)-FIND("/",H63,FIND("/",H63)+1))))</f>
        <v/>
      </c>
      <c r="AD63" s="7" t="str">
        <f aca="false">IF(OR(H63="",AA63=""),"",IFERROR(INDEX('لیست‌ها'!$Q$3:$Q$53,MATCH(AA63,'لیست‌ها'!$P$3:$P$53,0))+IF(AB63&lt;=6,(AB63-1)*31+AC63,IF(AB63&lt;=11,186+(AB63-7)*30+AC63,336+AC63))-1,""))</f>
        <v/>
      </c>
      <c r="AE63" s="7" t="str">
        <f aca="false">IF(P63="","",VALUE(LEFT(P63,FIND("/",P63)-1)))</f>
        <v/>
      </c>
      <c r="AF63" s="7" t="str">
        <f aca="false">IF(P63="","",VALUE(MID(P63,FIND("/",P63)+1,FIND("/",P63,FIND("/",P63)+1)-FIND("/",P63)-1)))</f>
        <v/>
      </c>
      <c r="AG63" s="7" t="str">
        <f aca="false">IF(P63="","",VALUE(MID(P63,FIND("/",P63,FIND("/",P63)+1)+1,LEN(P63)-FIND("/",P63,FIND("/",P63)+1))))</f>
        <v/>
      </c>
      <c r="AH63" s="7" t="str">
        <f aca="false">IF(OR(P63="",AE63=""),"",IFERROR(INDEX('لیست‌ها'!$Q$3:$Q$53,MATCH(AE63,'لیست‌ها'!$P$3:$P$53,0))+IF(AF63&lt;=6,(AF63-1)*31+AG63,IF(AF63&lt;=11,186+(AF63-7)*30+AG63,336+AG63))-1,""))</f>
        <v/>
      </c>
      <c r="AI63" s="7" t="str">
        <f aca="false">IF(W63="","",W63&amp;"-"&amp;TEXT(X63,"00"))</f>
        <v>1405-03</v>
      </c>
      <c r="AJ63" s="7" t="n">
        <f aca="false">IF(W63="","",W63*12+X63)</f>
        <v>16863</v>
      </c>
      <c r="AK63" s="7" t="str">
        <f aca="false">IF(U63="تاخیر",V63+ROW()/100000,"")</f>
        <v/>
      </c>
    </row>
    <row r="64" customFormat="false" ht="15" hidden="false" customHeight="false" outlineLevel="0" collapsed="false">
      <c r="A64" s="7" t="n">
        <f aca="false">IF(B64="","",ROW()-3)</f>
        <v>61</v>
      </c>
      <c r="B64" s="8" t="s">
        <v>217</v>
      </c>
      <c r="C64" s="8" t="s">
        <v>38</v>
      </c>
      <c r="D64" s="8" t="s">
        <v>47</v>
      </c>
      <c r="E64" s="9" t="s">
        <v>179</v>
      </c>
      <c r="F64" s="9" t="s">
        <v>51</v>
      </c>
      <c r="G64" s="8" t="s">
        <v>52</v>
      </c>
      <c r="H64" s="8" t="s">
        <v>216</v>
      </c>
      <c r="I64" s="8" t="s">
        <v>54</v>
      </c>
      <c r="J64" s="9"/>
      <c r="K64" s="8"/>
      <c r="L64" s="8" t="s">
        <v>165</v>
      </c>
      <c r="M64" s="8" t="s">
        <v>56</v>
      </c>
      <c r="N64" s="8"/>
      <c r="O64" s="8"/>
      <c r="P64" s="8"/>
      <c r="Q64" s="8"/>
      <c r="R64" s="9"/>
      <c r="S64" s="8"/>
      <c r="T64" s="9"/>
      <c r="U64" s="10" t="str">
        <f aca="true">IF(B64="","",IF(OR(P64&lt;&gt;"",I64="می‌باشد"),"بسته",IF(AND(L64&lt;&gt;"",W64=""),"خطای فرمت تاریخ ایجاد",IF(AND(H64&lt;&gt;"",AA64=""),"خطای فرمت مهلت",IF(AND(H64&lt;&gt;"",AD64&lt;&gt;"",TODAY()&gt;AD64),"تاخیر",IF(L64&lt;&gt;"","در حال انجام",""))))))</f>
        <v>بسته</v>
      </c>
      <c r="V64" s="7" t="n">
        <f aca="true">IF(U64="تاخیر",TODAY()-AD64,IF(AND(U64="بسته",AH64&lt;&gt;"",AD64&lt;&gt;"",AH64&gt;AD64),AH64-AD64,0))</f>
        <v>0</v>
      </c>
      <c r="W64" s="7" t="n">
        <f aca="false">IF(L64="","",VALUE(LEFT(L64,FIND("/",L64)-1)))</f>
        <v>1405</v>
      </c>
      <c r="X64" s="7" t="n">
        <f aca="false">IF(L64="","",VALUE(MID(L64,FIND("/",L64)+1,FIND("/",L64,FIND("/",L64)+1)-FIND("/",L64)-1)))</f>
        <v>3</v>
      </c>
      <c r="Y64" s="7" t="n">
        <f aca="false">IF(L64="","",VALUE(MID(L64,FIND("/",L64,FIND("/",L64)+1)+1,LEN(L64)-FIND("/",L64,FIND("/",L64)+1))))</f>
        <v>9</v>
      </c>
      <c r="Z64" s="11" t="n">
        <f aca="false">IF(OR(L64="",W64=""),"",IFERROR(INDEX('لیست‌ها'!$Q$3:$Q$53,MATCH(W64,'لیست‌ها'!$P$3:$P$53,0))+IF(X64&lt;=6,(X64-1)*31+Y64,IF(X64&lt;=11,186+(X64-7)*30+Y64,336+Y64))-1,""))</f>
        <v>46172</v>
      </c>
      <c r="AA64" s="7" t="n">
        <f aca="false">IF(H64="","",VALUE(LEFT(H64,FIND("/",H64)-1)))</f>
        <v>1405</v>
      </c>
      <c r="AB64" s="7" t="n">
        <f aca="false">IF(H64="","",VALUE(MID(H64,FIND("/",H64)+1,FIND("/",H64,FIND("/",H64)+1)-FIND("/",H64)-1)))</f>
        <v>3</v>
      </c>
      <c r="AC64" s="7" t="n">
        <f aca="false">IF(H64="","",VALUE(MID(H64,FIND("/",H64,FIND("/",H64)+1)+1,LEN(H64)-FIND("/",H64,FIND("/",H64)+1))))</f>
        <v>31</v>
      </c>
      <c r="AD64" s="11" t="n">
        <f aca="false">IF(OR(H64="",AA64=""),"",IFERROR(INDEX('لیست‌ها'!$Q$3:$Q$53,MATCH(AA64,'لیست‌ها'!$P$3:$P$53,0))+IF(AB64&lt;=6,(AB64-1)*31+AC64,IF(AB64&lt;=11,186+(AB64-7)*30+AC64,336+AC64))-1,""))</f>
        <v>46194</v>
      </c>
      <c r="AE64" s="7" t="str">
        <f aca="false">IF(P64="","",VALUE(LEFT(P64,FIND("/",P64)-1)))</f>
        <v/>
      </c>
      <c r="AF64" s="7" t="str">
        <f aca="false">IF(P64="","",VALUE(MID(P64,FIND("/",P64)+1,FIND("/",P64,FIND("/",P64)+1)-FIND("/",P64)-1)))</f>
        <v/>
      </c>
      <c r="AG64" s="7" t="str">
        <f aca="false">IF(P64="","",VALUE(MID(P64,FIND("/",P64,FIND("/",P64)+1)+1,LEN(P64)-FIND("/",P64,FIND("/",P64)+1))))</f>
        <v/>
      </c>
      <c r="AH64" s="7" t="str">
        <f aca="false">IF(OR(P64="",AE64=""),"",IFERROR(INDEX('لیست‌ها'!$Q$3:$Q$53,MATCH(AE64,'لیست‌ها'!$P$3:$P$53,0))+IF(AF64&lt;=6,(AF64-1)*31+AG64,IF(AF64&lt;=11,186+(AF64-7)*30+AG64,336+AG64))-1,""))</f>
        <v/>
      </c>
      <c r="AI64" s="7" t="str">
        <f aca="false">IF(W64="","",W64&amp;"-"&amp;TEXT(X64,"00"))</f>
        <v>1405-03</v>
      </c>
      <c r="AJ64" s="7" t="n">
        <f aca="false">IF(W64="","",W64*12+X64)</f>
        <v>16863</v>
      </c>
      <c r="AK64" s="7" t="str">
        <f aca="false">IF(U64="تاخیر",V64+ROW()/100000,"")</f>
        <v/>
      </c>
    </row>
    <row r="65" customFormat="false" ht="15" hidden="false" customHeight="false" outlineLevel="0" collapsed="false">
      <c r="A65" s="7" t="n">
        <f aca="false">IF(B65="","",ROW()-3)</f>
        <v>62</v>
      </c>
      <c r="B65" s="8" t="s">
        <v>214</v>
      </c>
      <c r="C65" s="8" t="s">
        <v>38</v>
      </c>
      <c r="D65" s="8" t="s">
        <v>47</v>
      </c>
      <c r="E65" s="9" t="s">
        <v>215</v>
      </c>
      <c r="F65" s="9" t="s">
        <v>51</v>
      </c>
      <c r="G65" s="8" t="s">
        <v>52</v>
      </c>
      <c r="H65" s="8" t="s">
        <v>216</v>
      </c>
      <c r="I65" s="8" t="s">
        <v>54</v>
      </c>
      <c r="J65" s="9"/>
      <c r="K65" s="8"/>
      <c r="L65" s="8" t="s">
        <v>165</v>
      </c>
      <c r="M65" s="8" t="s">
        <v>56</v>
      </c>
      <c r="N65" s="8"/>
      <c r="O65" s="8"/>
      <c r="P65" s="8"/>
      <c r="Q65" s="8"/>
      <c r="R65" s="9"/>
      <c r="S65" s="8"/>
      <c r="T65" s="9"/>
      <c r="U65" s="10" t="str">
        <f aca="true">IF(B65="","",IF(OR(P65&lt;&gt;"",I65="می‌باشد"),"بسته",IF(AND(L65&lt;&gt;"",W65=""),"خطای فرمت تاریخ ایجاد",IF(AND(H65&lt;&gt;"",AA65=""),"خطای فرمت مهلت",IF(AND(H65&lt;&gt;"",AD65&lt;&gt;"",TODAY()&gt;AD65),"تاخیر",IF(L65&lt;&gt;"","در حال انجام",""))))))</f>
        <v>بسته</v>
      </c>
      <c r="V65" s="7" t="n">
        <f aca="true">IF(U65="تاخیر",TODAY()-AD65,IF(AND(U65="بسته",AH65&lt;&gt;"",AD65&lt;&gt;"",AH65&gt;AD65),AH65-AD65,0))</f>
        <v>0</v>
      </c>
      <c r="W65" s="7" t="n">
        <f aca="false">IF(L65="","",VALUE(LEFT(L65,FIND("/",L65)-1)))</f>
        <v>1405</v>
      </c>
      <c r="X65" s="7" t="n">
        <f aca="false">IF(L65="","",VALUE(MID(L65,FIND("/",L65)+1,FIND("/",L65,FIND("/",L65)+1)-FIND("/",L65)-1)))</f>
        <v>3</v>
      </c>
      <c r="Y65" s="7" t="n">
        <f aca="false">IF(L65="","",VALUE(MID(L65,FIND("/",L65,FIND("/",L65)+1)+1,LEN(L65)-FIND("/",L65,FIND("/",L65)+1))))</f>
        <v>9</v>
      </c>
      <c r="Z65" s="11" t="n">
        <f aca="false">IF(OR(L65="",W65=""),"",IFERROR(INDEX('لیست‌ها'!$Q$3:$Q$53,MATCH(W65,'لیست‌ها'!$P$3:$P$53,0))+IF(X65&lt;=6,(X65-1)*31+Y65,IF(X65&lt;=11,186+(X65-7)*30+Y65,336+Y65))-1,""))</f>
        <v>46172</v>
      </c>
      <c r="AA65" s="7" t="n">
        <f aca="false">IF(H65="","",VALUE(LEFT(H65,FIND("/",H65)-1)))</f>
        <v>1405</v>
      </c>
      <c r="AB65" s="7" t="n">
        <f aca="false">IF(H65="","",VALUE(MID(H65,FIND("/",H65)+1,FIND("/",H65,FIND("/",H65)+1)-FIND("/",H65)-1)))</f>
        <v>3</v>
      </c>
      <c r="AC65" s="7" t="n">
        <f aca="false">IF(H65="","",VALUE(MID(H65,FIND("/",H65,FIND("/",H65)+1)+1,LEN(H65)-FIND("/",H65,FIND("/",H65)+1))))</f>
        <v>31</v>
      </c>
      <c r="AD65" s="11" t="n">
        <f aca="false">IF(OR(H65="",AA65=""),"",IFERROR(INDEX('لیست‌ها'!$Q$3:$Q$53,MATCH(AA65,'لیست‌ها'!$P$3:$P$53,0))+IF(AB65&lt;=6,(AB65-1)*31+AC65,IF(AB65&lt;=11,186+(AB65-7)*30+AC65,336+AC65))-1,""))</f>
        <v>46194</v>
      </c>
      <c r="AE65" s="7" t="str">
        <f aca="false">IF(P65="","",VALUE(LEFT(P65,FIND("/",P65)-1)))</f>
        <v/>
      </c>
      <c r="AF65" s="7" t="str">
        <f aca="false">IF(P65="","",VALUE(MID(P65,FIND("/",P65)+1,FIND("/",P65,FIND("/",P65)+1)-FIND("/",P65)-1)))</f>
        <v/>
      </c>
      <c r="AG65" s="7" t="str">
        <f aca="false">IF(P65="","",VALUE(MID(P65,FIND("/",P65,FIND("/",P65)+1)+1,LEN(P65)-FIND("/",P65,FIND("/",P65)+1))))</f>
        <v/>
      </c>
      <c r="AH65" s="7" t="str">
        <f aca="false">IF(OR(P65="",AE65=""),"",IFERROR(INDEX('لیست‌ها'!$Q$3:$Q$53,MATCH(AE65,'لیست‌ها'!$P$3:$P$53,0))+IF(AF65&lt;=6,(AF65-1)*31+AG65,IF(AF65&lt;=11,186+(AF65-7)*30+AG65,336+AG65))-1,""))</f>
        <v/>
      </c>
      <c r="AI65" s="7" t="str">
        <f aca="false">IF(W65="","",W65&amp;"-"&amp;TEXT(X65,"00"))</f>
        <v>1405-03</v>
      </c>
      <c r="AJ65" s="7" t="n">
        <f aca="false">IF(W65="","",W65*12+X65)</f>
        <v>16863</v>
      </c>
      <c r="AK65" s="7" t="str">
        <f aca="false">IF(U65="تاخیر",V65+ROW()/100000,"")</f>
        <v/>
      </c>
    </row>
    <row r="66" customFormat="false" ht="15" hidden="false" customHeight="false" outlineLevel="0" collapsed="false">
      <c r="A66" s="7" t="n">
        <f aca="false">IF(B66="","",ROW()-3)</f>
        <v>63</v>
      </c>
      <c r="B66" s="8" t="s">
        <v>212</v>
      </c>
      <c r="C66" s="8" t="s">
        <v>38</v>
      </c>
      <c r="D66" s="8" t="s">
        <v>47</v>
      </c>
      <c r="E66" s="9" t="s">
        <v>63</v>
      </c>
      <c r="F66" s="9" t="s">
        <v>51</v>
      </c>
      <c r="G66" s="8" t="s">
        <v>52</v>
      </c>
      <c r="H66" s="8" t="s">
        <v>213</v>
      </c>
      <c r="I66" s="8" t="s">
        <v>54</v>
      </c>
      <c r="J66" s="9"/>
      <c r="K66" s="8"/>
      <c r="L66" s="8" t="s">
        <v>165</v>
      </c>
      <c r="M66" s="8" t="s">
        <v>56</v>
      </c>
      <c r="N66" s="8"/>
      <c r="O66" s="8"/>
      <c r="P66" s="8"/>
      <c r="Q66" s="8"/>
      <c r="R66" s="9"/>
      <c r="S66" s="8"/>
      <c r="T66" s="9"/>
      <c r="U66" s="10" t="str">
        <f aca="true">IF(B66="","",IF(OR(P66&lt;&gt;"",I66="می‌باشد"),"بسته",IF(AND(L66&lt;&gt;"",W66=""),"خطای فرمت تاریخ ایجاد",IF(AND(H66&lt;&gt;"",AA66=""),"خطای فرمت مهلت",IF(AND(H66&lt;&gt;"",AD66&lt;&gt;"",TODAY()&gt;AD66),"تاخیر",IF(L66&lt;&gt;"","در حال انجام",""))))))</f>
        <v>بسته</v>
      </c>
      <c r="V66" s="7" t="n">
        <f aca="true">IF(U66="تاخیر",TODAY()-AD66,IF(AND(U66="بسته",AH66&lt;&gt;"",AD66&lt;&gt;"",AH66&gt;AD66),AH66-AD66,0))</f>
        <v>0</v>
      </c>
      <c r="W66" s="7" t="n">
        <f aca="false">IF(L66="","",VALUE(LEFT(L66,FIND("/",L66)-1)))</f>
        <v>1405</v>
      </c>
      <c r="X66" s="7" t="n">
        <f aca="false">IF(L66="","",VALUE(MID(L66,FIND("/",L66)+1,FIND("/",L66,FIND("/",L66)+1)-FIND("/",L66)-1)))</f>
        <v>3</v>
      </c>
      <c r="Y66" s="7" t="n">
        <f aca="false">IF(L66="","",VALUE(MID(L66,FIND("/",L66,FIND("/",L66)+1)+1,LEN(L66)-FIND("/",L66,FIND("/",L66)+1))))</f>
        <v>9</v>
      </c>
      <c r="Z66" s="11" t="n">
        <f aca="false">IF(OR(L66="",W66=""),"",IFERROR(INDEX('لیست‌ها'!$Q$3:$Q$53,MATCH(W66,'لیست‌ها'!$P$3:$P$53,0))+IF(X66&lt;=6,(X66-1)*31+Y66,IF(X66&lt;=11,186+(X66-7)*30+Y66,336+Y66))-1,""))</f>
        <v>46172</v>
      </c>
      <c r="AA66" s="7" t="n">
        <f aca="false">IF(H66="","",VALUE(LEFT(H66,FIND("/",H66)-1)))</f>
        <v>1405</v>
      </c>
      <c r="AB66" s="7" t="n">
        <f aca="false">IF(H66="","",VALUE(MID(H66,FIND("/",H66)+1,FIND("/",H66,FIND("/",H66)+1)-FIND("/",H66)-1)))</f>
        <v>5</v>
      </c>
      <c r="AC66" s="7" t="n">
        <f aca="false">IF(H66="","",VALUE(MID(H66,FIND("/",H66,FIND("/",H66)+1)+1,LEN(H66)-FIND("/",H66,FIND("/",H66)+1))))</f>
        <v>7</v>
      </c>
      <c r="AD66" s="11" t="n">
        <f aca="false">IF(OR(H66="",AA66=""),"",IFERROR(INDEX('لیست‌ها'!$Q$3:$Q$53,MATCH(AA66,'لیست‌ها'!$P$3:$P$53,0))+IF(AB66&lt;=6,(AB66-1)*31+AC66,IF(AB66&lt;=11,186+(AB66-7)*30+AC66,336+AC66))-1,""))</f>
        <v>46232</v>
      </c>
      <c r="AE66" s="7" t="str">
        <f aca="false">IF(P66="","",VALUE(LEFT(P66,FIND("/",P66)-1)))</f>
        <v/>
      </c>
      <c r="AF66" s="7" t="str">
        <f aca="false">IF(P66="","",VALUE(MID(P66,FIND("/",P66)+1,FIND("/",P66,FIND("/",P66)+1)-FIND("/",P66)-1)))</f>
        <v/>
      </c>
      <c r="AG66" s="7" t="str">
        <f aca="false">IF(P66="","",VALUE(MID(P66,FIND("/",P66,FIND("/",P66)+1)+1,LEN(P66)-FIND("/",P66,FIND("/",P66)+1))))</f>
        <v/>
      </c>
      <c r="AH66" s="7" t="str">
        <f aca="false">IF(OR(P66="",AE66=""),"",IFERROR(INDEX('لیست‌ها'!$Q$3:$Q$53,MATCH(AE66,'لیست‌ها'!$P$3:$P$53,0))+IF(AF66&lt;=6,(AF66-1)*31+AG66,IF(AF66&lt;=11,186+(AF66-7)*30+AG66,336+AG66))-1,""))</f>
        <v/>
      </c>
      <c r="AI66" s="7" t="str">
        <f aca="false">IF(W66="","",W66&amp;"-"&amp;TEXT(X66,"00"))</f>
        <v>1405-03</v>
      </c>
      <c r="AJ66" s="7" t="n">
        <f aca="false">IF(W66="","",W66*12+X66)</f>
        <v>16863</v>
      </c>
      <c r="AK66" s="7" t="str">
        <f aca="false">IF(U66="تاخیر",V66+ROW()/100000,"")</f>
        <v/>
      </c>
    </row>
    <row r="67" customFormat="false" ht="15" hidden="false" customHeight="false" outlineLevel="0" collapsed="false">
      <c r="A67" s="7" t="n">
        <f aca="false">IF(B67="","",ROW()-3)</f>
        <v>64</v>
      </c>
      <c r="B67" s="8" t="s">
        <v>210</v>
      </c>
      <c r="C67" s="8" t="s">
        <v>38</v>
      </c>
      <c r="D67" s="8" t="s">
        <v>39</v>
      </c>
      <c r="E67" s="9" t="s">
        <v>211</v>
      </c>
      <c r="F67" s="9" t="s">
        <v>41</v>
      </c>
      <c r="G67" s="8" t="s">
        <v>42</v>
      </c>
      <c r="H67" s="8"/>
      <c r="I67" s="8"/>
      <c r="J67" s="9"/>
      <c r="K67" s="8"/>
      <c r="L67" s="8" t="s">
        <v>198</v>
      </c>
      <c r="M67" s="8" t="s">
        <v>56</v>
      </c>
      <c r="N67" s="8"/>
      <c r="O67" s="8"/>
      <c r="P67" s="8"/>
      <c r="Q67" s="8"/>
      <c r="R67" s="9"/>
      <c r="S67" s="8"/>
      <c r="T67" s="9"/>
      <c r="U67" s="10" t="str">
        <f aca="true">IF(B67="","",IF(OR(P67&lt;&gt;"",I67="می‌باشد"),"بسته",IF(AND(L67&lt;&gt;"",W67=""),"خطای فرمت تاریخ ایجاد",IF(AND(H67&lt;&gt;"",AA67=""),"خطای فرمت مهلت",IF(AND(H67&lt;&gt;"",AD67&lt;&gt;"",TODAY()&gt;AD67),"تاخیر",IF(L67&lt;&gt;"","در حال انجام",""))))))</f>
        <v>در حال انجام</v>
      </c>
      <c r="V67" s="7" t="n">
        <f aca="true">IF(U67="تاخیر",TODAY()-AD67,IF(AND(U67="بسته",AH67&lt;&gt;"",AD67&lt;&gt;"",AH67&gt;AD67),AH67-AD67,0))</f>
        <v>0</v>
      </c>
      <c r="W67" s="7" t="n">
        <f aca="false">IF(L67="","",VALUE(LEFT(L67,FIND("/",L67)-1)))</f>
        <v>1405</v>
      </c>
      <c r="X67" s="7" t="n">
        <f aca="false">IF(L67="","",VALUE(MID(L67,FIND("/",L67)+1,FIND("/",L67,FIND("/",L67)+1)-FIND("/",L67)-1)))</f>
        <v>3</v>
      </c>
      <c r="Y67" s="7" t="n">
        <f aca="false">IF(L67="","",VALUE(MID(L67,FIND("/",L67,FIND("/",L67)+1)+1,LEN(L67)-FIND("/",L67,FIND("/",L67)+1))))</f>
        <v>10</v>
      </c>
      <c r="Z67" s="11" t="n">
        <f aca="false">IF(OR(L67="",W67=""),"",IFERROR(INDEX('لیست‌ها'!$Q$3:$Q$53,MATCH(W67,'لیست‌ها'!$P$3:$P$53,0))+IF(X67&lt;=6,(X67-1)*31+Y67,IF(X67&lt;=11,186+(X67-7)*30+Y67,336+Y67))-1,""))</f>
        <v>46173</v>
      </c>
      <c r="AA67" s="7" t="str">
        <f aca="false">IF(H67="","",VALUE(LEFT(H67,FIND("/",H67)-1)))</f>
        <v/>
      </c>
      <c r="AB67" s="7" t="str">
        <f aca="false">IF(H67="","",VALUE(MID(H67,FIND("/",H67)+1,FIND("/",H67,FIND("/",H67)+1)-FIND("/",H67)-1)))</f>
        <v/>
      </c>
      <c r="AC67" s="7" t="str">
        <f aca="false">IF(H67="","",VALUE(MID(H67,FIND("/",H67,FIND("/",H67)+1)+1,LEN(H67)-FIND("/",H67,FIND("/",H67)+1))))</f>
        <v/>
      </c>
      <c r="AD67" s="7" t="str">
        <f aca="false">IF(OR(H67="",AA67=""),"",IFERROR(INDEX('لیست‌ها'!$Q$3:$Q$53,MATCH(AA67,'لیست‌ها'!$P$3:$P$53,0))+IF(AB67&lt;=6,(AB67-1)*31+AC67,IF(AB67&lt;=11,186+(AB67-7)*30+AC67,336+AC67))-1,""))</f>
        <v/>
      </c>
      <c r="AE67" s="7" t="str">
        <f aca="false">IF(P67="","",VALUE(LEFT(P67,FIND("/",P67)-1)))</f>
        <v/>
      </c>
      <c r="AF67" s="7" t="str">
        <f aca="false">IF(P67="","",VALUE(MID(P67,FIND("/",P67)+1,FIND("/",P67,FIND("/",P67)+1)-FIND("/",P67)-1)))</f>
        <v/>
      </c>
      <c r="AG67" s="7" t="str">
        <f aca="false">IF(P67="","",VALUE(MID(P67,FIND("/",P67,FIND("/",P67)+1)+1,LEN(P67)-FIND("/",P67,FIND("/",P67)+1))))</f>
        <v/>
      </c>
      <c r="AH67" s="7" t="str">
        <f aca="false">IF(OR(P67="",AE67=""),"",IFERROR(INDEX('لیست‌ها'!$Q$3:$Q$53,MATCH(AE67,'لیست‌ها'!$P$3:$P$53,0))+IF(AF67&lt;=6,(AF67-1)*31+AG67,IF(AF67&lt;=11,186+(AF67-7)*30+AG67,336+AG67))-1,""))</f>
        <v/>
      </c>
      <c r="AI67" s="7" t="str">
        <f aca="false">IF(W67="","",W67&amp;"-"&amp;TEXT(X67,"00"))</f>
        <v>1405-03</v>
      </c>
      <c r="AJ67" s="7" t="n">
        <f aca="false">IF(W67="","",W67*12+X67)</f>
        <v>16863</v>
      </c>
      <c r="AK67" s="7" t="str">
        <f aca="false">IF(U67="تاخیر",V67+ROW()/100000,"")</f>
        <v/>
      </c>
    </row>
    <row r="68" customFormat="false" ht="15" hidden="false" customHeight="false" outlineLevel="0" collapsed="false">
      <c r="A68" s="7" t="n">
        <f aca="false">IF(B68="","",ROW()-3)</f>
        <v>65</v>
      </c>
      <c r="B68" s="8" t="s">
        <v>208</v>
      </c>
      <c r="C68" s="8" t="s">
        <v>38</v>
      </c>
      <c r="D68" s="8" t="s">
        <v>39</v>
      </c>
      <c r="E68" s="9" t="s">
        <v>209</v>
      </c>
      <c r="F68" s="9" t="s">
        <v>41</v>
      </c>
      <c r="G68" s="8" t="s">
        <v>42</v>
      </c>
      <c r="H68" s="8" t="s">
        <v>194</v>
      </c>
      <c r="I68" s="8"/>
      <c r="J68" s="9"/>
      <c r="K68" s="8"/>
      <c r="L68" s="8" t="s">
        <v>198</v>
      </c>
      <c r="M68" s="8" t="s">
        <v>110</v>
      </c>
      <c r="N68" s="8"/>
      <c r="O68" s="8"/>
      <c r="P68" s="8"/>
      <c r="Q68" s="8"/>
      <c r="R68" s="9"/>
      <c r="S68" s="8"/>
      <c r="T68" s="9"/>
      <c r="U68" s="10" t="str">
        <f aca="true">IF(B68="","",IF(OR(P68&lt;&gt;"",I68="می‌باشد"),"بسته",IF(AND(L68&lt;&gt;"",W68=""),"خطای فرمت تاریخ ایجاد",IF(AND(H68&lt;&gt;"",AA68=""),"خطای فرمت مهلت",IF(AND(H68&lt;&gt;"",AD68&lt;&gt;"",TODAY()&gt;AD68),"تاخیر",IF(L68&lt;&gt;"","در حال انجام",""))))))</f>
        <v>تاخیر</v>
      </c>
      <c r="V68" s="7" t="n">
        <f aca="true">IF(U68="تاخیر",TODAY()-AD68,IF(AND(U68="بسته",AH68&lt;&gt;"",AD68&lt;&gt;"",AH68&gt;AD68),AH68-AD68,0))</f>
        <v>91</v>
      </c>
      <c r="W68" s="7" t="n">
        <f aca="false">IF(L68="","",VALUE(LEFT(L68,FIND("/",L68)-1)))</f>
        <v>1405</v>
      </c>
      <c r="X68" s="7" t="n">
        <f aca="false">IF(L68="","",VALUE(MID(L68,FIND("/",L68)+1,FIND("/",L68,FIND("/",L68)+1)-FIND("/",L68)-1)))</f>
        <v>3</v>
      </c>
      <c r="Y68" s="7" t="n">
        <f aca="false">IF(L68="","",VALUE(MID(L68,FIND("/",L68,FIND("/",L68)+1)+1,LEN(L68)-FIND("/",L68,FIND("/",L68)+1))))</f>
        <v>10</v>
      </c>
      <c r="Z68" s="11" t="n">
        <f aca="false">IF(OR(L68="",W68=""),"",IFERROR(INDEX('لیست‌ها'!$Q$3:$Q$53,MATCH(W68,'لیست‌ها'!$P$3:$P$53,0))+IF(X68&lt;=6,(X68-1)*31+Y68,IF(X68&lt;=11,186+(X68-7)*30+Y68,336+Y68))-1,""))</f>
        <v>46173</v>
      </c>
      <c r="AA68" s="7" t="n">
        <f aca="false">IF(H68="","",VALUE(LEFT(H68,FIND("/",H68)-1)))</f>
        <v>1405</v>
      </c>
      <c r="AB68" s="7" t="n">
        <f aca="false">IF(H68="","",VALUE(MID(H68,FIND("/",H68)+1,FIND("/",H68,FIND("/",H68)+1)-FIND("/",H68)-1)))</f>
        <v>4</v>
      </c>
      <c r="AC68" s="7" t="n">
        <f aca="false">IF(H68="","",VALUE(MID(H68,FIND("/",H68,FIND("/",H68)+1)+1,LEN(H68)-FIND("/",H68,FIND("/",H68)+1))))</f>
        <v>10</v>
      </c>
      <c r="AD68" s="11" t="n">
        <f aca="false">IF(OR(H68="",AA68=""),"",IFERROR(INDEX('لیست‌ها'!$Q$3:$Q$53,MATCH(AA68,'لیست‌ها'!$P$3:$P$53,0))+IF(AB68&lt;=6,(AB68-1)*31+AC68,IF(AB68&lt;=11,186+(AB68-7)*30+AC68,336+AC68))-1,""))</f>
        <v>46204</v>
      </c>
      <c r="AE68" s="7" t="str">
        <f aca="false">IF(P68="","",VALUE(LEFT(P68,FIND("/",P68)-1)))</f>
        <v/>
      </c>
      <c r="AF68" s="7" t="str">
        <f aca="false">IF(P68="","",VALUE(MID(P68,FIND("/",P68)+1,FIND("/",P68,FIND("/",P68)+1)-FIND("/",P68)-1)))</f>
        <v/>
      </c>
      <c r="AG68" s="7" t="str">
        <f aca="false">IF(P68="","",VALUE(MID(P68,FIND("/",P68,FIND("/",P68)+1)+1,LEN(P68)-FIND("/",P68,FIND("/",P68)+1))))</f>
        <v/>
      </c>
      <c r="AH68" s="7" t="str">
        <f aca="false">IF(OR(P68="",AE68=""),"",IFERROR(INDEX('لیست‌ها'!$Q$3:$Q$53,MATCH(AE68,'لیست‌ها'!$P$3:$P$53,0))+IF(AF68&lt;=6,(AF68-1)*31+AG68,IF(AF68&lt;=11,186+(AF68-7)*30+AG68,336+AG68))-1,""))</f>
        <v/>
      </c>
      <c r="AI68" s="7" t="str">
        <f aca="false">IF(W68="","",W68&amp;"-"&amp;TEXT(X68,"00"))</f>
        <v>1405-03</v>
      </c>
      <c r="AJ68" s="7" t="n">
        <f aca="false">IF(W68="","",W68*12+X68)</f>
        <v>16863</v>
      </c>
      <c r="AK68" s="7" t="n">
        <f aca="false">IF(U68="تاخیر",V68+ROW()/100000,"")</f>
        <v>91.00069</v>
      </c>
    </row>
    <row r="69" customFormat="false" ht="15" hidden="false" customHeight="false" outlineLevel="0" collapsed="false">
      <c r="A69" s="7" t="n">
        <f aca="false">IF(B69="","",ROW()-3)</f>
        <v>66</v>
      </c>
      <c r="B69" s="8" t="s">
        <v>206</v>
      </c>
      <c r="C69" s="8" t="s">
        <v>38</v>
      </c>
      <c r="D69" s="8" t="s">
        <v>39</v>
      </c>
      <c r="E69" s="9" t="s">
        <v>207</v>
      </c>
      <c r="F69" s="9" t="s">
        <v>41</v>
      </c>
      <c r="G69" s="8" t="s">
        <v>42</v>
      </c>
      <c r="H69" s="8"/>
      <c r="I69" s="8"/>
      <c r="J69" s="9"/>
      <c r="K69" s="8"/>
      <c r="L69" s="8" t="s">
        <v>198</v>
      </c>
      <c r="M69" s="8" t="s">
        <v>56</v>
      </c>
      <c r="N69" s="8"/>
      <c r="O69" s="8"/>
      <c r="P69" s="8"/>
      <c r="Q69" s="8"/>
      <c r="R69" s="9"/>
      <c r="S69" s="8"/>
      <c r="T69" s="9"/>
      <c r="U69" s="10" t="str">
        <f aca="true">IF(B69="","",IF(OR(P69&lt;&gt;"",I69="می‌باشد"),"بسته",IF(AND(L69&lt;&gt;"",W69=""),"خطای فرمت تاریخ ایجاد",IF(AND(H69&lt;&gt;"",AA69=""),"خطای فرمت مهلت",IF(AND(H69&lt;&gt;"",AD69&lt;&gt;"",TODAY()&gt;AD69),"تاخیر",IF(L69&lt;&gt;"","در حال انجام",""))))))</f>
        <v>در حال انجام</v>
      </c>
      <c r="V69" s="7" t="n">
        <f aca="true">IF(U69="تاخیر",TODAY()-AD69,IF(AND(U69="بسته",AH69&lt;&gt;"",AD69&lt;&gt;"",AH69&gt;AD69),AH69-AD69,0))</f>
        <v>0</v>
      </c>
      <c r="W69" s="7" t="n">
        <f aca="false">IF(L69="","",VALUE(LEFT(L69,FIND("/",L69)-1)))</f>
        <v>1405</v>
      </c>
      <c r="X69" s="7" t="n">
        <f aca="false">IF(L69="","",VALUE(MID(L69,FIND("/",L69)+1,FIND("/",L69,FIND("/",L69)+1)-FIND("/",L69)-1)))</f>
        <v>3</v>
      </c>
      <c r="Y69" s="7" t="n">
        <f aca="false">IF(L69="","",VALUE(MID(L69,FIND("/",L69,FIND("/",L69)+1)+1,LEN(L69)-FIND("/",L69,FIND("/",L69)+1))))</f>
        <v>10</v>
      </c>
      <c r="Z69" s="11" t="n">
        <f aca="false">IF(OR(L69="",W69=""),"",IFERROR(INDEX('لیست‌ها'!$Q$3:$Q$53,MATCH(W69,'لیست‌ها'!$P$3:$P$53,0))+IF(X69&lt;=6,(X69-1)*31+Y69,IF(X69&lt;=11,186+(X69-7)*30+Y69,336+Y69))-1,""))</f>
        <v>46173</v>
      </c>
      <c r="AA69" s="7" t="str">
        <f aca="false">IF(H69="","",VALUE(LEFT(H69,FIND("/",H69)-1)))</f>
        <v/>
      </c>
      <c r="AB69" s="7" t="str">
        <f aca="false">IF(H69="","",VALUE(MID(H69,FIND("/",H69)+1,FIND("/",H69,FIND("/",H69)+1)-FIND("/",H69)-1)))</f>
        <v/>
      </c>
      <c r="AC69" s="7" t="str">
        <f aca="false">IF(H69="","",VALUE(MID(H69,FIND("/",H69,FIND("/",H69)+1)+1,LEN(H69)-FIND("/",H69,FIND("/",H69)+1))))</f>
        <v/>
      </c>
      <c r="AD69" s="7" t="str">
        <f aca="false">IF(OR(H69="",AA69=""),"",IFERROR(INDEX('لیست‌ها'!$Q$3:$Q$53,MATCH(AA69,'لیست‌ها'!$P$3:$P$53,0))+IF(AB69&lt;=6,(AB69-1)*31+AC69,IF(AB69&lt;=11,186+(AB69-7)*30+AC69,336+AC69))-1,""))</f>
        <v/>
      </c>
      <c r="AE69" s="7" t="str">
        <f aca="false">IF(P69="","",VALUE(LEFT(P69,FIND("/",P69)-1)))</f>
        <v/>
      </c>
      <c r="AF69" s="7" t="str">
        <f aca="false">IF(P69="","",VALUE(MID(P69,FIND("/",P69)+1,FIND("/",P69,FIND("/",P69)+1)-FIND("/",P69)-1)))</f>
        <v/>
      </c>
      <c r="AG69" s="7" t="str">
        <f aca="false">IF(P69="","",VALUE(MID(P69,FIND("/",P69,FIND("/",P69)+1)+1,LEN(P69)-FIND("/",P69,FIND("/",P69)+1))))</f>
        <v/>
      </c>
      <c r="AH69" s="7" t="str">
        <f aca="false">IF(OR(P69="",AE69=""),"",IFERROR(INDEX('لیست‌ها'!$Q$3:$Q$53,MATCH(AE69,'لیست‌ها'!$P$3:$P$53,0))+IF(AF69&lt;=6,(AF69-1)*31+AG69,IF(AF69&lt;=11,186+(AF69-7)*30+AG69,336+AG69))-1,""))</f>
        <v/>
      </c>
      <c r="AI69" s="7" t="str">
        <f aca="false">IF(W69="","",W69&amp;"-"&amp;TEXT(X69,"00"))</f>
        <v>1405-03</v>
      </c>
      <c r="AJ69" s="7" t="n">
        <f aca="false">IF(W69="","",W69*12+X69)</f>
        <v>16863</v>
      </c>
      <c r="AK69" s="7" t="str">
        <f aca="false">IF(U69="تاخیر",V69+ROW()/100000,"")</f>
        <v/>
      </c>
    </row>
    <row r="70" customFormat="false" ht="15" hidden="false" customHeight="false" outlineLevel="0" collapsed="false">
      <c r="A70" s="7" t="n">
        <f aca="false">IF(B70="","",ROW()-3)</f>
        <v>67</v>
      </c>
      <c r="B70" s="8" t="s">
        <v>204</v>
      </c>
      <c r="C70" s="8" t="s">
        <v>38</v>
      </c>
      <c r="D70" s="8" t="s">
        <v>47</v>
      </c>
      <c r="E70" s="9" t="s">
        <v>205</v>
      </c>
      <c r="F70" s="9" t="s">
        <v>41</v>
      </c>
      <c r="G70" s="8" t="s">
        <v>42</v>
      </c>
      <c r="H70" s="8" t="s">
        <v>194</v>
      </c>
      <c r="I70" s="8"/>
      <c r="J70" s="9"/>
      <c r="K70" s="8"/>
      <c r="L70" s="8" t="s">
        <v>198</v>
      </c>
      <c r="M70" s="8" t="s">
        <v>110</v>
      </c>
      <c r="N70" s="8"/>
      <c r="O70" s="8"/>
      <c r="P70" s="8"/>
      <c r="Q70" s="8"/>
      <c r="R70" s="9"/>
      <c r="S70" s="8"/>
      <c r="T70" s="9"/>
      <c r="U70" s="10" t="str">
        <f aca="true">IF(B70="","",IF(OR(P70&lt;&gt;"",I70="می‌باشد"),"بسته",IF(AND(L70&lt;&gt;"",W70=""),"خطای فرمت تاریخ ایجاد",IF(AND(H70&lt;&gt;"",AA70=""),"خطای فرمت مهلت",IF(AND(H70&lt;&gt;"",AD70&lt;&gt;"",TODAY()&gt;AD70),"تاخیر",IF(L70&lt;&gt;"","در حال انجام",""))))))</f>
        <v>تاخیر</v>
      </c>
      <c r="V70" s="7" t="n">
        <f aca="true">IF(U70="تاخیر",TODAY()-AD70,IF(AND(U70="بسته",AH70&lt;&gt;"",AD70&lt;&gt;"",AH70&gt;AD70),AH70-AD70,0))</f>
        <v>91</v>
      </c>
      <c r="W70" s="7" t="n">
        <f aca="false">IF(L70="","",VALUE(LEFT(L70,FIND("/",L70)-1)))</f>
        <v>1405</v>
      </c>
      <c r="X70" s="7" t="n">
        <f aca="false">IF(L70="","",VALUE(MID(L70,FIND("/",L70)+1,FIND("/",L70,FIND("/",L70)+1)-FIND("/",L70)-1)))</f>
        <v>3</v>
      </c>
      <c r="Y70" s="7" t="n">
        <f aca="false">IF(L70="","",VALUE(MID(L70,FIND("/",L70,FIND("/",L70)+1)+1,LEN(L70)-FIND("/",L70,FIND("/",L70)+1))))</f>
        <v>10</v>
      </c>
      <c r="Z70" s="11" t="n">
        <f aca="false">IF(OR(L70="",W70=""),"",IFERROR(INDEX('لیست‌ها'!$Q$3:$Q$53,MATCH(W70,'لیست‌ها'!$P$3:$P$53,0))+IF(X70&lt;=6,(X70-1)*31+Y70,IF(X70&lt;=11,186+(X70-7)*30+Y70,336+Y70))-1,""))</f>
        <v>46173</v>
      </c>
      <c r="AA70" s="7" t="n">
        <f aca="false">IF(H70="","",VALUE(LEFT(H70,FIND("/",H70)-1)))</f>
        <v>1405</v>
      </c>
      <c r="AB70" s="7" t="n">
        <f aca="false">IF(H70="","",VALUE(MID(H70,FIND("/",H70)+1,FIND("/",H70,FIND("/",H70)+1)-FIND("/",H70)-1)))</f>
        <v>4</v>
      </c>
      <c r="AC70" s="7" t="n">
        <f aca="false">IF(H70="","",VALUE(MID(H70,FIND("/",H70,FIND("/",H70)+1)+1,LEN(H70)-FIND("/",H70,FIND("/",H70)+1))))</f>
        <v>10</v>
      </c>
      <c r="AD70" s="11" t="n">
        <f aca="false">IF(OR(H70="",AA70=""),"",IFERROR(INDEX('لیست‌ها'!$Q$3:$Q$53,MATCH(AA70,'لیست‌ها'!$P$3:$P$53,0))+IF(AB70&lt;=6,(AB70-1)*31+AC70,IF(AB70&lt;=11,186+(AB70-7)*30+AC70,336+AC70))-1,""))</f>
        <v>46204</v>
      </c>
      <c r="AE70" s="7" t="str">
        <f aca="false">IF(P70="","",VALUE(LEFT(P70,FIND("/",P70)-1)))</f>
        <v/>
      </c>
      <c r="AF70" s="7" t="str">
        <f aca="false">IF(P70="","",VALUE(MID(P70,FIND("/",P70)+1,FIND("/",P70,FIND("/",P70)+1)-FIND("/",P70)-1)))</f>
        <v/>
      </c>
      <c r="AG70" s="7" t="str">
        <f aca="false">IF(P70="","",VALUE(MID(P70,FIND("/",P70,FIND("/",P70)+1)+1,LEN(P70)-FIND("/",P70,FIND("/",P70)+1))))</f>
        <v/>
      </c>
      <c r="AH70" s="7" t="str">
        <f aca="false">IF(OR(P70="",AE70=""),"",IFERROR(INDEX('لیست‌ها'!$Q$3:$Q$53,MATCH(AE70,'لیست‌ها'!$P$3:$P$53,0))+IF(AF70&lt;=6,(AF70-1)*31+AG70,IF(AF70&lt;=11,186+(AF70-7)*30+AG70,336+AG70))-1,""))</f>
        <v/>
      </c>
      <c r="AI70" s="7" t="str">
        <f aca="false">IF(W70="","",W70&amp;"-"&amp;TEXT(X70,"00"))</f>
        <v>1405-03</v>
      </c>
      <c r="AJ70" s="7" t="n">
        <f aca="false">IF(W70="","",W70*12+X70)</f>
        <v>16863</v>
      </c>
      <c r="AK70" s="7" t="n">
        <f aca="false">IF(U70="تاخیر",V70+ROW()/100000,"")</f>
        <v>91.00067</v>
      </c>
    </row>
    <row r="71" customFormat="false" ht="15" hidden="false" customHeight="false" outlineLevel="0" collapsed="false">
      <c r="A71" s="7" t="n">
        <f aca="false">IF(B71="","",ROW()-3)</f>
        <v>68</v>
      </c>
      <c r="B71" s="8" t="s">
        <v>203</v>
      </c>
      <c r="C71" s="8" t="s">
        <v>38</v>
      </c>
      <c r="D71" s="8" t="s">
        <v>39</v>
      </c>
      <c r="E71" s="9" t="s">
        <v>202</v>
      </c>
      <c r="F71" s="9" t="s">
        <v>41</v>
      </c>
      <c r="G71" s="8" t="s">
        <v>42</v>
      </c>
      <c r="H71" s="8"/>
      <c r="I71" s="8"/>
      <c r="J71" s="9"/>
      <c r="K71" s="8"/>
      <c r="L71" s="8" t="s">
        <v>198</v>
      </c>
      <c r="M71" s="8" t="s">
        <v>56</v>
      </c>
      <c r="N71" s="8"/>
      <c r="O71" s="8"/>
      <c r="P71" s="8"/>
      <c r="Q71" s="8"/>
      <c r="R71" s="9"/>
      <c r="S71" s="8"/>
      <c r="T71" s="9"/>
      <c r="U71" s="10" t="str">
        <f aca="true">IF(B71="","",IF(OR(P71&lt;&gt;"",I71="می‌باشد"),"بسته",IF(AND(L71&lt;&gt;"",W71=""),"خطای فرمت تاریخ ایجاد",IF(AND(H71&lt;&gt;"",AA71=""),"خطای فرمت مهلت",IF(AND(H71&lt;&gt;"",AD71&lt;&gt;"",TODAY()&gt;AD71),"تاخیر",IF(L71&lt;&gt;"","در حال انجام",""))))))</f>
        <v>در حال انجام</v>
      </c>
      <c r="V71" s="7" t="n">
        <f aca="true">IF(U71="تاخیر",TODAY()-AD71,IF(AND(U71="بسته",AH71&lt;&gt;"",AD71&lt;&gt;"",AH71&gt;AD71),AH71-AD71,0))</f>
        <v>0</v>
      </c>
      <c r="W71" s="7" t="n">
        <f aca="false">IF(L71="","",VALUE(LEFT(L71,FIND("/",L71)-1)))</f>
        <v>1405</v>
      </c>
      <c r="X71" s="7" t="n">
        <f aca="false">IF(L71="","",VALUE(MID(L71,FIND("/",L71)+1,FIND("/",L71,FIND("/",L71)+1)-FIND("/",L71)-1)))</f>
        <v>3</v>
      </c>
      <c r="Y71" s="7" t="n">
        <f aca="false">IF(L71="","",VALUE(MID(L71,FIND("/",L71,FIND("/",L71)+1)+1,LEN(L71)-FIND("/",L71,FIND("/",L71)+1))))</f>
        <v>10</v>
      </c>
      <c r="Z71" s="11" t="n">
        <f aca="false">IF(OR(L71="",W71=""),"",IFERROR(INDEX('لیست‌ها'!$Q$3:$Q$53,MATCH(W71,'لیست‌ها'!$P$3:$P$53,0))+IF(X71&lt;=6,(X71-1)*31+Y71,IF(X71&lt;=11,186+(X71-7)*30+Y71,336+Y71))-1,""))</f>
        <v>46173</v>
      </c>
      <c r="AA71" s="7" t="str">
        <f aca="false">IF(H71="","",VALUE(LEFT(H71,FIND("/",H71)-1)))</f>
        <v/>
      </c>
      <c r="AB71" s="7" t="str">
        <f aca="false">IF(H71="","",VALUE(MID(H71,FIND("/",H71)+1,FIND("/",H71,FIND("/",H71)+1)-FIND("/",H71)-1)))</f>
        <v/>
      </c>
      <c r="AC71" s="7" t="str">
        <f aca="false">IF(H71="","",VALUE(MID(H71,FIND("/",H71,FIND("/",H71)+1)+1,LEN(H71)-FIND("/",H71,FIND("/",H71)+1))))</f>
        <v/>
      </c>
      <c r="AD71" s="7" t="str">
        <f aca="false">IF(OR(H71="",AA71=""),"",IFERROR(INDEX('لیست‌ها'!$Q$3:$Q$53,MATCH(AA71,'لیست‌ها'!$P$3:$P$53,0))+IF(AB71&lt;=6,(AB71-1)*31+AC71,IF(AB71&lt;=11,186+(AB71-7)*30+AC71,336+AC71))-1,""))</f>
        <v/>
      </c>
      <c r="AE71" s="7" t="str">
        <f aca="false">IF(P71="","",VALUE(LEFT(P71,FIND("/",P71)-1)))</f>
        <v/>
      </c>
      <c r="AF71" s="7" t="str">
        <f aca="false">IF(P71="","",VALUE(MID(P71,FIND("/",P71)+1,FIND("/",P71,FIND("/",P71)+1)-FIND("/",P71)-1)))</f>
        <v/>
      </c>
      <c r="AG71" s="7" t="str">
        <f aca="false">IF(P71="","",VALUE(MID(P71,FIND("/",P71,FIND("/",P71)+1)+1,LEN(P71)-FIND("/",P71,FIND("/",P71)+1))))</f>
        <v/>
      </c>
      <c r="AH71" s="7" t="str">
        <f aca="false">IF(OR(P71="",AE71=""),"",IFERROR(INDEX('لیست‌ها'!$Q$3:$Q$53,MATCH(AE71,'لیست‌ها'!$P$3:$P$53,0))+IF(AF71&lt;=6,(AF71-1)*31+AG71,IF(AF71&lt;=11,186+(AF71-7)*30+AG71,336+AG71))-1,""))</f>
        <v/>
      </c>
      <c r="AI71" s="7" t="str">
        <f aca="false">IF(W71="","",W71&amp;"-"&amp;TEXT(X71,"00"))</f>
        <v>1405-03</v>
      </c>
      <c r="AJ71" s="7" t="n">
        <f aca="false">IF(W71="","",W71*12+X71)</f>
        <v>16863</v>
      </c>
      <c r="AK71" s="7" t="str">
        <f aca="false">IF(U71="تاخیر",V71+ROW()/100000,"")</f>
        <v/>
      </c>
    </row>
    <row r="72" customFormat="false" ht="15" hidden="false" customHeight="false" outlineLevel="0" collapsed="false">
      <c r="A72" s="7" t="n">
        <f aca="false">IF(B72="","",ROW()-3)</f>
        <v>69</v>
      </c>
      <c r="B72" s="8" t="s">
        <v>201</v>
      </c>
      <c r="C72" s="8" t="s">
        <v>38</v>
      </c>
      <c r="D72" s="8" t="s">
        <v>39</v>
      </c>
      <c r="E72" s="9" t="s">
        <v>202</v>
      </c>
      <c r="F72" s="9" t="s">
        <v>41</v>
      </c>
      <c r="G72" s="8" t="s">
        <v>42</v>
      </c>
      <c r="H72" s="8"/>
      <c r="I72" s="8"/>
      <c r="J72" s="9"/>
      <c r="K72" s="8"/>
      <c r="L72" s="8" t="s">
        <v>198</v>
      </c>
      <c r="M72" s="8" t="s">
        <v>56</v>
      </c>
      <c r="N72" s="8"/>
      <c r="O72" s="8"/>
      <c r="P72" s="8"/>
      <c r="Q72" s="8"/>
      <c r="R72" s="9"/>
      <c r="S72" s="8"/>
      <c r="T72" s="9"/>
      <c r="U72" s="10" t="str">
        <f aca="true">IF(B72="","",IF(OR(P72&lt;&gt;"",I72="می‌باشد"),"بسته",IF(AND(L72&lt;&gt;"",W72=""),"خطای فرمت تاریخ ایجاد",IF(AND(H72&lt;&gt;"",AA72=""),"خطای فرمت مهلت",IF(AND(H72&lt;&gt;"",AD72&lt;&gt;"",TODAY()&gt;AD72),"تاخیر",IF(L72&lt;&gt;"","در حال انجام",""))))))</f>
        <v>در حال انجام</v>
      </c>
      <c r="V72" s="7" t="n">
        <f aca="true">IF(U72="تاخیر",TODAY()-AD72,IF(AND(U72="بسته",AH72&lt;&gt;"",AD72&lt;&gt;"",AH72&gt;AD72),AH72-AD72,0))</f>
        <v>0</v>
      </c>
      <c r="W72" s="7" t="n">
        <f aca="false">IF(L72="","",VALUE(LEFT(L72,FIND("/",L72)-1)))</f>
        <v>1405</v>
      </c>
      <c r="X72" s="7" t="n">
        <f aca="false">IF(L72="","",VALUE(MID(L72,FIND("/",L72)+1,FIND("/",L72,FIND("/",L72)+1)-FIND("/",L72)-1)))</f>
        <v>3</v>
      </c>
      <c r="Y72" s="7" t="n">
        <f aca="false">IF(L72="","",VALUE(MID(L72,FIND("/",L72,FIND("/",L72)+1)+1,LEN(L72)-FIND("/",L72,FIND("/",L72)+1))))</f>
        <v>10</v>
      </c>
      <c r="Z72" s="11" t="n">
        <f aca="false">IF(OR(L72="",W72=""),"",IFERROR(INDEX('لیست‌ها'!$Q$3:$Q$53,MATCH(W72,'لیست‌ها'!$P$3:$P$53,0))+IF(X72&lt;=6,(X72-1)*31+Y72,IF(X72&lt;=11,186+(X72-7)*30+Y72,336+Y72))-1,""))</f>
        <v>46173</v>
      </c>
      <c r="AA72" s="7" t="str">
        <f aca="false">IF(H72="","",VALUE(LEFT(H72,FIND("/",H72)-1)))</f>
        <v/>
      </c>
      <c r="AB72" s="7" t="str">
        <f aca="false">IF(H72="","",VALUE(MID(H72,FIND("/",H72)+1,FIND("/",H72,FIND("/",H72)+1)-FIND("/",H72)-1)))</f>
        <v/>
      </c>
      <c r="AC72" s="7" t="str">
        <f aca="false">IF(H72="","",VALUE(MID(H72,FIND("/",H72,FIND("/",H72)+1)+1,LEN(H72)-FIND("/",H72,FIND("/",H72)+1))))</f>
        <v/>
      </c>
      <c r="AD72" s="7" t="str">
        <f aca="false">IF(OR(H72="",AA72=""),"",IFERROR(INDEX('لیست‌ها'!$Q$3:$Q$53,MATCH(AA72,'لیست‌ها'!$P$3:$P$53,0))+IF(AB72&lt;=6,(AB72-1)*31+AC72,IF(AB72&lt;=11,186+(AB72-7)*30+AC72,336+AC72))-1,""))</f>
        <v/>
      </c>
      <c r="AE72" s="7" t="str">
        <f aca="false">IF(P72="","",VALUE(LEFT(P72,FIND("/",P72)-1)))</f>
        <v/>
      </c>
      <c r="AF72" s="7" t="str">
        <f aca="false">IF(P72="","",VALUE(MID(P72,FIND("/",P72)+1,FIND("/",P72,FIND("/",P72)+1)-FIND("/",P72)-1)))</f>
        <v/>
      </c>
      <c r="AG72" s="7" t="str">
        <f aca="false">IF(P72="","",VALUE(MID(P72,FIND("/",P72,FIND("/",P72)+1)+1,LEN(P72)-FIND("/",P72,FIND("/",P72)+1))))</f>
        <v/>
      </c>
      <c r="AH72" s="7" t="str">
        <f aca="false">IF(OR(P72="",AE72=""),"",IFERROR(INDEX('لیست‌ها'!$Q$3:$Q$53,MATCH(AE72,'لیست‌ها'!$P$3:$P$53,0))+IF(AF72&lt;=6,(AF72-1)*31+AG72,IF(AF72&lt;=11,186+(AF72-7)*30+AG72,336+AG72))-1,""))</f>
        <v/>
      </c>
      <c r="AI72" s="7" t="str">
        <f aca="false">IF(W72="","",W72&amp;"-"&amp;TEXT(X72,"00"))</f>
        <v>1405-03</v>
      </c>
      <c r="AJ72" s="7" t="n">
        <f aca="false">IF(W72="","",W72*12+X72)</f>
        <v>16863</v>
      </c>
      <c r="AK72" s="7" t="str">
        <f aca="false">IF(U72="تاخیر",V72+ROW()/100000,"")</f>
        <v/>
      </c>
    </row>
    <row r="73" customFormat="false" ht="15" hidden="false" customHeight="false" outlineLevel="0" collapsed="false">
      <c r="A73" s="7" t="n">
        <f aca="false">IF(B73="","",ROW()-3)</f>
        <v>70</v>
      </c>
      <c r="B73" s="8" t="s">
        <v>199</v>
      </c>
      <c r="C73" s="8" t="s">
        <v>38</v>
      </c>
      <c r="D73" s="8" t="s">
        <v>39</v>
      </c>
      <c r="E73" s="9" t="s">
        <v>200</v>
      </c>
      <c r="F73" s="9" t="s">
        <v>41</v>
      </c>
      <c r="G73" s="8" t="s">
        <v>42</v>
      </c>
      <c r="H73" s="8"/>
      <c r="I73" s="8"/>
      <c r="J73" s="9"/>
      <c r="K73" s="8"/>
      <c r="L73" s="8" t="s">
        <v>198</v>
      </c>
      <c r="M73" s="8" t="s">
        <v>56</v>
      </c>
      <c r="N73" s="8"/>
      <c r="O73" s="8"/>
      <c r="P73" s="8"/>
      <c r="Q73" s="8"/>
      <c r="R73" s="9"/>
      <c r="S73" s="8"/>
      <c r="T73" s="9"/>
      <c r="U73" s="10" t="str">
        <f aca="true">IF(B73="","",IF(OR(P73&lt;&gt;"",I73="می‌باشد"),"بسته",IF(AND(L73&lt;&gt;"",W73=""),"خطای فرمت تاریخ ایجاد",IF(AND(H73&lt;&gt;"",AA73=""),"خطای فرمت مهلت",IF(AND(H73&lt;&gt;"",AD73&lt;&gt;"",TODAY()&gt;AD73),"تاخیر",IF(L73&lt;&gt;"","در حال انجام",""))))))</f>
        <v>در حال انجام</v>
      </c>
      <c r="V73" s="7" t="n">
        <f aca="true">IF(U73="تاخیر",TODAY()-AD73,IF(AND(U73="بسته",AH73&lt;&gt;"",AD73&lt;&gt;"",AH73&gt;AD73),AH73-AD73,0))</f>
        <v>0</v>
      </c>
      <c r="W73" s="7" t="n">
        <f aca="false">IF(L73="","",VALUE(LEFT(L73,FIND("/",L73)-1)))</f>
        <v>1405</v>
      </c>
      <c r="X73" s="7" t="n">
        <f aca="false">IF(L73="","",VALUE(MID(L73,FIND("/",L73)+1,FIND("/",L73,FIND("/",L73)+1)-FIND("/",L73)-1)))</f>
        <v>3</v>
      </c>
      <c r="Y73" s="7" t="n">
        <f aca="false">IF(L73="","",VALUE(MID(L73,FIND("/",L73,FIND("/",L73)+1)+1,LEN(L73)-FIND("/",L73,FIND("/",L73)+1))))</f>
        <v>10</v>
      </c>
      <c r="Z73" s="11" t="n">
        <f aca="false">IF(OR(L73="",W73=""),"",IFERROR(INDEX('لیست‌ها'!$Q$3:$Q$53,MATCH(W73,'لیست‌ها'!$P$3:$P$53,0))+IF(X73&lt;=6,(X73-1)*31+Y73,IF(X73&lt;=11,186+(X73-7)*30+Y73,336+Y73))-1,""))</f>
        <v>46173</v>
      </c>
      <c r="AA73" s="7" t="str">
        <f aca="false">IF(H73="","",VALUE(LEFT(H73,FIND("/",H73)-1)))</f>
        <v/>
      </c>
      <c r="AB73" s="7" t="str">
        <f aca="false">IF(H73="","",VALUE(MID(H73,FIND("/",H73)+1,FIND("/",H73,FIND("/",H73)+1)-FIND("/",H73)-1)))</f>
        <v/>
      </c>
      <c r="AC73" s="7" t="str">
        <f aca="false">IF(H73="","",VALUE(MID(H73,FIND("/",H73,FIND("/",H73)+1)+1,LEN(H73)-FIND("/",H73,FIND("/",H73)+1))))</f>
        <v/>
      </c>
      <c r="AD73" s="7" t="str">
        <f aca="false">IF(OR(H73="",AA73=""),"",IFERROR(INDEX('لیست‌ها'!$Q$3:$Q$53,MATCH(AA73,'لیست‌ها'!$P$3:$P$53,0))+IF(AB73&lt;=6,(AB73-1)*31+AC73,IF(AB73&lt;=11,186+(AB73-7)*30+AC73,336+AC73))-1,""))</f>
        <v/>
      </c>
      <c r="AE73" s="7" t="str">
        <f aca="false">IF(P73="","",VALUE(LEFT(P73,FIND("/",P73)-1)))</f>
        <v/>
      </c>
      <c r="AF73" s="7" t="str">
        <f aca="false">IF(P73="","",VALUE(MID(P73,FIND("/",P73)+1,FIND("/",P73,FIND("/",P73)+1)-FIND("/",P73)-1)))</f>
        <v/>
      </c>
      <c r="AG73" s="7" t="str">
        <f aca="false">IF(P73="","",VALUE(MID(P73,FIND("/",P73,FIND("/",P73)+1)+1,LEN(P73)-FIND("/",P73,FIND("/",P73)+1))))</f>
        <v/>
      </c>
      <c r="AH73" s="7" t="str">
        <f aca="false">IF(OR(P73="",AE73=""),"",IFERROR(INDEX('لیست‌ها'!$Q$3:$Q$53,MATCH(AE73,'لیست‌ها'!$P$3:$P$53,0))+IF(AF73&lt;=6,(AF73-1)*31+AG73,IF(AF73&lt;=11,186+(AF73-7)*30+AG73,336+AG73))-1,""))</f>
        <v/>
      </c>
      <c r="AI73" s="7" t="str">
        <f aca="false">IF(W73="","",W73&amp;"-"&amp;TEXT(X73,"00"))</f>
        <v>1405-03</v>
      </c>
      <c r="AJ73" s="7" t="n">
        <f aca="false">IF(W73="","",W73*12+X73)</f>
        <v>16863</v>
      </c>
      <c r="AK73" s="7" t="str">
        <f aca="false">IF(U73="تاخیر",V73+ROW()/100000,"")</f>
        <v/>
      </c>
    </row>
    <row r="74" customFormat="false" ht="15" hidden="false" customHeight="false" outlineLevel="0" collapsed="false">
      <c r="A74" s="7" t="n">
        <f aca="false">IF(B74="","",ROW()-3)</f>
        <v>71</v>
      </c>
      <c r="B74" s="8" t="s">
        <v>196</v>
      </c>
      <c r="C74" s="8" t="s">
        <v>38</v>
      </c>
      <c r="D74" s="8" t="s">
        <v>39</v>
      </c>
      <c r="E74" s="9" t="s">
        <v>197</v>
      </c>
      <c r="F74" s="9" t="s">
        <v>41</v>
      </c>
      <c r="G74" s="8" t="s">
        <v>42</v>
      </c>
      <c r="H74" s="8"/>
      <c r="I74" s="8"/>
      <c r="J74" s="9"/>
      <c r="K74" s="8"/>
      <c r="L74" s="8" t="s">
        <v>198</v>
      </c>
      <c r="M74" s="8" t="s">
        <v>56</v>
      </c>
      <c r="N74" s="8"/>
      <c r="O74" s="8"/>
      <c r="P74" s="8"/>
      <c r="Q74" s="8"/>
      <c r="R74" s="9"/>
      <c r="S74" s="8"/>
      <c r="T74" s="9"/>
      <c r="U74" s="10" t="str">
        <f aca="true">IF(B74="","",IF(OR(P74&lt;&gt;"",I74="می‌باشد"),"بسته",IF(AND(L74&lt;&gt;"",W74=""),"خطای فرمت تاریخ ایجاد",IF(AND(H74&lt;&gt;"",AA74=""),"خطای فرمت مهلت",IF(AND(H74&lt;&gt;"",AD74&lt;&gt;"",TODAY()&gt;AD74),"تاخیر",IF(L74&lt;&gt;"","در حال انجام",""))))))</f>
        <v>در حال انجام</v>
      </c>
      <c r="V74" s="7" t="n">
        <f aca="true">IF(U74="تاخیر",TODAY()-AD74,IF(AND(U74="بسته",AH74&lt;&gt;"",AD74&lt;&gt;"",AH74&gt;AD74),AH74-AD74,0))</f>
        <v>0</v>
      </c>
      <c r="W74" s="7" t="n">
        <f aca="false">IF(L74="","",VALUE(LEFT(L74,FIND("/",L74)-1)))</f>
        <v>1405</v>
      </c>
      <c r="X74" s="7" t="n">
        <f aca="false">IF(L74="","",VALUE(MID(L74,FIND("/",L74)+1,FIND("/",L74,FIND("/",L74)+1)-FIND("/",L74)-1)))</f>
        <v>3</v>
      </c>
      <c r="Y74" s="7" t="n">
        <f aca="false">IF(L74="","",VALUE(MID(L74,FIND("/",L74,FIND("/",L74)+1)+1,LEN(L74)-FIND("/",L74,FIND("/",L74)+1))))</f>
        <v>10</v>
      </c>
      <c r="Z74" s="11" t="n">
        <f aca="false">IF(OR(L74="",W74=""),"",IFERROR(INDEX('لیست‌ها'!$Q$3:$Q$53,MATCH(W74,'لیست‌ها'!$P$3:$P$53,0))+IF(X74&lt;=6,(X74-1)*31+Y74,IF(X74&lt;=11,186+(X74-7)*30+Y74,336+Y74))-1,""))</f>
        <v>46173</v>
      </c>
      <c r="AA74" s="7" t="str">
        <f aca="false">IF(H74="","",VALUE(LEFT(H74,FIND("/",H74)-1)))</f>
        <v/>
      </c>
      <c r="AB74" s="7" t="str">
        <f aca="false">IF(H74="","",VALUE(MID(H74,FIND("/",H74)+1,FIND("/",H74,FIND("/",H74)+1)-FIND("/",H74)-1)))</f>
        <v/>
      </c>
      <c r="AC74" s="7" t="str">
        <f aca="false">IF(H74="","",VALUE(MID(H74,FIND("/",H74,FIND("/",H74)+1)+1,LEN(H74)-FIND("/",H74,FIND("/",H74)+1))))</f>
        <v/>
      </c>
      <c r="AD74" s="7" t="str">
        <f aca="false">IF(OR(H74="",AA74=""),"",IFERROR(INDEX('لیست‌ها'!$Q$3:$Q$53,MATCH(AA74,'لیست‌ها'!$P$3:$P$53,0))+IF(AB74&lt;=6,(AB74-1)*31+AC74,IF(AB74&lt;=11,186+(AB74-7)*30+AC74,336+AC74))-1,""))</f>
        <v/>
      </c>
      <c r="AE74" s="7" t="str">
        <f aca="false">IF(P74="","",VALUE(LEFT(P74,FIND("/",P74)-1)))</f>
        <v/>
      </c>
      <c r="AF74" s="7" t="str">
        <f aca="false">IF(P74="","",VALUE(MID(P74,FIND("/",P74)+1,FIND("/",P74,FIND("/",P74)+1)-FIND("/",P74)-1)))</f>
        <v/>
      </c>
      <c r="AG74" s="7" t="str">
        <f aca="false">IF(P74="","",VALUE(MID(P74,FIND("/",P74,FIND("/",P74)+1)+1,LEN(P74)-FIND("/",P74,FIND("/",P74)+1))))</f>
        <v/>
      </c>
      <c r="AH74" s="7" t="str">
        <f aca="false">IF(OR(P74="",AE74=""),"",IFERROR(INDEX('لیست‌ها'!$Q$3:$Q$53,MATCH(AE74,'لیست‌ها'!$P$3:$P$53,0))+IF(AF74&lt;=6,(AF74-1)*31+AG74,IF(AF74&lt;=11,186+(AF74-7)*30+AG74,336+AG74))-1,""))</f>
        <v/>
      </c>
      <c r="AI74" s="7" t="str">
        <f aca="false">IF(W74="","",W74&amp;"-"&amp;TEXT(X74,"00"))</f>
        <v>1405-03</v>
      </c>
      <c r="AJ74" s="7" t="n">
        <f aca="false">IF(W74="","",W74*12+X74)</f>
        <v>16863</v>
      </c>
      <c r="AK74" s="7" t="str">
        <f aca="false">IF(U74="تاخیر",V74+ROW()/100000,"")</f>
        <v/>
      </c>
    </row>
    <row r="75" customFormat="false" ht="15" hidden="false" customHeight="false" outlineLevel="0" collapsed="false">
      <c r="A75" s="7" t="n">
        <f aca="false">IF(B75="","",ROW()-3)</f>
        <v>72</v>
      </c>
      <c r="B75" s="8" t="s">
        <v>193</v>
      </c>
      <c r="C75" s="8" t="s">
        <v>38</v>
      </c>
      <c r="D75" s="8" t="s">
        <v>47</v>
      </c>
      <c r="E75" s="9" t="s">
        <v>176</v>
      </c>
      <c r="F75" s="9" t="s">
        <v>51</v>
      </c>
      <c r="G75" s="8" t="s">
        <v>52</v>
      </c>
      <c r="H75" s="8" t="s">
        <v>194</v>
      </c>
      <c r="I75" s="8" t="s">
        <v>54</v>
      </c>
      <c r="J75" s="9"/>
      <c r="K75" s="8"/>
      <c r="L75" s="8" t="s">
        <v>195</v>
      </c>
      <c r="M75" s="8" t="s">
        <v>56</v>
      </c>
      <c r="N75" s="8"/>
      <c r="O75" s="8"/>
      <c r="P75" s="8"/>
      <c r="Q75" s="8"/>
      <c r="R75" s="9"/>
      <c r="S75" s="8"/>
      <c r="T75" s="9"/>
      <c r="U75" s="10" t="str">
        <f aca="true">IF(B75="","",IF(OR(P75&lt;&gt;"",I75="می‌باشد"),"بسته",IF(AND(L75&lt;&gt;"",W75=""),"خطای فرمت تاریخ ایجاد",IF(AND(H75&lt;&gt;"",AA75=""),"خطای فرمت مهلت",IF(AND(H75&lt;&gt;"",AD75&lt;&gt;"",TODAY()&gt;AD75),"تاخیر",IF(L75&lt;&gt;"","در حال انجام",""))))))</f>
        <v>بسته</v>
      </c>
      <c r="V75" s="7" t="n">
        <f aca="true">IF(U75="تاخیر",TODAY()-AD75,IF(AND(U75="بسته",AH75&lt;&gt;"",AD75&lt;&gt;"",AH75&gt;AD75),AH75-AD75,0))</f>
        <v>0</v>
      </c>
      <c r="W75" s="7" t="n">
        <f aca="false">IF(L75="","",VALUE(LEFT(L75,FIND("/",L75)-1)))</f>
        <v>1405</v>
      </c>
      <c r="X75" s="7" t="n">
        <f aca="false">IF(L75="","",VALUE(MID(L75,FIND("/",L75)+1,FIND("/",L75,FIND("/",L75)+1)-FIND("/",L75)-1)))</f>
        <v>3</v>
      </c>
      <c r="Y75" s="7" t="n">
        <f aca="false">IF(L75="","",VALUE(MID(L75,FIND("/",L75,FIND("/",L75)+1)+1,LEN(L75)-FIND("/",L75,FIND("/",L75)+1))))</f>
        <v>11</v>
      </c>
      <c r="Z75" s="11" t="n">
        <f aca="false">IF(OR(L75="",W75=""),"",IFERROR(INDEX('لیست‌ها'!$Q$3:$Q$53,MATCH(W75,'لیست‌ها'!$P$3:$P$53,0))+IF(X75&lt;=6,(X75-1)*31+Y75,IF(X75&lt;=11,186+(X75-7)*30+Y75,336+Y75))-1,""))</f>
        <v>46174</v>
      </c>
      <c r="AA75" s="7" t="n">
        <f aca="false">IF(H75="","",VALUE(LEFT(H75,FIND("/",H75)-1)))</f>
        <v>1405</v>
      </c>
      <c r="AB75" s="7" t="n">
        <f aca="false">IF(H75="","",VALUE(MID(H75,FIND("/",H75)+1,FIND("/",H75,FIND("/",H75)+1)-FIND("/",H75)-1)))</f>
        <v>4</v>
      </c>
      <c r="AC75" s="7" t="n">
        <f aca="false">IF(H75="","",VALUE(MID(H75,FIND("/",H75,FIND("/",H75)+1)+1,LEN(H75)-FIND("/",H75,FIND("/",H75)+1))))</f>
        <v>10</v>
      </c>
      <c r="AD75" s="11" t="n">
        <f aca="false">IF(OR(H75="",AA75=""),"",IFERROR(INDEX('لیست‌ها'!$Q$3:$Q$53,MATCH(AA75,'لیست‌ها'!$P$3:$P$53,0))+IF(AB75&lt;=6,(AB75-1)*31+AC75,IF(AB75&lt;=11,186+(AB75-7)*30+AC75,336+AC75))-1,""))</f>
        <v>46204</v>
      </c>
      <c r="AE75" s="7" t="str">
        <f aca="false">IF(P75="","",VALUE(LEFT(P75,FIND("/",P75)-1)))</f>
        <v/>
      </c>
      <c r="AF75" s="7" t="str">
        <f aca="false">IF(P75="","",VALUE(MID(P75,FIND("/",P75)+1,FIND("/",P75,FIND("/",P75)+1)-FIND("/",P75)-1)))</f>
        <v/>
      </c>
      <c r="AG75" s="7" t="str">
        <f aca="false">IF(P75="","",VALUE(MID(P75,FIND("/",P75,FIND("/",P75)+1)+1,LEN(P75)-FIND("/",P75,FIND("/",P75)+1))))</f>
        <v/>
      </c>
      <c r="AH75" s="7" t="str">
        <f aca="false">IF(OR(P75="",AE75=""),"",IFERROR(INDEX('لیست‌ها'!$Q$3:$Q$53,MATCH(AE75,'لیست‌ها'!$P$3:$P$53,0))+IF(AF75&lt;=6,(AF75-1)*31+AG75,IF(AF75&lt;=11,186+(AF75-7)*30+AG75,336+AG75))-1,""))</f>
        <v/>
      </c>
      <c r="AI75" s="7" t="str">
        <f aca="false">IF(W75="","",W75&amp;"-"&amp;TEXT(X75,"00"))</f>
        <v>1405-03</v>
      </c>
      <c r="AJ75" s="7" t="n">
        <f aca="false">IF(W75="","",W75*12+X75)</f>
        <v>16863</v>
      </c>
      <c r="AK75" s="7" t="str">
        <f aca="false">IF(U75="تاخیر",V75+ROW()/100000,"")</f>
        <v/>
      </c>
    </row>
    <row r="76" customFormat="false" ht="15" hidden="false" customHeight="false" outlineLevel="0" collapsed="false">
      <c r="A76" s="7" t="n">
        <f aca="false">IF(B76="","",ROW()-3)</f>
        <v>73</v>
      </c>
      <c r="B76" s="8" t="s">
        <v>251</v>
      </c>
      <c r="C76" s="8" t="s">
        <v>38</v>
      </c>
      <c r="D76" s="8" t="s">
        <v>47</v>
      </c>
      <c r="E76" s="9" t="s">
        <v>252</v>
      </c>
      <c r="F76" s="9" t="s">
        <v>51</v>
      </c>
      <c r="G76" s="8" t="s">
        <v>52</v>
      </c>
      <c r="H76" s="8" t="s">
        <v>194</v>
      </c>
      <c r="I76" s="8" t="s">
        <v>54</v>
      </c>
      <c r="J76" s="9"/>
      <c r="K76" s="8"/>
      <c r="L76" s="8" t="s">
        <v>253</v>
      </c>
      <c r="M76" s="8" t="s">
        <v>56</v>
      </c>
      <c r="N76" s="8"/>
      <c r="O76" s="8"/>
      <c r="P76" s="8"/>
      <c r="Q76" s="8"/>
      <c r="R76" s="9"/>
      <c r="S76" s="8"/>
      <c r="T76" s="9"/>
      <c r="U76" s="10" t="str">
        <f aca="true">IF(B76="","",IF(OR(P76&lt;&gt;"",I76="می‌باشد"),"بسته",IF(AND(L76&lt;&gt;"",W76=""),"خطای فرمت تاریخ ایجاد",IF(AND(H76&lt;&gt;"",AA76=""),"خطای فرمت مهلت",IF(AND(H76&lt;&gt;"",AD76&lt;&gt;"",TODAY()&gt;AD76),"تاخیر",IF(L76&lt;&gt;"","در حال انجام",""))))))</f>
        <v>بسته</v>
      </c>
      <c r="V76" s="7" t="n">
        <f aca="true">IF(U76="تاخیر",TODAY()-AD76,IF(AND(U76="بسته",AH76&lt;&gt;"",AD76&lt;&gt;"",AH76&gt;AD76),AH76-AD76,0))</f>
        <v>0</v>
      </c>
      <c r="W76" s="7" t="n">
        <f aca="false">IF(L76="","",VALUE(LEFT(L76,FIND("/",L76)-1)))</f>
        <v>1405</v>
      </c>
      <c r="X76" s="7" t="n">
        <f aca="false">IF(L76="","",VALUE(MID(L76,FIND("/",L76)+1,FIND("/",L76,FIND("/",L76)+1)-FIND("/",L76)-1)))</f>
        <v>3</v>
      </c>
      <c r="Y76" s="7" t="n">
        <f aca="false">IF(L76="","",VALUE(MID(L76,FIND("/",L76,FIND("/",L76)+1)+1,LEN(L76)-FIND("/",L76,FIND("/",L76)+1))))</f>
        <v>12</v>
      </c>
      <c r="Z76" s="11" t="n">
        <f aca="false">IF(OR(L76="",W76=""),"",IFERROR(INDEX('لیست‌ها'!$Q$3:$Q$53,MATCH(W76,'لیست‌ها'!$P$3:$P$53,0))+IF(X76&lt;=6,(X76-1)*31+Y76,IF(X76&lt;=11,186+(X76-7)*30+Y76,336+Y76))-1,""))</f>
        <v>46175</v>
      </c>
      <c r="AA76" s="7" t="n">
        <f aca="false">IF(H76="","",VALUE(LEFT(H76,FIND("/",H76)-1)))</f>
        <v>1405</v>
      </c>
      <c r="AB76" s="7" t="n">
        <f aca="false">IF(H76="","",VALUE(MID(H76,FIND("/",H76)+1,FIND("/",H76,FIND("/",H76)+1)-FIND("/",H76)-1)))</f>
        <v>4</v>
      </c>
      <c r="AC76" s="7" t="n">
        <f aca="false">IF(H76="","",VALUE(MID(H76,FIND("/",H76,FIND("/",H76)+1)+1,LEN(H76)-FIND("/",H76,FIND("/",H76)+1))))</f>
        <v>10</v>
      </c>
      <c r="AD76" s="11" t="n">
        <f aca="false">IF(OR(H76="",AA76=""),"",IFERROR(INDEX('لیست‌ها'!$Q$3:$Q$53,MATCH(AA76,'لیست‌ها'!$P$3:$P$53,0))+IF(AB76&lt;=6,(AB76-1)*31+AC76,IF(AB76&lt;=11,186+(AB76-7)*30+AC76,336+AC76))-1,""))</f>
        <v>46204</v>
      </c>
      <c r="AE76" s="7" t="str">
        <f aca="false">IF(P76="","",VALUE(LEFT(P76,FIND("/",P76)-1)))</f>
        <v/>
      </c>
      <c r="AF76" s="7" t="str">
        <f aca="false">IF(P76="","",VALUE(MID(P76,FIND("/",P76)+1,FIND("/",P76,FIND("/",P76)+1)-FIND("/",P76)-1)))</f>
        <v/>
      </c>
      <c r="AG76" s="7" t="str">
        <f aca="false">IF(P76="","",VALUE(MID(P76,FIND("/",P76,FIND("/",P76)+1)+1,LEN(P76)-FIND("/",P76,FIND("/",P76)+1))))</f>
        <v/>
      </c>
      <c r="AH76" s="7" t="str">
        <f aca="false">IF(OR(P76="",AE76=""),"",IFERROR(INDEX('لیست‌ها'!$Q$3:$Q$53,MATCH(AE76,'لیست‌ها'!$P$3:$P$53,0))+IF(AF76&lt;=6,(AF76-1)*31+AG76,IF(AF76&lt;=11,186+(AF76-7)*30+AG76,336+AG76))-1,""))</f>
        <v/>
      </c>
      <c r="AI76" s="7" t="str">
        <f aca="false">IF(W76="","",W76&amp;"-"&amp;TEXT(X76,"00"))</f>
        <v>1405-03</v>
      </c>
      <c r="AJ76" s="7" t="n">
        <f aca="false">IF(W76="","",W76*12+X76)</f>
        <v>16863</v>
      </c>
      <c r="AK76" s="7" t="str">
        <f aca="false">IF(U76="تاخیر",V76+ROW()/100000,"")</f>
        <v/>
      </c>
    </row>
    <row r="77" customFormat="false" ht="15" hidden="false" customHeight="false" outlineLevel="0" collapsed="false">
      <c r="A77" s="7" t="n">
        <f aca="false">IF(B77="","",ROW()-3)</f>
        <v>74</v>
      </c>
      <c r="B77" s="8" t="s">
        <v>250</v>
      </c>
      <c r="C77" s="8" t="s">
        <v>38</v>
      </c>
      <c r="D77" s="8" t="s">
        <v>47</v>
      </c>
      <c r="E77" s="9" t="s">
        <v>179</v>
      </c>
      <c r="F77" s="9" t="s">
        <v>51</v>
      </c>
      <c r="G77" s="8" t="s">
        <v>52</v>
      </c>
      <c r="H77" s="8" t="s">
        <v>194</v>
      </c>
      <c r="I77" s="8" t="s">
        <v>54</v>
      </c>
      <c r="J77" s="9"/>
      <c r="K77" s="8"/>
      <c r="L77" s="8" t="s">
        <v>249</v>
      </c>
      <c r="M77" s="8" t="s">
        <v>56</v>
      </c>
      <c r="N77" s="8"/>
      <c r="O77" s="8"/>
      <c r="P77" s="8"/>
      <c r="Q77" s="8"/>
      <c r="R77" s="9"/>
      <c r="S77" s="8"/>
      <c r="T77" s="9"/>
      <c r="U77" s="10" t="str">
        <f aca="true">IF(B77="","",IF(OR(P77&lt;&gt;"",I77="می‌باشد"),"بسته",IF(AND(L77&lt;&gt;"",W77=""),"خطای فرمت تاریخ ایجاد",IF(AND(H77&lt;&gt;"",AA77=""),"خطای فرمت مهلت",IF(AND(H77&lt;&gt;"",AD77&lt;&gt;"",TODAY()&gt;AD77),"تاخیر",IF(L77&lt;&gt;"","در حال انجام",""))))))</f>
        <v>بسته</v>
      </c>
      <c r="V77" s="7" t="n">
        <f aca="true">IF(U77="تاخیر",TODAY()-AD77,IF(AND(U77="بسته",AH77&lt;&gt;"",AD77&lt;&gt;"",AH77&gt;AD77),AH77-AD77,0))</f>
        <v>0</v>
      </c>
      <c r="W77" s="7" t="n">
        <f aca="false">IF(L77="","",VALUE(LEFT(L77,FIND("/",L77)-1)))</f>
        <v>1405</v>
      </c>
      <c r="X77" s="7" t="n">
        <f aca="false">IF(L77="","",VALUE(MID(L77,FIND("/",L77)+1,FIND("/",L77,FIND("/",L77)+1)-FIND("/",L77)-1)))</f>
        <v>3</v>
      </c>
      <c r="Y77" s="7" t="n">
        <f aca="false">IF(L77="","",VALUE(MID(L77,FIND("/",L77,FIND("/",L77)+1)+1,LEN(L77)-FIND("/",L77,FIND("/",L77)+1))))</f>
        <v>13</v>
      </c>
      <c r="Z77" s="11" t="n">
        <f aca="false">IF(OR(L77="",W77=""),"",IFERROR(INDEX('لیست‌ها'!$Q$3:$Q$53,MATCH(W77,'لیست‌ها'!$P$3:$P$53,0))+IF(X77&lt;=6,(X77-1)*31+Y77,IF(X77&lt;=11,186+(X77-7)*30+Y77,336+Y77))-1,""))</f>
        <v>46176</v>
      </c>
      <c r="AA77" s="7" t="n">
        <f aca="false">IF(H77="","",VALUE(LEFT(H77,FIND("/",H77)-1)))</f>
        <v>1405</v>
      </c>
      <c r="AB77" s="7" t="n">
        <f aca="false">IF(H77="","",VALUE(MID(H77,FIND("/",H77)+1,FIND("/",H77,FIND("/",H77)+1)-FIND("/",H77)-1)))</f>
        <v>4</v>
      </c>
      <c r="AC77" s="7" t="n">
        <f aca="false">IF(H77="","",VALUE(MID(H77,FIND("/",H77,FIND("/",H77)+1)+1,LEN(H77)-FIND("/",H77,FIND("/",H77)+1))))</f>
        <v>10</v>
      </c>
      <c r="AD77" s="11" t="n">
        <f aca="false">IF(OR(H77="",AA77=""),"",IFERROR(INDEX('لیست‌ها'!$Q$3:$Q$53,MATCH(AA77,'لیست‌ها'!$P$3:$P$53,0))+IF(AB77&lt;=6,(AB77-1)*31+AC77,IF(AB77&lt;=11,186+(AB77-7)*30+AC77,336+AC77))-1,""))</f>
        <v>46204</v>
      </c>
      <c r="AE77" s="7" t="str">
        <f aca="false">IF(P77="","",VALUE(LEFT(P77,FIND("/",P77)-1)))</f>
        <v/>
      </c>
      <c r="AF77" s="7" t="str">
        <f aca="false">IF(P77="","",VALUE(MID(P77,FIND("/",P77)+1,FIND("/",P77,FIND("/",P77)+1)-FIND("/",P77)-1)))</f>
        <v/>
      </c>
      <c r="AG77" s="7" t="str">
        <f aca="false">IF(P77="","",VALUE(MID(P77,FIND("/",P77,FIND("/",P77)+1)+1,LEN(P77)-FIND("/",P77,FIND("/",P77)+1))))</f>
        <v/>
      </c>
      <c r="AH77" s="7" t="str">
        <f aca="false">IF(OR(P77="",AE77=""),"",IFERROR(INDEX('لیست‌ها'!$Q$3:$Q$53,MATCH(AE77,'لیست‌ها'!$P$3:$P$53,0))+IF(AF77&lt;=6,(AF77-1)*31+AG77,IF(AF77&lt;=11,186+(AF77-7)*30+AG77,336+AG77))-1,""))</f>
        <v/>
      </c>
      <c r="AI77" s="7" t="str">
        <f aca="false">IF(W77="","",W77&amp;"-"&amp;TEXT(X77,"00"))</f>
        <v>1405-03</v>
      </c>
      <c r="AJ77" s="7" t="n">
        <f aca="false">IF(W77="","",W77*12+X77)</f>
        <v>16863</v>
      </c>
      <c r="AK77" s="7" t="str">
        <f aca="false">IF(U77="تاخیر",V77+ROW()/100000,"")</f>
        <v/>
      </c>
    </row>
    <row r="78" customFormat="false" ht="15" hidden="false" customHeight="false" outlineLevel="0" collapsed="false">
      <c r="A78" s="7" t="n">
        <f aca="false">IF(B78="","",ROW()-3)</f>
        <v>75</v>
      </c>
      <c r="B78" s="8" t="s">
        <v>247</v>
      </c>
      <c r="C78" s="8" t="s">
        <v>38</v>
      </c>
      <c r="D78" s="8" t="s">
        <v>47</v>
      </c>
      <c r="E78" s="9" t="s">
        <v>248</v>
      </c>
      <c r="F78" s="9" t="s">
        <v>51</v>
      </c>
      <c r="G78" s="8" t="s">
        <v>52</v>
      </c>
      <c r="H78" s="8" t="s">
        <v>194</v>
      </c>
      <c r="I78" s="8" t="s">
        <v>54</v>
      </c>
      <c r="J78" s="9"/>
      <c r="K78" s="8"/>
      <c r="L78" s="8" t="s">
        <v>249</v>
      </c>
      <c r="M78" s="8" t="s">
        <v>56</v>
      </c>
      <c r="N78" s="8"/>
      <c r="O78" s="8"/>
      <c r="P78" s="8"/>
      <c r="Q78" s="8"/>
      <c r="R78" s="9"/>
      <c r="S78" s="8"/>
      <c r="T78" s="9"/>
      <c r="U78" s="10" t="str">
        <f aca="true">IF(B78="","",IF(OR(P78&lt;&gt;"",I78="می‌باشد"),"بسته",IF(AND(L78&lt;&gt;"",W78=""),"خطای فرمت تاریخ ایجاد",IF(AND(H78&lt;&gt;"",AA78=""),"خطای فرمت مهلت",IF(AND(H78&lt;&gt;"",AD78&lt;&gt;"",TODAY()&gt;AD78),"تاخیر",IF(L78&lt;&gt;"","در حال انجام",""))))))</f>
        <v>بسته</v>
      </c>
      <c r="V78" s="7" t="n">
        <f aca="true">IF(U78="تاخیر",TODAY()-AD78,IF(AND(U78="بسته",AH78&lt;&gt;"",AD78&lt;&gt;"",AH78&gt;AD78),AH78-AD78,0))</f>
        <v>0</v>
      </c>
      <c r="W78" s="7" t="n">
        <f aca="false">IF(L78="","",VALUE(LEFT(L78,FIND("/",L78)-1)))</f>
        <v>1405</v>
      </c>
      <c r="X78" s="7" t="n">
        <f aca="false">IF(L78="","",VALUE(MID(L78,FIND("/",L78)+1,FIND("/",L78,FIND("/",L78)+1)-FIND("/",L78)-1)))</f>
        <v>3</v>
      </c>
      <c r="Y78" s="7" t="n">
        <f aca="false">IF(L78="","",VALUE(MID(L78,FIND("/",L78,FIND("/",L78)+1)+1,LEN(L78)-FIND("/",L78,FIND("/",L78)+1))))</f>
        <v>13</v>
      </c>
      <c r="Z78" s="11" t="n">
        <f aca="false">IF(OR(L78="",W78=""),"",IFERROR(INDEX('لیست‌ها'!$Q$3:$Q$53,MATCH(W78,'لیست‌ها'!$P$3:$P$53,0))+IF(X78&lt;=6,(X78-1)*31+Y78,IF(X78&lt;=11,186+(X78-7)*30+Y78,336+Y78))-1,""))</f>
        <v>46176</v>
      </c>
      <c r="AA78" s="7" t="n">
        <f aca="false">IF(H78="","",VALUE(LEFT(H78,FIND("/",H78)-1)))</f>
        <v>1405</v>
      </c>
      <c r="AB78" s="7" t="n">
        <f aca="false">IF(H78="","",VALUE(MID(H78,FIND("/",H78)+1,FIND("/",H78,FIND("/",H78)+1)-FIND("/",H78)-1)))</f>
        <v>4</v>
      </c>
      <c r="AC78" s="7" t="n">
        <f aca="false">IF(H78="","",VALUE(MID(H78,FIND("/",H78,FIND("/",H78)+1)+1,LEN(H78)-FIND("/",H78,FIND("/",H78)+1))))</f>
        <v>10</v>
      </c>
      <c r="AD78" s="11" t="n">
        <f aca="false">IF(OR(H78="",AA78=""),"",IFERROR(INDEX('لیست‌ها'!$Q$3:$Q$53,MATCH(AA78,'لیست‌ها'!$P$3:$P$53,0))+IF(AB78&lt;=6,(AB78-1)*31+AC78,IF(AB78&lt;=11,186+(AB78-7)*30+AC78,336+AC78))-1,""))</f>
        <v>46204</v>
      </c>
      <c r="AE78" s="7" t="str">
        <f aca="false">IF(P78="","",VALUE(LEFT(P78,FIND("/",P78)-1)))</f>
        <v/>
      </c>
      <c r="AF78" s="7" t="str">
        <f aca="false">IF(P78="","",VALUE(MID(P78,FIND("/",P78)+1,FIND("/",P78,FIND("/",P78)+1)-FIND("/",P78)-1)))</f>
        <v/>
      </c>
      <c r="AG78" s="7" t="str">
        <f aca="false">IF(P78="","",VALUE(MID(P78,FIND("/",P78,FIND("/",P78)+1)+1,LEN(P78)-FIND("/",P78,FIND("/",P78)+1))))</f>
        <v/>
      </c>
      <c r="AH78" s="7" t="str">
        <f aca="false">IF(OR(P78="",AE78=""),"",IFERROR(INDEX('لیست‌ها'!$Q$3:$Q$53,MATCH(AE78,'لیست‌ها'!$P$3:$P$53,0))+IF(AF78&lt;=6,(AF78-1)*31+AG78,IF(AF78&lt;=11,186+(AF78-7)*30+AG78,336+AG78))-1,""))</f>
        <v/>
      </c>
      <c r="AI78" s="7" t="str">
        <f aca="false">IF(W78="","",W78&amp;"-"&amp;TEXT(X78,"00"))</f>
        <v>1405-03</v>
      </c>
      <c r="AJ78" s="7" t="n">
        <f aca="false">IF(W78="","",W78*12+X78)</f>
        <v>16863</v>
      </c>
      <c r="AK78" s="7" t="str">
        <f aca="false">IF(U78="تاخیر",V78+ROW()/100000,"")</f>
        <v/>
      </c>
    </row>
    <row r="79" customFormat="false" ht="15" hidden="false" customHeight="false" outlineLevel="0" collapsed="false">
      <c r="A79" s="7" t="n">
        <f aca="false">IF(B79="","",ROW()-3)</f>
        <v>76</v>
      </c>
      <c r="B79" s="8" t="s">
        <v>245</v>
      </c>
      <c r="C79" s="8" t="s">
        <v>38</v>
      </c>
      <c r="D79" s="8" t="s">
        <v>47</v>
      </c>
      <c r="E79" s="9" t="s">
        <v>246</v>
      </c>
      <c r="F79" s="9" t="s">
        <v>51</v>
      </c>
      <c r="G79" s="8" t="s">
        <v>52</v>
      </c>
      <c r="H79" s="8" t="s">
        <v>213</v>
      </c>
      <c r="I79" s="8" t="s">
        <v>54</v>
      </c>
      <c r="J79" s="9"/>
      <c r="K79" s="8"/>
      <c r="L79" s="8" t="s">
        <v>244</v>
      </c>
      <c r="M79" s="8" t="s">
        <v>56</v>
      </c>
      <c r="N79" s="8"/>
      <c r="O79" s="8"/>
      <c r="P79" s="8"/>
      <c r="Q79" s="8"/>
      <c r="R79" s="9"/>
      <c r="S79" s="8"/>
      <c r="T79" s="9"/>
      <c r="U79" s="10" t="str">
        <f aca="true">IF(B79="","",IF(OR(P79&lt;&gt;"",I79="می‌باشد"),"بسته",IF(AND(L79&lt;&gt;"",W79=""),"خطای فرمت تاریخ ایجاد",IF(AND(H79&lt;&gt;"",AA79=""),"خطای فرمت مهلت",IF(AND(H79&lt;&gt;"",AD79&lt;&gt;"",TODAY()&gt;AD79),"تاخیر",IF(L79&lt;&gt;"","در حال انجام",""))))))</f>
        <v>بسته</v>
      </c>
      <c r="V79" s="7" t="n">
        <f aca="true">IF(U79="تاخیر",TODAY()-AD79,IF(AND(U79="بسته",AH79&lt;&gt;"",AD79&lt;&gt;"",AH79&gt;AD79),AH79-AD79,0))</f>
        <v>0</v>
      </c>
      <c r="W79" s="7" t="n">
        <f aca="false">IF(L79="","",VALUE(LEFT(L79,FIND("/",L79)-1)))</f>
        <v>1405</v>
      </c>
      <c r="X79" s="7" t="n">
        <f aca="false">IF(L79="","",VALUE(MID(L79,FIND("/",L79)+1,FIND("/",L79,FIND("/",L79)+1)-FIND("/",L79)-1)))</f>
        <v>3</v>
      </c>
      <c r="Y79" s="7" t="n">
        <f aca="false">IF(L79="","",VALUE(MID(L79,FIND("/",L79,FIND("/",L79)+1)+1,LEN(L79)-FIND("/",L79,FIND("/",L79)+1))))</f>
        <v>17</v>
      </c>
      <c r="Z79" s="11" t="n">
        <f aca="false">IF(OR(L79="",W79=""),"",IFERROR(INDEX('لیست‌ها'!$Q$3:$Q$53,MATCH(W79,'لیست‌ها'!$P$3:$P$53,0))+IF(X79&lt;=6,(X79-1)*31+Y79,IF(X79&lt;=11,186+(X79-7)*30+Y79,336+Y79))-1,""))</f>
        <v>46180</v>
      </c>
      <c r="AA79" s="7" t="n">
        <f aca="false">IF(H79="","",VALUE(LEFT(H79,FIND("/",H79)-1)))</f>
        <v>1405</v>
      </c>
      <c r="AB79" s="7" t="n">
        <f aca="false">IF(H79="","",VALUE(MID(H79,FIND("/",H79)+1,FIND("/",H79,FIND("/",H79)+1)-FIND("/",H79)-1)))</f>
        <v>5</v>
      </c>
      <c r="AC79" s="7" t="n">
        <f aca="false">IF(H79="","",VALUE(MID(H79,FIND("/",H79,FIND("/",H79)+1)+1,LEN(H79)-FIND("/",H79,FIND("/",H79)+1))))</f>
        <v>7</v>
      </c>
      <c r="AD79" s="11" t="n">
        <f aca="false">IF(OR(H79="",AA79=""),"",IFERROR(INDEX('لیست‌ها'!$Q$3:$Q$53,MATCH(AA79,'لیست‌ها'!$P$3:$P$53,0))+IF(AB79&lt;=6,(AB79-1)*31+AC79,IF(AB79&lt;=11,186+(AB79-7)*30+AC79,336+AC79))-1,""))</f>
        <v>46232</v>
      </c>
      <c r="AE79" s="7" t="str">
        <f aca="false">IF(P79="","",VALUE(LEFT(P79,FIND("/",P79)-1)))</f>
        <v/>
      </c>
      <c r="AF79" s="7" t="str">
        <f aca="false">IF(P79="","",VALUE(MID(P79,FIND("/",P79)+1,FIND("/",P79,FIND("/",P79)+1)-FIND("/",P79)-1)))</f>
        <v/>
      </c>
      <c r="AG79" s="7" t="str">
        <f aca="false">IF(P79="","",VALUE(MID(P79,FIND("/",P79,FIND("/",P79)+1)+1,LEN(P79)-FIND("/",P79,FIND("/",P79)+1))))</f>
        <v/>
      </c>
      <c r="AH79" s="7" t="str">
        <f aca="false">IF(OR(P79="",AE79=""),"",IFERROR(INDEX('لیست‌ها'!$Q$3:$Q$53,MATCH(AE79,'لیست‌ها'!$P$3:$P$53,0))+IF(AF79&lt;=6,(AF79-1)*31+AG79,IF(AF79&lt;=11,186+(AF79-7)*30+AG79,336+AG79))-1,""))</f>
        <v/>
      </c>
      <c r="AI79" s="7" t="str">
        <f aca="false">IF(W79="","",W79&amp;"-"&amp;TEXT(X79,"00"))</f>
        <v>1405-03</v>
      </c>
      <c r="AJ79" s="7" t="n">
        <f aca="false">IF(W79="","",W79*12+X79)</f>
        <v>16863</v>
      </c>
      <c r="AK79" s="7" t="str">
        <f aca="false">IF(U79="تاخیر",V79+ROW()/100000,"")</f>
        <v/>
      </c>
    </row>
    <row r="80" customFormat="false" ht="15" hidden="false" customHeight="false" outlineLevel="0" collapsed="false">
      <c r="A80" s="7" t="n">
        <f aca="false">IF(B80="","",ROW()-3)</f>
        <v>77</v>
      </c>
      <c r="B80" s="8" t="s">
        <v>243</v>
      </c>
      <c r="C80" s="8" t="s">
        <v>38</v>
      </c>
      <c r="D80" s="8" t="s">
        <v>47</v>
      </c>
      <c r="E80" s="9" t="s">
        <v>58</v>
      </c>
      <c r="F80" s="9" t="s">
        <v>51</v>
      </c>
      <c r="G80" s="8" t="s">
        <v>52</v>
      </c>
      <c r="H80" s="8" t="s">
        <v>213</v>
      </c>
      <c r="I80" s="8" t="s">
        <v>54</v>
      </c>
      <c r="J80" s="9"/>
      <c r="K80" s="8"/>
      <c r="L80" s="8" t="s">
        <v>244</v>
      </c>
      <c r="M80" s="8" t="s">
        <v>56</v>
      </c>
      <c r="N80" s="8"/>
      <c r="O80" s="8"/>
      <c r="P80" s="8"/>
      <c r="Q80" s="8"/>
      <c r="R80" s="9"/>
      <c r="S80" s="8"/>
      <c r="T80" s="9"/>
      <c r="U80" s="10" t="str">
        <f aca="true">IF(B80="","",IF(OR(P80&lt;&gt;"",I80="می‌باشد"),"بسته",IF(AND(L80&lt;&gt;"",W80=""),"خطای فرمت تاریخ ایجاد",IF(AND(H80&lt;&gt;"",AA80=""),"خطای فرمت مهلت",IF(AND(H80&lt;&gt;"",AD80&lt;&gt;"",TODAY()&gt;AD80),"تاخیر",IF(L80&lt;&gt;"","در حال انجام",""))))))</f>
        <v>بسته</v>
      </c>
      <c r="V80" s="7" t="n">
        <f aca="true">IF(U80="تاخیر",TODAY()-AD80,IF(AND(U80="بسته",AH80&lt;&gt;"",AD80&lt;&gt;"",AH80&gt;AD80),AH80-AD80,0))</f>
        <v>0</v>
      </c>
      <c r="W80" s="7" t="n">
        <f aca="false">IF(L80="","",VALUE(LEFT(L80,FIND("/",L80)-1)))</f>
        <v>1405</v>
      </c>
      <c r="X80" s="7" t="n">
        <f aca="false">IF(L80="","",VALUE(MID(L80,FIND("/",L80)+1,FIND("/",L80,FIND("/",L80)+1)-FIND("/",L80)-1)))</f>
        <v>3</v>
      </c>
      <c r="Y80" s="7" t="n">
        <f aca="false">IF(L80="","",VALUE(MID(L80,FIND("/",L80,FIND("/",L80)+1)+1,LEN(L80)-FIND("/",L80,FIND("/",L80)+1))))</f>
        <v>17</v>
      </c>
      <c r="Z80" s="11" t="n">
        <f aca="false">IF(OR(L80="",W80=""),"",IFERROR(INDEX('لیست‌ها'!$Q$3:$Q$53,MATCH(W80,'لیست‌ها'!$P$3:$P$53,0))+IF(X80&lt;=6,(X80-1)*31+Y80,IF(X80&lt;=11,186+(X80-7)*30+Y80,336+Y80))-1,""))</f>
        <v>46180</v>
      </c>
      <c r="AA80" s="7" t="n">
        <f aca="false">IF(H80="","",VALUE(LEFT(H80,FIND("/",H80)-1)))</f>
        <v>1405</v>
      </c>
      <c r="AB80" s="7" t="n">
        <f aca="false">IF(H80="","",VALUE(MID(H80,FIND("/",H80)+1,FIND("/",H80,FIND("/",H80)+1)-FIND("/",H80)-1)))</f>
        <v>5</v>
      </c>
      <c r="AC80" s="7" t="n">
        <f aca="false">IF(H80="","",VALUE(MID(H80,FIND("/",H80,FIND("/",H80)+1)+1,LEN(H80)-FIND("/",H80,FIND("/",H80)+1))))</f>
        <v>7</v>
      </c>
      <c r="AD80" s="11" t="n">
        <f aca="false">IF(OR(H80="",AA80=""),"",IFERROR(INDEX('لیست‌ها'!$Q$3:$Q$53,MATCH(AA80,'لیست‌ها'!$P$3:$P$53,0))+IF(AB80&lt;=6,(AB80-1)*31+AC80,IF(AB80&lt;=11,186+(AB80-7)*30+AC80,336+AC80))-1,""))</f>
        <v>46232</v>
      </c>
      <c r="AE80" s="7" t="str">
        <f aca="false">IF(P80="","",VALUE(LEFT(P80,FIND("/",P80)-1)))</f>
        <v/>
      </c>
      <c r="AF80" s="7" t="str">
        <f aca="false">IF(P80="","",VALUE(MID(P80,FIND("/",P80)+1,FIND("/",P80,FIND("/",P80)+1)-FIND("/",P80)-1)))</f>
        <v/>
      </c>
      <c r="AG80" s="7" t="str">
        <f aca="false">IF(P80="","",VALUE(MID(P80,FIND("/",P80,FIND("/",P80)+1)+1,LEN(P80)-FIND("/",P80,FIND("/",P80)+1))))</f>
        <v/>
      </c>
      <c r="AH80" s="7" t="str">
        <f aca="false">IF(OR(P80="",AE80=""),"",IFERROR(INDEX('لیست‌ها'!$Q$3:$Q$53,MATCH(AE80,'لیست‌ها'!$P$3:$P$53,0))+IF(AF80&lt;=6,(AF80-1)*31+AG80,IF(AF80&lt;=11,186+(AF80-7)*30+AG80,336+AG80))-1,""))</f>
        <v/>
      </c>
      <c r="AI80" s="7" t="str">
        <f aca="false">IF(W80="","",W80&amp;"-"&amp;TEXT(X80,"00"))</f>
        <v>1405-03</v>
      </c>
      <c r="AJ80" s="7" t="n">
        <f aca="false">IF(W80="","",W80*12+X80)</f>
        <v>16863</v>
      </c>
      <c r="AK80" s="7" t="str">
        <f aca="false">IF(U80="تاخیر",V80+ROW()/100000,"")</f>
        <v/>
      </c>
    </row>
    <row r="81" customFormat="false" ht="15" hidden="false" customHeight="false" outlineLevel="0" collapsed="false">
      <c r="A81" s="7" t="n">
        <f aca="false">IF(B81="","",ROW()-3)</f>
        <v>78</v>
      </c>
      <c r="B81" s="8" t="s">
        <v>242</v>
      </c>
      <c r="C81" s="8" t="s">
        <v>38</v>
      </c>
      <c r="D81" s="8" t="s">
        <v>47</v>
      </c>
      <c r="E81" s="9" t="s">
        <v>60</v>
      </c>
      <c r="F81" s="9" t="s">
        <v>51</v>
      </c>
      <c r="G81" s="8" t="s">
        <v>52</v>
      </c>
      <c r="H81" s="8" t="s">
        <v>213</v>
      </c>
      <c r="I81" s="8" t="s">
        <v>54</v>
      </c>
      <c r="J81" s="9"/>
      <c r="K81" s="8"/>
      <c r="L81" s="8" t="s">
        <v>239</v>
      </c>
      <c r="M81" s="8" t="s">
        <v>56</v>
      </c>
      <c r="N81" s="8"/>
      <c r="O81" s="8"/>
      <c r="P81" s="8"/>
      <c r="Q81" s="8"/>
      <c r="R81" s="9"/>
      <c r="S81" s="8"/>
      <c r="T81" s="9"/>
      <c r="U81" s="10" t="str">
        <f aca="true">IF(B81="","",IF(OR(P81&lt;&gt;"",I81="می‌باشد"),"بسته",IF(AND(L81&lt;&gt;"",W81=""),"خطای فرمت تاریخ ایجاد",IF(AND(H81&lt;&gt;"",AA81=""),"خطای فرمت مهلت",IF(AND(H81&lt;&gt;"",AD81&lt;&gt;"",TODAY()&gt;AD81),"تاخیر",IF(L81&lt;&gt;"","در حال انجام",""))))))</f>
        <v>بسته</v>
      </c>
      <c r="V81" s="7" t="n">
        <f aca="true">IF(U81="تاخیر",TODAY()-AD81,IF(AND(U81="بسته",AH81&lt;&gt;"",AD81&lt;&gt;"",AH81&gt;AD81),AH81-AD81,0))</f>
        <v>0</v>
      </c>
      <c r="W81" s="7" t="n">
        <f aca="false">IF(L81="","",VALUE(LEFT(L81,FIND("/",L81)-1)))</f>
        <v>1405</v>
      </c>
      <c r="X81" s="7" t="n">
        <f aca="false">IF(L81="","",VALUE(MID(L81,FIND("/",L81)+1,FIND("/",L81,FIND("/",L81)+1)-FIND("/",L81)-1)))</f>
        <v>3</v>
      </c>
      <c r="Y81" s="7" t="n">
        <f aca="false">IF(L81="","",VALUE(MID(L81,FIND("/",L81,FIND("/",L81)+1)+1,LEN(L81)-FIND("/",L81,FIND("/",L81)+1))))</f>
        <v>20</v>
      </c>
      <c r="Z81" s="11" t="n">
        <f aca="false">IF(OR(L81="",W81=""),"",IFERROR(INDEX('لیست‌ها'!$Q$3:$Q$53,MATCH(W81,'لیست‌ها'!$P$3:$P$53,0))+IF(X81&lt;=6,(X81-1)*31+Y81,IF(X81&lt;=11,186+(X81-7)*30+Y81,336+Y81))-1,""))</f>
        <v>46183</v>
      </c>
      <c r="AA81" s="7" t="n">
        <f aca="false">IF(H81="","",VALUE(LEFT(H81,FIND("/",H81)-1)))</f>
        <v>1405</v>
      </c>
      <c r="AB81" s="7" t="n">
        <f aca="false">IF(H81="","",VALUE(MID(H81,FIND("/",H81)+1,FIND("/",H81,FIND("/",H81)+1)-FIND("/",H81)-1)))</f>
        <v>5</v>
      </c>
      <c r="AC81" s="7" t="n">
        <f aca="false">IF(H81="","",VALUE(MID(H81,FIND("/",H81,FIND("/",H81)+1)+1,LEN(H81)-FIND("/",H81,FIND("/",H81)+1))))</f>
        <v>7</v>
      </c>
      <c r="AD81" s="11" t="n">
        <f aca="false">IF(OR(H81="",AA81=""),"",IFERROR(INDEX('لیست‌ها'!$Q$3:$Q$53,MATCH(AA81,'لیست‌ها'!$P$3:$P$53,0))+IF(AB81&lt;=6,(AB81-1)*31+AC81,IF(AB81&lt;=11,186+(AB81-7)*30+AC81,336+AC81))-1,""))</f>
        <v>46232</v>
      </c>
      <c r="AE81" s="7" t="str">
        <f aca="false">IF(P81="","",VALUE(LEFT(P81,FIND("/",P81)-1)))</f>
        <v/>
      </c>
      <c r="AF81" s="7" t="str">
        <f aca="false">IF(P81="","",VALUE(MID(P81,FIND("/",P81)+1,FIND("/",P81,FIND("/",P81)+1)-FIND("/",P81)-1)))</f>
        <v/>
      </c>
      <c r="AG81" s="7" t="str">
        <f aca="false">IF(P81="","",VALUE(MID(P81,FIND("/",P81,FIND("/",P81)+1)+1,LEN(P81)-FIND("/",P81,FIND("/",P81)+1))))</f>
        <v/>
      </c>
      <c r="AH81" s="7" t="str">
        <f aca="false">IF(OR(P81="",AE81=""),"",IFERROR(INDEX('لیست‌ها'!$Q$3:$Q$53,MATCH(AE81,'لیست‌ها'!$P$3:$P$53,0))+IF(AF81&lt;=6,(AF81-1)*31+AG81,IF(AF81&lt;=11,186+(AF81-7)*30+AG81,336+AG81))-1,""))</f>
        <v/>
      </c>
      <c r="AI81" s="7" t="str">
        <f aca="false">IF(W81="","",W81&amp;"-"&amp;TEXT(X81,"00"))</f>
        <v>1405-03</v>
      </c>
      <c r="AJ81" s="7" t="n">
        <f aca="false">IF(W81="","",W81*12+X81)</f>
        <v>16863</v>
      </c>
      <c r="AK81" s="7" t="str">
        <f aca="false">IF(U81="تاخیر",V81+ROW()/100000,"")</f>
        <v/>
      </c>
    </row>
    <row r="82" customFormat="false" ht="15" hidden="false" customHeight="false" outlineLevel="0" collapsed="false">
      <c r="A82" s="7" t="n">
        <f aca="false">IF(B82="","",ROW()-3)</f>
        <v>79</v>
      </c>
      <c r="B82" s="8" t="s">
        <v>240</v>
      </c>
      <c r="C82" s="8" t="s">
        <v>38</v>
      </c>
      <c r="D82" s="8" t="s">
        <v>47</v>
      </c>
      <c r="E82" s="9" t="s">
        <v>241</v>
      </c>
      <c r="F82" s="9" t="s">
        <v>51</v>
      </c>
      <c r="G82" s="8" t="s">
        <v>52</v>
      </c>
      <c r="H82" s="8" t="s">
        <v>213</v>
      </c>
      <c r="I82" s="8" t="s">
        <v>54</v>
      </c>
      <c r="J82" s="9"/>
      <c r="K82" s="8"/>
      <c r="L82" s="8" t="s">
        <v>239</v>
      </c>
      <c r="M82" s="8" t="s">
        <v>56</v>
      </c>
      <c r="N82" s="8"/>
      <c r="O82" s="8"/>
      <c r="P82" s="8"/>
      <c r="Q82" s="8"/>
      <c r="R82" s="9"/>
      <c r="S82" s="8"/>
      <c r="T82" s="9"/>
      <c r="U82" s="10" t="str">
        <f aca="true">IF(B82="","",IF(OR(P82&lt;&gt;"",I82="می‌باشد"),"بسته",IF(AND(L82&lt;&gt;"",W82=""),"خطای فرمت تاریخ ایجاد",IF(AND(H82&lt;&gt;"",AA82=""),"خطای فرمت مهلت",IF(AND(H82&lt;&gt;"",AD82&lt;&gt;"",TODAY()&gt;AD82),"تاخیر",IF(L82&lt;&gt;"","در حال انجام",""))))))</f>
        <v>بسته</v>
      </c>
      <c r="V82" s="7" t="n">
        <f aca="true">IF(U82="تاخیر",TODAY()-AD82,IF(AND(U82="بسته",AH82&lt;&gt;"",AD82&lt;&gt;"",AH82&gt;AD82),AH82-AD82,0))</f>
        <v>0</v>
      </c>
      <c r="W82" s="7" t="n">
        <f aca="false">IF(L82="","",VALUE(LEFT(L82,FIND("/",L82)-1)))</f>
        <v>1405</v>
      </c>
      <c r="X82" s="7" t="n">
        <f aca="false">IF(L82="","",VALUE(MID(L82,FIND("/",L82)+1,FIND("/",L82,FIND("/",L82)+1)-FIND("/",L82)-1)))</f>
        <v>3</v>
      </c>
      <c r="Y82" s="7" t="n">
        <f aca="false">IF(L82="","",VALUE(MID(L82,FIND("/",L82,FIND("/",L82)+1)+1,LEN(L82)-FIND("/",L82,FIND("/",L82)+1))))</f>
        <v>20</v>
      </c>
      <c r="Z82" s="11" t="n">
        <f aca="false">IF(OR(L82="",W82=""),"",IFERROR(INDEX('لیست‌ها'!$Q$3:$Q$53,MATCH(W82,'لیست‌ها'!$P$3:$P$53,0))+IF(X82&lt;=6,(X82-1)*31+Y82,IF(X82&lt;=11,186+(X82-7)*30+Y82,336+Y82))-1,""))</f>
        <v>46183</v>
      </c>
      <c r="AA82" s="7" t="n">
        <f aca="false">IF(H82="","",VALUE(LEFT(H82,FIND("/",H82)-1)))</f>
        <v>1405</v>
      </c>
      <c r="AB82" s="7" t="n">
        <f aca="false">IF(H82="","",VALUE(MID(H82,FIND("/",H82)+1,FIND("/",H82,FIND("/",H82)+1)-FIND("/",H82)-1)))</f>
        <v>5</v>
      </c>
      <c r="AC82" s="7" t="n">
        <f aca="false">IF(H82="","",VALUE(MID(H82,FIND("/",H82,FIND("/",H82)+1)+1,LEN(H82)-FIND("/",H82,FIND("/",H82)+1))))</f>
        <v>7</v>
      </c>
      <c r="AD82" s="11" t="n">
        <f aca="false">IF(OR(H82="",AA82=""),"",IFERROR(INDEX('لیست‌ها'!$Q$3:$Q$53,MATCH(AA82,'لیست‌ها'!$P$3:$P$53,0))+IF(AB82&lt;=6,(AB82-1)*31+AC82,IF(AB82&lt;=11,186+(AB82-7)*30+AC82,336+AC82))-1,""))</f>
        <v>46232</v>
      </c>
      <c r="AE82" s="7" t="str">
        <f aca="false">IF(P82="","",VALUE(LEFT(P82,FIND("/",P82)-1)))</f>
        <v/>
      </c>
      <c r="AF82" s="7" t="str">
        <f aca="false">IF(P82="","",VALUE(MID(P82,FIND("/",P82)+1,FIND("/",P82,FIND("/",P82)+1)-FIND("/",P82)-1)))</f>
        <v/>
      </c>
      <c r="AG82" s="7" t="str">
        <f aca="false">IF(P82="","",VALUE(MID(P82,FIND("/",P82,FIND("/",P82)+1)+1,LEN(P82)-FIND("/",P82,FIND("/",P82)+1))))</f>
        <v/>
      </c>
      <c r="AH82" s="7" t="str">
        <f aca="false">IF(OR(P82="",AE82=""),"",IFERROR(INDEX('لیست‌ها'!$Q$3:$Q$53,MATCH(AE82,'لیست‌ها'!$P$3:$P$53,0))+IF(AF82&lt;=6,(AF82-1)*31+AG82,IF(AF82&lt;=11,186+(AF82-7)*30+AG82,336+AG82))-1,""))</f>
        <v/>
      </c>
      <c r="AI82" s="7" t="str">
        <f aca="false">IF(W82="","",W82&amp;"-"&amp;TEXT(X82,"00"))</f>
        <v>1405-03</v>
      </c>
      <c r="AJ82" s="7" t="n">
        <f aca="false">IF(W82="","",W82*12+X82)</f>
        <v>16863</v>
      </c>
      <c r="AK82" s="7" t="str">
        <f aca="false">IF(U82="تاخیر",V82+ROW()/100000,"")</f>
        <v/>
      </c>
    </row>
    <row r="83" customFormat="false" ht="15" hidden="false" customHeight="false" outlineLevel="0" collapsed="false">
      <c r="A83" s="7" t="n">
        <f aca="false">IF(B83="","",ROW()-3)</f>
        <v>80</v>
      </c>
      <c r="B83" s="8" t="s">
        <v>237</v>
      </c>
      <c r="C83" s="8" t="s">
        <v>38</v>
      </c>
      <c r="D83" s="8" t="s">
        <v>47</v>
      </c>
      <c r="E83" s="9" t="s">
        <v>238</v>
      </c>
      <c r="F83" s="9" t="s">
        <v>51</v>
      </c>
      <c r="G83" s="8" t="s">
        <v>52</v>
      </c>
      <c r="H83" s="8" t="s">
        <v>213</v>
      </c>
      <c r="I83" s="8" t="s">
        <v>54</v>
      </c>
      <c r="J83" s="9"/>
      <c r="K83" s="8"/>
      <c r="L83" s="8" t="s">
        <v>239</v>
      </c>
      <c r="M83" s="8" t="s">
        <v>56</v>
      </c>
      <c r="N83" s="8"/>
      <c r="O83" s="8"/>
      <c r="P83" s="8"/>
      <c r="Q83" s="8"/>
      <c r="R83" s="9"/>
      <c r="S83" s="8"/>
      <c r="T83" s="9"/>
      <c r="U83" s="10" t="str">
        <f aca="true">IF(B83="","",IF(OR(P83&lt;&gt;"",I83="می‌باشد"),"بسته",IF(AND(L83&lt;&gt;"",W83=""),"خطای فرمت تاریخ ایجاد",IF(AND(H83&lt;&gt;"",AA83=""),"خطای فرمت مهلت",IF(AND(H83&lt;&gt;"",AD83&lt;&gt;"",TODAY()&gt;AD83),"تاخیر",IF(L83&lt;&gt;"","در حال انجام",""))))))</f>
        <v>بسته</v>
      </c>
      <c r="V83" s="7" t="n">
        <f aca="true">IF(U83="تاخیر",TODAY()-AD83,IF(AND(U83="بسته",AH83&lt;&gt;"",AD83&lt;&gt;"",AH83&gt;AD83),AH83-AD83,0))</f>
        <v>0</v>
      </c>
      <c r="W83" s="7" t="n">
        <f aca="false">IF(L83="","",VALUE(LEFT(L83,FIND("/",L83)-1)))</f>
        <v>1405</v>
      </c>
      <c r="X83" s="7" t="n">
        <f aca="false">IF(L83="","",VALUE(MID(L83,FIND("/",L83)+1,FIND("/",L83,FIND("/",L83)+1)-FIND("/",L83)-1)))</f>
        <v>3</v>
      </c>
      <c r="Y83" s="7" t="n">
        <f aca="false">IF(L83="","",VALUE(MID(L83,FIND("/",L83,FIND("/",L83)+1)+1,LEN(L83)-FIND("/",L83,FIND("/",L83)+1))))</f>
        <v>20</v>
      </c>
      <c r="Z83" s="11" t="n">
        <f aca="false">IF(OR(L83="",W83=""),"",IFERROR(INDEX('لیست‌ها'!$Q$3:$Q$53,MATCH(W83,'لیست‌ها'!$P$3:$P$53,0))+IF(X83&lt;=6,(X83-1)*31+Y83,IF(X83&lt;=11,186+(X83-7)*30+Y83,336+Y83))-1,""))</f>
        <v>46183</v>
      </c>
      <c r="AA83" s="7" t="n">
        <f aca="false">IF(H83="","",VALUE(LEFT(H83,FIND("/",H83)-1)))</f>
        <v>1405</v>
      </c>
      <c r="AB83" s="7" t="n">
        <f aca="false">IF(H83="","",VALUE(MID(H83,FIND("/",H83)+1,FIND("/",H83,FIND("/",H83)+1)-FIND("/",H83)-1)))</f>
        <v>5</v>
      </c>
      <c r="AC83" s="7" t="n">
        <f aca="false">IF(H83="","",VALUE(MID(H83,FIND("/",H83,FIND("/",H83)+1)+1,LEN(H83)-FIND("/",H83,FIND("/",H83)+1))))</f>
        <v>7</v>
      </c>
      <c r="AD83" s="11" t="n">
        <f aca="false">IF(OR(H83="",AA83=""),"",IFERROR(INDEX('لیست‌ها'!$Q$3:$Q$53,MATCH(AA83,'لیست‌ها'!$P$3:$P$53,0))+IF(AB83&lt;=6,(AB83-1)*31+AC83,IF(AB83&lt;=11,186+(AB83-7)*30+AC83,336+AC83))-1,""))</f>
        <v>46232</v>
      </c>
      <c r="AE83" s="7" t="str">
        <f aca="false">IF(P83="","",VALUE(LEFT(P83,FIND("/",P83)-1)))</f>
        <v/>
      </c>
      <c r="AF83" s="7" t="str">
        <f aca="false">IF(P83="","",VALUE(MID(P83,FIND("/",P83)+1,FIND("/",P83,FIND("/",P83)+1)-FIND("/",P83)-1)))</f>
        <v/>
      </c>
      <c r="AG83" s="7" t="str">
        <f aca="false">IF(P83="","",VALUE(MID(P83,FIND("/",P83,FIND("/",P83)+1)+1,LEN(P83)-FIND("/",P83,FIND("/",P83)+1))))</f>
        <v/>
      </c>
      <c r="AH83" s="7" t="str">
        <f aca="false">IF(OR(P83="",AE83=""),"",IFERROR(INDEX('لیست‌ها'!$Q$3:$Q$53,MATCH(AE83,'لیست‌ها'!$P$3:$P$53,0))+IF(AF83&lt;=6,(AF83-1)*31+AG83,IF(AF83&lt;=11,186+(AF83-7)*30+AG83,336+AG83))-1,""))</f>
        <v/>
      </c>
      <c r="AI83" s="7" t="str">
        <f aca="false">IF(W83="","",W83&amp;"-"&amp;TEXT(X83,"00"))</f>
        <v>1405-03</v>
      </c>
      <c r="AJ83" s="7" t="n">
        <f aca="false">IF(W83="","",W83*12+X83)</f>
        <v>16863</v>
      </c>
      <c r="AK83" s="7" t="str">
        <f aca="false">IF(U83="تاخیر",V83+ROW()/100000,"")</f>
        <v/>
      </c>
    </row>
    <row r="84" customFormat="false" ht="15" hidden="false" customHeight="false" outlineLevel="0" collapsed="false">
      <c r="A84" s="7" t="n">
        <f aca="false">IF(B84="","",ROW()-3)</f>
        <v>81</v>
      </c>
      <c r="B84" s="8" t="s">
        <v>235</v>
      </c>
      <c r="C84" s="8" t="s">
        <v>38</v>
      </c>
      <c r="D84" s="8" t="s">
        <v>47</v>
      </c>
      <c r="E84" s="9" t="s">
        <v>60</v>
      </c>
      <c r="F84" s="9" t="s">
        <v>51</v>
      </c>
      <c r="G84" s="8" t="s">
        <v>52</v>
      </c>
      <c r="H84" s="8" t="s">
        <v>213</v>
      </c>
      <c r="I84" s="8" t="s">
        <v>54</v>
      </c>
      <c r="J84" s="9"/>
      <c r="K84" s="8"/>
      <c r="L84" s="8" t="s">
        <v>236</v>
      </c>
      <c r="M84" s="8" t="s">
        <v>56</v>
      </c>
      <c r="N84" s="8"/>
      <c r="O84" s="8"/>
      <c r="P84" s="8"/>
      <c r="Q84" s="8"/>
      <c r="R84" s="9"/>
      <c r="S84" s="8"/>
      <c r="T84" s="9"/>
      <c r="U84" s="10" t="str">
        <f aca="true">IF(B84="","",IF(OR(P84&lt;&gt;"",I84="می‌باشد"),"بسته",IF(AND(L84&lt;&gt;"",W84=""),"خطای فرمت تاریخ ایجاد",IF(AND(H84&lt;&gt;"",AA84=""),"خطای فرمت مهلت",IF(AND(H84&lt;&gt;"",AD84&lt;&gt;"",TODAY()&gt;AD84),"تاخیر",IF(L84&lt;&gt;"","در حال انجام",""))))))</f>
        <v>بسته</v>
      </c>
      <c r="V84" s="7" t="n">
        <f aca="true">IF(U84="تاخیر",TODAY()-AD84,IF(AND(U84="بسته",AH84&lt;&gt;"",AD84&lt;&gt;"",AH84&gt;AD84),AH84-AD84,0))</f>
        <v>0</v>
      </c>
      <c r="W84" s="7" t="n">
        <f aca="false">IF(L84="","",VALUE(LEFT(L84,FIND("/",L84)-1)))</f>
        <v>1405</v>
      </c>
      <c r="X84" s="7" t="n">
        <f aca="false">IF(L84="","",VALUE(MID(L84,FIND("/",L84)+1,FIND("/",L84,FIND("/",L84)+1)-FIND("/",L84)-1)))</f>
        <v>3</v>
      </c>
      <c r="Y84" s="7" t="n">
        <f aca="false">IF(L84="","",VALUE(MID(L84,FIND("/",L84,FIND("/",L84)+1)+1,LEN(L84)-FIND("/",L84,FIND("/",L84)+1))))</f>
        <v>23</v>
      </c>
      <c r="Z84" s="11" t="n">
        <f aca="false">IF(OR(L84="",W84=""),"",IFERROR(INDEX('لیست‌ها'!$Q$3:$Q$53,MATCH(W84,'لیست‌ها'!$P$3:$P$53,0))+IF(X84&lt;=6,(X84-1)*31+Y84,IF(X84&lt;=11,186+(X84-7)*30+Y84,336+Y84))-1,""))</f>
        <v>46186</v>
      </c>
      <c r="AA84" s="7" t="n">
        <f aca="false">IF(H84="","",VALUE(LEFT(H84,FIND("/",H84)-1)))</f>
        <v>1405</v>
      </c>
      <c r="AB84" s="7" t="n">
        <f aca="false">IF(H84="","",VALUE(MID(H84,FIND("/",H84)+1,FIND("/",H84,FIND("/",H84)+1)-FIND("/",H84)-1)))</f>
        <v>5</v>
      </c>
      <c r="AC84" s="7" t="n">
        <f aca="false">IF(H84="","",VALUE(MID(H84,FIND("/",H84,FIND("/",H84)+1)+1,LEN(H84)-FIND("/",H84,FIND("/",H84)+1))))</f>
        <v>7</v>
      </c>
      <c r="AD84" s="11" t="n">
        <f aca="false">IF(OR(H84="",AA84=""),"",IFERROR(INDEX('لیست‌ها'!$Q$3:$Q$53,MATCH(AA84,'لیست‌ها'!$P$3:$P$53,0))+IF(AB84&lt;=6,(AB84-1)*31+AC84,IF(AB84&lt;=11,186+(AB84-7)*30+AC84,336+AC84))-1,""))</f>
        <v>46232</v>
      </c>
      <c r="AE84" s="7" t="str">
        <f aca="false">IF(P84="","",VALUE(LEFT(P84,FIND("/",P84)-1)))</f>
        <v/>
      </c>
      <c r="AF84" s="7" t="str">
        <f aca="false">IF(P84="","",VALUE(MID(P84,FIND("/",P84)+1,FIND("/",P84,FIND("/",P84)+1)-FIND("/",P84)-1)))</f>
        <v/>
      </c>
      <c r="AG84" s="7" t="str">
        <f aca="false">IF(P84="","",VALUE(MID(P84,FIND("/",P84,FIND("/",P84)+1)+1,LEN(P84)-FIND("/",P84,FIND("/",P84)+1))))</f>
        <v/>
      </c>
      <c r="AH84" s="7" t="str">
        <f aca="false">IF(OR(P84="",AE84=""),"",IFERROR(INDEX('لیست‌ها'!$Q$3:$Q$53,MATCH(AE84,'لیست‌ها'!$P$3:$P$53,0))+IF(AF84&lt;=6,(AF84-1)*31+AG84,IF(AF84&lt;=11,186+(AF84-7)*30+AG84,336+AG84))-1,""))</f>
        <v/>
      </c>
      <c r="AI84" s="7" t="str">
        <f aca="false">IF(W84="","",W84&amp;"-"&amp;TEXT(X84,"00"))</f>
        <v>1405-03</v>
      </c>
      <c r="AJ84" s="7" t="n">
        <f aca="false">IF(W84="","",W84*12+X84)</f>
        <v>16863</v>
      </c>
      <c r="AK84" s="7" t="str">
        <f aca="false">IF(U84="تاخیر",V84+ROW()/100000,"")</f>
        <v/>
      </c>
    </row>
    <row r="85" customFormat="false" ht="15" hidden="false" customHeight="false" outlineLevel="0" collapsed="false">
      <c r="A85" s="7" t="n">
        <f aca="false">IF(B85="","",ROW()-3)</f>
        <v>82</v>
      </c>
      <c r="B85" s="8" t="s">
        <v>232</v>
      </c>
      <c r="C85" s="8" t="s">
        <v>38</v>
      </c>
      <c r="D85" s="8" t="s">
        <v>47</v>
      </c>
      <c r="E85" s="9" t="s">
        <v>233</v>
      </c>
      <c r="F85" s="9" t="s">
        <v>51</v>
      </c>
      <c r="G85" s="8" t="s">
        <v>52</v>
      </c>
      <c r="H85" s="8" t="s">
        <v>230</v>
      </c>
      <c r="I85" s="8" t="s">
        <v>54</v>
      </c>
      <c r="J85" s="9"/>
      <c r="K85" s="8"/>
      <c r="L85" s="8" t="s">
        <v>234</v>
      </c>
      <c r="M85" s="8" t="s">
        <v>56</v>
      </c>
      <c r="N85" s="8"/>
      <c r="O85" s="8"/>
      <c r="P85" s="8"/>
      <c r="Q85" s="8"/>
      <c r="R85" s="9"/>
      <c r="S85" s="8"/>
      <c r="T85" s="9"/>
      <c r="U85" s="10" t="str">
        <f aca="true">IF(B85="","",IF(OR(P85&lt;&gt;"",I85="می‌باشد"),"بسته",IF(AND(L85&lt;&gt;"",W85=""),"خطای فرمت تاریخ ایجاد",IF(AND(H85&lt;&gt;"",AA85=""),"خطای فرمت مهلت",IF(AND(H85&lt;&gt;"",AD85&lt;&gt;"",TODAY()&gt;AD85),"تاخیر",IF(L85&lt;&gt;"","در حال انجام",""))))))</f>
        <v>بسته</v>
      </c>
      <c r="V85" s="7" t="n">
        <f aca="true">IF(U85="تاخیر",TODAY()-AD85,IF(AND(U85="بسته",AH85&lt;&gt;"",AD85&lt;&gt;"",AH85&gt;AD85),AH85-AD85,0))</f>
        <v>0</v>
      </c>
      <c r="W85" s="7" t="n">
        <f aca="false">IF(L85="","",VALUE(LEFT(L85,FIND("/",L85)-1)))</f>
        <v>1405</v>
      </c>
      <c r="X85" s="7" t="n">
        <f aca="false">IF(L85="","",VALUE(MID(L85,FIND("/",L85)+1,FIND("/",L85,FIND("/",L85)+1)-FIND("/",L85)-1)))</f>
        <v>3</v>
      </c>
      <c r="Y85" s="7" t="n">
        <f aca="false">IF(L85="","",VALUE(MID(L85,FIND("/",L85,FIND("/",L85)+1)+1,LEN(L85)-FIND("/",L85,FIND("/",L85)+1))))</f>
        <v>24</v>
      </c>
      <c r="Z85" s="11" t="n">
        <f aca="false">IF(OR(L85="",W85=""),"",IFERROR(INDEX('لیست‌ها'!$Q$3:$Q$53,MATCH(W85,'لیست‌ها'!$P$3:$P$53,0))+IF(X85&lt;=6,(X85-1)*31+Y85,IF(X85&lt;=11,186+(X85-7)*30+Y85,336+Y85))-1,""))</f>
        <v>46187</v>
      </c>
      <c r="AA85" s="7" t="n">
        <f aca="false">IF(H85="","",VALUE(LEFT(H85,FIND("/",H85)-1)))</f>
        <v>1405</v>
      </c>
      <c r="AB85" s="7" t="n">
        <f aca="false">IF(H85="","",VALUE(MID(H85,FIND("/",H85)+1,FIND("/",H85,FIND("/",H85)+1)-FIND("/",H85)-1)))</f>
        <v>5</v>
      </c>
      <c r="AC85" s="7" t="n">
        <f aca="false">IF(H85="","",VALUE(MID(H85,FIND("/",H85,FIND("/",H85)+1)+1,LEN(H85)-FIND("/",H85,FIND("/",H85)+1))))</f>
        <v>31</v>
      </c>
      <c r="AD85" s="11" t="n">
        <f aca="false">IF(OR(H85="",AA85=""),"",IFERROR(INDEX('لیست‌ها'!$Q$3:$Q$53,MATCH(AA85,'لیست‌ها'!$P$3:$P$53,0))+IF(AB85&lt;=6,(AB85-1)*31+AC85,IF(AB85&lt;=11,186+(AB85-7)*30+AC85,336+AC85))-1,""))</f>
        <v>46256</v>
      </c>
      <c r="AE85" s="7" t="str">
        <f aca="false">IF(P85="","",VALUE(LEFT(P85,FIND("/",P85)-1)))</f>
        <v/>
      </c>
      <c r="AF85" s="7" t="str">
        <f aca="false">IF(P85="","",VALUE(MID(P85,FIND("/",P85)+1,FIND("/",P85,FIND("/",P85)+1)-FIND("/",P85)-1)))</f>
        <v/>
      </c>
      <c r="AG85" s="7" t="str">
        <f aca="false">IF(P85="","",VALUE(MID(P85,FIND("/",P85,FIND("/",P85)+1)+1,LEN(P85)-FIND("/",P85,FIND("/",P85)+1))))</f>
        <v/>
      </c>
      <c r="AH85" s="7" t="str">
        <f aca="false">IF(OR(P85="",AE85=""),"",IFERROR(INDEX('لیست‌ها'!$Q$3:$Q$53,MATCH(AE85,'لیست‌ها'!$P$3:$P$53,0))+IF(AF85&lt;=6,(AF85-1)*31+AG85,IF(AF85&lt;=11,186+(AF85-7)*30+AG85,336+AG85))-1,""))</f>
        <v/>
      </c>
      <c r="AI85" s="7" t="str">
        <f aca="false">IF(W85="","",W85&amp;"-"&amp;TEXT(X85,"00"))</f>
        <v>1405-03</v>
      </c>
      <c r="AJ85" s="7" t="n">
        <f aca="false">IF(W85="","",W85*12+X85)</f>
        <v>16863</v>
      </c>
      <c r="AK85" s="7" t="str">
        <f aca="false">IF(U85="تاخیر",V85+ROW()/100000,"")</f>
        <v/>
      </c>
    </row>
    <row r="86" customFormat="false" ht="15" hidden="false" customHeight="false" outlineLevel="0" collapsed="false">
      <c r="A86" s="7" t="n">
        <f aca="false">IF(B86="","",ROW()-3)</f>
        <v>83</v>
      </c>
      <c r="B86" s="8" t="s">
        <v>229</v>
      </c>
      <c r="C86" s="8" t="s">
        <v>38</v>
      </c>
      <c r="D86" s="8" t="s">
        <v>47</v>
      </c>
      <c r="E86" s="9" t="s">
        <v>134</v>
      </c>
      <c r="F86" s="9" t="s">
        <v>51</v>
      </c>
      <c r="G86" s="8" t="s">
        <v>52</v>
      </c>
      <c r="H86" s="8" t="s">
        <v>230</v>
      </c>
      <c r="I86" s="8" t="s">
        <v>54</v>
      </c>
      <c r="J86" s="9"/>
      <c r="K86" s="8"/>
      <c r="L86" s="8" t="s">
        <v>231</v>
      </c>
      <c r="M86" s="8" t="s">
        <v>56</v>
      </c>
      <c r="N86" s="8"/>
      <c r="O86" s="8"/>
      <c r="P86" s="8"/>
      <c r="Q86" s="8"/>
      <c r="R86" s="9"/>
      <c r="S86" s="8"/>
      <c r="T86" s="9"/>
      <c r="U86" s="10" t="str">
        <f aca="true">IF(B86="","",IF(OR(P86&lt;&gt;"",I86="می‌باشد"),"بسته",IF(AND(L86&lt;&gt;"",W86=""),"خطای فرمت تاریخ ایجاد",IF(AND(H86&lt;&gt;"",AA86=""),"خطای فرمت مهلت",IF(AND(H86&lt;&gt;"",AD86&lt;&gt;"",TODAY()&gt;AD86),"تاخیر",IF(L86&lt;&gt;"","در حال انجام",""))))))</f>
        <v>بسته</v>
      </c>
      <c r="V86" s="7" t="n">
        <f aca="true">IF(U86="تاخیر",TODAY()-AD86,IF(AND(U86="بسته",AH86&lt;&gt;"",AD86&lt;&gt;"",AH86&gt;AD86),AH86-AD86,0))</f>
        <v>0</v>
      </c>
      <c r="W86" s="7" t="n">
        <f aca="false">IF(L86="","",VALUE(LEFT(L86,FIND("/",L86)-1)))</f>
        <v>1405</v>
      </c>
      <c r="X86" s="7" t="n">
        <f aca="false">IF(L86="","",VALUE(MID(L86,FIND("/",L86)+1,FIND("/",L86,FIND("/",L86)+1)-FIND("/",L86)-1)))</f>
        <v>3</v>
      </c>
      <c r="Y86" s="7" t="n">
        <f aca="false">IF(L86="","",VALUE(MID(L86,FIND("/",L86,FIND("/",L86)+1)+1,LEN(L86)-FIND("/",L86,FIND("/",L86)+1))))</f>
        <v>25</v>
      </c>
      <c r="Z86" s="11" t="n">
        <f aca="false">IF(OR(L86="",W86=""),"",IFERROR(INDEX('لیست‌ها'!$Q$3:$Q$53,MATCH(W86,'لیست‌ها'!$P$3:$P$53,0))+IF(X86&lt;=6,(X86-1)*31+Y86,IF(X86&lt;=11,186+(X86-7)*30+Y86,336+Y86))-1,""))</f>
        <v>46188</v>
      </c>
      <c r="AA86" s="7" t="n">
        <f aca="false">IF(H86="","",VALUE(LEFT(H86,FIND("/",H86)-1)))</f>
        <v>1405</v>
      </c>
      <c r="AB86" s="7" t="n">
        <f aca="false">IF(H86="","",VALUE(MID(H86,FIND("/",H86)+1,FIND("/",H86,FIND("/",H86)+1)-FIND("/",H86)-1)))</f>
        <v>5</v>
      </c>
      <c r="AC86" s="7" t="n">
        <f aca="false">IF(H86="","",VALUE(MID(H86,FIND("/",H86,FIND("/",H86)+1)+1,LEN(H86)-FIND("/",H86,FIND("/",H86)+1))))</f>
        <v>31</v>
      </c>
      <c r="AD86" s="11" t="n">
        <f aca="false">IF(OR(H86="",AA86=""),"",IFERROR(INDEX('لیست‌ها'!$Q$3:$Q$53,MATCH(AA86,'لیست‌ها'!$P$3:$P$53,0))+IF(AB86&lt;=6,(AB86-1)*31+AC86,IF(AB86&lt;=11,186+(AB86-7)*30+AC86,336+AC86))-1,""))</f>
        <v>46256</v>
      </c>
      <c r="AE86" s="7" t="str">
        <f aca="false">IF(P86="","",VALUE(LEFT(P86,FIND("/",P86)-1)))</f>
        <v/>
      </c>
      <c r="AF86" s="7" t="str">
        <f aca="false">IF(P86="","",VALUE(MID(P86,FIND("/",P86)+1,FIND("/",P86,FIND("/",P86)+1)-FIND("/",P86)-1)))</f>
        <v/>
      </c>
      <c r="AG86" s="7" t="str">
        <f aca="false">IF(P86="","",VALUE(MID(P86,FIND("/",P86,FIND("/",P86)+1)+1,LEN(P86)-FIND("/",P86,FIND("/",P86)+1))))</f>
        <v/>
      </c>
      <c r="AH86" s="7" t="str">
        <f aca="false">IF(OR(P86="",AE86=""),"",IFERROR(INDEX('لیست‌ها'!$Q$3:$Q$53,MATCH(AE86,'لیست‌ها'!$P$3:$P$53,0))+IF(AF86&lt;=6,(AF86-1)*31+AG86,IF(AF86&lt;=11,186+(AF86-7)*30+AG86,336+AG86))-1,""))</f>
        <v/>
      </c>
      <c r="AI86" s="7" t="str">
        <f aca="false">IF(W86="","",W86&amp;"-"&amp;TEXT(X86,"00"))</f>
        <v>1405-03</v>
      </c>
      <c r="AJ86" s="7" t="n">
        <f aca="false">IF(W86="","",W86*12+X86)</f>
        <v>16863</v>
      </c>
      <c r="AK86" s="7" t="str">
        <f aca="false">IF(U86="تاخیر",V86+ROW()/100000,"")</f>
        <v/>
      </c>
    </row>
    <row r="87" customFormat="false" ht="15" hidden="false" customHeight="false" outlineLevel="0" collapsed="false">
      <c r="A87" s="7" t="n">
        <f aca="false">IF(B87="","",ROW()-3)</f>
        <v>84</v>
      </c>
      <c r="B87" s="8" t="s">
        <v>227</v>
      </c>
      <c r="C87" s="8" t="s">
        <v>38</v>
      </c>
      <c r="D87" s="8" t="s">
        <v>47</v>
      </c>
      <c r="E87" s="9" t="s">
        <v>103</v>
      </c>
      <c r="F87" s="9" t="s">
        <v>51</v>
      </c>
      <c r="G87" s="8" t="s">
        <v>52</v>
      </c>
      <c r="H87" s="8" t="s">
        <v>223</v>
      </c>
      <c r="I87" s="8" t="s">
        <v>54</v>
      </c>
      <c r="J87" s="9"/>
      <c r="K87" s="8"/>
      <c r="L87" s="8" t="s">
        <v>228</v>
      </c>
      <c r="M87" s="8" t="s">
        <v>56</v>
      </c>
      <c r="N87" s="8"/>
      <c r="O87" s="8"/>
      <c r="P87" s="8"/>
      <c r="Q87" s="8"/>
      <c r="R87" s="9"/>
      <c r="S87" s="8"/>
      <c r="T87" s="9"/>
      <c r="U87" s="10" t="str">
        <f aca="true">IF(B87="","",IF(OR(P87&lt;&gt;"",I87="می‌باشد"),"بسته",IF(AND(L87&lt;&gt;"",W87=""),"خطای فرمت تاریخ ایجاد",IF(AND(H87&lt;&gt;"",AA87=""),"خطای فرمت مهلت",IF(AND(H87&lt;&gt;"",AD87&lt;&gt;"",TODAY()&gt;AD87),"تاخیر",IF(L87&lt;&gt;"","در حال انجام",""))))))</f>
        <v>بسته</v>
      </c>
      <c r="V87" s="7" t="n">
        <f aca="true">IF(U87="تاخیر",TODAY()-AD87,IF(AND(U87="بسته",AH87&lt;&gt;"",AD87&lt;&gt;"",AH87&gt;AD87),AH87-AD87,0))</f>
        <v>0</v>
      </c>
      <c r="W87" s="7" t="n">
        <f aca="false">IF(L87="","",VALUE(LEFT(L87,FIND("/",L87)-1)))</f>
        <v>1405</v>
      </c>
      <c r="X87" s="7" t="n">
        <f aca="false">IF(L87="","",VALUE(MID(L87,FIND("/",L87)+1,FIND("/",L87,FIND("/",L87)+1)-FIND("/",L87)-1)))</f>
        <v>3</v>
      </c>
      <c r="Y87" s="7" t="n">
        <f aca="false">IF(L87="","",VALUE(MID(L87,FIND("/",L87,FIND("/",L87)+1)+1,LEN(L87)-FIND("/",L87,FIND("/",L87)+1))))</f>
        <v>26</v>
      </c>
      <c r="Z87" s="11" t="n">
        <f aca="false">IF(OR(L87="",W87=""),"",IFERROR(INDEX('لیست‌ها'!$Q$3:$Q$53,MATCH(W87,'لیست‌ها'!$P$3:$P$53,0))+IF(X87&lt;=6,(X87-1)*31+Y87,IF(X87&lt;=11,186+(X87-7)*30+Y87,336+Y87))-1,""))</f>
        <v>46189</v>
      </c>
      <c r="AA87" s="7" t="n">
        <f aca="false">IF(H87="","",VALUE(LEFT(H87,FIND("/",H87)-1)))</f>
        <v>1405</v>
      </c>
      <c r="AB87" s="7" t="n">
        <f aca="false">IF(H87="","",VALUE(MID(H87,FIND("/",H87)+1,FIND("/",H87,FIND("/",H87)+1)-FIND("/",H87)-1)))</f>
        <v>4</v>
      </c>
      <c r="AC87" s="7" t="n">
        <f aca="false">IF(H87="","",VALUE(MID(H87,FIND("/",H87,FIND("/",H87)+1)+1,LEN(H87)-FIND("/",H87,FIND("/",H87)+1))))</f>
        <v>31</v>
      </c>
      <c r="AD87" s="11" t="n">
        <f aca="false">IF(OR(H87="",AA87=""),"",IFERROR(INDEX('لیست‌ها'!$Q$3:$Q$53,MATCH(AA87,'لیست‌ها'!$P$3:$P$53,0))+IF(AB87&lt;=6,(AB87-1)*31+AC87,IF(AB87&lt;=11,186+(AB87-7)*30+AC87,336+AC87))-1,""))</f>
        <v>46225</v>
      </c>
      <c r="AE87" s="7" t="str">
        <f aca="false">IF(P87="","",VALUE(LEFT(P87,FIND("/",P87)-1)))</f>
        <v/>
      </c>
      <c r="AF87" s="7" t="str">
        <f aca="false">IF(P87="","",VALUE(MID(P87,FIND("/",P87)+1,FIND("/",P87,FIND("/",P87)+1)-FIND("/",P87)-1)))</f>
        <v/>
      </c>
      <c r="AG87" s="7" t="str">
        <f aca="false">IF(P87="","",VALUE(MID(P87,FIND("/",P87,FIND("/",P87)+1)+1,LEN(P87)-FIND("/",P87,FIND("/",P87)+1))))</f>
        <v/>
      </c>
      <c r="AH87" s="7" t="str">
        <f aca="false">IF(OR(P87="",AE87=""),"",IFERROR(INDEX('لیست‌ها'!$Q$3:$Q$53,MATCH(AE87,'لیست‌ها'!$P$3:$P$53,0))+IF(AF87&lt;=6,(AF87-1)*31+AG87,IF(AF87&lt;=11,186+(AF87-7)*30+AG87,336+AG87))-1,""))</f>
        <v/>
      </c>
      <c r="AI87" s="7" t="str">
        <f aca="false">IF(W87="","",W87&amp;"-"&amp;TEXT(X87,"00"))</f>
        <v>1405-03</v>
      </c>
      <c r="AJ87" s="7" t="n">
        <f aca="false">IF(W87="","",W87*12+X87)</f>
        <v>16863</v>
      </c>
      <c r="AK87" s="7" t="str">
        <f aca="false">IF(U87="تاخیر",V87+ROW()/100000,"")</f>
        <v/>
      </c>
    </row>
    <row r="88" customFormat="false" ht="15" hidden="false" customHeight="false" outlineLevel="0" collapsed="false">
      <c r="A88" s="7" t="n">
        <f aca="false">IF(B88="","",ROW()-3)</f>
        <v>85</v>
      </c>
      <c r="B88" s="8" t="s">
        <v>225</v>
      </c>
      <c r="C88" s="8" t="s">
        <v>38</v>
      </c>
      <c r="D88" s="8" t="s">
        <v>47</v>
      </c>
      <c r="E88" s="9" t="s">
        <v>184</v>
      </c>
      <c r="F88" s="9" t="s">
        <v>51</v>
      </c>
      <c r="G88" s="8" t="s">
        <v>52</v>
      </c>
      <c r="H88" s="8" t="s">
        <v>223</v>
      </c>
      <c r="I88" s="8"/>
      <c r="J88" s="9"/>
      <c r="K88" s="8"/>
      <c r="L88" s="8" t="s">
        <v>226</v>
      </c>
      <c r="M88" s="8" t="s">
        <v>110</v>
      </c>
      <c r="N88" s="8"/>
      <c r="O88" s="8"/>
      <c r="P88" s="8"/>
      <c r="Q88" s="8"/>
      <c r="R88" s="9"/>
      <c r="S88" s="8"/>
      <c r="T88" s="9"/>
      <c r="U88" s="10" t="str">
        <f aca="true">IF(B88="","",IF(OR(P88&lt;&gt;"",I88="می‌باشد"),"بسته",IF(AND(L88&lt;&gt;"",W88=""),"خطای فرمت تاریخ ایجاد",IF(AND(H88&lt;&gt;"",AA88=""),"خطای فرمت مهلت",IF(AND(H88&lt;&gt;"",AD88&lt;&gt;"",TODAY()&gt;AD88),"تاخیر",IF(L88&lt;&gt;"","در حال انجام",""))))))</f>
        <v>تاخیر</v>
      </c>
      <c r="V88" s="7" t="n">
        <f aca="true">IF(U88="تاخیر",TODAY()-AD88,IF(AND(U88="بسته",AH88&lt;&gt;"",AD88&lt;&gt;"",AH88&gt;AD88),AH88-AD88,0))</f>
        <v>70</v>
      </c>
      <c r="W88" s="7" t="n">
        <f aca="false">IF(L88="","",VALUE(LEFT(L88,FIND("/",L88)-1)))</f>
        <v>1405</v>
      </c>
      <c r="X88" s="7" t="n">
        <f aca="false">IF(L88="","",VALUE(MID(L88,FIND("/",L88)+1,FIND("/",L88,FIND("/",L88)+1)-FIND("/",L88)-1)))</f>
        <v>3</v>
      </c>
      <c r="Y88" s="7" t="n">
        <f aca="false">IF(L88="","",VALUE(MID(L88,FIND("/",L88,FIND("/",L88)+1)+1,LEN(L88)-FIND("/",L88,FIND("/",L88)+1))))</f>
        <v>27</v>
      </c>
      <c r="Z88" s="11" t="n">
        <f aca="false">IF(OR(L88="",W88=""),"",IFERROR(INDEX('لیست‌ها'!$Q$3:$Q$53,MATCH(W88,'لیست‌ها'!$P$3:$P$53,0))+IF(X88&lt;=6,(X88-1)*31+Y88,IF(X88&lt;=11,186+(X88-7)*30+Y88,336+Y88))-1,""))</f>
        <v>46190</v>
      </c>
      <c r="AA88" s="7" t="n">
        <f aca="false">IF(H88="","",VALUE(LEFT(H88,FIND("/",H88)-1)))</f>
        <v>1405</v>
      </c>
      <c r="AB88" s="7" t="n">
        <f aca="false">IF(H88="","",VALUE(MID(H88,FIND("/",H88)+1,FIND("/",H88,FIND("/",H88)+1)-FIND("/",H88)-1)))</f>
        <v>4</v>
      </c>
      <c r="AC88" s="7" t="n">
        <f aca="false">IF(H88="","",VALUE(MID(H88,FIND("/",H88,FIND("/",H88)+1)+1,LEN(H88)-FIND("/",H88,FIND("/",H88)+1))))</f>
        <v>31</v>
      </c>
      <c r="AD88" s="11" t="n">
        <f aca="false">IF(OR(H88="",AA88=""),"",IFERROR(INDEX('لیست‌ها'!$Q$3:$Q$53,MATCH(AA88,'لیست‌ها'!$P$3:$P$53,0))+IF(AB88&lt;=6,(AB88-1)*31+AC88,IF(AB88&lt;=11,186+(AB88-7)*30+AC88,336+AC88))-1,""))</f>
        <v>46225</v>
      </c>
      <c r="AE88" s="7" t="str">
        <f aca="false">IF(P88="","",VALUE(LEFT(P88,FIND("/",P88)-1)))</f>
        <v/>
      </c>
      <c r="AF88" s="7" t="str">
        <f aca="false">IF(P88="","",VALUE(MID(P88,FIND("/",P88)+1,FIND("/",P88,FIND("/",P88)+1)-FIND("/",P88)-1)))</f>
        <v/>
      </c>
      <c r="AG88" s="7" t="str">
        <f aca="false">IF(P88="","",VALUE(MID(P88,FIND("/",P88,FIND("/",P88)+1)+1,LEN(P88)-FIND("/",P88,FIND("/",P88)+1))))</f>
        <v/>
      </c>
      <c r="AH88" s="7" t="str">
        <f aca="false">IF(OR(P88="",AE88=""),"",IFERROR(INDEX('لیست‌ها'!$Q$3:$Q$53,MATCH(AE88,'لیست‌ها'!$P$3:$P$53,0))+IF(AF88&lt;=6,(AF88-1)*31+AG88,IF(AF88&lt;=11,186+(AF88-7)*30+AG88,336+AG88))-1,""))</f>
        <v/>
      </c>
      <c r="AI88" s="7" t="str">
        <f aca="false">IF(W88="","",W88&amp;"-"&amp;TEXT(X88,"00"))</f>
        <v>1405-03</v>
      </c>
      <c r="AJ88" s="7" t="n">
        <f aca="false">IF(W88="","",W88*12+X88)</f>
        <v>16863</v>
      </c>
      <c r="AK88" s="7" t="n">
        <f aca="false">IF(U88="تاخیر",V88+ROW()/100000,"")</f>
        <v>70.00077</v>
      </c>
    </row>
    <row r="89" customFormat="false" ht="15" hidden="false" customHeight="false" outlineLevel="0" collapsed="false">
      <c r="A89" s="7" t="n">
        <f aca="false">IF(B89="","",ROW()-3)</f>
        <v>86</v>
      </c>
      <c r="B89" s="8" t="s">
        <v>221</v>
      </c>
      <c r="C89" s="8" t="s">
        <v>38</v>
      </c>
      <c r="D89" s="8" t="s">
        <v>47</v>
      </c>
      <c r="E89" s="9" t="s">
        <v>222</v>
      </c>
      <c r="F89" s="9" t="s">
        <v>51</v>
      </c>
      <c r="G89" s="8" t="s">
        <v>52</v>
      </c>
      <c r="H89" s="8" t="s">
        <v>223</v>
      </c>
      <c r="I89" s="8"/>
      <c r="J89" s="9"/>
      <c r="K89" s="8"/>
      <c r="L89" s="8" t="s">
        <v>224</v>
      </c>
      <c r="M89" s="8" t="s">
        <v>110</v>
      </c>
      <c r="N89" s="8"/>
      <c r="O89" s="8"/>
      <c r="P89" s="8"/>
      <c r="Q89" s="8"/>
      <c r="R89" s="9"/>
      <c r="S89" s="8"/>
      <c r="T89" s="9"/>
      <c r="U89" s="10" t="str">
        <f aca="true">IF(B89="","",IF(OR(P89&lt;&gt;"",I89="می‌باشد"),"بسته",IF(AND(L89&lt;&gt;"",W89=""),"خطای فرمت تاریخ ایجاد",IF(AND(H89&lt;&gt;"",AA89=""),"خطای فرمت مهلت",IF(AND(H89&lt;&gt;"",AD89&lt;&gt;"",TODAY()&gt;AD89),"تاخیر",IF(L89&lt;&gt;"","در حال انجام",""))))))</f>
        <v>تاخیر</v>
      </c>
      <c r="V89" s="7" t="n">
        <f aca="true">IF(U89="تاخیر",TODAY()-AD89,IF(AND(U89="بسته",AH89&lt;&gt;"",AD89&lt;&gt;"",AH89&gt;AD89),AH89-AD89,0))</f>
        <v>70</v>
      </c>
      <c r="W89" s="7" t="n">
        <f aca="false">IF(L89="","",VALUE(LEFT(L89,FIND("/",L89)-1)))</f>
        <v>1405</v>
      </c>
      <c r="X89" s="7" t="n">
        <f aca="false">IF(L89="","",VALUE(MID(L89,FIND("/",L89)+1,FIND("/",L89,FIND("/",L89)+1)-FIND("/",L89)-1)))</f>
        <v>3</v>
      </c>
      <c r="Y89" s="7" t="n">
        <f aca="false">IF(L89="","",VALUE(MID(L89,FIND("/",L89,FIND("/",L89)+1)+1,LEN(L89)-FIND("/",L89,FIND("/",L89)+1))))</f>
        <v>30</v>
      </c>
      <c r="Z89" s="11" t="n">
        <f aca="false">IF(OR(L89="",W89=""),"",IFERROR(INDEX('لیست‌ها'!$Q$3:$Q$53,MATCH(W89,'لیست‌ها'!$P$3:$P$53,0))+IF(X89&lt;=6,(X89-1)*31+Y89,IF(X89&lt;=11,186+(X89-7)*30+Y89,336+Y89))-1,""))</f>
        <v>46193</v>
      </c>
      <c r="AA89" s="7" t="n">
        <f aca="false">IF(H89="","",VALUE(LEFT(H89,FIND("/",H89)-1)))</f>
        <v>1405</v>
      </c>
      <c r="AB89" s="7" t="n">
        <f aca="false">IF(H89="","",VALUE(MID(H89,FIND("/",H89)+1,FIND("/",H89,FIND("/",H89)+1)-FIND("/",H89)-1)))</f>
        <v>4</v>
      </c>
      <c r="AC89" s="7" t="n">
        <f aca="false">IF(H89="","",VALUE(MID(H89,FIND("/",H89,FIND("/",H89)+1)+1,LEN(H89)-FIND("/",H89,FIND("/",H89)+1))))</f>
        <v>31</v>
      </c>
      <c r="AD89" s="11" t="n">
        <f aca="false">IF(OR(H89="",AA89=""),"",IFERROR(INDEX('لیست‌ها'!$Q$3:$Q$53,MATCH(AA89,'لیست‌ها'!$P$3:$P$53,0))+IF(AB89&lt;=6,(AB89-1)*31+AC89,IF(AB89&lt;=11,186+(AB89-7)*30+AC89,336+AC89))-1,""))</f>
        <v>46225</v>
      </c>
      <c r="AE89" s="7" t="str">
        <f aca="false">IF(P89="","",VALUE(LEFT(P89,FIND("/",P89)-1)))</f>
        <v/>
      </c>
      <c r="AF89" s="7" t="str">
        <f aca="false">IF(P89="","",VALUE(MID(P89,FIND("/",P89)+1,FIND("/",P89,FIND("/",P89)+1)-FIND("/",P89)-1)))</f>
        <v/>
      </c>
      <c r="AG89" s="7" t="str">
        <f aca="false">IF(P89="","",VALUE(MID(P89,FIND("/",P89,FIND("/",P89)+1)+1,LEN(P89)-FIND("/",P89,FIND("/",P89)+1))))</f>
        <v/>
      </c>
      <c r="AH89" s="7" t="str">
        <f aca="false">IF(OR(P89="",AE89=""),"",IFERROR(INDEX('لیست‌ها'!$Q$3:$Q$53,MATCH(AE89,'لیست‌ها'!$P$3:$P$53,0))+IF(AF89&lt;=6,(AF89-1)*31+AG89,IF(AF89&lt;=11,186+(AF89-7)*30+AG89,336+AG89))-1,""))</f>
        <v/>
      </c>
      <c r="AI89" s="7" t="str">
        <f aca="false">IF(W89="","",W89&amp;"-"&amp;TEXT(X89,"00"))</f>
        <v>1405-03</v>
      </c>
      <c r="AJ89" s="7" t="n">
        <f aca="false">IF(W89="","",W89*12+X89)</f>
        <v>16863</v>
      </c>
      <c r="AK89" s="7" t="n">
        <f aca="false">IF(U89="تاخیر",V89+ROW()/100000,"")</f>
        <v>70.00076</v>
      </c>
    </row>
    <row r="90" customFormat="false" ht="15" hidden="false" customHeight="false" outlineLevel="0" collapsed="false">
      <c r="A90" s="7" t="n">
        <f aca="false">IF(B90="","",ROW()-3)</f>
        <v>87</v>
      </c>
      <c r="B90" s="8" t="s">
        <v>277</v>
      </c>
      <c r="C90" s="8" t="s">
        <v>38</v>
      </c>
      <c r="D90" s="8" t="s">
        <v>47</v>
      </c>
      <c r="E90" s="9" t="s">
        <v>278</v>
      </c>
      <c r="F90" s="9" t="s">
        <v>51</v>
      </c>
      <c r="G90" s="8" t="s">
        <v>52</v>
      </c>
      <c r="H90" s="8" t="s">
        <v>230</v>
      </c>
      <c r="I90" s="8"/>
      <c r="J90" s="9"/>
      <c r="K90" s="8"/>
      <c r="L90" s="8" t="s">
        <v>224</v>
      </c>
      <c r="M90" s="8" t="s">
        <v>276</v>
      </c>
      <c r="N90" s="8"/>
      <c r="O90" s="8"/>
      <c r="P90" s="8"/>
      <c r="Q90" s="8"/>
      <c r="R90" s="9"/>
      <c r="S90" s="8"/>
      <c r="T90" s="9"/>
      <c r="U90" s="10" t="str">
        <f aca="true">IF(B90="","",IF(OR(P90&lt;&gt;"",I90="می‌باشد"),"بسته",IF(AND(L90&lt;&gt;"",W90=""),"خطای فرمت تاریخ ایجاد",IF(AND(H90&lt;&gt;"",AA90=""),"خطای فرمت مهلت",IF(AND(H90&lt;&gt;"",AD90&lt;&gt;"",TODAY()&gt;AD90),"تاخیر",IF(L90&lt;&gt;"","در حال انجام",""))))))</f>
        <v>تاخیر</v>
      </c>
      <c r="V90" s="7" t="n">
        <f aca="true">IF(U90="تاخیر",TODAY()-AD90,IF(AND(U90="بسته",AH90&lt;&gt;"",AD90&lt;&gt;"",AH90&gt;AD90),AH90-AD90,0))</f>
        <v>39</v>
      </c>
      <c r="W90" s="7" t="n">
        <f aca="false">IF(L90="","",VALUE(LEFT(L90,FIND("/",L90)-1)))</f>
        <v>1405</v>
      </c>
      <c r="X90" s="7" t="n">
        <f aca="false">IF(L90="","",VALUE(MID(L90,FIND("/",L90)+1,FIND("/",L90,FIND("/",L90)+1)-FIND("/",L90)-1)))</f>
        <v>3</v>
      </c>
      <c r="Y90" s="7" t="n">
        <f aca="false">IF(L90="","",VALUE(MID(L90,FIND("/",L90,FIND("/",L90)+1)+1,LEN(L90)-FIND("/",L90,FIND("/",L90)+1))))</f>
        <v>30</v>
      </c>
      <c r="Z90" s="11" t="n">
        <f aca="false">IF(OR(L90="",W90=""),"",IFERROR(INDEX('لیست‌ها'!$Q$3:$Q$53,MATCH(W90,'لیست‌ها'!$P$3:$P$53,0))+IF(X90&lt;=6,(X90-1)*31+Y90,IF(X90&lt;=11,186+(X90-7)*30+Y90,336+Y90))-1,""))</f>
        <v>46193</v>
      </c>
      <c r="AA90" s="7" t="n">
        <f aca="false">IF(H90="","",VALUE(LEFT(H90,FIND("/",H90)-1)))</f>
        <v>1405</v>
      </c>
      <c r="AB90" s="7" t="n">
        <f aca="false">IF(H90="","",VALUE(MID(H90,FIND("/",H90)+1,FIND("/",H90,FIND("/",H90)+1)-FIND("/",H90)-1)))</f>
        <v>5</v>
      </c>
      <c r="AC90" s="7" t="n">
        <f aca="false">IF(H90="","",VALUE(MID(H90,FIND("/",H90,FIND("/",H90)+1)+1,LEN(H90)-FIND("/",H90,FIND("/",H90)+1))))</f>
        <v>31</v>
      </c>
      <c r="AD90" s="11" t="n">
        <f aca="false">IF(OR(H90="",AA90=""),"",IFERROR(INDEX('لیست‌ها'!$Q$3:$Q$53,MATCH(AA90,'لیست‌ها'!$P$3:$P$53,0))+IF(AB90&lt;=6,(AB90-1)*31+AC90,IF(AB90&lt;=11,186+(AB90-7)*30+AC90,336+AC90))-1,""))</f>
        <v>46256</v>
      </c>
      <c r="AE90" s="7" t="str">
        <f aca="false">IF(P90="","",VALUE(LEFT(P90,FIND("/",P90)-1)))</f>
        <v/>
      </c>
      <c r="AF90" s="7" t="str">
        <f aca="false">IF(P90="","",VALUE(MID(P90,FIND("/",P90)+1,FIND("/",P90,FIND("/",P90)+1)-FIND("/",P90)-1)))</f>
        <v/>
      </c>
      <c r="AG90" s="7" t="str">
        <f aca="false">IF(P90="","",VALUE(MID(P90,FIND("/",P90,FIND("/",P90)+1)+1,LEN(P90)-FIND("/",P90,FIND("/",P90)+1))))</f>
        <v/>
      </c>
      <c r="AH90" s="7" t="str">
        <f aca="false">IF(OR(P90="",AE90=""),"",IFERROR(INDEX('لیست‌ها'!$Q$3:$Q$53,MATCH(AE90,'لیست‌ها'!$P$3:$P$53,0))+IF(AF90&lt;=6,(AF90-1)*31+AG90,IF(AF90&lt;=11,186+(AF90-7)*30+AG90,336+AG90))-1,""))</f>
        <v/>
      </c>
      <c r="AI90" s="7" t="str">
        <f aca="false">IF(W90="","",W90&amp;"-"&amp;TEXT(X90,"00"))</f>
        <v>1405-03</v>
      </c>
      <c r="AJ90" s="7" t="n">
        <f aca="false">IF(W90="","",W90*12+X90)</f>
        <v>16863</v>
      </c>
      <c r="AK90" s="7" t="n">
        <f aca="false">IF(U90="تاخیر",V90+ROW()/100000,"")</f>
        <v>39.00104</v>
      </c>
    </row>
    <row r="91" customFormat="false" ht="15" hidden="false" customHeight="false" outlineLevel="0" collapsed="false">
      <c r="A91" s="7" t="n">
        <f aca="false">IF(B91="","",ROW()-3)</f>
        <v>88</v>
      </c>
      <c r="B91" s="8" t="s">
        <v>275</v>
      </c>
      <c r="C91" s="8" t="s">
        <v>38</v>
      </c>
      <c r="D91" s="8" t="s">
        <v>47</v>
      </c>
      <c r="E91" s="9" t="s">
        <v>63</v>
      </c>
      <c r="F91" s="9" t="s">
        <v>51</v>
      </c>
      <c r="G91" s="8" t="s">
        <v>52</v>
      </c>
      <c r="H91" s="8" t="s">
        <v>230</v>
      </c>
      <c r="I91" s="8"/>
      <c r="J91" s="9"/>
      <c r="K91" s="8"/>
      <c r="L91" s="8" t="s">
        <v>224</v>
      </c>
      <c r="M91" s="8" t="s">
        <v>276</v>
      </c>
      <c r="N91" s="8"/>
      <c r="O91" s="8"/>
      <c r="P91" s="8"/>
      <c r="Q91" s="8"/>
      <c r="R91" s="9"/>
      <c r="S91" s="8"/>
      <c r="T91" s="9"/>
      <c r="U91" s="10" t="str">
        <f aca="true">IF(B91="","",IF(OR(P91&lt;&gt;"",I91="می‌باشد"),"بسته",IF(AND(L91&lt;&gt;"",W91=""),"خطای فرمت تاریخ ایجاد",IF(AND(H91&lt;&gt;"",AA91=""),"خطای فرمت مهلت",IF(AND(H91&lt;&gt;"",AD91&lt;&gt;"",TODAY()&gt;AD91),"تاخیر",IF(L91&lt;&gt;"","در حال انجام",""))))))</f>
        <v>تاخیر</v>
      </c>
      <c r="V91" s="7" t="n">
        <f aca="true">IF(U91="تاخیر",TODAY()-AD91,IF(AND(U91="بسته",AH91&lt;&gt;"",AD91&lt;&gt;"",AH91&gt;AD91),AH91-AD91,0))</f>
        <v>39</v>
      </c>
      <c r="W91" s="7" t="n">
        <f aca="false">IF(L91="","",VALUE(LEFT(L91,FIND("/",L91)-1)))</f>
        <v>1405</v>
      </c>
      <c r="X91" s="7" t="n">
        <f aca="false">IF(L91="","",VALUE(MID(L91,FIND("/",L91)+1,FIND("/",L91,FIND("/",L91)+1)-FIND("/",L91)-1)))</f>
        <v>3</v>
      </c>
      <c r="Y91" s="7" t="n">
        <f aca="false">IF(L91="","",VALUE(MID(L91,FIND("/",L91,FIND("/",L91)+1)+1,LEN(L91)-FIND("/",L91,FIND("/",L91)+1))))</f>
        <v>30</v>
      </c>
      <c r="Z91" s="11" t="n">
        <f aca="false">IF(OR(L91="",W91=""),"",IFERROR(INDEX('لیست‌ها'!$Q$3:$Q$53,MATCH(W91,'لیست‌ها'!$P$3:$P$53,0))+IF(X91&lt;=6,(X91-1)*31+Y91,IF(X91&lt;=11,186+(X91-7)*30+Y91,336+Y91))-1,""))</f>
        <v>46193</v>
      </c>
      <c r="AA91" s="7" t="n">
        <f aca="false">IF(H91="","",VALUE(LEFT(H91,FIND("/",H91)-1)))</f>
        <v>1405</v>
      </c>
      <c r="AB91" s="7" t="n">
        <f aca="false">IF(H91="","",VALUE(MID(H91,FIND("/",H91)+1,FIND("/",H91,FIND("/",H91)+1)-FIND("/",H91)-1)))</f>
        <v>5</v>
      </c>
      <c r="AC91" s="7" t="n">
        <f aca="false">IF(H91="","",VALUE(MID(H91,FIND("/",H91,FIND("/",H91)+1)+1,LEN(H91)-FIND("/",H91,FIND("/",H91)+1))))</f>
        <v>31</v>
      </c>
      <c r="AD91" s="11" t="n">
        <f aca="false">IF(OR(H91="",AA91=""),"",IFERROR(INDEX('لیست‌ها'!$Q$3:$Q$53,MATCH(AA91,'لیست‌ها'!$P$3:$P$53,0))+IF(AB91&lt;=6,(AB91-1)*31+AC91,IF(AB91&lt;=11,186+(AB91-7)*30+AC91,336+AC91))-1,""))</f>
        <v>46256</v>
      </c>
      <c r="AE91" s="7" t="str">
        <f aca="false">IF(P91="","",VALUE(LEFT(P91,FIND("/",P91)-1)))</f>
        <v/>
      </c>
      <c r="AF91" s="7" t="str">
        <f aca="false">IF(P91="","",VALUE(MID(P91,FIND("/",P91)+1,FIND("/",P91,FIND("/",P91)+1)-FIND("/",P91)-1)))</f>
        <v/>
      </c>
      <c r="AG91" s="7" t="str">
        <f aca="false">IF(P91="","",VALUE(MID(P91,FIND("/",P91,FIND("/",P91)+1)+1,LEN(P91)-FIND("/",P91,FIND("/",P91)+1))))</f>
        <v/>
      </c>
      <c r="AH91" s="7" t="str">
        <f aca="false">IF(OR(P91="",AE91=""),"",IFERROR(INDEX('لیست‌ها'!$Q$3:$Q$53,MATCH(AE91,'لیست‌ها'!$P$3:$P$53,0))+IF(AF91&lt;=6,(AF91-1)*31+AG91,IF(AF91&lt;=11,186+(AF91-7)*30+AG91,336+AG91))-1,""))</f>
        <v/>
      </c>
      <c r="AI91" s="7" t="str">
        <f aca="false">IF(W91="","",W91&amp;"-"&amp;TEXT(X91,"00"))</f>
        <v>1405-03</v>
      </c>
      <c r="AJ91" s="7" t="n">
        <f aca="false">IF(W91="","",W91*12+X91)</f>
        <v>16863</v>
      </c>
      <c r="AK91" s="7" t="n">
        <f aca="false">IF(U91="تاخیر",V91+ROW()/100000,"")</f>
        <v>39.00103</v>
      </c>
    </row>
    <row r="92" customFormat="false" ht="15" hidden="false" customHeight="false" outlineLevel="0" collapsed="false">
      <c r="A92" s="7" t="n">
        <f aca="false">IF(B92="","",ROW()-3)</f>
        <v>89</v>
      </c>
      <c r="B92" s="8" t="s">
        <v>273</v>
      </c>
      <c r="C92" s="8" t="s">
        <v>38</v>
      </c>
      <c r="D92" s="8" t="s">
        <v>47</v>
      </c>
      <c r="E92" s="9" t="s">
        <v>274</v>
      </c>
      <c r="F92" s="9" t="s">
        <v>51</v>
      </c>
      <c r="G92" s="8" t="s">
        <v>52</v>
      </c>
      <c r="H92" s="8" t="s">
        <v>230</v>
      </c>
      <c r="I92" s="8" t="s">
        <v>54</v>
      </c>
      <c r="J92" s="9"/>
      <c r="K92" s="8"/>
      <c r="L92" s="8" t="s">
        <v>216</v>
      </c>
      <c r="M92" s="8" t="s">
        <v>56</v>
      </c>
      <c r="N92" s="8"/>
      <c r="O92" s="8"/>
      <c r="P92" s="8"/>
      <c r="Q92" s="8"/>
      <c r="R92" s="9"/>
      <c r="S92" s="8"/>
      <c r="T92" s="9"/>
      <c r="U92" s="10" t="str">
        <f aca="true">IF(B92="","",IF(OR(P92&lt;&gt;"",I92="می‌باشد"),"بسته",IF(AND(L92&lt;&gt;"",W92=""),"خطای فرمت تاریخ ایجاد",IF(AND(H92&lt;&gt;"",AA92=""),"خطای فرمت مهلت",IF(AND(H92&lt;&gt;"",AD92&lt;&gt;"",TODAY()&gt;AD92),"تاخیر",IF(L92&lt;&gt;"","در حال انجام",""))))))</f>
        <v>بسته</v>
      </c>
      <c r="V92" s="7" t="n">
        <f aca="true">IF(U92="تاخیر",TODAY()-AD92,IF(AND(U92="بسته",AH92&lt;&gt;"",AD92&lt;&gt;"",AH92&gt;AD92),AH92-AD92,0))</f>
        <v>0</v>
      </c>
      <c r="W92" s="7" t="n">
        <f aca="false">IF(L92="","",VALUE(LEFT(L92,FIND("/",L92)-1)))</f>
        <v>1405</v>
      </c>
      <c r="X92" s="7" t="n">
        <f aca="false">IF(L92="","",VALUE(MID(L92,FIND("/",L92)+1,FIND("/",L92,FIND("/",L92)+1)-FIND("/",L92)-1)))</f>
        <v>3</v>
      </c>
      <c r="Y92" s="7" t="n">
        <f aca="false">IF(L92="","",VALUE(MID(L92,FIND("/",L92,FIND("/",L92)+1)+1,LEN(L92)-FIND("/",L92,FIND("/",L92)+1))))</f>
        <v>31</v>
      </c>
      <c r="Z92" s="11" t="n">
        <f aca="false">IF(OR(L92="",W92=""),"",IFERROR(INDEX('لیست‌ها'!$Q$3:$Q$53,MATCH(W92,'لیست‌ها'!$P$3:$P$53,0))+IF(X92&lt;=6,(X92-1)*31+Y92,IF(X92&lt;=11,186+(X92-7)*30+Y92,336+Y92))-1,""))</f>
        <v>46194</v>
      </c>
      <c r="AA92" s="7" t="n">
        <f aca="false">IF(H92="","",VALUE(LEFT(H92,FIND("/",H92)-1)))</f>
        <v>1405</v>
      </c>
      <c r="AB92" s="7" t="n">
        <f aca="false">IF(H92="","",VALUE(MID(H92,FIND("/",H92)+1,FIND("/",H92,FIND("/",H92)+1)-FIND("/",H92)-1)))</f>
        <v>5</v>
      </c>
      <c r="AC92" s="7" t="n">
        <f aca="false">IF(H92="","",VALUE(MID(H92,FIND("/",H92,FIND("/",H92)+1)+1,LEN(H92)-FIND("/",H92,FIND("/",H92)+1))))</f>
        <v>31</v>
      </c>
      <c r="AD92" s="11" t="n">
        <f aca="false">IF(OR(H92="",AA92=""),"",IFERROR(INDEX('لیست‌ها'!$Q$3:$Q$53,MATCH(AA92,'لیست‌ها'!$P$3:$P$53,0))+IF(AB92&lt;=6,(AB92-1)*31+AC92,IF(AB92&lt;=11,186+(AB92-7)*30+AC92,336+AC92))-1,""))</f>
        <v>46256</v>
      </c>
      <c r="AE92" s="7" t="str">
        <f aca="false">IF(P92="","",VALUE(LEFT(P92,FIND("/",P92)-1)))</f>
        <v/>
      </c>
      <c r="AF92" s="7" t="str">
        <f aca="false">IF(P92="","",VALUE(MID(P92,FIND("/",P92)+1,FIND("/",P92,FIND("/",P92)+1)-FIND("/",P92)-1)))</f>
        <v/>
      </c>
      <c r="AG92" s="7" t="str">
        <f aca="false">IF(P92="","",VALUE(MID(P92,FIND("/",P92,FIND("/",P92)+1)+1,LEN(P92)-FIND("/",P92,FIND("/",P92)+1))))</f>
        <v/>
      </c>
      <c r="AH92" s="7" t="str">
        <f aca="false">IF(OR(P92="",AE92=""),"",IFERROR(INDEX('لیست‌ها'!$Q$3:$Q$53,MATCH(AE92,'لیست‌ها'!$P$3:$P$53,0))+IF(AF92&lt;=6,(AF92-1)*31+AG92,IF(AF92&lt;=11,186+(AF92-7)*30+AG92,336+AG92))-1,""))</f>
        <v/>
      </c>
      <c r="AI92" s="7" t="str">
        <f aca="false">IF(W92="","",W92&amp;"-"&amp;TEXT(X92,"00"))</f>
        <v>1405-03</v>
      </c>
      <c r="AJ92" s="7" t="n">
        <f aca="false">IF(W92="","",W92*12+X92)</f>
        <v>16863</v>
      </c>
      <c r="AK92" s="7" t="str">
        <f aca="false">IF(U92="تاخیر",V92+ROW()/100000,"")</f>
        <v/>
      </c>
    </row>
    <row r="93" customFormat="false" ht="15" hidden="false" customHeight="false" outlineLevel="0" collapsed="false">
      <c r="A93" s="7" t="n">
        <f aca="false">IF(B93="","",ROW()-3)</f>
        <v>90</v>
      </c>
      <c r="B93" s="8" t="s">
        <v>271</v>
      </c>
      <c r="C93" s="8" t="s">
        <v>38</v>
      </c>
      <c r="D93" s="8" t="s">
        <v>47</v>
      </c>
      <c r="E93" s="9" t="s">
        <v>272</v>
      </c>
      <c r="F93" s="9" t="s">
        <v>51</v>
      </c>
      <c r="G93" s="8" t="s">
        <v>52</v>
      </c>
      <c r="H93" s="8" t="s">
        <v>230</v>
      </c>
      <c r="I93" s="8" t="s">
        <v>54</v>
      </c>
      <c r="J93" s="9"/>
      <c r="K93" s="8"/>
      <c r="L93" s="8" t="s">
        <v>216</v>
      </c>
      <c r="M93" s="8" t="s">
        <v>56</v>
      </c>
      <c r="N93" s="8"/>
      <c r="O93" s="8"/>
      <c r="P93" s="8"/>
      <c r="Q93" s="8"/>
      <c r="R93" s="9"/>
      <c r="S93" s="8"/>
      <c r="T93" s="9"/>
      <c r="U93" s="10" t="str">
        <f aca="true">IF(B93="","",IF(OR(P93&lt;&gt;"",I93="می‌باشد"),"بسته",IF(AND(L93&lt;&gt;"",W93=""),"خطای فرمت تاریخ ایجاد",IF(AND(H93&lt;&gt;"",AA93=""),"خطای فرمت مهلت",IF(AND(H93&lt;&gt;"",AD93&lt;&gt;"",TODAY()&gt;AD93),"تاخیر",IF(L93&lt;&gt;"","در حال انجام",""))))))</f>
        <v>بسته</v>
      </c>
      <c r="V93" s="7" t="n">
        <f aca="true">IF(U93="تاخیر",TODAY()-AD93,IF(AND(U93="بسته",AH93&lt;&gt;"",AD93&lt;&gt;"",AH93&gt;AD93),AH93-AD93,0))</f>
        <v>0</v>
      </c>
      <c r="W93" s="7" t="n">
        <f aca="false">IF(L93="","",VALUE(LEFT(L93,FIND("/",L93)-1)))</f>
        <v>1405</v>
      </c>
      <c r="X93" s="7" t="n">
        <f aca="false">IF(L93="","",VALUE(MID(L93,FIND("/",L93)+1,FIND("/",L93,FIND("/",L93)+1)-FIND("/",L93)-1)))</f>
        <v>3</v>
      </c>
      <c r="Y93" s="7" t="n">
        <f aca="false">IF(L93="","",VALUE(MID(L93,FIND("/",L93,FIND("/",L93)+1)+1,LEN(L93)-FIND("/",L93,FIND("/",L93)+1))))</f>
        <v>31</v>
      </c>
      <c r="Z93" s="11" t="n">
        <f aca="false">IF(OR(L93="",W93=""),"",IFERROR(INDEX('لیست‌ها'!$Q$3:$Q$53,MATCH(W93,'لیست‌ها'!$P$3:$P$53,0))+IF(X93&lt;=6,(X93-1)*31+Y93,IF(X93&lt;=11,186+(X93-7)*30+Y93,336+Y93))-1,""))</f>
        <v>46194</v>
      </c>
      <c r="AA93" s="7" t="n">
        <f aca="false">IF(H93="","",VALUE(LEFT(H93,FIND("/",H93)-1)))</f>
        <v>1405</v>
      </c>
      <c r="AB93" s="7" t="n">
        <f aca="false">IF(H93="","",VALUE(MID(H93,FIND("/",H93)+1,FIND("/",H93,FIND("/",H93)+1)-FIND("/",H93)-1)))</f>
        <v>5</v>
      </c>
      <c r="AC93" s="7" t="n">
        <f aca="false">IF(H93="","",VALUE(MID(H93,FIND("/",H93,FIND("/",H93)+1)+1,LEN(H93)-FIND("/",H93,FIND("/",H93)+1))))</f>
        <v>31</v>
      </c>
      <c r="AD93" s="11" t="n">
        <f aca="false">IF(OR(H93="",AA93=""),"",IFERROR(INDEX('لیست‌ها'!$Q$3:$Q$53,MATCH(AA93,'لیست‌ها'!$P$3:$P$53,0))+IF(AB93&lt;=6,(AB93-1)*31+AC93,IF(AB93&lt;=11,186+(AB93-7)*30+AC93,336+AC93))-1,""))</f>
        <v>46256</v>
      </c>
      <c r="AE93" s="7" t="str">
        <f aca="false">IF(P93="","",VALUE(LEFT(P93,FIND("/",P93)-1)))</f>
        <v/>
      </c>
      <c r="AF93" s="7" t="str">
        <f aca="false">IF(P93="","",VALUE(MID(P93,FIND("/",P93)+1,FIND("/",P93,FIND("/",P93)+1)-FIND("/",P93)-1)))</f>
        <v/>
      </c>
      <c r="AG93" s="7" t="str">
        <f aca="false">IF(P93="","",VALUE(MID(P93,FIND("/",P93,FIND("/",P93)+1)+1,LEN(P93)-FIND("/",P93,FIND("/",P93)+1))))</f>
        <v/>
      </c>
      <c r="AH93" s="7" t="str">
        <f aca="false">IF(OR(P93="",AE93=""),"",IFERROR(INDEX('لیست‌ها'!$Q$3:$Q$53,MATCH(AE93,'لیست‌ها'!$P$3:$P$53,0))+IF(AF93&lt;=6,(AF93-1)*31+AG93,IF(AF93&lt;=11,186+(AF93-7)*30+AG93,336+AG93))-1,""))</f>
        <v/>
      </c>
      <c r="AI93" s="7" t="str">
        <f aca="false">IF(W93="","",W93&amp;"-"&amp;TEXT(X93,"00"))</f>
        <v>1405-03</v>
      </c>
      <c r="AJ93" s="7" t="n">
        <f aca="false">IF(W93="","",W93*12+X93)</f>
        <v>16863</v>
      </c>
      <c r="AK93" s="7" t="str">
        <f aca="false">IF(U93="تاخیر",V93+ROW()/100000,"")</f>
        <v/>
      </c>
    </row>
    <row r="94" customFormat="false" ht="15" hidden="false" customHeight="false" outlineLevel="0" collapsed="false">
      <c r="A94" s="7" t="n">
        <f aca="false">IF(B94="","",ROW()-3)</f>
        <v>91</v>
      </c>
      <c r="B94" s="8" t="s">
        <v>270</v>
      </c>
      <c r="C94" s="8" t="s">
        <v>38</v>
      </c>
      <c r="D94" s="8" t="s">
        <v>47</v>
      </c>
      <c r="E94" s="9" t="s">
        <v>248</v>
      </c>
      <c r="F94" s="9" t="s">
        <v>51</v>
      </c>
      <c r="G94" s="8" t="s">
        <v>52</v>
      </c>
      <c r="H94" s="8" t="s">
        <v>230</v>
      </c>
      <c r="I94" s="8" t="s">
        <v>54</v>
      </c>
      <c r="J94" s="9"/>
      <c r="K94" s="8"/>
      <c r="L94" s="8" t="s">
        <v>216</v>
      </c>
      <c r="M94" s="8" t="s">
        <v>56</v>
      </c>
      <c r="N94" s="8"/>
      <c r="O94" s="8"/>
      <c r="P94" s="8"/>
      <c r="Q94" s="8"/>
      <c r="R94" s="9"/>
      <c r="S94" s="8"/>
      <c r="T94" s="9"/>
      <c r="U94" s="10" t="str">
        <f aca="true">IF(B94="","",IF(OR(P94&lt;&gt;"",I94="می‌باشد"),"بسته",IF(AND(L94&lt;&gt;"",W94=""),"خطای فرمت تاریخ ایجاد",IF(AND(H94&lt;&gt;"",AA94=""),"خطای فرمت مهلت",IF(AND(H94&lt;&gt;"",AD94&lt;&gt;"",TODAY()&gt;AD94),"تاخیر",IF(L94&lt;&gt;"","در حال انجام",""))))))</f>
        <v>بسته</v>
      </c>
      <c r="V94" s="7" t="n">
        <f aca="true">IF(U94="تاخیر",TODAY()-AD94,IF(AND(U94="بسته",AH94&lt;&gt;"",AD94&lt;&gt;"",AH94&gt;AD94),AH94-AD94,0))</f>
        <v>0</v>
      </c>
      <c r="W94" s="7" t="n">
        <f aca="false">IF(L94="","",VALUE(LEFT(L94,FIND("/",L94)-1)))</f>
        <v>1405</v>
      </c>
      <c r="X94" s="7" t="n">
        <f aca="false">IF(L94="","",VALUE(MID(L94,FIND("/",L94)+1,FIND("/",L94,FIND("/",L94)+1)-FIND("/",L94)-1)))</f>
        <v>3</v>
      </c>
      <c r="Y94" s="7" t="n">
        <f aca="false">IF(L94="","",VALUE(MID(L94,FIND("/",L94,FIND("/",L94)+1)+1,LEN(L94)-FIND("/",L94,FIND("/",L94)+1))))</f>
        <v>31</v>
      </c>
      <c r="Z94" s="11" t="n">
        <f aca="false">IF(OR(L94="",W94=""),"",IFERROR(INDEX('لیست‌ها'!$Q$3:$Q$53,MATCH(W94,'لیست‌ها'!$P$3:$P$53,0))+IF(X94&lt;=6,(X94-1)*31+Y94,IF(X94&lt;=11,186+(X94-7)*30+Y94,336+Y94))-1,""))</f>
        <v>46194</v>
      </c>
      <c r="AA94" s="7" t="n">
        <f aca="false">IF(H94="","",VALUE(LEFT(H94,FIND("/",H94)-1)))</f>
        <v>1405</v>
      </c>
      <c r="AB94" s="7" t="n">
        <f aca="false">IF(H94="","",VALUE(MID(H94,FIND("/",H94)+1,FIND("/",H94,FIND("/",H94)+1)-FIND("/",H94)-1)))</f>
        <v>5</v>
      </c>
      <c r="AC94" s="7" t="n">
        <f aca="false">IF(H94="","",VALUE(MID(H94,FIND("/",H94,FIND("/",H94)+1)+1,LEN(H94)-FIND("/",H94,FIND("/",H94)+1))))</f>
        <v>31</v>
      </c>
      <c r="AD94" s="11" t="n">
        <f aca="false">IF(OR(H94="",AA94=""),"",IFERROR(INDEX('لیست‌ها'!$Q$3:$Q$53,MATCH(AA94,'لیست‌ها'!$P$3:$P$53,0))+IF(AB94&lt;=6,(AB94-1)*31+AC94,IF(AB94&lt;=11,186+(AB94-7)*30+AC94,336+AC94))-1,""))</f>
        <v>46256</v>
      </c>
      <c r="AE94" s="7" t="str">
        <f aca="false">IF(P94="","",VALUE(LEFT(P94,FIND("/",P94)-1)))</f>
        <v/>
      </c>
      <c r="AF94" s="7" t="str">
        <f aca="false">IF(P94="","",VALUE(MID(P94,FIND("/",P94)+1,FIND("/",P94,FIND("/",P94)+1)-FIND("/",P94)-1)))</f>
        <v/>
      </c>
      <c r="AG94" s="7" t="str">
        <f aca="false">IF(P94="","",VALUE(MID(P94,FIND("/",P94,FIND("/",P94)+1)+1,LEN(P94)-FIND("/",P94,FIND("/",P94)+1))))</f>
        <v/>
      </c>
      <c r="AH94" s="7" t="str">
        <f aca="false">IF(OR(P94="",AE94=""),"",IFERROR(INDEX('لیست‌ها'!$Q$3:$Q$53,MATCH(AE94,'لیست‌ها'!$P$3:$P$53,0))+IF(AF94&lt;=6,(AF94-1)*31+AG94,IF(AF94&lt;=11,186+(AF94-7)*30+AG94,336+AG94))-1,""))</f>
        <v/>
      </c>
      <c r="AI94" s="7" t="str">
        <f aca="false">IF(W94="","",W94&amp;"-"&amp;TEXT(X94,"00"))</f>
        <v>1405-03</v>
      </c>
      <c r="AJ94" s="7" t="n">
        <f aca="false">IF(W94="","",W94*12+X94)</f>
        <v>16863</v>
      </c>
      <c r="AK94" s="7" t="str">
        <f aca="false">IF(U94="تاخیر",V94+ROW()/100000,"")</f>
        <v/>
      </c>
    </row>
    <row r="95" customFormat="false" ht="15" hidden="false" customHeight="false" outlineLevel="0" collapsed="false">
      <c r="A95" s="7" t="n">
        <f aca="false">IF(B95="","",ROW()-3)</f>
        <v>92</v>
      </c>
      <c r="B95" s="8" t="s">
        <v>267</v>
      </c>
      <c r="C95" s="8" t="s">
        <v>38</v>
      </c>
      <c r="D95" s="8" t="s">
        <v>47</v>
      </c>
      <c r="E95" s="9" t="s">
        <v>268</v>
      </c>
      <c r="F95" s="9" t="s">
        <v>51</v>
      </c>
      <c r="G95" s="8" t="s">
        <v>52</v>
      </c>
      <c r="H95" s="8" t="s">
        <v>223</v>
      </c>
      <c r="I95" s="8"/>
      <c r="J95" s="9"/>
      <c r="K95" s="8"/>
      <c r="L95" s="8" t="s">
        <v>269</v>
      </c>
      <c r="M95" s="8" t="s">
        <v>110</v>
      </c>
      <c r="N95" s="8"/>
      <c r="O95" s="8"/>
      <c r="P95" s="8"/>
      <c r="Q95" s="8"/>
      <c r="R95" s="9"/>
      <c r="S95" s="8"/>
      <c r="T95" s="9"/>
      <c r="U95" s="10" t="str">
        <f aca="true">IF(B95="","",IF(OR(P95&lt;&gt;"",I95="می‌باشد"),"بسته",IF(AND(L95&lt;&gt;"",W95=""),"خطای فرمت تاریخ ایجاد",IF(AND(H95&lt;&gt;"",AA95=""),"خطای فرمت مهلت",IF(AND(H95&lt;&gt;"",AD95&lt;&gt;"",TODAY()&gt;AD95),"تاخیر",IF(L95&lt;&gt;"","در حال انجام",""))))))</f>
        <v>تاخیر</v>
      </c>
      <c r="V95" s="7" t="n">
        <f aca="true">IF(U95="تاخیر",TODAY()-AD95,IF(AND(U95="بسته",AH95&lt;&gt;"",AD95&lt;&gt;"",AH95&gt;AD95),AH95-AD95,0))</f>
        <v>70</v>
      </c>
      <c r="W95" s="7" t="n">
        <f aca="false">IF(L95="","",VALUE(LEFT(L95,FIND("/",L95)-1)))</f>
        <v>1405</v>
      </c>
      <c r="X95" s="7" t="n">
        <f aca="false">IF(L95="","",VALUE(MID(L95,FIND("/",L95)+1,FIND("/",L95,FIND("/",L95)+1)-FIND("/",L95)-1)))</f>
        <v>4</v>
      </c>
      <c r="Y95" s="7" t="n">
        <f aca="false">IF(L95="","",VALUE(MID(L95,FIND("/",L95,FIND("/",L95)+1)+1,LEN(L95)-FIND("/",L95,FIND("/",L95)+1))))</f>
        <v>2</v>
      </c>
      <c r="Z95" s="11" t="n">
        <f aca="false">IF(OR(L95="",W95=""),"",IFERROR(INDEX('لیست‌ها'!$Q$3:$Q$53,MATCH(W95,'لیست‌ها'!$P$3:$P$53,0))+IF(X95&lt;=6,(X95-1)*31+Y95,IF(X95&lt;=11,186+(X95-7)*30+Y95,336+Y95))-1,""))</f>
        <v>46196</v>
      </c>
      <c r="AA95" s="7" t="n">
        <f aca="false">IF(H95="","",VALUE(LEFT(H95,FIND("/",H95)-1)))</f>
        <v>1405</v>
      </c>
      <c r="AB95" s="7" t="n">
        <f aca="false">IF(H95="","",VALUE(MID(H95,FIND("/",H95)+1,FIND("/",H95,FIND("/",H95)+1)-FIND("/",H95)-1)))</f>
        <v>4</v>
      </c>
      <c r="AC95" s="7" t="n">
        <f aca="false">IF(H95="","",VALUE(MID(H95,FIND("/",H95,FIND("/",H95)+1)+1,LEN(H95)-FIND("/",H95,FIND("/",H95)+1))))</f>
        <v>31</v>
      </c>
      <c r="AD95" s="11" t="n">
        <f aca="false">IF(OR(H95="",AA95=""),"",IFERROR(INDEX('لیست‌ها'!$Q$3:$Q$53,MATCH(AA95,'لیست‌ها'!$P$3:$P$53,0))+IF(AB95&lt;=6,(AB95-1)*31+AC95,IF(AB95&lt;=11,186+(AB95-7)*30+AC95,336+AC95))-1,""))</f>
        <v>46225</v>
      </c>
      <c r="AE95" s="7" t="str">
        <f aca="false">IF(P95="","",VALUE(LEFT(P95,FIND("/",P95)-1)))</f>
        <v/>
      </c>
      <c r="AF95" s="7" t="str">
        <f aca="false">IF(P95="","",VALUE(MID(P95,FIND("/",P95)+1,FIND("/",P95,FIND("/",P95)+1)-FIND("/",P95)-1)))</f>
        <v/>
      </c>
      <c r="AG95" s="7" t="str">
        <f aca="false">IF(P95="","",VALUE(MID(P95,FIND("/",P95,FIND("/",P95)+1)+1,LEN(P95)-FIND("/",P95,FIND("/",P95)+1))))</f>
        <v/>
      </c>
      <c r="AH95" s="7" t="str">
        <f aca="false">IF(OR(P95="",AE95=""),"",IFERROR(INDEX('لیست‌ها'!$Q$3:$Q$53,MATCH(AE95,'لیست‌ها'!$P$3:$P$53,0))+IF(AF95&lt;=6,(AF95-1)*31+AG95,IF(AF95&lt;=11,186+(AF95-7)*30+AG95,336+AG95))-1,""))</f>
        <v/>
      </c>
      <c r="AI95" s="7" t="str">
        <f aca="false">IF(W95="","",W95&amp;"-"&amp;TEXT(X95,"00"))</f>
        <v>1405-04</v>
      </c>
      <c r="AJ95" s="7" t="n">
        <f aca="false">IF(W95="","",W95*12+X95)</f>
        <v>16864</v>
      </c>
      <c r="AK95" s="7" t="n">
        <f aca="false">IF(U95="تاخیر",V95+ROW()/100000,"")</f>
        <v>70.00099</v>
      </c>
    </row>
    <row r="96" customFormat="false" ht="15" hidden="false" customHeight="false" outlineLevel="0" collapsed="false">
      <c r="A96" s="7" t="n">
        <f aca="false">IF(B96="","",ROW()-3)</f>
        <v>93</v>
      </c>
      <c r="B96" s="8" t="s">
        <v>264</v>
      </c>
      <c r="C96" s="8" t="s">
        <v>38</v>
      </c>
      <c r="D96" s="8" t="s">
        <v>47</v>
      </c>
      <c r="E96" s="9" t="s">
        <v>265</v>
      </c>
      <c r="F96" s="9" t="s">
        <v>51</v>
      </c>
      <c r="G96" s="8" t="s">
        <v>52</v>
      </c>
      <c r="H96" s="8" t="s">
        <v>230</v>
      </c>
      <c r="I96" s="8" t="s">
        <v>54</v>
      </c>
      <c r="J96" s="9"/>
      <c r="K96" s="8"/>
      <c r="L96" s="8" t="s">
        <v>266</v>
      </c>
      <c r="M96" s="8" t="s">
        <v>56</v>
      </c>
      <c r="N96" s="8"/>
      <c r="O96" s="8"/>
      <c r="P96" s="8"/>
      <c r="Q96" s="8"/>
      <c r="R96" s="9"/>
      <c r="S96" s="8"/>
      <c r="T96" s="9"/>
      <c r="U96" s="10" t="str">
        <f aca="true">IF(B96="","",IF(OR(P96&lt;&gt;"",I96="می‌باشد"),"بسته",IF(AND(L96&lt;&gt;"",W96=""),"خطای فرمت تاریخ ایجاد",IF(AND(H96&lt;&gt;"",AA96=""),"خطای فرمت مهلت",IF(AND(H96&lt;&gt;"",AD96&lt;&gt;"",TODAY()&gt;AD96),"تاخیر",IF(L96&lt;&gt;"","در حال انجام",""))))))</f>
        <v>بسته</v>
      </c>
      <c r="V96" s="7" t="n">
        <f aca="true">IF(U96="تاخیر",TODAY()-AD96,IF(AND(U96="بسته",AH96&lt;&gt;"",AD96&lt;&gt;"",AH96&gt;AD96),AH96-AD96,0))</f>
        <v>0</v>
      </c>
      <c r="W96" s="7" t="n">
        <f aca="false">IF(L96="","",VALUE(LEFT(L96,FIND("/",L96)-1)))</f>
        <v>1405</v>
      </c>
      <c r="X96" s="7" t="n">
        <f aca="false">IF(L96="","",VALUE(MID(L96,FIND("/",L96)+1,FIND("/",L96,FIND("/",L96)+1)-FIND("/",L96)-1)))</f>
        <v>4</v>
      </c>
      <c r="Y96" s="7" t="n">
        <f aca="false">IF(L96="","",VALUE(MID(L96,FIND("/",L96,FIND("/",L96)+1)+1,LEN(L96)-FIND("/",L96,FIND("/",L96)+1))))</f>
        <v>6</v>
      </c>
      <c r="Z96" s="11" t="n">
        <f aca="false">IF(OR(L96="",W96=""),"",IFERROR(INDEX('لیست‌ها'!$Q$3:$Q$53,MATCH(W96,'لیست‌ها'!$P$3:$P$53,0))+IF(X96&lt;=6,(X96-1)*31+Y96,IF(X96&lt;=11,186+(X96-7)*30+Y96,336+Y96))-1,""))</f>
        <v>46200</v>
      </c>
      <c r="AA96" s="7" t="n">
        <f aca="false">IF(H96="","",VALUE(LEFT(H96,FIND("/",H96)-1)))</f>
        <v>1405</v>
      </c>
      <c r="AB96" s="7" t="n">
        <f aca="false">IF(H96="","",VALUE(MID(H96,FIND("/",H96)+1,FIND("/",H96,FIND("/",H96)+1)-FIND("/",H96)-1)))</f>
        <v>5</v>
      </c>
      <c r="AC96" s="7" t="n">
        <f aca="false">IF(H96="","",VALUE(MID(H96,FIND("/",H96,FIND("/",H96)+1)+1,LEN(H96)-FIND("/",H96,FIND("/",H96)+1))))</f>
        <v>31</v>
      </c>
      <c r="AD96" s="11" t="n">
        <f aca="false">IF(OR(H96="",AA96=""),"",IFERROR(INDEX('لیست‌ها'!$Q$3:$Q$53,MATCH(AA96,'لیست‌ها'!$P$3:$P$53,0))+IF(AB96&lt;=6,(AB96-1)*31+AC96,IF(AB96&lt;=11,186+(AB96-7)*30+AC96,336+AC96))-1,""))</f>
        <v>46256</v>
      </c>
      <c r="AE96" s="7" t="str">
        <f aca="false">IF(P96="","",VALUE(LEFT(P96,FIND("/",P96)-1)))</f>
        <v/>
      </c>
      <c r="AF96" s="7" t="str">
        <f aca="false">IF(P96="","",VALUE(MID(P96,FIND("/",P96)+1,FIND("/",P96,FIND("/",P96)+1)-FIND("/",P96)-1)))</f>
        <v/>
      </c>
      <c r="AG96" s="7" t="str">
        <f aca="false">IF(P96="","",VALUE(MID(P96,FIND("/",P96,FIND("/",P96)+1)+1,LEN(P96)-FIND("/",P96,FIND("/",P96)+1))))</f>
        <v/>
      </c>
      <c r="AH96" s="7" t="str">
        <f aca="false">IF(OR(P96="",AE96=""),"",IFERROR(INDEX('لیست‌ها'!$Q$3:$Q$53,MATCH(AE96,'لیست‌ها'!$P$3:$P$53,0))+IF(AF96&lt;=6,(AF96-1)*31+AG96,IF(AF96&lt;=11,186+(AF96-7)*30+AG96,336+AG96))-1,""))</f>
        <v/>
      </c>
      <c r="AI96" s="7" t="str">
        <f aca="false">IF(W96="","",W96&amp;"-"&amp;TEXT(X96,"00"))</f>
        <v>1405-04</v>
      </c>
      <c r="AJ96" s="7" t="n">
        <f aca="false">IF(W96="","",W96*12+X96)</f>
        <v>16864</v>
      </c>
      <c r="AK96" s="7" t="str">
        <f aca="false">IF(U96="تاخیر",V96+ROW()/100000,"")</f>
        <v/>
      </c>
    </row>
    <row r="97" customFormat="false" ht="15" hidden="false" customHeight="false" outlineLevel="0" collapsed="false">
      <c r="A97" s="7" t="n">
        <f aca="false">IF(B97="","",ROW()-3)</f>
        <v>94</v>
      </c>
      <c r="B97" s="8" t="s">
        <v>263</v>
      </c>
      <c r="C97" s="8" t="s">
        <v>38</v>
      </c>
      <c r="D97" s="8" t="s">
        <v>47</v>
      </c>
      <c r="E97" s="9" t="s">
        <v>184</v>
      </c>
      <c r="F97" s="9" t="s">
        <v>51</v>
      </c>
      <c r="G97" s="8" t="s">
        <v>52</v>
      </c>
      <c r="H97" s="8" t="s">
        <v>230</v>
      </c>
      <c r="I97" s="8" t="s">
        <v>54</v>
      </c>
      <c r="J97" s="9"/>
      <c r="K97" s="8"/>
      <c r="L97" s="8" t="s">
        <v>260</v>
      </c>
      <c r="M97" s="8" t="s">
        <v>56</v>
      </c>
      <c r="N97" s="8"/>
      <c r="O97" s="8"/>
      <c r="P97" s="8"/>
      <c r="Q97" s="8"/>
      <c r="R97" s="9"/>
      <c r="S97" s="8"/>
      <c r="T97" s="9"/>
      <c r="U97" s="10" t="str">
        <f aca="true">IF(B97="","",IF(OR(P97&lt;&gt;"",I97="می‌باشد"),"بسته",IF(AND(L97&lt;&gt;"",W97=""),"خطای فرمت تاریخ ایجاد",IF(AND(H97&lt;&gt;"",AA97=""),"خطای فرمت مهلت",IF(AND(H97&lt;&gt;"",AD97&lt;&gt;"",TODAY()&gt;AD97),"تاخیر",IF(L97&lt;&gt;"","در حال انجام",""))))))</f>
        <v>بسته</v>
      </c>
      <c r="V97" s="7" t="n">
        <f aca="true">IF(U97="تاخیر",TODAY()-AD97,IF(AND(U97="بسته",AH97&lt;&gt;"",AD97&lt;&gt;"",AH97&gt;AD97),AH97-AD97,0))</f>
        <v>0</v>
      </c>
      <c r="W97" s="7" t="n">
        <f aca="false">IF(L97="","",VALUE(LEFT(L97,FIND("/",L97)-1)))</f>
        <v>1405</v>
      </c>
      <c r="X97" s="7" t="n">
        <f aca="false">IF(L97="","",VALUE(MID(L97,FIND("/",L97)+1,FIND("/",L97,FIND("/",L97)+1)-FIND("/",L97)-1)))</f>
        <v>4</v>
      </c>
      <c r="Y97" s="7" t="n">
        <f aca="false">IF(L97="","",VALUE(MID(L97,FIND("/",L97,FIND("/",L97)+1)+1,LEN(L97)-FIND("/",L97,FIND("/",L97)+1))))</f>
        <v>7</v>
      </c>
      <c r="Z97" s="11" t="n">
        <f aca="false">IF(OR(L97="",W97=""),"",IFERROR(INDEX('لیست‌ها'!$Q$3:$Q$53,MATCH(W97,'لیست‌ها'!$P$3:$P$53,0))+IF(X97&lt;=6,(X97-1)*31+Y97,IF(X97&lt;=11,186+(X97-7)*30+Y97,336+Y97))-1,""))</f>
        <v>46201</v>
      </c>
      <c r="AA97" s="7" t="n">
        <f aca="false">IF(H97="","",VALUE(LEFT(H97,FIND("/",H97)-1)))</f>
        <v>1405</v>
      </c>
      <c r="AB97" s="7" t="n">
        <f aca="false">IF(H97="","",VALUE(MID(H97,FIND("/",H97)+1,FIND("/",H97,FIND("/",H97)+1)-FIND("/",H97)-1)))</f>
        <v>5</v>
      </c>
      <c r="AC97" s="7" t="n">
        <f aca="false">IF(H97="","",VALUE(MID(H97,FIND("/",H97,FIND("/",H97)+1)+1,LEN(H97)-FIND("/",H97,FIND("/",H97)+1))))</f>
        <v>31</v>
      </c>
      <c r="AD97" s="11" t="n">
        <f aca="false">IF(OR(H97="",AA97=""),"",IFERROR(INDEX('لیست‌ها'!$Q$3:$Q$53,MATCH(AA97,'لیست‌ها'!$P$3:$P$53,0))+IF(AB97&lt;=6,(AB97-1)*31+AC97,IF(AB97&lt;=11,186+(AB97-7)*30+AC97,336+AC97))-1,""))</f>
        <v>46256</v>
      </c>
      <c r="AE97" s="7" t="str">
        <f aca="false">IF(P97="","",VALUE(LEFT(P97,FIND("/",P97)-1)))</f>
        <v/>
      </c>
      <c r="AF97" s="7" t="str">
        <f aca="false">IF(P97="","",VALUE(MID(P97,FIND("/",P97)+1,FIND("/",P97,FIND("/",P97)+1)-FIND("/",P97)-1)))</f>
        <v/>
      </c>
      <c r="AG97" s="7" t="str">
        <f aca="false">IF(P97="","",VALUE(MID(P97,FIND("/",P97,FIND("/",P97)+1)+1,LEN(P97)-FIND("/",P97,FIND("/",P97)+1))))</f>
        <v/>
      </c>
      <c r="AH97" s="7" t="str">
        <f aca="false">IF(OR(P97="",AE97=""),"",IFERROR(INDEX('لیست‌ها'!$Q$3:$Q$53,MATCH(AE97,'لیست‌ها'!$P$3:$P$53,0))+IF(AF97&lt;=6,(AF97-1)*31+AG97,IF(AF97&lt;=11,186+(AF97-7)*30+AG97,336+AG97))-1,""))</f>
        <v/>
      </c>
      <c r="AI97" s="7" t="str">
        <f aca="false">IF(W97="","",W97&amp;"-"&amp;TEXT(X97,"00"))</f>
        <v>1405-04</v>
      </c>
      <c r="AJ97" s="7" t="n">
        <f aca="false">IF(W97="","",W97*12+X97)</f>
        <v>16864</v>
      </c>
      <c r="AK97" s="7" t="str">
        <f aca="false">IF(U97="تاخیر",V97+ROW()/100000,"")</f>
        <v/>
      </c>
    </row>
    <row r="98" customFormat="false" ht="15" hidden="false" customHeight="false" outlineLevel="0" collapsed="false">
      <c r="A98" s="7" t="n">
        <f aca="false">IF(B98="","",ROW()-3)</f>
        <v>95</v>
      </c>
      <c r="B98" s="8" t="s">
        <v>262</v>
      </c>
      <c r="C98" s="8" t="s">
        <v>38</v>
      </c>
      <c r="D98" s="8" t="s">
        <v>47</v>
      </c>
      <c r="E98" s="9" t="s">
        <v>82</v>
      </c>
      <c r="F98" s="9" t="s">
        <v>51</v>
      </c>
      <c r="G98" s="8" t="s">
        <v>52</v>
      </c>
      <c r="H98" s="8" t="s">
        <v>230</v>
      </c>
      <c r="I98" s="8" t="s">
        <v>54</v>
      </c>
      <c r="J98" s="9"/>
      <c r="K98" s="8"/>
      <c r="L98" s="8" t="s">
        <v>260</v>
      </c>
      <c r="M98" s="8" t="s">
        <v>56</v>
      </c>
      <c r="N98" s="8"/>
      <c r="O98" s="8"/>
      <c r="P98" s="8"/>
      <c r="Q98" s="8"/>
      <c r="R98" s="9"/>
      <c r="S98" s="8"/>
      <c r="T98" s="9"/>
      <c r="U98" s="10" t="str">
        <f aca="true">IF(B98="","",IF(OR(P98&lt;&gt;"",I98="می‌باشد"),"بسته",IF(AND(L98&lt;&gt;"",W98=""),"خطای فرمت تاریخ ایجاد",IF(AND(H98&lt;&gt;"",AA98=""),"خطای فرمت مهلت",IF(AND(H98&lt;&gt;"",AD98&lt;&gt;"",TODAY()&gt;AD98),"تاخیر",IF(L98&lt;&gt;"","در حال انجام",""))))))</f>
        <v>بسته</v>
      </c>
      <c r="V98" s="7" t="n">
        <f aca="true">IF(U98="تاخیر",TODAY()-AD98,IF(AND(U98="بسته",AH98&lt;&gt;"",AD98&lt;&gt;"",AH98&gt;AD98),AH98-AD98,0))</f>
        <v>0</v>
      </c>
      <c r="W98" s="7" t="n">
        <f aca="false">IF(L98="","",VALUE(LEFT(L98,FIND("/",L98)-1)))</f>
        <v>1405</v>
      </c>
      <c r="X98" s="7" t="n">
        <f aca="false">IF(L98="","",VALUE(MID(L98,FIND("/",L98)+1,FIND("/",L98,FIND("/",L98)+1)-FIND("/",L98)-1)))</f>
        <v>4</v>
      </c>
      <c r="Y98" s="7" t="n">
        <f aca="false">IF(L98="","",VALUE(MID(L98,FIND("/",L98,FIND("/",L98)+1)+1,LEN(L98)-FIND("/",L98,FIND("/",L98)+1))))</f>
        <v>7</v>
      </c>
      <c r="Z98" s="11" t="n">
        <f aca="false">IF(OR(L98="",W98=""),"",IFERROR(INDEX('لیست‌ها'!$Q$3:$Q$53,MATCH(W98,'لیست‌ها'!$P$3:$P$53,0))+IF(X98&lt;=6,(X98-1)*31+Y98,IF(X98&lt;=11,186+(X98-7)*30+Y98,336+Y98))-1,""))</f>
        <v>46201</v>
      </c>
      <c r="AA98" s="7" t="n">
        <f aca="false">IF(H98="","",VALUE(LEFT(H98,FIND("/",H98)-1)))</f>
        <v>1405</v>
      </c>
      <c r="AB98" s="7" t="n">
        <f aca="false">IF(H98="","",VALUE(MID(H98,FIND("/",H98)+1,FIND("/",H98,FIND("/",H98)+1)-FIND("/",H98)-1)))</f>
        <v>5</v>
      </c>
      <c r="AC98" s="7" t="n">
        <f aca="false">IF(H98="","",VALUE(MID(H98,FIND("/",H98,FIND("/",H98)+1)+1,LEN(H98)-FIND("/",H98,FIND("/",H98)+1))))</f>
        <v>31</v>
      </c>
      <c r="AD98" s="11" t="n">
        <f aca="false">IF(OR(H98="",AA98=""),"",IFERROR(INDEX('لیست‌ها'!$Q$3:$Q$53,MATCH(AA98,'لیست‌ها'!$P$3:$P$53,0))+IF(AB98&lt;=6,(AB98-1)*31+AC98,IF(AB98&lt;=11,186+(AB98-7)*30+AC98,336+AC98))-1,""))</f>
        <v>46256</v>
      </c>
      <c r="AE98" s="7" t="str">
        <f aca="false">IF(P98="","",VALUE(LEFT(P98,FIND("/",P98)-1)))</f>
        <v/>
      </c>
      <c r="AF98" s="7" t="str">
        <f aca="false">IF(P98="","",VALUE(MID(P98,FIND("/",P98)+1,FIND("/",P98,FIND("/",P98)+1)-FIND("/",P98)-1)))</f>
        <v/>
      </c>
      <c r="AG98" s="7" t="str">
        <f aca="false">IF(P98="","",VALUE(MID(P98,FIND("/",P98,FIND("/",P98)+1)+1,LEN(P98)-FIND("/",P98,FIND("/",P98)+1))))</f>
        <v/>
      </c>
      <c r="AH98" s="7" t="str">
        <f aca="false">IF(OR(P98="",AE98=""),"",IFERROR(INDEX('لیست‌ها'!$Q$3:$Q$53,MATCH(AE98,'لیست‌ها'!$P$3:$P$53,0))+IF(AF98&lt;=6,(AF98-1)*31+AG98,IF(AF98&lt;=11,186+(AF98-7)*30+AG98,336+AG98))-1,""))</f>
        <v/>
      </c>
      <c r="AI98" s="7" t="str">
        <f aca="false">IF(W98="","",W98&amp;"-"&amp;TEXT(X98,"00"))</f>
        <v>1405-04</v>
      </c>
      <c r="AJ98" s="7" t="n">
        <f aca="false">IF(W98="","",W98*12+X98)</f>
        <v>16864</v>
      </c>
      <c r="AK98" s="7" t="str">
        <f aca="false">IF(U98="تاخیر",V98+ROW()/100000,"")</f>
        <v/>
      </c>
    </row>
    <row r="99" customFormat="false" ht="15" hidden="false" customHeight="false" outlineLevel="0" collapsed="false">
      <c r="A99" s="7" t="n">
        <f aca="false">IF(B99="","",ROW()-3)</f>
        <v>96</v>
      </c>
      <c r="B99" s="8" t="s">
        <v>261</v>
      </c>
      <c r="C99" s="8" t="s">
        <v>38</v>
      </c>
      <c r="D99" s="8" t="s">
        <v>47</v>
      </c>
      <c r="E99" s="9" t="s">
        <v>60</v>
      </c>
      <c r="F99" s="9" t="s">
        <v>51</v>
      </c>
      <c r="G99" s="8" t="s">
        <v>52</v>
      </c>
      <c r="H99" s="8" t="s">
        <v>230</v>
      </c>
      <c r="I99" s="8" t="s">
        <v>54</v>
      </c>
      <c r="J99" s="9"/>
      <c r="K99" s="8"/>
      <c r="L99" s="8" t="s">
        <v>260</v>
      </c>
      <c r="M99" s="8" t="s">
        <v>56</v>
      </c>
      <c r="N99" s="8"/>
      <c r="O99" s="8"/>
      <c r="P99" s="8"/>
      <c r="Q99" s="8"/>
      <c r="R99" s="9"/>
      <c r="S99" s="8"/>
      <c r="T99" s="9"/>
      <c r="U99" s="10" t="str">
        <f aca="true">IF(B99="","",IF(OR(P99&lt;&gt;"",I99="می‌باشد"),"بسته",IF(AND(L99&lt;&gt;"",W99=""),"خطای فرمت تاریخ ایجاد",IF(AND(H99&lt;&gt;"",AA99=""),"خطای فرمت مهلت",IF(AND(H99&lt;&gt;"",AD99&lt;&gt;"",TODAY()&gt;AD99),"تاخیر",IF(L99&lt;&gt;"","در حال انجام",""))))))</f>
        <v>بسته</v>
      </c>
      <c r="V99" s="7" t="n">
        <f aca="true">IF(U99="تاخیر",TODAY()-AD99,IF(AND(U99="بسته",AH99&lt;&gt;"",AD99&lt;&gt;"",AH99&gt;AD99),AH99-AD99,0))</f>
        <v>0</v>
      </c>
      <c r="W99" s="7" t="n">
        <f aca="false">IF(L99="","",VALUE(LEFT(L99,FIND("/",L99)-1)))</f>
        <v>1405</v>
      </c>
      <c r="X99" s="7" t="n">
        <f aca="false">IF(L99="","",VALUE(MID(L99,FIND("/",L99)+1,FIND("/",L99,FIND("/",L99)+1)-FIND("/",L99)-1)))</f>
        <v>4</v>
      </c>
      <c r="Y99" s="7" t="n">
        <f aca="false">IF(L99="","",VALUE(MID(L99,FIND("/",L99,FIND("/",L99)+1)+1,LEN(L99)-FIND("/",L99,FIND("/",L99)+1))))</f>
        <v>7</v>
      </c>
      <c r="Z99" s="11" t="n">
        <f aca="false">IF(OR(L99="",W99=""),"",IFERROR(INDEX('لیست‌ها'!$Q$3:$Q$53,MATCH(W99,'لیست‌ها'!$P$3:$P$53,0))+IF(X99&lt;=6,(X99-1)*31+Y99,IF(X99&lt;=11,186+(X99-7)*30+Y99,336+Y99))-1,""))</f>
        <v>46201</v>
      </c>
      <c r="AA99" s="7" t="n">
        <f aca="false">IF(H99="","",VALUE(LEFT(H99,FIND("/",H99)-1)))</f>
        <v>1405</v>
      </c>
      <c r="AB99" s="7" t="n">
        <f aca="false">IF(H99="","",VALUE(MID(H99,FIND("/",H99)+1,FIND("/",H99,FIND("/",H99)+1)-FIND("/",H99)-1)))</f>
        <v>5</v>
      </c>
      <c r="AC99" s="7" t="n">
        <f aca="false">IF(H99="","",VALUE(MID(H99,FIND("/",H99,FIND("/",H99)+1)+1,LEN(H99)-FIND("/",H99,FIND("/",H99)+1))))</f>
        <v>31</v>
      </c>
      <c r="AD99" s="11" t="n">
        <f aca="false">IF(OR(H99="",AA99=""),"",IFERROR(INDEX('لیست‌ها'!$Q$3:$Q$53,MATCH(AA99,'لیست‌ها'!$P$3:$P$53,0))+IF(AB99&lt;=6,(AB99-1)*31+AC99,IF(AB99&lt;=11,186+(AB99-7)*30+AC99,336+AC99))-1,""))</f>
        <v>46256</v>
      </c>
      <c r="AE99" s="7" t="str">
        <f aca="false">IF(P99="","",VALUE(LEFT(P99,FIND("/",P99)-1)))</f>
        <v/>
      </c>
      <c r="AF99" s="7" t="str">
        <f aca="false">IF(P99="","",VALUE(MID(P99,FIND("/",P99)+1,FIND("/",P99,FIND("/",P99)+1)-FIND("/",P99)-1)))</f>
        <v/>
      </c>
      <c r="AG99" s="7" t="str">
        <f aca="false">IF(P99="","",VALUE(MID(P99,FIND("/",P99,FIND("/",P99)+1)+1,LEN(P99)-FIND("/",P99,FIND("/",P99)+1))))</f>
        <v/>
      </c>
      <c r="AH99" s="7" t="str">
        <f aca="false">IF(OR(P99="",AE99=""),"",IFERROR(INDEX('لیست‌ها'!$Q$3:$Q$53,MATCH(AE99,'لیست‌ها'!$P$3:$P$53,0))+IF(AF99&lt;=6,(AF99-1)*31+AG99,IF(AF99&lt;=11,186+(AF99-7)*30+AG99,336+AG99))-1,""))</f>
        <v/>
      </c>
      <c r="AI99" s="7" t="str">
        <f aca="false">IF(W99="","",W99&amp;"-"&amp;TEXT(X99,"00"))</f>
        <v>1405-04</v>
      </c>
      <c r="AJ99" s="7" t="n">
        <f aca="false">IF(W99="","",W99*12+X99)</f>
        <v>16864</v>
      </c>
      <c r="AK99" s="7" t="str">
        <f aca="false">IF(U99="تاخیر",V99+ROW()/100000,"")</f>
        <v/>
      </c>
    </row>
    <row r="100" customFormat="false" ht="15" hidden="false" customHeight="false" outlineLevel="0" collapsed="false">
      <c r="A100" s="7" t="n">
        <f aca="false">IF(B100="","",ROW()-3)</f>
        <v>97</v>
      </c>
      <c r="B100" s="8" t="s">
        <v>259</v>
      </c>
      <c r="C100" s="8" t="s">
        <v>38</v>
      </c>
      <c r="D100" s="8" t="s">
        <v>47</v>
      </c>
      <c r="E100" s="9" t="s">
        <v>106</v>
      </c>
      <c r="F100" s="9" t="s">
        <v>51</v>
      </c>
      <c r="G100" s="8" t="s">
        <v>52</v>
      </c>
      <c r="H100" s="8" t="s">
        <v>230</v>
      </c>
      <c r="I100" s="8" t="s">
        <v>54</v>
      </c>
      <c r="J100" s="9"/>
      <c r="K100" s="8"/>
      <c r="L100" s="8" t="s">
        <v>260</v>
      </c>
      <c r="M100" s="8" t="s">
        <v>56</v>
      </c>
      <c r="N100" s="8"/>
      <c r="O100" s="8"/>
      <c r="P100" s="8"/>
      <c r="Q100" s="8"/>
      <c r="R100" s="9"/>
      <c r="S100" s="8"/>
      <c r="T100" s="9"/>
      <c r="U100" s="10" t="str">
        <f aca="true">IF(B100="","",IF(OR(P100&lt;&gt;"",I100="می‌باشد"),"بسته",IF(AND(L100&lt;&gt;"",W100=""),"خطای فرمت تاریخ ایجاد",IF(AND(H100&lt;&gt;"",AA100=""),"خطای فرمت مهلت",IF(AND(H100&lt;&gt;"",AD100&lt;&gt;"",TODAY()&gt;AD100),"تاخیر",IF(L100&lt;&gt;"","در حال انجام",""))))))</f>
        <v>بسته</v>
      </c>
      <c r="V100" s="7" t="n">
        <f aca="true">IF(U100="تاخیر",TODAY()-AD100,IF(AND(U100="بسته",AH100&lt;&gt;"",AD100&lt;&gt;"",AH100&gt;AD100),AH100-AD100,0))</f>
        <v>0</v>
      </c>
      <c r="W100" s="7" t="n">
        <f aca="false">IF(L100="","",VALUE(LEFT(L100,FIND("/",L100)-1)))</f>
        <v>1405</v>
      </c>
      <c r="X100" s="7" t="n">
        <f aca="false">IF(L100="","",VALUE(MID(L100,FIND("/",L100)+1,FIND("/",L100,FIND("/",L100)+1)-FIND("/",L100)-1)))</f>
        <v>4</v>
      </c>
      <c r="Y100" s="7" t="n">
        <f aca="false">IF(L100="","",VALUE(MID(L100,FIND("/",L100,FIND("/",L100)+1)+1,LEN(L100)-FIND("/",L100,FIND("/",L100)+1))))</f>
        <v>7</v>
      </c>
      <c r="Z100" s="11" t="n">
        <f aca="false">IF(OR(L100="",W100=""),"",IFERROR(INDEX('لیست‌ها'!$Q$3:$Q$53,MATCH(W100,'لیست‌ها'!$P$3:$P$53,0))+IF(X100&lt;=6,(X100-1)*31+Y100,IF(X100&lt;=11,186+(X100-7)*30+Y100,336+Y100))-1,""))</f>
        <v>46201</v>
      </c>
      <c r="AA100" s="7" t="n">
        <f aca="false">IF(H100="","",VALUE(LEFT(H100,FIND("/",H100)-1)))</f>
        <v>1405</v>
      </c>
      <c r="AB100" s="7" t="n">
        <f aca="false">IF(H100="","",VALUE(MID(H100,FIND("/",H100)+1,FIND("/",H100,FIND("/",H100)+1)-FIND("/",H100)-1)))</f>
        <v>5</v>
      </c>
      <c r="AC100" s="7" t="n">
        <f aca="false">IF(H100="","",VALUE(MID(H100,FIND("/",H100,FIND("/",H100)+1)+1,LEN(H100)-FIND("/",H100,FIND("/",H100)+1))))</f>
        <v>31</v>
      </c>
      <c r="AD100" s="11" t="n">
        <f aca="false">IF(OR(H100="",AA100=""),"",IFERROR(INDEX('لیست‌ها'!$Q$3:$Q$53,MATCH(AA100,'لیست‌ها'!$P$3:$P$53,0))+IF(AB100&lt;=6,(AB100-1)*31+AC100,IF(AB100&lt;=11,186+(AB100-7)*30+AC100,336+AC100))-1,""))</f>
        <v>46256</v>
      </c>
      <c r="AE100" s="7" t="str">
        <f aca="false">IF(P100="","",VALUE(LEFT(P100,FIND("/",P100)-1)))</f>
        <v/>
      </c>
      <c r="AF100" s="7" t="str">
        <f aca="false">IF(P100="","",VALUE(MID(P100,FIND("/",P100)+1,FIND("/",P100,FIND("/",P100)+1)-FIND("/",P100)-1)))</f>
        <v/>
      </c>
      <c r="AG100" s="7" t="str">
        <f aca="false">IF(P100="","",VALUE(MID(P100,FIND("/",P100,FIND("/",P100)+1)+1,LEN(P100)-FIND("/",P100,FIND("/",P100)+1))))</f>
        <v/>
      </c>
      <c r="AH100" s="7" t="str">
        <f aca="false">IF(OR(P100="",AE100=""),"",IFERROR(INDEX('لیست‌ها'!$Q$3:$Q$53,MATCH(AE100,'لیست‌ها'!$P$3:$P$53,0))+IF(AF100&lt;=6,(AF100-1)*31+AG100,IF(AF100&lt;=11,186+(AF100-7)*30+AG100,336+AG100))-1,""))</f>
        <v/>
      </c>
      <c r="AI100" s="7" t="str">
        <f aca="false">IF(W100="","",W100&amp;"-"&amp;TEXT(X100,"00"))</f>
        <v>1405-04</v>
      </c>
      <c r="AJ100" s="7" t="n">
        <f aca="false">IF(W100="","",W100*12+X100)</f>
        <v>16864</v>
      </c>
      <c r="AK100" s="7" t="str">
        <f aca="false">IF(U100="تاخیر",V100+ROW()/100000,"")</f>
        <v/>
      </c>
    </row>
    <row r="101" customFormat="false" ht="15" hidden="false" customHeight="false" outlineLevel="0" collapsed="false">
      <c r="A101" s="7" t="n">
        <f aca="false">IF(B101="","",ROW()-3)</f>
        <v>98</v>
      </c>
      <c r="B101" s="8" t="s">
        <v>258</v>
      </c>
      <c r="C101" s="8" t="s">
        <v>38</v>
      </c>
      <c r="D101" s="8" t="s">
        <v>47</v>
      </c>
      <c r="E101" s="9" t="s">
        <v>184</v>
      </c>
      <c r="F101" s="9" t="s">
        <v>51</v>
      </c>
      <c r="G101" s="8" t="s">
        <v>52</v>
      </c>
      <c r="H101" s="8" t="s">
        <v>223</v>
      </c>
      <c r="I101" s="8"/>
      <c r="J101" s="9"/>
      <c r="K101" s="8"/>
      <c r="L101" s="8" t="s">
        <v>257</v>
      </c>
      <c r="M101" s="8" t="s">
        <v>71</v>
      </c>
      <c r="N101" s="8"/>
      <c r="O101" s="8"/>
      <c r="P101" s="8"/>
      <c r="Q101" s="8"/>
      <c r="R101" s="9"/>
      <c r="S101" s="8"/>
      <c r="T101" s="9"/>
      <c r="U101" s="10" t="str">
        <f aca="true">IF(B101="","",IF(OR(P101&lt;&gt;"",I101="می‌باشد"),"بسته",IF(AND(L101&lt;&gt;"",W101=""),"خطای فرمت تاریخ ایجاد",IF(AND(H101&lt;&gt;"",AA101=""),"خطای فرمت مهلت",IF(AND(H101&lt;&gt;"",AD101&lt;&gt;"",TODAY()&gt;AD101),"تاخیر",IF(L101&lt;&gt;"","در حال انجام",""))))))</f>
        <v>تاخیر</v>
      </c>
      <c r="V101" s="7" t="n">
        <f aca="true">IF(U101="تاخیر",TODAY()-AD101,IF(AND(U101="بسته",AH101&lt;&gt;"",AD101&lt;&gt;"",AH101&gt;AD101),AH101-AD101,0))</f>
        <v>70</v>
      </c>
      <c r="W101" s="7" t="n">
        <f aca="false">IF(L101="","",VALUE(LEFT(L101,FIND("/",L101)-1)))</f>
        <v>1405</v>
      </c>
      <c r="X101" s="7" t="n">
        <f aca="false">IF(L101="","",VALUE(MID(L101,FIND("/",L101)+1,FIND("/",L101,FIND("/",L101)+1)-FIND("/",L101)-1)))</f>
        <v>4</v>
      </c>
      <c r="Y101" s="7" t="n">
        <f aca="false">IF(L101="","",VALUE(MID(L101,FIND("/",L101,FIND("/",L101)+1)+1,LEN(L101)-FIND("/",L101,FIND("/",L101)+1))))</f>
        <v>9</v>
      </c>
      <c r="Z101" s="11" t="n">
        <f aca="false">IF(OR(L101="",W101=""),"",IFERROR(INDEX('لیست‌ها'!$Q$3:$Q$53,MATCH(W101,'لیست‌ها'!$P$3:$P$53,0))+IF(X101&lt;=6,(X101-1)*31+Y101,IF(X101&lt;=11,186+(X101-7)*30+Y101,336+Y101))-1,""))</f>
        <v>46203</v>
      </c>
      <c r="AA101" s="7" t="n">
        <f aca="false">IF(H101="","",VALUE(LEFT(H101,FIND("/",H101)-1)))</f>
        <v>1405</v>
      </c>
      <c r="AB101" s="7" t="n">
        <f aca="false">IF(H101="","",VALUE(MID(H101,FIND("/",H101)+1,FIND("/",H101,FIND("/",H101)+1)-FIND("/",H101)-1)))</f>
        <v>4</v>
      </c>
      <c r="AC101" s="7" t="n">
        <f aca="false">IF(H101="","",VALUE(MID(H101,FIND("/",H101,FIND("/",H101)+1)+1,LEN(H101)-FIND("/",H101,FIND("/",H101)+1))))</f>
        <v>31</v>
      </c>
      <c r="AD101" s="11" t="n">
        <f aca="false">IF(OR(H101="",AA101=""),"",IFERROR(INDEX('لیست‌ها'!$Q$3:$Q$53,MATCH(AA101,'لیست‌ها'!$P$3:$P$53,0))+IF(AB101&lt;=6,(AB101-1)*31+AC101,IF(AB101&lt;=11,186+(AB101-7)*30+AC101,336+AC101))-1,""))</f>
        <v>46225</v>
      </c>
      <c r="AE101" s="7" t="str">
        <f aca="false">IF(P101="","",VALUE(LEFT(P101,FIND("/",P101)-1)))</f>
        <v/>
      </c>
      <c r="AF101" s="7" t="str">
        <f aca="false">IF(P101="","",VALUE(MID(P101,FIND("/",P101)+1,FIND("/",P101,FIND("/",P101)+1)-FIND("/",P101)-1)))</f>
        <v/>
      </c>
      <c r="AG101" s="7" t="str">
        <f aca="false">IF(P101="","",VALUE(MID(P101,FIND("/",P101,FIND("/",P101)+1)+1,LEN(P101)-FIND("/",P101,FIND("/",P101)+1))))</f>
        <v/>
      </c>
      <c r="AH101" s="7" t="str">
        <f aca="false">IF(OR(P101="",AE101=""),"",IFERROR(INDEX('لیست‌ها'!$Q$3:$Q$53,MATCH(AE101,'لیست‌ها'!$P$3:$P$53,0))+IF(AF101&lt;=6,(AF101-1)*31+AG101,IF(AF101&lt;=11,186+(AF101-7)*30+AG101,336+AG101))-1,""))</f>
        <v/>
      </c>
      <c r="AI101" s="7" t="str">
        <f aca="false">IF(W101="","",W101&amp;"-"&amp;TEXT(X101,"00"))</f>
        <v>1405-04</v>
      </c>
      <c r="AJ101" s="7" t="n">
        <f aca="false">IF(W101="","",W101*12+X101)</f>
        <v>16864</v>
      </c>
      <c r="AK101" s="7" t="n">
        <f aca="false">IF(U101="تاخیر",V101+ROW()/100000,"")</f>
        <v>70.00093</v>
      </c>
    </row>
    <row r="102" customFormat="false" ht="15" hidden="false" customHeight="false" outlineLevel="0" collapsed="false">
      <c r="A102" s="7" t="n">
        <f aca="false">IF(B102="","",ROW()-3)</f>
        <v>99</v>
      </c>
      <c r="B102" s="8" t="s">
        <v>256</v>
      </c>
      <c r="C102" s="8" t="s">
        <v>38</v>
      </c>
      <c r="D102" s="8" t="s">
        <v>47</v>
      </c>
      <c r="E102" s="9" t="s">
        <v>184</v>
      </c>
      <c r="F102" s="9" t="s">
        <v>51</v>
      </c>
      <c r="G102" s="8" t="s">
        <v>52</v>
      </c>
      <c r="H102" s="8" t="s">
        <v>230</v>
      </c>
      <c r="I102" s="8" t="s">
        <v>54</v>
      </c>
      <c r="J102" s="9"/>
      <c r="K102" s="8"/>
      <c r="L102" s="8" t="s">
        <v>257</v>
      </c>
      <c r="M102" s="8" t="s">
        <v>56</v>
      </c>
      <c r="N102" s="8"/>
      <c r="O102" s="8"/>
      <c r="P102" s="8"/>
      <c r="Q102" s="8"/>
      <c r="R102" s="9"/>
      <c r="S102" s="8"/>
      <c r="T102" s="9"/>
      <c r="U102" s="10" t="str">
        <f aca="true">IF(B102="","",IF(OR(P102&lt;&gt;"",I102="می‌باشد"),"بسته",IF(AND(L102&lt;&gt;"",W102=""),"خطای فرمت تاریخ ایجاد",IF(AND(H102&lt;&gt;"",AA102=""),"خطای فرمت مهلت",IF(AND(H102&lt;&gt;"",AD102&lt;&gt;"",TODAY()&gt;AD102),"تاخیر",IF(L102&lt;&gt;"","در حال انجام",""))))))</f>
        <v>بسته</v>
      </c>
      <c r="V102" s="7" t="n">
        <f aca="true">IF(U102="تاخیر",TODAY()-AD102,IF(AND(U102="بسته",AH102&lt;&gt;"",AD102&lt;&gt;"",AH102&gt;AD102),AH102-AD102,0))</f>
        <v>0</v>
      </c>
      <c r="W102" s="7" t="n">
        <f aca="false">IF(L102="","",VALUE(LEFT(L102,FIND("/",L102)-1)))</f>
        <v>1405</v>
      </c>
      <c r="X102" s="7" t="n">
        <f aca="false">IF(L102="","",VALUE(MID(L102,FIND("/",L102)+1,FIND("/",L102,FIND("/",L102)+1)-FIND("/",L102)-1)))</f>
        <v>4</v>
      </c>
      <c r="Y102" s="7" t="n">
        <f aca="false">IF(L102="","",VALUE(MID(L102,FIND("/",L102,FIND("/",L102)+1)+1,LEN(L102)-FIND("/",L102,FIND("/",L102)+1))))</f>
        <v>9</v>
      </c>
      <c r="Z102" s="11" t="n">
        <f aca="false">IF(OR(L102="",W102=""),"",IFERROR(INDEX('لیست‌ها'!$Q$3:$Q$53,MATCH(W102,'لیست‌ها'!$P$3:$P$53,0))+IF(X102&lt;=6,(X102-1)*31+Y102,IF(X102&lt;=11,186+(X102-7)*30+Y102,336+Y102))-1,""))</f>
        <v>46203</v>
      </c>
      <c r="AA102" s="7" t="n">
        <f aca="false">IF(H102="","",VALUE(LEFT(H102,FIND("/",H102)-1)))</f>
        <v>1405</v>
      </c>
      <c r="AB102" s="7" t="n">
        <f aca="false">IF(H102="","",VALUE(MID(H102,FIND("/",H102)+1,FIND("/",H102,FIND("/",H102)+1)-FIND("/",H102)-1)))</f>
        <v>5</v>
      </c>
      <c r="AC102" s="7" t="n">
        <f aca="false">IF(H102="","",VALUE(MID(H102,FIND("/",H102,FIND("/",H102)+1)+1,LEN(H102)-FIND("/",H102,FIND("/",H102)+1))))</f>
        <v>31</v>
      </c>
      <c r="AD102" s="11" t="n">
        <f aca="false">IF(OR(H102="",AA102=""),"",IFERROR(INDEX('لیست‌ها'!$Q$3:$Q$53,MATCH(AA102,'لیست‌ها'!$P$3:$P$53,0))+IF(AB102&lt;=6,(AB102-1)*31+AC102,IF(AB102&lt;=11,186+(AB102-7)*30+AC102,336+AC102))-1,""))</f>
        <v>46256</v>
      </c>
      <c r="AE102" s="7" t="str">
        <f aca="false">IF(P102="","",VALUE(LEFT(P102,FIND("/",P102)-1)))</f>
        <v/>
      </c>
      <c r="AF102" s="7" t="str">
        <f aca="false">IF(P102="","",VALUE(MID(P102,FIND("/",P102)+1,FIND("/",P102,FIND("/",P102)+1)-FIND("/",P102)-1)))</f>
        <v/>
      </c>
      <c r="AG102" s="7" t="str">
        <f aca="false">IF(P102="","",VALUE(MID(P102,FIND("/",P102,FIND("/",P102)+1)+1,LEN(P102)-FIND("/",P102,FIND("/",P102)+1))))</f>
        <v/>
      </c>
      <c r="AH102" s="7" t="str">
        <f aca="false">IF(OR(P102="",AE102=""),"",IFERROR(INDEX('لیست‌ها'!$Q$3:$Q$53,MATCH(AE102,'لیست‌ها'!$P$3:$P$53,0))+IF(AF102&lt;=6,(AF102-1)*31+AG102,IF(AF102&lt;=11,186+(AF102-7)*30+AG102,336+AG102))-1,""))</f>
        <v/>
      </c>
      <c r="AI102" s="7" t="str">
        <f aca="false">IF(W102="","",W102&amp;"-"&amp;TEXT(X102,"00"))</f>
        <v>1405-04</v>
      </c>
      <c r="AJ102" s="7" t="n">
        <f aca="false">IF(W102="","",W102*12+X102)</f>
        <v>16864</v>
      </c>
      <c r="AK102" s="7" t="str">
        <f aca="false">IF(U102="تاخیر",V102+ROW()/100000,"")</f>
        <v/>
      </c>
    </row>
    <row r="103" customFormat="false" ht="15" hidden="false" customHeight="false" outlineLevel="0" collapsed="false">
      <c r="A103" s="7" t="n">
        <f aca="false">IF(B103="","",ROW()-3)</f>
        <v>100</v>
      </c>
      <c r="B103" s="8" t="s">
        <v>255</v>
      </c>
      <c r="C103" s="8" t="s">
        <v>38</v>
      </c>
      <c r="D103" s="8" t="s">
        <v>47</v>
      </c>
      <c r="E103" s="9" t="s">
        <v>179</v>
      </c>
      <c r="F103" s="9" t="s">
        <v>51</v>
      </c>
      <c r="G103" s="8" t="s">
        <v>52</v>
      </c>
      <c r="H103" s="8" t="s">
        <v>230</v>
      </c>
      <c r="I103" s="8" t="s">
        <v>54</v>
      </c>
      <c r="J103" s="9"/>
      <c r="K103" s="8"/>
      <c r="L103" s="8" t="s">
        <v>194</v>
      </c>
      <c r="M103" s="8" t="s">
        <v>56</v>
      </c>
      <c r="N103" s="8"/>
      <c r="O103" s="8"/>
      <c r="P103" s="8"/>
      <c r="Q103" s="8"/>
      <c r="R103" s="9"/>
      <c r="S103" s="8"/>
      <c r="T103" s="9"/>
      <c r="U103" s="10" t="str">
        <f aca="true">IF(B103="","",IF(OR(P103&lt;&gt;"",I103="می‌باشد"),"بسته",IF(AND(L103&lt;&gt;"",W103=""),"خطای فرمت تاریخ ایجاد",IF(AND(H103&lt;&gt;"",AA103=""),"خطای فرمت مهلت",IF(AND(H103&lt;&gt;"",AD103&lt;&gt;"",TODAY()&gt;AD103),"تاخیر",IF(L103&lt;&gt;"","در حال انجام",""))))))</f>
        <v>بسته</v>
      </c>
      <c r="V103" s="7" t="n">
        <f aca="true">IF(U103="تاخیر",TODAY()-AD103,IF(AND(U103="بسته",AH103&lt;&gt;"",AD103&lt;&gt;"",AH103&gt;AD103),AH103-AD103,0))</f>
        <v>0</v>
      </c>
      <c r="W103" s="7" t="n">
        <f aca="false">IF(L103="","",VALUE(LEFT(L103,FIND("/",L103)-1)))</f>
        <v>1405</v>
      </c>
      <c r="X103" s="7" t="n">
        <f aca="false">IF(L103="","",VALUE(MID(L103,FIND("/",L103)+1,FIND("/",L103,FIND("/",L103)+1)-FIND("/",L103)-1)))</f>
        <v>4</v>
      </c>
      <c r="Y103" s="7" t="n">
        <f aca="false">IF(L103="","",VALUE(MID(L103,FIND("/",L103,FIND("/",L103)+1)+1,LEN(L103)-FIND("/",L103,FIND("/",L103)+1))))</f>
        <v>10</v>
      </c>
      <c r="Z103" s="11" t="n">
        <f aca="false">IF(OR(L103="",W103=""),"",IFERROR(INDEX('لیست‌ها'!$Q$3:$Q$53,MATCH(W103,'لیست‌ها'!$P$3:$P$53,0))+IF(X103&lt;=6,(X103-1)*31+Y103,IF(X103&lt;=11,186+(X103-7)*30+Y103,336+Y103))-1,""))</f>
        <v>46204</v>
      </c>
      <c r="AA103" s="7" t="n">
        <f aca="false">IF(H103="","",VALUE(LEFT(H103,FIND("/",H103)-1)))</f>
        <v>1405</v>
      </c>
      <c r="AB103" s="7" t="n">
        <f aca="false">IF(H103="","",VALUE(MID(H103,FIND("/",H103)+1,FIND("/",H103,FIND("/",H103)+1)-FIND("/",H103)-1)))</f>
        <v>5</v>
      </c>
      <c r="AC103" s="7" t="n">
        <f aca="false">IF(H103="","",VALUE(MID(H103,FIND("/",H103,FIND("/",H103)+1)+1,LEN(H103)-FIND("/",H103,FIND("/",H103)+1))))</f>
        <v>31</v>
      </c>
      <c r="AD103" s="11" t="n">
        <f aca="false">IF(OR(H103="",AA103=""),"",IFERROR(INDEX('لیست‌ها'!$Q$3:$Q$53,MATCH(AA103,'لیست‌ها'!$P$3:$P$53,0))+IF(AB103&lt;=6,(AB103-1)*31+AC103,IF(AB103&lt;=11,186+(AB103-7)*30+AC103,336+AC103))-1,""))</f>
        <v>46256</v>
      </c>
      <c r="AE103" s="7" t="str">
        <f aca="false">IF(P103="","",VALUE(LEFT(P103,FIND("/",P103)-1)))</f>
        <v/>
      </c>
      <c r="AF103" s="7" t="str">
        <f aca="false">IF(P103="","",VALUE(MID(P103,FIND("/",P103)+1,FIND("/",P103,FIND("/",P103)+1)-FIND("/",P103)-1)))</f>
        <v/>
      </c>
      <c r="AG103" s="7" t="str">
        <f aca="false">IF(P103="","",VALUE(MID(P103,FIND("/",P103,FIND("/",P103)+1)+1,LEN(P103)-FIND("/",P103,FIND("/",P103)+1))))</f>
        <v/>
      </c>
      <c r="AH103" s="7" t="str">
        <f aca="false">IF(OR(P103="",AE103=""),"",IFERROR(INDEX('لیست‌ها'!$Q$3:$Q$53,MATCH(AE103,'لیست‌ها'!$P$3:$P$53,0))+IF(AF103&lt;=6,(AF103-1)*31+AG103,IF(AF103&lt;=11,186+(AF103-7)*30+AG103,336+AG103))-1,""))</f>
        <v/>
      </c>
      <c r="AI103" s="7" t="str">
        <f aca="false">IF(W103="","",W103&amp;"-"&amp;TEXT(X103,"00"))</f>
        <v>1405-04</v>
      </c>
      <c r="AJ103" s="7" t="n">
        <f aca="false">IF(W103="","",W103*12+X103)</f>
        <v>16864</v>
      </c>
      <c r="AK103" s="7" t="str">
        <f aca="false">IF(U103="تاخیر",V103+ROW()/100000,"")</f>
        <v/>
      </c>
    </row>
    <row r="104" customFormat="false" ht="15" hidden="false" customHeight="false" outlineLevel="0" collapsed="false">
      <c r="A104" s="7" t="n">
        <f aca="false">IF(B104="","",ROW()-3)</f>
        <v>101</v>
      </c>
      <c r="B104" s="8" t="s">
        <v>254</v>
      </c>
      <c r="C104" s="8" t="s">
        <v>38</v>
      </c>
      <c r="D104" s="8" t="s">
        <v>47</v>
      </c>
      <c r="E104" s="9" t="s">
        <v>63</v>
      </c>
      <c r="F104" s="9" t="s">
        <v>51</v>
      </c>
      <c r="G104" s="8" t="s">
        <v>52</v>
      </c>
      <c r="H104" s="8" t="s">
        <v>230</v>
      </c>
      <c r="I104" s="8" t="s">
        <v>54</v>
      </c>
      <c r="J104" s="9"/>
      <c r="K104" s="8"/>
      <c r="L104" s="8" t="s">
        <v>194</v>
      </c>
      <c r="M104" s="8" t="s">
        <v>56</v>
      </c>
      <c r="N104" s="8"/>
      <c r="O104" s="8"/>
      <c r="P104" s="8"/>
      <c r="Q104" s="8"/>
      <c r="R104" s="9"/>
      <c r="S104" s="8"/>
      <c r="T104" s="9"/>
      <c r="U104" s="10" t="str">
        <f aca="true">IF(B104="","",IF(OR(P104&lt;&gt;"",I104="می‌باشد"),"بسته",IF(AND(L104&lt;&gt;"",W104=""),"خطای فرمت تاریخ ایجاد",IF(AND(H104&lt;&gt;"",AA104=""),"خطای فرمت مهلت",IF(AND(H104&lt;&gt;"",AD104&lt;&gt;"",TODAY()&gt;AD104),"تاخیر",IF(L104&lt;&gt;"","در حال انجام",""))))))</f>
        <v>بسته</v>
      </c>
      <c r="V104" s="7" t="n">
        <f aca="true">IF(U104="تاخیر",TODAY()-AD104,IF(AND(U104="بسته",AH104&lt;&gt;"",AD104&lt;&gt;"",AH104&gt;AD104),AH104-AD104,0))</f>
        <v>0</v>
      </c>
      <c r="W104" s="7" t="n">
        <f aca="false">IF(L104="","",VALUE(LEFT(L104,FIND("/",L104)-1)))</f>
        <v>1405</v>
      </c>
      <c r="X104" s="7" t="n">
        <f aca="false">IF(L104="","",VALUE(MID(L104,FIND("/",L104)+1,FIND("/",L104,FIND("/",L104)+1)-FIND("/",L104)-1)))</f>
        <v>4</v>
      </c>
      <c r="Y104" s="7" t="n">
        <f aca="false">IF(L104="","",VALUE(MID(L104,FIND("/",L104,FIND("/",L104)+1)+1,LEN(L104)-FIND("/",L104,FIND("/",L104)+1))))</f>
        <v>10</v>
      </c>
      <c r="Z104" s="11" t="n">
        <f aca="false">IF(OR(L104="",W104=""),"",IFERROR(INDEX('لیست‌ها'!$Q$3:$Q$53,MATCH(W104,'لیست‌ها'!$P$3:$P$53,0))+IF(X104&lt;=6,(X104-1)*31+Y104,IF(X104&lt;=11,186+(X104-7)*30+Y104,336+Y104))-1,""))</f>
        <v>46204</v>
      </c>
      <c r="AA104" s="7" t="n">
        <f aca="false">IF(H104="","",VALUE(LEFT(H104,FIND("/",H104)-1)))</f>
        <v>1405</v>
      </c>
      <c r="AB104" s="7" t="n">
        <f aca="false">IF(H104="","",VALUE(MID(H104,FIND("/",H104)+1,FIND("/",H104,FIND("/",H104)+1)-FIND("/",H104)-1)))</f>
        <v>5</v>
      </c>
      <c r="AC104" s="7" t="n">
        <f aca="false">IF(H104="","",VALUE(MID(H104,FIND("/",H104,FIND("/",H104)+1)+1,LEN(H104)-FIND("/",H104,FIND("/",H104)+1))))</f>
        <v>31</v>
      </c>
      <c r="AD104" s="11" t="n">
        <f aca="false">IF(OR(H104="",AA104=""),"",IFERROR(INDEX('لیست‌ها'!$Q$3:$Q$53,MATCH(AA104,'لیست‌ها'!$P$3:$P$53,0))+IF(AB104&lt;=6,(AB104-1)*31+AC104,IF(AB104&lt;=11,186+(AB104-7)*30+AC104,336+AC104))-1,""))</f>
        <v>46256</v>
      </c>
      <c r="AE104" s="7" t="str">
        <f aca="false">IF(P104="","",VALUE(LEFT(P104,FIND("/",P104)-1)))</f>
        <v/>
      </c>
      <c r="AF104" s="7" t="str">
        <f aca="false">IF(P104="","",VALUE(MID(P104,FIND("/",P104)+1,FIND("/",P104,FIND("/",P104)+1)-FIND("/",P104)-1)))</f>
        <v/>
      </c>
      <c r="AG104" s="7" t="str">
        <f aca="false">IF(P104="","",VALUE(MID(P104,FIND("/",P104,FIND("/",P104)+1)+1,LEN(P104)-FIND("/",P104,FIND("/",P104)+1))))</f>
        <v/>
      </c>
      <c r="AH104" s="7" t="str">
        <f aca="false">IF(OR(P104="",AE104=""),"",IFERROR(INDEX('لیست‌ها'!$Q$3:$Q$53,MATCH(AE104,'لیست‌ها'!$P$3:$P$53,0))+IF(AF104&lt;=6,(AF104-1)*31+AG104,IF(AF104&lt;=11,186+(AF104-7)*30+AG104,336+AG104))-1,""))</f>
        <v/>
      </c>
      <c r="AI104" s="7" t="str">
        <f aca="false">IF(W104="","",W104&amp;"-"&amp;TEXT(X104,"00"))</f>
        <v>1405-04</v>
      </c>
      <c r="AJ104" s="7" t="n">
        <f aca="false">IF(W104="","",W104*12+X104)</f>
        <v>16864</v>
      </c>
      <c r="AK104" s="7" t="str">
        <f aca="false">IF(U104="تاخیر",V104+ROW()/100000,"")</f>
        <v/>
      </c>
    </row>
    <row r="105" customFormat="false" ht="15" hidden="false" customHeight="false" outlineLevel="0" collapsed="false">
      <c r="A105" s="7" t="n">
        <f aca="false">IF(B105="","",ROW()-3)</f>
        <v>102</v>
      </c>
      <c r="B105" s="8" t="s">
        <v>303</v>
      </c>
      <c r="C105" s="8" t="s">
        <v>38</v>
      </c>
      <c r="D105" s="8" t="s">
        <v>89</v>
      </c>
      <c r="E105" s="9" t="s">
        <v>304</v>
      </c>
      <c r="F105" s="9" t="s">
        <v>143</v>
      </c>
      <c r="G105" s="8" t="s">
        <v>144</v>
      </c>
      <c r="H105" s="8" t="s">
        <v>230</v>
      </c>
      <c r="I105" s="8" t="s">
        <v>54</v>
      </c>
      <c r="J105" s="9"/>
      <c r="K105" s="8"/>
      <c r="L105" s="8" t="s">
        <v>302</v>
      </c>
      <c r="M105" s="8" t="s">
        <v>56</v>
      </c>
      <c r="N105" s="8"/>
      <c r="O105" s="8"/>
      <c r="P105" s="8"/>
      <c r="Q105" s="8"/>
      <c r="R105" s="9"/>
      <c r="S105" s="8"/>
      <c r="T105" s="9"/>
      <c r="U105" s="10" t="str">
        <f aca="true">IF(B105="","",IF(OR(P105&lt;&gt;"",I105="می‌باشد"),"بسته",IF(AND(L105&lt;&gt;"",W105=""),"خطای فرمت تاریخ ایجاد",IF(AND(H105&lt;&gt;"",AA105=""),"خطای فرمت مهلت",IF(AND(H105&lt;&gt;"",AD105&lt;&gt;"",TODAY()&gt;AD105),"تاخیر",IF(L105&lt;&gt;"","در حال انجام",""))))))</f>
        <v>بسته</v>
      </c>
      <c r="V105" s="7" t="n">
        <f aca="true">IF(U105="تاخیر",TODAY()-AD105,IF(AND(U105="بسته",AH105&lt;&gt;"",AD105&lt;&gt;"",AH105&gt;AD105),AH105-AD105,0))</f>
        <v>0</v>
      </c>
      <c r="W105" s="7" t="n">
        <f aca="false">IF(L105="","",VALUE(LEFT(L105,FIND("/",L105)-1)))</f>
        <v>1405</v>
      </c>
      <c r="X105" s="7" t="n">
        <f aca="false">IF(L105="","",VALUE(MID(L105,FIND("/",L105)+1,FIND("/",L105,FIND("/",L105)+1)-FIND("/",L105)-1)))</f>
        <v>4</v>
      </c>
      <c r="Y105" s="7" t="n">
        <f aca="false">IF(L105="","",VALUE(MID(L105,FIND("/",L105,FIND("/",L105)+1)+1,LEN(L105)-FIND("/",L105,FIND("/",L105)+1))))</f>
        <v>16</v>
      </c>
      <c r="Z105" s="11" t="n">
        <f aca="false">IF(OR(L105="",W105=""),"",IFERROR(INDEX('لیست‌ها'!$Q$3:$Q$53,MATCH(W105,'لیست‌ها'!$P$3:$P$53,0))+IF(X105&lt;=6,(X105-1)*31+Y105,IF(X105&lt;=11,186+(X105-7)*30+Y105,336+Y105))-1,""))</f>
        <v>46210</v>
      </c>
      <c r="AA105" s="7" t="n">
        <f aca="false">IF(H105="","",VALUE(LEFT(H105,FIND("/",H105)-1)))</f>
        <v>1405</v>
      </c>
      <c r="AB105" s="7" t="n">
        <f aca="false">IF(H105="","",VALUE(MID(H105,FIND("/",H105)+1,FIND("/",H105,FIND("/",H105)+1)-FIND("/",H105)-1)))</f>
        <v>5</v>
      </c>
      <c r="AC105" s="7" t="n">
        <f aca="false">IF(H105="","",VALUE(MID(H105,FIND("/",H105,FIND("/",H105)+1)+1,LEN(H105)-FIND("/",H105,FIND("/",H105)+1))))</f>
        <v>31</v>
      </c>
      <c r="AD105" s="11" t="n">
        <f aca="false">IF(OR(H105="",AA105=""),"",IFERROR(INDEX('لیست‌ها'!$Q$3:$Q$53,MATCH(AA105,'لیست‌ها'!$P$3:$P$53,0))+IF(AB105&lt;=6,(AB105-1)*31+AC105,IF(AB105&lt;=11,186+(AB105-7)*30+AC105,336+AC105))-1,""))</f>
        <v>46256</v>
      </c>
      <c r="AE105" s="7" t="str">
        <f aca="false">IF(P105="","",VALUE(LEFT(P105,FIND("/",P105)-1)))</f>
        <v/>
      </c>
      <c r="AF105" s="7" t="str">
        <f aca="false">IF(P105="","",VALUE(MID(P105,FIND("/",P105)+1,FIND("/",P105,FIND("/",P105)+1)-FIND("/",P105)-1)))</f>
        <v/>
      </c>
      <c r="AG105" s="7" t="str">
        <f aca="false">IF(P105="","",VALUE(MID(P105,FIND("/",P105,FIND("/",P105)+1)+1,LEN(P105)-FIND("/",P105,FIND("/",P105)+1))))</f>
        <v/>
      </c>
      <c r="AH105" s="7" t="str">
        <f aca="false">IF(OR(P105="",AE105=""),"",IFERROR(INDEX('لیست‌ها'!$Q$3:$Q$53,MATCH(AE105,'لیست‌ها'!$P$3:$P$53,0))+IF(AF105&lt;=6,(AF105-1)*31+AG105,IF(AF105&lt;=11,186+(AF105-7)*30+AG105,336+AG105))-1,""))</f>
        <v/>
      </c>
      <c r="AI105" s="7" t="str">
        <f aca="false">IF(W105="","",W105&amp;"-"&amp;TEXT(X105,"00"))</f>
        <v>1405-04</v>
      </c>
      <c r="AJ105" s="7" t="n">
        <f aca="false">IF(W105="","",W105*12+X105)</f>
        <v>16864</v>
      </c>
      <c r="AK105" s="7" t="str">
        <f aca="false">IF(U105="تاخیر",V105+ROW()/100000,"")</f>
        <v/>
      </c>
    </row>
    <row r="106" customFormat="false" ht="15" hidden="false" customHeight="false" outlineLevel="0" collapsed="false">
      <c r="A106" s="7" t="n">
        <f aca="false">IF(B106="","",ROW()-3)</f>
        <v>103</v>
      </c>
      <c r="B106" s="8" t="s">
        <v>300</v>
      </c>
      <c r="C106" s="8" t="s">
        <v>38</v>
      </c>
      <c r="D106" s="8" t="s">
        <v>89</v>
      </c>
      <c r="E106" s="9" t="s">
        <v>301</v>
      </c>
      <c r="F106" s="9" t="s">
        <v>143</v>
      </c>
      <c r="G106" s="8" t="s">
        <v>144</v>
      </c>
      <c r="H106" s="8" t="s">
        <v>230</v>
      </c>
      <c r="I106" s="8" t="s">
        <v>54</v>
      </c>
      <c r="J106" s="9"/>
      <c r="K106" s="8"/>
      <c r="L106" s="8" t="s">
        <v>302</v>
      </c>
      <c r="M106" s="8" t="s">
        <v>56</v>
      </c>
      <c r="N106" s="8"/>
      <c r="O106" s="8"/>
      <c r="P106" s="8"/>
      <c r="Q106" s="8"/>
      <c r="R106" s="9"/>
      <c r="S106" s="8"/>
      <c r="T106" s="9"/>
      <c r="U106" s="10" t="str">
        <f aca="true">IF(B106="","",IF(OR(P106&lt;&gt;"",I106="می‌باشد"),"بسته",IF(AND(L106&lt;&gt;"",W106=""),"خطای فرمت تاریخ ایجاد",IF(AND(H106&lt;&gt;"",AA106=""),"خطای فرمت مهلت",IF(AND(H106&lt;&gt;"",AD106&lt;&gt;"",TODAY()&gt;AD106),"تاخیر",IF(L106&lt;&gt;"","در حال انجام",""))))))</f>
        <v>بسته</v>
      </c>
      <c r="V106" s="7" t="n">
        <f aca="true">IF(U106="تاخیر",TODAY()-AD106,IF(AND(U106="بسته",AH106&lt;&gt;"",AD106&lt;&gt;"",AH106&gt;AD106),AH106-AD106,0))</f>
        <v>0</v>
      </c>
      <c r="W106" s="7" t="n">
        <f aca="false">IF(L106="","",VALUE(LEFT(L106,FIND("/",L106)-1)))</f>
        <v>1405</v>
      </c>
      <c r="X106" s="7" t="n">
        <f aca="false">IF(L106="","",VALUE(MID(L106,FIND("/",L106)+1,FIND("/",L106,FIND("/",L106)+1)-FIND("/",L106)-1)))</f>
        <v>4</v>
      </c>
      <c r="Y106" s="7" t="n">
        <f aca="false">IF(L106="","",VALUE(MID(L106,FIND("/",L106,FIND("/",L106)+1)+1,LEN(L106)-FIND("/",L106,FIND("/",L106)+1))))</f>
        <v>16</v>
      </c>
      <c r="Z106" s="11" t="n">
        <f aca="false">IF(OR(L106="",W106=""),"",IFERROR(INDEX('لیست‌ها'!$Q$3:$Q$53,MATCH(W106,'لیست‌ها'!$P$3:$P$53,0))+IF(X106&lt;=6,(X106-1)*31+Y106,IF(X106&lt;=11,186+(X106-7)*30+Y106,336+Y106))-1,""))</f>
        <v>46210</v>
      </c>
      <c r="AA106" s="7" t="n">
        <f aca="false">IF(H106="","",VALUE(LEFT(H106,FIND("/",H106)-1)))</f>
        <v>1405</v>
      </c>
      <c r="AB106" s="7" t="n">
        <f aca="false">IF(H106="","",VALUE(MID(H106,FIND("/",H106)+1,FIND("/",H106,FIND("/",H106)+1)-FIND("/",H106)-1)))</f>
        <v>5</v>
      </c>
      <c r="AC106" s="7" t="n">
        <f aca="false">IF(H106="","",VALUE(MID(H106,FIND("/",H106,FIND("/",H106)+1)+1,LEN(H106)-FIND("/",H106,FIND("/",H106)+1))))</f>
        <v>31</v>
      </c>
      <c r="AD106" s="11" t="n">
        <f aca="false">IF(OR(H106="",AA106=""),"",IFERROR(INDEX('لیست‌ها'!$Q$3:$Q$53,MATCH(AA106,'لیست‌ها'!$P$3:$P$53,0))+IF(AB106&lt;=6,(AB106-1)*31+AC106,IF(AB106&lt;=11,186+(AB106-7)*30+AC106,336+AC106))-1,""))</f>
        <v>46256</v>
      </c>
      <c r="AE106" s="7" t="str">
        <f aca="false">IF(P106="","",VALUE(LEFT(P106,FIND("/",P106)-1)))</f>
        <v/>
      </c>
      <c r="AF106" s="7" t="str">
        <f aca="false">IF(P106="","",VALUE(MID(P106,FIND("/",P106)+1,FIND("/",P106,FIND("/",P106)+1)-FIND("/",P106)-1)))</f>
        <v/>
      </c>
      <c r="AG106" s="7" t="str">
        <f aca="false">IF(P106="","",VALUE(MID(P106,FIND("/",P106,FIND("/",P106)+1)+1,LEN(P106)-FIND("/",P106,FIND("/",P106)+1))))</f>
        <v/>
      </c>
      <c r="AH106" s="7" t="str">
        <f aca="false">IF(OR(P106="",AE106=""),"",IFERROR(INDEX('لیست‌ها'!$Q$3:$Q$53,MATCH(AE106,'لیست‌ها'!$P$3:$P$53,0))+IF(AF106&lt;=6,(AF106-1)*31+AG106,IF(AF106&lt;=11,186+(AF106-7)*30+AG106,336+AG106))-1,""))</f>
        <v/>
      </c>
      <c r="AI106" s="7" t="str">
        <f aca="false">IF(W106="","",W106&amp;"-"&amp;TEXT(X106,"00"))</f>
        <v>1405-04</v>
      </c>
      <c r="AJ106" s="7" t="n">
        <f aca="false">IF(W106="","",W106*12+X106)</f>
        <v>16864</v>
      </c>
      <c r="AK106" s="7" t="str">
        <f aca="false">IF(U106="تاخیر",V106+ROW()/100000,"")</f>
        <v/>
      </c>
    </row>
    <row r="107" customFormat="false" ht="15" hidden="false" customHeight="false" outlineLevel="0" collapsed="false">
      <c r="A107" s="7" t="n">
        <f aca="false">IF(B107="","",ROW()-3)</f>
        <v>104</v>
      </c>
      <c r="B107" s="8" t="s">
        <v>298</v>
      </c>
      <c r="C107" s="8" t="s">
        <v>38</v>
      </c>
      <c r="D107" s="8" t="s">
        <v>39</v>
      </c>
      <c r="E107" s="9" t="s">
        <v>299</v>
      </c>
      <c r="F107" s="9" t="s">
        <v>41</v>
      </c>
      <c r="G107" s="8" t="s">
        <v>42</v>
      </c>
      <c r="H107" s="8" t="s">
        <v>230</v>
      </c>
      <c r="I107" s="8"/>
      <c r="J107" s="9"/>
      <c r="K107" s="8"/>
      <c r="L107" s="8" t="s">
        <v>297</v>
      </c>
      <c r="M107" s="8" t="s">
        <v>110</v>
      </c>
      <c r="N107" s="8"/>
      <c r="O107" s="8"/>
      <c r="P107" s="8"/>
      <c r="Q107" s="8"/>
      <c r="R107" s="9"/>
      <c r="S107" s="8"/>
      <c r="T107" s="9"/>
      <c r="U107" s="10" t="str">
        <f aca="true">IF(B107="","",IF(OR(P107&lt;&gt;"",I107="می‌باشد"),"بسته",IF(AND(L107&lt;&gt;"",W107=""),"خطای فرمت تاریخ ایجاد",IF(AND(H107&lt;&gt;"",AA107=""),"خطای فرمت مهلت",IF(AND(H107&lt;&gt;"",AD107&lt;&gt;"",TODAY()&gt;AD107),"تاخیر",IF(L107&lt;&gt;"","در حال انجام",""))))))</f>
        <v>تاخیر</v>
      </c>
      <c r="V107" s="7" t="n">
        <f aca="true">IF(U107="تاخیر",TODAY()-AD107,IF(AND(U107="بسته",AH107&lt;&gt;"",AD107&lt;&gt;"",AH107&gt;AD107),AH107-AD107,0))</f>
        <v>39</v>
      </c>
      <c r="W107" s="7" t="n">
        <f aca="false">IF(L107="","",VALUE(LEFT(L107,FIND("/",L107)-1)))</f>
        <v>1405</v>
      </c>
      <c r="X107" s="7" t="n">
        <f aca="false">IF(L107="","",VALUE(MID(L107,FIND("/",L107)+1,FIND("/",L107,FIND("/",L107)+1)-FIND("/",L107)-1)))</f>
        <v>4</v>
      </c>
      <c r="Y107" s="7" t="n">
        <f aca="false">IF(L107="","",VALUE(MID(L107,FIND("/",L107,FIND("/",L107)+1)+1,LEN(L107)-FIND("/",L107,FIND("/",L107)+1))))</f>
        <v>18</v>
      </c>
      <c r="Z107" s="11" t="n">
        <f aca="false">IF(OR(L107="",W107=""),"",IFERROR(INDEX('لیست‌ها'!$Q$3:$Q$53,MATCH(W107,'لیست‌ها'!$P$3:$P$53,0))+IF(X107&lt;=6,(X107-1)*31+Y107,IF(X107&lt;=11,186+(X107-7)*30+Y107,336+Y107))-1,""))</f>
        <v>46212</v>
      </c>
      <c r="AA107" s="7" t="n">
        <f aca="false">IF(H107="","",VALUE(LEFT(H107,FIND("/",H107)-1)))</f>
        <v>1405</v>
      </c>
      <c r="AB107" s="7" t="n">
        <f aca="false">IF(H107="","",VALUE(MID(H107,FIND("/",H107)+1,FIND("/",H107,FIND("/",H107)+1)-FIND("/",H107)-1)))</f>
        <v>5</v>
      </c>
      <c r="AC107" s="7" t="n">
        <f aca="false">IF(H107="","",VALUE(MID(H107,FIND("/",H107,FIND("/",H107)+1)+1,LEN(H107)-FIND("/",H107,FIND("/",H107)+1))))</f>
        <v>31</v>
      </c>
      <c r="AD107" s="11" t="n">
        <f aca="false">IF(OR(H107="",AA107=""),"",IFERROR(INDEX('لیست‌ها'!$Q$3:$Q$53,MATCH(AA107,'لیست‌ها'!$P$3:$P$53,0))+IF(AB107&lt;=6,(AB107-1)*31+AC107,IF(AB107&lt;=11,186+(AB107-7)*30+AC107,336+AC107))-1,""))</f>
        <v>46256</v>
      </c>
      <c r="AE107" s="7" t="str">
        <f aca="false">IF(P107="","",VALUE(LEFT(P107,FIND("/",P107)-1)))</f>
        <v/>
      </c>
      <c r="AF107" s="7" t="str">
        <f aca="false">IF(P107="","",VALUE(MID(P107,FIND("/",P107)+1,FIND("/",P107,FIND("/",P107)+1)-FIND("/",P107)-1)))</f>
        <v/>
      </c>
      <c r="AG107" s="7" t="str">
        <f aca="false">IF(P107="","",VALUE(MID(P107,FIND("/",P107,FIND("/",P107)+1)+1,LEN(P107)-FIND("/",P107,FIND("/",P107)+1))))</f>
        <v/>
      </c>
      <c r="AH107" s="7" t="str">
        <f aca="false">IF(OR(P107="",AE107=""),"",IFERROR(INDEX('لیست‌ها'!$Q$3:$Q$53,MATCH(AE107,'لیست‌ها'!$P$3:$P$53,0))+IF(AF107&lt;=6,(AF107-1)*31+AG107,IF(AF107&lt;=11,186+(AF107-7)*30+AG107,336+AG107))-1,""))</f>
        <v/>
      </c>
      <c r="AI107" s="7" t="str">
        <f aca="false">IF(W107="","",W107&amp;"-"&amp;TEXT(X107,"00"))</f>
        <v>1405-04</v>
      </c>
      <c r="AJ107" s="7" t="n">
        <f aca="false">IF(W107="","",W107*12+X107)</f>
        <v>16864</v>
      </c>
      <c r="AK107" s="7" t="n">
        <f aca="false">IF(U107="تاخیر",V107+ROW()/100000,"")</f>
        <v>39.00116</v>
      </c>
    </row>
    <row r="108" customFormat="false" ht="15" hidden="false" customHeight="false" outlineLevel="0" collapsed="false">
      <c r="A108" s="7" t="n">
        <f aca="false">IF(B108="","",ROW()-3)</f>
        <v>105</v>
      </c>
      <c r="B108" s="8" t="s">
        <v>296</v>
      </c>
      <c r="C108" s="8" t="s">
        <v>38</v>
      </c>
      <c r="D108" s="8" t="s">
        <v>39</v>
      </c>
      <c r="E108" s="9" t="s">
        <v>202</v>
      </c>
      <c r="F108" s="9" t="s">
        <v>41</v>
      </c>
      <c r="G108" s="8" t="s">
        <v>42</v>
      </c>
      <c r="H108" s="8" t="s">
        <v>230</v>
      </c>
      <c r="I108" s="8"/>
      <c r="J108" s="9"/>
      <c r="K108" s="8"/>
      <c r="L108" s="8" t="s">
        <v>297</v>
      </c>
      <c r="M108" s="8" t="s">
        <v>71</v>
      </c>
      <c r="N108" s="8"/>
      <c r="O108" s="8"/>
      <c r="P108" s="8"/>
      <c r="Q108" s="8"/>
      <c r="R108" s="9"/>
      <c r="S108" s="8"/>
      <c r="T108" s="9"/>
      <c r="U108" s="10" t="str">
        <f aca="true">IF(B108="","",IF(OR(P108&lt;&gt;"",I108="می‌باشد"),"بسته",IF(AND(L108&lt;&gt;"",W108=""),"خطای فرمت تاریخ ایجاد",IF(AND(H108&lt;&gt;"",AA108=""),"خطای فرمت مهلت",IF(AND(H108&lt;&gt;"",AD108&lt;&gt;"",TODAY()&gt;AD108),"تاخیر",IF(L108&lt;&gt;"","در حال انجام",""))))))</f>
        <v>تاخیر</v>
      </c>
      <c r="V108" s="7" t="n">
        <f aca="true">IF(U108="تاخیر",TODAY()-AD108,IF(AND(U108="بسته",AH108&lt;&gt;"",AD108&lt;&gt;"",AH108&gt;AD108),AH108-AD108,0))</f>
        <v>39</v>
      </c>
      <c r="W108" s="7" t="n">
        <f aca="false">IF(L108="","",VALUE(LEFT(L108,FIND("/",L108)-1)))</f>
        <v>1405</v>
      </c>
      <c r="X108" s="7" t="n">
        <f aca="false">IF(L108="","",VALUE(MID(L108,FIND("/",L108)+1,FIND("/",L108,FIND("/",L108)+1)-FIND("/",L108)-1)))</f>
        <v>4</v>
      </c>
      <c r="Y108" s="7" t="n">
        <f aca="false">IF(L108="","",VALUE(MID(L108,FIND("/",L108,FIND("/",L108)+1)+1,LEN(L108)-FIND("/",L108,FIND("/",L108)+1))))</f>
        <v>18</v>
      </c>
      <c r="Z108" s="11" t="n">
        <f aca="false">IF(OR(L108="",W108=""),"",IFERROR(INDEX('لیست‌ها'!$Q$3:$Q$53,MATCH(W108,'لیست‌ها'!$P$3:$P$53,0))+IF(X108&lt;=6,(X108-1)*31+Y108,IF(X108&lt;=11,186+(X108-7)*30+Y108,336+Y108))-1,""))</f>
        <v>46212</v>
      </c>
      <c r="AA108" s="7" t="n">
        <f aca="false">IF(H108="","",VALUE(LEFT(H108,FIND("/",H108)-1)))</f>
        <v>1405</v>
      </c>
      <c r="AB108" s="7" t="n">
        <f aca="false">IF(H108="","",VALUE(MID(H108,FIND("/",H108)+1,FIND("/",H108,FIND("/",H108)+1)-FIND("/",H108)-1)))</f>
        <v>5</v>
      </c>
      <c r="AC108" s="7" t="n">
        <f aca="false">IF(H108="","",VALUE(MID(H108,FIND("/",H108,FIND("/",H108)+1)+1,LEN(H108)-FIND("/",H108,FIND("/",H108)+1))))</f>
        <v>31</v>
      </c>
      <c r="AD108" s="11" t="n">
        <f aca="false">IF(OR(H108="",AA108=""),"",IFERROR(INDEX('لیست‌ها'!$Q$3:$Q$53,MATCH(AA108,'لیست‌ها'!$P$3:$P$53,0))+IF(AB108&lt;=6,(AB108-1)*31+AC108,IF(AB108&lt;=11,186+(AB108-7)*30+AC108,336+AC108))-1,""))</f>
        <v>46256</v>
      </c>
      <c r="AE108" s="7" t="str">
        <f aca="false">IF(P108="","",VALUE(LEFT(P108,FIND("/",P108)-1)))</f>
        <v/>
      </c>
      <c r="AF108" s="7" t="str">
        <f aca="false">IF(P108="","",VALUE(MID(P108,FIND("/",P108)+1,FIND("/",P108,FIND("/",P108)+1)-FIND("/",P108)-1)))</f>
        <v/>
      </c>
      <c r="AG108" s="7" t="str">
        <f aca="false">IF(P108="","",VALUE(MID(P108,FIND("/",P108,FIND("/",P108)+1)+1,LEN(P108)-FIND("/",P108,FIND("/",P108)+1))))</f>
        <v/>
      </c>
      <c r="AH108" s="7" t="str">
        <f aca="false">IF(OR(P108="",AE108=""),"",IFERROR(INDEX('لیست‌ها'!$Q$3:$Q$53,MATCH(AE108,'لیست‌ها'!$P$3:$P$53,0))+IF(AF108&lt;=6,(AF108-1)*31+AG108,IF(AF108&lt;=11,186+(AF108-7)*30+AG108,336+AG108))-1,""))</f>
        <v/>
      </c>
      <c r="AI108" s="7" t="str">
        <f aca="false">IF(W108="","",W108&amp;"-"&amp;TEXT(X108,"00"))</f>
        <v>1405-04</v>
      </c>
      <c r="AJ108" s="7" t="n">
        <f aca="false">IF(W108="","",W108*12+X108)</f>
        <v>16864</v>
      </c>
      <c r="AK108" s="7" t="n">
        <f aca="false">IF(U108="تاخیر",V108+ROW()/100000,"")</f>
        <v>39.00115</v>
      </c>
    </row>
    <row r="109" customFormat="false" ht="15" hidden="false" customHeight="false" outlineLevel="0" collapsed="false">
      <c r="A109" s="7" t="n">
        <f aca="false">IF(B109="","",ROW()-3)</f>
        <v>106</v>
      </c>
      <c r="B109" s="8" t="s">
        <v>295</v>
      </c>
      <c r="C109" s="8" t="s">
        <v>38</v>
      </c>
      <c r="D109" s="8" t="s">
        <v>47</v>
      </c>
      <c r="E109" s="9" t="s">
        <v>288</v>
      </c>
      <c r="F109" s="9" t="s">
        <v>51</v>
      </c>
      <c r="G109" s="8" t="s">
        <v>52</v>
      </c>
      <c r="H109" s="8" t="s">
        <v>213</v>
      </c>
      <c r="I109" s="8" t="s">
        <v>54</v>
      </c>
      <c r="J109" s="9"/>
      <c r="K109" s="8"/>
      <c r="L109" s="8" t="s">
        <v>292</v>
      </c>
      <c r="M109" s="8" t="s">
        <v>56</v>
      </c>
      <c r="N109" s="8"/>
      <c r="O109" s="8"/>
      <c r="P109" s="8"/>
      <c r="Q109" s="8"/>
      <c r="R109" s="9"/>
      <c r="S109" s="8"/>
      <c r="T109" s="9"/>
      <c r="U109" s="10" t="str">
        <f aca="true">IF(B109="","",IF(OR(P109&lt;&gt;"",I109="می‌باشد"),"بسته",IF(AND(L109&lt;&gt;"",W109=""),"خطای فرمت تاریخ ایجاد",IF(AND(H109&lt;&gt;"",AA109=""),"خطای فرمت مهلت",IF(AND(H109&lt;&gt;"",AD109&lt;&gt;"",TODAY()&gt;AD109),"تاخیر",IF(L109&lt;&gt;"","در حال انجام",""))))))</f>
        <v>بسته</v>
      </c>
      <c r="V109" s="7" t="n">
        <f aca="true">IF(U109="تاخیر",TODAY()-AD109,IF(AND(U109="بسته",AH109&lt;&gt;"",AD109&lt;&gt;"",AH109&gt;AD109),AH109-AD109,0))</f>
        <v>0</v>
      </c>
      <c r="W109" s="7" t="n">
        <f aca="false">IF(L109="","",VALUE(LEFT(L109,FIND("/",L109)-1)))</f>
        <v>1405</v>
      </c>
      <c r="X109" s="7" t="n">
        <f aca="false">IF(L109="","",VALUE(MID(L109,FIND("/",L109)+1,FIND("/",L109,FIND("/",L109)+1)-FIND("/",L109)-1)))</f>
        <v>4</v>
      </c>
      <c r="Y109" s="7" t="n">
        <f aca="false">IF(L109="","",VALUE(MID(L109,FIND("/",L109,FIND("/",L109)+1)+1,LEN(L109)-FIND("/",L109,FIND("/",L109)+1))))</f>
        <v>20</v>
      </c>
      <c r="Z109" s="11" t="n">
        <f aca="false">IF(OR(L109="",W109=""),"",IFERROR(INDEX('لیست‌ها'!$Q$3:$Q$53,MATCH(W109,'لیست‌ها'!$P$3:$P$53,0))+IF(X109&lt;=6,(X109-1)*31+Y109,IF(X109&lt;=11,186+(X109-7)*30+Y109,336+Y109))-1,""))</f>
        <v>46214</v>
      </c>
      <c r="AA109" s="7" t="n">
        <f aca="false">IF(H109="","",VALUE(LEFT(H109,FIND("/",H109)-1)))</f>
        <v>1405</v>
      </c>
      <c r="AB109" s="7" t="n">
        <f aca="false">IF(H109="","",VALUE(MID(H109,FIND("/",H109)+1,FIND("/",H109,FIND("/",H109)+1)-FIND("/",H109)-1)))</f>
        <v>5</v>
      </c>
      <c r="AC109" s="7" t="n">
        <f aca="false">IF(H109="","",VALUE(MID(H109,FIND("/",H109,FIND("/",H109)+1)+1,LEN(H109)-FIND("/",H109,FIND("/",H109)+1))))</f>
        <v>7</v>
      </c>
      <c r="AD109" s="11" t="n">
        <f aca="false">IF(OR(H109="",AA109=""),"",IFERROR(INDEX('لیست‌ها'!$Q$3:$Q$53,MATCH(AA109,'لیست‌ها'!$P$3:$P$53,0))+IF(AB109&lt;=6,(AB109-1)*31+AC109,IF(AB109&lt;=11,186+(AB109-7)*30+AC109,336+AC109))-1,""))</f>
        <v>46232</v>
      </c>
      <c r="AE109" s="7" t="str">
        <f aca="false">IF(P109="","",VALUE(LEFT(P109,FIND("/",P109)-1)))</f>
        <v/>
      </c>
      <c r="AF109" s="7" t="str">
        <f aca="false">IF(P109="","",VALUE(MID(P109,FIND("/",P109)+1,FIND("/",P109,FIND("/",P109)+1)-FIND("/",P109)-1)))</f>
        <v/>
      </c>
      <c r="AG109" s="7" t="str">
        <f aca="false">IF(P109="","",VALUE(MID(P109,FIND("/",P109,FIND("/",P109)+1)+1,LEN(P109)-FIND("/",P109,FIND("/",P109)+1))))</f>
        <v/>
      </c>
      <c r="AH109" s="7" t="str">
        <f aca="false">IF(OR(P109="",AE109=""),"",IFERROR(INDEX('لیست‌ها'!$Q$3:$Q$53,MATCH(AE109,'لیست‌ها'!$P$3:$P$53,0))+IF(AF109&lt;=6,(AF109-1)*31+AG109,IF(AF109&lt;=11,186+(AF109-7)*30+AG109,336+AG109))-1,""))</f>
        <v/>
      </c>
      <c r="AI109" s="7" t="str">
        <f aca="false">IF(W109="","",W109&amp;"-"&amp;TEXT(X109,"00"))</f>
        <v>1405-04</v>
      </c>
      <c r="AJ109" s="7" t="n">
        <f aca="false">IF(W109="","",W109*12+X109)</f>
        <v>16864</v>
      </c>
      <c r="AK109" s="7" t="str">
        <f aca="false">IF(U109="تاخیر",V109+ROW()/100000,"")</f>
        <v/>
      </c>
    </row>
    <row r="110" customFormat="false" ht="15" hidden="false" customHeight="false" outlineLevel="0" collapsed="false">
      <c r="A110" s="7" t="n">
        <f aca="false">IF(B110="","",ROW()-3)</f>
        <v>107</v>
      </c>
      <c r="B110" s="8" t="s">
        <v>294</v>
      </c>
      <c r="C110" s="8" t="s">
        <v>38</v>
      </c>
      <c r="D110" s="8" t="s">
        <v>47</v>
      </c>
      <c r="E110" s="9" t="s">
        <v>184</v>
      </c>
      <c r="F110" s="9" t="s">
        <v>51</v>
      </c>
      <c r="G110" s="8" t="s">
        <v>52</v>
      </c>
      <c r="H110" s="8" t="s">
        <v>230</v>
      </c>
      <c r="I110" s="8" t="s">
        <v>54</v>
      </c>
      <c r="J110" s="9"/>
      <c r="K110" s="8"/>
      <c r="L110" s="8" t="s">
        <v>292</v>
      </c>
      <c r="M110" s="8" t="s">
        <v>56</v>
      </c>
      <c r="N110" s="8"/>
      <c r="O110" s="8"/>
      <c r="P110" s="8"/>
      <c r="Q110" s="8"/>
      <c r="R110" s="9"/>
      <c r="S110" s="8"/>
      <c r="T110" s="9"/>
      <c r="U110" s="10" t="str">
        <f aca="true">IF(B110="","",IF(OR(P110&lt;&gt;"",I110="می‌باشد"),"بسته",IF(AND(L110&lt;&gt;"",W110=""),"خطای فرمت تاریخ ایجاد",IF(AND(H110&lt;&gt;"",AA110=""),"خطای فرمت مهلت",IF(AND(H110&lt;&gt;"",AD110&lt;&gt;"",TODAY()&gt;AD110),"تاخیر",IF(L110&lt;&gt;"","در حال انجام",""))))))</f>
        <v>بسته</v>
      </c>
      <c r="V110" s="7" t="n">
        <f aca="true">IF(U110="تاخیر",TODAY()-AD110,IF(AND(U110="بسته",AH110&lt;&gt;"",AD110&lt;&gt;"",AH110&gt;AD110),AH110-AD110,0))</f>
        <v>0</v>
      </c>
      <c r="W110" s="7" t="n">
        <f aca="false">IF(L110="","",VALUE(LEFT(L110,FIND("/",L110)-1)))</f>
        <v>1405</v>
      </c>
      <c r="X110" s="7" t="n">
        <f aca="false">IF(L110="","",VALUE(MID(L110,FIND("/",L110)+1,FIND("/",L110,FIND("/",L110)+1)-FIND("/",L110)-1)))</f>
        <v>4</v>
      </c>
      <c r="Y110" s="7" t="n">
        <f aca="false">IF(L110="","",VALUE(MID(L110,FIND("/",L110,FIND("/",L110)+1)+1,LEN(L110)-FIND("/",L110,FIND("/",L110)+1))))</f>
        <v>20</v>
      </c>
      <c r="Z110" s="11" t="n">
        <f aca="false">IF(OR(L110="",W110=""),"",IFERROR(INDEX('لیست‌ها'!$Q$3:$Q$53,MATCH(W110,'لیست‌ها'!$P$3:$P$53,0))+IF(X110&lt;=6,(X110-1)*31+Y110,IF(X110&lt;=11,186+(X110-7)*30+Y110,336+Y110))-1,""))</f>
        <v>46214</v>
      </c>
      <c r="AA110" s="7" t="n">
        <f aca="false">IF(H110="","",VALUE(LEFT(H110,FIND("/",H110)-1)))</f>
        <v>1405</v>
      </c>
      <c r="AB110" s="7" t="n">
        <f aca="false">IF(H110="","",VALUE(MID(H110,FIND("/",H110)+1,FIND("/",H110,FIND("/",H110)+1)-FIND("/",H110)-1)))</f>
        <v>5</v>
      </c>
      <c r="AC110" s="7" t="n">
        <f aca="false">IF(H110="","",VALUE(MID(H110,FIND("/",H110,FIND("/",H110)+1)+1,LEN(H110)-FIND("/",H110,FIND("/",H110)+1))))</f>
        <v>31</v>
      </c>
      <c r="AD110" s="11" t="n">
        <f aca="false">IF(OR(H110="",AA110=""),"",IFERROR(INDEX('لیست‌ها'!$Q$3:$Q$53,MATCH(AA110,'لیست‌ها'!$P$3:$P$53,0))+IF(AB110&lt;=6,(AB110-1)*31+AC110,IF(AB110&lt;=11,186+(AB110-7)*30+AC110,336+AC110))-1,""))</f>
        <v>46256</v>
      </c>
      <c r="AE110" s="7" t="str">
        <f aca="false">IF(P110="","",VALUE(LEFT(P110,FIND("/",P110)-1)))</f>
        <v/>
      </c>
      <c r="AF110" s="7" t="str">
        <f aca="false">IF(P110="","",VALUE(MID(P110,FIND("/",P110)+1,FIND("/",P110,FIND("/",P110)+1)-FIND("/",P110)-1)))</f>
        <v/>
      </c>
      <c r="AG110" s="7" t="str">
        <f aca="false">IF(P110="","",VALUE(MID(P110,FIND("/",P110,FIND("/",P110)+1)+1,LEN(P110)-FIND("/",P110,FIND("/",P110)+1))))</f>
        <v/>
      </c>
      <c r="AH110" s="7" t="str">
        <f aca="false">IF(OR(P110="",AE110=""),"",IFERROR(INDEX('لیست‌ها'!$Q$3:$Q$53,MATCH(AE110,'لیست‌ها'!$P$3:$P$53,0))+IF(AF110&lt;=6,(AF110-1)*31+AG110,IF(AF110&lt;=11,186+(AF110-7)*30+AG110,336+AG110))-1,""))</f>
        <v/>
      </c>
      <c r="AI110" s="7" t="str">
        <f aca="false">IF(W110="","",W110&amp;"-"&amp;TEXT(X110,"00"))</f>
        <v>1405-04</v>
      </c>
      <c r="AJ110" s="7" t="n">
        <f aca="false">IF(W110="","",W110*12+X110)</f>
        <v>16864</v>
      </c>
      <c r="AK110" s="7" t="str">
        <f aca="false">IF(U110="تاخیر",V110+ROW()/100000,"")</f>
        <v/>
      </c>
    </row>
    <row r="111" customFormat="false" ht="15" hidden="false" customHeight="false" outlineLevel="0" collapsed="false">
      <c r="A111" s="7" t="n">
        <f aca="false">IF(B111="","",ROW()-3)</f>
        <v>108</v>
      </c>
      <c r="B111" s="8" t="s">
        <v>293</v>
      </c>
      <c r="C111" s="8" t="s">
        <v>38</v>
      </c>
      <c r="D111" s="8" t="s">
        <v>47</v>
      </c>
      <c r="E111" s="9" t="s">
        <v>184</v>
      </c>
      <c r="F111" s="9" t="s">
        <v>51</v>
      </c>
      <c r="G111" s="8" t="s">
        <v>52</v>
      </c>
      <c r="H111" s="8" t="s">
        <v>213</v>
      </c>
      <c r="I111" s="8"/>
      <c r="J111" s="9"/>
      <c r="K111" s="8"/>
      <c r="L111" s="8" t="s">
        <v>292</v>
      </c>
      <c r="M111" s="8" t="s">
        <v>110</v>
      </c>
      <c r="N111" s="8"/>
      <c r="O111" s="8"/>
      <c r="P111" s="8"/>
      <c r="Q111" s="8"/>
      <c r="R111" s="9"/>
      <c r="S111" s="8"/>
      <c r="T111" s="9"/>
      <c r="U111" s="10" t="str">
        <f aca="true">IF(B111="","",IF(OR(P111&lt;&gt;"",I111="می‌باشد"),"بسته",IF(AND(L111&lt;&gt;"",W111=""),"خطای فرمت تاریخ ایجاد",IF(AND(H111&lt;&gt;"",AA111=""),"خطای فرمت مهلت",IF(AND(H111&lt;&gt;"",AD111&lt;&gt;"",TODAY()&gt;AD111),"تاخیر",IF(L111&lt;&gt;"","در حال انجام",""))))))</f>
        <v>تاخیر</v>
      </c>
      <c r="V111" s="7" t="n">
        <f aca="true">IF(U111="تاخیر",TODAY()-AD111,IF(AND(U111="بسته",AH111&lt;&gt;"",AD111&lt;&gt;"",AH111&gt;AD111),AH111-AD111,0))</f>
        <v>63</v>
      </c>
      <c r="W111" s="7" t="n">
        <f aca="false">IF(L111="","",VALUE(LEFT(L111,FIND("/",L111)-1)))</f>
        <v>1405</v>
      </c>
      <c r="X111" s="7" t="n">
        <f aca="false">IF(L111="","",VALUE(MID(L111,FIND("/",L111)+1,FIND("/",L111,FIND("/",L111)+1)-FIND("/",L111)-1)))</f>
        <v>4</v>
      </c>
      <c r="Y111" s="7" t="n">
        <f aca="false">IF(L111="","",VALUE(MID(L111,FIND("/",L111,FIND("/",L111)+1)+1,LEN(L111)-FIND("/",L111,FIND("/",L111)+1))))</f>
        <v>20</v>
      </c>
      <c r="Z111" s="11" t="n">
        <f aca="false">IF(OR(L111="",W111=""),"",IFERROR(INDEX('لیست‌ها'!$Q$3:$Q$53,MATCH(W111,'لیست‌ها'!$P$3:$P$53,0))+IF(X111&lt;=6,(X111-1)*31+Y111,IF(X111&lt;=11,186+(X111-7)*30+Y111,336+Y111))-1,""))</f>
        <v>46214</v>
      </c>
      <c r="AA111" s="7" t="n">
        <f aca="false">IF(H111="","",VALUE(LEFT(H111,FIND("/",H111)-1)))</f>
        <v>1405</v>
      </c>
      <c r="AB111" s="7" t="n">
        <f aca="false">IF(H111="","",VALUE(MID(H111,FIND("/",H111)+1,FIND("/",H111,FIND("/",H111)+1)-FIND("/",H111)-1)))</f>
        <v>5</v>
      </c>
      <c r="AC111" s="7" t="n">
        <f aca="false">IF(H111="","",VALUE(MID(H111,FIND("/",H111,FIND("/",H111)+1)+1,LEN(H111)-FIND("/",H111,FIND("/",H111)+1))))</f>
        <v>7</v>
      </c>
      <c r="AD111" s="11" t="n">
        <f aca="false">IF(OR(H111="",AA111=""),"",IFERROR(INDEX('لیست‌ها'!$Q$3:$Q$53,MATCH(AA111,'لیست‌ها'!$P$3:$P$53,0))+IF(AB111&lt;=6,(AB111-1)*31+AC111,IF(AB111&lt;=11,186+(AB111-7)*30+AC111,336+AC111))-1,""))</f>
        <v>46232</v>
      </c>
      <c r="AE111" s="7" t="str">
        <f aca="false">IF(P111="","",VALUE(LEFT(P111,FIND("/",P111)-1)))</f>
        <v/>
      </c>
      <c r="AF111" s="7" t="str">
        <f aca="false">IF(P111="","",VALUE(MID(P111,FIND("/",P111)+1,FIND("/",P111,FIND("/",P111)+1)-FIND("/",P111)-1)))</f>
        <v/>
      </c>
      <c r="AG111" s="7" t="str">
        <f aca="false">IF(P111="","",VALUE(MID(P111,FIND("/",P111,FIND("/",P111)+1)+1,LEN(P111)-FIND("/",P111,FIND("/",P111)+1))))</f>
        <v/>
      </c>
      <c r="AH111" s="7" t="str">
        <f aca="false">IF(OR(P111="",AE111=""),"",IFERROR(INDEX('لیست‌ها'!$Q$3:$Q$53,MATCH(AE111,'لیست‌ها'!$P$3:$P$53,0))+IF(AF111&lt;=6,(AF111-1)*31+AG111,IF(AF111&lt;=11,186+(AF111-7)*30+AG111,336+AG111))-1,""))</f>
        <v/>
      </c>
      <c r="AI111" s="7" t="str">
        <f aca="false">IF(W111="","",W111&amp;"-"&amp;TEXT(X111,"00"))</f>
        <v>1405-04</v>
      </c>
      <c r="AJ111" s="7" t="n">
        <f aca="false">IF(W111="","",W111*12+X111)</f>
        <v>16864</v>
      </c>
      <c r="AK111" s="7" t="n">
        <f aca="false">IF(U111="تاخیر",V111+ROW()/100000,"")</f>
        <v>63.00112</v>
      </c>
    </row>
    <row r="112" customFormat="false" ht="15" hidden="false" customHeight="false" outlineLevel="0" collapsed="false">
      <c r="A112" s="7" t="n">
        <f aca="false">IF(B112="","",ROW()-3)</f>
        <v>109</v>
      </c>
      <c r="B112" s="8" t="s">
        <v>291</v>
      </c>
      <c r="C112" s="8" t="s">
        <v>38</v>
      </c>
      <c r="D112" s="8" t="s">
        <v>47</v>
      </c>
      <c r="E112" s="9" t="s">
        <v>283</v>
      </c>
      <c r="F112" s="9" t="s">
        <v>51</v>
      </c>
      <c r="G112" s="8" t="s">
        <v>52</v>
      </c>
      <c r="H112" s="8" t="s">
        <v>230</v>
      </c>
      <c r="I112" s="8" t="s">
        <v>54</v>
      </c>
      <c r="J112" s="9"/>
      <c r="K112" s="8"/>
      <c r="L112" s="8" t="s">
        <v>292</v>
      </c>
      <c r="M112" s="8" t="s">
        <v>56</v>
      </c>
      <c r="N112" s="8"/>
      <c r="O112" s="8"/>
      <c r="P112" s="8"/>
      <c r="Q112" s="8"/>
      <c r="R112" s="9"/>
      <c r="S112" s="8"/>
      <c r="T112" s="9"/>
      <c r="U112" s="10" t="str">
        <f aca="true">IF(B112="","",IF(OR(P112&lt;&gt;"",I112="می‌باشد"),"بسته",IF(AND(L112&lt;&gt;"",W112=""),"خطای فرمت تاریخ ایجاد",IF(AND(H112&lt;&gt;"",AA112=""),"خطای فرمت مهلت",IF(AND(H112&lt;&gt;"",AD112&lt;&gt;"",TODAY()&gt;AD112),"تاخیر",IF(L112&lt;&gt;"","در حال انجام",""))))))</f>
        <v>بسته</v>
      </c>
      <c r="V112" s="7" t="n">
        <f aca="true">IF(U112="تاخیر",TODAY()-AD112,IF(AND(U112="بسته",AH112&lt;&gt;"",AD112&lt;&gt;"",AH112&gt;AD112),AH112-AD112,0))</f>
        <v>0</v>
      </c>
      <c r="W112" s="7" t="n">
        <f aca="false">IF(L112="","",VALUE(LEFT(L112,FIND("/",L112)-1)))</f>
        <v>1405</v>
      </c>
      <c r="X112" s="7" t="n">
        <f aca="false">IF(L112="","",VALUE(MID(L112,FIND("/",L112)+1,FIND("/",L112,FIND("/",L112)+1)-FIND("/",L112)-1)))</f>
        <v>4</v>
      </c>
      <c r="Y112" s="7" t="n">
        <f aca="false">IF(L112="","",VALUE(MID(L112,FIND("/",L112,FIND("/",L112)+1)+1,LEN(L112)-FIND("/",L112,FIND("/",L112)+1))))</f>
        <v>20</v>
      </c>
      <c r="Z112" s="11" t="n">
        <f aca="false">IF(OR(L112="",W112=""),"",IFERROR(INDEX('لیست‌ها'!$Q$3:$Q$53,MATCH(W112,'لیست‌ها'!$P$3:$P$53,0))+IF(X112&lt;=6,(X112-1)*31+Y112,IF(X112&lt;=11,186+(X112-7)*30+Y112,336+Y112))-1,""))</f>
        <v>46214</v>
      </c>
      <c r="AA112" s="7" t="n">
        <f aca="false">IF(H112="","",VALUE(LEFT(H112,FIND("/",H112)-1)))</f>
        <v>1405</v>
      </c>
      <c r="AB112" s="7" t="n">
        <f aca="false">IF(H112="","",VALUE(MID(H112,FIND("/",H112)+1,FIND("/",H112,FIND("/",H112)+1)-FIND("/",H112)-1)))</f>
        <v>5</v>
      </c>
      <c r="AC112" s="7" t="n">
        <f aca="false">IF(H112="","",VALUE(MID(H112,FIND("/",H112,FIND("/",H112)+1)+1,LEN(H112)-FIND("/",H112,FIND("/",H112)+1))))</f>
        <v>31</v>
      </c>
      <c r="AD112" s="11" t="n">
        <f aca="false">IF(OR(H112="",AA112=""),"",IFERROR(INDEX('لیست‌ها'!$Q$3:$Q$53,MATCH(AA112,'لیست‌ها'!$P$3:$P$53,0))+IF(AB112&lt;=6,(AB112-1)*31+AC112,IF(AB112&lt;=11,186+(AB112-7)*30+AC112,336+AC112))-1,""))</f>
        <v>46256</v>
      </c>
      <c r="AE112" s="7" t="str">
        <f aca="false">IF(P112="","",VALUE(LEFT(P112,FIND("/",P112)-1)))</f>
        <v/>
      </c>
      <c r="AF112" s="7" t="str">
        <f aca="false">IF(P112="","",VALUE(MID(P112,FIND("/",P112)+1,FIND("/",P112,FIND("/",P112)+1)-FIND("/",P112)-1)))</f>
        <v/>
      </c>
      <c r="AG112" s="7" t="str">
        <f aca="false">IF(P112="","",VALUE(MID(P112,FIND("/",P112,FIND("/",P112)+1)+1,LEN(P112)-FIND("/",P112,FIND("/",P112)+1))))</f>
        <v/>
      </c>
      <c r="AH112" s="7" t="str">
        <f aca="false">IF(OR(P112="",AE112=""),"",IFERROR(INDEX('لیست‌ها'!$Q$3:$Q$53,MATCH(AE112,'لیست‌ها'!$P$3:$P$53,0))+IF(AF112&lt;=6,(AF112-1)*31+AG112,IF(AF112&lt;=11,186+(AF112-7)*30+AG112,336+AG112))-1,""))</f>
        <v/>
      </c>
      <c r="AI112" s="7" t="str">
        <f aca="false">IF(W112="","",W112&amp;"-"&amp;TEXT(X112,"00"))</f>
        <v>1405-04</v>
      </c>
      <c r="AJ112" s="7" t="n">
        <f aca="false">IF(W112="","",W112*12+X112)</f>
        <v>16864</v>
      </c>
      <c r="AK112" s="7" t="str">
        <f aca="false">IF(U112="تاخیر",V112+ROW()/100000,"")</f>
        <v/>
      </c>
    </row>
    <row r="113" customFormat="false" ht="15" hidden="false" customHeight="false" outlineLevel="0" collapsed="false">
      <c r="A113" s="7" t="n">
        <f aca="false">IF(B113="","",ROW()-3)</f>
        <v>110</v>
      </c>
      <c r="B113" s="8" t="s">
        <v>290</v>
      </c>
      <c r="C113" s="8" t="s">
        <v>38</v>
      </c>
      <c r="D113" s="8" t="s">
        <v>47</v>
      </c>
      <c r="E113" s="9" t="s">
        <v>147</v>
      </c>
      <c r="F113" s="9" t="s">
        <v>51</v>
      </c>
      <c r="G113" s="8" t="s">
        <v>52</v>
      </c>
      <c r="H113" s="8" t="s">
        <v>230</v>
      </c>
      <c r="I113" s="8" t="s">
        <v>54</v>
      </c>
      <c r="J113" s="9"/>
      <c r="K113" s="8"/>
      <c r="L113" s="8" t="s">
        <v>289</v>
      </c>
      <c r="M113" s="8" t="s">
        <v>56</v>
      </c>
      <c r="N113" s="8"/>
      <c r="O113" s="8"/>
      <c r="P113" s="8"/>
      <c r="Q113" s="8"/>
      <c r="R113" s="9"/>
      <c r="S113" s="8"/>
      <c r="T113" s="9"/>
      <c r="U113" s="10" t="str">
        <f aca="true">IF(B113="","",IF(OR(P113&lt;&gt;"",I113="می‌باشد"),"بسته",IF(AND(L113&lt;&gt;"",W113=""),"خطای فرمت تاریخ ایجاد",IF(AND(H113&lt;&gt;"",AA113=""),"خطای فرمت مهلت",IF(AND(H113&lt;&gt;"",AD113&lt;&gt;"",TODAY()&gt;AD113),"تاخیر",IF(L113&lt;&gt;"","در حال انجام",""))))))</f>
        <v>بسته</v>
      </c>
      <c r="V113" s="7" t="n">
        <f aca="true">IF(U113="تاخیر",TODAY()-AD113,IF(AND(U113="بسته",AH113&lt;&gt;"",AD113&lt;&gt;"",AH113&gt;AD113),AH113-AD113,0))</f>
        <v>0</v>
      </c>
      <c r="W113" s="7" t="n">
        <f aca="false">IF(L113="","",VALUE(LEFT(L113,FIND("/",L113)-1)))</f>
        <v>1405</v>
      </c>
      <c r="X113" s="7" t="n">
        <f aca="false">IF(L113="","",VALUE(MID(L113,FIND("/",L113)+1,FIND("/",L113,FIND("/",L113)+1)-FIND("/",L113)-1)))</f>
        <v>4</v>
      </c>
      <c r="Y113" s="7" t="n">
        <f aca="false">IF(L113="","",VALUE(MID(L113,FIND("/",L113,FIND("/",L113)+1)+1,LEN(L113)-FIND("/",L113,FIND("/",L113)+1))))</f>
        <v>21</v>
      </c>
      <c r="Z113" s="11" t="n">
        <f aca="false">IF(OR(L113="",W113=""),"",IFERROR(INDEX('لیست‌ها'!$Q$3:$Q$53,MATCH(W113,'لیست‌ها'!$P$3:$P$53,0))+IF(X113&lt;=6,(X113-1)*31+Y113,IF(X113&lt;=11,186+(X113-7)*30+Y113,336+Y113))-1,""))</f>
        <v>46215</v>
      </c>
      <c r="AA113" s="7" t="n">
        <f aca="false">IF(H113="","",VALUE(LEFT(H113,FIND("/",H113)-1)))</f>
        <v>1405</v>
      </c>
      <c r="AB113" s="7" t="n">
        <f aca="false">IF(H113="","",VALUE(MID(H113,FIND("/",H113)+1,FIND("/",H113,FIND("/",H113)+1)-FIND("/",H113)-1)))</f>
        <v>5</v>
      </c>
      <c r="AC113" s="7" t="n">
        <f aca="false">IF(H113="","",VALUE(MID(H113,FIND("/",H113,FIND("/",H113)+1)+1,LEN(H113)-FIND("/",H113,FIND("/",H113)+1))))</f>
        <v>31</v>
      </c>
      <c r="AD113" s="11" t="n">
        <f aca="false">IF(OR(H113="",AA113=""),"",IFERROR(INDEX('لیست‌ها'!$Q$3:$Q$53,MATCH(AA113,'لیست‌ها'!$P$3:$P$53,0))+IF(AB113&lt;=6,(AB113-1)*31+AC113,IF(AB113&lt;=11,186+(AB113-7)*30+AC113,336+AC113))-1,""))</f>
        <v>46256</v>
      </c>
      <c r="AE113" s="7" t="str">
        <f aca="false">IF(P113="","",VALUE(LEFT(P113,FIND("/",P113)-1)))</f>
        <v/>
      </c>
      <c r="AF113" s="7" t="str">
        <f aca="false">IF(P113="","",VALUE(MID(P113,FIND("/",P113)+1,FIND("/",P113,FIND("/",P113)+1)-FIND("/",P113)-1)))</f>
        <v/>
      </c>
      <c r="AG113" s="7" t="str">
        <f aca="false">IF(P113="","",VALUE(MID(P113,FIND("/",P113,FIND("/",P113)+1)+1,LEN(P113)-FIND("/",P113,FIND("/",P113)+1))))</f>
        <v/>
      </c>
      <c r="AH113" s="7" t="str">
        <f aca="false">IF(OR(P113="",AE113=""),"",IFERROR(INDEX('لیست‌ها'!$Q$3:$Q$53,MATCH(AE113,'لیست‌ها'!$P$3:$P$53,0))+IF(AF113&lt;=6,(AF113-1)*31+AG113,IF(AF113&lt;=11,186+(AF113-7)*30+AG113,336+AG113))-1,""))</f>
        <v/>
      </c>
      <c r="AI113" s="7" t="str">
        <f aca="false">IF(W113="","",W113&amp;"-"&amp;TEXT(X113,"00"))</f>
        <v>1405-04</v>
      </c>
      <c r="AJ113" s="7" t="n">
        <f aca="false">IF(W113="","",W113*12+X113)</f>
        <v>16864</v>
      </c>
      <c r="AK113" s="7" t="str">
        <f aca="false">IF(U113="تاخیر",V113+ROW()/100000,"")</f>
        <v/>
      </c>
    </row>
    <row r="114" customFormat="false" ht="15" hidden="false" customHeight="false" outlineLevel="0" collapsed="false">
      <c r="A114" s="7" t="n">
        <f aca="false">IF(B114="","",ROW()-3)</f>
        <v>111</v>
      </c>
      <c r="B114" s="8" t="s">
        <v>287</v>
      </c>
      <c r="C114" s="8" t="s">
        <v>38</v>
      </c>
      <c r="D114" s="8" t="s">
        <v>47</v>
      </c>
      <c r="E114" s="9" t="s">
        <v>288</v>
      </c>
      <c r="F114" s="9" t="s">
        <v>51</v>
      </c>
      <c r="G114" s="8" t="s">
        <v>52</v>
      </c>
      <c r="H114" s="8" t="s">
        <v>213</v>
      </c>
      <c r="I114" s="8" t="s">
        <v>54</v>
      </c>
      <c r="J114" s="9"/>
      <c r="K114" s="8"/>
      <c r="L114" s="8" t="s">
        <v>289</v>
      </c>
      <c r="M114" s="8" t="s">
        <v>56</v>
      </c>
      <c r="N114" s="8"/>
      <c r="O114" s="8"/>
      <c r="P114" s="8"/>
      <c r="Q114" s="8"/>
      <c r="R114" s="9"/>
      <c r="S114" s="8"/>
      <c r="T114" s="9"/>
      <c r="U114" s="10" t="str">
        <f aca="true">IF(B114="","",IF(OR(P114&lt;&gt;"",I114="می‌باشد"),"بسته",IF(AND(L114&lt;&gt;"",W114=""),"خطای فرمت تاریخ ایجاد",IF(AND(H114&lt;&gt;"",AA114=""),"خطای فرمت مهلت",IF(AND(H114&lt;&gt;"",AD114&lt;&gt;"",TODAY()&gt;AD114),"تاخیر",IF(L114&lt;&gt;"","در حال انجام",""))))))</f>
        <v>بسته</v>
      </c>
      <c r="V114" s="7" t="n">
        <f aca="true">IF(U114="تاخیر",TODAY()-AD114,IF(AND(U114="بسته",AH114&lt;&gt;"",AD114&lt;&gt;"",AH114&gt;AD114),AH114-AD114,0))</f>
        <v>0</v>
      </c>
      <c r="W114" s="7" t="n">
        <f aca="false">IF(L114="","",VALUE(LEFT(L114,FIND("/",L114)-1)))</f>
        <v>1405</v>
      </c>
      <c r="X114" s="7" t="n">
        <f aca="false">IF(L114="","",VALUE(MID(L114,FIND("/",L114)+1,FIND("/",L114,FIND("/",L114)+1)-FIND("/",L114)-1)))</f>
        <v>4</v>
      </c>
      <c r="Y114" s="7" t="n">
        <f aca="false">IF(L114="","",VALUE(MID(L114,FIND("/",L114,FIND("/",L114)+1)+1,LEN(L114)-FIND("/",L114,FIND("/",L114)+1))))</f>
        <v>21</v>
      </c>
      <c r="Z114" s="11" t="n">
        <f aca="false">IF(OR(L114="",W114=""),"",IFERROR(INDEX('لیست‌ها'!$Q$3:$Q$53,MATCH(W114,'لیست‌ها'!$P$3:$P$53,0))+IF(X114&lt;=6,(X114-1)*31+Y114,IF(X114&lt;=11,186+(X114-7)*30+Y114,336+Y114))-1,""))</f>
        <v>46215</v>
      </c>
      <c r="AA114" s="7" t="n">
        <f aca="false">IF(H114="","",VALUE(LEFT(H114,FIND("/",H114)-1)))</f>
        <v>1405</v>
      </c>
      <c r="AB114" s="7" t="n">
        <f aca="false">IF(H114="","",VALUE(MID(H114,FIND("/",H114)+1,FIND("/",H114,FIND("/",H114)+1)-FIND("/",H114)-1)))</f>
        <v>5</v>
      </c>
      <c r="AC114" s="7" t="n">
        <f aca="false">IF(H114="","",VALUE(MID(H114,FIND("/",H114,FIND("/",H114)+1)+1,LEN(H114)-FIND("/",H114,FIND("/",H114)+1))))</f>
        <v>7</v>
      </c>
      <c r="AD114" s="11" t="n">
        <f aca="false">IF(OR(H114="",AA114=""),"",IFERROR(INDEX('لیست‌ها'!$Q$3:$Q$53,MATCH(AA114,'لیست‌ها'!$P$3:$P$53,0))+IF(AB114&lt;=6,(AB114-1)*31+AC114,IF(AB114&lt;=11,186+(AB114-7)*30+AC114,336+AC114))-1,""))</f>
        <v>46232</v>
      </c>
      <c r="AE114" s="7" t="str">
        <f aca="false">IF(P114="","",VALUE(LEFT(P114,FIND("/",P114)-1)))</f>
        <v/>
      </c>
      <c r="AF114" s="7" t="str">
        <f aca="false">IF(P114="","",VALUE(MID(P114,FIND("/",P114)+1,FIND("/",P114,FIND("/",P114)+1)-FIND("/",P114)-1)))</f>
        <v/>
      </c>
      <c r="AG114" s="7" t="str">
        <f aca="false">IF(P114="","",VALUE(MID(P114,FIND("/",P114,FIND("/",P114)+1)+1,LEN(P114)-FIND("/",P114,FIND("/",P114)+1))))</f>
        <v/>
      </c>
      <c r="AH114" s="7" t="str">
        <f aca="false">IF(OR(P114="",AE114=""),"",IFERROR(INDEX('لیست‌ها'!$Q$3:$Q$53,MATCH(AE114,'لیست‌ها'!$P$3:$P$53,0))+IF(AF114&lt;=6,(AF114-1)*31+AG114,IF(AF114&lt;=11,186+(AF114-7)*30+AG114,336+AG114))-1,""))</f>
        <v/>
      </c>
      <c r="AI114" s="7" t="str">
        <f aca="false">IF(W114="","",W114&amp;"-"&amp;TEXT(X114,"00"))</f>
        <v>1405-04</v>
      </c>
      <c r="AJ114" s="7" t="n">
        <f aca="false">IF(W114="","",W114*12+X114)</f>
        <v>16864</v>
      </c>
      <c r="AK114" s="7" t="str">
        <f aca="false">IF(U114="تاخیر",V114+ROW()/100000,"")</f>
        <v/>
      </c>
    </row>
    <row r="115" customFormat="false" ht="15" hidden="false" customHeight="false" outlineLevel="0" collapsed="false">
      <c r="A115" s="7" t="n">
        <f aca="false">IF(B115="","",ROW()-3)</f>
        <v>112</v>
      </c>
      <c r="B115" s="8" t="s">
        <v>285</v>
      </c>
      <c r="C115" s="8" t="s">
        <v>38</v>
      </c>
      <c r="D115" s="8" t="s">
        <v>47</v>
      </c>
      <c r="E115" s="9" t="s">
        <v>238</v>
      </c>
      <c r="F115" s="9" t="s">
        <v>51</v>
      </c>
      <c r="G115" s="8" t="s">
        <v>52</v>
      </c>
      <c r="H115" s="8" t="s">
        <v>230</v>
      </c>
      <c r="I115" s="8" t="s">
        <v>54</v>
      </c>
      <c r="J115" s="9"/>
      <c r="K115" s="8"/>
      <c r="L115" s="8" t="s">
        <v>286</v>
      </c>
      <c r="M115" s="8" t="s">
        <v>56</v>
      </c>
      <c r="N115" s="8"/>
      <c r="O115" s="8"/>
      <c r="P115" s="8"/>
      <c r="Q115" s="8"/>
      <c r="R115" s="9"/>
      <c r="S115" s="8"/>
      <c r="T115" s="9"/>
      <c r="U115" s="10" t="str">
        <f aca="true">IF(B115="","",IF(OR(P115&lt;&gt;"",I115="می‌باشد"),"بسته",IF(AND(L115&lt;&gt;"",W115=""),"خطای فرمت تاریخ ایجاد",IF(AND(H115&lt;&gt;"",AA115=""),"خطای فرمت مهلت",IF(AND(H115&lt;&gt;"",AD115&lt;&gt;"",TODAY()&gt;AD115),"تاخیر",IF(L115&lt;&gt;"","در حال انجام",""))))))</f>
        <v>بسته</v>
      </c>
      <c r="V115" s="7" t="n">
        <f aca="true">IF(U115="تاخیر",TODAY()-AD115,IF(AND(U115="بسته",AH115&lt;&gt;"",AD115&lt;&gt;"",AH115&gt;AD115),AH115-AD115,0))</f>
        <v>0</v>
      </c>
      <c r="W115" s="7" t="n">
        <f aca="false">IF(L115="","",VALUE(LEFT(L115,FIND("/",L115)-1)))</f>
        <v>1405</v>
      </c>
      <c r="X115" s="7" t="n">
        <f aca="false">IF(L115="","",VALUE(MID(L115,FIND("/",L115)+1,FIND("/",L115,FIND("/",L115)+1)-FIND("/",L115)-1)))</f>
        <v>4</v>
      </c>
      <c r="Y115" s="7" t="n">
        <f aca="false">IF(L115="","",VALUE(MID(L115,FIND("/",L115,FIND("/",L115)+1)+1,LEN(L115)-FIND("/",L115,FIND("/",L115)+1))))</f>
        <v>22</v>
      </c>
      <c r="Z115" s="11" t="n">
        <f aca="false">IF(OR(L115="",W115=""),"",IFERROR(INDEX('لیست‌ها'!$Q$3:$Q$53,MATCH(W115,'لیست‌ها'!$P$3:$P$53,0))+IF(X115&lt;=6,(X115-1)*31+Y115,IF(X115&lt;=11,186+(X115-7)*30+Y115,336+Y115))-1,""))</f>
        <v>46216</v>
      </c>
      <c r="AA115" s="7" t="n">
        <f aca="false">IF(H115="","",VALUE(LEFT(H115,FIND("/",H115)-1)))</f>
        <v>1405</v>
      </c>
      <c r="AB115" s="7" t="n">
        <f aca="false">IF(H115="","",VALUE(MID(H115,FIND("/",H115)+1,FIND("/",H115,FIND("/",H115)+1)-FIND("/",H115)-1)))</f>
        <v>5</v>
      </c>
      <c r="AC115" s="7" t="n">
        <f aca="false">IF(H115="","",VALUE(MID(H115,FIND("/",H115,FIND("/",H115)+1)+1,LEN(H115)-FIND("/",H115,FIND("/",H115)+1))))</f>
        <v>31</v>
      </c>
      <c r="AD115" s="11" t="n">
        <f aca="false">IF(OR(H115="",AA115=""),"",IFERROR(INDEX('لیست‌ها'!$Q$3:$Q$53,MATCH(AA115,'لیست‌ها'!$P$3:$P$53,0))+IF(AB115&lt;=6,(AB115-1)*31+AC115,IF(AB115&lt;=11,186+(AB115-7)*30+AC115,336+AC115))-1,""))</f>
        <v>46256</v>
      </c>
      <c r="AE115" s="7" t="str">
        <f aca="false">IF(P115="","",VALUE(LEFT(P115,FIND("/",P115)-1)))</f>
        <v/>
      </c>
      <c r="AF115" s="7" t="str">
        <f aca="false">IF(P115="","",VALUE(MID(P115,FIND("/",P115)+1,FIND("/",P115,FIND("/",P115)+1)-FIND("/",P115)-1)))</f>
        <v/>
      </c>
      <c r="AG115" s="7" t="str">
        <f aca="false">IF(P115="","",VALUE(MID(P115,FIND("/",P115,FIND("/",P115)+1)+1,LEN(P115)-FIND("/",P115,FIND("/",P115)+1))))</f>
        <v/>
      </c>
      <c r="AH115" s="7" t="str">
        <f aca="false">IF(OR(P115="",AE115=""),"",IFERROR(INDEX('لیست‌ها'!$Q$3:$Q$53,MATCH(AE115,'لیست‌ها'!$P$3:$P$53,0))+IF(AF115&lt;=6,(AF115-1)*31+AG115,IF(AF115&lt;=11,186+(AF115-7)*30+AG115,336+AG115))-1,""))</f>
        <v/>
      </c>
      <c r="AI115" s="7" t="str">
        <f aca="false">IF(W115="","",W115&amp;"-"&amp;TEXT(X115,"00"))</f>
        <v>1405-04</v>
      </c>
      <c r="AJ115" s="7" t="n">
        <f aca="false">IF(W115="","",W115*12+X115)</f>
        <v>16864</v>
      </c>
      <c r="AK115" s="7" t="str">
        <f aca="false">IF(U115="تاخیر",V115+ROW()/100000,"")</f>
        <v/>
      </c>
    </row>
    <row r="116" customFormat="false" ht="15" hidden="false" customHeight="false" outlineLevel="0" collapsed="false">
      <c r="A116" s="7" t="n">
        <f aca="false">IF(B116="","",ROW()-3)</f>
        <v>113</v>
      </c>
      <c r="B116" s="8" t="s">
        <v>284</v>
      </c>
      <c r="C116" s="8" t="s">
        <v>38</v>
      </c>
      <c r="D116" s="8" t="s">
        <v>47</v>
      </c>
      <c r="E116" s="9" t="s">
        <v>238</v>
      </c>
      <c r="F116" s="9" t="s">
        <v>51</v>
      </c>
      <c r="G116" s="8" t="s">
        <v>52</v>
      </c>
      <c r="H116" s="8"/>
      <c r="I116" s="8"/>
      <c r="J116" s="9"/>
      <c r="K116" s="8"/>
      <c r="L116" s="8" t="s">
        <v>281</v>
      </c>
      <c r="M116" s="8" t="s">
        <v>110</v>
      </c>
      <c r="N116" s="8"/>
      <c r="O116" s="8"/>
      <c r="P116" s="8"/>
      <c r="Q116" s="8"/>
      <c r="R116" s="9"/>
      <c r="S116" s="8"/>
      <c r="T116" s="9"/>
      <c r="U116" s="10" t="str">
        <f aca="true">IF(B116="","",IF(OR(P116&lt;&gt;"",I116="می‌باشد"),"بسته",IF(AND(L116&lt;&gt;"",W116=""),"خطای فرمت تاریخ ایجاد",IF(AND(H116&lt;&gt;"",AA116=""),"خطای فرمت مهلت",IF(AND(H116&lt;&gt;"",AD116&lt;&gt;"",TODAY()&gt;AD116),"تاخیر",IF(L116&lt;&gt;"","در حال انجام",""))))))</f>
        <v>در حال انجام</v>
      </c>
      <c r="V116" s="7" t="n">
        <f aca="true">IF(U116="تاخیر",TODAY()-AD116,IF(AND(U116="بسته",AH116&lt;&gt;"",AD116&lt;&gt;"",AH116&gt;AD116),AH116-AD116,0))</f>
        <v>0</v>
      </c>
      <c r="W116" s="7" t="n">
        <f aca="false">IF(L116="","",VALUE(LEFT(L116,FIND("/",L116)-1)))</f>
        <v>1405</v>
      </c>
      <c r="X116" s="7" t="n">
        <f aca="false">IF(L116="","",VALUE(MID(L116,FIND("/",L116)+1,FIND("/",L116,FIND("/",L116)+1)-FIND("/",L116)-1)))</f>
        <v>4</v>
      </c>
      <c r="Y116" s="7" t="n">
        <f aca="false">IF(L116="","",VALUE(MID(L116,FIND("/",L116,FIND("/",L116)+1)+1,LEN(L116)-FIND("/",L116,FIND("/",L116)+1))))</f>
        <v>24</v>
      </c>
      <c r="Z116" s="11" t="n">
        <f aca="false">IF(OR(L116="",W116=""),"",IFERROR(INDEX('لیست‌ها'!$Q$3:$Q$53,MATCH(W116,'لیست‌ها'!$P$3:$P$53,0))+IF(X116&lt;=6,(X116-1)*31+Y116,IF(X116&lt;=11,186+(X116-7)*30+Y116,336+Y116))-1,""))</f>
        <v>46218</v>
      </c>
      <c r="AA116" s="7" t="str">
        <f aca="false">IF(H116="","",VALUE(LEFT(H116,FIND("/",H116)-1)))</f>
        <v/>
      </c>
      <c r="AB116" s="7" t="str">
        <f aca="false">IF(H116="","",VALUE(MID(H116,FIND("/",H116)+1,FIND("/",H116,FIND("/",H116)+1)-FIND("/",H116)-1)))</f>
        <v/>
      </c>
      <c r="AC116" s="7" t="str">
        <f aca="false">IF(H116="","",VALUE(MID(H116,FIND("/",H116,FIND("/",H116)+1)+1,LEN(H116)-FIND("/",H116,FIND("/",H116)+1))))</f>
        <v/>
      </c>
      <c r="AD116" s="7" t="str">
        <f aca="false">IF(OR(H116="",AA116=""),"",IFERROR(INDEX('لیست‌ها'!$Q$3:$Q$53,MATCH(AA116,'لیست‌ها'!$P$3:$P$53,0))+IF(AB116&lt;=6,(AB116-1)*31+AC116,IF(AB116&lt;=11,186+(AB116-7)*30+AC116,336+AC116))-1,""))</f>
        <v/>
      </c>
      <c r="AE116" s="7" t="str">
        <f aca="false">IF(P116="","",VALUE(LEFT(P116,FIND("/",P116)-1)))</f>
        <v/>
      </c>
      <c r="AF116" s="7" t="str">
        <f aca="false">IF(P116="","",VALUE(MID(P116,FIND("/",P116)+1,FIND("/",P116,FIND("/",P116)+1)-FIND("/",P116)-1)))</f>
        <v/>
      </c>
      <c r="AG116" s="7" t="str">
        <f aca="false">IF(P116="","",VALUE(MID(P116,FIND("/",P116,FIND("/",P116)+1)+1,LEN(P116)-FIND("/",P116,FIND("/",P116)+1))))</f>
        <v/>
      </c>
      <c r="AH116" s="7" t="str">
        <f aca="false">IF(OR(P116="",AE116=""),"",IFERROR(INDEX('لیست‌ها'!$Q$3:$Q$53,MATCH(AE116,'لیست‌ها'!$P$3:$P$53,0))+IF(AF116&lt;=6,(AF116-1)*31+AG116,IF(AF116&lt;=11,186+(AF116-7)*30+AG116,336+AG116))-1,""))</f>
        <v/>
      </c>
      <c r="AI116" s="7" t="str">
        <f aca="false">IF(W116="","",W116&amp;"-"&amp;TEXT(X116,"00"))</f>
        <v>1405-04</v>
      </c>
      <c r="AJ116" s="7" t="n">
        <f aca="false">IF(W116="","",W116*12+X116)</f>
        <v>16864</v>
      </c>
      <c r="AK116" s="7" t="str">
        <f aca="false">IF(U116="تاخیر",V116+ROW()/100000,"")</f>
        <v/>
      </c>
    </row>
    <row r="117" customFormat="false" ht="15" hidden="false" customHeight="false" outlineLevel="0" collapsed="false">
      <c r="A117" s="7" t="n">
        <f aca="false">IF(B117="","",ROW()-3)</f>
        <v>114</v>
      </c>
      <c r="B117" s="8" t="s">
        <v>282</v>
      </c>
      <c r="C117" s="8" t="s">
        <v>38</v>
      </c>
      <c r="D117" s="8" t="s">
        <v>47</v>
      </c>
      <c r="E117" s="9" t="s">
        <v>283</v>
      </c>
      <c r="F117" s="9" t="s">
        <v>51</v>
      </c>
      <c r="G117" s="8" t="s">
        <v>52</v>
      </c>
      <c r="H117" s="8" t="s">
        <v>230</v>
      </c>
      <c r="I117" s="8" t="s">
        <v>54</v>
      </c>
      <c r="J117" s="9"/>
      <c r="K117" s="8"/>
      <c r="L117" s="8" t="s">
        <v>281</v>
      </c>
      <c r="M117" s="8" t="s">
        <v>56</v>
      </c>
      <c r="N117" s="8"/>
      <c r="O117" s="8"/>
      <c r="P117" s="8"/>
      <c r="Q117" s="8"/>
      <c r="R117" s="9"/>
      <c r="S117" s="8"/>
      <c r="T117" s="9"/>
      <c r="U117" s="10" t="str">
        <f aca="true">IF(B117="","",IF(OR(P117&lt;&gt;"",I117="می‌باشد"),"بسته",IF(AND(L117&lt;&gt;"",W117=""),"خطای فرمت تاریخ ایجاد",IF(AND(H117&lt;&gt;"",AA117=""),"خطای فرمت مهلت",IF(AND(H117&lt;&gt;"",AD117&lt;&gt;"",TODAY()&gt;AD117),"تاخیر",IF(L117&lt;&gt;"","در حال انجام",""))))))</f>
        <v>بسته</v>
      </c>
      <c r="V117" s="7" t="n">
        <f aca="true">IF(U117="تاخیر",TODAY()-AD117,IF(AND(U117="بسته",AH117&lt;&gt;"",AD117&lt;&gt;"",AH117&gt;AD117),AH117-AD117,0))</f>
        <v>0</v>
      </c>
      <c r="W117" s="7" t="n">
        <f aca="false">IF(L117="","",VALUE(LEFT(L117,FIND("/",L117)-1)))</f>
        <v>1405</v>
      </c>
      <c r="X117" s="7" t="n">
        <f aca="false">IF(L117="","",VALUE(MID(L117,FIND("/",L117)+1,FIND("/",L117,FIND("/",L117)+1)-FIND("/",L117)-1)))</f>
        <v>4</v>
      </c>
      <c r="Y117" s="7" t="n">
        <f aca="false">IF(L117="","",VALUE(MID(L117,FIND("/",L117,FIND("/",L117)+1)+1,LEN(L117)-FIND("/",L117,FIND("/",L117)+1))))</f>
        <v>24</v>
      </c>
      <c r="Z117" s="11" t="n">
        <f aca="false">IF(OR(L117="",W117=""),"",IFERROR(INDEX('لیست‌ها'!$Q$3:$Q$53,MATCH(W117,'لیست‌ها'!$P$3:$P$53,0))+IF(X117&lt;=6,(X117-1)*31+Y117,IF(X117&lt;=11,186+(X117-7)*30+Y117,336+Y117))-1,""))</f>
        <v>46218</v>
      </c>
      <c r="AA117" s="7" t="n">
        <f aca="false">IF(H117="","",VALUE(LEFT(H117,FIND("/",H117)-1)))</f>
        <v>1405</v>
      </c>
      <c r="AB117" s="7" t="n">
        <f aca="false">IF(H117="","",VALUE(MID(H117,FIND("/",H117)+1,FIND("/",H117,FIND("/",H117)+1)-FIND("/",H117)-1)))</f>
        <v>5</v>
      </c>
      <c r="AC117" s="7" t="n">
        <f aca="false">IF(H117="","",VALUE(MID(H117,FIND("/",H117,FIND("/",H117)+1)+1,LEN(H117)-FIND("/",H117,FIND("/",H117)+1))))</f>
        <v>31</v>
      </c>
      <c r="AD117" s="11" t="n">
        <f aca="false">IF(OR(H117="",AA117=""),"",IFERROR(INDEX('لیست‌ها'!$Q$3:$Q$53,MATCH(AA117,'لیست‌ها'!$P$3:$P$53,0))+IF(AB117&lt;=6,(AB117-1)*31+AC117,IF(AB117&lt;=11,186+(AB117-7)*30+AC117,336+AC117))-1,""))</f>
        <v>46256</v>
      </c>
      <c r="AE117" s="7" t="str">
        <f aca="false">IF(P117="","",VALUE(LEFT(P117,FIND("/",P117)-1)))</f>
        <v/>
      </c>
      <c r="AF117" s="7" t="str">
        <f aca="false">IF(P117="","",VALUE(MID(P117,FIND("/",P117)+1,FIND("/",P117,FIND("/",P117)+1)-FIND("/",P117)-1)))</f>
        <v/>
      </c>
      <c r="AG117" s="7" t="str">
        <f aca="false">IF(P117="","",VALUE(MID(P117,FIND("/",P117,FIND("/",P117)+1)+1,LEN(P117)-FIND("/",P117,FIND("/",P117)+1))))</f>
        <v/>
      </c>
      <c r="AH117" s="7" t="str">
        <f aca="false">IF(OR(P117="",AE117=""),"",IFERROR(INDEX('لیست‌ها'!$Q$3:$Q$53,MATCH(AE117,'لیست‌ها'!$P$3:$P$53,0))+IF(AF117&lt;=6,(AF117-1)*31+AG117,IF(AF117&lt;=11,186+(AF117-7)*30+AG117,336+AG117))-1,""))</f>
        <v/>
      </c>
      <c r="AI117" s="7" t="str">
        <f aca="false">IF(W117="","",W117&amp;"-"&amp;TEXT(X117,"00"))</f>
        <v>1405-04</v>
      </c>
      <c r="AJ117" s="7" t="n">
        <f aca="false">IF(W117="","",W117*12+X117)</f>
        <v>16864</v>
      </c>
      <c r="AK117" s="7" t="str">
        <f aca="false">IF(U117="تاخیر",V117+ROW()/100000,"")</f>
        <v/>
      </c>
    </row>
    <row r="118" customFormat="false" ht="15" hidden="false" customHeight="false" outlineLevel="0" collapsed="false">
      <c r="A118" s="7" t="n">
        <f aca="false">IF(B118="","",ROW()-3)</f>
        <v>115</v>
      </c>
      <c r="B118" s="8" t="s">
        <v>279</v>
      </c>
      <c r="C118" s="8" t="s">
        <v>38</v>
      </c>
      <c r="D118" s="8" t="s">
        <v>47</v>
      </c>
      <c r="E118" s="9" t="s">
        <v>280</v>
      </c>
      <c r="F118" s="9" t="s">
        <v>51</v>
      </c>
      <c r="G118" s="8" t="s">
        <v>52</v>
      </c>
      <c r="H118" s="8" t="s">
        <v>213</v>
      </c>
      <c r="I118" s="8"/>
      <c r="J118" s="9"/>
      <c r="K118" s="8"/>
      <c r="L118" s="8" t="s">
        <v>281</v>
      </c>
      <c r="M118" s="8" t="s">
        <v>71</v>
      </c>
      <c r="N118" s="8"/>
      <c r="O118" s="8"/>
      <c r="P118" s="8"/>
      <c r="Q118" s="8"/>
      <c r="R118" s="9"/>
      <c r="S118" s="8"/>
      <c r="T118" s="9"/>
      <c r="U118" s="10" t="str">
        <f aca="true">IF(B118="","",IF(OR(P118&lt;&gt;"",I118="می‌باشد"),"بسته",IF(AND(L118&lt;&gt;"",W118=""),"خطای فرمت تاریخ ایجاد",IF(AND(H118&lt;&gt;"",AA118=""),"خطای فرمت مهلت",IF(AND(H118&lt;&gt;"",AD118&lt;&gt;"",TODAY()&gt;AD118),"تاخیر",IF(L118&lt;&gt;"","در حال انجام",""))))))</f>
        <v>تاخیر</v>
      </c>
      <c r="V118" s="7" t="n">
        <f aca="true">IF(U118="تاخیر",TODAY()-AD118,IF(AND(U118="بسته",AH118&lt;&gt;"",AD118&lt;&gt;"",AH118&gt;AD118),AH118-AD118,0))</f>
        <v>63</v>
      </c>
      <c r="W118" s="7" t="n">
        <f aca="false">IF(L118="","",VALUE(LEFT(L118,FIND("/",L118)-1)))</f>
        <v>1405</v>
      </c>
      <c r="X118" s="7" t="n">
        <f aca="false">IF(L118="","",VALUE(MID(L118,FIND("/",L118)+1,FIND("/",L118,FIND("/",L118)+1)-FIND("/",L118)-1)))</f>
        <v>4</v>
      </c>
      <c r="Y118" s="7" t="n">
        <f aca="false">IF(L118="","",VALUE(MID(L118,FIND("/",L118,FIND("/",L118)+1)+1,LEN(L118)-FIND("/",L118,FIND("/",L118)+1))))</f>
        <v>24</v>
      </c>
      <c r="Z118" s="11" t="n">
        <f aca="false">IF(OR(L118="",W118=""),"",IFERROR(INDEX('لیست‌ها'!$Q$3:$Q$53,MATCH(W118,'لیست‌ها'!$P$3:$P$53,0))+IF(X118&lt;=6,(X118-1)*31+Y118,IF(X118&lt;=11,186+(X118-7)*30+Y118,336+Y118))-1,""))</f>
        <v>46218</v>
      </c>
      <c r="AA118" s="7" t="n">
        <f aca="false">IF(H118="","",VALUE(LEFT(H118,FIND("/",H118)-1)))</f>
        <v>1405</v>
      </c>
      <c r="AB118" s="7" t="n">
        <f aca="false">IF(H118="","",VALUE(MID(H118,FIND("/",H118)+1,FIND("/",H118,FIND("/",H118)+1)-FIND("/",H118)-1)))</f>
        <v>5</v>
      </c>
      <c r="AC118" s="7" t="n">
        <f aca="false">IF(H118="","",VALUE(MID(H118,FIND("/",H118,FIND("/",H118)+1)+1,LEN(H118)-FIND("/",H118,FIND("/",H118)+1))))</f>
        <v>7</v>
      </c>
      <c r="AD118" s="11" t="n">
        <f aca="false">IF(OR(H118="",AA118=""),"",IFERROR(INDEX('لیست‌ها'!$Q$3:$Q$53,MATCH(AA118,'لیست‌ها'!$P$3:$P$53,0))+IF(AB118&lt;=6,(AB118-1)*31+AC118,IF(AB118&lt;=11,186+(AB118-7)*30+AC118,336+AC118))-1,""))</f>
        <v>46232</v>
      </c>
      <c r="AE118" s="7" t="str">
        <f aca="false">IF(P118="","",VALUE(LEFT(P118,FIND("/",P118)-1)))</f>
        <v/>
      </c>
      <c r="AF118" s="7" t="str">
        <f aca="false">IF(P118="","",VALUE(MID(P118,FIND("/",P118)+1,FIND("/",P118,FIND("/",P118)+1)-FIND("/",P118)-1)))</f>
        <v/>
      </c>
      <c r="AG118" s="7" t="str">
        <f aca="false">IF(P118="","",VALUE(MID(P118,FIND("/",P118,FIND("/",P118)+1)+1,LEN(P118)-FIND("/",P118,FIND("/",P118)+1))))</f>
        <v/>
      </c>
      <c r="AH118" s="7" t="str">
        <f aca="false">IF(OR(P118="",AE118=""),"",IFERROR(INDEX('لیست‌ها'!$Q$3:$Q$53,MATCH(AE118,'لیست‌ها'!$P$3:$P$53,0))+IF(AF118&lt;=6,(AF118-1)*31+AG118,IF(AF118&lt;=11,186+(AF118-7)*30+AG118,336+AG118))-1,""))</f>
        <v/>
      </c>
      <c r="AI118" s="7" t="str">
        <f aca="false">IF(W118="","",W118&amp;"-"&amp;TEXT(X118,"00"))</f>
        <v>1405-04</v>
      </c>
      <c r="AJ118" s="7" t="n">
        <f aca="false">IF(W118="","",W118*12+X118)</f>
        <v>16864</v>
      </c>
      <c r="AK118" s="7" t="n">
        <f aca="false">IF(U118="تاخیر",V118+ROW()/100000,"")</f>
        <v>63.00105</v>
      </c>
    </row>
    <row r="119" customFormat="false" ht="15" hidden="false" customHeight="false" outlineLevel="0" collapsed="false">
      <c r="A119" s="7" t="n">
        <f aca="false">IF(B119="","",ROW()-3)</f>
        <v>116</v>
      </c>
      <c r="B119" s="8" t="s">
        <v>335</v>
      </c>
      <c r="C119" s="8" t="s">
        <v>38</v>
      </c>
      <c r="D119" s="8" t="s">
        <v>47</v>
      </c>
      <c r="E119" s="9" t="s">
        <v>268</v>
      </c>
      <c r="F119" s="9" t="s">
        <v>51</v>
      </c>
      <c r="G119" s="8" t="s">
        <v>52</v>
      </c>
      <c r="H119" s="8" t="s">
        <v>336</v>
      </c>
      <c r="I119" s="8"/>
      <c r="J119" s="9"/>
      <c r="K119" s="8"/>
      <c r="L119" s="8" t="s">
        <v>337</v>
      </c>
      <c r="M119" s="8" t="s">
        <v>71</v>
      </c>
      <c r="N119" s="8"/>
      <c r="O119" s="8"/>
      <c r="P119" s="8"/>
      <c r="Q119" s="8"/>
      <c r="R119" s="9"/>
      <c r="S119" s="8"/>
      <c r="T119" s="9"/>
      <c r="U119" s="10" t="str">
        <f aca="true">IF(B119="","",IF(OR(P119&lt;&gt;"",I119="می‌باشد"),"بسته",IF(AND(L119&lt;&gt;"",W119=""),"خطای فرمت تاریخ ایجاد",IF(AND(H119&lt;&gt;"",AA119=""),"خطای فرمت مهلت",IF(AND(H119&lt;&gt;"",AD119&lt;&gt;"",TODAY()&gt;AD119),"تاخیر",IF(L119&lt;&gt;"","در حال انجام",""))))))</f>
        <v>تاخیر</v>
      </c>
      <c r="V119" s="7" t="n">
        <f aca="true">IF(U119="تاخیر",TODAY()-AD119,IF(AND(U119="بسته",AH119&lt;&gt;"",AD119&lt;&gt;"",AH119&gt;AD119),AH119-AD119,0))</f>
        <v>58</v>
      </c>
      <c r="W119" s="7" t="n">
        <f aca="false">IF(L119="","",VALUE(LEFT(L119,FIND("/",L119)-1)))</f>
        <v>1405</v>
      </c>
      <c r="X119" s="7" t="n">
        <f aca="false">IF(L119="","",VALUE(MID(L119,FIND("/",L119)+1,FIND("/",L119,FIND("/",L119)+1)-FIND("/",L119)-1)))</f>
        <v>4</v>
      </c>
      <c r="Y119" s="7" t="n">
        <f aca="false">IF(L119="","",VALUE(MID(L119,FIND("/",L119,FIND("/",L119)+1)+1,LEN(L119)-FIND("/",L119,FIND("/",L119)+1))))</f>
        <v>27</v>
      </c>
      <c r="Z119" s="11" t="n">
        <f aca="false">IF(OR(L119="",W119=""),"",IFERROR(INDEX('لیست‌ها'!$Q$3:$Q$53,MATCH(W119,'لیست‌ها'!$P$3:$P$53,0))+IF(X119&lt;=6,(X119-1)*31+Y119,IF(X119&lt;=11,186+(X119-7)*30+Y119,336+Y119))-1,""))</f>
        <v>46221</v>
      </c>
      <c r="AA119" s="7" t="n">
        <f aca="false">IF(H119="","",VALUE(LEFT(H119,FIND("/",H119)-1)))</f>
        <v>1405</v>
      </c>
      <c r="AB119" s="7" t="n">
        <f aca="false">IF(H119="","",VALUE(MID(H119,FIND("/",H119)+1,FIND("/",H119,FIND("/",H119)+1)-FIND("/",H119)-1)))</f>
        <v>5</v>
      </c>
      <c r="AC119" s="7" t="n">
        <f aca="false">IF(H119="","",VALUE(MID(H119,FIND("/",H119,FIND("/",H119)+1)+1,LEN(H119)-FIND("/",H119,FIND("/",H119)+1))))</f>
        <v>12</v>
      </c>
      <c r="AD119" s="11" t="n">
        <f aca="false">IF(OR(H119="",AA119=""),"",IFERROR(INDEX('لیست‌ها'!$Q$3:$Q$53,MATCH(AA119,'لیست‌ها'!$P$3:$P$53,0))+IF(AB119&lt;=6,(AB119-1)*31+AC119,IF(AB119&lt;=11,186+(AB119-7)*30+AC119,336+AC119))-1,""))</f>
        <v>46237</v>
      </c>
      <c r="AE119" s="7" t="str">
        <f aca="false">IF(P119="","",VALUE(LEFT(P119,FIND("/",P119)-1)))</f>
        <v/>
      </c>
      <c r="AF119" s="7" t="str">
        <f aca="false">IF(P119="","",VALUE(MID(P119,FIND("/",P119)+1,FIND("/",P119,FIND("/",P119)+1)-FIND("/",P119)-1)))</f>
        <v/>
      </c>
      <c r="AG119" s="7" t="str">
        <f aca="false">IF(P119="","",VALUE(MID(P119,FIND("/",P119,FIND("/",P119)+1)+1,LEN(P119)-FIND("/",P119,FIND("/",P119)+1))))</f>
        <v/>
      </c>
      <c r="AH119" s="7" t="str">
        <f aca="false">IF(OR(P119="",AE119=""),"",IFERROR(INDEX('لیست‌ها'!$Q$3:$Q$53,MATCH(AE119,'لیست‌ها'!$P$3:$P$53,0))+IF(AF119&lt;=6,(AF119-1)*31+AG119,IF(AF119&lt;=11,186+(AF119-7)*30+AG119,336+AG119))-1,""))</f>
        <v/>
      </c>
      <c r="AI119" s="7" t="str">
        <f aca="false">IF(W119="","",W119&amp;"-"&amp;TEXT(X119,"00"))</f>
        <v>1405-04</v>
      </c>
      <c r="AJ119" s="7" t="n">
        <f aca="false">IF(W119="","",W119*12+X119)</f>
        <v>16864</v>
      </c>
      <c r="AK119" s="7" t="n">
        <f aca="false">IF(U119="تاخیر",V119+ROW()/100000,"")</f>
        <v>58.00132</v>
      </c>
    </row>
    <row r="120" customFormat="false" ht="15" hidden="false" customHeight="false" outlineLevel="0" collapsed="false">
      <c r="A120" s="7" t="n">
        <f aca="false">IF(B120="","",ROW()-3)</f>
        <v>117</v>
      </c>
      <c r="B120" s="8" t="s">
        <v>332</v>
      </c>
      <c r="C120" s="8" t="s">
        <v>38</v>
      </c>
      <c r="D120" s="8" t="s">
        <v>47</v>
      </c>
      <c r="E120" s="9" t="s">
        <v>333</v>
      </c>
      <c r="F120" s="9" t="s">
        <v>51</v>
      </c>
      <c r="G120" s="8" t="s">
        <v>52</v>
      </c>
      <c r="H120" s="8" t="s">
        <v>230</v>
      </c>
      <c r="I120" s="8" t="s">
        <v>54</v>
      </c>
      <c r="J120" s="9"/>
      <c r="K120" s="8"/>
      <c r="L120" s="8" t="s">
        <v>334</v>
      </c>
      <c r="M120" s="8" t="s">
        <v>56</v>
      </c>
      <c r="N120" s="8"/>
      <c r="O120" s="8"/>
      <c r="P120" s="8"/>
      <c r="Q120" s="8"/>
      <c r="R120" s="9"/>
      <c r="S120" s="8"/>
      <c r="T120" s="9"/>
      <c r="U120" s="10" t="str">
        <f aca="true">IF(B120="","",IF(OR(P120&lt;&gt;"",I120="می‌باشد"),"بسته",IF(AND(L120&lt;&gt;"",W120=""),"خطای فرمت تاریخ ایجاد",IF(AND(H120&lt;&gt;"",AA120=""),"خطای فرمت مهلت",IF(AND(H120&lt;&gt;"",AD120&lt;&gt;"",TODAY()&gt;AD120),"تاخیر",IF(L120&lt;&gt;"","در حال انجام",""))))))</f>
        <v>بسته</v>
      </c>
      <c r="V120" s="7" t="n">
        <f aca="true">IF(U120="تاخیر",TODAY()-AD120,IF(AND(U120="بسته",AH120&lt;&gt;"",AD120&lt;&gt;"",AH120&gt;AD120),AH120-AD120,0))</f>
        <v>0</v>
      </c>
      <c r="W120" s="7" t="n">
        <f aca="false">IF(L120="","",VALUE(LEFT(L120,FIND("/",L120)-1)))</f>
        <v>1405</v>
      </c>
      <c r="X120" s="7" t="n">
        <f aca="false">IF(L120="","",VALUE(MID(L120,FIND("/",L120)+1,FIND("/",L120,FIND("/",L120)+1)-FIND("/",L120)-1)))</f>
        <v>4</v>
      </c>
      <c r="Y120" s="7" t="n">
        <f aca="false">IF(L120="","",VALUE(MID(L120,FIND("/",L120,FIND("/",L120)+1)+1,LEN(L120)-FIND("/",L120,FIND("/",L120)+1))))</f>
        <v>28</v>
      </c>
      <c r="Z120" s="11" t="n">
        <f aca="false">IF(OR(L120="",W120=""),"",IFERROR(INDEX('لیست‌ها'!$Q$3:$Q$53,MATCH(W120,'لیست‌ها'!$P$3:$P$53,0))+IF(X120&lt;=6,(X120-1)*31+Y120,IF(X120&lt;=11,186+(X120-7)*30+Y120,336+Y120))-1,""))</f>
        <v>46222</v>
      </c>
      <c r="AA120" s="7" t="n">
        <f aca="false">IF(H120="","",VALUE(LEFT(H120,FIND("/",H120)-1)))</f>
        <v>1405</v>
      </c>
      <c r="AB120" s="7" t="n">
        <f aca="false">IF(H120="","",VALUE(MID(H120,FIND("/",H120)+1,FIND("/",H120,FIND("/",H120)+1)-FIND("/",H120)-1)))</f>
        <v>5</v>
      </c>
      <c r="AC120" s="7" t="n">
        <f aca="false">IF(H120="","",VALUE(MID(H120,FIND("/",H120,FIND("/",H120)+1)+1,LEN(H120)-FIND("/",H120,FIND("/",H120)+1))))</f>
        <v>31</v>
      </c>
      <c r="AD120" s="11" t="n">
        <f aca="false">IF(OR(H120="",AA120=""),"",IFERROR(INDEX('لیست‌ها'!$Q$3:$Q$53,MATCH(AA120,'لیست‌ها'!$P$3:$P$53,0))+IF(AB120&lt;=6,(AB120-1)*31+AC120,IF(AB120&lt;=11,186+(AB120-7)*30+AC120,336+AC120))-1,""))</f>
        <v>46256</v>
      </c>
      <c r="AE120" s="7" t="str">
        <f aca="false">IF(P120="","",VALUE(LEFT(P120,FIND("/",P120)-1)))</f>
        <v/>
      </c>
      <c r="AF120" s="7" t="str">
        <f aca="false">IF(P120="","",VALUE(MID(P120,FIND("/",P120)+1,FIND("/",P120,FIND("/",P120)+1)-FIND("/",P120)-1)))</f>
        <v/>
      </c>
      <c r="AG120" s="7" t="str">
        <f aca="false">IF(P120="","",VALUE(MID(P120,FIND("/",P120,FIND("/",P120)+1)+1,LEN(P120)-FIND("/",P120,FIND("/",P120)+1))))</f>
        <v/>
      </c>
      <c r="AH120" s="7" t="str">
        <f aca="false">IF(OR(P120="",AE120=""),"",IFERROR(INDEX('لیست‌ها'!$Q$3:$Q$53,MATCH(AE120,'لیست‌ها'!$P$3:$P$53,0))+IF(AF120&lt;=6,(AF120-1)*31+AG120,IF(AF120&lt;=11,186+(AF120-7)*30+AG120,336+AG120))-1,""))</f>
        <v/>
      </c>
      <c r="AI120" s="7" t="str">
        <f aca="false">IF(W120="","",W120&amp;"-"&amp;TEXT(X120,"00"))</f>
        <v>1405-04</v>
      </c>
      <c r="AJ120" s="7" t="n">
        <f aca="false">IF(W120="","",W120*12+X120)</f>
        <v>16864</v>
      </c>
      <c r="AK120" s="7" t="str">
        <f aca="false">IF(U120="تاخیر",V120+ROW()/100000,"")</f>
        <v/>
      </c>
    </row>
    <row r="121" customFormat="false" ht="15" hidden="false" customHeight="false" outlineLevel="0" collapsed="false">
      <c r="A121" s="7" t="n">
        <f aca="false">IF(B121="","",ROW()-3)</f>
        <v>118</v>
      </c>
      <c r="B121" s="8" t="s">
        <v>330</v>
      </c>
      <c r="C121" s="8" t="s">
        <v>38</v>
      </c>
      <c r="D121" s="8" t="s">
        <v>47</v>
      </c>
      <c r="E121" s="9" t="s">
        <v>331</v>
      </c>
      <c r="F121" s="9" t="s">
        <v>51</v>
      </c>
      <c r="G121" s="8" t="s">
        <v>52</v>
      </c>
      <c r="H121" s="8" t="s">
        <v>230</v>
      </c>
      <c r="I121" s="8"/>
      <c r="J121" s="9"/>
      <c r="K121" s="8"/>
      <c r="L121" s="8" t="s">
        <v>328</v>
      </c>
      <c r="M121" s="8" t="s">
        <v>110</v>
      </c>
      <c r="N121" s="8"/>
      <c r="O121" s="8"/>
      <c r="P121" s="8"/>
      <c r="Q121" s="8"/>
      <c r="R121" s="9"/>
      <c r="S121" s="8"/>
      <c r="T121" s="9"/>
      <c r="U121" s="10" t="str">
        <f aca="true">IF(B121="","",IF(OR(P121&lt;&gt;"",I121="می‌باشد"),"بسته",IF(AND(L121&lt;&gt;"",W121=""),"خطای فرمت تاریخ ایجاد",IF(AND(H121&lt;&gt;"",AA121=""),"خطای فرمت مهلت",IF(AND(H121&lt;&gt;"",AD121&lt;&gt;"",TODAY()&gt;AD121),"تاخیر",IF(L121&lt;&gt;"","در حال انجام",""))))))</f>
        <v>تاخیر</v>
      </c>
      <c r="V121" s="7" t="n">
        <f aca="true">IF(U121="تاخیر",TODAY()-AD121,IF(AND(U121="بسته",AH121&lt;&gt;"",AD121&lt;&gt;"",AH121&gt;AD121),AH121-AD121,0))</f>
        <v>39</v>
      </c>
      <c r="W121" s="7" t="n">
        <f aca="false">IF(L121="","",VALUE(LEFT(L121,FIND("/",L121)-1)))</f>
        <v>1405</v>
      </c>
      <c r="X121" s="7" t="n">
        <f aca="false">IF(L121="","",VALUE(MID(L121,FIND("/",L121)+1,FIND("/",L121,FIND("/",L121)+1)-FIND("/",L121)-1)))</f>
        <v>4</v>
      </c>
      <c r="Y121" s="7" t="n">
        <f aca="false">IF(L121="","",VALUE(MID(L121,FIND("/",L121,FIND("/",L121)+1)+1,LEN(L121)-FIND("/",L121,FIND("/",L121)+1))))</f>
        <v>30</v>
      </c>
      <c r="Z121" s="11" t="n">
        <f aca="false">IF(OR(L121="",W121=""),"",IFERROR(INDEX('لیست‌ها'!$Q$3:$Q$53,MATCH(W121,'لیست‌ها'!$P$3:$P$53,0))+IF(X121&lt;=6,(X121-1)*31+Y121,IF(X121&lt;=11,186+(X121-7)*30+Y121,336+Y121))-1,""))</f>
        <v>46224</v>
      </c>
      <c r="AA121" s="7" t="n">
        <f aca="false">IF(H121="","",VALUE(LEFT(H121,FIND("/",H121)-1)))</f>
        <v>1405</v>
      </c>
      <c r="AB121" s="7" t="n">
        <f aca="false">IF(H121="","",VALUE(MID(H121,FIND("/",H121)+1,FIND("/",H121,FIND("/",H121)+1)-FIND("/",H121)-1)))</f>
        <v>5</v>
      </c>
      <c r="AC121" s="7" t="n">
        <f aca="false">IF(H121="","",VALUE(MID(H121,FIND("/",H121,FIND("/",H121)+1)+1,LEN(H121)-FIND("/",H121,FIND("/",H121)+1))))</f>
        <v>31</v>
      </c>
      <c r="AD121" s="11" t="n">
        <f aca="false">IF(OR(H121="",AA121=""),"",IFERROR(INDEX('لیست‌ها'!$Q$3:$Q$53,MATCH(AA121,'لیست‌ها'!$P$3:$P$53,0))+IF(AB121&lt;=6,(AB121-1)*31+AC121,IF(AB121&lt;=11,186+(AB121-7)*30+AC121,336+AC121))-1,""))</f>
        <v>46256</v>
      </c>
      <c r="AE121" s="7" t="str">
        <f aca="false">IF(P121="","",VALUE(LEFT(P121,FIND("/",P121)-1)))</f>
        <v/>
      </c>
      <c r="AF121" s="7" t="str">
        <f aca="false">IF(P121="","",VALUE(MID(P121,FIND("/",P121)+1,FIND("/",P121,FIND("/",P121)+1)-FIND("/",P121)-1)))</f>
        <v/>
      </c>
      <c r="AG121" s="7" t="str">
        <f aca="false">IF(P121="","",VALUE(MID(P121,FIND("/",P121,FIND("/",P121)+1)+1,LEN(P121)-FIND("/",P121,FIND("/",P121)+1))))</f>
        <v/>
      </c>
      <c r="AH121" s="7" t="str">
        <f aca="false">IF(OR(P121="",AE121=""),"",IFERROR(INDEX('لیست‌ها'!$Q$3:$Q$53,MATCH(AE121,'لیست‌ها'!$P$3:$P$53,0))+IF(AF121&lt;=6,(AF121-1)*31+AG121,IF(AF121&lt;=11,186+(AF121-7)*30+AG121,336+AG121))-1,""))</f>
        <v/>
      </c>
      <c r="AI121" s="7" t="str">
        <f aca="false">IF(W121="","",W121&amp;"-"&amp;TEXT(X121,"00"))</f>
        <v>1405-04</v>
      </c>
      <c r="AJ121" s="7" t="n">
        <f aca="false">IF(W121="","",W121*12+X121)</f>
        <v>16864</v>
      </c>
      <c r="AK121" s="7" t="n">
        <f aca="false">IF(U121="تاخیر",V121+ROW()/100000,"")</f>
        <v>39.0013</v>
      </c>
    </row>
    <row r="122" customFormat="false" ht="15" hidden="false" customHeight="false" outlineLevel="0" collapsed="false">
      <c r="A122" s="7" t="n">
        <f aca="false">IF(B122="","",ROW()-3)</f>
        <v>119</v>
      </c>
      <c r="B122" s="8" t="s">
        <v>329</v>
      </c>
      <c r="C122" s="8" t="s">
        <v>38</v>
      </c>
      <c r="D122" s="8" t="s">
        <v>47</v>
      </c>
      <c r="E122" s="9" t="s">
        <v>82</v>
      </c>
      <c r="F122" s="9" t="s">
        <v>51</v>
      </c>
      <c r="G122" s="8" t="s">
        <v>52</v>
      </c>
      <c r="H122" s="8" t="s">
        <v>230</v>
      </c>
      <c r="I122" s="8" t="s">
        <v>54</v>
      </c>
      <c r="J122" s="9"/>
      <c r="K122" s="8"/>
      <c r="L122" s="8" t="s">
        <v>328</v>
      </c>
      <c r="M122" s="8" t="s">
        <v>56</v>
      </c>
      <c r="N122" s="8"/>
      <c r="O122" s="8"/>
      <c r="P122" s="8"/>
      <c r="Q122" s="8"/>
      <c r="R122" s="9"/>
      <c r="S122" s="8"/>
      <c r="T122" s="9"/>
      <c r="U122" s="10" t="str">
        <f aca="true">IF(B122="","",IF(OR(P122&lt;&gt;"",I122="می‌باشد"),"بسته",IF(AND(L122&lt;&gt;"",W122=""),"خطای فرمت تاریخ ایجاد",IF(AND(H122&lt;&gt;"",AA122=""),"خطای فرمت مهلت",IF(AND(H122&lt;&gt;"",AD122&lt;&gt;"",TODAY()&gt;AD122),"تاخیر",IF(L122&lt;&gt;"","در حال انجام",""))))))</f>
        <v>بسته</v>
      </c>
      <c r="V122" s="7" t="n">
        <f aca="true">IF(U122="تاخیر",TODAY()-AD122,IF(AND(U122="بسته",AH122&lt;&gt;"",AD122&lt;&gt;"",AH122&gt;AD122),AH122-AD122,0))</f>
        <v>0</v>
      </c>
      <c r="W122" s="7" t="n">
        <f aca="false">IF(L122="","",VALUE(LEFT(L122,FIND("/",L122)-1)))</f>
        <v>1405</v>
      </c>
      <c r="X122" s="7" t="n">
        <f aca="false">IF(L122="","",VALUE(MID(L122,FIND("/",L122)+1,FIND("/",L122,FIND("/",L122)+1)-FIND("/",L122)-1)))</f>
        <v>4</v>
      </c>
      <c r="Y122" s="7" t="n">
        <f aca="false">IF(L122="","",VALUE(MID(L122,FIND("/",L122,FIND("/",L122)+1)+1,LEN(L122)-FIND("/",L122,FIND("/",L122)+1))))</f>
        <v>30</v>
      </c>
      <c r="Z122" s="11" t="n">
        <f aca="false">IF(OR(L122="",W122=""),"",IFERROR(INDEX('لیست‌ها'!$Q$3:$Q$53,MATCH(W122,'لیست‌ها'!$P$3:$P$53,0))+IF(X122&lt;=6,(X122-1)*31+Y122,IF(X122&lt;=11,186+(X122-7)*30+Y122,336+Y122))-1,""))</f>
        <v>46224</v>
      </c>
      <c r="AA122" s="7" t="n">
        <f aca="false">IF(H122="","",VALUE(LEFT(H122,FIND("/",H122)-1)))</f>
        <v>1405</v>
      </c>
      <c r="AB122" s="7" t="n">
        <f aca="false">IF(H122="","",VALUE(MID(H122,FIND("/",H122)+1,FIND("/",H122,FIND("/",H122)+1)-FIND("/",H122)-1)))</f>
        <v>5</v>
      </c>
      <c r="AC122" s="7" t="n">
        <f aca="false">IF(H122="","",VALUE(MID(H122,FIND("/",H122,FIND("/",H122)+1)+1,LEN(H122)-FIND("/",H122,FIND("/",H122)+1))))</f>
        <v>31</v>
      </c>
      <c r="AD122" s="11" t="n">
        <f aca="false">IF(OR(H122="",AA122=""),"",IFERROR(INDEX('لیست‌ها'!$Q$3:$Q$53,MATCH(AA122,'لیست‌ها'!$P$3:$P$53,0))+IF(AB122&lt;=6,(AB122-1)*31+AC122,IF(AB122&lt;=11,186+(AB122-7)*30+AC122,336+AC122))-1,""))</f>
        <v>46256</v>
      </c>
      <c r="AE122" s="7" t="str">
        <f aca="false">IF(P122="","",VALUE(LEFT(P122,FIND("/",P122)-1)))</f>
        <v/>
      </c>
      <c r="AF122" s="7" t="str">
        <f aca="false">IF(P122="","",VALUE(MID(P122,FIND("/",P122)+1,FIND("/",P122,FIND("/",P122)+1)-FIND("/",P122)-1)))</f>
        <v/>
      </c>
      <c r="AG122" s="7" t="str">
        <f aca="false">IF(P122="","",VALUE(MID(P122,FIND("/",P122,FIND("/",P122)+1)+1,LEN(P122)-FIND("/",P122,FIND("/",P122)+1))))</f>
        <v/>
      </c>
      <c r="AH122" s="7" t="str">
        <f aca="false">IF(OR(P122="",AE122=""),"",IFERROR(INDEX('لیست‌ها'!$Q$3:$Q$53,MATCH(AE122,'لیست‌ها'!$P$3:$P$53,0))+IF(AF122&lt;=6,(AF122-1)*31+AG122,IF(AF122&lt;=11,186+(AF122-7)*30+AG122,336+AG122))-1,""))</f>
        <v/>
      </c>
      <c r="AI122" s="7" t="str">
        <f aca="false">IF(W122="","",W122&amp;"-"&amp;TEXT(X122,"00"))</f>
        <v>1405-04</v>
      </c>
      <c r="AJ122" s="7" t="n">
        <f aca="false">IF(W122="","",W122*12+X122)</f>
        <v>16864</v>
      </c>
      <c r="AK122" s="7" t="str">
        <f aca="false">IF(U122="تاخیر",V122+ROW()/100000,"")</f>
        <v/>
      </c>
    </row>
    <row r="123" customFormat="false" ht="15" hidden="false" customHeight="false" outlineLevel="0" collapsed="false">
      <c r="A123" s="7" t="n">
        <f aca="false">IF(B123="","",ROW()-3)</f>
        <v>120</v>
      </c>
      <c r="B123" s="8" t="s">
        <v>326</v>
      </c>
      <c r="C123" s="8" t="s">
        <v>38</v>
      </c>
      <c r="D123" s="8" t="s">
        <v>47</v>
      </c>
      <c r="E123" s="9" t="s">
        <v>184</v>
      </c>
      <c r="F123" s="9" t="s">
        <v>51</v>
      </c>
      <c r="G123" s="8" t="s">
        <v>52</v>
      </c>
      <c r="H123" s="8" t="s">
        <v>327</v>
      </c>
      <c r="I123" s="8" t="s">
        <v>54</v>
      </c>
      <c r="J123" s="9"/>
      <c r="K123" s="8"/>
      <c r="L123" s="8" t="s">
        <v>328</v>
      </c>
      <c r="M123" s="8" t="s">
        <v>56</v>
      </c>
      <c r="N123" s="8"/>
      <c r="O123" s="8"/>
      <c r="P123" s="8"/>
      <c r="Q123" s="8"/>
      <c r="R123" s="9"/>
      <c r="S123" s="8"/>
      <c r="T123" s="9"/>
      <c r="U123" s="10" t="str">
        <f aca="true">IF(B123="","",IF(OR(P123&lt;&gt;"",I123="می‌باشد"),"بسته",IF(AND(L123&lt;&gt;"",W123=""),"خطای فرمت تاریخ ایجاد",IF(AND(H123&lt;&gt;"",AA123=""),"خطای فرمت مهلت",IF(AND(H123&lt;&gt;"",AD123&lt;&gt;"",TODAY()&gt;AD123),"تاخیر",IF(L123&lt;&gt;"","در حال انجام",""))))))</f>
        <v>بسته</v>
      </c>
      <c r="V123" s="7" t="n">
        <f aca="true">IF(U123="تاخیر",TODAY()-AD123,IF(AND(U123="بسته",AH123&lt;&gt;"",AD123&lt;&gt;"",AH123&gt;AD123),AH123-AD123,0))</f>
        <v>0</v>
      </c>
      <c r="W123" s="7" t="n">
        <f aca="false">IF(L123="","",VALUE(LEFT(L123,FIND("/",L123)-1)))</f>
        <v>1405</v>
      </c>
      <c r="X123" s="7" t="n">
        <f aca="false">IF(L123="","",VALUE(MID(L123,FIND("/",L123)+1,FIND("/",L123,FIND("/",L123)+1)-FIND("/",L123)-1)))</f>
        <v>4</v>
      </c>
      <c r="Y123" s="7" t="n">
        <f aca="false">IF(L123="","",VALUE(MID(L123,FIND("/",L123,FIND("/",L123)+1)+1,LEN(L123)-FIND("/",L123,FIND("/",L123)+1))))</f>
        <v>30</v>
      </c>
      <c r="Z123" s="11" t="n">
        <f aca="false">IF(OR(L123="",W123=""),"",IFERROR(INDEX('لیست‌ها'!$Q$3:$Q$53,MATCH(W123,'لیست‌ها'!$P$3:$P$53,0))+IF(X123&lt;=6,(X123-1)*31+Y123,IF(X123&lt;=11,186+(X123-7)*30+Y123,336+Y123))-1,""))</f>
        <v>46224</v>
      </c>
      <c r="AA123" s="7" t="n">
        <f aca="false">IF(H123="","",VALUE(LEFT(H123,FIND("/",H123)-1)))</f>
        <v>1405</v>
      </c>
      <c r="AB123" s="7" t="n">
        <f aca="false">IF(H123="","",VALUE(MID(H123,FIND("/",H123)+1,FIND("/",H123,FIND("/",H123)+1)-FIND("/",H123)-1)))</f>
        <v>7</v>
      </c>
      <c r="AC123" s="7" t="n">
        <f aca="false">IF(H123="","",VALUE(MID(H123,FIND("/",H123,FIND("/",H123)+1)+1,LEN(H123)-FIND("/",H123,FIND("/",H123)+1))))</f>
        <v>23</v>
      </c>
      <c r="AD123" s="11" t="n">
        <f aca="false">IF(OR(H123="",AA123=""),"",IFERROR(INDEX('لیست‌ها'!$Q$3:$Q$53,MATCH(AA123,'لیست‌ها'!$P$3:$P$53,0))+IF(AB123&lt;=6,(AB123-1)*31+AC123,IF(AB123&lt;=11,186+(AB123-7)*30+AC123,336+AC123))-1,""))</f>
        <v>46310</v>
      </c>
      <c r="AE123" s="7" t="str">
        <f aca="false">IF(P123="","",VALUE(LEFT(P123,FIND("/",P123)-1)))</f>
        <v/>
      </c>
      <c r="AF123" s="7" t="str">
        <f aca="false">IF(P123="","",VALUE(MID(P123,FIND("/",P123)+1,FIND("/",P123,FIND("/",P123)+1)-FIND("/",P123)-1)))</f>
        <v/>
      </c>
      <c r="AG123" s="7" t="str">
        <f aca="false">IF(P123="","",VALUE(MID(P123,FIND("/",P123,FIND("/",P123)+1)+1,LEN(P123)-FIND("/",P123,FIND("/",P123)+1))))</f>
        <v/>
      </c>
      <c r="AH123" s="7" t="str">
        <f aca="false">IF(OR(P123="",AE123=""),"",IFERROR(INDEX('لیست‌ها'!$Q$3:$Q$53,MATCH(AE123,'لیست‌ها'!$P$3:$P$53,0))+IF(AF123&lt;=6,(AF123-1)*31+AG123,IF(AF123&lt;=11,186+(AF123-7)*30+AG123,336+AG123))-1,""))</f>
        <v/>
      </c>
      <c r="AI123" s="7" t="str">
        <f aca="false">IF(W123="","",W123&amp;"-"&amp;TEXT(X123,"00"))</f>
        <v>1405-04</v>
      </c>
      <c r="AJ123" s="7" t="n">
        <f aca="false">IF(W123="","",W123*12+X123)</f>
        <v>16864</v>
      </c>
      <c r="AK123" s="7" t="str">
        <f aca="false">IF(U123="تاخیر",V123+ROW()/100000,"")</f>
        <v/>
      </c>
    </row>
    <row r="124" customFormat="false" ht="15" hidden="false" customHeight="false" outlineLevel="0" collapsed="false">
      <c r="A124" s="7" t="n">
        <f aca="false">IF(B124="","",ROW()-3)</f>
        <v>121</v>
      </c>
      <c r="B124" s="8" t="s">
        <v>324</v>
      </c>
      <c r="C124" s="8" t="s">
        <v>38</v>
      </c>
      <c r="D124" s="8" t="s">
        <v>47</v>
      </c>
      <c r="E124" s="9" t="s">
        <v>325</v>
      </c>
      <c r="F124" s="9" t="s">
        <v>51</v>
      </c>
      <c r="G124" s="8" t="s">
        <v>52</v>
      </c>
      <c r="H124" s="8" t="s">
        <v>322</v>
      </c>
      <c r="I124" s="8"/>
      <c r="J124" s="9"/>
      <c r="K124" s="8"/>
      <c r="L124" s="8" t="s">
        <v>223</v>
      </c>
      <c r="M124" s="8" t="s">
        <v>71</v>
      </c>
      <c r="N124" s="8"/>
      <c r="O124" s="8"/>
      <c r="P124" s="8"/>
      <c r="Q124" s="8"/>
      <c r="R124" s="9"/>
      <c r="S124" s="8"/>
      <c r="T124" s="9"/>
      <c r="U124" s="10" t="str">
        <f aca="true">IF(B124="","",IF(OR(P124&lt;&gt;"",I124="می‌باشد"),"بسته",IF(AND(L124&lt;&gt;"",W124=""),"خطای فرمت تاریخ ایجاد",IF(AND(H124&lt;&gt;"",AA124=""),"خطای فرمت مهلت",IF(AND(H124&lt;&gt;"",AD124&lt;&gt;"",TODAY()&gt;AD124),"تاخیر",IF(L124&lt;&gt;"","در حال انجام",""))))))</f>
        <v>تاخیر</v>
      </c>
      <c r="V124" s="7" t="n">
        <f aca="true">IF(U124="تاخیر",TODAY()-AD124,IF(AND(U124="بسته",AH124&lt;&gt;"",AD124&lt;&gt;"",AH124&gt;AD124),AH124-AD124,0))</f>
        <v>45</v>
      </c>
      <c r="W124" s="7" t="n">
        <f aca="false">IF(L124="","",VALUE(LEFT(L124,FIND("/",L124)-1)))</f>
        <v>1405</v>
      </c>
      <c r="X124" s="7" t="n">
        <f aca="false">IF(L124="","",VALUE(MID(L124,FIND("/",L124)+1,FIND("/",L124,FIND("/",L124)+1)-FIND("/",L124)-1)))</f>
        <v>4</v>
      </c>
      <c r="Y124" s="7" t="n">
        <f aca="false">IF(L124="","",VALUE(MID(L124,FIND("/",L124,FIND("/",L124)+1)+1,LEN(L124)-FIND("/",L124,FIND("/",L124)+1))))</f>
        <v>31</v>
      </c>
      <c r="Z124" s="11" t="n">
        <f aca="false">IF(OR(L124="",W124=""),"",IFERROR(INDEX('لیست‌ها'!$Q$3:$Q$53,MATCH(W124,'لیست‌ها'!$P$3:$P$53,0))+IF(X124&lt;=6,(X124-1)*31+Y124,IF(X124&lt;=11,186+(X124-7)*30+Y124,336+Y124))-1,""))</f>
        <v>46225</v>
      </c>
      <c r="AA124" s="7" t="n">
        <f aca="false">IF(H124="","",VALUE(LEFT(H124,FIND("/",H124)-1)))</f>
        <v>1405</v>
      </c>
      <c r="AB124" s="7" t="n">
        <f aca="false">IF(H124="","",VALUE(MID(H124,FIND("/",H124)+1,FIND("/",H124,FIND("/",H124)+1)-FIND("/",H124)-1)))</f>
        <v>5</v>
      </c>
      <c r="AC124" s="7" t="n">
        <f aca="false">IF(H124="","",VALUE(MID(H124,FIND("/",H124,FIND("/",H124)+1)+1,LEN(H124)-FIND("/",H124,FIND("/",H124)+1))))</f>
        <v>25</v>
      </c>
      <c r="AD124" s="11" t="n">
        <f aca="false">IF(OR(H124="",AA124=""),"",IFERROR(INDEX('لیست‌ها'!$Q$3:$Q$53,MATCH(AA124,'لیست‌ها'!$P$3:$P$53,0))+IF(AB124&lt;=6,(AB124-1)*31+AC124,IF(AB124&lt;=11,186+(AB124-7)*30+AC124,336+AC124))-1,""))</f>
        <v>46250</v>
      </c>
      <c r="AE124" s="7" t="str">
        <f aca="false">IF(P124="","",VALUE(LEFT(P124,FIND("/",P124)-1)))</f>
        <v/>
      </c>
      <c r="AF124" s="7" t="str">
        <f aca="false">IF(P124="","",VALUE(MID(P124,FIND("/",P124)+1,FIND("/",P124,FIND("/",P124)+1)-FIND("/",P124)-1)))</f>
        <v/>
      </c>
      <c r="AG124" s="7" t="str">
        <f aca="false">IF(P124="","",VALUE(MID(P124,FIND("/",P124,FIND("/",P124)+1)+1,LEN(P124)-FIND("/",P124,FIND("/",P124)+1))))</f>
        <v/>
      </c>
      <c r="AH124" s="7" t="str">
        <f aca="false">IF(OR(P124="",AE124=""),"",IFERROR(INDEX('لیست‌ها'!$Q$3:$Q$53,MATCH(AE124,'لیست‌ها'!$P$3:$P$53,0))+IF(AF124&lt;=6,(AF124-1)*31+AG124,IF(AF124&lt;=11,186+(AF124-7)*30+AG124,336+AG124))-1,""))</f>
        <v/>
      </c>
      <c r="AI124" s="7" t="str">
        <f aca="false">IF(W124="","",W124&amp;"-"&amp;TEXT(X124,"00"))</f>
        <v>1405-04</v>
      </c>
      <c r="AJ124" s="7" t="n">
        <f aca="false">IF(W124="","",W124*12+X124)</f>
        <v>16864</v>
      </c>
      <c r="AK124" s="7" t="n">
        <f aca="false">IF(U124="تاخیر",V124+ROW()/100000,"")</f>
        <v>45.00127</v>
      </c>
    </row>
    <row r="125" customFormat="false" ht="15" hidden="false" customHeight="false" outlineLevel="0" collapsed="false">
      <c r="A125" s="7" t="n">
        <f aca="false">IF(B125="","",ROW()-3)</f>
        <v>122</v>
      </c>
      <c r="B125" s="8" t="s">
        <v>323</v>
      </c>
      <c r="C125" s="8" t="s">
        <v>38</v>
      </c>
      <c r="D125" s="8" t="s">
        <v>39</v>
      </c>
      <c r="E125" s="9" t="s">
        <v>321</v>
      </c>
      <c r="F125" s="9" t="s">
        <v>41</v>
      </c>
      <c r="G125" s="8" t="s">
        <v>42</v>
      </c>
      <c r="H125" s="8" t="s">
        <v>230</v>
      </c>
      <c r="I125" s="8" t="s">
        <v>54</v>
      </c>
      <c r="J125" s="9"/>
      <c r="K125" s="8"/>
      <c r="L125" s="8" t="s">
        <v>223</v>
      </c>
      <c r="M125" s="8" t="s">
        <v>56</v>
      </c>
      <c r="N125" s="8"/>
      <c r="O125" s="8"/>
      <c r="P125" s="8"/>
      <c r="Q125" s="8"/>
      <c r="R125" s="9"/>
      <c r="S125" s="8"/>
      <c r="T125" s="9"/>
      <c r="U125" s="10" t="str">
        <f aca="true">IF(B125="","",IF(OR(P125&lt;&gt;"",I125="می‌باشد"),"بسته",IF(AND(L125&lt;&gt;"",W125=""),"خطای فرمت تاریخ ایجاد",IF(AND(H125&lt;&gt;"",AA125=""),"خطای فرمت مهلت",IF(AND(H125&lt;&gt;"",AD125&lt;&gt;"",TODAY()&gt;AD125),"تاخیر",IF(L125&lt;&gt;"","در حال انجام",""))))))</f>
        <v>بسته</v>
      </c>
      <c r="V125" s="7" t="n">
        <f aca="true">IF(U125="تاخیر",TODAY()-AD125,IF(AND(U125="بسته",AH125&lt;&gt;"",AD125&lt;&gt;"",AH125&gt;AD125),AH125-AD125,0))</f>
        <v>0</v>
      </c>
      <c r="W125" s="7" t="n">
        <f aca="false">IF(L125="","",VALUE(LEFT(L125,FIND("/",L125)-1)))</f>
        <v>1405</v>
      </c>
      <c r="X125" s="7" t="n">
        <f aca="false">IF(L125="","",VALUE(MID(L125,FIND("/",L125)+1,FIND("/",L125,FIND("/",L125)+1)-FIND("/",L125)-1)))</f>
        <v>4</v>
      </c>
      <c r="Y125" s="7" t="n">
        <f aca="false">IF(L125="","",VALUE(MID(L125,FIND("/",L125,FIND("/",L125)+1)+1,LEN(L125)-FIND("/",L125,FIND("/",L125)+1))))</f>
        <v>31</v>
      </c>
      <c r="Z125" s="11" t="n">
        <f aca="false">IF(OR(L125="",W125=""),"",IFERROR(INDEX('لیست‌ها'!$Q$3:$Q$53,MATCH(W125,'لیست‌ها'!$P$3:$P$53,0))+IF(X125&lt;=6,(X125-1)*31+Y125,IF(X125&lt;=11,186+(X125-7)*30+Y125,336+Y125))-1,""))</f>
        <v>46225</v>
      </c>
      <c r="AA125" s="7" t="n">
        <f aca="false">IF(H125="","",VALUE(LEFT(H125,FIND("/",H125)-1)))</f>
        <v>1405</v>
      </c>
      <c r="AB125" s="7" t="n">
        <f aca="false">IF(H125="","",VALUE(MID(H125,FIND("/",H125)+1,FIND("/",H125,FIND("/",H125)+1)-FIND("/",H125)-1)))</f>
        <v>5</v>
      </c>
      <c r="AC125" s="7" t="n">
        <f aca="false">IF(H125="","",VALUE(MID(H125,FIND("/",H125,FIND("/",H125)+1)+1,LEN(H125)-FIND("/",H125,FIND("/",H125)+1))))</f>
        <v>31</v>
      </c>
      <c r="AD125" s="11" t="n">
        <f aca="false">IF(OR(H125="",AA125=""),"",IFERROR(INDEX('لیست‌ها'!$Q$3:$Q$53,MATCH(AA125,'لیست‌ها'!$P$3:$P$53,0))+IF(AB125&lt;=6,(AB125-1)*31+AC125,IF(AB125&lt;=11,186+(AB125-7)*30+AC125,336+AC125))-1,""))</f>
        <v>46256</v>
      </c>
      <c r="AE125" s="7" t="str">
        <f aca="false">IF(P125="","",VALUE(LEFT(P125,FIND("/",P125)-1)))</f>
        <v/>
      </c>
      <c r="AF125" s="7" t="str">
        <f aca="false">IF(P125="","",VALUE(MID(P125,FIND("/",P125)+1,FIND("/",P125,FIND("/",P125)+1)-FIND("/",P125)-1)))</f>
        <v/>
      </c>
      <c r="AG125" s="7" t="str">
        <f aca="false">IF(P125="","",VALUE(MID(P125,FIND("/",P125,FIND("/",P125)+1)+1,LEN(P125)-FIND("/",P125,FIND("/",P125)+1))))</f>
        <v/>
      </c>
      <c r="AH125" s="7" t="str">
        <f aca="false">IF(OR(P125="",AE125=""),"",IFERROR(INDEX('لیست‌ها'!$Q$3:$Q$53,MATCH(AE125,'لیست‌ها'!$P$3:$P$53,0))+IF(AF125&lt;=6,(AF125-1)*31+AG125,IF(AF125&lt;=11,186+(AF125-7)*30+AG125,336+AG125))-1,""))</f>
        <v/>
      </c>
      <c r="AI125" s="7" t="str">
        <f aca="false">IF(W125="","",W125&amp;"-"&amp;TEXT(X125,"00"))</f>
        <v>1405-04</v>
      </c>
      <c r="AJ125" s="7" t="n">
        <f aca="false">IF(W125="","",W125*12+X125)</f>
        <v>16864</v>
      </c>
      <c r="AK125" s="7" t="str">
        <f aca="false">IF(U125="تاخیر",V125+ROW()/100000,"")</f>
        <v/>
      </c>
    </row>
    <row r="126" customFormat="false" ht="15" hidden="false" customHeight="false" outlineLevel="0" collapsed="false">
      <c r="A126" s="7" t="n">
        <f aca="false">IF(B126="","",ROW()-3)</f>
        <v>123</v>
      </c>
      <c r="B126" s="8" t="s">
        <v>320</v>
      </c>
      <c r="C126" s="8" t="s">
        <v>38</v>
      </c>
      <c r="D126" s="8" t="s">
        <v>39</v>
      </c>
      <c r="E126" s="9" t="s">
        <v>321</v>
      </c>
      <c r="F126" s="9" t="s">
        <v>51</v>
      </c>
      <c r="G126" s="8" t="s">
        <v>42</v>
      </c>
      <c r="H126" s="8" t="s">
        <v>322</v>
      </c>
      <c r="I126" s="8"/>
      <c r="J126" s="9"/>
      <c r="K126" s="8"/>
      <c r="L126" s="8" t="s">
        <v>223</v>
      </c>
      <c r="M126" s="8" t="s">
        <v>71</v>
      </c>
      <c r="N126" s="8"/>
      <c r="O126" s="8"/>
      <c r="P126" s="8"/>
      <c r="Q126" s="8"/>
      <c r="R126" s="9"/>
      <c r="S126" s="8"/>
      <c r="T126" s="9"/>
      <c r="U126" s="10" t="str">
        <f aca="true">IF(B126="","",IF(OR(P126&lt;&gt;"",I126="می‌باشد"),"بسته",IF(AND(L126&lt;&gt;"",W126=""),"خطای فرمت تاریخ ایجاد",IF(AND(H126&lt;&gt;"",AA126=""),"خطای فرمت مهلت",IF(AND(H126&lt;&gt;"",AD126&lt;&gt;"",TODAY()&gt;AD126),"تاخیر",IF(L126&lt;&gt;"","در حال انجام",""))))))</f>
        <v>تاخیر</v>
      </c>
      <c r="V126" s="7" t="n">
        <f aca="true">IF(U126="تاخیر",TODAY()-AD126,IF(AND(U126="بسته",AH126&lt;&gt;"",AD126&lt;&gt;"",AH126&gt;AD126),AH126-AD126,0))</f>
        <v>45</v>
      </c>
      <c r="W126" s="7" t="n">
        <f aca="false">IF(L126="","",VALUE(LEFT(L126,FIND("/",L126)-1)))</f>
        <v>1405</v>
      </c>
      <c r="X126" s="7" t="n">
        <f aca="false">IF(L126="","",VALUE(MID(L126,FIND("/",L126)+1,FIND("/",L126,FIND("/",L126)+1)-FIND("/",L126)-1)))</f>
        <v>4</v>
      </c>
      <c r="Y126" s="7" t="n">
        <f aca="false">IF(L126="","",VALUE(MID(L126,FIND("/",L126,FIND("/",L126)+1)+1,LEN(L126)-FIND("/",L126,FIND("/",L126)+1))))</f>
        <v>31</v>
      </c>
      <c r="Z126" s="11" t="n">
        <f aca="false">IF(OR(L126="",W126=""),"",IFERROR(INDEX('لیست‌ها'!$Q$3:$Q$53,MATCH(W126,'لیست‌ها'!$P$3:$P$53,0))+IF(X126&lt;=6,(X126-1)*31+Y126,IF(X126&lt;=11,186+(X126-7)*30+Y126,336+Y126))-1,""))</f>
        <v>46225</v>
      </c>
      <c r="AA126" s="7" t="n">
        <f aca="false">IF(H126="","",VALUE(LEFT(H126,FIND("/",H126)-1)))</f>
        <v>1405</v>
      </c>
      <c r="AB126" s="7" t="n">
        <f aca="false">IF(H126="","",VALUE(MID(H126,FIND("/",H126)+1,FIND("/",H126,FIND("/",H126)+1)-FIND("/",H126)-1)))</f>
        <v>5</v>
      </c>
      <c r="AC126" s="7" t="n">
        <f aca="false">IF(H126="","",VALUE(MID(H126,FIND("/",H126,FIND("/",H126)+1)+1,LEN(H126)-FIND("/",H126,FIND("/",H126)+1))))</f>
        <v>25</v>
      </c>
      <c r="AD126" s="11" t="n">
        <f aca="false">IF(OR(H126="",AA126=""),"",IFERROR(INDEX('لیست‌ها'!$Q$3:$Q$53,MATCH(AA126,'لیست‌ها'!$P$3:$P$53,0))+IF(AB126&lt;=6,(AB126-1)*31+AC126,IF(AB126&lt;=11,186+(AB126-7)*30+AC126,336+AC126))-1,""))</f>
        <v>46250</v>
      </c>
      <c r="AE126" s="7" t="str">
        <f aca="false">IF(P126="","",VALUE(LEFT(P126,FIND("/",P126)-1)))</f>
        <v/>
      </c>
      <c r="AF126" s="7" t="str">
        <f aca="false">IF(P126="","",VALUE(MID(P126,FIND("/",P126)+1,FIND("/",P126,FIND("/",P126)+1)-FIND("/",P126)-1)))</f>
        <v/>
      </c>
      <c r="AG126" s="7" t="str">
        <f aca="false">IF(P126="","",VALUE(MID(P126,FIND("/",P126,FIND("/",P126)+1)+1,LEN(P126)-FIND("/",P126,FIND("/",P126)+1))))</f>
        <v/>
      </c>
      <c r="AH126" s="7" t="str">
        <f aca="false">IF(OR(P126="",AE126=""),"",IFERROR(INDEX('لیست‌ها'!$Q$3:$Q$53,MATCH(AE126,'لیست‌ها'!$P$3:$P$53,0))+IF(AF126&lt;=6,(AF126-1)*31+AG126,IF(AF126&lt;=11,186+(AF126-7)*30+AG126,336+AG126))-1,""))</f>
        <v/>
      </c>
      <c r="AI126" s="7" t="str">
        <f aca="false">IF(W126="","",W126&amp;"-"&amp;TEXT(X126,"00"))</f>
        <v>1405-04</v>
      </c>
      <c r="AJ126" s="7" t="n">
        <f aca="false">IF(W126="","",W126*12+X126)</f>
        <v>16864</v>
      </c>
      <c r="AK126" s="7" t="n">
        <f aca="false">IF(U126="تاخیر",V126+ROW()/100000,"")</f>
        <v>45.00125</v>
      </c>
    </row>
    <row r="127" customFormat="false" ht="15" hidden="false" customHeight="false" outlineLevel="0" collapsed="false">
      <c r="A127" s="7" t="n">
        <f aca="false">IF(B127="","",ROW()-3)</f>
        <v>124</v>
      </c>
      <c r="B127" s="8" t="s">
        <v>319</v>
      </c>
      <c r="C127" s="8" t="s">
        <v>38</v>
      </c>
      <c r="D127" s="8" t="s">
        <v>47</v>
      </c>
      <c r="E127" s="9" t="s">
        <v>153</v>
      </c>
      <c r="F127" s="9" t="s">
        <v>51</v>
      </c>
      <c r="G127" s="8" t="s">
        <v>52</v>
      </c>
      <c r="H127" s="8" t="s">
        <v>230</v>
      </c>
      <c r="I127" s="8" t="s">
        <v>54</v>
      </c>
      <c r="J127" s="9"/>
      <c r="K127" s="8"/>
      <c r="L127" s="8" t="s">
        <v>318</v>
      </c>
      <c r="M127" s="8" t="s">
        <v>56</v>
      </c>
      <c r="N127" s="8"/>
      <c r="O127" s="8"/>
      <c r="P127" s="8"/>
      <c r="Q127" s="8"/>
      <c r="R127" s="9"/>
      <c r="S127" s="8"/>
      <c r="T127" s="9"/>
      <c r="U127" s="10" t="str">
        <f aca="true">IF(B127="","",IF(OR(P127&lt;&gt;"",I127="می‌باشد"),"بسته",IF(AND(L127&lt;&gt;"",W127=""),"خطای فرمت تاریخ ایجاد",IF(AND(H127&lt;&gt;"",AA127=""),"خطای فرمت مهلت",IF(AND(H127&lt;&gt;"",AD127&lt;&gt;"",TODAY()&gt;AD127),"تاخیر",IF(L127&lt;&gt;"","در حال انجام",""))))))</f>
        <v>بسته</v>
      </c>
      <c r="V127" s="7" t="n">
        <f aca="true">IF(U127="تاخیر",TODAY()-AD127,IF(AND(U127="بسته",AH127&lt;&gt;"",AD127&lt;&gt;"",AH127&gt;AD127),AH127-AD127,0))</f>
        <v>0</v>
      </c>
      <c r="W127" s="7" t="n">
        <f aca="false">IF(L127="","",VALUE(LEFT(L127,FIND("/",L127)-1)))</f>
        <v>1405</v>
      </c>
      <c r="X127" s="7" t="n">
        <f aca="false">IF(L127="","",VALUE(MID(L127,FIND("/",L127)+1,FIND("/",L127,FIND("/",L127)+1)-FIND("/",L127)-1)))</f>
        <v>5</v>
      </c>
      <c r="Y127" s="7" t="n">
        <f aca="false">IF(L127="","",VALUE(MID(L127,FIND("/",L127,FIND("/",L127)+1)+1,LEN(L127)-FIND("/",L127,FIND("/",L127)+1))))</f>
        <v>3</v>
      </c>
      <c r="Z127" s="11" t="n">
        <f aca="false">IF(OR(L127="",W127=""),"",IFERROR(INDEX('لیست‌ها'!$Q$3:$Q$53,MATCH(W127,'لیست‌ها'!$P$3:$P$53,0))+IF(X127&lt;=6,(X127-1)*31+Y127,IF(X127&lt;=11,186+(X127-7)*30+Y127,336+Y127))-1,""))</f>
        <v>46228</v>
      </c>
      <c r="AA127" s="7" t="n">
        <f aca="false">IF(H127="","",VALUE(LEFT(H127,FIND("/",H127)-1)))</f>
        <v>1405</v>
      </c>
      <c r="AB127" s="7" t="n">
        <f aca="false">IF(H127="","",VALUE(MID(H127,FIND("/",H127)+1,FIND("/",H127,FIND("/",H127)+1)-FIND("/",H127)-1)))</f>
        <v>5</v>
      </c>
      <c r="AC127" s="7" t="n">
        <f aca="false">IF(H127="","",VALUE(MID(H127,FIND("/",H127,FIND("/",H127)+1)+1,LEN(H127)-FIND("/",H127,FIND("/",H127)+1))))</f>
        <v>31</v>
      </c>
      <c r="AD127" s="11" t="n">
        <f aca="false">IF(OR(H127="",AA127=""),"",IFERROR(INDEX('لیست‌ها'!$Q$3:$Q$53,MATCH(AA127,'لیست‌ها'!$P$3:$P$53,0))+IF(AB127&lt;=6,(AB127-1)*31+AC127,IF(AB127&lt;=11,186+(AB127-7)*30+AC127,336+AC127))-1,""))</f>
        <v>46256</v>
      </c>
      <c r="AE127" s="7" t="str">
        <f aca="false">IF(P127="","",VALUE(LEFT(P127,FIND("/",P127)-1)))</f>
        <v/>
      </c>
      <c r="AF127" s="7" t="str">
        <f aca="false">IF(P127="","",VALUE(MID(P127,FIND("/",P127)+1,FIND("/",P127,FIND("/",P127)+1)-FIND("/",P127)-1)))</f>
        <v/>
      </c>
      <c r="AG127" s="7" t="str">
        <f aca="false">IF(P127="","",VALUE(MID(P127,FIND("/",P127,FIND("/",P127)+1)+1,LEN(P127)-FIND("/",P127,FIND("/",P127)+1))))</f>
        <v/>
      </c>
      <c r="AH127" s="7" t="str">
        <f aca="false">IF(OR(P127="",AE127=""),"",IFERROR(INDEX('لیست‌ها'!$Q$3:$Q$53,MATCH(AE127,'لیست‌ها'!$P$3:$P$53,0))+IF(AF127&lt;=6,(AF127-1)*31+AG127,IF(AF127&lt;=11,186+(AF127-7)*30+AG127,336+AG127))-1,""))</f>
        <v/>
      </c>
      <c r="AI127" s="7" t="str">
        <f aca="false">IF(W127="","",W127&amp;"-"&amp;TEXT(X127,"00"))</f>
        <v>1405-05</v>
      </c>
      <c r="AJ127" s="7" t="n">
        <f aca="false">IF(W127="","",W127*12+X127)</f>
        <v>16865</v>
      </c>
      <c r="AK127" s="7" t="str">
        <f aca="false">IF(U127="تاخیر",V127+ROW()/100000,"")</f>
        <v/>
      </c>
    </row>
    <row r="128" customFormat="false" ht="15" hidden="false" customHeight="false" outlineLevel="0" collapsed="false">
      <c r="A128" s="7" t="n">
        <f aca="false">IF(B128="","",ROW()-3)</f>
        <v>125</v>
      </c>
      <c r="B128" s="8" t="s">
        <v>317</v>
      </c>
      <c r="C128" s="8" t="s">
        <v>38</v>
      </c>
      <c r="D128" s="8" t="s">
        <v>47</v>
      </c>
      <c r="E128" s="9" t="s">
        <v>248</v>
      </c>
      <c r="F128" s="9" t="s">
        <v>51</v>
      </c>
      <c r="G128" s="8" t="s">
        <v>52</v>
      </c>
      <c r="H128" s="8" t="s">
        <v>230</v>
      </c>
      <c r="I128" s="8" t="s">
        <v>54</v>
      </c>
      <c r="J128" s="9"/>
      <c r="K128" s="8"/>
      <c r="L128" s="8" t="s">
        <v>318</v>
      </c>
      <c r="M128" s="8" t="s">
        <v>56</v>
      </c>
      <c r="N128" s="8"/>
      <c r="O128" s="8"/>
      <c r="P128" s="8"/>
      <c r="Q128" s="8"/>
      <c r="R128" s="9"/>
      <c r="S128" s="8"/>
      <c r="T128" s="9"/>
      <c r="U128" s="10" t="str">
        <f aca="true">IF(B128="","",IF(OR(P128&lt;&gt;"",I128="می‌باشد"),"بسته",IF(AND(L128&lt;&gt;"",W128=""),"خطای فرمت تاریخ ایجاد",IF(AND(H128&lt;&gt;"",AA128=""),"خطای فرمت مهلت",IF(AND(H128&lt;&gt;"",AD128&lt;&gt;"",TODAY()&gt;AD128),"تاخیر",IF(L128&lt;&gt;"","در حال انجام",""))))))</f>
        <v>بسته</v>
      </c>
      <c r="V128" s="7" t="n">
        <f aca="true">IF(U128="تاخیر",TODAY()-AD128,IF(AND(U128="بسته",AH128&lt;&gt;"",AD128&lt;&gt;"",AH128&gt;AD128),AH128-AD128,0))</f>
        <v>0</v>
      </c>
      <c r="W128" s="7" t="n">
        <f aca="false">IF(L128="","",VALUE(LEFT(L128,FIND("/",L128)-1)))</f>
        <v>1405</v>
      </c>
      <c r="X128" s="7" t="n">
        <f aca="false">IF(L128="","",VALUE(MID(L128,FIND("/",L128)+1,FIND("/",L128,FIND("/",L128)+1)-FIND("/",L128)-1)))</f>
        <v>5</v>
      </c>
      <c r="Y128" s="7" t="n">
        <f aca="false">IF(L128="","",VALUE(MID(L128,FIND("/",L128,FIND("/",L128)+1)+1,LEN(L128)-FIND("/",L128,FIND("/",L128)+1))))</f>
        <v>3</v>
      </c>
      <c r="Z128" s="11" t="n">
        <f aca="false">IF(OR(L128="",W128=""),"",IFERROR(INDEX('لیست‌ها'!$Q$3:$Q$53,MATCH(W128,'لیست‌ها'!$P$3:$P$53,0))+IF(X128&lt;=6,(X128-1)*31+Y128,IF(X128&lt;=11,186+(X128-7)*30+Y128,336+Y128))-1,""))</f>
        <v>46228</v>
      </c>
      <c r="AA128" s="7" t="n">
        <f aca="false">IF(H128="","",VALUE(LEFT(H128,FIND("/",H128)-1)))</f>
        <v>1405</v>
      </c>
      <c r="AB128" s="7" t="n">
        <f aca="false">IF(H128="","",VALUE(MID(H128,FIND("/",H128)+1,FIND("/",H128,FIND("/",H128)+1)-FIND("/",H128)-1)))</f>
        <v>5</v>
      </c>
      <c r="AC128" s="7" t="n">
        <f aca="false">IF(H128="","",VALUE(MID(H128,FIND("/",H128,FIND("/",H128)+1)+1,LEN(H128)-FIND("/",H128,FIND("/",H128)+1))))</f>
        <v>31</v>
      </c>
      <c r="AD128" s="11" t="n">
        <f aca="false">IF(OR(H128="",AA128=""),"",IFERROR(INDEX('لیست‌ها'!$Q$3:$Q$53,MATCH(AA128,'لیست‌ها'!$P$3:$P$53,0))+IF(AB128&lt;=6,(AB128-1)*31+AC128,IF(AB128&lt;=11,186+(AB128-7)*30+AC128,336+AC128))-1,""))</f>
        <v>46256</v>
      </c>
      <c r="AE128" s="7" t="str">
        <f aca="false">IF(P128="","",VALUE(LEFT(P128,FIND("/",P128)-1)))</f>
        <v/>
      </c>
      <c r="AF128" s="7" t="str">
        <f aca="false">IF(P128="","",VALUE(MID(P128,FIND("/",P128)+1,FIND("/",P128,FIND("/",P128)+1)-FIND("/",P128)-1)))</f>
        <v/>
      </c>
      <c r="AG128" s="7" t="str">
        <f aca="false">IF(P128="","",VALUE(MID(P128,FIND("/",P128,FIND("/",P128)+1)+1,LEN(P128)-FIND("/",P128,FIND("/",P128)+1))))</f>
        <v/>
      </c>
      <c r="AH128" s="7" t="str">
        <f aca="false">IF(OR(P128="",AE128=""),"",IFERROR(INDEX('لیست‌ها'!$Q$3:$Q$53,MATCH(AE128,'لیست‌ها'!$P$3:$P$53,0))+IF(AF128&lt;=6,(AF128-1)*31+AG128,IF(AF128&lt;=11,186+(AF128-7)*30+AG128,336+AG128))-1,""))</f>
        <v/>
      </c>
      <c r="AI128" s="7" t="str">
        <f aca="false">IF(W128="","",W128&amp;"-"&amp;TEXT(X128,"00"))</f>
        <v>1405-05</v>
      </c>
      <c r="AJ128" s="7" t="n">
        <f aca="false">IF(W128="","",W128*12+X128)</f>
        <v>16865</v>
      </c>
      <c r="AK128" s="7" t="str">
        <f aca="false">IF(U128="تاخیر",V128+ROW()/100000,"")</f>
        <v/>
      </c>
    </row>
    <row r="129" customFormat="false" ht="15" hidden="false" customHeight="false" outlineLevel="0" collapsed="false">
      <c r="A129" s="7" t="n">
        <f aca="false">IF(B129="","",ROW()-3)</f>
        <v>126</v>
      </c>
      <c r="B129" s="8" t="s">
        <v>316</v>
      </c>
      <c r="C129" s="8" t="s">
        <v>38</v>
      </c>
      <c r="D129" s="8" t="s">
        <v>47</v>
      </c>
      <c r="E129" s="9" t="s">
        <v>103</v>
      </c>
      <c r="F129" s="9" t="s">
        <v>51</v>
      </c>
      <c r="G129" s="8" t="s">
        <v>52</v>
      </c>
      <c r="H129" s="8" t="s">
        <v>230</v>
      </c>
      <c r="I129" s="8"/>
      <c r="J129" s="9"/>
      <c r="K129" s="8"/>
      <c r="L129" s="8" t="s">
        <v>312</v>
      </c>
      <c r="M129" s="8" t="s">
        <v>71</v>
      </c>
      <c r="N129" s="8"/>
      <c r="O129" s="8"/>
      <c r="P129" s="8"/>
      <c r="Q129" s="8"/>
      <c r="R129" s="9"/>
      <c r="S129" s="8"/>
      <c r="T129" s="9"/>
      <c r="U129" s="10" t="str">
        <f aca="true">IF(B129="","",IF(OR(P129&lt;&gt;"",I129="می‌باشد"),"بسته",IF(AND(L129&lt;&gt;"",W129=""),"خطای فرمت تاریخ ایجاد",IF(AND(H129&lt;&gt;"",AA129=""),"خطای فرمت مهلت",IF(AND(H129&lt;&gt;"",AD129&lt;&gt;"",TODAY()&gt;AD129),"تاخیر",IF(L129&lt;&gt;"","در حال انجام",""))))))</f>
        <v>تاخیر</v>
      </c>
      <c r="V129" s="7" t="n">
        <f aca="true">IF(U129="تاخیر",TODAY()-AD129,IF(AND(U129="بسته",AH129&lt;&gt;"",AD129&lt;&gt;"",AH129&gt;AD129),AH129-AD129,0))</f>
        <v>39</v>
      </c>
      <c r="W129" s="7" t="n">
        <f aca="false">IF(L129="","",VALUE(LEFT(L129,FIND("/",L129)-1)))</f>
        <v>1405</v>
      </c>
      <c r="X129" s="7" t="n">
        <f aca="false">IF(L129="","",VALUE(MID(L129,FIND("/",L129)+1,FIND("/",L129,FIND("/",L129)+1)-FIND("/",L129)-1)))</f>
        <v>5</v>
      </c>
      <c r="Y129" s="7" t="n">
        <f aca="false">IF(L129="","",VALUE(MID(L129,FIND("/",L129,FIND("/",L129)+1)+1,LEN(L129)-FIND("/",L129,FIND("/",L129)+1))))</f>
        <v>6</v>
      </c>
      <c r="Z129" s="11" t="n">
        <f aca="false">IF(OR(L129="",W129=""),"",IFERROR(INDEX('لیست‌ها'!$Q$3:$Q$53,MATCH(W129,'لیست‌ها'!$P$3:$P$53,0))+IF(X129&lt;=6,(X129-1)*31+Y129,IF(X129&lt;=11,186+(X129-7)*30+Y129,336+Y129))-1,""))</f>
        <v>46231</v>
      </c>
      <c r="AA129" s="7" t="n">
        <f aca="false">IF(H129="","",VALUE(LEFT(H129,FIND("/",H129)-1)))</f>
        <v>1405</v>
      </c>
      <c r="AB129" s="7" t="n">
        <f aca="false">IF(H129="","",VALUE(MID(H129,FIND("/",H129)+1,FIND("/",H129,FIND("/",H129)+1)-FIND("/",H129)-1)))</f>
        <v>5</v>
      </c>
      <c r="AC129" s="7" t="n">
        <f aca="false">IF(H129="","",VALUE(MID(H129,FIND("/",H129,FIND("/",H129)+1)+1,LEN(H129)-FIND("/",H129,FIND("/",H129)+1))))</f>
        <v>31</v>
      </c>
      <c r="AD129" s="11" t="n">
        <f aca="false">IF(OR(H129="",AA129=""),"",IFERROR(INDEX('لیست‌ها'!$Q$3:$Q$53,MATCH(AA129,'لیست‌ها'!$P$3:$P$53,0))+IF(AB129&lt;=6,(AB129-1)*31+AC129,IF(AB129&lt;=11,186+(AB129-7)*30+AC129,336+AC129))-1,""))</f>
        <v>46256</v>
      </c>
      <c r="AE129" s="7" t="str">
        <f aca="false">IF(P129="","",VALUE(LEFT(P129,FIND("/",P129)-1)))</f>
        <v/>
      </c>
      <c r="AF129" s="7" t="str">
        <f aca="false">IF(P129="","",VALUE(MID(P129,FIND("/",P129)+1,FIND("/",P129,FIND("/",P129)+1)-FIND("/",P129)-1)))</f>
        <v/>
      </c>
      <c r="AG129" s="7" t="str">
        <f aca="false">IF(P129="","",VALUE(MID(P129,FIND("/",P129,FIND("/",P129)+1)+1,LEN(P129)-FIND("/",P129,FIND("/",P129)+1))))</f>
        <v/>
      </c>
      <c r="AH129" s="7" t="str">
        <f aca="false">IF(OR(P129="",AE129=""),"",IFERROR(INDEX('لیست‌ها'!$Q$3:$Q$53,MATCH(AE129,'لیست‌ها'!$P$3:$P$53,0))+IF(AF129&lt;=6,(AF129-1)*31+AG129,IF(AF129&lt;=11,186+(AF129-7)*30+AG129,336+AG129))-1,""))</f>
        <v/>
      </c>
      <c r="AI129" s="7" t="str">
        <f aca="false">IF(W129="","",W129&amp;"-"&amp;TEXT(X129,"00"))</f>
        <v>1405-05</v>
      </c>
      <c r="AJ129" s="7" t="n">
        <f aca="false">IF(W129="","",W129*12+X129)</f>
        <v>16865</v>
      </c>
      <c r="AK129" s="7" t="n">
        <f aca="false">IF(U129="تاخیر",V129+ROW()/100000,"")</f>
        <v>39.00122</v>
      </c>
    </row>
    <row r="130" customFormat="false" ht="15" hidden="false" customHeight="false" outlineLevel="0" collapsed="false">
      <c r="A130" s="7" t="n">
        <f aca="false">IF(B130="","",ROW()-3)</f>
        <v>127</v>
      </c>
      <c r="B130" s="8" t="s">
        <v>313</v>
      </c>
      <c r="C130" s="8" t="s">
        <v>38</v>
      </c>
      <c r="D130" s="8" t="s">
        <v>306</v>
      </c>
      <c r="E130" s="9" t="s">
        <v>314</v>
      </c>
      <c r="F130" s="9" t="s">
        <v>308</v>
      </c>
      <c r="G130" s="8" t="s">
        <v>309</v>
      </c>
      <c r="H130" s="8" t="s">
        <v>315</v>
      </c>
      <c r="I130" s="8"/>
      <c r="J130" s="9"/>
      <c r="K130" s="8"/>
      <c r="L130" s="8" t="s">
        <v>312</v>
      </c>
      <c r="M130" s="8" t="s">
        <v>71</v>
      </c>
      <c r="N130" s="8"/>
      <c r="O130" s="8"/>
      <c r="P130" s="8"/>
      <c r="Q130" s="8"/>
      <c r="R130" s="9"/>
      <c r="S130" s="8"/>
      <c r="T130" s="9"/>
      <c r="U130" s="10" t="str">
        <f aca="true">IF(B130="","",IF(OR(P130&lt;&gt;"",I130="می‌باشد"),"بسته",IF(AND(L130&lt;&gt;"",W130=""),"خطای فرمت تاریخ ایجاد",IF(AND(H130&lt;&gt;"",AA130=""),"خطای فرمت مهلت",IF(AND(H130&lt;&gt;"",AD130&lt;&gt;"",TODAY()&gt;AD130),"تاخیر",IF(L130&lt;&gt;"","در حال انجام",""))))))</f>
        <v>تاخیر</v>
      </c>
      <c r="V130" s="7" t="n">
        <f aca="true">IF(U130="تاخیر",TODAY()-AD130,IF(AND(U130="بسته",AH130&lt;&gt;"",AD130&lt;&gt;"",AH130&gt;AD130),AH130-AD130,0))</f>
        <v>18</v>
      </c>
      <c r="W130" s="7" t="n">
        <f aca="false">IF(L130="","",VALUE(LEFT(L130,FIND("/",L130)-1)))</f>
        <v>1405</v>
      </c>
      <c r="X130" s="7" t="n">
        <f aca="false">IF(L130="","",VALUE(MID(L130,FIND("/",L130)+1,FIND("/",L130,FIND("/",L130)+1)-FIND("/",L130)-1)))</f>
        <v>5</v>
      </c>
      <c r="Y130" s="7" t="n">
        <f aca="false">IF(L130="","",VALUE(MID(L130,FIND("/",L130,FIND("/",L130)+1)+1,LEN(L130)-FIND("/",L130,FIND("/",L130)+1))))</f>
        <v>6</v>
      </c>
      <c r="Z130" s="11" t="n">
        <f aca="false">IF(OR(L130="",W130=""),"",IFERROR(INDEX('لیست‌ها'!$Q$3:$Q$53,MATCH(W130,'لیست‌ها'!$P$3:$P$53,0))+IF(X130&lt;=6,(X130-1)*31+Y130,IF(X130&lt;=11,186+(X130-7)*30+Y130,336+Y130))-1,""))</f>
        <v>46231</v>
      </c>
      <c r="AA130" s="7" t="n">
        <f aca="false">IF(H130="","",VALUE(LEFT(H130,FIND("/",H130)-1)))</f>
        <v>1405</v>
      </c>
      <c r="AB130" s="7" t="n">
        <f aca="false">IF(H130="","",VALUE(MID(H130,FIND("/",H130)+1,FIND("/",H130,FIND("/",H130)+1)-FIND("/",H130)-1)))</f>
        <v>6</v>
      </c>
      <c r="AC130" s="7" t="n">
        <f aca="false">IF(H130="","",VALUE(MID(H130,FIND("/",H130,FIND("/",H130)+1)+1,LEN(H130)-FIND("/",H130,FIND("/",H130)+1))))</f>
        <v>21</v>
      </c>
      <c r="AD130" s="11" t="n">
        <f aca="false">IF(OR(H130="",AA130=""),"",IFERROR(INDEX('لیست‌ها'!$Q$3:$Q$53,MATCH(AA130,'لیست‌ها'!$P$3:$P$53,0))+IF(AB130&lt;=6,(AB130-1)*31+AC130,IF(AB130&lt;=11,186+(AB130-7)*30+AC130,336+AC130))-1,""))</f>
        <v>46277</v>
      </c>
      <c r="AE130" s="7" t="str">
        <f aca="false">IF(P130="","",VALUE(LEFT(P130,FIND("/",P130)-1)))</f>
        <v/>
      </c>
      <c r="AF130" s="7" t="str">
        <f aca="false">IF(P130="","",VALUE(MID(P130,FIND("/",P130)+1,FIND("/",P130,FIND("/",P130)+1)-FIND("/",P130)-1)))</f>
        <v/>
      </c>
      <c r="AG130" s="7" t="str">
        <f aca="false">IF(P130="","",VALUE(MID(P130,FIND("/",P130,FIND("/",P130)+1)+1,LEN(P130)-FIND("/",P130,FIND("/",P130)+1))))</f>
        <v/>
      </c>
      <c r="AH130" s="7" t="str">
        <f aca="false">IF(OR(P130="",AE130=""),"",IFERROR(INDEX('لیست‌ها'!$Q$3:$Q$53,MATCH(AE130,'لیست‌ها'!$P$3:$P$53,0))+IF(AF130&lt;=6,(AF130-1)*31+AG130,IF(AF130&lt;=11,186+(AF130-7)*30+AG130,336+AG130))-1,""))</f>
        <v/>
      </c>
      <c r="AI130" s="7" t="str">
        <f aca="false">IF(W130="","",W130&amp;"-"&amp;TEXT(X130,"00"))</f>
        <v>1405-05</v>
      </c>
      <c r="AJ130" s="7" t="n">
        <f aca="false">IF(W130="","",W130*12+X130)</f>
        <v>16865</v>
      </c>
      <c r="AK130" s="7" t="n">
        <f aca="false">IF(U130="تاخیر",V130+ROW()/100000,"")</f>
        <v>18.00121</v>
      </c>
    </row>
    <row r="131" customFormat="false" ht="15" hidden="false" customHeight="false" outlineLevel="0" collapsed="false">
      <c r="A131" s="7" t="n">
        <f aca="false">IF(B131="","",ROW()-3)</f>
        <v>128</v>
      </c>
      <c r="B131" s="8" t="s">
        <v>310</v>
      </c>
      <c r="C131" s="8" t="s">
        <v>38</v>
      </c>
      <c r="D131" s="8" t="s">
        <v>47</v>
      </c>
      <c r="E131" s="9" t="s">
        <v>311</v>
      </c>
      <c r="F131" s="9" t="s">
        <v>308</v>
      </c>
      <c r="G131" s="8" t="s">
        <v>309</v>
      </c>
      <c r="H131" s="8" t="s">
        <v>230</v>
      </c>
      <c r="I131" s="8" t="s">
        <v>54</v>
      </c>
      <c r="J131" s="9"/>
      <c r="K131" s="8"/>
      <c r="L131" s="8" t="s">
        <v>312</v>
      </c>
      <c r="M131" s="8" t="s">
        <v>56</v>
      </c>
      <c r="N131" s="8"/>
      <c r="O131" s="8"/>
      <c r="P131" s="8"/>
      <c r="Q131" s="8"/>
      <c r="R131" s="9"/>
      <c r="S131" s="8"/>
      <c r="T131" s="9"/>
      <c r="U131" s="10" t="str">
        <f aca="true">IF(B131="","",IF(OR(P131&lt;&gt;"",I131="می‌باشد"),"بسته",IF(AND(L131&lt;&gt;"",W131=""),"خطای فرمت تاریخ ایجاد",IF(AND(H131&lt;&gt;"",AA131=""),"خطای فرمت مهلت",IF(AND(H131&lt;&gt;"",AD131&lt;&gt;"",TODAY()&gt;AD131),"تاخیر",IF(L131&lt;&gt;"","در حال انجام",""))))))</f>
        <v>بسته</v>
      </c>
      <c r="V131" s="7" t="n">
        <f aca="true">IF(U131="تاخیر",TODAY()-AD131,IF(AND(U131="بسته",AH131&lt;&gt;"",AD131&lt;&gt;"",AH131&gt;AD131),AH131-AD131,0))</f>
        <v>0</v>
      </c>
      <c r="W131" s="7" t="n">
        <f aca="false">IF(L131="","",VALUE(LEFT(L131,FIND("/",L131)-1)))</f>
        <v>1405</v>
      </c>
      <c r="X131" s="7" t="n">
        <f aca="false">IF(L131="","",VALUE(MID(L131,FIND("/",L131)+1,FIND("/",L131,FIND("/",L131)+1)-FIND("/",L131)-1)))</f>
        <v>5</v>
      </c>
      <c r="Y131" s="7" t="n">
        <f aca="false">IF(L131="","",VALUE(MID(L131,FIND("/",L131,FIND("/",L131)+1)+1,LEN(L131)-FIND("/",L131,FIND("/",L131)+1))))</f>
        <v>6</v>
      </c>
      <c r="Z131" s="11" t="n">
        <f aca="false">IF(OR(L131="",W131=""),"",IFERROR(INDEX('لیست‌ها'!$Q$3:$Q$53,MATCH(W131,'لیست‌ها'!$P$3:$P$53,0))+IF(X131&lt;=6,(X131-1)*31+Y131,IF(X131&lt;=11,186+(X131-7)*30+Y131,336+Y131))-1,""))</f>
        <v>46231</v>
      </c>
      <c r="AA131" s="7" t="n">
        <f aca="false">IF(H131="","",VALUE(LEFT(H131,FIND("/",H131)-1)))</f>
        <v>1405</v>
      </c>
      <c r="AB131" s="7" t="n">
        <f aca="false">IF(H131="","",VALUE(MID(H131,FIND("/",H131)+1,FIND("/",H131,FIND("/",H131)+1)-FIND("/",H131)-1)))</f>
        <v>5</v>
      </c>
      <c r="AC131" s="7" t="n">
        <f aca="false">IF(H131="","",VALUE(MID(H131,FIND("/",H131,FIND("/",H131)+1)+1,LEN(H131)-FIND("/",H131,FIND("/",H131)+1))))</f>
        <v>31</v>
      </c>
      <c r="AD131" s="11" t="n">
        <f aca="false">IF(OR(H131="",AA131=""),"",IFERROR(INDEX('لیست‌ها'!$Q$3:$Q$53,MATCH(AA131,'لیست‌ها'!$P$3:$P$53,0))+IF(AB131&lt;=6,(AB131-1)*31+AC131,IF(AB131&lt;=11,186+(AB131-7)*30+AC131,336+AC131))-1,""))</f>
        <v>46256</v>
      </c>
      <c r="AE131" s="7" t="str">
        <f aca="false">IF(P131="","",VALUE(LEFT(P131,FIND("/",P131)-1)))</f>
        <v/>
      </c>
      <c r="AF131" s="7" t="str">
        <f aca="false">IF(P131="","",VALUE(MID(P131,FIND("/",P131)+1,FIND("/",P131,FIND("/",P131)+1)-FIND("/",P131)-1)))</f>
        <v/>
      </c>
      <c r="AG131" s="7" t="str">
        <f aca="false">IF(P131="","",VALUE(MID(P131,FIND("/",P131,FIND("/",P131)+1)+1,LEN(P131)-FIND("/",P131,FIND("/",P131)+1))))</f>
        <v/>
      </c>
      <c r="AH131" s="7" t="str">
        <f aca="false">IF(OR(P131="",AE131=""),"",IFERROR(INDEX('لیست‌ها'!$Q$3:$Q$53,MATCH(AE131,'لیست‌ها'!$P$3:$P$53,0))+IF(AF131&lt;=6,(AF131-1)*31+AG131,IF(AF131&lt;=11,186+(AF131-7)*30+AG131,336+AG131))-1,""))</f>
        <v/>
      </c>
      <c r="AI131" s="7" t="str">
        <f aca="false">IF(W131="","",W131&amp;"-"&amp;TEXT(X131,"00"))</f>
        <v>1405-05</v>
      </c>
      <c r="AJ131" s="7" t="n">
        <f aca="false">IF(W131="","",W131*12+X131)</f>
        <v>16865</v>
      </c>
      <c r="AK131" s="7" t="str">
        <f aca="false">IF(U131="تاخیر",V131+ROW()/100000,"")</f>
        <v/>
      </c>
    </row>
    <row r="132" customFormat="false" ht="15" hidden="false" customHeight="false" outlineLevel="0" collapsed="false">
      <c r="A132" s="7" t="n">
        <f aca="false">IF(B132="","",ROW()-3)</f>
        <v>129</v>
      </c>
      <c r="B132" s="8" t="s">
        <v>305</v>
      </c>
      <c r="C132" s="8" t="s">
        <v>46</v>
      </c>
      <c r="D132" s="8" t="s">
        <v>306</v>
      </c>
      <c r="E132" s="9" t="s">
        <v>307</v>
      </c>
      <c r="F132" s="9" t="s">
        <v>308</v>
      </c>
      <c r="G132" s="8" t="s">
        <v>309</v>
      </c>
      <c r="H132" s="8"/>
      <c r="I132" s="8"/>
      <c r="J132" s="9"/>
      <c r="K132" s="8"/>
      <c r="L132" s="8" t="s">
        <v>213</v>
      </c>
      <c r="M132" s="8" t="s">
        <v>56</v>
      </c>
      <c r="N132" s="8"/>
      <c r="O132" s="8"/>
      <c r="P132" s="8"/>
      <c r="Q132" s="8"/>
      <c r="R132" s="9"/>
      <c r="S132" s="8"/>
      <c r="T132" s="9"/>
      <c r="U132" s="10" t="str">
        <f aca="true">IF(B132="","",IF(OR(P132&lt;&gt;"",I132="می‌باشد"),"بسته",IF(AND(L132&lt;&gt;"",W132=""),"خطای فرمت تاریخ ایجاد",IF(AND(H132&lt;&gt;"",AA132=""),"خطای فرمت مهلت",IF(AND(H132&lt;&gt;"",AD132&lt;&gt;"",TODAY()&gt;AD132),"تاخیر",IF(L132&lt;&gt;"","در حال انجام",""))))))</f>
        <v>در حال انجام</v>
      </c>
      <c r="V132" s="7" t="n">
        <f aca="true">IF(U132="تاخیر",TODAY()-AD132,IF(AND(U132="بسته",AH132&lt;&gt;"",AD132&lt;&gt;"",AH132&gt;AD132),AH132-AD132,0))</f>
        <v>0</v>
      </c>
      <c r="W132" s="7" t="n">
        <f aca="false">IF(L132="","",VALUE(LEFT(L132,FIND("/",L132)-1)))</f>
        <v>1405</v>
      </c>
      <c r="X132" s="7" t="n">
        <f aca="false">IF(L132="","",VALUE(MID(L132,FIND("/",L132)+1,FIND("/",L132,FIND("/",L132)+1)-FIND("/",L132)-1)))</f>
        <v>5</v>
      </c>
      <c r="Y132" s="7" t="n">
        <f aca="false">IF(L132="","",VALUE(MID(L132,FIND("/",L132,FIND("/",L132)+1)+1,LEN(L132)-FIND("/",L132,FIND("/",L132)+1))))</f>
        <v>7</v>
      </c>
      <c r="Z132" s="11" t="n">
        <f aca="false">IF(OR(L132="",W132=""),"",IFERROR(INDEX('لیست‌ها'!$Q$3:$Q$53,MATCH(W132,'لیست‌ها'!$P$3:$P$53,0))+IF(X132&lt;=6,(X132-1)*31+Y132,IF(X132&lt;=11,186+(X132-7)*30+Y132,336+Y132))-1,""))</f>
        <v>46232</v>
      </c>
      <c r="AA132" s="7" t="str">
        <f aca="false">IF(H132="","",VALUE(LEFT(H132,FIND("/",H132)-1)))</f>
        <v/>
      </c>
      <c r="AB132" s="7" t="str">
        <f aca="false">IF(H132="","",VALUE(MID(H132,FIND("/",H132)+1,FIND("/",H132,FIND("/",H132)+1)-FIND("/",H132)-1)))</f>
        <v/>
      </c>
      <c r="AC132" s="7" t="str">
        <f aca="false">IF(H132="","",VALUE(MID(H132,FIND("/",H132,FIND("/",H132)+1)+1,LEN(H132)-FIND("/",H132,FIND("/",H132)+1))))</f>
        <v/>
      </c>
      <c r="AD132" s="7" t="str">
        <f aca="false">IF(OR(H132="",AA132=""),"",IFERROR(INDEX('لیست‌ها'!$Q$3:$Q$53,MATCH(AA132,'لیست‌ها'!$P$3:$P$53,0))+IF(AB132&lt;=6,(AB132-1)*31+AC132,IF(AB132&lt;=11,186+(AB132-7)*30+AC132,336+AC132))-1,""))</f>
        <v/>
      </c>
      <c r="AE132" s="7" t="str">
        <f aca="false">IF(P132="","",VALUE(LEFT(P132,FIND("/",P132)-1)))</f>
        <v/>
      </c>
      <c r="AF132" s="7" t="str">
        <f aca="false">IF(P132="","",VALUE(MID(P132,FIND("/",P132)+1,FIND("/",P132,FIND("/",P132)+1)-FIND("/",P132)-1)))</f>
        <v/>
      </c>
      <c r="AG132" s="7" t="str">
        <f aca="false">IF(P132="","",VALUE(MID(P132,FIND("/",P132,FIND("/",P132)+1)+1,LEN(P132)-FIND("/",P132,FIND("/",P132)+1))))</f>
        <v/>
      </c>
      <c r="AH132" s="7" t="str">
        <f aca="false">IF(OR(P132="",AE132=""),"",IFERROR(INDEX('لیست‌ها'!$Q$3:$Q$53,MATCH(AE132,'لیست‌ها'!$P$3:$P$53,0))+IF(AF132&lt;=6,(AF132-1)*31+AG132,IF(AF132&lt;=11,186+(AF132-7)*30+AG132,336+AG132))-1,""))</f>
        <v/>
      </c>
      <c r="AI132" s="7" t="str">
        <f aca="false">IF(W132="","",W132&amp;"-"&amp;TEXT(X132,"00"))</f>
        <v>1405-05</v>
      </c>
      <c r="AJ132" s="7" t="n">
        <f aca="false">IF(W132="","",W132*12+X132)</f>
        <v>16865</v>
      </c>
      <c r="AK132" s="7" t="str">
        <f aca="false">IF(U132="تاخیر",V132+ROW()/100000,"")</f>
        <v/>
      </c>
    </row>
    <row r="133" customFormat="false" ht="15" hidden="false" customHeight="false" outlineLevel="0" collapsed="false">
      <c r="A133" s="7" t="n">
        <f aca="false">IF(B133="","",ROW()-3)</f>
        <v>130</v>
      </c>
      <c r="B133" s="8" t="s">
        <v>365</v>
      </c>
      <c r="C133" s="8" t="s">
        <v>38</v>
      </c>
      <c r="D133" s="8" t="s">
        <v>47</v>
      </c>
      <c r="E133" s="9" t="s">
        <v>361</v>
      </c>
      <c r="F133" s="9" t="s">
        <v>308</v>
      </c>
      <c r="G133" s="8" t="s">
        <v>309</v>
      </c>
      <c r="H133" s="8" t="s">
        <v>315</v>
      </c>
      <c r="I133" s="8"/>
      <c r="J133" s="9"/>
      <c r="K133" s="8"/>
      <c r="L133" s="8" t="s">
        <v>213</v>
      </c>
      <c r="M133" s="8" t="s">
        <v>110</v>
      </c>
      <c r="N133" s="8"/>
      <c r="O133" s="8"/>
      <c r="P133" s="8"/>
      <c r="Q133" s="8"/>
      <c r="R133" s="9"/>
      <c r="S133" s="8"/>
      <c r="T133" s="9"/>
      <c r="U133" s="10" t="str">
        <f aca="true">IF(B133="","",IF(OR(P133&lt;&gt;"",I133="می‌باشد"),"بسته",IF(AND(L133&lt;&gt;"",W133=""),"خطای فرمت تاریخ ایجاد",IF(AND(H133&lt;&gt;"",AA133=""),"خطای فرمت مهلت",IF(AND(H133&lt;&gt;"",AD133&lt;&gt;"",TODAY()&gt;AD133),"تاخیر",IF(L133&lt;&gt;"","در حال انجام",""))))))</f>
        <v>تاخیر</v>
      </c>
      <c r="V133" s="7" t="n">
        <f aca="true">IF(U133="تاخیر",TODAY()-AD133,IF(AND(U133="بسته",AH133&lt;&gt;"",AD133&lt;&gt;"",AH133&gt;AD133),AH133-AD133,0))</f>
        <v>18</v>
      </c>
      <c r="W133" s="7" t="n">
        <f aca="false">IF(L133="","",VALUE(LEFT(L133,FIND("/",L133)-1)))</f>
        <v>1405</v>
      </c>
      <c r="X133" s="7" t="n">
        <f aca="false">IF(L133="","",VALUE(MID(L133,FIND("/",L133)+1,FIND("/",L133,FIND("/",L133)+1)-FIND("/",L133)-1)))</f>
        <v>5</v>
      </c>
      <c r="Y133" s="7" t="n">
        <f aca="false">IF(L133="","",VALUE(MID(L133,FIND("/",L133,FIND("/",L133)+1)+1,LEN(L133)-FIND("/",L133,FIND("/",L133)+1))))</f>
        <v>7</v>
      </c>
      <c r="Z133" s="11" t="n">
        <f aca="false">IF(OR(L133="",W133=""),"",IFERROR(INDEX('لیست‌ها'!$Q$3:$Q$53,MATCH(W133,'لیست‌ها'!$P$3:$P$53,0))+IF(X133&lt;=6,(X133-1)*31+Y133,IF(X133&lt;=11,186+(X133-7)*30+Y133,336+Y133))-1,""))</f>
        <v>46232</v>
      </c>
      <c r="AA133" s="7" t="n">
        <f aca="false">IF(H133="","",VALUE(LEFT(H133,FIND("/",H133)-1)))</f>
        <v>1405</v>
      </c>
      <c r="AB133" s="7" t="n">
        <f aca="false">IF(H133="","",VALUE(MID(H133,FIND("/",H133)+1,FIND("/",H133,FIND("/",H133)+1)-FIND("/",H133)-1)))</f>
        <v>6</v>
      </c>
      <c r="AC133" s="7" t="n">
        <f aca="false">IF(H133="","",VALUE(MID(H133,FIND("/",H133,FIND("/",H133)+1)+1,LEN(H133)-FIND("/",H133,FIND("/",H133)+1))))</f>
        <v>21</v>
      </c>
      <c r="AD133" s="11" t="n">
        <f aca="false">IF(OR(H133="",AA133=""),"",IFERROR(INDEX('لیست‌ها'!$Q$3:$Q$53,MATCH(AA133,'لیست‌ها'!$P$3:$P$53,0))+IF(AB133&lt;=6,(AB133-1)*31+AC133,IF(AB133&lt;=11,186+(AB133-7)*30+AC133,336+AC133))-1,""))</f>
        <v>46277</v>
      </c>
      <c r="AE133" s="7" t="str">
        <f aca="false">IF(P133="","",VALUE(LEFT(P133,FIND("/",P133)-1)))</f>
        <v/>
      </c>
      <c r="AF133" s="7" t="str">
        <f aca="false">IF(P133="","",VALUE(MID(P133,FIND("/",P133)+1,FIND("/",P133,FIND("/",P133)+1)-FIND("/",P133)-1)))</f>
        <v/>
      </c>
      <c r="AG133" s="7" t="str">
        <f aca="false">IF(P133="","",VALUE(MID(P133,FIND("/",P133,FIND("/",P133)+1)+1,LEN(P133)-FIND("/",P133,FIND("/",P133)+1))))</f>
        <v/>
      </c>
      <c r="AH133" s="7" t="str">
        <f aca="false">IF(OR(P133="",AE133=""),"",IFERROR(INDEX('لیست‌ها'!$Q$3:$Q$53,MATCH(AE133,'لیست‌ها'!$P$3:$P$53,0))+IF(AF133&lt;=6,(AF133-1)*31+AG133,IF(AF133&lt;=11,186+(AF133-7)*30+AG133,336+AG133))-1,""))</f>
        <v/>
      </c>
      <c r="AI133" s="7" t="str">
        <f aca="false">IF(W133="","",W133&amp;"-"&amp;TEXT(X133,"00"))</f>
        <v>1405-05</v>
      </c>
      <c r="AJ133" s="7" t="n">
        <f aca="false">IF(W133="","",W133*12+X133)</f>
        <v>16865</v>
      </c>
      <c r="AK133" s="7" t="n">
        <f aca="false">IF(U133="تاخیر",V133+ROW()/100000,"")</f>
        <v>18.00147</v>
      </c>
    </row>
    <row r="134" customFormat="false" ht="15" hidden="false" customHeight="false" outlineLevel="0" collapsed="false">
      <c r="A134" s="7" t="n">
        <f aca="false">IF(B134="","",ROW()-3)</f>
        <v>131</v>
      </c>
      <c r="B134" s="8" t="s">
        <v>363</v>
      </c>
      <c r="C134" s="8" t="s">
        <v>46</v>
      </c>
      <c r="D134" s="8" t="s">
        <v>306</v>
      </c>
      <c r="E134" s="9" t="s">
        <v>364</v>
      </c>
      <c r="F134" s="9" t="s">
        <v>308</v>
      </c>
      <c r="G134" s="8" t="s">
        <v>309</v>
      </c>
      <c r="H134" s="8" t="s">
        <v>315</v>
      </c>
      <c r="I134" s="8" t="s">
        <v>54</v>
      </c>
      <c r="J134" s="9"/>
      <c r="K134" s="8"/>
      <c r="L134" s="8" t="s">
        <v>213</v>
      </c>
      <c r="M134" s="8" t="s">
        <v>56</v>
      </c>
      <c r="N134" s="8"/>
      <c r="O134" s="8"/>
      <c r="P134" s="8"/>
      <c r="Q134" s="8"/>
      <c r="R134" s="9"/>
      <c r="S134" s="8"/>
      <c r="T134" s="9"/>
      <c r="U134" s="10" t="str">
        <f aca="true">IF(B134="","",IF(OR(P134&lt;&gt;"",I134="می‌باشد"),"بسته",IF(AND(L134&lt;&gt;"",W134=""),"خطای فرمت تاریخ ایجاد",IF(AND(H134&lt;&gt;"",AA134=""),"خطای فرمت مهلت",IF(AND(H134&lt;&gt;"",AD134&lt;&gt;"",TODAY()&gt;AD134),"تاخیر",IF(L134&lt;&gt;"","در حال انجام",""))))))</f>
        <v>بسته</v>
      </c>
      <c r="V134" s="7" t="n">
        <f aca="true">IF(U134="تاخیر",TODAY()-AD134,IF(AND(U134="بسته",AH134&lt;&gt;"",AD134&lt;&gt;"",AH134&gt;AD134),AH134-AD134,0))</f>
        <v>0</v>
      </c>
      <c r="W134" s="7" t="n">
        <f aca="false">IF(L134="","",VALUE(LEFT(L134,FIND("/",L134)-1)))</f>
        <v>1405</v>
      </c>
      <c r="X134" s="7" t="n">
        <f aca="false">IF(L134="","",VALUE(MID(L134,FIND("/",L134)+1,FIND("/",L134,FIND("/",L134)+1)-FIND("/",L134)-1)))</f>
        <v>5</v>
      </c>
      <c r="Y134" s="7" t="n">
        <f aca="false">IF(L134="","",VALUE(MID(L134,FIND("/",L134,FIND("/",L134)+1)+1,LEN(L134)-FIND("/",L134,FIND("/",L134)+1))))</f>
        <v>7</v>
      </c>
      <c r="Z134" s="11" t="n">
        <f aca="false">IF(OR(L134="",W134=""),"",IFERROR(INDEX('لیست‌ها'!$Q$3:$Q$53,MATCH(W134,'لیست‌ها'!$P$3:$P$53,0))+IF(X134&lt;=6,(X134-1)*31+Y134,IF(X134&lt;=11,186+(X134-7)*30+Y134,336+Y134))-1,""))</f>
        <v>46232</v>
      </c>
      <c r="AA134" s="7" t="n">
        <f aca="false">IF(H134="","",VALUE(LEFT(H134,FIND("/",H134)-1)))</f>
        <v>1405</v>
      </c>
      <c r="AB134" s="7" t="n">
        <f aca="false">IF(H134="","",VALUE(MID(H134,FIND("/",H134)+1,FIND("/",H134,FIND("/",H134)+1)-FIND("/",H134)-1)))</f>
        <v>6</v>
      </c>
      <c r="AC134" s="7" t="n">
        <f aca="false">IF(H134="","",VALUE(MID(H134,FIND("/",H134,FIND("/",H134)+1)+1,LEN(H134)-FIND("/",H134,FIND("/",H134)+1))))</f>
        <v>21</v>
      </c>
      <c r="AD134" s="11" t="n">
        <f aca="false">IF(OR(H134="",AA134=""),"",IFERROR(INDEX('لیست‌ها'!$Q$3:$Q$53,MATCH(AA134,'لیست‌ها'!$P$3:$P$53,0))+IF(AB134&lt;=6,(AB134-1)*31+AC134,IF(AB134&lt;=11,186+(AB134-7)*30+AC134,336+AC134))-1,""))</f>
        <v>46277</v>
      </c>
      <c r="AE134" s="7" t="str">
        <f aca="false">IF(P134="","",VALUE(LEFT(P134,FIND("/",P134)-1)))</f>
        <v/>
      </c>
      <c r="AF134" s="7" t="str">
        <f aca="false">IF(P134="","",VALUE(MID(P134,FIND("/",P134)+1,FIND("/",P134,FIND("/",P134)+1)-FIND("/",P134)-1)))</f>
        <v/>
      </c>
      <c r="AG134" s="7" t="str">
        <f aca="false">IF(P134="","",VALUE(MID(P134,FIND("/",P134,FIND("/",P134)+1)+1,LEN(P134)-FIND("/",P134,FIND("/",P134)+1))))</f>
        <v/>
      </c>
      <c r="AH134" s="7" t="str">
        <f aca="false">IF(OR(P134="",AE134=""),"",IFERROR(INDEX('لیست‌ها'!$Q$3:$Q$53,MATCH(AE134,'لیست‌ها'!$P$3:$P$53,0))+IF(AF134&lt;=6,(AF134-1)*31+AG134,IF(AF134&lt;=11,186+(AF134-7)*30+AG134,336+AG134))-1,""))</f>
        <v/>
      </c>
      <c r="AI134" s="7" t="str">
        <f aca="false">IF(W134="","",W134&amp;"-"&amp;TEXT(X134,"00"))</f>
        <v>1405-05</v>
      </c>
      <c r="AJ134" s="7" t="n">
        <f aca="false">IF(W134="","",W134*12+X134)</f>
        <v>16865</v>
      </c>
      <c r="AK134" s="7" t="str">
        <f aca="false">IF(U134="تاخیر",V134+ROW()/100000,"")</f>
        <v/>
      </c>
    </row>
    <row r="135" customFormat="false" ht="15" hidden="false" customHeight="false" outlineLevel="0" collapsed="false">
      <c r="A135" s="7" t="n">
        <f aca="false">IF(B135="","",ROW()-3)</f>
        <v>132</v>
      </c>
      <c r="B135" s="8" t="s">
        <v>362</v>
      </c>
      <c r="C135" s="8" t="s">
        <v>46</v>
      </c>
      <c r="D135" s="8" t="s">
        <v>306</v>
      </c>
      <c r="E135" s="9" t="s">
        <v>307</v>
      </c>
      <c r="F135" s="9" t="s">
        <v>308</v>
      </c>
      <c r="G135" s="8" t="s">
        <v>309</v>
      </c>
      <c r="H135" s="8" t="s">
        <v>315</v>
      </c>
      <c r="I135" s="8"/>
      <c r="J135" s="9"/>
      <c r="K135" s="8"/>
      <c r="L135" s="8" t="s">
        <v>213</v>
      </c>
      <c r="M135" s="8" t="s">
        <v>110</v>
      </c>
      <c r="N135" s="8"/>
      <c r="O135" s="8"/>
      <c r="P135" s="8"/>
      <c r="Q135" s="8"/>
      <c r="R135" s="9"/>
      <c r="S135" s="8"/>
      <c r="T135" s="9"/>
      <c r="U135" s="10" t="str">
        <f aca="true">IF(B135="","",IF(OR(P135&lt;&gt;"",I135="می‌باشد"),"بسته",IF(AND(L135&lt;&gt;"",W135=""),"خطای فرمت تاریخ ایجاد",IF(AND(H135&lt;&gt;"",AA135=""),"خطای فرمت مهلت",IF(AND(H135&lt;&gt;"",AD135&lt;&gt;"",TODAY()&gt;AD135),"تاخیر",IF(L135&lt;&gt;"","در حال انجام",""))))))</f>
        <v>تاخیر</v>
      </c>
      <c r="V135" s="7" t="n">
        <f aca="true">IF(U135="تاخیر",TODAY()-AD135,IF(AND(U135="بسته",AH135&lt;&gt;"",AD135&lt;&gt;"",AH135&gt;AD135),AH135-AD135,0))</f>
        <v>18</v>
      </c>
      <c r="W135" s="7" t="n">
        <f aca="false">IF(L135="","",VALUE(LEFT(L135,FIND("/",L135)-1)))</f>
        <v>1405</v>
      </c>
      <c r="X135" s="7" t="n">
        <f aca="false">IF(L135="","",VALUE(MID(L135,FIND("/",L135)+1,FIND("/",L135,FIND("/",L135)+1)-FIND("/",L135)-1)))</f>
        <v>5</v>
      </c>
      <c r="Y135" s="7" t="n">
        <f aca="false">IF(L135="","",VALUE(MID(L135,FIND("/",L135,FIND("/",L135)+1)+1,LEN(L135)-FIND("/",L135,FIND("/",L135)+1))))</f>
        <v>7</v>
      </c>
      <c r="Z135" s="11" t="n">
        <f aca="false">IF(OR(L135="",W135=""),"",IFERROR(INDEX('لیست‌ها'!$Q$3:$Q$53,MATCH(W135,'لیست‌ها'!$P$3:$P$53,0))+IF(X135&lt;=6,(X135-1)*31+Y135,IF(X135&lt;=11,186+(X135-7)*30+Y135,336+Y135))-1,""))</f>
        <v>46232</v>
      </c>
      <c r="AA135" s="7" t="n">
        <f aca="false">IF(H135="","",VALUE(LEFT(H135,FIND("/",H135)-1)))</f>
        <v>1405</v>
      </c>
      <c r="AB135" s="7" t="n">
        <f aca="false">IF(H135="","",VALUE(MID(H135,FIND("/",H135)+1,FIND("/",H135,FIND("/",H135)+1)-FIND("/",H135)-1)))</f>
        <v>6</v>
      </c>
      <c r="AC135" s="7" t="n">
        <f aca="false">IF(H135="","",VALUE(MID(H135,FIND("/",H135,FIND("/",H135)+1)+1,LEN(H135)-FIND("/",H135,FIND("/",H135)+1))))</f>
        <v>21</v>
      </c>
      <c r="AD135" s="11" t="n">
        <f aca="false">IF(OR(H135="",AA135=""),"",IFERROR(INDEX('لیست‌ها'!$Q$3:$Q$53,MATCH(AA135,'لیست‌ها'!$P$3:$P$53,0))+IF(AB135&lt;=6,(AB135-1)*31+AC135,IF(AB135&lt;=11,186+(AB135-7)*30+AC135,336+AC135))-1,""))</f>
        <v>46277</v>
      </c>
      <c r="AE135" s="7" t="str">
        <f aca="false">IF(P135="","",VALUE(LEFT(P135,FIND("/",P135)-1)))</f>
        <v/>
      </c>
      <c r="AF135" s="7" t="str">
        <f aca="false">IF(P135="","",VALUE(MID(P135,FIND("/",P135)+1,FIND("/",P135,FIND("/",P135)+1)-FIND("/",P135)-1)))</f>
        <v/>
      </c>
      <c r="AG135" s="7" t="str">
        <f aca="false">IF(P135="","",VALUE(MID(P135,FIND("/",P135,FIND("/",P135)+1)+1,LEN(P135)-FIND("/",P135,FIND("/",P135)+1))))</f>
        <v/>
      </c>
      <c r="AH135" s="7" t="str">
        <f aca="false">IF(OR(P135="",AE135=""),"",IFERROR(INDEX('لیست‌ها'!$Q$3:$Q$53,MATCH(AE135,'لیست‌ها'!$P$3:$P$53,0))+IF(AF135&lt;=6,(AF135-1)*31+AG135,IF(AF135&lt;=11,186+(AF135-7)*30+AG135,336+AG135))-1,""))</f>
        <v/>
      </c>
      <c r="AI135" s="7" t="str">
        <f aca="false">IF(W135="","",W135&amp;"-"&amp;TEXT(X135,"00"))</f>
        <v>1405-05</v>
      </c>
      <c r="AJ135" s="7" t="n">
        <f aca="false">IF(W135="","",W135*12+X135)</f>
        <v>16865</v>
      </c>
      <c r="AK135" s="7" t="n">
        <f aca="false">IF(U135="تاخیر",V135+ROW()/100000,"")</f>
        <v>18.00145</v>
      </c>
    </row>
    <row r="136" customFormat="false" ht="15" hidden="false" customHeight="false" outlineLevel="0" collapsed="false">
      <c r="A136" s="7" t="n">
        <f aca="false">IF(B136="","",ROW()-3)</f>
        <v>133</v>
      </c>
      <c r="B136" s="8" t="s">
        <v>360</v>
      </c>
      <c r="C136" s="8" t="s">
        <v>38</v>
      </c>
      <c r="D136" s="8" t="s">
        <v>47</v>
      </c>
      <c r="E136" s="9" t="s">
        <v>361</v>
      </c>
      <c r="F136" s="9" t="s">
        <v>308</v>
      </c>
      <c r="G136" s="8" t="s">
        <v>309</v>
      </c>
      <c r="H136" s="8" t="s">
        <v>315</v>
      </c>
      <c r="I136" s="8" t="s">
        <v>54</v>
      </c>
      <c r="J136" s="9"/>
      <c r="K136" s="8"/>
      <c r="L136" s="8" t="s">
        <v>213</v>
      </c>
      <c r="M136" s="8" t="s">
        <v>56</v>
      </c>
      <c r="N136" s="8"/>
      <c r="O136" s="8"/>
      <c r="P136" s="8"/>
      <c r="Q136" s="8"/>
      <c r="R136" s="9"/>
      <c r="S136" s="8"/>
      <c r="T136" s="9"/>
      <c r="U136" s="10" t="str">
        <f aca="true">IF(B136="","",IF(OR(P136&lt;&gt;"",I136="می‌باشد"),"بسته",IF(AND(L136&lt;&gt;"",W136=""),"خطای فرمت تاریخ ایجاد",IF(AND(H136&lt;&gt;"",AA136=""),"خطای فرمت مهلت",IF(AND(H136&lt;&gt;"",AD136&lt;&gt;"",TODAY()&gt;AD136),"تاخیر",IF(L136&lt;&gt;"","در حال انجام",""))))))</f>
        <v>بسته</v>
      </c>
      <c r="V136" s="7" t="n">
        <f aca="true">IF(U136="تاخیر",TODAY()-AD136,IF(AND(U136="بسته",AH136&lt;&gt;"",AD136&lt;&gt;"",AH136&gt;AD136),AH136-AD136,0))</f>
        <v>0</v>
      </c>
      <c r="W136" s="7" t="n">
        <f aca="false">IF(L136="","",VALUE(LEFT(L136,FIND("/",L136)-1)))</f>
        <v>1405</v>
      </c>
      <c r="X136" s="7" t="n">
        <f aca="false">IF(L136="","",VALUE(MID(L136,FIND("/",L136)+1,FIND("/",L136,FIND("/",L136)+1)-FIND("/",L136)-1)))</f>
        <v>5</v>
      </c>
      <c r="Y136" s="7" t="n">
        <f aca="false">IF(L136="","",VALUE(MID(L136,FIND("/",L136,FIND("/",L136)+1)+1,LEN(L136)-FIND("/",L136,FIND("/",L136)+1))))</f>
        <v>7</v>
      </c>
      <c r="Z136" s="11" t="n">
        <f aca="false">IF(OR(L136="",W136=""),"",IFERROR(INDEX('لیست‌ها'!$Q$3:$Q$53,MATCH(W136,'لیست‌ها'!$P$3:$P$53,0))+IF(X136&lt;=6,(X136-1)*31+Y136,IF(X136&lt;=11,186+(X136-7)*30+Y136,336+Y136))-1,""))</f>
        <v>46232</v>
      </c>
      <c r="AA136" s="7" t="n">
        <f aca="false">IF(H136="","",VALUE(LEFT(H136,FIND("/",H136)-1)))</f>
        <v>1405</v>
      </c>
      <c r="AB136" s="7" t="n">
        <f aca="false">IF(H136="","",VALUE(MID(H136,FIND("/",H136)+1,FIND("/",H136,FIND("/",H136)+1)-FIND("/",H136)-1)))</f>
        <v>6</v>
      </c>
      <c r="AC136" s="7" t="n">
        <f aca="false">IF(H136="","",VALUE(MID(H136,FIND("/",H136,FIND("/",H136)+1)+1,LEN(H136)-FIND("/",H136,FIND("/",H136)+1))))</f>
        <v>21</v>
      </c>
      <c r="AD136" s="11" t="n">
        <f aca="false">IF(OR(H136="",AA136=""),"",IFERROR(INDEX('لیست‌ها'!$Q$3:$Q$53,MATCH(AA136,'لیست‌ها'!$P$3:$P$53,0))+IF(AB136&lt;=6,(AB136-1)*31+AC136,IF(AB136&lt;=11,186+(AB136-7)*30+AC136,336+AC136))-1,""))</f>
        <v>46277</v>
      </c>
      <c r="AE136" s="7" t="str">
        <f aca="false">IF(P136="","",VALUE(LEFT(P136,FIND("/",P136)-1)))</f>
        <v/>
      </c>
      <c r="AF136" s="7" t="str">
        <f aca="false">IF(P136="","",VALUE(MID(P136,FIND("/",P136)+1,FIND("/",P136,FIND("/",P136)+1)-FIND("/",P136)-1)))</f>
        <v/>
      </c>
      <c r="AG136" s="7" t="str">
        <f aca="false">IF(P136="","",VALUE(MID(P136,FIND("/",P136,FIND("/",P136)+1)+1,LEN(P136)-FIND("/",P136,FIND("/",P136)+1))))</f>
        <v/>
      </c>
      <c r="AH136" s="7" t="str">
        <f aca="false">IF(OR(P136="",AE136=""),"",IFERROR(INDEX('لیست‌ها'!$Q$3:$Q$53,MATCH(AE136,'لیست‌ها'!$P$3:$P$53,0))+IF(AF136&lt;=6,(AF136-1)*31+AG136,IF(AF136&lt;=11,186+(AF136-7)*30+AG136,336+AG136))-1,""))</f>
        <v/>
      </c>
      <c r="AI136" s="7" t="str">
        <f aca="false">IF(W136="","",W136&amp;"-"&amp;TEXT(X136,"00"))</f>
        <v>1405-05</v>
      </c>
      <c r="AJ136" s="7" t="n">
        <f aca="false">IF(W136="","",W136*12+X136)</f>
        <v>16865</v>
      </c>
      <c r="AK136" s="7" t="str">
        <f aca="false">IF(U136="تاخیر",V136+ROW()/100000,"")</f>
        <v/>
      </c>
    </row>
    <row r="137" customFormat="false" ht="15" hidden="false" customHeight="false" outlineLevel="0" collapsed="false">
      <c r="A137" s="7" t="n">
        <f aca="false">IF(B137="","",ROW()-3)</f>
        <v>134</v>
      </c>
      <c r="B137" s="8" t="s">
        <v>358</v>
      </c>
      <c r="C137" s="8" t="s">
        <v>46</v>
      </c>
      <c r="D137" s="8" t="s">
        <v>306</v>
      </c>
      <c r="E137" s="9" t="s">
        <v>359</v>
      </c>
      <c r="F137" s="9" t="s">
        <v>308</v>
      </c>
      <c r="G137" s="8" t="s">
        <v>309</v>
      </c>
      <c r="H137" s="8" t="s">
        <v>315</v>
      </c>
      <c r="I137" s="8"/>
      <c r="J137" s="9"/>
      <c r="K137" s="8"/>
      <c r="L137" s="8" t="s">
        <v>354</v>
      </c>
      <c r="M137" s="8" t="s">
        <v>110</v>
      </c>
      <c r="N137" s="8"/>
      <c r="O137" s="8"/>
      <c r="P137" s="8"/>
      <c r="Q137" s="8"/>
      <c r="R137" s="9"/>
      <c r="S137" s="8"/>
      <c r="T137" s="9"/>
      <c r="U137" s="10" t="str">
        <f aca="true">IF(B137="","",IF(OR(P137&lt;&gt;"",I137="می‌باشد"),"بسته",IF(AND(L137&lt;&gt;"",W137=""),"خطای فرمت تاریخ ایجاد",IF(AND(H137&lt;&gt;"",AA137=""),"خطای فرمت مهلت",IF(AND(H137&lt;&gt;"",AD137&lt;&gt;"",TODAY()&gt;AD137),"تاخیر",IF(L137&lt;&gt;"","در حال انجام",""))))))</f>
        <v>تاخیر</v>
      </c>
      <c r="V137" s="7" t="n">
        <f aca="true">IF(U137="تاخیر",TODAY()-AD137,IF(AND(U137="بسته",AH137&lt;&gt;"",AD137&lt;&gt;"",AH137&gt;AD137),AH137-AD137,0))</f>
        <v>18</v>
      </c>
      <c r="W137" s="7" t="n">
        <f aca="false">IF(L137="","",VALUE(LEFT(L137,FIND("/",L137)-1)))</f>
        <v>1405</v>
      </c>
      <c r="X137" s="7" t="n">
        <f aca="false">IF(L137="","",VALUE(MID(L137,FIND("/",L137)+1,FIND("/",L137,FIND("/",L137)+1)-FIND("/",L137)-1)))</f>
        <v>5</v>
      </c>
      <c r="Y137" s="7" t="n">
        <f aca="false">IF(L137="","",VALUE(MID(L137,FIND("/",L137,FIND("/",L137)+1)+1,LEN(L137)-FIND("/",L137,FIND("/",L137)+1))))</f>
        <v>10</v>
      </c>
      <c r="Z137" s="11" t="n">
        <f aca="false">IF(OR(L137="",W137=""),"",IFERROR(INDEX('لیست‌ها'!$Q$3:$Q$53,MATCH(W137,'لیست‌ها'!$P$3:$P$53,0))+IF(X137&lt;=6,(X137-1)*31+Y137,IF(X137&lt;=11,186+(X137-7)*30+Y137,336+Y137))-1,""))</f>
        <v>46235</v>
      </c>
      <c r="AA137" s="7" t="n">
        <f aca="false">IF(H137="","",VALUE(LEFT(H137,FIND("/",H137)-1)))</f>
        <v>1405</v>
      </c>
      <c r="AB137" s="7" t="n">
        <f aca="false">IF(H137="","",VALUE(MID(H137,FIND("/",H137)+1,FIND("/",H137,FIND("/",H137)+1)-FIND("/",H137)-1)))</f>
        <v>6</v>
      </c>
      <c r="AC137" s="7" t="n">
        <f aca="false">IF(H137="","",VALUE(MID(H137,FIND("/",H137,FIND("/",H137)+1)+1,LEN(H137)-FIND("/",H137,FIND("/",H137)+1))))</f>
        <v>21</v>
      </c>
      <c r="AD137" s="11" t="n">
        <f aca="false">IF(OR(H137="",AA137=""),"",IFERROR(INDEX('لیست‌ها'!$Q$3:$Q$53,MATCH(AA137,'لیست‌ها'!$P$3:$P$53,0))+IF(AB137&lt;=6,(AB137-1)*31+AC137,IF(AB137&lt;=11,186+(AB137-7)*30+AC137,336+AC137))-1,""))</f>
        <v>46277</v>
      </c>
      <c r="AE137" s="7" t="str">
        <f aca="false">IF(P137="","",VALUE(LEFT(P137,FIND("/",P137)-1)))</f>
        <v/>
      </c>
      <c r="AF137" s="7" t="str">
        <f aca="false">IF(P137="","",VALUE(MID(P137,FIND("/",P137)+1,FIND("/",P137,FIND("/",P137)+1)-FIND("/",P137)-1)))</f>
        <v/>
      </c>
      <c r="AG137" s="7" t="str">
        <f aca="false">IF(P137="","",VALUE(MID(P137,FIND("/",P137,FIND("/",P137)+1)+1,LEN(P137)-FIND("/",P137,FIND("/",P137)+1))))</f>
        <v/>
      </c>
      <c r="AH137" s="7" t="str">
        <f aca="false">IF(OR(P137="",AE137=""),"",IFERROR(INDEX('لیست‌ها'!$Q$3:$Q$53,MATCH(AE137,'لیست‌ها'!$P$3:$P$53,0))+IF(AF137&lt;=6,(AF137-1)*31+AG137,IF(AF137&lt;=11,186+(AF137-7)*30+AG137,336+AG137))-1,""))</f>
        <v/>
      </c>
      <c r="AI137" s="7" t="str">
        <f aca="false">IF(W137="","",W137&amp;"-"&amp;TEXT(X137,"00"))</f>
        <v>1405-05</v>
      </c>
      <c r="AJ137" s="7" t="n">
        <f aca="false">IF(W137="","",W137*12+X137)</f>
        <v>16865</v>
      </c>
      <c r="AK137" s="7" t="n">
        <f aca="false">IF(U137="تاخیر",V137+ROW()/100000,"")</f>
        <v>18.00143</v>
      </c>
    </row>
    <row r="138" customFormat="false" ht="15" hidden="false" customHeight="false" outlineLevel="0" collapsed="false">
      <c r="A138" s="7" t="n">
        <f aca="false">IF(B138="","",ROW()-3)</f>
        <v>135</v>
      </c>
      <c r="B138" s="8" t="s">
        <v>356</v>
      </c>
      <c r="C138" s="8" t="s">
        <v>38</v>
      </c>
      <c r="D138" s="8" t="s">
        <v>47</v>
      </c>
      <c r="E138" s="9" t="s">
        <v>357</v>
      </c>
      <c r="F138" s="9" t="s">
        <v>51</v>
      </c>
      <c r="G138" s="8" t="s">
        <v>52</v>
      </c>
      <c r="H138" s="8" t="s">
        <v>315</v>
      </c>
      <c r="I138" s="8" t="s">
        <v>54</v>
      </c>
      <c r="J138" s="9"/>
      <c r="K138" s="8"/>
      <c r="L138" s="8" t="s">
        <v>354</v>
      </c>
      <c r="M138" s="8" t="s">
        <v>56</v>
      </c>
      <c r="N138" s="8"/>
      <c r="O138" s="8"/>
      <c r="P138" s="8"/>
      <c r="Q138" s="8"/>
      <c r="R138" s="9"/>
      <c r="S138" s="8"/>
      <c r="T138" s="9"/>
      <c r="U138" s="10" t="str">
        <f aca="true">IF(B138="","",IF(OR(P138&lt;&gt;"",I138="می‌باشد"),"بسته",IF(AND(L138&lt;&gt;"",W138=""),"خطای فرمت تاریخ ایجاد",IF(AND(H138&lt;&gt;"",AA138=""),"خطای فرمت مهلت",IF(AND(H138&lt;&gt;"",AD138&lt;&gt;"",TODAY()&gt;AD138),"تاخیر",IF(L138&lt;&gt;"","در حال انجام",""))))))</f>
        <v>بسته</v>
      </c>
      <c r="V138" s="7" t="n">
        <f aca="true">IF(U138="تاخیر",TODAY()-AD138,IF(AND(U138="بسته",AH138&lt;&gt;"",AD138&lt;&gt;"",AH138&gt;AD138),AH138-AD138,0))</f>
        <v>0</v>
      </c>
      <c r="W138" s="7" t="n">
        <f aca="false">IF(L138="","",VALUE(LEFT(L138,FIND("/",L138)-1)))</f>
        <v>1405</v>
      </c>
      <c r="X138" s="7" t="n">
        <f aca="false">IF(L138="","",VALUE(MID(L138,FIND("/",L138)+1,FIND("/",L138,FIND("/",L138)+1)-FIND("/",L138)-1)))</f>
        <v>5</v>
      </c>
      <c r="Y138" s="7" t="n">
        <f aca="false">IF(L138="","",VALUE(MID(L138,FIND("/",L138,FIND("/",L138)+1)+1,LEN(L138)-FIND("/",L138,FIND("/",L138)+1))))</f>
        <v>10</v>
      </c>
      <c r="Z138" s="11" t="n">
        <f aca="false">IF(OR(L138="",W138=""),"",IFERROR(INDEX('لیست‌ها'!$Q$3:$Q$53,MATCH(W138,'لیست‌ها'!$P$3:$P$53,0))+IF(X138&lt;=6,(X138-1)*31+Y138,IF(X138&lt;=11,186+(X138-7)*30+Y138,336+Y138))-1,""))</f>
        <v>46235</v>
      </c>
      <c r="AA138" s="7" t="n">
        <f aca="false">IF(H138="","",VALUE(LEFT(H138,FIND("/",H138)-1)))</f>
        <v>1405</v>
      </c>
      <c r="AB138" s="7" t="n">
        <f aca="false">IF(H138="","",VALUE(MID(H138,FIND("/",H138)+1,FIND("/",H138,FIND("/",H138)+1)-FIND("/",H138)-1)))</f>
        <v>6</v>
      </c>
      <c r="AC138" s="7" t="n">
        <f aca="false">IF(H138="","",VALUE(MID(H138,FIND("/",H138,FIND("/",H138)+1)+1,LEN(H138)-FIND("/",H138,FIND("/",H138)+1))))</f>
        <v>21</v>
      </c>
      <c r="AD138" s="11" t="n">
        <f aca="false">IF(OR(H138="",AA138=""),"",IFERROR(INDEX('لیست‌ها'!$Q$3:$Q$53,MATCH(AA138,'لیست‌ها'!$P$3:$P$53,0))+IF(AB138&lt;=6,(AB138-1)*31+AC138,IF(AB138&lt;=11,186+(AB138-7)*30+AC138,336+AC138))-1,""))</f>
        <v>46277</v>
      </c>
      <c r="AE138" s="7" t="str">
        <f aca="false">IF(P138="","",VALUE(LEFT(P138,FIND("/",P138)-1)))</f>
        <v/>
      </c>
      <c r="AF138" s="7" t="str">
        <f aca="false">IF(P138="","",VALUE(MID(P138,FIND("/",P138)+1,FIND("/",P138,FIND("/",P138)+1)-FIND("/",P138)-1)))</f>
        <v/>
      </c>
      <c r="AG138" s="7" t="str">
        <f aca="false">IF(P138="","",VALUE(MID(P138,FIND("/",P138,FIND("/",P138)+1)+1,LEN(P138)-FIND("/",P138,FIND("/",P138)+1))))</f>
        <v/>
      </c>
      <c r="AH138" s="7" t="str">
        <f aca="false">IF(OR(P138="",AE138=""),"",IFERROR(INDEX('لیست‌ها'!$Q$3:$Q$53,MATCH(AE138,'لیست‌ها'!$P$3:$P$53,0))+IF(AF138&lt;=6,(AF138-1)*31+AG138,IF(AF138&lt;=11,186+(AF138-7)*30+AG138,336+AG138))-1,""))</f>
        <v/>
      </c>
      <c r="AI138" s="7" t="str">
        <f aca="false">IF(W138="","",W138&amp;"-"&amp;TEXT(X138,"00"))</f>
        <v>1405-05</v>
      </c>
      <c r="AJ138" s="7" t="n">
        <f aca="false">IF(W138="","",W138*12+X138)</f>
        <v>16865</v>
      </c>
      <c r="AK138" s="7" t="str">
        <f aca="false">IF(U138="تاخیر",V138+ROW()/100000,"")</f>
        <v/>
      </c>
    </row>
    <row r="139" customFormat="false" ht="15" hidden="false" customHeight="false" outlineLevel="0" collapsed="false">
      <c r="A139" s="7" t="n">
        <f aca="false">IF(B139="","",ROW()-3)</f>
        <v>136</v>
      </c>
      <c r="B139" s="8" t="s">
        <v>355</v>
      </c>
      <c r="C139" s="8" t="s">
        <v>38</v>
      </c>
      <c r="D139" s="8" t="s">
        <v>47</v>
      </c>
      <c r="E139" s="9" t="s">
        <v>60</v>
      </c>
      <c r="F139" s="9" t="s">
        <v>51</v>
      </c>
      <c r="G139" s="8" t="s">
        <v>52</v>
      </c>
      <c r="H139" s="8" t="s">
        <v>315</v>
      </c>
      <c r="I139" s="8" t="s">
        <v>54</v>
      </c>
      <c r="J139" s="9"/>
      <c r="K139" s="8"/>
      <c r="L139" s="8" t="s">
        <v>354</v>
      </c>
      <c r="M139" s="8" t="s">
        <v>56</v>
      </c>
      <c r="N139" s="8"/>
      <c r="O139" s="8"/>
      <c r="P139" s="8"/>
      <c r="Q139" s="8"/>
      <c r="R139" s="9"/>
      <c r="S139" s="8"/>
      <c r="T139" s="9"/>
      <c r="U139" s="10" t="str">
        <f aca="true">IF(B139="","",IF(OR(P139&lt;&gt;"",I139="می‌باشد"),"بسته",IF(AND(L139&lt;&gt;"",W139=""),"خطای فرمت تاریخ ایجاد",IF(AND(H139&lt;&gt;"",AA139=""),"خطای فرمت مهلت",IF(AND(H139&lt;&gt;"",AD139&lt;&gt;"",TODAY()&gt;AD139),"تاخیر",IF(L139&lt;&gt;"","در حال انجام",""))))))</f>
        <v>بسته</v>
      </c>
      <c r="V139" s="7" t="n">
        <f aca="true">IF(U139="تاخیر",TODAY()-AD139,IF(AND(U139="بسته",AH139&lt;&gt;"",AD139&lt;&gt;"",AH139&gt;AD139),AH139-AD139,0))</f>
        <v>0</v>
      </c>
      <c r="W139" s="7" t="n">
        <f aca="false">IF(L139="","",VALUE(LEFT(L139,FIND("/",L139)-1)))</f>
        <v>1405</v>
      </c>
      <c r="X139" s="7" t="n">
        <f aca="false">IF(L139="","",VALUE(MID(L139,FIND("/",L139)+1,FIND("/",L139,FIND("/",L139)+1)-FIND("/",L139)-1)))</f>
        <v>5</v>
      </c>
      <c r="Y139" s="7" t="n">
        <f aca="false">IF(L139="","",VALUE(MID(L139,FIND("/",L139,FIND("/",L139)+1)+1,LEN(L139)-FIND("/",L139,FIND("/",L139)+1))))</f>
        <v>10</v>
      </c>
      <c r="Z139" s="11" t="n">
        <f aca="false">IF(OR(L139="",W139=""),"",IFERROR(INDEX('لیست‌ها'!$Q$3:$Q$53,MATCH(W139,'لیست‌ها'!$P$3:$P$53,0))+IF(X139&lt;=6,(X139-1)*31+Y139,IF(X139&lt;=11,186+(X139-7)*30+Y139,336+Y139))-1,""))</f>
        <v>46235</v>
      </c>
      <c r="AA139" s="7" t="n">
        <f aca="false">IF(H139="","",VALUE(LEFT(H139,FIND("/",H139)-1)))</f>
        <v>1405</v>
      </c>
      <c r="AB139" s="7" t="n">
        <f aca="false">IF(H139="","",VALUE(MID(H139,FIND("/",H139)+1,FIND("/",H139,FIND("/",H139)+1)-FIND("/",H139)-1)))</f>
        <v>6</v>
      </c>
      <c r="AC139" s="7" t="n">
        <f aca="false">IF(H139="","",VALUE(MID(H139,FIND("/",H139,FIND("/",H139)+1)+1,LEN(H139)-FIND("/",H139,FIND("/",H139)+1))))</f>
        <v>21</v>
      </c>
      <c r="AD139" s="11" t="n">
        <f aca="false">IF(OR(H139="",AA139=""),"",IFERROR(INDEX('لیست‌ها'!$Q$3:$Q$53,MATCH(AA139,'لیست‌ها'!$P$3:$P$53,0))+IF(AB139&lt;=6,(AB139-1)*31+AC139,IF(AB139&lt;=11,186+(AB139-7)*30+AC139,336+AC139))-1,""))</f>
        <v>46277</v>
      </c>
      <c r="AE139" s="7" t="str">
        <f aca="false">IF(P139="","",VALUE(LEFT(P139,FIND("/",P139)-1)))</f>
        <v/>
      </c>
      <c r="AF139" s="7" t="str">
        <f aca="false">IF(P139="","",VALUE(MID(P139,FIND("/",P139)+1,FIND("/",P139,FIND("/",P139)+1)-FIND("/",P139)-1)))</f>
        <v/>
      </c>
      <c r="AG139" s="7" t="str">
        <f aca="false">IF(P139="","",VALUE(MID(P139,FIND("/",P139,FIND("/",P139)+1)+1,LEN(P139)-FIND("/",P139,FIND("/",P139)+1))))</f>
        <v/>
      </c>
      <c r="AH139" s="7" t="str">
        <f aca="false">IF(OR(P139="",AE139=""),"",IFERROR(INDEX('لیست‌ها'!$Q$3:$Q$53,MATCH(AE139,'لیست‌ها'!$P$3:$P$53,0))+IF(AF139&lt;=6,(AF139-1)*31+AG139,IF(AF139&lt;=11,186+(AF139-7)*30+AG139,336+AG139))-1,""))</f>
        <v/>
      </c>
      <c r="AI139" s="7" t="str">
        <f aca="false">IF(W139="","",W139&amp;"-"&amp;TEXT(X139,"00"))</f>
        <v>1405-05</v>
      </c>
      <c r="AJ139" s="7" t="n">
        <f aca="false">IF(W139="","",W139*12+X139)</f>
        <v>16865</v>
      </c>
      <c r="AK139" s="7" t="str">
        <f aca="false">IF(U139="تاخیر",V139+ROW()/100000,"")</f>
        <v/>
      </c>
    </row>
    <row r="140" customFormat="false" ht="15" hidden="false" customHeight="false" outlineLevel="0" collapsed="false">
      <c r="A140" s="7" t="n">
        <f aca="false">IF(B140="","",ROW()-3)</f>
        <v>137</v>
      </c>
      <c r="B140" s="8" t="s">
        <v>353</v>
      </c>
      <c r="C140" s="8" t="s">
        <v>38</v>
      </c>
      <c r="D140" s="8" t="s">
        <v>47</v>
      </c>
      <c r="E140" s="9" t="s">
        <v>63</v>
      </c>
      <c r="F140" s="9" t="s">
        <v>51</v>
      </c>
      <c r="G140" s="8" t="s">
        <v>52</v>
      </c>
      <c r="H140" s="8" t="s">
        <v>315</v>
      </c>
      <c r="I140" s="8" t="s">
        <v>54</v>
      </c>
      <c r="J140" s="9"/>
      <c r="K140" s="8"/>
      <c r="L140" s="8" t="s">
        <v>354</v>
      </c>
      <c r="M140" s="8" t="s">
        <v>56</v>
      </c>
      <c r="N140" s="8"/>
      <c r="O140" s="8"/>
      <c r="P140" s="8"/>
      <c r="Q140" s="8"/>
      <c r="R140" s="9"/>
      <c r="S140" s="8"/>
      <c r="T140" s="9"/>
      <c r="U140" s="10" t="str">
        <f aca="true">IF(B140="","",IF(OR(P140&lt;&gt;"",I140="می‌باشد"),"بسته",IF(AND(L140&lt;&gt;"",W140=""),"خطای فرمت تاریخ ایجاد",IF(AND(H140&lt;&gt;"",AA140=""),"خطای فرمت مهلت",IF(AND(H140&lt;&gt;"",AD140&lt;&gt;"",TODAY()&gt;AD140),"تاخیر",IF(L140&lt;&gt;"","در حال انجام",""))))))</f>
        <v>بسته</v>
      </c>
      <c r="V140" s="7" t="n">
        <f aca="true">IF(U140="تاخیر",TODAY()-AD140,IF(AND(U140="بسته",AH140&lt;&gt;"",AD140&lt;&gt;"",AH140&gt;AD140),AH140-AD140,0))</f>
        <v>0</v>
      </c>
      <c r="W140" s="7" t="n">
        <f aca="false">IF(L140="","",VALUE(LEFT(L140,FIND("/",L140)-1)))</f>
        <v>1405</v>
      </c>
      <c r="X140" s="7" t="n">
        <f aca="false">IF(L140="","",VALUE(MID(L140,FIND("/",L140)+1,FIND("/",L140,FIND("/",L140)+1)-FIND("/",L140)-1)))</f>
        <v>5</v>
      </c>
      <c r="Y140" s="7" t="n">
        <f aca="false">IF(L140="","",VALUE(MID(L140,FIND("/",L140,FIND("/",L140)+1)+1,LEN(L140)-FIND("/",L140,FIND("/",L140)+1))))</f>
        <v>10</v>
      </c>
      <c r="Z140" s="11" t="n">
        <f aca="false">IF(OR(L140="",W140=""),"",IFERROR(INDEX('لیست‌ها'!$Q$3:$Q$53,MATCH(W140,'لیست‌ها'!$P$3:$P$53,0))+IF(X140&lt;=6,(X140-1)*31+Y140,IF(X140&lt;=11,186+(X140-7)*30+Y140,336+Y140))-1,""))</f>
        <v>46235</v>
      </c>
      <c r="AA140" s="7" t="n">
        <f aca="false">IF(H140="","",VALUE(LEFT(H140,FIND("/",H140)-1)))</f>
        <v>1405</v>
      </c>
      <c r="AB140" s="7" t="n">
        <f aca="false">IF(H140="","",VALUE(MID(H140,FIND("/",H140)+1,FIND("/",H140,FIND("/",H140)+1)-FIND("/",H140)-1)))</f>
        <v>6</v>
      </c>
      <c r="AC140" s="7" t="n">
        <f aca="false">IF(H140="","",VALUE(MID(H140,FIND("/",H140,FIND("/",H140)+1)+1,LEN(H140)-FIND("/",H140,FIND("/",H140)+1))))</f>
        <v>21</v>
      </c>
      <c r="AD140" s="11" t="n">
        <f aca="false">IF(OR(H140="",AA140=""),"",IFERROR(INDEX('لیست‌ها'!$Q$3:$Q$53,MATCH(AA140,'لیست‌ها'!$P$3:$P$53,0))+IF(AB140&lt;=6,(AB140-1)*31+AC140,IF(AB140&lt;=11,186+(AB140-7)*30+AC140,336+AC140))-1,""))</f>
        <v>46277</v>
      </c>
      <c r="AE140" s="7" t="str">
        <f aca="false">IF(P140="","",VALUE(LEFT(P140,FIND("/",P140)-1)))</f>
        <v/>
      </c>
      <c r="AF140" s="7" t="str">
        <f aca="false">IF(P140="","",VALUE(MID(P140,FIND("/",P140)+1,FIND("/",P140,FIND("/",P140)+1)-FIND("/",P140)-1)))</f>
        <v/>
      </c>
      <c r="AG140" s="7" t="str">
        <f aca="false">IF(P140="","",VALUE(MID(P140,FIND("/",P140,FIND("/",P140)+1)+1,LEN(P140)-FIND("/",P140,FIND("/",P140)+1))))</f>
        <v/>
      </c>
      <c r="AH140" s="7" t="str">
        <f aca="false">IF(OR(P140="",AE140=""),"",IFERROR(INDEX('لیست‌ها'!$Q$3:$Q$53,MATCH(AE140,'لیست‌ها'!$P$3:$P$53,0))+IF(AF140&lt;=6,(AF140-1)*31+AG140,IF(AF140&lt;=11,186+(AF140-7)*30+AG140,336+AG140))-1,""))</f>
        <v/>
      </c>
      <c r="AI140" s="7" t="str">
        <f aca="false">IF(W140="","",W140&amp;"-"&amp;TEXT(X140,"00"))</f>
        <v>1405-05</v>
      </c>
      <c r="AJ140" s="7" t="n">
        <f aca="false">IF(W140="","",W140*12+X140)</f>
        <v>16865</v>
      </c>
      <c r="AK140" s="7" t="str">
        <f aca="false">IF(U140="تاخیر",V140+ROW()/100000,"")</f>
        <v/>
      </c>
    </row>
    <row r="141" customFormat="false" ht="15" hidden="false" customHeight="false" outlineLevel="0" collapsed="false">
      <c r="A141" s="7" t="n">
        <f aca="false">IF(B141="","",ROW()-3)</f>
        <v>138</v>
      </c>
      <c r="B141" s="8" t="s">
        <v>351</v>
      </c>
      <c r="C141" s="8" t="s">
        <v>38</v>
      </c>
      <c r="D141" s="8" t="s">
        <v>39</v>
      </c>
      <c r="E141" s="9" t="s">
        <v>352</v>
      </c>
      <c r="F141" s="9" t="s">
        <v>41</v>
      </c>
      <c r="G141" s="8" t="s">
        <v>42</v>
      </c>
      <c r="H141" s="8" t="s">
        <v>315</v>
      </c>
      <c r="I141" s="8" t="s">
        <v>54</v>
      </c>
      <c r="J141" s="9"/>
      <c r="K141" s="8"/>
      <c r="L141" s="8" t="s">
        <v>345</v>
      </c>
      <c r="M141" s="8" t="s">
        <v>56</v>
      </c>
      <c r="N141" s="8"/>
      <c r="O141" s="8"/>
      <c r="P141" s="8"/>
      <c r="Q141" s="8"/>
      <c r="R141" s="9"/>
      <c r="S141" s="8"/>
      <c r="T141" s="9"/>
      <c r="U141" s="10" t="str">
        <f aca="true">IF(B141="","",IF(OR(P141&lt;&gt;"",I141="می‌باشد"),"بسته",IF(AND(L141&lt;&gt;"",W141=""),"خطای فرمت تاریخ ایجاد",IF(AND(H141&lt;&gt;"",AA141=""),"خطای فرمت مهلت",IF(AND(H141&lt;&gt;"",AD141&lt;&gt;"",TODAY()&gt;AD141),"تاخیر",IF(L141&lt;&gt;"","در حال انجام",""))))))</f>
        <v>بسته</v>
      </c>
      <c r="V141" s="7" t="n">
        <f aca="true">IF(U141="تاخیر",TODAY()-AD141,IF(AND(U141="بسته",AH141&lt;&gt;"",AD141&lt;&gt;"",AH141&gt;AD141),AH141-AD141,0))</f>
        <v>0</v>
      </c>
      <c r="W141" s="7" t="n">
        <f aca="false">IF(L141="","",VALUE(LEFT(L141,FIND("/",L141)-1)))</f>
        <v>1405</v>
      </c>
      <c r="X141" s="7" t="n">
        <f aca="false">IF(L141="","",VALUE(MID(L141,FIND("/",L141)+1,FIND("/",L141,FIND("/",L141)+1)-FIND("/",L141)-1)))</f>
        <v>5</v>
      </c>
      <c r="Y141" s="7" t="n">
        <f aca="false">IF(L141="","",VALUE(MID(L141,FIND("/",L141,FIND("/",L141)+1)+1,LEN(L141)-FIND("/",L141,FIND("/",L141)+1))))</f>
        <v>11</v>
      </c>
      <c r="Z141" s="11" t="n">
        <f aca="false">IF(OR(L141="",W141=""),"",IFERROR(INDEX('لیست‌ها'!$Q$3:$Q$53,MATCH(W141,'لیست‌ها'!$P$3:$P$53,0))+IF(X141&lt;=6,(X141-1)*31+Y141,IF(X141&lt;=11,186+(X141-7)*30+Y141,336+Y141))-1,""))</f>
        <v>46236</v>
      </c>
      <c r="AA141" s="7" t="n">
        <f aca="false">IF(H141="","",VALUE(LEFT(H141,FIND("/",H141)-1)))</f>
        <v>1405</v>
      </c>
      <c r="AB141" s="7" t="n">
        <f aca="false">IF(H141="","",VALUE(MID(H141,FIND("/",H141)+1,FIND("/",H141,FIND("/",H141)+1)-FIND("/",H141)-1)))</f>
        <v>6</v>
      </c>
      <c r="AC141" s="7" t="n">
        <f aca="false">IF(H141="","",VALUE(MID(H141,FIND("/",H141,FIND("/",H141)+1)+1,LEN(H141)-FIND("/",H141,FIND("/",H141)+1))))</f>
        <v>21</v>
      </c>
      <c r="AD141" s="11" t="n">
        <f aca="false">IF(OR(H141="",AA141=""),"",IFERROR(INDEX('لیست‌ها'!$Q$3:$Q$53,MATCH(AA141,'لیست‌ها'!$P$3:$P$53,0))+IF(AB141&lt;=6,(AB141-1)*31+AC141,IF(AB141&lt;=11,186+(AB141-7)*30+AC141,336+AC141))-1,""))</f>
        <v>46277</v>
      </c>
      <c r="AE141" s="7" t="str">
        <f aca="false">IF(P141="","",VALUE(LEFT(P141,FIND("/",P141)-1)))</f>
        <v/>
      </c>
      <c r="AF141" s="7" t="str">
        <f aca="false">IF(P141="","",VALUE(MID(P141,FIND("/",P141)+1,FIND("/",P141,FIND("/",P141)+1)-FIND("/",P141)-1)))</f>
        <v/>
      </c>
      <c r="AG141" s="7" t="str">
        <f aca="false">IF(P141="","",VALUE(MID(P141,FIND("/",P141,FIND("/",P141)+1)+1,LEN(P141)-FIND("/",P141,FIND("/",P141)+1))))</f>
        <v/>
      </c>
      <c r="AH141" s="7" t="str">
        <f aca="false">IF(OR(P141="",AE141=""),"",IFERROR(INDEX('لیست‌ها'!$Q$3:$Q$53,MATCH(AE141,'لیست‌ها'!$P$3:$P$53,0))+IF(AF141&lt;=6,(AF141-1)*31+AG141,IF(AF141&lt;=11,186+(AF141-7)*30+AG141,336+AG141))-1,""))</f>
        <v/>
      </c>
      <c r="AI141" s="7" t="str">
        <f aca="false">IF(W141="","",W141&amp;"-"&amp;TEXT(X141,"00"))</f>
        <v>1405-05</v>
      </c>
      <c r="AJ141" s="7" t="n">
        <f aca="false">IF(W141="","",W141*12+X141)</f>
        <v>16865</v>
      </c>
      <c r="AK141" s="7" t="str">
        <f aca="false">IF(U141="تاخیر",V141+ROW()/100000,"")</f>
        <v/>
      </c>
    </row>
    <row r="142" customFormat="false" ht="15" hidden="false" customHeight="false" outlineLevel="0" collapsed="false">
      <c r="A142" s="7" t="n">
        <f aca="false">IF(B142="","",ROW()-3)</f>
        <v>139</v>
      </c>
      <c r="B142" s="8" t="s">
        <v>349</v>
      </c>
      <c r="C142" s="8" t="s">
        <v>38</v>
      </c>
      <c r="D142" s="8" t="s">
        <v>39</v>
      </c>
      <c r="E142" s="9" t="s">
        <v>350</v>
      </c>
      <c r="F142" s="9" t="s">
        <v>41</v>
      </c>
      <c r="G142" s="8" t="s">
        <v>42</v>
      </c>
      <c r="H142" s="8" t="s">
        <v>315</v>
      </c>
      <c r="I142" s="8" t="s">
        <v>54</v>
      </c>
      <c r="J142" s="9"/>
      <c r="K142" s="8"/>
      <c r="L142" s="8" t="s">
        <v>345</v>
      </c>
      <c r="M142" s="8" t="s">
        <v>56</v>
      </c>
      <c r="N142" s="8"/>
      <c r="O142" s="8"/>
      <c r="P142" s="8"/>
      <c r="Q142" s="8"/>
      <c r="R142" s="9"/>
      <c r="S142" s="8"/>
      <c r="T142" s="9"/>
      <c r="U142" s="10" t="str">
        <f aca="true">IF(B142="","",IF(OR(P142&lt;&gt;"",I142="می‌باشد"),"بسته",IF(AND(L142&lt;&gt;"",W142=""),"خطای فرمت تاریخ ایجاد",IF(AND(H142&lt;&gt;"",AA142=""),"خطای فرمت مهلت",IF(AND(H142&lt;&gt;"",AD142&lt;&gt;"",TODAY()&gt;AD142),"تاخیر",IF(L142&lt;&gt;"","در حال انجام",""))))))</f>
        <v>بسته</v>
      </c>
      <c r="V142" s="7" t="n">
        <f aca="true">IF(U142="تاخیر",TODAY()-AD142,IF(AND(U142="بسته",AH142&lt;&gt;"",AD142&lt;&gt;"",AH142&gt;AD142),AH142-AD142,0))</f>
        <v>0</v>
      </c>
      <c r="W142" s="7" t="n">
        <f aca="false">IF(L142="","",VALUE(LEFT(L142,FIND("/",L142)-1)))</f>
        <v>1405</v>
      </c>
      <c r="X142" s="7" t="n">
        <f aca="false">IF(L142="","",VALUE(MID(L142,FIND("/",L142)+1,FIND("/",L142,FIND("/",L142)+1)-FIND("/",L142)-1)))</f>
        <v>5</v>
      </c>
      <c r="Y142" s="7" t="n">
        <f aca="false">IF(L142="","",VALUE(MID(L142,FIND("/",L142,FIND("/",L142)+1)+1,LEN(L142)-FIND("/",L142,FIND("/",L142)+1))))</f>
        <v>11</v>
      </c>
      <c r="Z142" s="11" t="n">
        <f aca="false">IF(OR(L142="",W142=""),"",IFERROR(INDEX('لیست‌ها'!$Q$3:$Q$53,MATCH(W142,'لیست‌ها'!$P$3:$P$53,0))+IF(X142&lt;=6,(X142-1)*31+Y142,IF(X142&lt;=11,186+(X142-7)*30+Y142,336+Y142))-1,""))</f>
        <v>46236</v>
      </c>
      <c r="AA142" s="7" t="n">
        <f aca="false">IF(H142="","",VALUE(LEFT(H142,FIND("/",H142)-1)))</f>
        <v>1405</v>
      </c>
      <c r="AB142" s="7" t="n">
        <f aca="false">IF(H142="","",VALUE(MID(H142,FIND("/",H142)+1,FIND("/",H142,FIND("/",H142)+1)-FIND("/",H142)-1)))</f>
        <v>6</v>
      </c>
      <c r="AC142" s="7" t="n">
        <f aca="false">IF(H142="","",VALUE(MID(H142,FIND("/",H142,FIND("/",H142)+1)+1,LEN(H142)-FIND("/",H142,FIND("/",H142)+1))))</f>
        <v>21</v>
      </c>
      <c r="AD142" s="11" t="n">
        <f aca="false">IF(OR(H142="",AA142=""),"",IFERROR(INDEX('لیست‌ها'!$Q$3:$Q$53,MATCH(AA142,'لیست‌ها'!$P$3:$P$53,0))+IF(AB142&lt;=6,(AB142-1)*31+AC142,IF(AB142&lt;=11,186+(AB142-7)*30+AC142,336+AC142))-1,""))</f>
        <v>46277</v>
      </c>
      <c r="AE142" s="7" t="str">
        <f aca="false">IF(P142="","",VALUE(LEFT(P142,FIND("/",P142)-1)))</f>
        <v/>
      </c>
      <c r="AF142" s="7" t="str">
        <f aca="false">IF(P142="","",VALUE(MID(P142,FIND("/",P142)+1,FIND("/",P142,FIND("/",P142)+1)-FIND("/",P142)-1)))</f>
        <v/>
      </c>
      <c r="AG142" s="7" t="str">
        <f aca="false">IF(P142="","",VALUE(MID(P142,FIND("/",P142,FIND("/",P142)+1)+1,LEN(P142)-FIND("/",P142,FIND("/",P142)+1))))</f>
        <v/>
      </c>
      <c r="AH142" s="7" t="str">
        <f aca="false">IF(OR(P142="",AE142=""),"",IFERROR(INDEX('لیست‌ها'!$Q$3:$Q$53,MATCH(AE142,'لیست‌ها'!$P$3:$P$53,0))+IF(AF142&lt;=6,(AF142-1)*31+AG142,IF(AF142&lt;=11,186+(AF142-7)*30+AG142,336+AG142))-1,""))</f>
        <v/>
      </c>
      <c r="AI142" s="7" t="str">
        <f aca="false">IF(W142="","",W142&amp;"-"&amp;TEXT(X142,"00"))</f>
        <v>1405-05</v>
      </c>
      <c r="AJ142" s="7" t="n">
        <f aca="false">IF(W142="","",W142*12+X142)</f>
        <v>16865</v>
      </c>
      <c r="AK142" s="7" t="str">
        <f aca="false">IF(U142="تاخیر",V142+ROW()/100000,"")</f>
        <v/>
      </c>
    </row>
    <row r="143" customFormat="false" ht="15" hidden="false" customHeight="false" outlineLevel="0" collapsed="false">
      <c r="A143" s="7" t="n">
        <f aca="false">IF(B143="","",ROW()-3)</f>
        <v>140</v>
      </c>
      <c r="B143" s="8" t="s">
        <v>347</v>
      </c>
      <c r="C143" s="8" t="s">
        <v>38</v>
      </c>
      <c r="D143" s="8" t="s">
        <v>39</v>
      </c>
      <c r="E143" s="9" t="s">
        <v>348</v>
      </c>
      <c r="F143" s="9" t="s">
        <v>41</v>
      </c>
      <c r="G143" s="8" t="s">
        <v>42</v>
      </c>
      <c r="H143" s="8" t="s">
        <v>315</v>
      </c>
      <c r="I143" s="8" t="s">
        <v>54</v>
      </c>
      <c r="J143" s="9"/>
      <c r="K143" s="8"/>
      <c r="L143" s="8" t="s">
        <v>345</v>
      </c>
      <c r="M143" s="8" t="s">
        <v>56</v>
      </c>
      <c r="N143" s="8"/>
      <c r="O143" s="8"/>
      <c r="P143" s="8"/>
      <c r="Q143" s="8"/>
      <c r="R143" s="9"/>
      <c r="S143" s="8"/>
      <c r="T143" s="9"/>
      <c r="U143" s="10" t="str">
        <f aca="true">IF(B143="","",IF(OR(P143&lt;&gt;"",I143="می‌باشد"),"بسته",IF(AND(L143&lt;&gt;"",W143=""),"خطای فرمت تاریخ ایجاد",IF(AND(H143&lt;&gt;"",AA143=""),"خطای فرمت مهلت",IF(AND(H143&lt;&gt;"",AD143&lt;&gt;"",TODAY()&gt;AD143),"تاخیر",IF(L143&lt;&gt;"","در حال انجام",""))))))</f>
        <v>بسته</v>
      </c>
      <c r="V143" s="7" t="n">
        <f aca="true">IF(U143="تاخیر",TODAY()-AD143,IF(AND(U143="بسته",AH143&lt;&gt;"",AD143&lt;&gt;"",AH143&gt;AD143),AH143-AD143,0))</f>
        <v>0</v>
      </c>
      <c r="W143" s="7" t="n">
        <f aca="false">IF(L143="","",VALUE(LEFT(L143,FIND("/",L143)-1)))</f>
        <v>1405</v>
      </c>
      <c r="X143" s="7" t="n">
        <f aca="false">IF(L143="","",VALUE(MID(L143,FIND("/",L143)+1,FIND("/",L143,FIND("/",L143)+1)-FIND("/",L143)-1)))</f>
        <v>5</v>
      </c>
      <c r="Y143" s="7" t="n">
        <f aca="false">IF(L143="","",VALUE(MID(L143,FIND("/",L143,FIND("/",L143)+1)+1,LEN(L143)-FIND("/",L143,FIND("/",L143)+1))))</f>
        <v>11</v>
      </c>
      <c r="Z143" s="11" t="n">
        <f aca="false">IF(OR(L143="",W143=""),"",IFERROR(INDEX('لیست‌ها'!$Q$3:$Q$53,MATCH(W143,'لیست‌ها'!$P$3:$P$53,0))+IF(X143&lt;=6,(X143-1)*31+Y143,IF(X143&lt;=11,186+(X143-7)*30+Y143,336+Y143))-1,""))</f>
        <v>46236</v>
      </c>
      <c r="AA143" s="7" t="n">
        <f aca="false">IF(H143="","",VALUE(LEFT(H143,FIND("/",H143)-1)))</f>
        <v>1405</v>
      </c>
      <c r="AB143" s="7" t="n">
        <f aca="false">IF(H143="","",VALUE(MID(H143,FIND("/",H143)+1,FIND("/",H143,FIND("/",H143)+1)-FIND("/",H143)-1)))</f>
        <v>6</v>
      </c>
      <c r="AC143" s="7" t="n">
        <f aca="false">IF(H143="","",VALUE(MID(H143,FIND("/",H143,FIND("/",H143)+1)+1,LEN(H143)-FIND("/",H143,FIND("/",H143)+1))))</f>
        <v>21</v>
      </c>
      <c r="AD143" s="11" t="n">
        <f aca="false">IF(OR(H143="",AA143=""),"",IFERROR(INDEX('لیست‌ها'!$Q$3:$Q$53,MATCH(AA143,'لیست‌ها'!$P$3:$P$53,0))+IF(AB143&lt;=6,(AB143-1)*31+AC143,IF(AB143&lt;=11,186+(AB143-7)*30+AC143,336+AC143))-1,""))</f>
        <v>46277</v>
      </c>
      <c r="AE143" s="7" t="str">
        <f aca="false">IF(P143="","",VALUE(LEFT(P143,FIND("/",P143)-1)))</f>
        <v/>
      </c>
      <c r="AF143" s="7" t="str">
        <f aca="false">IF(P143="","",VALUE(MID(P143,FIND("/",P143)+1,FIND("/",P143,FIND("/",P143)+1)-FIND("/",P143)-1)))</f>
        <v/>
      </c>
      <c r="AG143" s="7" t="str">
        <f aca="false">IF(P143="","",VALUE(MID(P143,FIND("/",P143,FIND("/",P143)+1)+1,LEN(P143)-FIND("/",P143,FIND("/",P143)+1))))</f>
        <v/>
      </c>
      <c r="AH143" s="7" t="str">
        <f aca="false">IF(OR(P143="",AE143=""),"",IFERROR(INDEX('لیست‌ها'!$Q$3:$Q$53,MATCH(AE143,'لیست‌ها'!$P$3:$P$53,0))+IF(AF143&lt;=6,(AF143-1)*31+AG143,IF(AF143&lt;=11,186+(AF143-7)*30+AG143,336+AG143))-1,""))</f>
        <v/>
      </c>
      <c r="AI143" s="7" t="str">
        <f aca="false">IF(W143="","",W143&amp;"-"&amp;TEXT(X143,"00"))</f>
        <v>1405-05</v>
      </c>
      <c r="AJ143" s="7" t="n">
        <f aca="false">IF(W143="","",W143*12+X143)</f>
        <v>16865</v>
      </c>
      <c r="AK143" s="7" t="str">
        <f aca="false">IF(U143="تاخیر",V143+ROW()/100000,"")</f>
        <v/>
      </c>
    </row>
    <row r="144" customFormat="false" ht="15" hidden="false" customHeight="false" outlineLevel="0" collapsed="false">
      <c r="A144" s="7" t="n">
        <f aca="false">IF(B144="","",ROW()-3)</f>
        <v>141</v>
      </c>
      <c r="B144" s="8" t="s">
        <v>346</v>
      </c>
      <c r="C144" s="8" t="s">
        <v>38</v>
      </c>
      <c r="D144" s="8" t="s">
        <v>39</v>
      </c>
      <c r="E144" s="9" t="s">
        <v>202</v>
      </c>
      <c r="F144" s="9" t="s">
        <v>41</v>
      </c>
      <c r="G144" s="8" t="s">
        <v>42</v>
      </c>
      <c r="H144" s="8" t="s">
        <v>315</v>
      </c>
      <c r="I144" s="8" t="s">
        <v>54</v>
      </c>
      <c r="J144" s="9"/>
      <c r="K144" s="8"/>
      <c r="L144" s="8" t="s">
        <v>345</v>
      </c>
      <c r="M144" s="8" t="s">
        <v>56</v>
      </c>
      <c r="N144" s="8"/>
      <c r="O144" s="8"/>
      <c r="P144" s="8"/>
      <c r="Q144" s="8"/>
      <c r="R144" s="9"/>
      <c r="S144" s="8"/>
      <c r="T144" s="9"/>
      <c r="U144" s="10" t="str">
        <f aca="true">IF(B144="","",IF(OR(P144&lt;&gt;"",I144="می‌باشد"),"بسته",IF(AND(L144&lt;&gt;"",W144=""),"خطای فرمت تاریخ ایجاد",IF(AND(H144&lt;&gt;"",AA144=""),"خطای فرمت مهلت",IF(AND(H144&lt;&gt;"",AD144&lt;&gt;"",TODAY()&gt;AD144),"تاخیر",IF(L144&lt;&gt;"","در حال انجام",""))))))</f>
        <v>بسته</v>
      </c>
      <c r="V144" s="7" t="n">
        <f aca="true">IF(U144="تاخیر",TODAY()-AD144,IF(AND(U144="بسته",AH144&lt;&gt;"",AD144&lt;&gt;"",AH144&gt;AD144),AH144-AD144,0))</f>
        <v>0</v>
      </c>
      <c r="W144" s="7" t="n">
        <f aca="false">IF(L144="","",VALUE(LEFT(L144,FIND("/",L144)-1)))</f>
        <v>1405</v>
      </c>
      <c r="X144" s="7" t="n">
        <f aca="false">IF(L144="","",VALUE(MID(L144,FIND("/",L144)+1,FIND("/",L144,FIND("/",L144)+1)-FIND("/",L144)-1)))</f>
        <v>5</v>
      </c>
      <c r="Y144" s="7" t="n">
        <f aca="false">IF(L144="","",VALUE(MID(L144,FIND("/",L144,FIND("/",L144)+1)+1,LEN(L144)-FIND("/",L144,FIND("/",L144)+1))))</f>
        <v>11</v>
      </c>
      <c r="Z144" s="11" t="n">
        <f aca="false">IF(OR(L144="",W144=""),"",IFERROR(INDEX('لیست‌ها'!$Q$3:$Q$53,MATCH(W144,'لیست‌ها'!$P$3:$P$53,0))+IF(X144&lt;=6,(X144-1)*31+Y144,IF(X144&lt;=11,186+(X144-7)*30+Y144,336+Y144))-1,""))</f>
        <v>46236</v>
      </c>
      <c r="AA144" s="7" t="n">
        <f aca="false">IF(H144="","",VALUE(LEFT(H144,FIND("/",H144)-1)))</f>
        <v>1405</v>
      </c>
      <c r="AB144" s="7" t="n">
        <f aca="false">IF(H144="","",VALUE(MID(H144,FIND("/",H144)+1,FIND("/",H144,FIND("/",H144)+1)-FIND("/",H144)-1)))</f>
        <v>6</v>
      </c>
      <c r="AC144" s="7" t="n">
        <f aca="false">IF(H144="","",VALUE(MID(H144,FIND("/",H144,FIND("/",H144)+1)+1,LEN(H144)-FIND("/",H144,FIND("/",H144)+1))))</f>
        <v>21</v>
      </c>
      <c r="AD144" s="11" t="n">
        <f aca="false">IF(OR(H144="",AA144=""),"",IFERROR(INDEX('لیست‌ها'!$Q$3:$Q$53,MATCH(AA144,'لیست‌ها'!$P$3:$P$53,0))+IF(AB144&lt;=6,(AB144-1)*31+AC144,IF(AB144&lt;=11,186+(AB144-7)*30+AC144,336+AC144))-1,""))</f>
        <v>46277</v>
      </c>
      <c r="AE144" s="7" t="str">
        <f aca="false">IF(P144="","",VALUE(LEFT(P144,FIND("/",P144)-1)))</f>
        <v/>
      </c>
      <c r="AF144" s="7" t="str">
        <f aca="false">IF(P144="","",VALUE(MID(P144,FIND("/",P144)+1,FIND("/",P144,FIND("/",P144)+1)-FIND("/",P144)-1)))</f>
        <v/>
      </c>
      <c r="AG144" s="7" t="str">
        <f aca="false">IF(P144="","",VALUE(MID(P144,FIND("/",P144,FIND("/",P144)+1)+1,LEN(P144)-FIND("/",P144,FIND("/",P144)+1))))</f>
        <v/>
      </c>
      <c r="AH144" s="7" t="str">
        <f aca="false">IF(OR(P144="",AE144=""),"",IFERROR(INDEX('لیست‌ها'!$Q$3:$Q$53,MATCH(AE144,'لیست‌ها'!$P$3:$P$53,0))+IF(AF144&lt;=6,(AF144-1)*31+AG144,IF(AF144&lt;=11,186+(AF144-7)*30+AG144,336+AG144))-1,""))</f>
        <v/>
      </c>
      <c r="AI144" s="7" t="str">
        <f aca="false">IF(W144="","",W144&amp;"-"&amp;TEXT(X144,"00"))</f>
        <v>1405-05</v>
      </c>
      <c r="AJ144" s="7" t="n">
        <f aca="false">IF(W144="","",W144*12+X144)</f>
        <v>16865</v>
      </c>
      <c r="AK144" s="7" t="str">
        <f aca="false">IF(U144="تاخیر",V144+ROW()/100000,"")</f>
        <v/>
      </c>
    </row>
    <row r="145" customFormat="false" ht="15" hidden="false" customHeight="false" outlineLevel="0" collapsed="false">
      <c r="A145" s="7" t="n">
        <f aca="false">IF(B145="","",ROW()-3)</f>
        <v>142</v>
      </c>
      <c r="B145" s="8" t="s">
        <v>343</v>
      </c>
      <c r="C145" s="8" t="s">
        <v>38</v>
      </c>
      <c r="D145" s="8" t="s">
        <v>39</v>
      </c>
      <c r="E145" s="9" t="s">
        <v>344</v>
      </c>
      <c r="F145" s="9" t="s">
        <v>41</v>
      </c>
      <c r="G145" s="8" t="s">
        <v>42</v>
      </c>
      <c r="H145" s="8" t="s">
        <v>315</v>
      </c>
      <c r="I145" s="8"/>
      <c r="J145" s="9"/>
      <c r="K145" s="8"/>
      <c r="L145" s="8" t="s">
        <v>345</v>
      </c>
      <c r="M145" s="8" t="s">
        <v>110</v>
      </c>
      <c r="N145" s="8"/>
      <c r="O145" s="8"/>
      <c r="P145" s="8"/>
      <c r="Q145" s="8"/>
      <c r="R145" s="9"/>
      <c r="S145" s="8"/>
      <c r="T145" s="9"/>
      <c r="U145" s="10" t="str">
        <f aca="true">IF(B145="","",IF(OR(P145&lt;&gt;"",I145="می‌باشد"),"بسته",IF(AND(L145&lt;&gt;"",W145=""),"خطای فرمت تاریخ ایجاد",IF(AND(H145&lt;&gt;"",AA145=""),"خطای فرمت مهلت",IF(AND(H145&lt;&gt;"",AD145&lt;&gt;"",TODAY()&gt;AD145),"تاخیر",IF(L145&lt;&gt;"","در حال انجام",""))))))</f>
        <v>تاخیر</v>
      </c>
      <c r="V145" s="7" t="n">
        <f aca="true">IF(U145="تاخیر",TODAY()-AD145,IF(AND(U145="بسته",AH145&lt;&gt;"",AD145&lt;&gt;"",AH145&gt;AD145),AH145-AD145,0))</f>
        <v>18</v>
      </c>
      <c r="W145" s="7" t="n">
        <f aca="false">IF(L145="","",VALUE(LEFT(L145,FIND("/",L145)-1)))</f>
        <v>1405</v>
      </c>
      <c r="X145" s="7" t="n">
        <f aca="false">IF(L145="","",VALUE(MID(L145,FIND("/",L145)+1,FIND("/",L145,FIND("/",L145)+1)-FIND("/",L145)-1)))</f>
        <v>5</v>
      </c>
      <c r="Y145" s="7" t="n">
        <f aca="false">IF(L145="","",VALUE(MID(L145,FIND("/",L145,FIND("/",L145)+1)+1,LEN(L145)-FIND("/",L145,FIND("/",L145)+1))))</f>
        <v>11</v>
      </c>
      <c r="Z145" s="11" t="n">
        <f aca="false">IF(OR(L145="",W145=""),"",IFERROR(INDEX('لیست‌ها'!$Q$3:$Q$53,MATCH(W145,'لیست‌ها'!$P$3:$P$53,0))+IF(X145&lt;=6,(X145-1)*31+Y145,IF(X145&lt;=11,186+(X145-7)*30+Y145,336+Y145))-1,""))</f>
        <v>46236</v>
      </c>
      <c r="AA145" s="7" t="n">
        <f aca="false">IF(H145="","",VALUE(LEFT(H145,FIND("/",H145)-1)))</f>
        <v>1405</v>
      </c>
      <c r="AB145" s="7" t="n">
        <f aca="false">IF(H145="","",VALUE(MID(H145,FIND("/",H145)+1,FIND("/",H145,FIND("/",H145)+1)-FIND("/",H145)-1)))</f>
        <v>6</v>
      </c>
      <c r="AC145" s="7" t="n">
        <f aca="false">IF(H145="","",VALUE(MID(H145,FIND("/",H145,FIND("/",H145)+1)+1,LEN(H145)-FIND("/",H145,FIND("/",H145)+1))))</f>
        <v>21</v>
      </c>
      <c r="AD145" s="11" t="n">
        <f aca="false">IF(OR(H145="",AA145=""),"",IFERROR(INDEX('لیست‌ها'!$Q$3:$Q$53,MATCH(AA145,'لیست‌ها'!$P$3:$P$53,0))+IF(AB145&lt;=6,(AB145-1)*31+AC145,IF(AB145&lt;=11,186+(AB145-7)*30+AC145,336+AC145))-1,""))</f>
        <v>46277</v>
      </c>
      <c r="AE145" s="7" t="str">
        <f aca="false">IF(P145="","",VALUE(LEFT(P145,FIND("/",P145)-1)))</f>
        <v/>
      </c>
      <c r="AF145" s="7" t="str">
        <f aca="false">IF(P145="","",VALUE(MID(P145,FIND("/",P145)+1,FIND("/",P145,FIND("/",P145)+1)-FIND("/",P145)-1)))</f>
        <v/>
      </c>
      <c r="AG145" s="7" t="str">
        <f aca="false">IF(P145="","",VALUE(MID(P145,FIND("/",P145,FIND("/",P145)+1)+1,LEN(P145)-FIND("/",P145,FIND("/",P145)+1))))</f>
        <v/>
      </c>
      <c r="AH145" s="7" t="str">
        <f aca="false">IF(OR(P145="",AE145=""),"",IFERROR(INDEX('لیست‌ها'!$Q$3:$Q$53,MATCH(AE145,'لیست‌ها'!$P$3:$P$53,0))+IF(AF145&lt;=6,(AF145-1)*31+AG145,IF(AF145&lt;=11,186+(AF145-7)*30+AG145,336+AG145))-1,""))</f>
        <v/>
      </c>
      <c r="AI145" s="7" t="str">
        <f aca="false">IF(W145="","",W145&amp;"-"&amp;TEXT(X145,"00"))</f>
        <v>1405-05</v>
      </c>
      <c r="AJ145" s="7" t="n">
        <f aca="false">IF(W145="","",W145*12+X145)</f>
        <v>16865</v>
      </c>
      <c r="AK145" s="7" t="n">
        <f aca="false">IF(U145="تاخیر",V145+ROW()/100000,"")</f>
        <v>18.00135</v>
      </c>
    </row>
    <row r="146" customFormat="false" ht="15" hidden="false" customHeight="false" outlineLevel="0" collapsed="false">
      <c r="A146" s="7" t="n">
        <f aca="false">IF(B146="","",ROW()-3)</f>
        <v>143</v>
      </c>
      <c r="B146" s="8" t="s">
        <v>341</v>
      </c>
      <c r="C146" s="8" t="s">
        <v>38</v>
      </c>
      <c r="D146" s="8" t="s">
        <v>339</v>
      </c>
      <c r="E146" s="9" t="s">
        <v>342</v>
      </c>
      <c r="F146" s="9" t="s">
        <v>137</v>
      </c>
      <c r="G146" s="8" t="s">
        <v>138</v>
      </c>
      <c r="H146" s="8" t="s">
        <v>315</v>
      </c>
      <c r="I146" s="8" t="s">
        <v>54</v>
      </c>
      <c r="J146" s="9"/>
      <c r="K146" s="8"/>
      <c r="L146" s="8" t="s">
        <v>336</v>
      </c>
      <c r="M146" s="8" t="s">
        <v>56</v>
      </c>
      <c r="N146" s="8"/>
      <c r="O146" s="8"/>
      <c r="P146" s="8"/>
      <c r="Q146" s="8"/>
      <c r="R146" s="9"/>
      <c r="S146" s="8"/>
      <c r="T146" s="9"/>
      <c r="U146" s="10" t="str">
        <f aca="true">IF(B146="","",IF(OR(P146&lt;&gt;"",I146="می‌باشد"),"بسته",IF(AND(L146&lt;&gt;"",W146=""),"خطای فرمت تاریخ ایجاد",IF(AND(H146&lt;&gt;"",AA146=""),"خطای فرمت مهلت",IF(AND(H146&lt;&gt;"",AD146&lt;&gt;"",TODAY()&gt;AD146),"تاخیر",IF(L146&lt;&gt;"","در حال انجام",""))))))</f>
        <v>بسته</v>
      </c>
      <c r="V146" s="7" t="n">
        <f aca="true">IF(U146="تاخیر",TODAY()-AD146,IF(AND(U146="بسته",AH146&lt;&gt;"",AD146&lt;&gt;"",AH146&gt;AD146),AH146-AD146,0))</f>
        <v>0</v>
      </c>
      <c r="W146" s="7" t="n">
        <f aca="false">IF(L146="","",VALUE(LEFT(L146,FIND("/",L146)-1)))</f>
        <v>1405</v>
      </c>
      <c r="X146" s="7" t="n">
        <f aca="false">IF(L146="","",VALUE(MID(L146,FIND("/",L146)+1,FIND("/",L146,FIND("/",L146)+1)-FIND("/",L146)-1)))</f>
        <v>5</v>
      </c>
      <c r="Y146" s="7" t="n">
        <f aca="false">IF(L146="","",VALUE(MID(L146,FIND("/",L146,FIND("/",L146)+1)+1,LEN(L146)-FIND("/",L146,FIND("/",L146)+1))))</f>
        <v>12</v>
      </c>
      <c r="Z146" s="11" t="n">
        <f aca="false">IF(OR(L146="",W146=""),"",IFERROR(INDEX('لیست‌ها'!$Q$3:$Q$53,MATCH(W146,'لیست‌ها'!$P$3:$P$53,0))+IF(X146&lt;=6,(X146-1)*31+Y146,IF(X146&lt;=11,186+(X146-7)*30+Y146,336+Y146))-1,""))</f>
        <v>46237</v>
      </c>
      <c r="AA146" s="7" t="n">
        <f aca="false">IF(H146="","",VALUE(LEFT(H146,FIND("/",H146)-1)))</f>
        <v>1405</v>
      </c>
      <c r="AB146" s="7" t="n">
        <f aca="false">IF(H146="","",VALUE(MID(H146,FIND("/",H146)+1,FIND("/",H146,FIND("/",H146)+1)-FIND("/",H146)-1)))</f>
        <v>6</v>
      </c>
      <c r="AC146" s="7" t="n">
        <f aca="false">IF(H146="","",VALUE(MID(H146,FIND("/",H146,FIND("/",H146)+1)+1,LEN(H146)-FIND("/",H146,FIND("/",H146)+1))))</f>
        <v>21</v>
      </c>
      <c r="AD146" s="11" t="n">
        <f aca="false">IF(OR(H146="",AA146=""),"",IFERROR(INDEX('لیست‌ها'!$Q$3:$Q$53,MATCH(AA146,'لیست‌ها'!$P$3:$P$53,0))+IF(AB146&lt;=6,(AB146-1)*31+AC146,IF(AB146&lt;=11,186+(AB146-7)*30+AC146,336+AC146))-1,""))</f>
        <v>46277</v>
      </c>
      <c r="AE146" s="7" t="str">
        <f aca="false">IF(P146="","",VALUE(LEFT(P146,FIND("/",P146)-1)))</f>
        <v/>
      </c>
      <c r="AF146" s="7" t="str">
        <f aca="false">IF(P146="","",VALUE(MID(P146,FIND("/",P146)+1,FIND("/",P146,FIND("/",P146)+1)-FIND("/",P146)-1)))</f>
        <v/>
      </c>
      <c r="AG146" s="7" t="str">
        <f aca="false">IF(P146="","",VALUE(MID(P146,FIND("/",P146,FIND("/",P146)+1)+1,LEN(P146)-FIND("/",P146,FIND("/",P146)+1))))</f>
        <v/>
      </c>
      <c r="AH146" s="7" t="str">
        <f aca="false">IF(OR(P146="",AE146=""),"",IFERROR(INDEX('لیست‌ها'!$Q$3:$Q$53,MATCH(AE146,'لیست‌ها'!$P$3:$P$53,0))+IF(AF146&lt;=6,(AF146-1)*31+AG146,IF(AF146&lt;=11,186+(AF146-7)*30+AG146,336+AG146))-1,""))</f>
        <v/>
      </c>
      <c r="AI146" s="7" t="str">
        <f aca="false">IF(W146="","",W146&amp;"-"&amp;TEXT(X146,"00"))</f>
        <v>1405-05</v>
      </c>
      <c r="AJ146" s="7" t="n">
        <f aca="false">IF(W146="","",W146*12+X146)</f>
        <v>16865</v>
      </c>
      <c r="AK146" s="7" t="str">
        <f aca="false">IF(U146="تاخیر",V146+ROW()/100000,"")</f>
        <v/>
      </c>
    </row>
    <row r="147" customFormat="false" ht="15" hidden="false" customHeight="false" outlineLevel="0" collapsed="false">
      <c r="A147" s="7" t="n">
        <f aca="false">IF(B147="","",ROW()-3)</f>
        <v>144</v>
      </c>
      <c r="B147" s="8" t="s">
        <v>338</v>
      </c>
      <c r="C147" s="8" t="s">
        <v>38</v>
      </c>
      <c r="D147" s="8" t="s">
        <v>339</v>
      </c>
      <c r="E147" s="9" t="s">
        <v>340</v>
      </c>
      <c r="F147" s="9" t="s">
        <v>137</v>
      </c>
      <c r="G147" s="8" t="s">
        <v>138</v>
      </c>
      <c r="H147" s="8" t="s">
        <v>315</v>
      </c>
      <c r="I147" s="8" t="s">
        <v>54</v>
      </c>
      <c r="J147" s="9"/>
      <c r="K147" s="8"/>
      <c r="L147" s="8" t="s">
        <v>336</v>
      </c>
      <c r="M147" s="8" t="s">
        <v>56</v>
      </c>
      <c r="N147" s="8"/>
      <c r="O147" s="8"/>
      <c r="P147" s="8"/>
      <c r="Q147" s="8"/>
      <c r="R147" s="9"/>
      <c r="S147" s="8"/>
      <c r="T147" s="9"/>
      <c r="U147" s="10" t="str">
        <f aca="true">IF(B147="","",IF(OR(P147&lt;&gt;"",I147="می‌باشد"),"بسته",IF(AND(L147&lt;&gt;"",W147=""),"خطای فرمت تاریخ ایجاد",IF(AND(H147&lt;&gt;"",AA147=""),"خطای فرمت مهلت",IF(AND(H147&lt;&gt;"",AD147&lt;&gt;"",TODAY()&gt;AD147),"تاخیر",IF(L147&lt;&gt;"","در حال انجام",""))))))</f>
        <v>بسته</v>
      </c>
      <c r="V147" s="7" t="n">
        <f aca="true">IF(U147="تاخیر",TODAY()-AD147,IF(AND(U147="بسته",AH147&lt;&gt;"",AD147&lt;&gt;"",AH147&gt;AD147),AH147-AD147,0))</f>
        <v>0</v>
      </c>
      <c r="W147" s="7" t="n">
        <f aca="false">IF(L147="","",VALUE(LEFT(L147,FIND("/",L147)-1)))</f>
        <v>1405</v>
      </c>
      <c r="X147" s="7" t="n">
        <f aca="false">IF(L147="","",VALUE(MID(L147,FIND("/",L147)+1,FIND("/",L147,FIND("/",L147)+1)-FIND("/",L147)-1)))</f>
        <v>5</v>
      </c>
      <c r="Y147" s="7" t="n">
        <f aca="false">IF(L147="","",VALUE(MID(L147,FIND("/",L147,FIND("/",L147)+1)+1,LEN(L147)-FIND("/",L147,FIND("/",L147)+1))))</f>
        <v>12</v>
      </c>
      <c r="Z147" s="11" t="n">
        <f aca="false">IF(OR(L147="",W147=""),"",IFERROR(INDEX('لیست‌ها'!$Q$3:$Q$53,MATCH(W147,'لیست‌ها'!$P$3:$P$53,0))+IF(X147&lt;=6,(X147-1)*31+Y147,IF(X147&lt;=11,186+(X147-7)*30+Y147,336+Y147))-1,""))</f>
        <v>46237</v>
      </c>
      <c r="AA147" s="7" t="n">
        <f aca="false">IF(H147="","",VALUE(LEFT(H147,FIND("/",H147)-1)))</f>
        <v>1405</v>
      </c>
      <c r="AB147" s="7" t="n">
        <f aca="false">IF(H147="","",VALUE(MID(H147,FIND("/",H147)+1,FIND("/",H147,FIND("/",H147)+1)-FIND("/",H147)-1)))</f>
        <v>6</v>
      </c>
      <c r="AC147" s="7" t="n">
        <f aca="false">IF(H147="","",VALUE(MID(H147,FIND("/",H147,FIND("/",H147)+1)+1,LEN(H147)-FIND("/",H147,FIND("/",H147)+1))))</f>
        <v>21</v>
      </c>
      <c r="AD147" s="11" t="n">
        <f aca="false">IF(OR(H147="",AA147=""),"",IFERROR(INDEX('لیست‌ها'!$Q$3:$Q$53,MATCH(AA147,'لیست‌ها'!$P$3:$P$53,0))+IF(AB147&lt;=6,(AB147-1)*31+AC147,IF(AB147&lt;=11,186+(AB147-7)*30+AC147,336+AC147))-1,""))</f>
        <v>46277</v>
      </c>
      <c r="AE147" s="7" t="str">
        <f aca="false">IF(P147="","",VALUE(LEFT(P147,FIND("/",P147)-1)))</f>
        <v/>
      </c>
      <c r="AF147" s="7" t="str">
        <f aca="false">IF(P147="","",VALUE(MID(P147,FIND("/",P147)+1,FIND("/",P147,FIND("/",P147)+1)-FIND("/",P147)-1)))</f>
        <v/>
      </c>
      <c r="AG147" s="7" t="str">
        <f aca="false">IF(P147="","",VALUE(MID(P147,FIND("/",P147,FIND("/",P147)+1)+1,LEN(P147)-FIND("/",P147,FIND("/",P147)+1))))</f>
        <v/>
      </c>
      <c r="AH147" s="7" t="str">
        <f aca="false">IF(OR(P147="",AE147=""),"",IFERROR(INDEX('لیست‌ها'!$Q$3:$Q$53,MATCH(AE147,'لیست‌ها'!$P$3:$P$53,0))+IF(AF147&lt;=6,(AF147-1)*31+AG147,IF(AF147&lt;=11,186+(AF147-7)*30+AG147,336+AG147))-1,""))</f>
        <v/>
      </c>
      <c r="AI147" s="7" t="str">
        <f aca="false">IF(W147="","",W147&amp;"-"&amp;TEXT(X147,"00"))</f>
        <v>1405-05</v>
      </c>
      <c r="AJ147" s="7" t="n">
        <f aca="false">IF(W147="","",W147*12+X147)</f>
        <v>16865</v>
      </c>
      <c r="AK147" s="7" t="str">
        <f aca="false">IF(U147="تاخیر",V147+ROW()/100000,"")</f>
        <v/>
      </c>
    </row>
    <row r="148" customFormat="false" ht="15" hidden="false" customHeight="false" outlineLevel="0" collapsed="false">
      <c r="A148" s="7" t="n">
        <f aca="false">IF(B148="","",ROW()-3)</f>
        <v>145</v>
      </c>
      <c r="B148" s="8" t="s">
        <v>399</v>
      </c>
      <c r="C148" s="8" t="s">
        <v>38</v>
      </c>
      <c r="D148" s="8" t="s">
        <v>339</v>
      </c>
      <c r="E148" s="9" t="s">
        <v>400</v>
      </c>
      <c r="F148" s="9" t="s">
        <v>137</v>
      </c>
      <c r="G148" s="8" t="s">
        <v>144</v>
      </c>
      <c r="H148" s="8" t="s">
        <v>382</v>
      </c>
      <c r="I148" s="8"/>
      <c r="J148" s="9"/>
      <c r="K148" s="8"/>
      <c r="L148" s="8" t="s">
        <v>336</v>
      </c>
      <c r="M148" s="8" t="s">
        <v>110</v>
      </c>
      <c r="N148" s="8"/>
      <c r="O148" s="8"/>
      <c r="P148" s="8"/>
      <c r="Q148" s="8"/>
      <c r="R148" s="9"/>
      <c r="S148" s="8"/>
      <c r="T148" s="9"/>
      <c r="U148" s="10" t="str">
        <f aca="true">IF(B148="","",IF(OR(P148&lt;&gt;"",I148="می‌باشد"),"بسته",IF(AND(L148&lt;&gt;"",W148=""),"خطای فرمت تاریخ ایجاد",IF(AND(H148&lt;&gt;"",AA148=""),"خطای فرمت مهلت",IF(AND(H148&lt;&gt;"",AD148&lt;&gt;"",TODAY()&gt;AD148),"تاخیر",IF(L148&lt;&gt;"","در حال انجام",""))))))</f>
        <v>تاخیر</v>
      </c>
      <c r="V148" s="7" t="n">
        <f aca="true">IF(U148="تاخیر",TODAY()-AD148,IF(AND(U148="بسته",AH148&lt;&gt;"",AD148&lt;&gt;"",AH148&gt;AD148),AH148-AD148,0))</f>
        <v>16</v>
      </c>
      <c r="W148" s="7" t="n">
        <f aca="false">IF(L148="","",VALUE(LEFT(L148,FIND("/",L148)-1)))</f>
        <v>1405</v>
      </c>
      <c r="X148" s="7" t="n">
        <f aca="false">IF(L148="","",VALUE(MID(L148,FIND("/",L148)+1,FIND("/",L148,FIND("/",L148)+1)-FIND("/",L148)-1)))</f>
        <v>5</v>
      </c>
      <c r="Y148" s="7" t="n">
        <f aca="false">IF(L148="","",VALUE(MID(L148,FIND("/",L148,FIND("/",L148)+1)+1,LEN(L148)-FIND("/",L148,FIND("/",L148)+1))))</f>
        <v>12</v>
      </c>
      <c r="Z148" s="11" t="n">
        <f aca="false">IF(OR(L148="",W148=""),"",IFERROR(INDEX('لیست‌ها'!$Q$3:$Q$53,MATCH(W148,'لیست‌ها'!$P$3:$P$53,0))+IF(X148&lt;=6,(X148-1)*31+Y148,IF(X148&lt;=11,186+(X148-7)*30+Y148,336+Y148))-1,""))</f>
        <v>46237</v>
      </c>
      <c r="AA148" s="7" t="n">
        <f aca="false">IF(H148="","",VALUE(LEFT(H148,FIND("/",H148)-1)))</f>
        <v>1405</v>
      </c>
      <c r="AB148" s="7" t="n">
        <f aca="false">IF(H148="","",VALUE(MID(H148,FIND("/",H148)+1,FIND("/",H148,FIND("/",H148)+1)-FIND("/",H148)-1)))</f>
        <v>6</v>
      </c>
      <c r="AC148" s="7" t="n">
        <f aca="false">IF(H148="","",VALUE(MID(H148,FIND("/",H148,FIND("/",H148)+1)+1,LEN(H148)-FIND("/",H148,FIND("/",H148)+1))))</f>
        <v>23</v>
      </c>
      <c r="AD148" s="11" t="n">
        <f aca="false">IF(OR(H148="",AA148=""),"",IFERROR(INDEX('لیست‌ها'!$Q$3:$Q$53,MATCH(AA148,'لیست‌ها'!$P$3:$P$53,0))+IF(AB148&lt;=6,(AB148-1)*31+AC148,IF(AB148&lt;=11,186+(AB148-7)*30+AC148,336+AC148))-1,""))</f>
        <v>46279</v>
      </c>
      <c r="AE148" s="7" t="str">
        <f aca="false">IF(P148="","",VALUE(LEFT(P148,FIND("/",P148)-1)))</f>
        <v/>
      </c>
      <c r="AF148" s="7" t="str">
        <f aca="false">IF(P148="","",VALUE(MID(P148,FIND("/",P148)+1,FIND("/",P148,FIND("/",P148)+1)-FIND("/",P148)-1)))</f>
        <v/>
      </c>
      <c r="AG148" s="7" t="str">
        <f aca="false">IF(P148="","",VALUE(MID(P148,FIND("/",P148,FIND("/",P148)+1)+1,LEN(P148)-FIND("/",P148,FIND("/",P148)+1))))</f>
        <v/>
      </c>
      <c r="AH148" s="7" t="str">
        <f aca="false">IF(OR(P148="",AE148=""),"",IFERROR(INDEX('لیست‌ها'!$Q$3:$Q$53,MATCH(AE148,'لیست‌ها'!$P$3:$P$53,0))+IF(AF148&lt;=6,(AF148-1)*31+AG148,IF(AF148&lt;=11,186+(AF148-7)*30+AG148,336+AG148))-1,""))</f>
        <v/>
      </c>
      <c r="AI148" s="7" t="str">
        <f aca="false">IF(W148="","",W148&amp;"-"&amp;TEXT(X148,"00"))</f>
        <v>1405-05</v>
      </c>
      <c r="AJ148" s="7" t="n">
        <f aca="false">IF(W148="","",W148*12+X148)</f>
        <v>16865</v>
      </c>
      <c r="AK148" s="7" t="n">
        <f aca="false">IF(U148="تاخیر",V148+ROW()/100000,"")</f>
        <v>16.00161</v>
      </c>
    </row>
    <row r="149" customFormat="false" ht="15" hidden="false" customHeight="false" outlineLevel="0" collapsed="false">
      <c r="A149" s="7" t="n">
        <f aca="false">IF(B149="","",ROW()-3)</f>
        <v>146</v>
      </c>
      <c r="B149" s="8" t="s">
        <v>397</v>
      </c>
      <c r="C149" s="8" t="s">
        <v>38</v>
      </c>
      <c r="D149" s="8" t="s">
        <v>339</v>
      </c>
      <c r="E149" s="9" t="s">
        <v>398</v>
      </c>
      <c r="F149" s="9" t="s">
        <v>137</v>
      </c>
      <c r="G149" s="8" t="s">
        <v>144</v>
      </c>
      <c r="H149" s="8" t="s">
        <v>382</v>
      </c>
      <c r="I149" s="8"/>
      <c r="J149" s="9"/>
      <c r="K149" s="8"/>
      <c r="L149" s="8" t="s">
        <v>336</v>
      </c>
      <c r="M149" s="8" t="s">
        <v>110</v>
      </c>
      <c r="N149" s="8"/>
      <c r="O149" s="8"/>
      <c r="P149" s="8"/>
      <c r="Q149" s="8"/>
      <c r="R149" s="9"/>
      <c r="S149" s="8"/>
      <c r="T149" s="9"/>
      <c r="U149" s="10" t="str">
        <f aca="true">IF(B149="","",IF(OR(P149&lt;&gt;"",I149="می‌باشد"),"بسته",IF(AND(L149&lt;&gt;"",W149=""),"خطای فرمت تاریخ ایجاد",IF(AND(H149&lt;&gt;"",AA149=""),"خطای فرمت مهلت",IF(AND(H149&lt;&gt;"",AD149&lt;&gt;"",TODAY()&gt;AD149),"تاخیر",IF(L149&lt;&gt;"","در حال انجام",""))))))</f>
        <v>تاخیر</v>
      </c>
      <c r="V149" s="7" t="n">
        <f aca="true">IF(U149="تاخیر",TODAY()-AD149,IF(AND(U149="بسته",AH149&lt;&gt;"",AD149&lt;&gt;"",AH149&gt;AD149),AH149-AD149,0))</f>
        <v>16</v>
      </c>
      <c r="W149" s="7" t="n">
        <f aca="false">IF(L149="","",VALUE(LEFT(L149,FIND("/",L149)-1)))</f>
        <v>1405</v>
      </c>
      <c r="X149" s="7" t="n">
        <f aca="false">IF(L149="","",VALUE(MID(L149,FIND("/",L149)+1,FIND("/",L149,FIND("/",L149)+1)-FIND("/",L149)-1)))</f>
        <v>5</v>
      </c>
      <c r="Y149" s="7" t="n">
        <f aca="false">IF(L149="","",VALUE(MID(L149,FIND("/",L149,FIND("/",L149)+1)+1,LEN(L149)-FIND("/",L149,FIND("/",L149)+1))))</f>
        <v>12</v>
      </c>
      <c r="Z149" s="11" t="n">
        <f aca="false">IF(OR(L149="",W149=""),"",IFERROR(INDEX('لیست‌ها'!$Q$3:$Q$53,MATCH(W149,'لیست‌ها'!$P$3:$P$53,0))+IF(X149&lt;=6,(X149-1)*31+Y149,IF(X149&lt;=11,186+(X149-7)*30+Y149,336+Y149))-1,""))</f>
        <v>46237</v>
      </c>
      <c r="AA149" s="7" t="n">
        <f aca="false">IF(H149="","",VALUE(LEFT(H149,FIND("/",H149)-1)))</f>
        <v>1405</v>
      </c>
      <c r="AB149" s="7" t="n">
        <f aca="false">IF(H149="","",VALUE(MID(H149,FIND("/",H149)+1,FIND("/",H149,FIND("/",H149)+1)-FIND("/",H149)-1)))</f>
        <v>6</v>
      </c>
      <c r="AC149" s="7" t="n">
        <f aca="false">IF(H149="","",VALUE(MID(H149,FIND("/",H149,FIND("/",H149)+1)+1,LEN(H149)-FIND("/",H149,FIND("/",H149)+1))))</f>
        <v>23</v>
      </c>
      <c r="AD149" s="11" t="n">
        <f aca="false">IF(OR(H149="",AA149=""),"",IFERROR(INDEX('لیست‌ها'!$Q$3:$Q$53,MATCH(AA149,'لیست‌ها'!$P$3:$P$53,0))+IF(AB149&lt;=6,(AB149-1)*31+AC149,IF(AB149&lt;=11,186+(AB149-7)*30+AC149,336+AC149))-1,""))</f>
        <v>46279</v>
      </c>
      <c r="AE149" s="7" t="str">
        <f aca="false">IF(P149="","",VALUE(LEFT(P149,FIND("/",P149)-1)))</f>
        <v/>
      </c>
      <c r="AF149" s="7" t="str">
        <f aca="false">IF(P149="","",VALUE(MID(P149,FIND("/",P149)+1,FIND("/",P149,FIND("/",P149)+1)-FIND("/",P149)-1)))</f>
        <v/>
      </c>
      <c r="AG149" s="7" t="str">
        <f aca="false">IF(P149="","",VALUE(MID(P149,FIND("/",P149,FIND("/",P149)+1)+1,LEN(P149)-FIND("/",P149,FIND("/",P149)+1))))</f>
        <v/>
      </c>
      <c r="AH149" s="7" t="str">
        <f aca="false">IF(OR(P149="",AE149=""),"",IFERROR(INDEX('لیست‌ها'!$Q$3:$Q$53,MATCH(AE149,'لیست‌ها'!$P$3:$P$53,0))+IF(AF149&lt;=6,(AF149-1)*31+AG149,IF(AF149&lt;=11,186+(AF149-7)*30+AG149,336+AG149))-1,""))</f>
        <v/>
      </c>
      <c r="AI149" s="7" t="str">
        <f aca="false">IF(W149="","",W149&amp;"-"&amp;TEXT(X149,"00"))</f>
        <v>1405-05</v>
      </c>
      <c r="AJ149" s="7" t="n">
        <f aca="false">IF(W149="","",W149*12+X149)</f>
        <v>16865</v>
      </c>
      <c r="AK149" s="7" t="n">
        <f aca="false">IF(U149="تاخیر",V149+ROW()/100000,"")</f>
        <v>16.0016</v>
      </c>
    </row>
    <row r="150" customFormat="false" ht="15" hidden="false" customHeight="false" outlineLevel="0" collapsed="false">
      <c r="A150" s="7" t="n">
        <f aca="false">IF(B150="","",ROW()-3)</f>
        <v>147</v>
      </c>
      <c r="B150" s="8" t="s">
        <v>395</v>
      </c>
      <c r="C150" s="8" t="s">
        <v>38</v>
      </c>
      <c r="D150" s="8" t="s">
        <v>339</v>
      </c>
      <c r="E150" s="9" t="s">
        <v>396</v>
      </c>
      <c r="F150" s="9" t="s">
        <v>137</v>
      </c>
      <c r="G150" s="8" t="s">
        <v>144</v>
      </c>
      <c r="H150" s="8" t="s">
        <v>382</v>
      </c>
      <c r="I150" s="8" t="s">
        <v>54</v>
      </c>
      <c r="J150" s="9"/>
      <c r="K150" s="8"/>
      <c r="L150" s="8" t="s">
        <v>336</v>
      </c>
      <c r="M150" s="8" t="s">
        <v>56</v>
      </c>
      <c r="N150" s="8"/>
      <c r="O150" s="8"/>
      <c r="P150" s="8"/>
      <c r="Q150" s="8"/>
      <c r="R150" s="9"/>
      <c r="S150" s="8"/>
      <c r="T150" s="9"/>
      <c r="U150" s="10" t="str">
        <f aca="true">IF(B150="","",IF(OR(P150&lt;&gt;"",I150="می‌باشد"),"بسته",IF(AND(L150&lt;&gt;"",W150=""),"خطای فرمت تاریخ ایجاد",IF(AND(H150&lt;&gt;"",AA150=""),"خطای فرمت مهلت",IF(AND(H150&lt;&gt;"",AD150&lt;&gt;"",TODAY()&gt;AD150),"تاخیر",IF(L150&lt;&gt;"","در حال انجام",""))))))</f>
        <v>بسته</v>
      </c>
      <c r="V150" s="7" t="n">
        <f aca="true">IF(U150="تاخیر",TODAY()-AD150,IF(AND(U150="بسته",AH150&lt;&gt;"",AD150&lt;&gt;"",AH150&gt;AD150),AH150-AD150,0))</f>
        <v>0</v>
      </c>
      <c r="W150" s="7" t="n">
        <f aca="false">IF(L150="","",VALUE(LEFT(L150,FIND("/",L150)-1)))</f>
        <v>1405</v>
      </c>
      <c r="X150" s="7" t="n">
        <f aca="false">IF(L150="","",VALUE(MID(L150,FIND("/",L150)+1,FIND("/",L150,FIND("/",L150)+1)-FIND("/",L150)-1)))</f>
        <v>5</v>
      </c>
      <c r="Y150" s="7" t="n">
        <f aca="false">IF(L150="","",VALUE(MID(L150,FIND("/",L150,FIND("/",L150)+1)+1,LEN(L150)-FIND("/",L150,FIND("/",L150)+1))))</f>
        <v>12</v>
      </c>
      <c r="Z150" s="11" t="n">
        <f aca="false">IF(OR(L150="",W150=""),"",IFERROR(INDEX('لیست‌ها'!$Q$3:$Q$53,MATCH(W150,'لیست‌ها'!$P$3:$P$53,0))+IF(X150&lt;=6,(X150-1)*31+Y150,IF(X150&lt;=11,186+(X150-7)*30+Y150,336+Y150))-1,""))</f>
        <v>46237</v>
      </c>
      <c r="AA150" s="7" t="n">
        <f aca="false">IF(H150="","",VALUE(LEFT(H150,FIND("/",H150)-1)))</f>
        <v>1405</v>
      </c>
      <c r="AB150" s="7" t="n">
        <f aca="false">IF(H150="","",VALUE(MID(H150,FIND("/",H150)+1,FIND("/",H150,FIND("/",H150)+1)-FIND("/",H150)-1)))</f>
        <v>6</v>
      </c>
      <c r="AC150" s="7" t="n">
        <f aca="false">IF(H150="","",VALUE(MID(H150,FIND("/",H150,FIND("/",H150)+1)+1,LEN(H150)-FIND("/",H150,FIND("/",H150)+1))))</f>
        <v>23</v>
      </c>
      <c r="AD150" s="11" t="n">
        <f aca="false">IF(OR(H150="",AA150=""),"",IFERROR(INDEX('لیست‌ها'!$Q$3:$Q$53,MATCH(AA150,'لیست‌ها'!$P$3:$P$53,0))+IF(AB150&lt;=6,(AB150-1)*31+AC150,IF(AB150&lt;=11,186+(AB150-7)*30+AC150,336+AC150))-1,""))</f>
        <v>46279</v>
      </c>
      <c r="AE150" s="7" t="str">
        <f aca="false">IF(P150="","",VALUE(LEFT(P150,FIND("/",P150)-1)))</f>
        <v/>
      </c>
      <c r="AF150" s="7" t="str">
        <f aca="false">IF(P150="","",VALUE(MID(P150,FIND("/",P150)+1,FIND("/",P150,FIND("/",P150)+1)-FIND("/",P150)-1)))</f>
        <v/>
      </c>
      <c r="AG150" s="7" t="str">
        <f aca="false">IF(P150="","",VALUE(MID(P150,FIND("/",P150,FIND("/",P150)+1)+1,LEN(P150)-FIND("/",P150,FIND("/",P150)+1))))</f>
        <v/>
      </c>
      <c r="AH150" s="7" t="str">
        <f aca="false">IF(OR(P150="",AE150=""),"",IFERROR(INDEX('لیست‌ها'!$Q$3:$Q$53,MATCH(AE150,'لیست‌ها'!$P$3:$P$53,0))+IF(AF150&lt;=6,(AF150-1)*31+AG150,IF(AF150&lt;=11,186+(AF150-7)*30+AG150,336+AG150))-1,""))</f>
        <v/>
      </c>
      <c r="AI150" s="7" t="str">
        <f aca="false">IF(W150="","",W150&amp;"-"&amp;TEXT(X150,"00"))</f>
        <v>1405-05</v>
      </c>
      <c r="AJ150" s="7" t="n">
        <f aca="false">IF(W150="","",W150*12+X150)</f>
        <v>16865</v>
      </c>
      <c r="AK150" s="7" t="str">
        <f aca="false">IF(U150="تاخیر",V150+ROW()/100000,"")</f>
        <v/>
      </c>
    </row>
    <row r="151" customFormat="false" ht="15" hidden="false" customHeight="false" outlineLevel="0" collapsed="false">
      <c r="A151" s="7" t="n">
        <f aca="false">IF(B151="","",ROW()-3)</f>
        <v>148</v>
      </c>
      <c r="B151" s="8" t="s">
        <v>392</v>
      </c>
      <c r="C151" s="8" t="s">
        <v>38</v>
      </c>
      <c r="D151" s="8" t="s">
        <v>339</v>
      </c>
      <c r="E151" s="9" t="s">
        <v>393</v>
      </c>
      <c r="F151" s="9" t="s">
        <v>137</v>
      </c>
      <c r="G151" s="8" t="s">
        <v>394</v>
      </c>
      <c r="H151" s="8"/>
      <c r="I151" s="8"/>
      <c r="J151" s="9"/>
      <c r="K151" s="8"/>
      <c r="L151" s="8" t="s">
        <v>336</v>
      </c>
      <c r="M151" s="8" t="s">
        <v>71</v>
      </c>
      <c r="N151" s="8"/>
      <c r="O151" s="8"/>
      <c r="P151" s="8"/>
      <c r="Q151" s="8"/>
      <c r="R151" s="9"/>
      <c r="S151" s="8"/>
      <c r="T151" s="9"/>
      <c r="U151" s="10" t="str">
        <f aca="true">IF(B151="","",IF(OR(P151&lt;&gt;"",I151="می‌باشد"),"بسته",IF(AND(L151&lt;&gt;"",W151=""),"خطای فرمت تاریخ ایجاد",IF(AND(H151&lt;&gt;"",AA151=""),"خطای فرمت مهلت",IF(AND(H151&lt;&gt;"",AD151&lt;&gt;"",TODAY()&gt;AD151),"تاخیر",IF(L151&lt;&gt;"","در حال انجام",""))))))</f>
        <v>در حال انجام</v>
      </c>
      <c r="V151" s="7" t="n">
        <f aca="true">IF(U151="تاخیر",TODAY()-AD151,IF(AND(U151="بسته",AH151&lt;&gt;"",AD151&lt;&gt;"",AH151&gt;AD151),AH151-AD151,0))</f>
        <v>0</v>
      </c>
      <c r="W151" s="7" t="n">
        <f aca="false">IF(L151="","",VALUE(LEFT(L151,FIND("/",L151)-1)))</f>
        <v>1405</v>
      </c>
      <c r="X151" s="7" t="n">
        <f aca="false">IF(L151="","",VALUE(MID(L151,FIND("/",L151)+1,FIND("/",L151,FIND("/",L151)+1)-FIND("/",L151)-1)))</f>
        <v>5</v>
      </c>
      <c r="Y151" s="7" t="n">
        <f aca="false">IF(L151="","",VALUE(MID(L151,FIND("/",L151,FIND("/",L151)+1)+1,LEN(L151)-FIND("/",L151,FIND("/",L151)+1))))</f>
        <v>12</v>
      </c>
      <c r="Z151" s="11" t="n">
        <f aca="false">IF(OR(L151="",W151=""),"",IFERROR(INDEX('لیست‌ها'!$Q$3:$Q$53,MATCH(W151,'لیست‌ها'!$P$3:$P$53,0))+IF(X151&lt;=6,(X151-1)*31+Y151,IF(X151&lt;=11,186+(X151-7)*30+Y151,336+Y151))-1,""))</f>
        <v>46237</v>
      </c>
      <c r="AA151" s="7" t="str">
        <f aca="false">IF(H151="","",VALUE(LEFT(H151,FIND("/",H151)-1)))</f>
        <v/>
      </c>
      <c r="AB151" s="7" t="str">
        <f aca="false">IF(H151="","",VALUE(MID(H151,FIND("/",H151)+1,FIND("/",H151,FIND("/",H151)+1)-FIND("/",H151)-1)))</f>
        <v/>
      </c>
      <c r="AC151" s="7" t="str">
        <f aca="false">IF(H151="","",VALUE(MID(H151,FIND("/",H151,FIND("/",H151)+1)+1,LEN(H151)-FIND("/",H151,FIND("/",H151)+1))))</f>
        <v/>
      </c>
      <c r="AD151" s="7" t="str">
        <f aca="false">IF(OR(H151="",AA151=""),"",IFERROR(INDEX('لیست‌ها'!$Q$3:$Q$53,MATCH(AA151,'لیست‌ها'!$P$3:$P$53,0))+IF(AB151&lt;=6,(AB151-1)*31+AC151,IF(AB151&lt;=11,186+(AB151-7)*30+AC151,336+AC151))-1,""))</f>
        <v/>
      </c>
      <c r="AE151" s="7" t="str">
        <f aca="false">IF(P151="","",VALUE(LEFT(P151,FIND("/",P151)-1)))</f>
        <v/>
      </c>
      <c r="AF151" s="7" t="str">
        <f aca="false">IF(P151="","",VALUE(MID(P151,FIND("/",P151)+1,FIND("/",P151,FIND("/",P151)+1)-FIND("/",P151)-1)))</f>
        <v/>
      </c>
      <c r="AG151" s="7" t="str">
        <f aca="false">IF(P151="","",VALUE(MID(P151,FIND("/",P151,FIND("/",P151)+1)+1,LEN(P151)-FIND("/",P151,FIND("/",P151)+1))))</f>
        <v/>
      </c>
      <c r="AH151" s="7" t="str">
        <f aca="false">IF(OR(P151="",AE151=""),"",IFERROR(INDEX('لیست‌ها'!$Q$3:$Q$53,MATCH(AE151,'لیست‌ها'!$P$3:$P$53,0))+IF(AF151&lt;=6,(AF151-1)*31+AG151,IF(AF151&lt;=11,186+(AF151-7)*30+AG151,336+AG151))-1,""))</f>
        <v/>
      </c>
      <c r="AI151" s="7" t="str">
        <f aca="false">IF(W151="","",W151&amp;"-"&amp;TEXT(X151,"00"))</f>
        <v>1405-05</v>
      </c>
      <c r="AJ151" s="7" t="n">
        <f aca="false">IF(W151="","",W151*12+X151)</f>
        <v>16865</v>
      </c>
      <c r="AK151" s="7" t="str">
        <f aca="false">IF(U151="تاخیر",V151+ROW()/100000,"")</f>
        <v/>
      </c>
    </row>
    <row r="152" customFormat="false" ht="15" hidden="false" customHeight="false" outlineLevel="0" collapsed="false">
      <c r="A152" s="7" t="n">
        <f aca="false">IF(B152="","",ROW()-3)</f>
        <v>149</v>
      </c>
      <c r="B152" s="8" t="s">
        <v>390</v>
      </c>
      <c r="C152" s="8" t="s">
        <v>38</v>
      </c>
      <c r="D152" s="8" t="s">
        <v>339</v>
      </c>
      <c r="E152" s="9" t="s">
        <v>391</v>
      </c>
      <c r="F152" s="9" t="s">
        <v>137</v>
      </c>
      <c r="G152" s="8" t="s">
        <v>381</v>
      </c>
      <c r="H152" s="8" t="s">
        <v>315</v>
      </c>
      <c r="I152" s="8" t="s">
        <v>54</v>
      </c>
      <c r="J152" s="9"/>
      <c r="K152" s="8"/>
      <c r="L152" s="8" t="s">
        <v>336</v>
      </c>
      <c r="M152" s="8" t="s">
        <v>56</v>
      </c>
      <c r="N152" s="8"/>
      <c r="O152" s="8"/>
      <c r="P152" s="8"/>
      <c r="Q152" s="8"/>
      <c r="R152" s="9"/>
      <c r="S152" s="8"/>
      <c r="T152" s="9"/>
      <c r="U152" s="10" t="str">
        <f aca="true">IF(B152="","",IF(OR(P152&lt;&gt;"",I152="می‌باشد"),"بسته",IF(AND(L152&lt;&gt;"",W152=""),"خطای فرمت تاریخ ایجاد",IF(AND(H152&lt;&gt;"",AA152=""),"خطای فرمت مهلت",IF(AND(H152&lt;&gt;"",AD152&lt;&gt;"",TODAY()&gt;AD152),"تاخیر",IF(L152&lt;&gt;"","در حال انجام",""))))))</f>
        <v>بسته</v>
      </c>
      <c r="V152" s="7" t="n">
        <f aca="true">IF(U152="تاخیر",TODAY()-AD152,IF(AND(U152="بسته",AH152&lt;&gt;"",AD152&lt;&gt;"",AH152&gt;AD152),AH152-AD152,0))</f>
        <v>0</v>
      </c>
      <c r="W152" s="7" t="n">
        <f aca="false">IF(L152="","",VALUE(LEFT(L152,FIND("/",L152)-1)))</f>
        <v>1405</v>
      </c>
      <c r="X152" s="7" t="n">
        <f aca="false">IF(L152="","",VALUE(MID(L152,FIND("/",L152)+1,FIND("/",L152,FIND("/",L152)+1)-FIND("/",L152)-1)))</f>
        <v>5</v>
      </c>
      <c r="Y152" s="7" t="n">
        <f aca="false">IF(L152="","",VALUE(MID(L152,FIND("/",L152,FIND("/",L152)+1)+1,LEN(L152)-FIND("/",L152,FIND("/",L152)+1))))</f>
        <v>12</v>
      </c>
      <c r="Z152" s="11" t="n">
        <f aca="false">IF(OR(L152="",W152=""),"",IFERROR(INDEX('لیست‌ها'!$Q$3:$Q$53,MATCH(W152,'لیست‌ها'!$P$3:$P$53,0))+IF(X152&lt;=6,(X152-1)*31+Y152,IF(X152&lt;=11,186+(X152-7)*30+Y152,336+Y152))-1,""))</f>
        <v>46237</v>
      </c>
      <c r="AA152" s="7" t="n">
        <f aca="false">IF(H152="","",VALUE(LEFT(H152,FIND("/",H152)-1)))</f>
        <v>1405</v>
      </c>
      <c r="AB152" s="7" t="n">
        <f aca="false">IF(H152="","",VALUE(MID(H152,FIND("/",H152)+1,FIND("/",H152,FIND("/",H152)+1)-FIND("/",H152)-1)))</f>
        <v>6</v>
      </c>
      <c r="AC152" s="7" t="n">
        <f aca="false">IF(H152="","",VALUE(MID(H152,FIND("/",H152,FIND("/",H152)+1)+1,LEN(H152)-FIND("/",H152,FIND("/",H152)+1))))</f>
        <v>21</v>
      </c>
      <c r="AD152" s="11" t="n">
        <f aca="false">IF(OR(H152="",AA152=""),"",IFERROR(INDEX('لیست‌ها'!$Q$3:$Q$53,MATCH(AA152,'لیست‌ها'!$P$3:$P$53,0))+IF(AB152&lt;=6,(AB152-1)*31+AC152,IF(AB152&lt;=11,186+(AB152-7)*30+AC152,336+AC152))-1,""))</f>
        <v>46277</v>
      </c>
      <c r="AE152" s="7" t="str">
        <f aca="false">IF(P152="","",VALUE(LEFT(P152,FIND("/",P152)-1)))</f>
        <v/>
      </c>
      <c r="AF152" s="7" t="str">
        <f aca="false">IF(P152="","",VALUE(MID(P152,FIND("/",P152)+1,FIND("/",P152,FIND("/",P152)+1)-FIND("/",P152)-1)))</f>
        <v/>
      </c>
      <c r="AG152" s="7" t="str">
        <f aca="false">IF(P152="","",VALUE(MID(P152,FIND("/",P152,FIND("/",P152)+1)+1,LEN(P152)-FIND("/",P152,FIND("/",P152)+1))))</f>
        <v/>
      </c>
      <c r="AH152" s="7" t="str">
        <f aca="false">IF(OR(P152="",AE152=""),"",IFERROR(INDEX('لیست‌ها'!$Q$3:$Q$53,MATCH(AE152,'لیست‌ها'!$P$3:$P$53,0))+IF(AF152&lt;=6,(AF152-1)*31+AG152,IF(AF152&lt;=11,186+(AF152-7)*30+AG152,336+AG152))-1,""))</f>
        <v/>
      </c>
      <c r="AI152" s="7" t="str">
        <f aca="false">IF(W152="","",W152&amp;"-"&amp;TEXT(X152,"00"))</f>
        <v>1405-05</v>
      </c>
      <c r="AJ152" s="7" t="n">
        <f aca="false">IF(W152="","",W152*12+X152)</f>
        <v>16865</v>
      </c>
      <c r="AK152" s="7" t="str">
        <f aca="false">IF(U152="تاخیر",V152+ROW()/100000,"")</f>
        <v/>
      </c>
    </row>
    <row r="153" customFormat="false" ht="15" hidden="false" customHeight="false" outlineLevel="0" collapsed="false">
      <c r="A153" s="7" t="n">
        <f aca="false">IF(B153="","",ROW()-3)</f>
        <v>150</v>
      </c>
      <c r="B153" s="8" t="s">
        <v>388</v>
      </c>
      <c r="C153" s="8" t="s">
        <v>38</v>
      </c>
      <c r="D153" s="8" t="s">
        <v>47</v>
      </c>
      <c r="E153" s="9" t="s">
        <v>389</v>
      </c>
      <c r="F153" s="9" t="s">
        <v>137</v>
      </c>
      <c r="G153" s="8" t="s">
        <v>92</v>
      </c>
      <c r="H153" s="8" t="s">
        <v>387</v>
      </c>
      <c r="I153" s="8"/>
      <c r="J153" s="9"/>
      <c r="K153" s="8"/>
      <c r="L153" s="8" t="s">
        <v>336</v>
      </c>
      <c r="M153" s="8" t="s">
        <v>110</v>
      </c>
      <c r="N153" s="8"/>
      <c r="O153" s="8"/>
      <c r="P153" s="8"/>
      <c r="Q153" s="8"/>
      <c r="R153" s="9"/>
      <c r="S153" s="8"/>
      <c r="T153" s="9"/>
      <c r="U153" s="10" t="str">
        <f aca="true">IF(B153="","",IF(OR(P153&lt;&gt;"",I153="می‌باشد"),"بسته",IF(AND(L153&lt;&gt;"",W153=""),"خطای فرمت تاریخ ایجاد",IF(AND(H153&lt;&gt;"",AA153=""),"خطای فرمت مهلت",IF(AND(H153&lt;&gt;"",AD153&lt;&gt;"",TODAY()&gt;AD153),"تاخیر",IF(L153&lt;&gt;"","در حال انجام",""))))))</f>
        <v>تاخیر</v>
      </c>
      <c r="V153" s="7" t="n">
        <f aca="true">IF(U153="تاخیر",TODAY()-AD153,IF(AND(U153="بسته",AH153&lt;&gt;"",AD153&lt;&gt;"",AH153&gt;AD153),AH153-AD153,0))</f>
        <v>8</v>
      </c>
      <c r="W153" s="7" t="n">
        <f aca="false">IF(L153="","",VALUE(LEFT(L153,FIND("/",L153)-1)))</f>
        <v>1405</v>
      </c>
      <c r="X153" s="7" t="n">
        <f aca="false">IF(L153="","",VALUE(MID(L153,FIND("/",L153)+1,FIND("/",L153,FIND("/",L153)+1)-FIND("/",L153)-1)))</f>
        <v>5</v>
      </c>
      <c r="Y153" s="7" t="n">
        <f aca="false">IF(L153="","",VALUE(MID(L153,FIND("/",L153,FIND("/",L153)+1)+1,LEN(L153)-FIND("/",L153,FIND("/",L153)+1))))</f>
        <v>12</v>
      </c>
      <c r="Z153" s="11" t="n">
        <f aca="false">IF(OR(L153="",W153=""),"",IFERROR(INDEX('لیست‌ها'!$Q$3:$Q$53,MATCH(W153,'لیست‌ها'!$P$3:$P$53,0))+IF(X153&lt;=6,(X153-1)*31+Y153,IF(X153&lt;=11,186+(X153-7)*30+Y153,336+Y153))-1,""))</f>
        <v>46237</v>
      </c>
      <c r="AA153" s="7" t="n">
        <f aca="false">IF(H153="","",VALUE(LEFT(H153,FIND("/",H153)-1)))</f>
        <v>1405</v>
      </c>
      <c r="AB153" s="7" t="n">
        <f aca="false">IF(H153="","",VALUE(MID(H153,FIND("/",H153)+1,FIND("/",H153,FIND("/",H153)+1)-FIND("/",H153)-1)))</f>
        <v>6</v>
      </c>
      <c r="AC153" s="7" t="n">
        <f aca="false">IF(H153="","",VALUE(MID(H153,FIND("/",H153,FIND("/",H153)+1)+1,LEN(H153)-FIND("/",H153,FIND("/",H153)+1))))</f>
        <v>31</v>
      </c>
      <c r="AD153" s="11" t="n">
        <f aca="false">IF(OR(H153="",AA153=""),"",IFERROR(INDEX('لیست‌ها'!$Q$3:$Q$53,MATCH(AA153,'لیست‌ها'!$P$3:$P$53,0))+IF(AB153&lt;=6,(AB153-1)*31+AC153,IF(AB153&lt;=11,186+(AB153-7)*30+AC153,336+AC153))-1,""))</f>
        <v>46287</v>
      </c>
      <c r="AE153" s="7" t="str">
        <f aca="false">IF(P153="","",VALUE(LEFT(P153,FIND("/",P153)-1)))</f>
        <v/>
      </c>
      <c r="AF153" s="7" t="str">
        <f aca="false">IF(P153="","",VALUE(MID(P153,FIND("/",P153)+1,FIND("/",P153,FIND("/",P153)+1)-FIND("/",P153)-1)))</f>
        <v/>
      </c>
      <c r="AG153" s="7" t="str">
        <f aca="false">IF(P153="","",VALUE(MID(P153,FIND("/",P153,FIND("/",P153)+1)+1,LEN(P153)-FIND("/",P153,FIND("/",P153)+1))))</f>
        <v/>
      </c>
      <c r="AH153" s="7" t="str">
        <f aca="false">IF(OR(P153="",AE153=""),"",IFERROR(INDEX('لیست‌ها'!$Q$3:$Q$53,MATCH(AE153,'لیست‌ها'!$P$3:$P$53,0))+IF(AF153&lt;=6,(AF153-1)*31+AG153,IF(AF153&lt;=11,186+(AF153-7)*30+AG153,336+AG153))-1,""))</f>
        <v/>
      </c>
      <c r="AI153" s="7" t="str">
        <f aca="false">IF(W153="","",W153&amp;"-"&amp;TEXT(X153,"00"))</f>
        <v>1405-05</v>
      </c>
      <c r="AJ153" s="7" t="n">
        <f aca="false">IF(W153="","",W153*12+X153)</f>
        <v>16865</v>
      </c>
      <c r="AK153" s="7" t="n">
        <f aca="false">IF(U153="تاخیر",V153+ROW()/100000,"")</f>
        <v>8.00156</v>
      </c>
    </row>
    <row r="154" customFormat="false" ht="15" hidden="false" customHeight="false" outlineLevel="0" collapsed="false">
      <c r="A154" s="7" t="n">
        <f aca="false">IF(B154="","",ROW()-3)</f>
        <v>151</v>
      </c>
      <c r="B154" s="8" t="s">
        <v>385</v>
      </c>
      <c r="C154" s="8" t="s">
        <v>38</v>
      </c>
      <c r="D154" s="8" t="s">
        <v>339</v>
      </c>
      <c r="E154" s="9" t="s">
        <v>386</v>
      </c>
      <c r="F154" s="9" t="s">
        <v>137</v>
      </c>
      <c r="G154" s="8" t="s">
        <v>92</v>
      </c>
      <c r="H154" s="8" t="s">
        <v>387</v>
      </c>
      <c r="I154" s="8"/>
      <c r="J154" s="9"/>
      <c r="K154" s="8"/>
      <c r="L154" s="8" t="s">
        <v>336</v>
      </c>
      <c r="M154" s="8" t="s">
        <v>110</v>
      </c>
      <c r="N154" s="8"/>
      <c r="O154" s="8"/>
      <c r="P154" s="8"/>
      <c r="Q154" s="8"/>
      <c r="R154" s="9"/>
      <c r="S154" s="8"/>
      <c r="T154" s="9"/>
      <c r="U154" s="10" t="str">
        <f aca="true">IF(B154="","",IF(OR(P154&lt;&gt;"",I154="می‌باشد"),"بسته",IF(AND(L154&lt;&gt;"",W154=""),"خطای فرمت تاریخ ایجاد",IF(AND(H154&lt;&gt;"",AA154=""),"خطای فرمت مهلت",IF(AND(H154&lt;&gt;"",AD154&lt;&gt;"",TODAY()&gt;AD154),"تاخیر",IF(L154&lt;&gt;"","در حال انجام",""))))))</f>
        <v>تاخیر</v>
      </c>
      <c r="V154" s="7" t="n">
        <f aca="true">IF(U154="تاخیر",TODAY()-AD154,IF(AND(U154="بسته",AH154&lt;&gt;"",AD154&lt;&gt;"",AH154&gt;AD154),AH154-AD154,0))</f>
        <v>8</v>
      </c>
      <c r="W154" s="7" t="n">
        <f aca="false">IF(L154="","",VALUE(LEFT(L154,FIND("/",L154)-1)))</f>
        <v>1405</v>
      </c>
      <c r="X154" s="7" t="n">
        <f aca="false">IF(L154="","",VALUE(MID(L154,FIND("/",L154)+1,FIND("/",L154,FIND("/",L154)+1)-FIND("/",L154)-1)))</f>
        <v>5</v>
      </c>
      <c r="Y154" s="7" t="n">
        <f aca="false">IF(L154="","",VALUE(MID(L154,FIND("/",L154,FIND("/",L154)+1)+1,LEN(L154)-FIND("/",L154,FIND("/",L154)+1))))</f>
        <v>12</v>
      </c>
      <c r="Z154" s="11" t="n">
        <f aca="false">IF(OR(L154="",W154=""),"",IFERROR(INDEX('لیست‌ها'!$Q$3:$Q$53,MATCH(W154,'لیست‌ها'!$P$3:$P$53,0))+IF(X154&lt;=6,(X154-1)*31+Y154,IF(X154&lt;=11,186+(X154-7)*30+Y154,336+Y154))-1,""))</f>
        <v>46237</v>
      </c>
      <c r="AA154" s="7" t="n">
        <f aca="false">IF(H154="","",VALUE(LEFT(H154,FIND("/",H154)-1)))</f>
        <v>1405</v>
      </c>
      <c r="AB154" s="7" t="n">
        <f aca="false">IF(H154="","",VALUE(MID(H154,FIND("/",H154)+1,FIND("/",H154,FIND("/",H154)+1)-FIND("/",H154)-1)))</f>
        <v>6</v>
      </c>
      <c r="AC154" s="7" t="n">
        <f aca="false">IF(H154="","",VALUE(MID(H154,FIND("/",H154,FIND("/",H154)+1)+1,LEN(H154)-FIND("/",H154,FIND("/",H154)+1))))</f>
        <v>31</v>
      </c>
      <c r="AD154" s="11" t="n">
        <f aca="false">IF(OR(H154="",AA154=""),"",IFERROR(INDEX('لیست‌ها'!$Q$3:$Q$53,MATCH(AA154,'لیست‌ها'!$P$3:$P$53,0))+IF(AB154&lt;=6,(AB154-1)*31+AC154,IF(AB154&lt;=11,186+(AB154-7)*30+AC154,336+AC154))-1,""))</f>
        <v>46287</v>
      </c>
      <c r="AE154" s="7" t="str">
        <f aca="false">IF(P154="","",VALUE(LEFT(P154,FIND("/",P154)-1)))</f>
        <v/>
      </c>
      <c r="AF154" s="7" t="str">
        <f aca="false">IF(P154="","",VALUE(MID(P154,FIND("/",P154)+1,FIND("/",P154,FIND("/",P154)+1)-FIND("/",P154)-1)))</f>
        <v/>
      </c>
      <c r="AG154" s="7" t="str">
        <f aca="false">IF(P154="","",VALUE(MID(P154,FIND("/",P154,FIND("/",P154)+1)+1,LEN(P154)-FIND("/",P154,FIND("/",P154)+1))))</f>
        <v/>
      </c>
      <c r="AH154" s="7" t="str">
        <f aca="false">IF(OR(P154="",AE154=""),"",IFERROR(INDEX('لیست‌ها'!$Q$3:$Q$53,MATCH(AE154,'لیست‌ها'!$P$3:$P$53,0))+IF(AF154&lt;=6,(AF154-1)*31+AG154,IF(AF154&lt;=11,186+(AF154-7)*30+AG154,336+AG154))-1,""))</f>
        <v/>
      </c>
      <c r="AI154" s="7" t="str">
        <f aca="false">IF(W154="","",W154&amp;"-"&amp;TEXT(X154,"00"))</f>
        <v>1405-05</v>
      </c>
      <c r="AJ154" s="7" t="n">
        <f aca="false">IF(W154="","",W154*12+X154)</f>
        <v>16865</v>
      </c>
      <c r="AK154" s="7" t="n">
        <f aca="false">IF(U154="تاخیر",V154+ROW()/100000,"")</f>
        <v>8.00155</v>
      </c>
    </row>
    <row r="155" customFormat="false" ht="15" hidden="false" customHeight="false" outlineLevel="0" collapsed="false">
      <c r="A155" s="7" t="n">
        <f aca="false">IF(B155="","",ROW()-3)</f>
        <v>152</v>
      </c>
      <c r="B155" s="8" t="s">
        <v>383</v>
      </c>
      <c r="C155" s="8" t="s">
        <v>38</v>
      </c>
      <c r="D155" s="8" t="s">
        <v>339</v>
      </c>
      <c r="E155" s="9" t="s">
        <v>384</v>
      </c>
      <c r="F155" s="9" t="s">
        <v>137</v>
      </c>
      <c r="G155" s="8" t="s">
        <v>92</v>
      </c>
      <c r="H155" s="8" t="s">
        <v>382</v>
      </c>
      <c r="I155" s="8"/>
      <c r="J155" s="9"/>
      <c r="K155" s="8"/>
      <c r="L155" s="8" t="s">
        <v>336</v>
      </c>
      <c r="M155" s="8" t="s">
        <v>374</v>
      </c>
      <c r="N155" s="8"/>
      <c r="O155" s="8"/>
      <c r="P155" s="8"/>
      <c r="Q155" s="8"/>
      <c r="R155" s="9"/>
      <c r="S155" s="8"/>
      <c r="T155" s="9"/>
      <c r="U155" s="10" t="str">
        <f aca="true">IF(B155="","",IF(OR(P155&lt;&gt;"",I155="می‌باشد"),"بسته",IF(AND(L155&lt;&gt;"",W155=""),"خطای فرمت تاریخ ایجاد",IF(AND(H155&lt;&gt;"",AA155=""),"خطای فرمت مهلت",IF(AND(H155&lt;&gt;"",AD155&lt;&gt;"",TODAY()&gt;AD155),"تاخیر",IF(L155&lt;&gt;"","در حال انجام",""))))))</f>
        <v>تاخیر</v>
      </c>
      <c r="V155" s="7" t="n">
        <f aca="true">IF(U155="تاخیر",TODAY()-AD155,IF(AND(U155="بسته",AH155&lt;&gt;"",AD155&lt;&gt;"",AH155&gt;AD155),AH155-AD155,0))</f>
        <v>16</v>
      </c>
      <c r="W155" s="7" t="n">
        <f aca="false">IF(L155="","",VALUE(LEFT(L155,FIND("/",L155)-1)))</f>
        <v>1405</v>
      </c>
      <c r="X155" s="7" t="n">
        <f aca="false">IF(L155="","",VALUE(MID(L155,FIND("/",L155)+1,FIND("/",L155,FIND("/",L155)+1)-FIND("/",L155)-1)))</f>
        <v>5</v>
      </c>
      <c r="Y155" s="7" t="n">
        <f aca="false">IF(L155="","",VALUE(MID(L155,FIND("/",L155,FIND("/",L155)+1)+1,LEN(L155)-FIND("/",L155,FIND("/",L155)+1))))</f>
        <v>12</v>
      </c>
      <c r="Z155" s="11" t="n">
        <f aca="false">IF(OR(L155="",W155=""),"",IFERROR(INDEX('لیست‌ها'!$Q$3:$Q$53,MATCH(W155,'لیست‌ها'!$P$3:$P$53,0))+IF(X155&lt;=6,(X155-1)*31+Y155,IF(X155&lt;=11,186+(X155-7)*30+Y155,336+Y155))-1,""))</f>
        <v>46237</v>
      </c>
      <c r="AA155" s="7" t="n">
        <f aca="false">IF(H155="","",VALUE(LEFT(H155,FIND("/",H155)-1)))</f>
        <v>1405</v>
      </c>
      <c r="AB155" s="7" t="n">
        <f aca="false">IF(H155="","",VALUE(MID(H155,FIND("/",H155)+1,FIND("/",H155,FIND("/",H155)+1)-FIND("/",H155)-1)))</f>
        <v>6</v>
      </c>
      <c r="AC155" s="7" t="n">
        <f aca="false">IF(H155="","",VALUE(MID(H155,FIND("/",H155,FIND("/",H155)+1)+1,LEN(H155)-FIND("/",H155,FIND("/",H155)+1))))</f>
        <v>23</v>
      </c>
      <c r="AD155" s="11" t="n">
        <f aca="false">IF(OR(H155="",AA155=""),"",IFERROR(INDEX('لیست‌ها'!$Q$3:$Q$53,MATCH(AA155,'لیست‌ها'!$P$3:$P$53,0))+IF(AB155&lt;=6,(AB155-1)*31+AC155,IF(AB155&lt;=11,186+(AB155-7)*30+AC155,336+AC155))-1,""))</f>
        <v>46279</v>
      </c>
      <c r="AE155" s="7" t="str">
        <f aca="false">IF(P155="","",VALUE(LEFT(P155,FIND("/",P155)-1)))</f>
        <v/>
      </c>
      <c r="AF155" s="7" t="str">
        <f aca="false">IF(P155="","",VALUE(MID(P155,FIND("/",P155)+1,FIND("/",P155,FIND("/",P155)+1)-FIND("/",P155)-1)))</f>
        <v/>
      </c>
      <c r="AG155" s="7" t="str">
        <f aca="false">IF(P155="","",VALUE(MID(P155,FIND("/",P155,FIND("/",P155)+1)+1,LEN(P155)-FIND("/",P155,FIND("/",P155)+1))))</f>
        <v/>
      </c>
      <c r="AH155" s="7" t="str">
        <f aca="false">IF(OR(P155="",AE155=""),"",IFERROR(INDEX('لیست‌ها'!$Q$3:$Q$53,MATCH(AE155,'لیست‌ها'!$P$3:$P$53,0))+IF(AF155&lt;=6,(AF155-1)*31+AG155,IF(AF155&lt;=11,186+(AF155-7)*30+AG155,336+AG155))-1,""))</f>
        <v/>
      </c>
      <c r="AI155" s="7" t="str">
        <f aca="false">IF(W155="","",W155&amp;"-"&amp;TEXT(X155,"00"))</f>
        <v>1405-05</v>
      </c>
      <c r="AJ155" s="7" t="n">
        <f aca="false">IF(W155="","",W155*12+X155)</f>
        <v>16865</v>
      </c>
      <c r="AK155" s="7" t="n">
        <f aca="false">IF(U155="تاخیر",V155+ROW()/100000,"")</f>
        <v>16.00154</v>
      </c>
    </row>
    <row r="156" customFormat="false" ht="15" hidden="false" customHeight="false" outlineLevel="0" collapsed="false">
      <c r="A156" s="7" t="n">
        <f aca="false">IF(B156="","",ROW()-3)</f>
        <v>153</v>
      </c>
      <c r="B156" s="8" t="s">
        <v>379</v>
      </c>
      <c r="C156" s="8" t="s">
        <v>38</v>
      </c>
      <c r="D156" s="8" t="s">
        <v>339</v>
      </c>
      <c r="E156" s="9" t="s">
        <v>380</v>
      </c>
      <c r="F156" s="9" t="s">
        <v>137</v>
      </c>
      <c r="G156" s="8" t="s">
        <v>381</v>
      </c>
      <c r="H156" s="8" t="s">
        <v>382</v>
      </c>
      <c r="I156" s="8"/>
      <c r="J156" s="9"/>
      <c r="K156" s="8"/>
      <c r="L156" s="8" t="s">
        <v>336</v>
      </c>
      <c r="M156" s="8" t="s">
        <v>110</v>
      </c>
      <c r="N156" s="8"/>
      <c r="O156" s="8"/>
      <c r="P156" s="8"/>
      <c r="Q156" s="8"/>
      <c r="R156" s="9"/>
      <c r="S156" s="8"/>
      <c r="T156" s="9"/>
      <c r="U156" s="10" t="str">
        <f aca="true">IF(B156="","",IF(OR(P156&lt;&gt;"",I156="می‌باشد"),"بسته",IF(AND(L156&lt;&gt;"",W156=""),"خطای فرمت تاریخ ایجاد",IF(AND(H156&lt;&gt;"",AA156=""),"خطای فرمت مهلت",IF(AND(H156&lt;&gt;"",AD156&lt;&gt;"",TODAY()&gt;AD156),"تاخیر",IF(L156&lt;&gt;"","در حال انجام",""))))))</f>
        <v>تاخیر</v>
      </c>
      <c r="V156" s="7" t="n">
        <f aca="true">IF(U156="تاخیر",TODAY()-AD156,IF(AND(U156="بسته",AH156&lt;&gt;"",AD156&lt;&gt;"",AH156&gt;AD156),AH156-AD156,0))</f>
        <v>16</v>
      </c>
      <c r="W156" s="7" t="n">
        <f aca="false">IF(L156="","",VALUE(LEFT(L156,FIND("/",L156)-1)))</f>
        <v>1405</v>
      </c>
      <c r="X156" s="7" t="n">
        <f aca="false">IF(L156="","",VALUE(MID(L156,FIND("/",L156)+1,FIND("/",L156,FIND("/",L156)+1)-FIND("/",L156)-1)))</f>
        <v>5</v>
      </c>
      <c r="Y156" s="7" t="n">
        <f aca="false">IF(L156="","",VALUE(MID(L156,FIND("/",L156,FIND("/",L156)+1)+1,LEN(L156)-FIND("/",L156,FIND("/",L156)+1))))</f>
        <v>12</v>
      </c>
      <c r="Z156" s="11" t="n">
        <f aca="false">IF(OR(L156="",W156=""),"",IFERROR(INDEX('لیست‌ها'!$Q$3:$Q$53,MATCH(W156,'لیست‌ها'!$P$3:$P$53,0))+IF(X156&lt;=6,(X156-1)*31+Y156,IF(X156&lt;=11,186+(X156-7)*30+Y156,336+Y156))-1,""))</f>
        <v>46237</v>
      </c>
      <c r="AA156" s="7" t="n">
        <f aca="false">IF(H156="","",VALUE(LEFT(H156,FIND("/",H156)-1)))</f>
        <v>1405</v>
      </c>
      <c r="AB156" s="7" t="n">
        <f aca="false">IF(H156="","",VALUE(MID(H156,FIND("/",H156)+1,FIND("/",H156,FIND("/",H156)+1)-FIND("/",H156)-1)))</f>
        <v>6</v>
      </c>
      <c r="AC156" s="7" t="n">
        <f aca="false">IF(H156="","",VALUE(MID(H156,FIND("/",H156,FIND("/",H156)+1)+1,LEN(H156)-FIND("/",H156,FIND("/",H156)+1))))</f>
        <v>23</v>
      </c>
      <c r="AD156" s="11" t="n">
        <f aca="false">IF(OR(H156="",AA156=""),"",IFERROR(INDEX('لیست‌ها'!$Q$3:$Q$53,MATCH(AA156,'لیست‌ها'!$P$3:$P$53,0))+IF(AB156&lt;=6,(AB156-1)*31+AC156,IF(AB156&lt;=11,186+(AB156-7)*30+AC156,336+AC156))-1,""))</f>
        <v>46279</v>
      </c>
      <c r="AE156" s="7" t="str">
        <f aca="false">IF(P156="","",VALUE(LEFT(P156,FIND("/",P156)-1)))</f>
        <v/>
      </c>
      <c r="AF156" s="7" t="str">
        <f aca="false">IF(P156="","",VALUE(MID(P156,FIND("/",P156)+1,FIND("/",P156,FIND("/",P156)+1)-FIND("/",P156)-1)))</f>
        <v/>
      </c>
      <c r="AG156" s="7" t="str">
        <f aca="false">IF(P156="","",VALUE(MID(P156,FIND("/",P156,FIND("/",P156)+1)+1,LEN(P156)-FIND("/",P156,FIND("/",P156)+1))))</f>
        <v/>
      </c>
      <c r="AH156" s="7" t="str">
        <f aca="false">IF(OR(P156="",AE156=""),"",IFERROR(INDEX('لیست‌ها'!$Q$3:$Q$53,MATCH(AE156,'لیست‌ها'!$P$3:$P$53,0))+IF(AF156&lt;=6,(AF156-1)*31+AG156,IF(AF156&lt;=11,186+(AF156-7)*30+AG156,336+AG156))-1,""))</f>
        <v/>
      </c>
      <c r="AI156" s="7" t="str">
        <f aca="false">IF(W156="","",W156&amp;"-"&amp;TEXT(X156,"00"))</f>
        <v>1405-05</v>
      </c>
      <c r="AJ156" s="7" t="n">
        <f aca="false">IF(W156="","",W156*12+X156)</f>
        <v>16865</v>
      </c>
      <c r="AK156" s="7" t="n">
        <f aca="false">IF(U156="تاخیر",V156+ROW()/100000,"")</f>
        <v>16.00153</v>
      </c>
    </row>
    <row r="157" customFormat="false" ht="15" hidden="false" customHeight="false" outlineLevel="0" collapsed="false">
      <c r="A157" s="7" t="n">
        <f aca="false">IF(B157="","",ROW()-3)</f>
        <v>154</v>
      </c>
      <c r="B157" s="8" t="s">
        <v>377</v>
      </c>
      <c r="C157" s="8" t="s">
        <v>38</v>
      </c>
      <c r="D157" s="8" t="s">
        <v>339</v>
      </c>
      <c r="E157" s="9" t="s">
        <v>378</v>
      </c>
      <c r="F157" s="9" t="s">
        <v>137</v>
      </c>
      <c r="G157" s="8" t="s">
        <v>42</v>
      </c>
      <c r="H157" s="8"/>
      <c r="I157" s="8"/>
      <c r="J157" s="9"/>
      <c r="K157" s="8"/>
      <c r="L157" s="8" t="s">
        <v>336</v>
      </c>
      <c r="M157" s="8" t="s">
        <v>56</v>
      </c>
      <c r="N157" s="8"/>
      <c r="O157" s="8"/>
      <c r="P157" s="8"/>
      <c r="Q157" s="8"/>
      <c r="R157" s="9"/>
      <c r="S157" s="8"/>
      <c r="T157" s="9"/>
      <c r="U157" s="10" t="str">
        <f aca="true">IF(B157="","",IF(OR(P157&lt;&gt;"",I157="می‌باشد"),"بسته",IF(AND(L157&lt;&gt;"",W157=""),"خطای فرمت تاریخ ایجاد",IF(AND(H157&lt;&gt;"",AA157=""),"خطای فرمت مهلت",IF(AND(H157&lt;&gt;"",AD157&lt;&gt;"",TODAY()&gt;AD157),"تاخیر",IF(L157&lt;&gt;"","در حال انجام",""))))))</f>
        <v>در حال انجام</v>
      </c>
      <c r="V157" s="7" t="n">
        <f aca="true">IF(U157="تاخیر",TODAY()-AD157,IF(AND(U157="بسته",AH157&lt;&gt;"",AD157&lt;&gt;"",AH157&gt;AD157),AH157-AD157,0))</f>
        <v>0</v>
      </c>
      <c r="W157" s="7" t="n">
        <f aca="false">IF(L157="","",VALUE(LEFT(L157,FIND("/",L157)-1)))</f>
        <v>1405</v>
      </c>
      <c r="X157" s="7" t="n">
        <f aca="false">IF(L157="","",VALUE(MID(L157,FIND("/",L157)+1,FIND("/",L157,FIND("/",L157)+1)-FIND("/",L157)-1)))</f>
        <v>5</v>
      </c>
      <c r="Y157" s="7" t="n">
        <f aca="false">IF(L157="","",VALUE(MID(L157,FIND("/",L157,FIND("/",L157)+1)+1,LEN(L157)-FIND("/",L157,FIND("/",L157)+1))))</f>
        <v>12</v>
      </c>
      <c r="Z157" s="11" t="n">
        <f aca="false">IF(OR(L157="",W157=""),"",IFERROR(INDEX('لیست‌ها'!$Q$3:$Q$53,MATCH(W157,'لیست‌ها'!$P$3:$P$53,0))+IF(X157&lt;=6,(X157-1)*31+Y157,IF(X157&lt;=11,186+(X157-7)*30+Y157,336+Y157))-1,""))</f>
        <v>46237</v>
      </c>
      <c r="AA157" s="7" t="str">
        <f aca="false">IF(H157="","",VALUE(LEFT(H157,FIND("/",H157)-1)))</f>
        <v/>
      </c>
      <c r="AB157" s="7" t="str">
        <f aca="false">IF(H157="","",VALUE(MID(H157,FIND("/",H157)+1,FIND("/",H157,FIND("/",H157)+1)-FIND("/",H157)-1)))</f>
        <v/>
      </c>
      <c r="AC157" s="7" t="str">
        <f aca="false">IF(H157="","",VALUE(MID(H157,FIND("/",H157,FIND("/",H157)+1)+1,LEN(H157)-FIND("/",H157,FIND("/",H157)+1))))</f>
        <v/>
      </c>
      <c r="AD157" s="7" t="str">
        <f aca="false">IF(OR(H157="",AA157=""),"",IFERROR(INDEX('لیست‌ها'!$Q$3:$Q$53,MATCH(AA157,'لیست‌ها'!$P$3:$P$53,0))+IF(AB157&lt;=6,(AB157-1)*31+AC157,IF(AB157&lt;=11,186+(AB157-7)*30+AC157,336+AC157))-1,""))</f>
        <v/>
      </c>
      <c r="AE157" s="7" t="str">
        <f aca="false">IF(P157="","",VALUE(LEFT(P157,FIND("/",P157)-1)))</f>
        <v/>
      </c>
      <c r="AF157" s="7" t="str">
        <f aca="false">IF(P157="","",VALUE(MID(P157,FIND("/",P157)+1,FIND("/",P157,FIND("/",P157)+1)-FIND("/",P157)-1)))</f>
        <v/>
      </c>
      <c r="AG157" s="7" t="str">
        <f aca="false">IF(P157="","",VALUE(MID(P157,FIND("/",P157,FIND("/",P157)+1)+1,LEN(P157)-FIND("/",P157,FIND("/",P157)+1))))</f>
        <v/>
      </c>
      <c r="AH157" s="7" t="str">
        <f aca="false">IF(OR(P157="",AE157=""),"",IFERROR(INDEX('لیست‌ها'!$Q$3:$Q$53,MATCH(AE157,'لیست‌ها'!$P$3:$P$53,0))+IF(AF157&lt;=6,(AF157-1)*31+AG157,IF(AF157&lt;=11,186+(AF157-7)*30+AG157,336+AG157))-1,""))</f>
        <v/>
      </c>
      <c r="AI157" s="7" t="str">
        <f aca="false">IF(W157="","",W157&amp;"-"&amp;TEXT(X157,"00"))</f>
        <v>1405-05</v>
      </c>
      <c r="AJ157" s="7" t="n">
        <f aca="false">IF(W157="","",W157*12+X157)</f>
        <v>16865</v>
      </c>
      <c r="AK157" s="7" t="str">
        <f aca="false">IF(U157="تاخیر",V157+ROW()/100000,"")</f>
        <v/>
      </c>
    </row>
    <row r="158" customFormat="false" ht="15" hidden="false" customHeight="false" outlineLevel="0" collapsed="false">
      <c r="A158" s="7" t="n">
        <f aca="false">IF(B158="","",ROW()-3)</f>
        <v>155</v>
      </c>
      <c r="B158" s="8" t="s">
        <v>375</v>
      </c>
      <c r="C158" s="8" t="s">
        <v>38</v>
      </c>
      <c r="D158" s="8" t="s">
        <v>339</v>
      </c>
      <c r="E158" s="9" t="s">
        <v>376</v>
      </c>
      <c r="F158" s="9" t="s">
        <v>137</v>
      </c>
      <c r="G158" s="8" t="s">
        <v>42</v>
      </c>
      <c r="H158" s="8" t="s">
        <v>315</v>
      </c>
      <c r="I158" s="8" t="s">
        <v>54</v>
      </c>
      <c r="J158" s="9"/>
      <c r="K158" s="8"/>
      <c r="L158" s="8" t="s">
        <v>336</v>
      </c>
      <c r="M158" s="8" t="s">
        <v>56</v>
      </c>
      <c r="N158" s="8"/>
      <c r="O158" s="8"/>
      <c r="P158" s="8"/>
      <c r="Q158" s="8"/>
      <c r="R158" s="9"/>
      <c r="S158" s="8"/>
      <c r="T158" s="9"/>
      <c r="U158" s="10" t="str">
        <f aca="true">IF(B158="","",IF(OR(P158&lt;&gt;"",I158="می‌باشد"),"بسته",IF(AND(L158&lt;&gt;"",W158=""),"خطای فرمت تاریخ ایجاد",IF(AND(H158&lt;&gt;"",AA158=""),"خطای فرمت مهلت",IF(AND(H158&lt;&gt;"",AD158&lt;&gt;"",TODAY()&gt;AD158),"تاخیر",IF(L158&lt;&gt;"","در حال انجام",""))))))</f>
        <v>بسته</v>
      </c>
      <c r="V158" s="7" t="n">
        <f aca="true">IF(U158="تاخیر",TODAY()-AD158,IF(AND(U158="بسته",AH158&lt;&gt;"",AD158&lt;&gt;"",AH158&gt;AD158),AH158-AD158,0))</f>
        <v>0</v>
      </c>
      <c r="W158" s="7" t="n">
        <f aca="false">IF(L158="","",VALUE(LEFT(L158,FIND("/",L158)-1)))</f>
        <v>1405</v>
      </c>
      <c r="X158" s="7" t="n">
        <f aca="false">IF(L158="","",VALUE(MID(L158,FIND("/",L158)+1,FIND("/",L158,FIND("/",L158)+1)-FIND("/",L158)-1)))</f>
        <v>5</v>
      </c>
      <c r="Y158" s="7" t="n">
        <f aca="false">IF(L158="","",VALUE(MID(L158,FIND("/",L158,FIND("/",L158)+1)+1,LEN(L158)-FIND("/",L158,FIND("/",L158)+1))))</f>
        <v>12</v>
      </c>
      <c r="Z158" s="11" t="n">
        <f aca="false">IF(OR(L158="",W158=""),"",IFERROR(INDEX('لیست‌ها'!$Q$3:$Q$53,MATCH(W158,'لیست‌ها'!$P$3:$P$53,0))+IF(X158&lt;=6,(X158-1)*31+Y158,IF(X158&lt;=11,186+(X158-7)*30+Y158,336+Y158))-1,""))</f>
        <v>46237</v>
      </c>
      <c r="AA158" s="7" t="n">
        <f aca="false">IF(H158="","",VALUE(LEFT(H158,FIND("/",H158)-1)))</f>
        <v>1405</v>
      </c>
      <c r="AB158" s="7" t="n">
        <f aca="false">IF(H158="","",VALUE(MID(H158,FIND("/",H158)+1,FIND("/",H158,FIND("/",H158)+1)-FIND("/",H158)-1)))</f>
        <v>6</v>
      </c>
      <c r="AC158" s="7" t="n">
        <f aca="false">IF(H158="","",VALUE(MID(H158,FIND("/",H158,FIND("/",H158)+1)+1,LEN(H158)-FIND("/",H158,FIND("/",H158)+1))))</f>
        <v>21</v>
      </c>
      <c r="AD158" s="11" t="n">
        <f aca="false">IF(OR(H158="",AA158=""),"",IFERROR(INDEX('لیست‌ها'!$Q$3:$Q$53,MATCH(AA158,'لیست‌ها'!$P$3:$P$53,0))+IF(AB158&lt;=6,(AB158-1)*31+AC158,IF(AB158&lt;=11,186+(AB158-7)*30+AC158,336+AC158))-1,""))</f>
        <v>46277</v>
      </c>
      <c r="AE158" s="7" t="str">
        <f aca="false">IF(P158="","",VALUE(LEFT(P158,FIND("/",P158)-1)))</f>
        <v/>
      </c>
      <c r="AF158" s="7" t="str">
        <f aca="false">IF(P158="","",VALUE(MID(P158,FIND("/",P158)+1,FIND("/",P158,FIND("/",P158)+1)-FIND("/",P158)-1)))</f>
        <v/>
      </c>
      <c r="AG158" s="7" t="str">
        <f aca="false">IF(P158="","",VALUE(MID(P158,FIND("/",P158,FIND("/",P158)+1)+1,LEN(P158)-FIND("/",P158,FIND("/",P158)+1))))</f>
        <v/>
      </c>
      <c r="AH158" s="7" t="str">
        <f aca="false">IF(OR(P158="",AE158=""),"",IFERROR(INDEX('لیست‌ها'!$Q$3:$Q$53,MATCH(AE158,'لیست‌ها'!$P$3:$P$53,0))+IF(AF158&lt;=6,(AF158-1)*31+AG158,IF(AF158&lt;=11,186+(AF158-7)*30+AG158,336+AG158))-1,""))</f>
        <v/>
      </c>
      <c r="AI158" s="7" t="str">
        <f aca="false">IF(W158="","",W158&amp;"-"&amp;TEXT(X158,"00"))</f>
        <v>1405-05</v>
      </c>
      <c r="AJ158" s="7" t="n">
        <f aca="false">IF(W158="","",W158*12+X158)</f>
        <v>16865</v>
      </c>
      <c r="AK158" s="7" t="str">
        <f aca="false">IF(U158="تاخیر",V158+ROW()/100000,"")</f>
        <v/>
      </c>
    </row>
    <row r="159" customFormat="false" ht="15" hidden="false" customHeight="false" outlineLevel="0" collapsed="false">
      <c r="A159" s="7" t="n">
        <f aca="false">IF(B159="","",ROW()-3)</f>
        <v>156</v>
      </c>
      <c r="B159" s="8" t="s">
        <v>372</v>
      </c>
      <c r="C159" s="8" t="s">
        <v>38</v>
      </c>
      <c r="D159" s="8" t="s">
        <v>339</v>
      </c>
      <c r="E159" s="9" t="s">
        <v>373</v>
      </c>
      <c r="F159" s="9" t="s">
        <v>137</v>
      </c>
      <c r="G159" s="8" t="s">
        <v>52</v>
      </c>
      <c r="H159" s="8" t="s">
        <v>315</v>
      </c>
      <c r="I159" s="8"/>
      <c r="J159" s="9"/>
      <c r="K159" s="8"/>
      <c r="L159" s="8" t="s">
        <v>336</v>
      </c>
      <c r="M159" s="8" t="s">
        <v>374</v>
      </c>
      <c r="N159" s="8"/>
      <c r="O159" s="8"/>
      <c r="P159" s="8"/>
      <c r="Q159" s="8"/>
      <c r="R159" s="9"/>
      <c r="S159" s="8"/>
      <c r="T159" s="9"/>
      <c r="U159" s="10" t="str">
        <f aca="true">IF(B159="","",IF(OR(P159&lt;&gt;"",I159="می‌باشد"),"بسته",IF(AND(L159&lt;&gt;"",W159=""),"خطای فرمت تاریخ ایجاد",IF(AND(H159&lt;&gt;"",AA159=""),"خطای فرمت مهلت",IF(AND(H159&lt;&gt;"",AD159&lt;&gt;"",TODAY()&gt;AD159),"تاخیر",IF(L159&lt;&gt;"","در حال انجام",""))))))</f>
        <v>تاخیر</v>
      </c>
      <c r="V159" s="7" t="n">
        <f aca="true">IF(U159="تاخیر",TODAY()-AD159,IF(AND(U159="بسته",AH159&lt;&gt;"",AD159&lt;&gt;"",AH159&gt;AD159),AH159-AD159,0))</f>
        <v>18</v>
      </c>
      <c r="W159" s="7" t="n">
        <f aca="false">IF(L159="","",VALUE(LEFT(L159,FIND("/",L159)-1)))</f>
        <v>1405</v>
      </c>
      <c r="X159" s="7" t="n">
        <f aca="false">IF(L159="","",VALUE(MID(L159,FIND("/",L159)+1,FIND("/",L159,FIND("/",L159)+1)-FIND("/",L159)-1)))</f>
        <v>5</v>
      </c>
      <c r="Y159" s="7" t="n">
        <f aca="false">IF(L159="","",VALUE(MID(L159,FIND("/",L159,FIND("/",L159)+1)+1,LEN(L159)-FIND("/",L159,FIND("/",L159)+1))))</f>
        <v>12</v>
      </c>
      <c r="Z159" s="11" t="n">
        <f aca="false">IF(OR(L159="",W159=""),"",IFERROR(INDEX('لیست‌ها'!$Q$3:$Q$53,MATCH(W159,'لیست‌ها'!$P$3:$P$53,0))+IF(X159&lt;=6,(X159-1)*31+Y159,IF(X159&lt;=11,186+(X159-7)*30+Y159,336+Y159))-1,""))</f>
        <v>46237</v>
      </c>
      <c r="AA159" s="7" t="n">
        <f aca="false">IF(H159="","",VALUE(LEFT(H159,FIND("/",H159)-1)))</f>
        <v>1405</v>
      </c>
      <c r="AB159" s="7" t="n">
        <f aca="false">IF(H159="","",VALUE(MID(H159,FIND("/",H159)+1,FIND("/",H159,FIND("/",H159)+1)-FIND("/",H159)-1)))</f>
        <v>6</v>
      </c>
      <c r="AC159" s="7" t="n">
        <f aca="false">IF(H159="","",VALUE(MID(H159,FIND("/",H159,FIND("/",H159)+1)+1,LEN(H159)-FIND("/",H159,FIND("/",H159)+1))))</f>
        <v>21</v>
      </c>
      <c r="AD159" s="11" t="n">
        <f aca="false">IF(OR(H159="",AA159=""),"",IFERROR(INDEX('لیست‌ها'!$Q$3:$Q$53,MATCH(AA159,'لیست‌ها'!$P$3:$P$53,0))+IF(AB159&lt;=6,(AB159-1)*31+AC159,IF(AB159&lt;=11,186+(AB159-7)*30+AC159,336+AC159))-1,""))</f>
        <v>46277</v>
      </c>
      <c r="AE159" s="7" t="str">
        <f aca="false">IF(P159="","",VALUE(LEFT(P159,FIND("/",P159)-1)))</f>
        <v/>
      </c>
      <c r="AF159" s="7" t="str">
        <f aca="false">IF(P159="","",VALUE(MID(P159,FIND("/",P159)+1,FIND("/",P159,FIND("/",P159)+1)-FIND("/",P159)-1)))</f>
        <v/>
      </c>
      <c r="AG159" s="7" t="str">
        <f aca="false">IF(P159="","",VALUE(MID(P159,FIND("/",P159,FIND("/",P159)+1)+1,LEN(P159)-FIND("/",P159,FIND("/",P159)+1))))</f>
        <v/>
      </c>
      <c r="AH159" s="7" t="str">
        <f aca="false">IF(OR(P159="",AE159=""),"",IFERROR(INDEX('لیست‌ها'!$Q$3:$Q$53,MATCH(AE159,'لیست‌ها'!$P$3:$P$53,0))+IF(AF159&lt;=6,(AF159-1)*31+AG159,IF(AF159&lt;=11,186+(AF159-7)*30+AG159,336+AG159))-1,""))</f>
        <v/>
      </c>
      <c r="AI159" s="7" t="str">
        <f aca="false">IF(W159="","",W159&amp;"-"&amp;TEXT(X159,"00"))</f>
        <v>1405-05</v>
      </c>
      <c r="AJ159" s="7" t="n">
        <f aca="false">IF(W159="","",W159*12+X159)</f>
        <v>16865</v>
      </c>
      <c r="AK159" s="7" t="n">
        <f aca="false">IF(U159="تاخیر",V159+ROW()/100000,"")</f>
        <v>18.0015</v>
      </c>
    </row>
    <row r="160" customFormat="false" ht="15" hidden="false" customHeight="false" outlineLevel="0" collapsed="false">
      <c r="A160" s="7" t="n">
        <f aca="false">IF(B160="","",ROW()-3)</f>
        <v>157</v>
      </c>
      <c r="B160" s="8" t="s">
        <v>369</v>
      </c>
      <c r="C160" s="8" t="s">
        <v>38</v>
      </c>
      <c r="D160" s="8" t="s">
        <v>339</v>
      </c>
      <c r="E160" s="9" t="s">
        <v>370</v>
      </c>
      <c r="F160" s="9" t="s">
        <v>137</v>
      </c>
      <c r="G160" s="8" t="s">
        <v>52</v>
      </c>
      <c r="H160" s="8" t="s">
        <v>315</v>
      </c>
      <c r="I160" s="8"/>
      <c r="J160" s="9"/>
      <c r="K160" s="8"/>
      <c r="L160" s="8" t="s">
        <v>336</v>
      </c>
      <c r="M160" s="8" t="s">
        <v>371</v>
      </c>
      <c r="N160" s="8"/>
      <c r="O160" s="8"/>
      <c r="P160" s="8"/>
      <c r="Q160" s="8"/>
      <c r="R160" s="9"/>
      <c r="S160" s="8"/>
      <c r="T160" s="9"/>
      <c r="U160" s="10" t="str">
        <f aca="true">IF(B160="","",IF(OR(P160&lt;&gt;"",I160="می‌باشد"),"بسته",IF(AND(L160&lt;&gt;"",W160=""),"خطای فرمت تاریخ ایجاد",IF(AND(H160&lt;&gt;"",AA160=""),"خطای فرمت مهلت",IF(AND(H160&lt;&gt;"",AD160&lt;&gt;"",TODAY()&gt;AD160),"تاخیر",IF(L160&lt;&gt;"","در حال انجام",""))))))</f>
        <v>تاخیر</v>
      </c>
      <c r="V160" s="7" t="n">
        <f aca="true">IF(U160="تاخیر",TODAY()-AD160,IF(AND(U160="بسته",AH160&lt;&gt;"",AD160&lt;&gt;"",AH160&gt;AD160),AH160-AD160,0))</f>
        <v>18</v>
      </c>
      <c r="W160" s="7" t="n">
        <f aca="false">IF(L160="","",VALUE(LEFT(L160,FIND("/",L160)-1)))</f>
        <v>1405</v>
      </c>
      <c r="X160" s="7" t="n">
        <f aca="false">IF(L160="","",VALUE(MID(L160,FIND("/",L160)+1,FIND("/",L160,FIND("/",L160)+1)-FIND("/",L160)-1)))</f>
        <v>5</v>
      </c>
      <c r="Y160" s="7" t="n">
        <f aca="false">IF(L160="","",VALUE(MID(L160,FIND("/",L160,FIND("/",L160)+1)+1,LEN(L160)-FIND("/",L160,FIND("/",L160)+1))))</f>
        <v>12</v>
      </c>
      <c r="Z160" s="11" t="n">
        <f aca="false">IF(OR(L160="",W160=""),"",IFERROR(INDEX('لیست‌ها'!$Q$3:$Q$53,MATCH(W160,'لیست‌ها'!$P$3:$P$53,0))+IF(X160&lt;=6,(X160-1)*31+Y160,IF(X160&lt;=11,186+(X160-7)*30+Y160,336+Y160))-1,""))</f>
        <v>46237</v>
      </c>
      <c r="AA160" s="7" t="n">
        <f aca="false">IF(H160="","",VALUE(LEFT(H160,FIND("/",H160)-1)))</f>
        <v>1405</v>
      </c>
      <c r="AB160" s="7" t="n">
        <f aca="false">IF(H160="","",VALUE(MID(H160,FIND("/",H160)+1,FIND("/",H160,FIND("/",H160)+1)-FIND("/",H160)-1)))</f>
        <v>6</v>
      </c>
      <c r="AC160" s="7" t="n">
        <f aca="false">IF(H160="","",VALUE(MID(H160,FIND("/",H160,FIND("/",H160)+1)+1,LEN(H160)-FIND("/",H160,FIND("/",H160)+1))))</f>
        <v>21</v>
      </c>
      <c r="AD160" s="11" t="n">
        <f aca="false">IF(OR(H160="",AA160=""),"",IFERROR(INDEX('لیست‌ها'!$Q$3:$Q$53,MATCH(AA160,'لیست‌ها'!$P$3:$P$53,0))+IF(AB160&lt;=6,(AB160-1)*31+AC160,IF(AB160&lt;=11,186+(AB160-7)*30+AC160,336+AC160))-1,""))</f>
        <v>46277</v>
      </c>
      <c r="AE160" s="7" t="str">
        <f aca="false">IF(P160="","",VALUE(LEFT(P160,FIND("/",P160)-1)))</f>
        <v/>
      </c>
      <c r="AF160" s="7" t="str">
        <f aca="false">IF(P160="","",VALUE(MID(P160,FIND("/",P160)+1,FIND("/",P160,FIND("/",P160)+1)-FIND("/",P160)-1)))</f>
        <v/>
      </c>
      <c r="AG160" s="7" t="str">
        <f aca="false">IF(P160="","",VALUE(MID(P160,FIND("/",P160,FIND("/",P160)+1)+1,LEN(P160)-FIND("/",P160,FIND("/",P160)+1))))</f>
        <v/>
      </c>
      <c r="AH160" s="7" t="str">
        <f aca="false">IF(OR(P160="",AE160=""),"",IFERROR(INDEX('لیست‌ها'!$Q$3:$Q$53,MATCH(AE160,'لیست‌ها'!$P$3:$P$53,0))+IF(AF160&lt;=6,(AF160-1)*31+AG160,IF(AF160&lt;=11,186+(AF160-7)*30+AG160,336+AG160))-1,""))</f>
        <v/>
      </c>
      <c r="AI160" s="7" t="str">
        <f aca="false">IF(W160="","",W160&amp;"-"&amp;TEXT(X160,"00"))</f>
        <v>1405-05</v>
      </c>
      <c r="AJ160" s="7" t="n">
        <f aca="false">IF(W160="","",W160*12+X160)</f>
        <v>16865</v>
      </c>
      <c r="AK160" s="7" t="n">
        <f aca="false">IF(U160="تاخیر",V160+ROW()/100000,"")</f>
        <v>18.00149</v>
      </c>
    </row>
    <row r="161" customFormat="false" ht="15" hidden="false" customHeight="false" outlineLevel="0" collapsed="false">
      <c r="A161" s="7" t="n">
        <f aca="false">IF(B161="","",ROW()-3)</f>
        <v>158</v>
      </c>
      <c r="B161" s="8" t="s">
        <v>366</v>
      </c>
      <c r="C161" s="8" t="s">
        <v>38</v>
      </c>
      <c r="D161" s="8" t="s">
        <v>339</v>
      </c>
      <c r="E161" s="9" t="s">
        <v>367</v>
      </c>
      <c r="F161" s="9" t="s">
        <v>137</v>
      </c>
      <c r="G161" s="8" t="s">
        <v>368</v>
      </c>
      <c r="H161" s="8" t="s">
        <v>315</v>
      </c>
      <c r="I161" s="8" t="s">
        <v>54</v>
      </c>
      <c r="J161" s="9"/>
      <c r="K161" s="8"/>
      <c r="L161" s="8" t="s">
        <v>336</v>
      </c>
      <c r="M161" s="8" t="s">
        <v>56</v>
      </c>
      <c r="N161" s="8"/>
      <c r="O161" s="8"/>
      <c r="P161" s="8"/>
      <c r="Q161" s="8"/>
      <c r="R161" s="9"/>
      <c r="S161" s="8"/>
      <c r="T161" s="9"/>
      <c r="U161" s="10" t="str">
        <f aca="true">IF(B161="","",IF(OR(P161&lt;&gt;"",I161="می‌باشد"),"بسته",IF(AND(L161&lt;&gt;"",W161=""),"خطای فرمت تاریخ ایجاد",IF(AND(H161&lt;&gt;"",AA161=""),"خطای فرمت مهلت",IF(AND(H161&lt;&gt;"",AD161&lt;&gt;"",TODAY()&gt;AD161),"تاخیر",IF(L161&lt;&gt;"","در حال انجام",""))))))</f>
        <v>بسته</v>
      </c>
      <c r="V161" s="7" t="n">
        <f aca="true">IF(U161="تاخیر",TODAY()-AD161,IF(AND(U161="بسته",AH161&lt;&gt;"",AD161&lt;&gt;"",AH161&gt;AD161),AH161-AD161,0))</f>
        <v>0</v>
      </c>
      <c r="W161" s="7" t="n">
        <f aca="false">IF(L161="","",VALUE(LEFT(L161,FIND("/",L161)-1)))</f>
        <v>1405</v>
      </c>
      <c r="X161" s="7" t="n">
        <f aca="false">IF(L161="","",VALUE(MID(L161,FIND("/",L161)+1,FIND("/",L161,FIND("/",L161)+1)-FIND("/",L161)-1)))</f>
        <v>5</v>
      </c>
      <c r="Y161" s="7" t="n">
        <f aca="false">IF(L161="","",VALUE(MID(L161,FIND("/",L161,FIND("/",L161)+1)+1,LEN(L161)-FIND("/",L161,FIND("/",L161)+1))))</f>
        <v>12</v>
      </c>
      <c r="Z161" s="11" t="n">
        <f aca="false">IF(OR(L161="",W161=""),"",IFERROR(INDEX('لیست‌ها'!$Q$3:$Q$53,MATCH(W161,'لیست‌ها'!$P$3:$P$53,0))+IF(X161&lt;=6,(X161-1)*31+Y161,IF(X161&lt;=11,186+(X161-7)*30+Y161,336+Y161))-1,""))</f>
        <v>46237</v>
      </c>
      <c r="AA161" s="7" t="n">
        <f aca="false">IF(H161="","",VALUE(LEFT(H161,FIND("/",H161)-1)))</f>
        <v>1405</v>
      </c>
      <c r="AB161" s="7" t="n">
        <f aca="false">IF(H161="","",VALUE(MID(H161,FIND("/",H161)+1,FIND("/",H161,FIND("/",H161)+1)-FIND("/",H161)-1)))</f>
        <v>6</v>
      </c>
      <c r="AC161" s="7" t="n">
        <f aca="false">IF(H161="","",VALUE(MID(H161,FIND("/",H161,FIND("/",H161)+1)+1,LEN(H161)-FIND("/",H161,FIND("/",H161)+1))))</f>
        <v>21</v>
      </c>
      <c r="AD161" s="11" t="n">
        <f aca="false">IF(OR(H161="",AA161=""),"",IFERROR(INDEX('لیست‌ها'!$Q$3:$Q$53,MATCH(AA161,'لیست‌ها'!$P$3:$P$53,0))+IF(AB161&lt;=6,(AB161-1)*31+AC161,IF(AB161&lt;=11,186+(AB161-7)*30+AC161,336+AC161))-1,""))</f>
        <v>46277</v>
      </c>
      <c r="AE161" s="7" t="str">
        <f aca="false">IF(P161="","",VALUE(LEFT(P161,FIND("/",P161)-1)))</f>
        <v/>
      </c>
      <c r="AF161" s="7" t="str">
        <f aca="false">IF(P161="","",VALUE(MID(P161,FIND("/",P161)+1,FIND("/",P161,FIND("/",P161)+1)-FIND("/",P161)-1)))</f>
        <v/>
      </c>
      <c r="AG161" s="7" t="str">
        <f aca="false">IF(P161="","",VALUE(MID(P161,FIND("/",P161,FIND("/",P161)+1)+1,LEN(P161)-FIND("/",P161,FIND("/",P161)+1))))</f>
        <v/>
      </c>
      <c r="AH161" s="7" t="str">
        <f aca="false">IF(OR(P161="",AE161=""),"",IFERROR(INDEX('لیست‌ها'!$Q$3:$Q$53,MATCH(AE161,'لیست‌ها'!$P$3:$P$53,0))+IF(AF161&lt;=6,(AF161-1)*31+AG161,IF(AF161&lt;=11,186+(AF161-7)*30+AG161,336+AG161))-1,""))</f>
        <v/>
      </c>
      <c r="AI161" s="7" t="str">
        <f aca="false">IF(W161="","",W161&amp;"-"&amp;TEXT(X161,"00"))</f>
        <v>1405-05</v>
      </c>
      <c r="AJ161" s="7" t="n">
        <f aca="false">IF(W161="","",W161*12+X161)</f>
        <v>16865</v>
      </c>
      <c r="AK161" s="7" t="str">
        <f aca="false">IF(U161="تاخیر",V161+ROW()/100000,"")</f>
        <v/>
      </c>
    </row>
    <row r="162" customFormat="false" ht="15" hidden="false" customHeight="false" outlineLevel="0" collapsed="false">
      <c r="A162" s="7" t="n">
        <f aca="false">IF(B162="","",ROW()-3)</f>
        <v>159</v>
      </c>
      <c r="B162" s="8" t="s">
        <v>426</v>
      </c>
      <c r="C162" s="8" t="s">
        <v>38</v>
      </c>
      <c r="D162" s="8" t="s">
        <v>339</v>
      </c>
      <c r="E162" s="9" t="s">
        <v>427</v>
      </c>
      <c r="F162" s="9" t="s">
        <v>137</v>
      </c>
      <c r="G162" s="8" t="s">
        <v>368</v>
      </c>
      <c r="H162" s="8" t="s">
        <v>315</v>
      </c>
      <c r="I162" s="8"/>
      <c r="J162" s="9"/>
      <c r="K162" s="8"/>
      <c r="L162" s="8" t="s">
        <v>336</v>
      </c>
      <c r="M162" s="8" t="s">
        <v>110</v>
      </c>
      <c r="N162" s="8"/>
      <c r="O162" s="8"/>
      <c r="P162" s="8"/>
      <c r="Q162" s="8"/>
      <c r="R162" s="9"/>
      <c r="S162" s="8"/>
      <c r="T162" s="9"/>
      <c r="U162" s="10" t="str">
        <f aca="true">IF(B162="","",IF(OR(P162&lt;&gt;"",I162="می‌باشد"),"بسته",IF(AND(L162&lt;&gt;"",W162=""),"خطای فرمت تاریخ ایجاد",IF(AND(H162&lt;&gt;"",AA162=""),"خطای فرمت مهلت",IF(AND(H162&lt;&gt;"",AD162&lt;&gt;"",TODAY()&gt;AD162),"تاخیر",IF(L162&lt;&gt;"","در حال انجام",""))))))</f>
        <v>تاخیر</v>
      </c>
      <c r="V162" s="7" t="n">
        <f aca="true">IF(U162="تاخیر",TODAY()-AD162,IF(AND(U162="بسته",AH162&lt;&gt;"",AD162&lt;&gt;"",AH162&gt;AD162),AH162-AD162,0))</f>
        <v>18</v>
      </c>
      <c r="W162" s="7" t="n">
        <f aca="false">IF(L162="","",VALUE(LEFT(L162,FIND("/",L162)-1)))</f>
        <v>1405</v>
      </c>
      <c r="X162" s="7" t="n">
        <f aca="false">IF(L162="","",VALUE(MID(L162,FIND("/",L162)+1,FIND("/",L162,FIND("/",L162)+1)-FIND("/",L162)-1)))</f>
        <v>5</v>
      </c>
      <c r="Y162" s="7" t="n">
        <f aca="false">IF(L162="","",VALUE(MID(L162,FIND("/",L162,FIND("/",L162)+1)+1,LEN(L162)-FIND("/",L162,FIND("/",L162)+1))))</f>
        <v>12</v>
      </c>
      <c r="Z162" s="11" t="n">
        <f aca="false">IF(OR(L162="",W162=""),"",IFERROR(INDEX('لیست‌ها'!$Q$3:$Q$53,MATCH(W162,'لیست‌ها'!$P$3:$P$53,0))+IF(X162&lt;=6,(X162-1)*31+Y162,IF(X162&lt;=11,186+(X162-7)*30+Y162,336+Y162))-1,""))</f>
        <v>46237</v>
      </c>
      <c r="AA162" s="7" t="n">
        <f aca="false">IF(H162="","",VALUE(LEFT(H162,FIND("/",H162)-1)))</f>
        <v>1405</v>
      </c>
      <c r="AB162" s="7" t="n">
        <f aca="false">IF(H162="","",VALUE(MID(H162,FIND("/",H162)+1,FIND("/",H162,FIND("/",H162)+1)-FIND("/",H162)-1)))</f>
        <v>6</v>
      </c>
      <c r="AC162" s="7" t="n">
        <f aca="false">IF(H162="","",VALUE(MID(H162,FIND("/",H162,FIND("/",H162)+1)+1,LEN(H162)-FIND("/",H162,FIND("/",H162)+1))))</f>
        <v>21</v>
      </c>
      <c r="AD162" s="11" t="n">
        <f aca="false">IF(OR(H162="",AA162=""),"",IFERROR(INDEX('لیست‌ها'!$Q$3:$Q$53,MATCH(AA162,'لیست‌ها'!$P$3:$P$53,0))+IF(AB162&lt;=6,(AB162-1)*31+AC162,IF(AB162&lt;=11,186+(AB162-7)*30+AC162,336+AC162))-1,""))</f>
        <v>46277</v>
      </c>
      <c r="AE162" s="7" t="str">
        <f aca="false">IF(P162="","",VALUE(LEFT(P162,FIND("/",P162)-1)))</f>
        <v/>
      </c>
      <c r="AF162" s="7" t="str">
        <f aca="false">IF(P162="","",VALUE(MID(P162,FIND("/",P162)+1,FIND("/",P162,FIND("/",P162)+1)-FIND("/",P162)-1)))</f>
        <v/>
      </c>
      <c r="AG162" s="7" t="str">
        <f aca="false">IF(P162="","",VALUE(MID(P162,FIND("/",P162,FIND("/",P162)+1)+1,LEN(P162)-FIND("/",P162,FIND("/",P162)+1))))</f>
        <v/>
      </c>
      <c r="AH162" s="7" t="str">
        <f aca="false">IF(OR(P162="",AE162=""),"",IFERROR(INDEX('لیست‌ها'!$Q$3:$Q$53,MATCH(AE162,'لیست‌ها'!$P$3:$P$53,0))+IF(AF162&lt;=6,(AF162-1)*31+AG162,IF(AF162&lt;=11,186+(AF162-7)*30+AG162,336+AG162))-1,""))</f>
        <v/>
      </c>
      <c r="AI162" s="7" t="str">
        <f aca="false">IF(W162="","",W162&amp;"-"&amp;TEXT(X162,"00"))</f>
        <v>1405-05</v>
      </c>
      <c r="AJ162" s="7" t="n">
        <f aca="false">IF(W162="","",W162*12+X162)</f>
        <v>16865</v>
      </c>
      <c r="AK162" s="7" t="n">
        <f aca="false">IF(U162="تاخیر",V162+ROW()/100000,"")</f>
        <v>18.00176</v>
      </c>
    </row>
    <row r="163" customFormat="false" ht="15" hidden="false" customHeight="false" outlineLevel="0" collapsed="false">
      <c r="A163" s="7" t="n">
        <f aca="false">IF(B163="","",ROW()-3)</f>
        <v>160</v>
      </c>
      <c r="B163" s="8" t="s">
        <v>424</v>
      </c>
      <c r="C163" s="8" t="s">
        <v>38</v>
      </c>
      <c r="D163" s="8" t="s">
        <v>339</v>
      </c>
      <c r="E163" s="9" t="s">
        <v>425</v>
      </c>
      <c r="F163" s="9" t="s">
        <v>137</v>
      </c>
      <c r="G163" s="8" t="s">
        <v>368</v>
      </c>
      <c r="H163" s="8" t="s">
        <v>315</v>
      </c>
      <c r="I163" s="8"/>
      <c r="J163" s="9"/>
      <c r="K163" s="8"/>
      <c r="L163" s="8" t="s">
        <v>336</v>
      </c>
      <c r="M163" s="8" t="s">
        <v>110</v>
      </c>
      <c r="N163" s="8"/>
      <c r="O163" s="8"/>
      <c r="P163" s="8"/>
      <c r="Q163" s="8"/>
      <c r="R163" s="9"/>
      <c r="S163" s="8"/>
      <c r="T163" s="9"/>
      <c r="U163" s="10" t="str">
        <f aca="true">IF(B163="","",IF(OR(P163&lt;&gt;"",I163="می‌باشد"),"بسته",IF(AND(L163&lt;&gt;"",W163=""),"خطای فرمت تاریخ ایجاد",IF(AND(H163&lt;&gt;"",AA163=""),"خطای فرمت مهلت",IF(AND(H163&lt;&gt;"",AD163&lt;&gt;"",TODAY()&gt;AD163),"تاخیر",IF(L163&lt;&gt;"","در حال انجام",""))))))</f>
        <v>تاخیر</v>
      </c>
      <c r="V163" s="7" t="n">
        <f aca="true">IF(U163="تاخیر",TODAY()-AD163,IF(AND(U163="بسته",AH163&lt;&gt;"",AD163&lt;&gt;"",AH163&gt;AD163),AH163-AD163,0))</f>
        <v>18</v>
      </c>
      <c r="W163" s="7" t="n">
        <f aca="false">IF(L163="","",VALUE(LEFT(L163,FIND("/",L163)-1)))</f>
        <v>1405</v>
      </c>
      <c r="X163" s="7" t="n">
        <f aca="false">IF(L163="","",VALUE(MID(L163,FIND("/",L163)+1,FIND("/",L163,FIND("/",L163)+1)-FIND("/",L163)-1)))</f>
        <v>5</v>
      </c>
      <c r="Y163" s="7" t="n">
        <f aca="false">IF(L163="","",VALUE(MID(L163,FIND("/",L163,FIND("/",L163)+1)+1,LEN(L163)-FIND("/",L163,FIND("/",L163)+1))))</f>
        <v>12</v>
      </c>
      <c r="Z163" s="11" t="n">
        <f aca="false">IF(OR(L163="",W163=""),"",IFERROR(INDEX('لیست‌ها'!$Q$3:$Q$53,MATCH(W163,'لیست‌ها'!$P$3:$P$53,0))+IF(X163&lt;=6,(X163-1)*31+Y163,IF(X163&lt;=11,186+(X163-7)*30+Y163,336+Y163))-1,""))</f>
        <v>46237</v>
      </c>
      <c r="AA163" s="7" t="n">
        <f aca="false">IF(H163="","",VALUE(LEFT(H163,FIND("/",H163)-1)))</f>
        <v>1405</v>
      </c>
      <c r="AB163" s="7" t="n">
        <f aca="false">IF(H163="","",VALUE(MID(H163,FIND("/",H163)+1,FIND("/",H163,FIND("/",H163)+1)-FIND("/",H163)-1)))</f>
        <v>6</v>
      </c>
      <c r="AC163" s="7" t="n">
        <f aca="false">IF(H163="","",VALUE(MID(H163,FIND("/",H163,FIND("/",H163)+1)+1,LEN(H163)-FIND("/",H163,FIND("/",H163)+1))))</f>
        <v>21</v>
      </c>
      <c r="AD163" s="11" t="n">
        <f aca="false">IF(OR(H163="",AA163=""),"",IFERROR(INDEX('لیست‌ها'!$Q$3:$Q$53,MATCH(AA163,'لیست‌ها'!$P$3:$P$53,0))+IF(AB163&lt;=6,(AB163-1)*31+AC163,IF(AB163&lt;=11,186+(AB163-7)*30+AC163,336+AC163))-1,""))</f>
        <v>46277</v>
      </c>
      <c r="AE163" s="7" t="str">
        <f aca="false">IF(P163="","",VALUE(LEFT(P163,FIND("/",P163)-1)))</f>
        <v/>
      </c>
      <c r="AF163" s="7" t="str">
        <f aca="false">IF(P163="","",VALUE(MID(P163,FIND("/",P163)+1,FIND("/",P163,FIND("/",P163)+1)-FIND("/",P163)-1)))</f>
        <v/>
      </c>
      <c r="AG163" s="7" t="str">
        <f aca="false">IF(P163="","",VALUE(MID(P163,FIND("/",P163,FIND("/",P163)+1)+1,LEN(P163)-FIND("/",P163,FIND("/",P163)+1))))</f>
        <v/>
      </c>
      <c r="AH163" s="7" t="str">
        <f aca="false">IF(OR(P163="",AE163=""),"",IFERROR(INDEX('لیست‌ها'!$Q$3:$Q$53,MATCH(AE163,'لیست‌ها'!$P$3:$P$53,0))+IF(AF163&lt;=6,(AF163-1)*31+AG163,IF(AF163&lt;=11,186+(AF163-7)*30+AG163,336+AG163))-1,""))</f>
        <v/>
      </c>
      <c r="AI163" s="7" t="str">
        <f aca="false">IF(W163="","",W163&amp;"-"&amp;TEXT(X163,"00"))</f>
        <v>1405-05</v>
      </c>
      <c r="AJ163" s="7" t="n">
        <f aca="false">IF(W163="","",W163*12+X163)</f>
        <v>16865</v>
      </c>
      <c r="AK163" s="7" t="n">
        <f aca="false">IF(U163="تاخیر",V163+ROW()/100000,"")</f>
        <v>18.00175</v>
      </c>
    </row>
    <row r="164" customFormat="false" ht="15" hidden="false" customHeight="false" outlineLevel="0" collapsed="false">
      <c r="A164" s="7" t="n">
        <f aca="false">IF(B164="","",ROW()-3)</f>
        <v>161</v>
      </c>
      <c r="B164" s="8" t="s">
        <v>422</v>
      </c>
      <c r="C164" s="8" t="s">
        <v>38</v>
      </c>
      <c r="D164" s="8" t="s">
        <v>339</v>
      </c>
      <c r="E164" s="9" t="s">
        <v>423</v>
      </c>
      <c r="F164" s="9" t="s">
        <v>137</v>
      </c>
      <c r="G164" s="8" t="s">
        <v>309</v>
      </c>
      <c r="H164" s="8" t="s">
        <v>315</v>
      </c>
      <c r="I164" s="8"/>
      <c r="J164" s="9"/>
      <c r="K164" s="8"/>
      <c r="L164" s="8" t="s">
        <v>336</v>
      </c>
      <c r="M164" s="8" t="s">
        <v>71</v>
      </c>
      <c r="N164" s="8"/>
      <c r="O164" s="8"/>
      <c r="P164" s="8"/>
      <c r="Q164" s="8"/>
      <c r="R164" s="9"/>
      <c r="S164" s="8"/>
      <c r="T164" s="9"/>
      <c r="U164" s="10" t="str">
        <f aca="true">IF(B164="","",IF(OR(P164&lt;&gt;"",I164="می‌باشد"),"بسته",IF(AND(L164&lt;&gt;"",W164=""),"خطای فرمت تاریخ ایجاد",IF(AND(H164&lt;&gt;"",AA164=""),"خطای فرمت مهلت",IF(AND(H164&lt;&gt;"",AD164&lt;&gt;"",TODAY()&gt;AD164),"تاخیر",IF(L164&lt;&gt;"","در حال انجام",""))))))</f>
        <v>تاخیر</v>
      </c>
      <c r="V164" s="7" t="n">
        <f aca="true">IF(U164="تاخیر",TODAY()-AD164,IF(AND(U164="بسته",AH164&lt;&gt;"",AD164&lt;&gt;"",AH164&gt;AD164),AH164-AD164,0))</f>
        <v>18</v>
      </c>
      <c r="W164" s="7" t="n">
        <f aca="false">IF(L164="","",VALUE(LEFT(L164,FIND("/",L164)-1)))</f>
        <v>1405</v>
      </c>
      <c r="X164" s="7" t="n">
        <f aca="false">IF(L164="","",VALUE(MID(L164,FIND("/",L164)+1,FIND("/",L164,FIND("/",L164)+1)-FIND("/",L164)-1)))</f>
        <v>5</v>
      </c>
      <c r="Y164" s="7" t="n">
        <f aca="false">IF(L164="","",VALUE(MID(L164,FIND("/",L164,FIND("/",L164)+1)+1,LEN(L164)-FIND("/",L164,FIND("/",L164)+1))))</f>
        <v>12</v>
      </c>
      <c r="Z164" s="11" t="n">
        <f aca="false">IF(OR(L164="",W164=""),"",IFERROR(INDEX('لیست‌ها'!$Q$3:$Q$53,MATCH(W164,'لیست‌ها'!$P$3:$P$53,0))+IF(X164&lt;=6,(X164-1)*31+Y164,IF(X164&lt;=11,186+(X164-7)*30+Y164,336+Y164))-1,""))</f>
        <v>46237</v>
      </c>
      <c r="AA164" s="7" t="n">
        <f aca="false">IF(H164="","",VALUE(LEFT(H164,FIND("/",H164)-1)))</f>
        <v>1405</v>
      </c>
      <c r="AB164" s="7" t="n">
        <f aca="false">IF(H164="","",VALUE(MID(H164,FIND("/",H164)+1,FIND("/",H164,FIND("/",H164)+1)-FIND("/",H164)-1)))</f>
        <v>6</v>
      </c>
      <c r="AC164" s="7" t="n">
        <f aca="false">IF(H164="","",VALUE(MID(H164,FIND("/",H164,FIND("/",H164)+1)+1,LEN(H164)-FIND("/",H164,FIND("/",H164)+1))))</f>
        <v>21</v>
      </c>
      <c r="AD164" s="11" t="n">
        <f aca="false">IF(OR(H164="",AA164=""),"",IFERROR(INDEX('لیست‌ها'!$Q$3:$Q$53,MATCH(AA164,'لیست‌ها'!$P$3:$P$53,0))+IF(AB164&lt;=6,(AB164-1)*31+AC164,IF(AB164&lt;=11,186+(AB164-7)*30+AC164,336+AC164))-1,""))</f>
        <v>46277</v>
      </c>
      <c r="AE164" s="7" t="str">
        <f aca="false">IF(P164="","",VALUE(LEFT(P164,FIND("/",P164)-1)))</f>
        <v/>
      </c>
      <c r="AF164" s="7" t="str">
        <f aca="false">IF(P164="","",VALUE(MID(P164,FIND("/",P164)+1,FIND("/",P164,FIND("/",P164)+1)-FIND("/",P164)-1)))</f>
        <v/>
      </c>
      <c r="AG164" s="7" t="str">
        <f aca="false">IF(P164="","",VALUE(MID(P164,FIND("/",P164,FIND("/",P164)+1)+1,LEN(P164)-FIND("/",P164,FIND("/",P164)+1))))</f>
        <v/>
      </c>
      <c r="AH164" s="7" t="str">
        <f aca="false">IF(OR(P164="",AE164=""),"",IFERROR(INDEX('لیست‌ها'!$Q$3:$Q$53,MATCH(AE164,'لیست‌ها'!$P$3:$P$53,0))+IF(AF164&lt;=6,(AF164-1)*31+AG164,IF(AF164&lt;=11,186+(AF164-7)*30+AG164,336+AG164))-1,""))</f>
        <v/>
      </c>
      <c r="AI164" s="7" t="str">
        <f aca="false">IF(W164="","",W164&amp;"-"&amp;TEXT(X164,"00"))</f>
        <v>1405-05</v>
      </c>
      <c r="AJ164" s="7" t="n">
        <f aca="false">IF(W164="","",W164*12+X164)</f>
        <v>16865</v>
      </c>
      <c r="AK164" s="7" t="n">
        <f aca="false">IF(U164="تاخیر",V164+ROW()/100000,"")</f>
        <v>18.00174</v>
      </c>
    </row>
    <row r="165" customFormat="false" ht="15" hidden="false" customHeight="false" outlineLevel="0" collapsed="false">
      <c r="A165" s="7" t="n">
        <f aca="false">IF(B165="","",ROW()-3)</f>
        <v>162</v>
      </c>
      <c r="B165" s="8" t="s">
        <v>420</v>
      </c>
      <c r="C165" s="8" t="s">
        <v>38</v>
      </c>
      <c r="D165" s="8" t="s">
        <v>339</v>
      </c>
      <c r="E165" s="9" t="s">
        <v>421</v>
      </c>
      <c r="F165" s="9" t="s">
        <v>137</v>
      </c>
      <c r="G165" s="8" t="s">
        <v>309</v>
      </c>
      <c r="H165" s="8" t="s">
        <v>382</v>
      </c>
      <c r="I165" s="8"/>
      <c r="J165" s="9"/>
      <c r="K165" s="8"/>
      <c r="L165" s="8" t="s">
        <v>336</v>
      </c>
      <c r="M165" s="8" t="s">
        <v>110</v>
      </c>
      <c r="N165" s="8"/>
      <c r="O165" s="8"/>
      <c r="P165" s="8"/>
      <c r="Q165" s="8"/>
      <c r="R165" s="9"/>
      <c r="S165" s="8"/>
      <c r="T165" s="9"/>
      <c r="U165" s="10" t="str">
        <f aca="true">IF(B165="","",IF(OR(P165&lt;&gt;"",I165="می‌باشد"),"بسته",IF(AND(L165&lt;&gt;"",W165=""),"خطای فرمت تاریخ ایجاد",IF(AND(H165&lt;&gt;"",AA165=""),"خطای فرمت مهلت",IF(AND(H165&lt;&gt;"",AD165&lt;&gt;"",TODAY()&gt;AD165),"تاخیر",IF(L165&lt;&gt;"","در حال انجام",""))))))</f>
        <v>تاخیر</v>
      </c>
      <c r="V165" s="7" t="n">
        <f aca="true">IF(U165="تاخیر",TODAY()-AD165,IF(AND(U165="بسته",AH165&lt;&gt;"",AD165&lt;&gt;"",AH165&gt;AD165),AH165-AD165,0))</f>
        <v>16</v>
      </c>
      <c r="W165" s="7" t="n">
        <f aca="false">IF(L165="","",VALUE(LEFT(L165,FIND("/",L165)-1)))</f>
        <v>1405</v>
      </c>
      <c r="X165" s="7" t="n">
        <f aca="false">IF(L165="","",VALUE(MID(L165,FIND("/",L165)+1,FIND("/",L165,FIND("/",L165)+1)-FIND("/",L165)-1)))</f>
        <v>5</v>
      </c>
      <c r="Y165" s="7" t="n">
        <f aca="false">IF(L165="","",VALUE(MID(L165,FIND("/",L165,FIND("/",L165)+1)+1,LEN(L165)-FIND("/",L165,FIND("/",L165)+1))))</f>
        <v>12</v>
      </c>
      <c r="Z165" s="11" t="n">
        <f aca="false">IF(OR(L165="",W165=""),"",IFERROR(INDEX('لیست‌ها'!$Q$3:$Q$53,MATCH(W165,'لیست‌ها'!$P$3:$P$53,0))+IF(X165&lt;=6,(X165-1)*31+Y165,IF(X165&lt;=11,186+(X165-7)*30+Y165,336+Y165))-1,""))</f>
        <v>46237</v>
      </c>
      <c r="AA165" s="7" t="n">
        <f aca="false">IF(H165="","",VALUE(LEFT(H165,FIND("/",H165)-1)))</f>
        <v>1405</v>
      </c>
      <c r="AB165" s="7" t="n">
        <f aca="false">IF(H165="","",VALUE(MID(H165,FIND("/",H165)+1,FIND("/",H165,FIND("/",H165)+1)-FIND("/",H165)-1)))</f>
        <v>6</v>
      </c>
      <c r="AC165" s="7" t="n">
        <f aca="false">IF(H165="","",VALUE(MID(H165,FIND("/",H165,FIND("/",H165)+1)+1,LEN(H165)-FIND("/",H165,FIND("/",H165)+1))))</f>
        <v>23</v>
      </c>
      <c r="AD165" s="11" t="n">
        <f aca="false">IF(OR(H165="",AA165=""),"",IFERROR(INDEX('لیست‌ها'!$Q$3:$Q$53,MATCH(AA165,'لیست‌ها'!$P$3:$P$53,0))+IF(AB165&lt;=6,(AB165-1)*31+AC165,IF(AB165&lt;=11,186+(AB165-7)*30+AC165,336+AC165))-1,""))</f>
        <v>46279</v>
      </c>
      <c r="AE165" s="7" t="str">
        <f aca="false">IF(P165="","",VALUE(LEFT(P165,FIND("/",P165)-1)))</f>
        <v/>
      </c>
      <c r="AF165" s="7" t="str">
        <f aca="false">IF(P165="","",VALUE(MID(P165,FIND("/",P165)+1,FIND("/",P165,FIND("/",P165)+1)-FIND("/",P165)-1)))</f>
        <v/>
      </c>
      <c r="AG165" s="7" t="str">
        <f aca="false">IF(P165="","",VALUE(MID(P165,FIND("/",P165,FIND("/",P165)+1)+1,LEN(P165)-FIND("/",P165,FIND("/",P165)+1))))</f>
        <v/>
      </c>
      <c r="AH165" s="7" t="str">
        <f aca="false">IF(OR(P165="",AE165=""),"",IFERROR(INDEX('لیست‌ها'!$Q$3:$Q$53,MATCH(AE165,'لیست‌ها'!$P$3:$P$53,0))+IF(AF165&lt;=6,(AF165-1)*31+AG165,IF(AF165&lt;=11,186+(AF165-7)*30+AG165,336+AG165))-1,""))</f>
        <v/>
      </c>
      <c r="AI165" s="7" t="str">
        <f aca="false">IF(W165="","",W165&amp;"-"&amp;TEXT(X165,"00"))</f>
        <v>1405-05</v>
      </c>
      <c r="AJ165" s="7" t="n">
        <f aca="false">IF(W165="","",W165*12+X165)</f>
        <v>16865</v>
      </c>
      <c r="AK165" s="7" t="n">
        <f aca="false">IF(U165="تاخیر",V165+ROW()/100000,"")</f>
        <v>16.00173</v>
      </c>
    </row>
    <row r="166" customFormat="false" ht="15" hidden="false" customHeight="false" outlineLevel="0" collapsed="false">
      <c r="A166" s="7" t="n">
        <f aca="false">IF(B166="","",ROW()-3)</f>
        <v>163</v>
      </c>
      <c r="B166" s="8" t="s">
        <v>418</v>
      </c>
      <c r="C166" s="8" t="s">
        <v>38</v>
      </c>
      <c r="D166" s="8" t="s">
        <v>339</v>
      </c>
      <c r="E166" s="9" t="s">
        <v>419</v>
      </c>
      <c r="F166" s="9" t="s">
        <v>137</v>
      </c>
      <c r="G166" s="8" t="s">
        <v>309</v>
      </c>
      <c r="H166" s="8" t="s">
        <v>382</v>
      </c>
      <c r="I166" s="8"/>
      <c r="J166" s="9"/>
      <c r="K166" s="8"/>
      <c r="L166" s="8" t="s">
        <v>336</v>
      </c>
      <c r="M166" s="8" t="s">
        <v>110</v>
      </c>
      <c r="N166" s="8"/>
      <c r="O166" s="8"/>
      <c r="P166" s="8"/>
      <c r="Q166" s="8"/>
      <c r="R166" s="9"/>
      <c r="S166" s="8"/>
      <c r="T166" s="9"/>
      <c r="U166" s="10" t="str">
        <f aca="true">IF(B166="","",IF(OR(P166&lt;&gt;"",I166="می‌باشد"),"بسته",IF(AND(L166&lt;&gt;"",W166=""),"خطای فرمت تاریخ ایجاد",IF(AND(H166&lt;&gt;"",AA166=""),"خطای فرمت مهلت",IF(AND(H166&lt;&gt;"",AD166&lt;&gt;"",TODAY()&gt;AD166),"تاخیر",IF(L166&lt;&gt;"","در حال انجام",""))))))</f>
        <v>تاخیر</v>
      </c>
      <c r="V166" s="7" t="n">
        <f aca="true">IF(U166="تاخیر",TODAY()-AD166,IF(AND(U166="بسته",AH166&lt;&gt;"",AD166&lt;&gt;"",AH166&gt;AD166),AH166-AD166,0))</f>
        <v>16</v>
      </c>
      <c r="W166" s="7" t="n">
        <f aca="false">IF(L166="","",VALUE(LEFT(L166,FIND("/",L166)-1)))</f>
        <v>1405</v>
      </c>
      <c r="X166" s="7" t="n">
        <f aca="false">IF(L166="","",VALUE(MID(L166,FIND("/",L166)+1,FIND("/",L166,FIND("/",L166)+1)-FIND("/",L166)-1)))</f>
        <v>5</v>
      </c>
      <c r="Y166" s="7" t="n">
        <f aca="false">IF(L166="","",VALUE(MID(L166,FIND("/",L166,FIND("/",L166)+1)+1,LEN(L166)-FIND("/",L166,FIND("/",L166)+1))))</f>
        <v>12</v>
      </c>
      <c r="Z166" s="11" t="n">
        <f aca="false">IF(OR(L166="",W166=""),"",IFERROR(INDEX('لیست‌ها'!$Q$3:$Q$53,MATCH(W166,'لیست‌ها'!$P$3:$P$53,0))+IF(X166&lt;=6,(X166-1)*31+Y166,IF(X166&lt;=11,186+(X166-7)*30+Y166,336+Y166))-1,""))</f>
        <v>46237</v>
      </c>
      <c r="AA166" s="7" t="n">
        <f aca="false">IF(H166="","",VALUE(LEFT(H166,FIND("/",H166)-1)))</f>
        <v>1405</v>
      </c>
      <c r="AB166" s="7" t="n">
        <f aca="false">IF(H166="","",VALUE(MID(H166,FIND("/",H166)+1,FIND("/",H166,FIND("/",H166)+1)-FIND("/",H166)-1)))</f>
        <v>6</v>
      </c>
      <c r="AC166" s="7" t="n">
        <f aca="false">IF(H166="","",VALUE(MID(H166,FIND("/",H166,FIND("/",H166)+1)+1,LEN(H166)-FIND("/",H166,FIND("/",H166)+1))))</f>
        <v>23</v>
      </c>
      <c r="AD166" s="11" t="n">
        <f aca="false">IF(OR(H166="",AA166=""),"",IFERROR(INDEX('لیست‌ها'!$Q$3:$Q$53,MATCH(AA166,'لیست‌ها'!$P$3:$P$53,0))+IF(AB166&lt;=6,(AB166-1)*31+AC166,IF(AB166&lt;=11,186+(AB166-7)*30+AC166,336+AC166))-1,""))</f>
        <v>46279</v>
      </c>
      <c r="AE166" s="7" t="str">
        <f aca="false">IF(P166="","",VALUE(LEFT(P166,FIND("/",P166)-1)))</f>
        <v/>
      </c>
      <c r="AF166" s="7" t="str">
        <f aca="false">IF(P166="","",VALUE(MID(P166,FIND("/",P166)+1,FIND("/",P166,FIND("/",P166)+1)-FIND("/",P166)-1)))</f>
        <v/>
      </c>
      <c r="AG166" s="7" t="str">
        <f aca="false">IF(P166="","",VALUE(MID(P166,FIND("/",P166,FIND("/",P166)+1)+1,LEN(P166)-FIND("/",P166,FIND("/",P166)+1))))</f>
        <v/>
      </c>
      <c r="AH166" s="7" t="str">
        <f aca="false">IF(OR(P166="",AE166=""),"",IFERROR(INDEX('لیست‌ها'!$Q$3:$Q$53,MATCH(AE166,'لیست‌ها'!$P$3:$P$53,0))+IF(AF166&lt;=6,(AF166-1)*31+AG166,IF(AF166&lt;=11,186+(AF166-7)*30+AG166,336+AG166))-1,""))</f>
        <v/>
      </c>
      <c r="AI166" s="7" t="str">
        <f aca="false">IF(W166="","",W166&amp;"-"&amp;TEXT(X166,"00"))</f>
        <v>1405-05</v>
      </c>
      <c r="AJ166" s="7" t="n">
        <f aca="false">IF(W166="","",W166*12+X166)</f>
        <v>16865</v>
      </c>
      <c r="AK166" s="7" t="n">
        <f aca="false">IF(U166="تاخیر",V166+ROW()/100000,"")</f>
        <v>16.00172</v>
      </c>
    </row>
    <row r="167" customFormat="false" ht="15" hidden="false" customHeight="false" outlineLevel="0" collapsed="false">
      <c r="A167" s="7" t="n">
        <f aca="false">IF(B167="","",ROW()-3)</f>
        <v>164</v>
      </c>
      <c r="B167" s="8" t="s">
        <v>416</v>
      </c>
      <c r="C167" s="8" t="s">
        <v>38</v>
      </c>
      <c r="D167" s="8" t="s">
        <v>128</v>
      </c>
      <c r="E167" s="9" t="s">
        <v>417</v>
      </c>
      <c r="F167" s="9" t="s">
        <v>137</v>
      </c>
      <c r="G167" s="8" t="s">
        <v>309</v>
      </c>
      <c r="H167" s="8" t="s">
        <v>382</v>
      </c>
      <c r="I167" s="8" t="s">
        <v>54</v>
      </c>
      <c r="J167" s="9"/>
      <c r="K167" s="8"/>
      <c r="L167" s="8" t="s">
        <v>336</v>
      </c>
      <c r="M167" s="8" t="s">
        <v>56</v>
      </c>
      <c r="N167" s="8"/>
      <c r="O167" s="8"/>
      <c r="P167" s="8"/>
      <c r="Q167" s="8"/>
      <c r="R167" s="9"/>
      <c r="S167" s="8"/>
      <c r="T167" s="9"/>
      <c r="U167" s="10" t="str">
        <f aca="true">IF(B167="","",IF(OR(P167&lt;&gt;"",I167="می‌باشد"),"بسته",IF(AND(L167&lt;&gt;"",W167=""),"خطای فرمت تاریخ ایجاد",IF(AND(H167&lt;&gt;"",AA167=""),"خطای فرمت مهلت",IF(AND(H167&lt;&gt;"",AD167&lt;&gt;"",TODAY()&gt;AD167),"تاخیر",IF(L167&lt;&gt;"","در حال انجام",""))))))</f>
        <v>بسته</v>
      </c>
      <c r="V167" s="7" t="n">
        <f aca="true">IF(U167="تاخیر",TODAY()-AD167,IF(AND(U167="بسته",AH167&lt;&gt;"",AD167&lt;&gt;"",AH167&gt;AD167),AH167-AD167,0))</f>
        <v>0</v>
      </c>
      <c r="W167" s="7" t="n">
        <f aca="false">IF(L167="","",VALUE(LEFT(L167,FIND("/",L167)-1)))</f>
        <v>1405</v>
      </c>
      <c r="X167" s="7" t="n">
        <f aca="false">IF(L167="","",VALUE(MID(L167,FIND("/",L167)+1,FIND("/",L167,FIND("/",L167)+1)-FIND("/",L167)-1)))</f>
        <v>5</v>
      </c>
      <c r="Y167" s="7" t="n">
        <f aca="false">IF(L167="","",VALUE(MID(L167,FIND("/",L167,FIND("/",L167)+1)+1,LEN(L167)-FIND("/",L167,FIND("/",L167)+1))))</f>
        <v>12</v>
      </c>
      <c r="Z167" s="11" t="n">
        <f aca="false">IF(OR(L167="",W167=""),"",IFERROR(INDEX('لیست‌ها'!$Q$3:$Q$53,MATCH(W167,'لیست‌ها'!$P$3:$P$53,0))+IF(X167&lt;=6,(X167-1)*31+Y167,IF(X167&lt;=11,186+(X167-7)*30+Y167,336+Y167))-1,""))</f>
        <v>46237</v>
      </c>
      <c r="AA167" s="7" t="n">
        <f aca="false">IF(H167="","",VALUE(LEFT(H167,FIND("/",H167)-1)))</f>
        <v>1405</v>
      </c>
      <c r="AB167" s="7" t="n">
        <f aca="false">IF(H167="","",VALUE(MID(H167,FIND("/",H167)+1,FIND("/",H167,FIND("/",H167)+1)-FIND("/",H167)-1)))</f>
        <v>6</v>
      </c>
      <c r="AC167" s="7" t="n">
        <f aca="false">IF(H167="","",VALUE(MID(H167,FIND("/",H167,FIND("/",H167)+1)+1,LEN(H167)-FIND("/",H167,FIND("/",H167)+1))))</f>
        <v>23</v>
      </c>
      <c r="AD167" s="11" t="n">
        <f aca="false">IF(OR(H167="",AA167=""),"",IFERROR(INDEX('لیست‌ها'!$Q$3:$Q$53,MATCH(AA167,'لیست‌ها'!$P$3:$P$53,0))+IF(AB167&lt;=6,(AB167-1)*31+AC167,IF(AB167&lt;=11,186+(AB167-7)*30+AC167,336+AC167))-1,""))</f>
        <v>46279</v>
      </c>
      <c r="AE167" s="7" t="str">
        <f aca="false">IF(P167="","",VALUE(LEFT(P167,FIND("/",P167)-1)))</f>
        <v/>
      </c>
      <c r="AF167" s="7" t="str">
        <f aca="false">IF(P167="","",VALUE(MID(P167,FIND("/",P167)+1,FIND("/",P167,FIND("/",P167)+1)-FIND("/",P167)-1)))</f>
        <v/>
      </c>
      <c r="AG167" s="7" t="str">
        <f aca="false">IF(P167="","",VALUE(MID(P167,FIND("/",P167,FIND("/",P167)+1)+1,LEN(P167)-FIND("/",P167,FIND("/",P167)+1))))</f>
        <v/>
      </c>
      <c r="AH167" s="7" t="str">
        <f aca="false">IF(OR(P167="",AE167=""),"",IFERROR(INDEX('لیست‌ها'!$Q$3:$Q$53,MATCH(AE167,'لیست‌ها'!$P$3:$P$53,0))+IF(AF167&lt;=6,(AF167-1)*31+AG167,IF(AF167&lt;=11,186+(AF167-7)*30+AG167,336+AG167))-1,""))</f>
        <v/>
      </c>
      <c r="AI167" s="7" t="str">
        <f aca="false">IF(W167="","",W167&amp;"-"&amp;TEXT(X167,"00"))</f>
        <v>1405-05</v>
      </c>
      <c r="AJ167" s="7" t="n">
        <f aca="false">IF(W167="","",W167*12+X167)</f>
        <v>16865</v>
      </c>
      <c r="AK167" s="7" t="str">
        <f aca="false">IF(U167="تاخیر",V167+ROW()/100000,"")</f>
        <v/>
      </c>
    </row>
    <row r="168" customFormat="false" ht="15" hidden="false" customHeight="false" outlineLevel="0" collapsed="false">
      <c r="A168" s="7" t="n">
        <f aca="false">IF(B168="","",ROW()-3)</f>
        <v>165</v>
      </c>
      <c r="B168" s="8" t="s">
        <v>414</v>
      </c>
      <c r="C168" s="8" t="s">
        <v>38</v>
      </c>
      <c r="D168" s="8" t="s">
        <v>339</v>
      </c>
      <c r="E168" s="9" t="s">
        <v>415</v>
      </c>
      <c r="F168" s="9" t="s">
        <v>137</v>
      </c>
      <c r="G168" s="8" t="s">
        <v>309</v>
      </c>
      <c r="H168" s="8" t="s">
        <v>382</v>
      </c>
      <c r="I168" s="8"/>
      <c r="J168" s="9"/>
      <c r="K168" s="8"/>
      <c r="L168" s="8" t="s">
        <v>336</v>
      </c>
      <c r="M168" s="8" t="s">
        <v>110</v>
      </c>
      <c r="N168" s="8"/>
      <c r="O168" s="8"/>
      <c r="P168" s="8"/>
      <c r="Q168" s="8"/>
      <c r="R168" s="9"/>
      <c r="S168" s="8"/>
      <c r="T168" s="9"/>
      <c r="U168" s="10" t="str">
        <f aca="true">IF(B168="","",IF(OR(P168&lt;&gt;"",I168="می‌باشد"),"بسته",IF(AND(L168&lt;&gt;"",W168=""),"خطای فرمت تاریخ ایجاد",IF(AND(H168&lt;&gt;"",AA168=""),"خطای فرمت مهلت",IF(AND(H168&lt;&gt;"",AD168&lt;&gt;"",TODAY()&gt;AD168),"تاخیر",IF(L168&lt;&gt;"","در حال انجام",""))))))</f>
        <v>تاخیر</v>
      </c>
      <c r="V168" s="7" t="n">
        <f aca="true">IF(U168="تاخیر",TODAY()-AD168,IF(AND(U168="بسته",AH168&lt;&gt;"",AD168&lt;&gt;"",AH168&gt;AD168),AH168-AD168,0))</f>
        <v>16</v>
      </c>
      <c r="W168" s="7" t="n">
        <f aca="false">IF(L168="","",VALUE(LEFT(L168,FIND("/",L168)-1)))</f>
        <v>1405</v>
      </c>
      <c r="X168" s="7" t="n">
        <f aca="false">IF(L168="","",VALUE(MID(L168,FIND("/",L168)+1,FIND("/",L168,FIND("/",L168)+1)-FIND("/",L168)-1)))</f>
        <v>5</v>
      </c>
      <c r="Y168" s="7" t="n">
        <f aca="false">IF(L168="","",VALUE(MID(L168,FIND("/",L168,FIND("/",L168)+1)+1,LEN(L168)-FIND("/",L168,FIND("/",L168)+1))))</f>
        <v>12</v>
      </c>
      <c r="Z168" s="11" t="n">
        <f aca="false">IF(OR(L168="",W168=""),"",IFERROR(INDEX('لیست‌ها'!$Q$3:$Q$53,MATCH(W168,'لیست‌ها'!$P$3:$P$53,0))+IF(X168&lt;=6,(X168-1)*31+Y168,IF(X168&lt;=11,186+(X168-7)*30+Y168,336+Y168))-1,""))</f>
        <v>46237</v>
      </c>
      <c r="AA168" s="7" t="n">
        <f aca="false">IF(H168="","",VALUE(LEFT(H168,FIND("/",H168)-1)))</f>
        <v>1405</v>
      </c>
      <c r="AB168" s="7" t="n">
        <f aca="false">IF(H168="","",VALUE(MID(H168,FIND("/",H168)+1,FIND("/",H168,FIND("/",H168)+1)-FIND("/",H168)-1)))</f>
        <v>6</v>
      </c>
      <c r="AC168" s="7" t="n">
        <f aca="false">IF(H168="","",VALUE(MID(H168,FIND("/",H168,FIND("/",H168)+1)+1,LEN(H168)-FIND("/",H168,FIND("/",H168)+1))))</f>
        <v>23</v>
      </c>
      <c r="AD168" s="11" t="n">
        <f aca="false">IF(OR(H168="",AA168=""),"",IFERROR(INDEX('لیست‌ها'!$Q$3:$Q$53,MATCH(AA168,'لیست‌ها'!$P$3:$P$53,0))+IF(AB168&lt;=6,(AB168-1)*31+AC168,IF(AB168&lt;=11,186+(AB168-7)*30+AC168,336+AC168))-1,""))</f>
        <v>46279</v>
      </c>
      <c r="AE168" s="7" t="str">
        <f aca="false">IF(P168="","",VALUE(LEFT(P168,FIND("/",P168)-1)))</f>
        <v/>
      </c>
      <c r="AF168" s="7" t="str">
        <f aca="false">IF(P168="","",VALUE(MID(P168,FIND("/",P168)+1,FIND("/",P168,FIND("/",P168)+1)-FIND("/",P168)-1)))</f>
        <v/>
      </c>
      <c r="AG168" s="7" t="str">
        <f aca="false">IF(P168="","",VALUE(MID(P168,FIND("/",P168,FIND("/",P168)+1)+1,LEN(P168)-FIND("/",P168,FIND("/",P168)+1))))</f>
        <v/>
      </c>
      <c r="AH168" s="7" t="str">
        <f aca="false">IF(OR(P168="",AE168=""),"",IFERROR(INDEX('لیست‌ها'!$Q$3:$Q$53,MATCH(AE168,'لیست‌ها'!$P$3:$P$53,0))+IF(AF168&lt;=6,(AF168-1)*31+AG168,IF(AF168&lt;=11,186+(AF168-7)*30+AG168,336+AG168))-1,""))</f>
        <v/>
      </c>
      <c r="AI168" s="7" t="str">
        <f aca="false">IF(W168="","",W168&amp;"-"&amp;TEXT(X168,"00"))</f>
        <v>1405-05</v>
      </c>
      <c r="AJ168" s="7" t="n">
        <f aca="false">IF(W168="","",W168*12+X168)</f>
        <v>16865</v>
      </c>
      <c r="AK168" s="7" t="n">
        <f aca="false">IF(U168="تاخیر",V168+ROW()/100000,"")</f>
        <v>16.0017</v>
      </c>
    </row>
    <row r="169" customFormat="false" ht="15" hidden="false" customHeight="false" outlineLevel="0" collapsed="false">
      <c r="A169" s="7" t="n">
        <f aca="false">IF(B169="","",ROW()-3)</f>
        <v>166</v>
      </c>
      <c r="B169" s="8" t="s">
        <v>412</v>
      </c>
      <c r="C169" s="8" t="s">
        <v>38</v>
      </c>
      <c r="D169" s="8" t="s">
        <v>339</v>
      </c>
      <c r="E169" s="9" t="s">
        <v>413</v>
      </c>
      <c r="F169" s="9" t="s">
        <v>137</v>
      </c>
      <c r="G169" s="8" t="s">
        <v>309</v>
      </c>
      <c r="H169" s="8" t="s">
        <v>382</v>
      </c>
      <c r="I169" s="8"/>
      <c r="J169" s="9"/>
      <c r="K169" s="8"/>
      <c r="L169" s="8" t="s">
        <v>336</v>
      </c>
      <c r="M169" s="8" t="s">
        <v>71</v>
      </c>
      <c r="N169" s="8"/>
      <c r="O169" s="8"/>
      <c r="P169" s="8"/>
      <c r="Q169" s="8"/>
      <c r="R169" s="9"/>
      <c r="S169" s="8"/>
      <c r="T169" s="9"/>
      <c r="U169" s="10" t="str">
        <f aca="true">IF(B169="","",IF(OR(P169&lt;&gt;"",I169="می‌باشد"),"بسته",IF(AND(L169&lt;&gt;"",W169=""),"خطای فرمت تاریخ ایجاد",IF(AND(H169&lt;&gt;"",AA169=""),"خطای فرمت مهلت",IF(AND(H169&lt;&gt;"",AD169&lt;&gt;"",TODAY()&gt;AD169),"تاخیر",IF(L169&lt;&gt;"","در حال انجام",""))))))</f>
        <v>تاخیر</v>
      </c>
      <c r="V169" s="7" t="n">
        <f aca="true">IF(U169="تاخیر",TODAY()-AD169,IF(AND(U169="بسته",AH169&lt;&gt;"",AD169&lt;&gt;"",AH169&gt;AD169),AH169-AD169,0))</f>
        <v>16</v>
      </c>
      <c r="W169" s="7" t="n">
        <f aca="false">IF(L169="","",VALUE(LEFT(L169,FIND("/",L169)-1)))</f>
        <v>1405</v>
      </c>
      <c r="X169" s="7" t="n">
        <f aca="false">IF(L169="","",VALUE(MID(L169,FIND("/",L169)+1,FIND("/",L169,FIND("/",L169)+1)-FIND("/",L169)-1)))</f>
        <v>5</v>
      </c>
      <c r="Y169" s="7" t="n">
        <f aca="false">IF(L169="","",VALUE(MID(L169,FIND("/",L169,FIND("/",L169)+1)+1,LEN(L169)-FIND("/",L169,FIND("/",L169)+1))))</f>
        <v>12</v>
      </c>
      <c r="Z169" s="11" t="n">
        <f aca="false">IF(OR(L169="",W169=""),"",IFERROR(INDEX('لیست‌ها'!$Q$3:$Q$53,MATCH(W169,'لیست‌ها'!$P$3:$P$53,0))+IF(X169&lt;=6,(X169-1)*31+Y169,IF(X169&lt;=11,186+(X169-7)*30+Y169,336+Y169))-1,""))</f>
        <v>46237</v>
      </c>
      <c r="AA169" s="7" t="n">
        <f aca="false">IF(H169="","",VALUE(LEFT(H169,FIND("/",H169)-1)))</f>
        <v>1405</v>
      </c>
      <c r="AB169" s="7" t="n">
        <f aca="false">IF(H169="","",VALUE(MID(H169,FIND("/",H169)+1,FIND("/",H169,FIND("/",H169)+1)-FIND("/",H169)-1)))</f>
        <v>6</v>
      </c>
      <c r="AC169" s="7" t="n">
        <f aca="false">IF(H169="","",VALUE(MID(H169,FIND("/",H169,FIND("/",H169)+1)+1,LEN(H169)-FIND("/",H169,FIND("/",H169)+1))))</f>
        <v>23</v>
      </c>
      <c r="AD169" s="11" t="n">
        <f aca="false">IF(OR(H169="",AA169=""),"",IFERROR(INDEX('لیست‌ها'!$Q$3:$Q$53,MATCH(AA169,'لیست‌ها'!$P$3:$P$53,0))+IF(AB169&lt;=6,(AB169-1)*31+AC169,IF(AB169&lt;=11,186+(AB169-7)*30+AC169,336+AC169))-1,""))</f>
        <v>46279</v>
      </c>
      <c r="AE169" s="7" t="str">
        <f aca="false">IF(P169="","",VALUE(LEFT(P169,FIND("/",P169)-1)))</f>
        <v/>
      </c>
      <c r="AF169" s="7" t="str">
        <f aca="false">IF(P169="","",VALUE(MID(P169,FIND("/",P169)+1,FIND("/",P169,FIND("/",P169)+1)-FIND("/",P169)-1)))</f>
        <v/>
      </c>
      <c r="AG169" s="7" t="str">
        <f aca="false">IF(P169="","",VALUE(MID(P169,FIND("/",P169,FIND("/",P169)+1)+1,LEN(P169)-FIND("/",P169,FIND("/",P169)+1))))</f>
        <v/>
      </c>
      <c r="AH169" s="7" t="str">
        <f aca="false">IF(OR(P169="",AE169=""),"",IFERROR(INDEX('لیست‌ها'!$Q$3:$Q$53,MATCH(AE169,'لیست‌ها'!$P$3:$P$53,0))+IF(AF169&lt;=6,(AF169-1)*31+AG169,IF(AF169&lt;=11,186+(AF169-7)*30+AG169,336+AG169))-1,""))</f>
        <v/>
      </c>
      <c r="AI169" s="7" t="str">
        <f aca="false">IF(W169="","",W169&amp;"-"&amp;TEXT(X169,"00"))</f>
        <v>1405-05</v>
      </c>
      <c r="AJ169" s="7" t="n">
        <f aca="false">IF(W169="","",W169*12+X169)</f>
        <v>16865</v>
      </c>
      <c r="AK169" s="7" t="n">
        <f aca="false">IF(U169="تاخیر",V169+ROW()/100000,"")</f>
        <v>16.00169</v>
      </c>
    </row>
    <row r="170" customFormat="false" ht="15" hidden="false" customHeight="false" outlineLevel="0" collapsed="false">
      <c r="A170" s="7" t="n">
        <f aca="false">IF(B170="","",ROW()-3)</f>
        <v>167</v>
      </c>
      <c r="B170" s="8" t="s">
        <v>410</v>
      </c>
      <c r="C170" s="8" t="s">
        <v>38</v>
      </c>
      <c r="D170" s="8" t="s">
        <v>339</v>
      </c>
      <c r="E170" s="9" t="s">
        <v>411</v>
      </c>
      <c r="F170" s="9" t="s">
        <v>137</v>
      </c>
      <c r="G170" s="8" t="s">
        <v>309</v>
      </c>
      <c r="H170" s="8" t="s">
        <v>382</v>
      </c>
      <c r="I170" s="8"/>
      <c r="J170" s="9"/>
      <c r="K170" s="8"/>
      <c r="L170" s="8" t="s">
        <v>336</v>
      </c>
      <c r="M170" s="8" t="s">
        <v>371</v>
      </c>
      <c r="N170" s="8"/>
      <c r="O170" s="8"/>
      <c r="P170" s="8"/>
      <c r="Q170" s="8"/>
      <c r="R170" s="9"/>
      <c r="S170" s="8"/>
      <c r="T170" s="9"/>
      <c r="U170" s="10" t="str">
        <f aca="true">IF(B170="","",IF(OR(P170&lt;&gt;"",I170="می‌باشد"),"بسته",IF(AND(L170&lt;&gt;"",W170=""),"خطای فرمت تاریخ ایجاد",IF(AND(H170&lt;&gt;"",AA170=""),"خطای فرمت مهلت",IF(AND(H170&lt;&gt;"",AD170&lt;&gt;"",TODAY()&gt;AD170),"تاخیر",IF(L170&lt;&gt;"","در حال انجام",""))))))</f>
        <v>تاخیر</v>
      </c>
      <c r="V170" s="7" t="n">
        <f aca="true">IF(U170="تاخیر",TODAY()-AD170,IF(AND(U170="بسته",AH170&lt;&gt;"",AD170&lt;&gt;"",AH170&gt;AD170),AH170-AD170,0))</f>
        <v>16</v>
      </c>
      <c r="W170" s="7" t="n">
        <f aca="false">IF(L170="","",VALUE(LEFT(L170,FIND("/",L170)-1)))</f>
        <v>1405</v>
      </c>
      <c r="X170" s="7" t="n">
        <f aca="false">IF(L170="","",VALUE(MID(L170,FIND("/",L170)+1,FIND("/",L170,FIND("/",L170)+1)-FIND("/",L170)-1)))</f>
        <v>5</v>
      </c>
      <c r="Y170" s="7" t="n">
        <f aca="false">IF(L170="","",VALUE(MID(L170,FIND("/",L170,FIND("/",L170)+1)+1,LEN(L170)-FIND("/",L170,FIND("/",L170)+1))))</f>
        <v>12</v>
      </c>
      <c r="Z170" s="11" t="n">
        <f aca="false">IF(OR(L170="",W170=""),"",IFERROR(INDEX('لیست‌ها'!$Q$3:$Q$53,MATCH(W170,'لیست‌ها'!$P$3:$P$53,0))+IF(X170&lt;=6,(X170-1)*31+Y170,IF(X170&lt;=11,186+(X170-7)*30+Y170,336+Y170))-1,""))</f>
        <v>46237</v>
      </c>
      <c r="AA170" s="7" t="n">
        <f aca="false">IF(H170="","",VALUE(LEFT(H170,FIND("/",H170)-1)))</f>
        <v>1405</v>
      </c>
      <c r="AB170" s="7" t="n">
        <f aca="false">IF(H170="","",VALUE(MID(H170,FIND("/",H170)+1,FIND("/",H170,FIND("/",H170)+1)-FIND("/",H170)-1)))</f>
        <v>6</v>
      </c>
      <c r="AC170" s="7" t="n">
        <f aca="false">IF(H170="","",VALUE(MID(H170,FIND("/",H170,FIND("/",H170)+1)+1,LEN(H170)-FIND("/",H170,FIND("/",H170)+1))))</f>
        <v>23</v>
      </c>
      <c r="AD170" s="11" t="n">
        <f aca="false">IF(OR(H170="",AA170=""),"",IFERROR(INDEX('لیست‌ها'!$Q$3:$Q$53,MATCH(AA170,'لیست‌ها'!$P$3:$P$53,0))+IF(AB170&lt;=6,(AB170-1)*31+AC170,IF(AB170&lt;=11,186+(AB170-7)*30+AC170,336+AC170))-1,""))</f>
        <v>46279</v>
      </c>
      <c r="AE170" s="7" t="str">
        <f aca="false">IF(P170="","",VALUE(LEFT(P170,FIND("/",P170)-1)))</f>
        <v/>
      </c>
      <c r="AF170" s="7" t="str">
        <f aca="false">IF(P170="","",VALUE(MID(P170,FIND("/",P170)+1,FIND("/",P170,FIND("/",P170)+1)-FIND("/",P170)-1)))</f>
        <v/>
      </c>
      <c r="AG170" s="7" t="str">
        <f aca="false">IF(P170="","",VALUE(MID(P170,FIND("/",P170,FIND("/",P170)+1)+1,LEN(P170)-FIND("/",P170,FIND("/",P170)+1))))</f>
        <v/>
      </c>
      <c r="AH170" s="7" t="str">
        <f aca="false">IF(OR(P170="",AE170=""),"",IFERROR(INDEX('لیست‌ها'!$Q$3:$Q$53,MATCH(AE170,'لیست‌ها'!$P$3:$P$53,0))+IF(AF170&lt;=6,(AF170-1)*31+AG170,IF(AF170&lt;=11,186+(AF170-7)*30+AG170,336+AG170))-1,""))</f>
        <v/>
      </c>
      <c r="AI170" s="7" t="str">
        <f aca="false">IF(W170="","",W170&amp;"-"&amp;TEXT(X170,"00"))</f>
        <v>1405-05</v>
      </c>
      <c r="AJ170" s="7" t="n">
        <f aca="false">IF(W170="","",W170*12+X170)</f>
        <v>16865</v>
      </c>
      <c r="AK170" s="7" t="n">
        <f aca="false">IF(U170="تاخیر",V170+ROW()/100000,"")</f>
        <v>16.00168</v>
      </c>
    </row>
    <row r="171" customFormat="false" ht="15" hidden="false" customHeight="false" outlineLevel="0" collapsed="false">
      <c r="A171" s="7" t="n">
        <f aca="false">IF(B171="","",ROW()-3)</f>
        <v>168</v>
      </c>
      <c r="B171" s="8" t="s">
        <v>408</v>
      </c>
      <c r="C171" s="8" t="s">
        <v>38</v>
      </c>
      <c r="D171" s="8" t="s">
        <v>339</v>
      </c>
      <c r="E171" s="9" t="s">
        <v>409</v>
      </c>
      <c r="F171" s="9" t="s">
        <v>137</v>
      </c>
      <c r="G171" s="8" t="s">
        <v>42</v>
      </c>
      <c r="H171" s="8"/>
      <c r="I171" s="8"/>
      <c r="J171" s="9"/>
      <c r="K171" s="8"/>
      <c r="L171" s="8" t="s">
        <v>336</v>
      </c>
      <c r="M171" s="8" t="s">
        <v>56</v>
      </c>
      <c r="N171" s="8"/>
      <c r="O171" s="8"/>
      <c r="P171" s="8"/>
      <c r="Q171" s="8"/>
      <c r="R171" s="9"/>
      <c r="S171" s="8"/>
      <c r="T171" s="9"/>
      <c r="U171" s="10" t="str">
        <f aca="true">IF(B171="","",IF(OR(P171&lt;&gt;"",I171="می‌باشد"),"بسته",IF(AND(L171&lt;&gt;"",W171=""),"خطای فرمت تاریخ ایجاد",IF(AND(H171&lt;&gt;"",AA171=""),"خطای فرمت مهلت",IF(AND(H171&lt;&gt;"",AD171&lt;&gt;"",TODAY()&gt;AD171),"تاخیر",IF(L171&lt;&gt;"","در حال انجام",""))))))</f>
        <v>در حال انجام</v>
      </c>
      <c r="V171" s="7" t="n">
        <f aca="true">IF(U171="تاخیر",TODAY()-AD171,IF(AND(U171="بسته",AH171&lt;&gt;"",AD171&lt;&gt;"",AH171&gt;AD171),AH171-AD171,0))</f>
        <v>0</v>
      </c>
      <c r="W171" s="7" t="n">
        <f aca="false">IF(L171="","",VALUE(LEFT(L171,FIND("/",L171)-1)))</f>
        <v>1405</v>
      </c>
      <c r="X171" s="7" t="n">
        <f aca="false">IF(L171="","",VALUE(MID(L171,FIND("/",L171)+1,FIND("/",L171,FIND("/",L171)+1)-FIND("/",L171)-1)))</f>
        <v>5</v>
      </c>
      <c r="Y171" s="7" t="n">
        <f aca="false">IF(L171="","",VALUE(MID(L171,FIND("/",L171,FIND("/",L171)+1)+1,LEN(L171)-FIND("/",L171,FIND("/",L171)+1))))</f>
        <v>12</v>
      </c>
      <c r="Z171" s="11" t="n">
        <f aca="false">IF(OR(L171="",W171=""),"",IFERROR(INDEX('لیست‌ها'!$Q$3:$Q$53,MATCH(W171,'لیست‌ها'!$P$3:$P$53,0))+IF(X171&lt;=6,(X171-1)*31+Y171,IF(X171&lt;=11,186+(X171-7)*30+Y171,336+Y171))-1,""))</f>
        <v>46237</v>
      </c>
      <c r="AA171" s="7" t="str">
        <f aca="false">IF(H171="","",VALUE(LEFT(H171,FIND("/",H171)-1)))</f>
        <v/>
      </c>
      <c r="AB171" s="7" t="str">
        <f aca="false">IF(H171="","",VALUE(MID(H171,FIND("/",H171)+1,FIND("/",H171,FIND("/",H171)+1)-FIND("/",H171)-1)))</f>
        <v/>
      </c>
      <c r="AC171" s="7" t="str">
        <f aca="false">IF(H171="","",VALUE(MID(H171,FIND("/",H171,FIND("/",H171)+1)+1,LEN(H171)-FIND("/",H171,FIND("/",H171)+1))))</f>
        <v/>
      </c>
      <c r="AD171" s="7" t="str">
        <f aca="false">IF(OR(H171="",AA171=""),"",IFERROR(INDEX('لیست‌ها'!$Q$3:$Q$53,MATCH(AA171,'لیست‌ها'!$P$3:$P$53,0))+IF(AB171&lt;=6,(AB171-1)*31+AC171,IF(AB171&lt;=11,186+(AB171-7)*30+AC171,336+AC171))-1,""))</f>
        <v/>
      </c>
      <c r="AE171" s="7" t="str">
        <f aca="false">IF(P171="","",VALUE(LEFT(P171,FIND("/",P171)-1)))</f>
        <v/>
      </c>
      <c r="AF171" s="7" t="str">
        <f aca="false">IF(P171="","",VALUE(MID(P171,FIND("/",P171)+1,FIND("/",P171,FIND("/",P171)+1)-FIND("/",P171)-1)))</f>
        <v/>
      </c>
      <c r="AG171" s="7" t="str">
        <f aca="false">IF(P171="","",VALUE(MID(P171,FIND("/",P171,FIND("/",P171)+1)+1,LEN(P171)-FIND("/",P171,FIND("/",P171)+1))))</f>
        <v/>
      </c>
      <c r="AH171" s="7" t="str">
        <f aca="false">IF(OR(P171="",AE171=""),"",IFERROR(INDEX('لیست‌ها'!$Q$3:$Q$53,MATCH(AE171,'لیست‌ها'!$P$3:$P$53,0))+IF(AF171&lt;=6,(AF171-1)*31+AG171,IF(AF171&lt;=11,186+(AF171-7)*30+AG171,336+AG171))-1,""))</f>
        <v/>
      </c>
      <c r="AI171" s="7" t="str">
        <f aca="false">IF(W171="","",W171&amp;"-"&amp;TEXT(X171,"00"))</f>
        <v>1405-05</v>
      </c>
      <c r="AJ171" s="7" t="n">
        <f aca="false">IF(W171="","",W171*12+X171)</f>
        <v>16865</v>
      </c>
      <c r="AK171" s="7" t="str">
        <f aca="false">IF(U171="تاخیر",V171+ROW()/100000,"")</f>
        <v/>
      </c>
    </row>
    <row r="172" customFormat="false" ht="15" hidden="false" customHeight="false" outlineLevel="0" collapsed="false">
      <c r="A172" s="7" t="n">
        <f aca="false">IF(B172="","",ROW()-3)</f>
        <v>169</v>
      </c>
      <c r="B172" s="8" t="s">
        <v>407</v>
      </c>
      <c r="C172" s="8" t="s">
        <v>38</v>
      </c>
      <c r="D172" s="8" t="s">
        <v>47</v>
      </c>
      <c r="E172" s="9" t="s">
        <v>238</v>
      </c>
      <c r="F172" s="9" t="s">
        <v>51</v>
      </c>
      <c r="G172" s="8" t="s">
        <v>52</v>
      </c>
      <c r="H172" s="8"/>
      <c r="I172" s="8"/>
      <c r="J172" s="9"/>
      <c r="K172" s="8"/>
      <c r="L172" s="8" t="s">
        <v>336</v>
      </c>
      <c r="M172" s="8" t="s">
        <v>56</v>
      </c>
      <c r="N172" s="8"/>
      <c r="O172" s="8"/>
      <c r="P172" s="8"/>
      <c r="Q172" s="8"/>
      <c r="R172" s="9"/>
      <c r="S172" s="8"/>
      <c r="T172" s="9"/>
      <c r="U172" s="10" t="str">
        <f aca="true">IF(B172="","",IF(OR(P172&lt;&gt;"",I172="می‌باشد"),"بسته",IF(AND(L172&lt;&gt;"",W172=""),"خطای فرمت تاریخ ایجاد",IF(AND(H172&lt;&gt;"",AA172=""),"خطای فرمت مهلت",IF(AND(H172&lt;&gt;"",AD172&lt;&gt;"",TODAY()&gt;AD172),"تاخیر",IF(L172&lt;&gt;"","در حال انجام",""))))))</f>
        <v>در حال انجام</v>
      </c>
      <c r="V172" s="7" t="n">
        <f aca="true">IF(U172="تاخیر",TODAY()-AD172,IF(AND(U172="بسته",AH172&lt;&gt;"",AD172&lt;&gt;"",AH172&gt;AD172),AH172-AD172,0))</f>
        <v>0</v>
      </c>
      <c r="W172" s="7" t="n">
        <f aca="false">IF(L172="","",VALUE(LEFT(L172,FIND("/",L172)-1)))</f>
        <v>1405</v>
      </c>
      <c r="X172" s="7" t="n">
        <f aca="false">IF(L172="","",VALUE(MID(L172,FIND("/",L172)+1,FIND("/",L172,FIND("/",L172)+1)-FIND("/",L172)-1)))</f>
        <v>5</v>
      </c>
      <c r="Y172" s="7" t="n">
        <f aca="false">IF(L172="","",VALUE(MID(L172,FIND("/",L172,FIND("/",L172)+1)+1,LEN(L172)-FIND("/",L172,FIND("/",L172)+1))))</f>
        <v>12</v>
      </c>
      <c r="Z172" s="11" t="n">
        <f aca="false">IF(OR(L172="",W172=""),"",IFERROR(INDEX('لیست‌ها'!$Q$3:$Q$53,MATCH(W172,'لیست‌ها'!$P$3:$P$53,0))+IF(X172&lt;=6,(X172-1)*31+Y172,IF(X172&lt;=11,186+(X172-7)*30+Y172,336+Y172))-1,""))</f>
        <v>46237</v>
      </c>
      <c r="AA172" s="7" t="str">
        <f aca="false">IF(H172="","",VALUE(LEFT(H172,FIND("/",H172)-1)))</f>
        <v/>
      </c>
      <c r="AB172" s="7" t="str">
        <f aca="false">IF(H172="","",VALUE(MID(H172,FIND("/",H172)+1,FIND("/",H172,FIND("/",H172)+1)-FIND("/",H172)-1)))</f>
        <v/>
      </c>
      <c r="AC172" s="7" t="str">
        <f aca="false">IF(H172="","",VALUE(MID(H172,FIND("/",H172,FIND("/",H172)+1)+1,LEN(H172)-FIND("/",H172,FIND("/",H172)+1))))</f>
        <v/>
      </c>
      <c r="AD172" s="7" t="str">
        <f aca="false">IF(OR(H172="",AA172=""),"",IFERROR(INDEX('لیست‌ها'!$Q$3:$Q$53,MATCH(AA172,'لیست‌ها'!$P$3:$P$53,0))+IF(AB172&lt;=6,(AB172-1)*31+AC172,IF(AB172&lt;=11,186+(AB172-7)*30+AC172,336+AC172))-1,""))</f>
        <v/>
      </c>
      <c r="AE172" s="7" t="str">
        <f aca="false">IF(P172="","",VALUE(LEFT(P172,FIND("/",P172)-1)))</f>
        <v/>
      </c>
      <c r="AF172" s="7" t="str">
        <f aca="false">IF(P172="","",VALUE(MID(P172,FIND("/",P172)+1,FIND("/",P172,FIND("/",P172)+1)-FIND("/",P172)-1)))</f>
        <v/>
      </c>
      <c r="AG172" s="7" t="str">
        <f aca="false">IF(P172="","",VALUE(MID(P172,FIND("/",P172,FIND("/",P172)+1)+1,LEN(P172)-FIND("/",P172,FIND("/",P172)+1))))</f>
        <v/>
      </c>
      <c r="AH172" s="7" t="str">
        <f aca="false">IF(OR(P172="",AE172=""),"",IFERROR(INDEX('لیست‌ها'!$Q$3:$Q$53,MATCH(AE172,'لیست‌ها'!$P$3:$P$53,0))+IF(AF172&lt;=6,(AF172-1)*31+AG172,IF(AF172&lt;=11,186+(AF172-7)*30+AG172,336+AG172))-1,""))</f>
        <v/>
      </c>
      <c r="AI172" s="7" t="str">
        <f aca="false">IF(W172="","",W172&amp;"-"&amp;TEXT(X172,"00"))</f>
        <v>1405-05</v>
      </c>
      <c r="AJ172" s="7" t="n">
        <f aca="false">IF(W172="","",W172*12+X172)</f>
        <v>16865</v>
      </c>
      <c r="AK172" s="7" t="str">
        <f aca="false">IF(U172="تاخیر",V172+ROW()/100000,"")</f>
        <v/>
      </c>
    </row>
    <row r="173" customFormat="false" ht="15" hidden="false" customHeight="false" outlineLevel="0" collapsed="false">
      <c r="A173" s="7" t="n">
        <f aca="false">IF(B173="","",ROW()-3)</f>
        <v>170</v>
      </c>
      <c r="B173" s="8" t="s">
        <v>406</v>
      </c>
      <c r="C173" s="8" t="s">
        <v>38</v>
      </c>
      <c r="D173" s="8" t="s">
        <v>47</v>
      </c>
      <c r="E173" s="9" t="s">
        <v>100</v>
      </c>
      <c r="F173" s="9" t="s">
        <v>51</v>
      </c>
      <c r="G173" s="8" t="s">
        <v>52</v>
      </c>
      <c r="H173" s="8" t="s">
        <v>387</v>
      </c>
      <c r="I173" s="8" t="s">
        <v>54</v>
      </c>
      <c r="J173" s="9"/>
      <c r="K173" s="8"/>
      <c r="L173" s="8" t="s">
        <v>336</v>
      </c>
      <c r="M173" s="8" t="s">
        <v>56</v>
      </c>
      <c r="N173" s="8"/>
      <c r="O173" s="8"/>
      <c r="P173" s="8"/>
      <c r="Q173" s="8"/>
      <c r="R173" s="9"/>
      <c r="S173" s="8"/>
      <c r="T173" s="9"/>
      <c r="U173" s="10" t="str">
        <f aca="true">IF(B173="","",IF(OR(P173&lt;&gt;"",I173="می‌باشد"),"بسته",IF(AND(L173&lt;&gt;"",W173=""),"خطای فرمت تاریخ ایجاد",IF(AND(H173&lt;&gt;"",AA173=""),"خطای فرمت مهلت",IF(AND(H173&lt;&gt;"",AD173&lt;&gt;"",TODAY()&gt;AD173),"تاخیر",IF(L173&lt;&gt;"","در حال انجام",""))))))</f>
        <v>بسته</v>
      </c>
      <c r="V173" s="7" t="n">
        <f aca="true">IF(U173="تاخیر",TODAY()-AD173,IF(AND(U173="بسته",AH173&lt;&gt;"",AD173&lt;&gt;"",AH173&gt;AD173),AH173-AD173,0))</f>
        <v>0</v>
      </c>
      <c r="W173" s="7" t="n">
        <f aca="false">IF(L173="","",VALUE(LEFT(L173,FIND("/",L173)-1)))</f>
        <v>1405</v>
      </c>
      <c r="X173" s="7" t="n">
        <f aca="false">IF(L173="","",VALUE(MID(L173,FIND("/",L173)+1,FIND("/",L173,FIND("/",L173)+1)-FIND("/",L173)-1)))</f>
        <v>5</v>
      </c>
      <c r="Y173" s="7" t="n">
        <f aca="false">IF(L173="","",VALUE(MID(L173,FIND("/",L173,FIND("/",L173)+1)+1,LEN(L173)-FIND("/",L173,FIND("/",L173)+1))))</f>
        <v>12</v>
      </c>
      <c r="Z173" s="11" t="n">
        <f aca="false">IF(OR(L173="",W173=""),"",IFERROR(INDEX('لیست‌ها'!$Q$3:$Q$53,MATCH(W173,'لیست‌ها'!$P$3:$P$53,0))+IF(X173&lt;=6,(X173-1)*31+Y173,IF(X173&lt;=11,186+(X173-7)*30+Y173,336+Y173))-1,""))</f>
        <v>46237</v>
      </c>
      <c r="AA173" s="7" t="n">
        <f aca="false">IF(H173="","",VALUE(LEFT(H173,FIND("/",H173)-1)))</f>
        <v>1405</v>
      </c>
      <c r="AB173" s="7" t="n">
        <f aca="false">IF(H173="","",VALUE(MID(H173,FIND("/",H173)+1,FIND("/",H173,FIND("/",H173)+1)-FIND("/",H173)-1)))</f>
        <v>6</v>
      </c>
      <c r="AC173" s="7" t="n">
        <f aca="false">IF(H173="","",VALUE(MID(H173,FIND("/",H173,FIND("/",H173)+1)+1,LEN(H173)-FIND("/",H173,FIND("/",H173)+1))))</f>
        <v>31</v>
      </c>
      <c r="AD173" s="11" t="n">
        <f aca="false">IF(OR(H173="",AA173=""),"",IFERROR(INDEX('لیست‌ها'!$Q$3:$Q$53,MATCH(AA173,'لیست‌ها'!$P$3:$P$53,0))+IF(AB173&lt;=6,(AB173-1)*31+AC173,IF(AB173&lt;=11,186+(AB173-7)*30+AC173,336+AC173))-1,""))</f>
        <v>46287</v>
      </c>
      <c r="AE173" s="7" t="str">
        <f aca="false">IF(P173="","",VALUE(LEFT(P173,FIND("/",P173)-1)))</f>
        <v/>
      </c>
      <c r="AF173" s="7" t="str">
        <f aca="false">IF(P173="","",VALUE(MID(P173,FIND("/",P173)+1,FIND("/",P173,FIND("/",P173)+1)-FIND("/",P173)-1)))</f>
        <v/>
      </c>
      <c r="AG173" s="7" t="str">
        <f aca="false">IF(P173="","",VALUE(MID(P173,FIND("/",P173,FIND("/",P173)+1)+1,LEN(P173)-FIND("/",P173,FIND("/",P173)+1))))</f>
        <v/>
      </c>
      <c r="AH173" s="7" t="str">
        <f aca="false">IF(OR(P173="",AE173=""),"",IFERROR(INDEX('لیست‌ها'!$Q$3:$Q$53,MATCH(AE173,'لیست‌ها'!$P$3:$P$53,0))+IF(AF173&lt;=6,(AF173-1)*31+AG173,IF(AF173&lt;=11,186+(AF173-7)*30+AG173,336+AG173))-1,""))</f>
        <v/>
      </c>
      <c r="AI173" s="7" t="str">
        <f aca="false">IF(W173="","",W173&amp;"-"&amp;TEXT(X173,"00"))</f>
        <v>1405-05</v>
      </c>
      <c r="AJ173" s="7" t="n">
        <f aca="false">IF(W173="","",W173*12+X173)</f>
        <v>16865</v>
      </c>
      <c r="AK173" s="7" t="str">
        <f aca="false">IF(U173="تاخیر",V173+ROW()/100000,"")</f>
        <v/>
      </c>
    </row>
    <row r="174" customFormat="false" ht="15" hidden="false" customHeight="false" outlineLevel="0" collapsed="false">
      <c r="A174" s="7" t="n">
        <f aca="false">IF(B174="","",ROW()-3)</f>
        <v>171</v>
      </c>
      <c r="B174" s="8" t="s">
        <v>405</v>
      </c>
      <c r="C174" s="8" t="s">
        <v>38</v>
      </c>
      <c r="D174" s="8" t="s">
        <v>47</v>
      </c>
      <c r="E174" s="9" t="s">
        <v>147</v>
      </c>
      <c r="F174" s="9" t="s">
        <v>51</v>
      </c>
      <c r="G174" s="8" t="s">
        <v>52</v>
      </c>
      <c r="H174" s="8" t="s">
        <v>387</v>
      </c>
      <c r="I174" s="8" t="s">
        <v>54</v>
      </c>
      <c r="J174" s="9"/>
      <c r="K174" s="8"/>
      <c r="L174" s="8" t="s">
        <v>336</v>
      </c>
      <c r="M174" s="8" t="s">
        <v>56</v>
      </c>
      <c r="N174" s="8"/>
      <c r="O174" s="8"/>
      <c r="P174" s="8"/>
      <c r="Q174" s="8"/>
      <c r="R174" s="9"/>
      <c r="S174" s="8"/>
      <c r="T174" s="9"/>
      <c r="U174" s="10" t="str">
        <f aca="true">IF(B174="","",IF(OR(P174&lt;&gt;"",I174="می‌باشد"),"بسته",IF(AND(L174&lt;&gt;"",W174=""),"خطای فرمت تاریخ ایجاد",IF(AND(H174&lt;&gt;"",AA174=""),"خطای فرمت مهلت",IF(AND(H174&lt;&gt;"",AD174&lt;&gt;"",TODAY()&gt;AD174),"تاخیر",IF(L174&lt;&gt;"","در حال انجام",""))))))</f>
        <v>بسته</v>
      </c>
      <c r="V174" s="7" t="n">
        <f aca="true">IF(U174="تاخیر",TODAY()-AD174,IF(AND(U174="بسته",AH174&lt;&gt;"",AD174&lt;&gt;"",AH174&gt;AD174),AH174-AD174,0))</f>
        <v>0</v>
      </c>
      <c r="W174" s="7" t="n">
        <f aca="false">IF(L174="","",VALUE(LEFT(L174,FIND("/",L174)-1)))</f>
        <v>1405</v>
      </c>
      <c r="X174" s="7" t="n">
        <f aca="false">IF(L174="","",VALUE(MID(L174,FIND("/",L174)+1,FIND("/",L174,FIND("/",L174)+1)-FIND("/",L174)-1)))</f>
        <v>5</v>
      </c>
      <c r="Y174" s="7" t="n">
        <f aca="false">IF(L174="","",VALUE(MID(L174,FIND("/",L174,FIND("/",L174)+1)+1,LEN(L174)-FIND("/",L174,FIND("/",L174)+1))))</f>
        <v>12</v>
      </c>
      <c r="Z174" s="11" t="n">
        <f aca="false">IF(OR(L174="",W174=""),"",IFERROR(INDEX('لیست‌ها'!$Q$3:$Q$53,MATCH(W174,'لیست‌ها'!$P$3:$P$53,0))+IF(X174&lt;=6,(X174-1)*31+Y174,IF(X174&lt;=11,186+(X174-7)*30+Y174,336+Y174))-1,""))</f>
        <v>46237</v>
      </c>
      <c r="AA174" s="7" t="n">
        <f aca="false">IF(H174="","",VALUE(LEFT(H174,FIND("/",H174)-1)))</f>
        <v>1405</v>
      </c>
      <c r="AB174" s="7" t="n">
        <f aca="false">IF(H174="","",VALUE(MID(H174,FIND("/",H174)+1,FIND("/",H174,FIND("/",H174)+1)-FIND("/",H174)-1)))</f>
        <v>6</v>
      </c>
      <c r="AC174" s="7" t="n">
        <f aca="false">IF(H174="","",VALUE(MID(H174,FIND("/",H174,FIND("/",H174)+1)+1,LEN(H174)-FIND("/",H174,FIND("/",H174)+1))))</f>
        <v>31</v>
      </c>
      <c r="AD174" s="11" t="n">
        <f aca="false">IF(OR(H174="",AA174=""),"",IFERROR(INDEX('لیست‌ها'!$Q$3:$Q$53,MATCH(AA174,'لیست‌ها'!$P$3:$P$53,0))+IF(AB174&lt;=6,(AB174-1)*31+AC174,IF(AB174&lt;=11,186+(AB174-7)*30+AC174,336+AC174))-1,""))</f>
        <v>46287</v>
      </c>
      <c r="AE174" s="7" t="str">
        <f aca="false">IF(P174="","",VALUE(LEFT(P174,FIND("/",P174)-1)))</f>
        <v/>
      </c>
      <c r="AF174" s="7" t="str">
        <f aca="false">IF(P174="","",VALUE(MID(P174,FIND("/",P174)+1,FIND("/",P174,FIND("/",P174)+1)-FIND("/",P174)-1)))</f>
        <v/>
      </c>
      <c r="AG174" s="7" t="str">
        <f aca="false">IF(P174="","",VALUE(MID(P174,FIND("/",P174,FIND("/",P174)+1)+1,LEN(P174)-FIND("/",P174,FIND("/",P174)+1))))</f>
        <v/>
      </c>
      <c r="AH174" s="7" t="str">
        <f aca="false">IF(OR(P174="",AE174=""),"",IFERROR(INDEX('لیست‌ها'!$Q$3:$Q$53,MATCH(AE174,'لیست‌ها'!$P$3:$P$53,0))+IF(AF174&lt;=6,(AF174-1)*31+AG174,IF(AF174&lt;=11,186+(AF174-7)*30+AG174,336+AG174))-1,""))</f>
        <v/>
      </c>
      <c r="AI174" s="7" t="str">
        <f aca="false">IF(W174="","",W174&amp;"-"&amp;TEXT(X174,"00"))</f>
        <v>1405-05</v>
      </c>
      <c r="AJ174" s="7" t="n">
        <f aca="false">IF(W174="","",W174*12+X174)</f>
        <v>16865</v>
      </c>
      <c r="AK174" s="7" t="str">
        <f aca="false">IF(U174="تاخیر",V174+ROW()/100000,"")</f>
        <v/>
      </c>
    </row>
    <row r="175" customFormat="false" ht="15" hidden="false" customHeight="false" outlineLevel="0" collapsed="false">
      <c r="A175" s="7" t="n">
        <f aca="false">IF(B175="","",ROW()-3)</f>
        <v>172</v>
      </c>
      <c r="B175" s="8" t="s">
        <v>404</v>
      </c>
      <c r="C175" s="8" t="s">
        <v>38</v>
      </c>
      <c r="D175" s="8" t="s">
        <v>47</v>
      </c>
      <c r="E175" s="9" t="s">
        <v>179</v>
      </c>
      <c r="F175" s="9" t="s">
        <v>51</v>
      </c>
      <c r="G175" s="8" t="s">
        <v>52</v>
      </c>
      <c r="H175" s="8" t="s">
        <v>387</v>
      </c>
      <c r="I175" s="8" t="s">
        <v>54</v>
      </c>
      <c r="J175" s="9"/>
      <c r="K175" s="8"/>
      <c r="L175" s="8" t="s">
        <v>336</v>
      </c>
      <c r="M175" s="8" t="s">
        <v>56</v>
      </c>
      <c r="N175" s="8"/>
      <c r="O175" s="8"/>
      <c r="P175" s="8"/>
      <c r="Q175" s="8"/>
      <c r="R175" s="9"/>
      <c r="S175" s="8"/>
      <c r="T175" s="9"/>
      <c r="U175" s="10" t="str">
        <f aca="true">IF(B175="","",IF(OR(P175&lt;&gt;"",I175="می‌باشد"),"بسته",IF(AND(L175&lt;&gt;"",W175=""),"خطای فرمت تاریخ ایجاد",IF(AND(H175&lt;&gt;"",AA175=""),"خطای فرمت مهلت",IF(AND(H175&lt;&gt;"",AD175&lt;&gt;"",TODAY()&gt;AD175),"تاخیر",IF(L175&lt;&gt;"","در حال انجام",""))))))</f>
        <v>بسته</v>
      </c>
      <c r="V175" s="7" t="n">
        <f aca="true">IF(U175="تاخیر",TODAY()-AD175,IF(AND(U175="بسته",AH175&lt;&gt;"",AD175&lt;&gt;"",AH175&gt;AD175),AH175-AD175,0))</f>
        <v>0</v>
      </c>
      <c r="W175" s="7" t="n">
        <f aca="false">IF(L175="","",VALUE(LEFT(L175,FIND("/",L175)-1)))</f>
        <v>1405</v>
      </c>
      <c r="X175" s="7" t="n">
        <f aca="false">IF(L175="","",VALUE(MID(L175,FIND("/",L175)+1,FIND("/",L175,FIND("/",L175)+1)-FIND("/",L175)-1)))</f>
        <v>5</v>
      </c>
      <c r="Y175" s="7" t="n">
        <f aca="false">IF(L175="","",VALUE(MID(L175,FIND("/",L175,FIND("/",L175)+1)+1,LEN(L175)-FIND("/",L175,FIND("/",L175)+1))))</f>
        <v>12</v>
      </c>
      <c r="Z175" s="11" t="n">
        <f aca="false">IF(OR(L175="",W175=""),"",IFERROR(INDEX('لیست‌ها'!$Q$3:$Q$53,MATCH(W175,'لیست‌ها'!$P$3:$P$53,0))+IF(X175&lt;=6,(X175-1)*31+Y175,IF(X175&lt;=11,186+(X175-7)*30+Y175,336+Y175))-1,""))</f>
        <v>46237</v>
      </c>
      <c r="AA175" s="7" t="n">
        <f aca="false">IF(H175="","",VALUE(LEFT(H175,FIND("/",H175)-1)))</f>
        <v>1405</v>
      </c>
      <c r="AB175" s="7" t="n">
        <f aca="false">IF(H175="","",VALUE(MID(H175,FIND("/",H175)+1,FIND("/",H175,FIND("/",H175)+1)-FIND("/",H175)-1)))</f>
        <v>6</v>
      </c>
      <c r="AC175" s="7" t="n">
        <f aca="false">IF(H175="","",VALUE(MID(H175,FIND("/",H175,FIND("/",H175)+1)+1,LEN(H175)-FIND("/",H175,FIND("/",H175)+1))))</f>
        <v>31</v>
      </c>
      <c r="AD175" s="11" t="n">
        <f aca="false">IF(OR(H175="",AA175=""),"",IFERROR(INDEX('لیست‌ها'!$Q$3:$Q$53,MATCH(AA175,'لیست‌ها'!$P$3:$P$53,0))+IF(AB175&lt;=6,(AB175-1)*31+AC175,IF(AB175&lt;=11,186+(AB175-7)*30+AC175,336+AC175))-1,""))</f>
        <v>46287</v>
      </c>
      <c r="AE175" s="7" t="str">
        <f aca="false">IF(P175="","",VALUE(LEFT(P175,FIND("/",P175)-1)))</f>
        <v/>
      </c>
      <c r="AF175" s="7" t="str">
        <f aca="false">IF(P175="","",VALUE(MID(P175,FIND("/",P175)+1,FIND("/",P175,FIND("/",P175)+1)-FIND("/",P175)-1)))</f>
        <v/>
      </c>
      <c r="AG175" s="7" t="str">
        <f aca="false">IF(P175="","",VALUE(MID(P175,FIND("/",P175,FIND("/",P175)+1)+1,LEN(P175)-FIND("/",P175,FIND("/",P175)+1))))</f>
        <v/>
      </c>
      <c r="AH175" s="7" t="str">
        <f aca="false">IF(OR(P175="",AE175=""),"",IFERROR(INDEX('لیست‌ها'!$Q$3:$Q$53,MATCH(AE175,'لیست‌ها'!$P$3:$P$53,0))+IF(AF175&lt;=6,(AF175-1)*31+AG175,IF(AF175&lt;=11,186+(AF175-7)*30+AG175,336+AG175))-1,""))</f>
        <v/>
      </c>
      <c r="AI175" s="7" t="str">
        <f aca="false">IF(W175="","",W175&amp;"-"&amp;TEXT(X175,"00"))</f>
        <v>1405-05</v>
      </c>
      <c r="AJ175" s="7" t="n">
        <f aca="false">IF(W175="","",W175*12+X175)</f>
        <v>16865</v>
      </c>
      <c r="AK175" s="7" t="str">
        <f aca="false">IF(U175="تاخیر",V175+ROW()/100000,"")</f>
        <v/>
      </c>
    </row>
    <row r="176" customFormat="false" ht="15" hidden="false" customHeight="false" outlineLevel="0" collapsed="false">
      <c r="A176" s="7" t="n">
        <f aca="false">IF(B176="","",ROW()-3)</f>
        <v>173</v>
      </c>
      <c r="B176" s="8" t="s">
        <v>401</v>
      </c>
      <c r="C176" s="8" t="s">
        <v>38</v>
      </c>
      <c r="D176" s="8" t="s">
        <v>339</v>
      </c>
      <c r="E176" s="9" t="s">
        <v>402</v>
      </c>
      <c r="F176" s="9" t="s">
        <v>137</v>
      </c>
      <c r="G176" s="8" t="s">
        <v>131</v>
      </c>
      <c r="H176" s="8" t="s">
        <v>382</v>
      </c>
      <c r="I176" s="8" t="s">
        <v>54</v>
      </c>
      <c r="J176" s="9"/>
      <c r="K176" s="8"/>
      <c r="L176" s="8" t="s">
        <v>403</v>
      </c>
      <c r="M176" s="8" t="s">
        <v>56</v>
      </c>
      <c r="N176" s="8"/>
      <c r="O176" s="8"/>
      <c r="P176" s="8"/>
      <c r="Q176" s="8"/>
      <c r="R176" s="9"/>
      <c r="S176" s="8"/>
      <c r="T176" s="9"/>
      <c r="U176" s="10" t="str">
        <f aca="true">IF(B176="","",IF(OR(P176&lt;&gt;"",I176="می‌باشد"),"بسته",IF(AND(L176&lt;&gt;"",W176=""),"خطای فرمت تاریخ ایجاد",IF(AND(H176&lt;&gt;"",AA176=""),"خطای فرمت مهلت",IF(AND(H176&lt;&gt;"",AD176&lt;&gt;"",TODAY()&gt;AD176),"تاخیر",IF(L176&lt;&gt;"","در حال انجام",""))))))</f>
        <v>بسته</v>
      </c>
      <c r="V176" s="7" t="n">
        <f aca="true">IF(U176="تاخیر",TODAY()-AD176,IF(AND(U176="بسته",AH176&lt;&gt;"",AD176&lt;&gt;"",AH176&gt;AD176),AH176-AD176,0))</f>
        <v>0</v>
      </c>
      <c r="W176" s="7" t="n">
        <f aca="false">IF(L176="","",VALUE(LEFT(L176,FIND("/",L176)-1)))</f>
        <v>1405</v>
      </c>
      <c r="X176" s="7" t="n">
        <f aca="false">IF(L176="","",VALUE(MID(L176,FIND("/",L176)+1,FIND("/",L176,FIND("/",L176)+1)-FIND("/",L176)-1)))</f>
        <v>5</v>
      </c>
      <c r="Y176" s="7" t="n">
        <f aca="false">IF(L176="","",VALUE(MID(L176,FIND("/",L176,FIND("/",L176)+1)+1,LEN(L176)-FIND("/",L176,FIND("/",L176)+1))))</f>
        <v>14</v>
      </c>
      <c r="Z176" s="11" t="n">
        <f aca="false">IF(OR(L176="",W176=""),"",IFERROR(INDEX('لیست‌ها'!$Q$3:$Q$53,MATCH(W176,'لیست‌ها'!$P$3:$P$53,0))+IF(X176&lt;=6,(X176-1)*31+Y176,IF(X176&lt;=11,186+(X176-7)*30+Y176,336+Y176))-1,""))</f>
        <v>46239</v>
      </c>
      <c r="AA176" s="7" t="n">
        <f aca="false">IF(H176="","",VALUE(LEFT(H176,FIND("/",H176)-1)))</f>
        <v>1405</v>
      </c>
      <c r="AB176" s="7" t="n">
        <f aca="false">IF(H176="","",VALUE(MID(H176,FIND("/",H176)+1,FIND("/",H176,FIND("/",H176)+1)-FIND("/",H176)-1)))</f>
        <v>6</v>
      </c>
      <c r="AC176" s="7" t="n">
        <f aca="false">IF(H176="","",VALUE(MID(H176,FIND("/",H176,FIND("/",H176)+1)+1,LEN(H176)-FIND("/",H176,FIND("/",H176)+1))))</f>
        <v>23</v>
      </c>
      <c r="AD176" s="11" t="n">
        <f aca="false">IF(OR(H176="",AA176=""),"",IFERROR(INDEX('لیست‌ها'!$Q$3:$Q$53,MATCH(AA176,'لیست‌ها'!$P$3:$P$53,0))+IF(AB176&lt;=6,(AB176-1)*31+AC176,IF(AB176&lt;=11,186+(AB176-7)*30+AC176,336+AC176))-1,""))</f>
        <v>46279</v>
      </c>
      <c r="AE176" s="7" t="str">
        <f aca="false">IF(P176="","",VALUE(LEFT(P176,FIND("/",P176)-1)))</f>
        <v/>
      </c>
      <c r="AF176" s="7" t="str">
        <f aca="false">IF(P176="","",VALUE(MID(P176,FIND("/",P176)+1,FIND("/",P176,FIND("/",P176)+1)-FIND("/",P176)-1)))</f>
        <v/>
      </c>
      <c r="AG176" s="7" t="str">
        <f aca="false">IF(P176="","",VALUE(MID(P176,FIND("/",P176,FIND("/",P176)+1)+1,LEN(P176)-FIND("/",P176,FIND("/",P176)+1))))</f>
        <v/>
      </c>
      <c r="AH176" s="7" t="str">
        <f aca="false">IF(OR(P176="",AE176=""),"",IFERROR(INDEX('لیست‌ها'!$Q$3:$Q$53,MATCH(AE176,'لیست‌ها'!$P$3:$P$53,0))+IF(AF176&lt;=6,(AF176-1)*31+AG176,IF(AF176&lt;=11,186+(AF176-7)*30+AG176,336+AG176))-1,""))</f>
        <v/>
      </c>
      <c r="AI176" s="7" t="str">
        <f aca="false">IF(W176="","",W176&amp;"-"&amp;TEXT(X176,"00"))</f>
        <v>1405-05</v>
      </c>
      <c r="AJ176" s="7" t="n">
        <f aca="false">IF(W176="","",W176*12+X176)</f>
        <v>16865</v>
      </c>
      <c r="AK176" s="7" t="str">
        <f aca="false">IF(U176="تاخیر",V176+ROW()/100000,"")</f>
        <v/>
      </c>
    </row>
    <row r="177" customFormat="false" ht="15" hidden="false" customHeight="false" outlineLevel="0" collapsed="false">
      <c r="A177" s="7" t="n">
        <f aca="false">IF(B177="","",ROW()-3)</f>
        <v>174</v>
      </c>
      <c r="B177" s="8" t="s">
        <v>457</v>
      </c>
      <c r="C177" s="8" t="s">
        <v>38</v>
      </c>
      <c r="D177" s="8" t="s">
        <v>339</v>
      </c>
      <c r="E177" s="9" t="s">
        <v>458</v>
      </c>
      <c r="F177" s="9" t="s">
        <v>137</v>
      </c>
      <c r="G177" s="8" t="s">
        <v>459</v>
      </c>
      <c r="H177" s="8" t="s">
        <v>387</v>
      </c>
      <c r="I177" s="8"/>
      <c r="J177" s="9"/>
      <c r="K177" s="8"/>
      <c r="L177" s="8" t="s">
        <v>403</v>
      </c>
      <c r="M177" s="8" t="s">
        <v>371</v>
      </c>
      <c r="N177" s="8"/>
      <c r="O177" s="8"/>
      <c r="P177" s="8"/>
      <c r="Q177" s="8"/>
      <c r="R177" s="9"/>
      <c r="S177" s="8"/>
      <c r="T177" s="9"/>
      <c r="U177" s="10" t="str">
        <f aca="true">IF(B177="","",IF(OR(P177&lt;&gt;"",I177="می‌باشد"),"بسته",IF(AND(L177&lt;&gt;"",W177=""),"خطای فرمت تاریخ ایجاد",IF(AND(H177&lt;&gt;"",AA177=""),"خطای فرمت مهلت",IF(AND(H177&lt;&gt;"",AD177&lt;&gt;"",TODAY()&gt;AD177),"تاخیر",IF(L177&lt;&gt;"","در حال انجام",""))))))</f>
        <v>تاخیر</v>
      </c>
      <c r="V177" s="7" t="n">
        <f aca="true">IF(U177="تاخیر",TODAY()-AD177,IF(AND(U177="بسته",AH177&lt;&gt;"",AD177&lt;&gt;"",AH177&gt;AD177),AH177-AD177,0))</f>
        <v>8</v>
      </c>
      <c r="W177" s="7" t="n">
        <f aca="false">IF(L177="","",VALUE(LEFT(L177,FIND("/",L177)-1)))</f>
        <v>1405</v>
      </c>
      <c r="X177" s="7" t="n">
        <f aca="false">IF(L177="","",VALUE(MID(L177,FIND("/",L177)+1,FIND("/",L177,FIND("/",L177)+1)-FIND("/",L177)-1)))</f>
        <v>5</v>
      </c>
      <c r="Y177" s="7" t="n">
        <f aca="false">IF(L177="","",VALUE(MID(L177,FIND("/",L177,FIND("/",L177)+1)+1,LEN(L177)-FIND("/",L177,FIND("/",L177)+1))))</f>
        <v>14</v>
      </c>
      <c r="Z177" s="11" t="n">
        <f aca="false">IF(OR(L177="",W177=""),"",IFERROR(INDEX('لیست‌ها'!$Q$3:$Q$53,MATCH(W177,'لیست‌ها'!$P$3:$P$53,0))+IF(X177&lt;=6,(X177-1)*31+Y177,IF(X177&lt;=11,186+(X177-7)*30+Y177,336+Y177))-1,""))</f>
        <v>46239</v>
      </c>
      <c r="AA177" s="7" t="n">
        <f aca="false">IF(H177="","",VALUE(LEFT(H177,FIND("/",H177)-1)))</f>
        <v>1405</v>
      </c>
      <c r="AB177" s="7" t="n">
        <f aca="false">IF(H177="","",VALUE(MID(H177,FIND("/",H177)+1,FIND("/",H177,FIND("/",H177)+1)-FIND("/",H177)-1)))</f>
        <v>6</v>
      </c>
      <c r="AC177" s="7" t="n">
        <f aca="false">IF(H177="","",VALUE(MID(H177,FIND("/",H177,FIND("/",H177)+1)+1,LEN(H177)-FIND("/",H177,FIND("/",H177)+1))))</f>
        <v>31</v>
      </c>
      <c r="AD177" s="11" t="n">
        <f aca="false">IF(OR(H177="",AA177=""),"",IFERROR(INDEX('لیست‌ها'!$Q$3:$Q$53,MATCH(AA177,'لیست‌ها'!$P$3:$P$53,0))+IF(AB177&lt;=6,(AB177-1)*31+AC177,IF(AB177&lt;=11,186+(AB177-7)*30+AC177,336+AC177))-1,""))</f>
        <v>46287</v>
      </c>
      <c r="AE177" s="7" t="str">
        <f aca="false">IF(P177="","",VALUE(LEFT(P177,FIND("/",P177)-1)))</f>
        <v/>
      </c>
      <c r="AF177" s="7" t="str">
        <f aca="false">IF(P177="","",VALUE(MID(P177,FIND("/",P177)+1,FIND("/",P177,FIND("/",P177)+1)-FIND("/",P177)-1)))</f>
        <v/>
      </c>
      <c r="AG177" s="7" t="str">
        <f aca="false">IF(P177="","",VALUE(MID(P177,FIND("/",P177,FIND("/",P177)+1)+1,LEN(P177)-FIND("/",P177,FIND("/",P177)+1))))</f>
        <v/>
      </c>
      <c r="AH177" s="7" t="str">
        <f aca="false">IF(OR(P177="",AE177=""),"",IFERROR(INDEX('لیست‌ها'!$Q$3:$Q$53,MATCH(AE177,'لیست‌ها'!$P$3:$P$53,0))+IF(AF177&lt;=6,(AF177-1)*31+AG177,IF(AF177&lt;=11,186+(AF177-7)*30+AG177,336+AG177))-1,""))</f>
        <v/>
      </c>
      <c r="AI177" s="7" t="str">
        <f aca="false">IF(W177="","",W177&amp;"-"&amp;TEXT(X177,"00"))</f>
        <v>1405-05</v>
      </c>
      <c r="AJ177" s="7" t="n">
        <f aca="false">IF(W177="","",W177*12+X177)</f>
        <v>16865</v>
      </c>
      <c r="AK177" s="7" t="n">
        <f aca="false">IF(U177="تاخیر",V177+ROW()/100000,"")</f>
        <v>8.00191</v>
      </c>
    </row>
    <row r="178" customFormat="false" ht="15" hidden="false" customHeight="false" outlineLevel="0" collapsed="false">
      <c r="A178" s="7" t="n">
        <f aca="false">IF(B178="","",ROW()-3)</f>
        <v>175</v>
      </c>
      <c r="B178" s="8" t="s">
        <v>454</v>
      </c>
      <c r="C178" s="8" t="s">
        <v>38</v>
      </c>
      <c r="D178" s="8" t="s">
        <v>339</v>
      </c>
      <c r="E178" s="9" t="s">
        <v>455</v>
      </c>
      <c r="F178" s="9" t="s">
        <v>137</v>
      </c>
      <c r="G178" s="8" t="s">
        <v>456</v>
      </c>
      <c r="H178" s="8"/>
      <c r="I178" s="8"/>
      <c r="J178" s="9"/>
      <c r="K178" s="8"/>
      <c r="L178" s="8" t="s">
        <v>403</v>
      </c>
      <c r="M178" s="8" t="s">
        <v>56</v>
      </c>
      <c r="N178" s="8"/>
      <c r="O178" s="8"/>
      <c r="P178" s="8"/>
      <c r="Q178" s="8"/>
      <c r="R178" s="9"/>
      <c r="S178" s="8"/>
      <c r="T178" s="9"/>
      <c r="U178" s="10" t="str">
        <f aca="true">IF(B178="","",IF(OR(P178&lt;&gt;"",I178="می‌باشد"),"بسته",IF(AND(L178&lt;&gt;"",W178=""),"خطای فرمت تاریخ ایجاد",IF(AND(H178&lt;&gt;"",AA178=""),"خطای فرمت مهلت",IF(AND(H178&lt;&gt;"",AD178&lt;&gt;"",TODAY()&gt;AD178),"تاخیر",IF(L178&lt;&gt;"","در حال انجام",""))))))</f>
        <v>در حال انجام</v>
      </c>
      <c r="V178" s="7" t="n">
        <f aca="true">IF(U178="تاخیر",TODAY()-AD178,IF(AND(U178="بسته",AH178&lt;&gt;"",AD178&lt;&gt;"",AH178&gt;AD178),AH178-AD178,0))</f>
        <v>0</v>
      </c>
      <c r="W178" s="7" t="n">
        <f aca="false">IF(L178="","",VALUE(LEFT(L178,FIND("/",L178)-1)))</f>
        <v>1405</v>
      </c>
      <c r="X178" s="7" t="n">
        <f aca="false">IF(L178="","",VALUE(MID(L178,FIND("/",L178)+1,FIND("/",L178,FIND("/",L178)+1)-FIND("/",L178)-1)))</f>
        <v>5</v>
      </c>
      <c r="Y178" s="7" t="n">
        <f aca="false">IF(L178="","",VALUE(MID(L178,FIND("/",L178,FIND("/",L178)+1)+1,LEN(L178)-FIND("/",L178,FIND("/",L178)+1))))</f>
        <v>14</v>
      </c>
      <c r="Z178" s="11" t="n">
        <f aca="false">IF(OR(L178="",W178=""),"",IFERROR(INDEX('لیست‌ها'!$Q$3:$Q$53,MATCH(W178,'لیست‌ها'!$P$3:$P$53,0))+IF(X178&lt;=6,(X178-1)*31+Y178,IF(X178&lt;=11,186+(X178-7)*30+Y178,336+Y178))-1,""))</f>
        <v>46239</v>
      </c>
      <c r="AA178" s="7" t="str">
        <f aca="false">IF(H178="","",VALUE(LEFT(H178,FIND("/",H178)-1)))</f>
        <v/>
      </c>
      <c r="AB178" s="7" t="str">
        <f aca="false">IF(H178="","",VALUE(MID(H178,FIND("/",H178)+1,FIND("/",H178,FIND("/",H178)+1)-FIND("/",H178)-1)))</f>
        <v/>
      </c>
      <c r="AC178" s="7" t="str">
        <f aca="false">IF(H178="","",VALUE(MID(H178,FIND("/",H178,FIND("/",H178)+1)+1,LEN(H178)-FIND("/",H178,FIND("/",H178)+1))))</f>
        <v/>
      </c>
      <c r="AD178" s="7" t="str">
        <f aca="false">IF(OR(H178="",AA178=""),"",IFERROR(INDEX('لیست‌ها'!$Q$3:$Q$53,MATCH(AA178,'لیست‌ها'!$P$3:$P$53,0))+IF(AB178&lt;=6,(AB178-1)*31+AC178,IF(AB178&lt;=11,186+(AB178-7)*30+AC178,336+AC178))-1,""))</f>
        <v/>
      </c>
      <c r="AE178" s="7" t="str">
        <f aca="false">IF(P178="","",VALUE(LEFT(P178,FIND("/",P178)-1)))</f>
        <v/>
      </c>
      <c r="AF178" s="7" t="str">
        <f aca="false">IF(P178="","",VALUE(MID(P178,FIND("/",P178)+1,FIND("/",P178,FIND("/",P178)+1)-FIND("/",P178)-1)))</f>
        <v/>
      </c>
      <c r="AG178" s="7" t="str">
        <f aca="false">IF(P178="","",VALUE(MID(P178,FIND("/",P178,FIND("/",P178)+1)+1,LEN(P178)-FIND("/",P178,FIND("/",P178)+1))))</f>
        <v/>
      </c>
      <c r="AH178" s="7" t="str">
        <f aca="false">IF(OR(P178="",AE178=""),"",IFERROR(INDEX('لیست‌ها'!$Q$3:$Q$53,MATCH(AE178,'لیست‌ها'!$P$3:$P$53,0))+IF(AF178&lt;=6,(AF178-1)*31+AG178,IF(AF178&lt;=11,186+(AF178-7)*30+AG178,336+AG178))-1,""))</f>
        <v/>
      </c>
      <c r="AI178" s="7" t="str">
        <f aca="false">IF(W178="","",W178&amp;"-"&amp;TEXT(X178,"00"))</f>
        <v>1405-05</v>
      </c>
      <c r="AJ178" s="7" t="n">
        <f aca="false">IF(W178="","",W178*12+X178)</f>
        <v>16865</v>
      </c>
      <c r="AK178" s="7" t="str">
        <f aca="false">IF(U178="تاخیر",V178+ROW()/100000,"")</f>
        <v/>
      </c>
    </row>
    <row r="179" customFormat="false" ht="15" hidden="false" customHeight="false" outlineLevel="0" collapsed="false">
      <c r="A179" s="7" t="n">
        <f aca="false">IF(B179="","",ROW()-3)</f>
        <v>176</v>
      </c>
      <c r="B179" s="8" t="s">
        <v>451</v>
      </c>
      <c r="C179" s="8" t="s">
        <v>38</v>
      </c>
      <c r="D179" s="8" t="s">
        <v>47</v>
      </c>
      <c r="E179" s="9" t="s">
        <v>184</v>
      </c>
      <c r="F179" s="9" t="s">
        <v>51</v>
      </c>
      <c r="G179" s="8" t="s">
        <v>52</v>
      </c>
      <c r="H179" s="8" t="s">
        <v>452</v>
      </c>
      <c r="I179" s="8" t="s">
        <v>54</v>
      </c>
      <c r="J179" s="9"/>
      <c r="K179" s="8"/>
      <c r="L179" s="8" t="s">
        <v>453</v>
      </c>
      <c r="M179" s="8" t="s">
        <v>56</v>
      </c>
      <c r="N179" s="8"/>
      <c r="O179" s="8"/>
      <c r="P179" s="8"/>
      <c r="Q179" s="8"/>
      <c r="R179" s="9"/>
      <c r="S179" s="8"/>
      <c r="T179" s="9"/>
      <c r="U179" s="10" t="str">
        <f aca="true">IF(B179="","",IF(OR(P179&lt;&gt;"",I179="می‌باشد"),"بسته",IF(AND(L179&lt;&gt;"",W179=""),"خطای فرمت تاریخ ایجاد",IF(AND(H179&lt;&gt;"",AA179=""),"خطای فرمت مهلت",IF(AND(H179&lt;&gt;"",AD179&lt;&gt;"",TODAY()&gt;AD179),"تاخیر",IF(L179&lt;&gt;"","در حال انجام",""))))))</f>
        <v>بسته</v>
      </c>
      <c r="V179" s="7" t="n">
        <f aca="true">IF(U179="تاخیر",TODAY()-AD179,IF(AND(U179="بسته",AH179&lt;&gt;"",AD179&lt;&gt;"",AH179&gt;AD179),AH179-AD179,0))</f>
        <v>0</v>
      </c>
      <c r="W179" s="7" t="n">
        <f aca="false">IF(L179="","",VALUE(LEFT(L179,FIND("/",L179)-1)))</f>
        <v>1405</v>
      </c>
      <c r="X179" s="7" t="n">
        <f aca="false">IF(L179="","",VALUE(MID(L179,FIND("/",L179)+1,FIND("/",L179,FIND("/",L179)+1)-FIND("/",L179)-1)))</f>
        <v>5</v>
      </c>
      <c r="Y179" s="7" t="n">
        <f aca="false">IF(L179="","",VALUE(MID(L179,FIND("/",L179,FIND("/",L179)+1)+1,LEN(L179)-FIND("/",L179,FIND("/",L179)+1))))</f>
        <v>24</v>
      </c>
      <c r="Z179" s="11" t="n">
        <f aca="false">IF(OR(L179="",W179=""),"",IFERROR(INDEX('لیست‌ها'!$Q$3:$Q$53,MATCH(W179,'لیست‌ها'!$P$3:$P$53,0))+IF(X179&lt;=6,(X179-1)*31+Y179,IF(X179&lt;=11,186+(X179-7)*30+Y179,336+Y179))-1,""))</f>
        <v>46249</v>
      </c>
      <c r="AA179" s="7" t="n">
        <f aca="false">IF(H179="","",VALUE(LEFT(H179,FIND("/",H179)-1)))</f>
        <v>1405</v>
      </c>
      <c r="AB179" s="7" t="n">
        <f aca="false">IF(H179="","",VALUE(MID(H179,FIND("/",H179)+1,FIND("/",H179,FIND("/",H179)+1)-FIND("/",H179)-1)))</f>
        <v>6</v>
      </c>
      <c r="AC179" s="7" t="n">
        <f aca="false">IF(H179="","",VALUE(MID(H179,FIND("/",H179,FIND("/",H179)+1)+1,LEN(H179)-FIND("/",H179,FIND("/",H179)+1))))</f>
        <v>7</v>
      </c>
      <c r="AD179" s="11" t="n">
        <f aca="false">IF(OR(H179="",AA179=""),"",IFERROR(INDEX('لیست‌ها'!$Q$3:$Q$53,MATCH(AA179,'لیست‌ها'!$P$3:$P$53,0))+IF(AB179&lt;=6,(AB179-1)*31+AC179,IF(AB179&lt;=11,186+(AB179-7)*30+AC179,336+AC179))-1,""))</f>
        <v>46263</v>
      </c>
      <c r="AE179" s="7" t="str">
        <f aca="false">IF(P179="","",VALUE(LEFT(P179,FIND("/",P179)-1)))</f>
        <v/>
      </c>
      <c r="AF179" s="7" t="str">
        <f aca="false">IF(P179="","",VALUE(MID(P179,FIND("/",P179)+1,FIND("/",P179,FIND("/",P179)+1)-FIND("/",P179)-1)))</f>
        <v/>
      </c>
      <c r="AG179" s="7" t="str">
        <f aca="false">IF(P179="","",VALUE(MID(P179,FIND("/",P179,FIND("/",P179)+1)+1,LEN(P179)-FIND("/",P179,FIND("/",P179)+1))))</f>
        <v/>
      </c>
      <c r="AH179" s="7" t="str">
        <f aca="false">IF(OR(P179="",AE179=""),"",IFERROR(INDEX('لیست‌ها'!$Q$3:$Q$53,MATCH(AE179,'لیست‌ها'!$P$3:$P$53,0))+IF(AF179&lt;=6,(AF179-1)*31+AG179,IF(AF179&lt;=11,186+(AF179-7)*30+AG179,336+AG179))-1,""))</f>
        <v/>
      </c>
      <c r="AI179" s="7" t="str">
        <f aca="false">IF(W179="","",W179&amp;"-"&amp;TEXT(X179,"00"))</f>
        <v>1405-05</v>
      </c>
      <c r="AJ179" s="7" t="n">
        <f aca="false">IF(W179="","",W179*12+X179)</f>
        <v>16865</v>
      </c>
      <c r="AK179" s="7" t="str">
        <f aca="false">IF(U179="تاخیر",V179+ROW()/100000,"")</f>
        <v/>
      </c>
    </row>
    <row r="180" customFormat="false" ht="15" hidden="false" customHeight="false" outlineLevel="0" collapsed="false">
      <c r="A180" s="7" t="n">
        <f aca="false">IF(B180="","",ROW()-3)</f>
        <v>177</v>
      </c>
      <c r="B180" s="8" t="s">
        <v>450</v>
      </c>
      <c r="C180" s="8" t="s">
        <v>38</v>
      </c>
      <c r="D180" s="8" t="s">
        <v>47</v>
      </c>
      <c r="E180" s="9" t="s">
        <v>448</v>
      </c>
      <c r="F180" s="9" t="s">
        <v>430</v>
      </c>
      <c r="G180" s="8" t="s">
        <v>309</v>
      </c>
      <c r="H180" s="8" t="s">
        <v>382</v>
      </c>
      <c r="I180" s="8" t="s">
        <v>54</v>
      </c>
      <c r="J180" s="9"/>
      <c r="K180" s="8"/>
      <c r="L180" s="8" t="s">
        <v>322</v>
      </c>
      <c r="M180" s="8" t="s">
        <v>56</v>
      </c>
      <c r="N180" s="8"/>
      <c r="O180" s="8"/>
      <c r="P180" s="8"/>
      <c r="Q180" s="8"/>
      <c r="R180" s="9"/>
      <c r="S180" s="8"/>
      <c r="T180" s="9"/>
      <c r="U180" s="10" t="str">
        <f aca="true">IF(B180="","",IF(OR(P180&lt;&gt;"",I180="می‌باشد"),"بسته",IF(AND(L180&lt;&gt;"",W180=""),"خطای فرمت تاریخ ایجاد",IF(AND(H180&lt;&gt;"",AA180=""),"خطای فرمت مهلت",IF(AND(H180&lt;&gt;"",AD180&lt;&gt;"",TODAY()&gt;AD180),"تاخیر",IF(L180&lt;&gt;"","در حال انجام",""))))))</f>
        <v>بسته</v>
      </c>
      <c r="V180" s="7" t="n">
        <f aca="true">IF(U180="تاخیر",TODAY()-AD180,IF(AND(U180="بسته",AH180&lt;&gt;"",AD180&lt;&gt;"",AH180&gt;AD180),AH180-AD180,0))</f>
        <v>0</v>
      </c>
      <c r="W180" s="7" t="n">
        <f aca="false">IF(L180="","",VALUE(LEFT(L180,FIND("/",L180)-1)))</f>
        <v>1405</v>
      </c>
      <c r="X180" s="7" t="n">
        <f aca="false">IF(L180="","",VALUE(MID(L180,FIND("/",L180)+1,FIND("/",L180,FIND("/",L180)+1)-FIND("/",L180)-1)))</f>
        <v>5</v>
      </c>
      <c r="Y180" s="7" t="n">
        <f aca="false">IF(L180="","",VALUE(MID(L180,FIND("/",L180,FIND("/",L180)+1)+1,LEN(L180)-FIND("/",L180,FIND("/",L180)+1))))</f>
        <v>25</v>
      </c>
      <c r="Z180" s="11" t="n">
        <f aca="false">IF(OR(L180="",W180=""),"",IFERROR(INDEX('لیست‌ها'!$Q$3:$Q$53,MATCH(W180,'لیست‌ها'!$P$3:$P$53,0))+IF(X180&lt;=6,(X180-1)*31+Y180,IF(X180&lt;=11,186+(X180-7)*30+Y180,336+Y180))-1,""))</f>
        <v>46250</v>
      </c>
      <c r="AA180" s="7" t="n">
        <f aca="false">IF(H180="","",VALUE(LEFT(H180,FIND("/",H180)-1)))</f>
        <v>1405</v>
      </c>
      <c r="AB180" s="7" t="n">
        <f aca="false">IF(H180="","",VALUE(MID(H180,FIND("/",H180)+1,FIND("/",H180,FIND("/",H180)+1)-FIND("/",H180)-1)))</f>
        <v>6</v>
      </c>
      <c r="AC180" s="7" t="n">
        <f aca="false">IF(H180="","",VALUE(MID(H180,FIND("/",H180,FIND("/",H180)+1)+1,LEN(H180)-FIND("/",H180,FIND("/",H180)+1))))</f>
        <v>23</v>
      </c>
      <c r="AD180" s="11" t="n">
        <f aca="false">IF(OR(H180="",AA180=""),"",IFERROR(INDEX('لیست‌ها'!$Q$3:$Q$53,MATCH(AA180,'لیست‌ها'!$P$3:$P$53,0))+IF(AB180&lt;=6,(AB180-1)*31+AC180,IF(AB180&lt;=11,186+(AB180-7)*30+AC180,336+AC180))-1,""))</f>
        <v>46279</v>
      </c>
      <c r="AE180" s="7" t="str">
        <f aca="false">IF(P180="","",VALUE(LEFT(P180,FIND("/",P180)-1)))</f>
        <v/>
      </c>
      <c r="AF180" s="7" t="str">
        <f aca="false">IF(P180="","",VALUE(MID(P180,FIND("/",P180)+1,FIND("/",P180,FIND("/",P180)+1)-FIND("/",P180)-1)))</f>
        <v/>
      </c>
      <c r="AG180" s="7" t="str">
        <f aca="false">IF(P180="","",VALUE(MID(P180,FIND("/",P180,FIND("/",P180)+1)+1,LEN(P180)-FIND("/",P180,FIND("/",P180)+1))))</f>
        <v/>
      </c>
      <c r="AH180" s="7" t="str">
        <f aca="false">IF(OR(P180="",AE180=""),"",IFERROR(INDEX('لیست‌ها'!$Q$3:$Q$53,MATCH(AE180,'لیست‌ها'!$P$3:$P$53,0))+IF(AF180&lt;=6,(AF180-1)*31+AG180,IF(AF180&lt;=11,186+(AF180-7)*30+AG180,336+AG180))-1,""))</f>
        <v/>
      </c>
      <c r="AI180" s="7" t="str">
        <f aca="false">IF(W180="","",W180&amp;"-"&amp;TEXT(X180,"00"))</f>
        <v>1405-05</v>
      </c>
      <c r="AJ180" s="7" t="n">
        <f aca="false">IF(W180="","",W180*12+X180)</f>
        <v>16865</v>
      </c>
      <c r="AK180" s="7" t="str">
        <f aca="false">IF(U180="تاخیر",V180+ROW()/100000,"")</f>
        <v/>
      </c>
    </row>
    <row r="181" customFormat="false" ht="15" hidden="false" customHeight="false" outlineLevel="0" collapsed="false">
      <c r="A181" s="7" t="n">
        <f aca="false">IF(B181="","",ROW()-3)</f>
        <v>178</v>
      </c>
      <c r="B181" s="8" t="s">
        <v>449</v>
      </c>
      <c r="C181" s="8" t="s">
        <v>38</v>
      </c>
      <c r="D181" s="8" t="s">
        <v>47</v>
      </c>
      <c r="E181" s="9" t="s">
        <v>448</v>
      </c>
      <c r="F181" s="9" t="s">
        <v>430</v>
      </c>
      <c r="G181" s="8" t="s">
        <v>309</v>
      </c>
      <c r="H181" s="8" t="s">
        <v>382</v>
      </c>
      <c r="I181" s="8" t="s">
        <v>54</v>
      </c>
      <c r="J181" s="9"/>
      <c r="K181" s="8"/>
      <c r="L181" s="8" t="s">
        <v>322</v>
      </c>
      <c r="M181" s="8" t="s">
        <v>56</v>
      </c>
      <c r="N181" s="8"/>
      <c r="O181" s="8"/>
      <c r="P181" s="8"/>
      <c r="Q181" s="8"/>
      <c r="R181" s="9"/>
      <c r="S181" s="8"/>
      <c r="T181" s="9"/>
      <c r="U181" s="10" t="str">
        <f aca="true">IF(B181="","",IF(OR(P181&lt;&gt;"",I181="می‌باشد"),"بسته",IF(AND(L181&lt;&gt;"",W181=""),"خطای فرمت تاریخ ایجاد",IF(AND(H181&lt;&gt;"",AA181=""),"خطای فرمت مهلت",IF(AND(H181&lt;&gt;"",AD181&lt;&gt;"",TODAY()&gt;AD181),"تاخیر",IF(L181&lt;&gt;"","در حال انجام",""))))))</f>
        <v>بسته</v>
      </c>
      <c r="V181" s="7" t="n">
        <f aca="true">IF(U181="تاخیر",TODAY()-AD181,IF(AND(U181="بسته",AH181&lt;&gt;"",AD181&lt;&gt;"",AH181&gt;AD181),AH181-AD181,0))</f>
        <v>0</v>
      </c>
      <c r="W181" s="7" t="n">
        <f aca="false">IF(L181="","",VALUE(LEFT(L181,FIND("/",L181)-1)))</f>
        <v>1405</v>
      </c>
      <c r="X181" s="7" t="n">
        <f aca="false">IF(L181="","",VALUE(MID(L181,FIND("/",L181)+1,FIND("/",L181,FIND("/",L181)+1)-FIND("/",L181)-1)))</f>
        <v>5</v>
      </c>
      <c r="Y181" s="7" t="n">
        <f aca="false">IF(L181="","",VALUE(MID(L181,FIND("/",L181,FIND("/",L181)+1)+1,LEN(L181)-FIND("/",L181,FIND("/",L181)+1))))</f>
        <v>25</v>
      </c>
      <c r="Z181" s="11" t="n">
        <f aca="false">IF(OR(L181="",W181=""),"",IFERROR(INDEX('لیست‌ها'!$Q$3:$Q$53,MATCH(W181,'لیست‌ها'!$P$3:$P$53,0))+IF(X181&lt;=6,(X181-1)*31+Y181,IF(X181&lt;=11,186+(X181-7)*30+Y181,336+Y181))-1,""))</f>
        <v>46250</v>
      </c>
      <c r="AA181" s="7" t="n">
        <f aca="false">IF(H181="","",VALUE(LEFT(H181,FIND("/",H181)-1)))</f>
        <v>1405</v>
      </c>
      <c r="AB181" s="7" t="n">
        <f aca="false">IF(H181="","",VALUE(MID(H181,FIND("/",H181)+1,FIND("/",H181,FIND("/",H181)+1)-FIND("/",H181)-1)))</f>
        <v>6</v>
      </c>
      <c r="AC181" s="7" t="n">
        <f aca="false">IF(H181="","",VALUE(MID(H181,FIND("/",H181,FIND("/",H181)+1)+1,LEN(H181)-FIND("/",H181,FIND("/",H181)+1))))</f>
        <v>23</v>
      </c>
      <c r="AD181" s="11" t="n">
        <f aca="false">IF(OR(H181="",AA181=""),"",IFERROR(INDEX('لیست‌ها'!$Q$3:$Q$53,MATCH(AA181,'لیست‌ها'!$P$3:$P$53,0))+IF(AB181&lt;=6,(AB181-1)*31+AC181,IF(AB181&lt;=11,186+(AB181-7)*30+AC181,336+AC181))-1,""))</f>
        <v>46279</v>
      </c>
      <c r="AE181" s="7" t="str">
        <f aca="false">IF(P181="","",VALUE(LEFT(P181,FIND("/",P181)-1)))</f>
        <v/>
      </c>
      <c r="AF181" s="7" t="str">
        <f aca="false">IF(P181="","",VALUE(MID(P181,FIND("/",P181)+1,FIND("/",P181,FIND("/",P181)+1)-FIND("/",P181)-1)))</f>
        <v/>
      </c>
      <c r="AG181" s="7" t="str">
        <f aca="false">IF(P181="","",VALUE(MID(P181,FIND("/",P181,FIND("/",P181)+1)+1,LEN(P181)-FIND("/",P181,FIND("/",P181)+1))))</f>
        <v/>
      </c>
      <c r="AH181" s="7" t="str">
        <f aca="false">IF(OR(P181="",AE181=""),"",IFERROR(INDEX('لیست‌ها'!$Q$3:$Q$53,MATCH(AE181,'لیست‌ها'!$P$3:$P$53,0))+IF(AF181&lt;=6,(AF181-1)*31+AG181,IF(AF181&lt;=11,186+(AF181-7)*30+AG181,336+AG181))-1,""))</f>
        <v/>
      </c>
      <c r="AI181" s="7" t="str">
        <f aca="false">IF(W181="","",W181&amp;"-"&amp;TEXT(X181,"00"))</f>
        <v>1405-05</v>
      </c>
      <c r="AJ181" s="7" t="n">
        <f aca="false">IF(W181="","",W181*12+X181)</f>
        <v>16865</v>
      </c>
      <c r="AK181" s="7" t="str">
        <f aca="false">IF(U181="تاخیر",V181+ROW()/100000,"")</f>
        <v/>
      </c>
    </row>
    <row r="182" customFormat="false" ht="15" hidden="false" customHeight="false" outlineLevel="0" collapsed="false">
      <c r="A182" s="7" t="n">
        <f aca="false">IF(B182="","",ROW()-3)</f>
        <v>179</v>
      </c>
      <c r="B182" s="8" t="s">
        <v>447</v>
      </c>
      <c r="C182" s="8" t="s">
        <v>38</v>
      </c>
      <c r="D182" s="8" t="s">
        <v>47</v>
      </c>
      <c r="E182" s="9" t="s">
        <v>448</v>
      </c>
      <c r="F182" s="9" t="s">
        <v>430</v>
      </c>
      <c r="G182" s="8" t="s">
        <v>309</v>
      </c>
      <c r="H182" s="8" t="s">
        <v>382</v>
      </c>
      <c r="I182" s="8" t="s">
        <v>54</v>
      </c>
      <c r="J182" s="9"/>
      <c r="K182" s="8"/>
      <c r="L182" s="8" t="s">
        <v>322</v>
      </c>
      <c r="M182" s="8" t="s">
        <v>56</v>
      </c>
      <c r="N182" s="8"/>
      <c r="O182" s="8"/>
      <c r="P182" s="8"/>
      <c r="Q182" s="8"/>
      <c r="R182" s="9"/>
      <c r="S182" s="8"/>
      <c r="T182" s="9"/>
      <c r="U182" s="10" t="str">
        <f aca="true">IF(B182="","",IF(OR(P182&lt;&gt;"",I182="می‌باشد"),"بسته",IF(AND(L182&lt;&gt;"",W182=""),"خطای فرمت تاریخ ایجاد",IF(AND(H182&lt;&gt;"",AA182=""),"خطای فرمت مهلت",IF(AND(H182&lt;&gt;"",AD182&lt;&gt;"",TODAY()&gt;AD182),"تاخیر",IF(L182&lt;&gt;"","در حال انجام",""))))))</f>
        <v>بسته</v>
      </c>
      <c r="V182" s="7" t="n">
        <f aca="true">IF(U182="تاخیر",TODAY()-AD182,IF(AND(U182="بسته",AH182&lt;&gt;"",AD182&lt;&gt;"",AH182&gt;AD182),AH182-AD182,0))</f>
        <v>0</v>
      </c>
      <c r="W182" s="7" t="n">
        <f aca="false">IF(L182="","",VALUE(LEFT(L182,FIND("/",L182)-1)))</f>
        <v>1405</v>
      </c>
      <c r="X182" s="7" t="n">
        <f aca="false">IF(L182="","",VALUE(MID(L182,FIND("/",L182)+1,FIND("/",L182,FIND("/",L182)+1)-FIND("/",L182)-1)))</f>
        <v>5</v>
      </c>
      <c r="Y182" s="7" t="n">
        <f aca="false">IF(L182="","",VALUE(MID(L182,FIND("/",L182,FIND("/",L182)+1)+1,LEN(L182)-FIND("/",L182,FIND("/",L182)+1))))</f>
        <v>25</v>
      </c>
      <c r="Z182" s="11" t="n">
        <f aca="false">IF(OR(L182="",W182=""),"",IFERROR(INDEX('لیست‌ها'!$Q$3:$Q$53,MATCH(W182,'لیست‌ها'!$P$3:$P$53,0))+IF(X182&lt;=6,(X182-1)*31+Y182,IF(X182&lt;=11,186+(X182-7)*30+Y182,336+Y182))-1,""))</f>
        <v>46250</v>
      </c>
      <c r="AA182" s="7" t="n">
        <f aca="false">IF(H182="","",VALUE(LEFT(H182,FIND("/",H182)-1)))</f>
        <v>1405</v>
      </c>
      <c r="AB182" s="7" t="n">
        <f aca="false">IF(H182="","",VALUE(MID(H182,FIND("/",H182)+1,FIND("/",H182,FIND("/",H182)+1)-FIND("/",H182)-1)))</f>
        <v>6</v>
      </c>
      <c r="AC182" s="7" t="n">
        <f aca="false">IF(H182="","",VALUE(MID(H182,FIND("/",H182,FIND("/",H182)+1)+1,LEN(H182)-FIND("/",H182,FIND("/",H182)+1))))</f>
        <v>23</v>
      </c>
      <c r="AD182" s="11" t="n">
        <f aca="false">IF(OR(H182="",AA182=""),"",IFERROR(INDEX('لیست‌ها'!$Q$3:$Q$53,MATCH(AA182,'لیست‌ها'!$P$3:$P$53,0))+IF(AB182&lt;=6,(AB182-1)*31+AC182,IF(AB182&lt;=11,186+(AB182-7)*30+AC182,336+AC182))-1,""))</f>
        <v>46279</v>
      </c>
      <c r="AE182" s="7" t="str">
        <f aca="false">IF(P182="","",VALUE(LEFT(P182,FIND("/",P182)-1)))</f>
        <v/>
      </c>
      <c r="AF182" s="7" t="str">
        <f aca="false">IF(P182="","",VALUE(MID(P182,FIND("/",P182)+1,FIND("/",P182,FIND("/",P182)+1)-FIND("/",P182)-1)))</f>
        <v/>
      </c>
      <c r="AG182" s="7" t="str">
        <f aca="false">IF(P182="","",VALUE(MID(P182,FIND("/",P182,FIND("/",P182)+1)+1,LEN(P182)-FIND("/",P182,FIND("/",P182)+1))))</f>
        <v/>
      </c>
      <c r="AH182" s="7" t="str">
        <f aca="false">IF(OR(P182="",AE182=""),"",IFERROR(INDEX('لیست‌ها'!$Q$3:$Q$53,MATCH(AE182,'لیست‌ها'!$P$3:$P$53,0))+IF(AF182&lt;=6,(AF182-1)*31+AG182,IF(AF182&lt;=11,186+(AF182-7)*30+AG182,336+AG182))-1,""))</f>
        <v/>
      </c>
      <c r="AI182" s="7" t="str">
        <f aca="false">IF(W182="","",W182&amp;"-"&amp;TEXT(X182,"00"))</f>
        <v>1405-05</v>
      </c>
      <c r="AJ182" s="7" t="n">
        <f aca="false">IF(W182="","",W182*12+X182)</f>
        <v>16865</v>
      </c>
      <c r="AK182" s="7" t="str">
        <f aca="false">IF(U182="تاخیر",V182+ROW()/100000,"")</f>
        <v/>
      </c>
    </row>
    <row r="183" customFormat="false" ht="15" hidden="false" customHeight="false" outlineLevel="0" collapsed="false">
      <c r="A183" s="7" t="n">
        <f aca="false">IF(B183="","",ROW()-3)</f>
        <v>180</v>
      </c>
      <c r="B183" s="8" t="s">
        <v>445</v>
      </c>
      <c r="C183" s="8" t="s">
        <v>38</v>
      </c>
      <c r="D183" s="8" t="s">
        <v>47</v>
      </c>
      <c r="E183" s="9" t="s">
        <v>446</v>
      </c>
      <c r="F183" s="9" t="s">
        <v>430</v>
      </c>
      <c r="G183" s="8" t="s">
        <v>309</v>
      </c>
      <c r="H183" s="8" t="s">
        <v>382</v>
      </c>
      <c r="I183" s="8" t="s">
        <v>54</v>
      </c>
      <c r="J183" s="9"/>
      <c r="K183" s="8"/>
      <c r="L183" s="8" t="s">
        <v>322</v>
      </c>
      <c r="M183" s="8" t="s">
        <v>56</v>
      </c>
      <c r="N183" s="8"/>
      <c r="O183" s="8"/>
      <c r="P183" s="8"/>
      <c r="Q183" s="8"/>
      <c r="R183" s="9"/>
      <c r="S183" s="8"/>
      <c r="T183" s="9"/>
      <c r="U183" s="10" t="str">
        <f aca="true">IF(B183="","",IF(OR(P183&lt;&gt;"",I183="می‌باشد"),"بسته",IF(AND(L183&lt;&gt;"",W183=""),"خطای فرمت تاریخ ایجاد",IF(AND(H183&lt;&gt;"",AA183=""),"خطای فرمت مهلت",IF(AND(H183&lt;&gt;"",AD183&lt;&gt;"",TODAY()&gt;AD183),"تاخیر",IF(L183&lt;&gt;"","در حال انجام",""))))))</f>
        <v>بسته</v>
      </c>
      <c r="V183" s="7" t="n">
        <f aca="true">IF(U183="تاخیر",TODAY()-AD183,IF(AND(U183="بسته",AH183&lt;&gt;"",AD183&lt;&gt;"",AH183&gt;AD183),AH183-AD183,0))</f>
        <v>0</v>
      </c>
      <c r="W183" s="7" t="n">
        <f aca="false">IF(L183="","",VALUE(LEFT(L183,FIND("/",L183)-1)))</f>
        <v>1405</v>
      </c>
      <c r="X183" s="7" t="n">
        <f aca="false">IF(L183="","",VALUE(MID(L183,FIND("/",L183)+1,FIND("/",L183,FIND("/",L183)+1)-FIND("/",L183)-1)))</f>
        <v>5</v>
      </c>
      <c r="Y183" s="7" t="n">
        <f aca="false">IF(L183="","",VALUE(MID(L183,FIND("/",L183,FIND("/",L183)+1)+1,LEN(L183)-FIND("/",L183,FIND("/",L183)+1))))</f>
        <v>25</v>
      </c>
      <c r="Z183" s="11" t="n">
        <f aca="false">IF(OR(L183="",W183=""),"",IFERROR(INDEX('لیست‌ها'!$Q$3:$Q$53,MATCH(W183,'لیست‌ها'!$P$3:$P$53,0))+IF(X183&lt;=6,(X183-1)*31+Y183,IF(X183&lt;=11,186+(X183-7)*30+Y183,336+Y183))-1,""))</f>
        <v>46250</v>
      </c>
      <c r="AA183" s="7" t="n">
        <f aca="false">IF(H183="","",VALUE(LEFT(H183,FIND("/",H183)-1)))</f>
        <v>1405</v>
      </c>
      <c r="AB183" s="7" t="n">
        <f aca="false">IF(H183="","",VALUE(MID(H183,FIND("/",H183)+1,FIND("/",H183,FIND("/",H183)+1)-FIND("/",H183)-1)))</f>
        <v>6</v>
      </c>
      <c r="AC183" s="7" t="n">
        <f aca="false">IF(H183="","",VALUE(MID(H183,FIND("/",H183,FIND("/",H183)+1)+1,LEN(H183)-FIND("/",H183,FIND("/",H183)+1))))</f>
        <v>23</v>
      </c>
      <c r="AD183" s="11" t="n">
        <f aca="false">IF(OR(H183="",AA183=""),"",IFERROR(INDEX('لیست‌ها'!$Q$3:$Q$53,MATCH(AA183,'لیست‌ها'!$P$3:$P$53,0))+IF(AB183&lt;=6,(AB183-1)*31+AC183,IF(AB183&lt;=11,186+(AB183-7)*30+AC183,336+AC183))-1,""))</f>
        <v>46279</v>
      </c>
      <c r="AE183" s="7" t="str">
        <f aca="false">IF(P183="","",VALUE(LEFT(P183,FIND("/",P183)-1)))</f>
        <v/>
      </c>
      <c r="AF183" s="7" t="str">
        <f aca="false">IF(P183="","",VALUE(MID(P183,FIND("/",P183)+1,FIND("/",P183,FIND("/",P183)+1)-FIND("/",P183)-1)))</f>
        <v/>
      </c>
      <c r="AG183" s="7" t="str">
        <f aca="false">IF(P183="","",VALUE(MID(P183,FIND("/",P183,FIND("/",P183)+1)+1,LEN(P183)-FIND("/",P183,FIND("/",P183)+1))))</f>
        <v/>
      </c>
      <c r="AH183" s="7" t="str">
        <f aca="false">IF(OR(P183="",AE183=""),"",IFERROR(INDEX('لیست‌ها'!$Q$3:$Q$53,MATCH(AE183,'لیست‌ها'!$P$3:$P$53,0))+IF(AF183&lt;=6,(AF183-1)*31+AG183,IF(AF183&lt;=11,186+(AF183-7)*30+AG183,336+AG183))-1,""))</f>
        <v/>
      </c>
      <c r="AI183" s="7" t="str">
        <f aca="false">IF(W183="","",W183&amp;"-"&amp;TEXT(X183,"00"))</f>
        <v>1405-05</v>
      </c>
      <c r="AJ183" s="7" t="n">
        <f aca="false">IF(W183="","",W183*12+X183)</f>
        <v>16865</v>
      </c>
      <c r="AK183" s="7" t="str">
        <f aca="false">IF(U183="تاخیر",V183+ROW()/100000,"")</f>
        <v/>
      </c>
    </row>
    <row r="184" customFormat="false" ht="15" hidden="false" customHeight="false" outlineLevel="0" collapsed="false">
      <c r="A184" s="7" t="n">
        <f aca="false">IF(B184="","",ROW()-3)</f>
        <v>181</v>
      </c>
      <c r="B184" s="8" t="s">
        <v>443</v>
      </c>
      <c r="C184" s="8" t="s">
        <v>38</v>
      </c>
      <c r="D184" s="8" t="s">
        <v>47</v>
      </c>
      <c r="E184" s="9" t="s">
        <v>444</v>
      </c>
      <c r="F184" s="9" t="s">
        <v>430</v>
      </c>
      <c r="G184" s="8" t="s">
        <v>309</v>
      </c>
      <c r="H184" s="8" t="s">
        <v>382</v>
      </c>
      <c r="I184" s="8" t="s">
        <v>54</v>
      </c>
      <c r="J184" s="9"/>
      <c r="K184" s="8"/>
      <c r="L184" s="8" t="s">
        <v>322</v>
      </c>
      <c r="M184" s="8" t="s">
        <v>56</v>
      </c>
      <c r="N184" s="8"/>
      <c r="O184" s="8"/>
      <c r="P184" s="8"/>
      <c r="Q184" s="8"/>
      <c r="R184" s="9"/>
      <c r="S184" s="8"/>
      <c r="T184" s="9"/>
      <c r="U184" s="10" t="str">
        <f aca="true">IF(B184="","",IF(OR(P184&lt;&gt;"",I184="می‌باشد"),"بسته",IF(AND(L184&lt;&gt;"",W184=""),"خطای فرمت تاریخ ایجاد",IF(AND(H184&lt;&gt;"",AA184=""),"خطای فرمت مهلت",IF(AND(H184&lt;&gt;"",AD184&lt;&gt;"",TODAY()&gt;AD184),"تاخیر",IF(L184&lt;&gt;"","در حال انجام",""))))))</f>
        <v>بسته</v>
      </c>
      <c r="V184" s="7" t="n">
        <f aca="true">IF(U184="تاخیر",TODAY()-AD184,IF(AND(U184="بسته",AH184&lt;&gt;"",AD184&lt;&gt;"",AH184&gt;AD184),AH184-AD184,0))</f>
        <v>0</v>
      </c>
      <c r="W184" s="7" t="n">
        <f aca="false">IF(L184="","",VALUE(LEFT(L184,FIND("/",L184)-1)))</f>
        <v>1405</v>
      </c>
      <c r="X184" s="7" t="n">
        <f aca="false">IF(L184="","",VALUE(MID(L184,FIND("/",L184)+1,FIND("/",L184,FIND("/",L184)+1)-FIND("/",L184)-1)))</f>
        <v>5</v>
      </c>
      <c r="Y184" s="7" t="n">
        <f aca="false">IF(L184="","",VALUE(MID(L184,FIND("/",L184,FIND("/",L184)+1)+1,LEN(L184)-FIND("/",L184,FIND("/",L184)+1))))</f>
        <v>25</v>
      </c>
      <c r="Z184" s="11" t="n">
        <f aca="false">IF(OR(L184="",W184=""),"",IFERROR(INDEX('لیست‌ها'!$Q$3:$Q$53,MATCH(W184,'لیست‌ها'!$P$3:$P$53,0))+IF(X184&lt;=6,(X184-1)*31+Y184,IF(X184&lt;=11,186+(X184-7)*30+Y184,336+Y184))-1,""))</f>
        <v>46250</v>
      </c>
      <c r="AA184" s="7" t="n">
        <f aca="false">IF(H184="","",VALUE(LEFT(H184,FIND("/",H184)-1)))</f>
        <v>1405</v>
      </c>
      <c r="AB184" s="7" t="n">
        <f aca="false">IF(H184="","",VALUE(MID(H184,FIND("/",H184)+1,FIND("/",H184,FIND("/",H184)+1)-FIND("/",H184)-1)))</f>
        <v>6</v>
      </c>
      <c r="AC184" s="7" t="n">
        <f aca="false">IF(H184="","",VALUE(MID(H184,FIND("/",H184,FIND("/",H184)+1)+1,LEN(H184)-FIND("/",H184,FIND("/",H184)+1))))</f>
        <v>23</v>
      </c>
      <c r="AD184" s="11" t="n">
        <f aca="false">IF(OR(H184="",AA184=""),"",IFERROR(INDEX('لیست‌ها'!$Q$3:$Q$53,MATCH(AA184,'لیست‌ها'!$P$3:$P$53,0))+IF(AB184&lt;=6,(AB184-1)*31+AC184,IF(AB184&lt;=11,186+(AB184-7)*30+AC184,336+AC184))-1,""))</f>
        <v>46279</v>
      </c>
      <c r="AE184" s="7" t="str">
        <f aca="false">IF(P184="","",VALUE(LEFT(P184,FIND("/",P184)-1)))</f>
        <v/>
      </c>
      <c r="AF184" s="7" t="str">
        <f aca="false">IF(P184="","",VALUE(MID(P184,FIND("/",P184)+1,FIND("/",P184,FIND("/",P184)+1)-FIND("/",P184)-1)))</f>
        <v/>
      </c>
      <c r="AG184" s="7" t="str">
        <f aca="false">IF(P184="","",VALUE(MID(P184,FIND("/",P184,FIND("/",P184)+1)+1,LEN(P184)-FIND("/",P184,FIND("/",P184)+1))))</f>
        <v/>
      </c>
      <c r="AH184" s="7" t="str">
        <f aca="false">IF(OR(P184="",AE184=""),"",IFERROR(INDEX('لیست‌ها'!$Q$3:$Q$53,MATCH(AE184,'لیست‌ها'!$P$3:$P$53,0))+IF(AF184&lt;=6,(AF184-1)*31+AG184,IF(AF184&lt;=11,186+(AF184-7)*30+AG184,336+AG184))-1,""))</f>
        <v/>
      </c>
      <c r="AI184" s="7" t="str">
        <f aca="false">IF(W184="","",W184&amp;"-"&amp;TEXT(X184,"00"))</f>
        <v>1405-05</v>
      </c>
      <c r="AJ184" s="7" t="n">
        <f aca="false">IF(W184="","",W184*12+X184)</f>
        <v>16865</v>
      </c>
      <c r="AK184" s="7" t="str">
        <f aca="false">IF(U184="تاخیر",V184+ROW()/100000,"")</f>
        <v/>
      </c>
    </row>
    <row r="185" customFormat="false" ht="15" hidden="false" customHeight="false" outlineLevel="0" collapsed="false">
      <c r="A185" s="7" t="n">
        <f aca="false">IF(B185="","",ROW()-3)</f>
        <v>182</v>
      </c>
      <c r="B185" s="8" t="s">
        <v>441</v>
      </c>
      <c r="C185" s="8" t="s">
        <v>38</v>
      </c>
      <c r="D185" s="8" t="s">
        <v>47</v>
      </c>
      <c r="E185" s="9" t="s">
        <v>442</v>
      </c>
      <c r="F185" s="9" t="s">
        <v>430</v>
      </c>
      <c r="G185" s="8" t="s">
        <v>309</v>
      </c>
      <c r="H185" s="8" t="s">
        <v>382</v>
      </c>
      <c r="I185" s="8" t="s">
        <v>54</v>
      </c>
      <c r="J185" s="9"/>
      <c r="K185" s="8"/>
      <c r="L185" s="8" t="s">
        <v>322</v>
      </c>
      <c r="M185" s="8" t="s">
        <v>56</v>
      </c>
      <c r="N185" s="8"/>
      <c r="O185" s="8"/>
      <c r="P185" s="8"/>
      <c r="Q185" s="8"/>
      <c r="R185" s="9"/>
      <c r="S185" s="8"/>
      <c r="T185" s="9"/>
      <c r="U185" s="10" t="str">
        <f aca="true">IF(B185="","",IF(OR(P185&lt;&gt;"",I185="می‌باشد"),"بسته",IF(AND(L185&lt;&gt;"",W185=""),"خطای فرمت تاریخ ایجاد",IF(AND(H185&lt;&gt;"",AA185=""),"خطای فرمت مهلت",IF(AND(H185&lt;&gt;"",AD185&lt;&gt;"",TODAY()&gt;AD185),"تاخیر",IF(L185&lt;&gt;"","در حال انجام",""))))))</f>
        <v>بسته</v>
      </c>
      <c r="V185" s="7" t="n">
        <f aca="true">IF(U185="تاخیر",TODAY()-AD185,IF(AND(U185="بسته",AH185&lt;&gt;"",AD185&lt;&gt;"",AH185&gt;AD185),AH185-AD185,0))</f>
        <v>0</v>
      </c>
      <c r="W185" s="7" t="n">
        <f aca="false">IF(L185="","",VALUE(LEFT(L185,FIND("/",L185)-1)))</f>
        <v>1405</v>
      </c>
      <c r="X185" s="7" t="n">
        <f aca="false">IF(L185="","",VALUE(MID(L185,FIND("/",L185)+1,FIND("/",L185,FIND("/",L185)+1)-FIND("/",L185)-1)))</f>
        <v>5</v>
      </c>
      <c r="Y185" s="7" t="n">
        <f aca="false">IF(L185="","",VALUE(MID(L185,FIND("/",L185,FIND("/",L185)+1)+1,LEN(L185)-FIND("/",L185,FIND("/",L185)+1))))</f>
        <v>25</v>
      </c>
      <c r="Z185" s="11" t="n">
        <f aca="false">IF(OR(L185="",W185=""),"",IFERROR(INDEX('لیست‌ها'!$Q$3:$Q$53,MATCH(W185,'لیست‌ها'!$P$3:$P$53,0))+IF(X185&lt;=6,(X185-1)*31+Y185,IF(X185&lt;=11,186+(X185-7)*30+Y185,336+Y185))-1,""))</f>
        <v>46250</v>
      </c>
      <c r="AA185" s="7" t="n">
        <f aca="false">IF(H185="","",VALUE(LEFT(H185,FIND("/",H185)-1)))</f>
        <v>1405</v>
      </c>
      <c r="AB185" s="7" t="n">
        <f aca="false">IF(H185="","",VALUE(MID(H185,FIND("/",H185)+1,FIND("/",H185,FIND("/",H185)+1)-FIND("/",H185)-1)))</f>
        <v>6</v>
      </c>
      <c r="AC185" s="7" t="n">
        <f aca="false">IF(H185="","",VALUE(MID(H185,FIND("/",H185,FIND("/",H185)+1)+1,LEN(H185)-FIND("/",H185,FIND("/",H185)+1))))</f>
        <v>23</v>
      </c>
      <c r="AD185" s="11" t="n">
        <f aca="false">IF(OR(H185="",AA185=""),"",IFERROR(INDEX('لیست‌ها'!$Q$3:$Q$53,MATCH(AA185,'لیست‌ها'!$P$3:$P$53,0))+IF(AB185&lt;=6,(AB185-1)*31+AC185,IF(AB185&lt;=11,186+(AB185-7)*30+AC185,336+AC185))-1,""))</f>
        <v>46279</v>
      </c>
      <c r="AE185" s="7" t="str">
        <f aca="false">IF(P185="","",VALUE(LEFT(P185,FIND("/",P185)-1)))</f>
        <v/>
      </c>
      <c r="AF185" s="7" t="str">
        <f aca="false">IF(P185="","",VALUE(MID(P185,FIND("/",P185)+1,FIND("/",P185,FIND("/",P185)+1)-FIND("/",P185)-1)))</f>
        <v/>
      </c>
      <c r="AG185" s="7" t="str">
        <f aca="false">IF(P185="","",VALUE(MID(P185,FIND("/",P185,FIND("/",P185)+1)+1,LEN(P185)-FIND("/",P185,FIND("/",P185)+1))))</f>
        <v/>
      </c>
      <c r="AH185" s="7" t="str">
        <f aca="false">IF(OR(P185="",AE185=""),"",IFERROR(INDEX('لیست‌ها'!$Q$3:$Q$53,MATCH(AE185,'لیست‌ها'!$P$3:$P$53,0))+IF(AF185&lt;=6,(AF185-1)*31+AG185,IF(AF185&lt;=11,186+(AF185-7)*30+AG185,336+AG185))-1,""))</f>
        <v/>
      </c>
      <c r="AI185" s="7" t="str">
        <f aca="false">IF(W185="","",W185&amp;"-"&amp;TEXT(X185,"00"))</f>
        <v>1405-05</v>
      </c>
      <c r="AJ185" s="7" t="n">
        <f aca="false">IF(W185="","",W185*12+X185)</f>
        <v>16865</v>
      </c>
      <c r="AK185" s="7" t="str">
        <f aca="false">IF(U185="تاخیر",V185+ROW()/100000,"")</f>
        <v/>
      </c>
    </row>
    <row r="186" customFormat="false" ht="15" hidden="false" customHeight="false" outlineLevel="0" collapsed="false">
      <c r="A186" s="7" t="n">
        <f aca="false">IF(B186="","",ROW()-3)</f>
        <v>183</v>
      </c>
      <c r="B186" s="8" t="s">
        <v>439</v>
      </c>
      <c r="C186" s="8" t="s">
        <v>38</v>
      </c>
      <c r="D186" s="8" t="s">
        <v>47</v>
      </c>
      <c r="E186" s="9" t="s">
        <v>440</v>
      </c>
      <c r="F186" s="9" t="s">
        <v>430</v>
      </c>
      <c r="G186" s="8" t="s">
        <v>309</v>
      </c>
      <c r="H186" s="8" t="s">
        <v>382</v>
      </c>
      <c r="I186" s="8" t="s">
        <v>54</v>
      </c>
      <c r="J186" s="9"/>
      <c r="K186" s="8"/>
      <c r="L186" s="8" t="s">
        <v>322</v>
      </c>
      <c r="M186" s="8" t="s">
        <v>56</v>
      </c>
      <c r="N186" s="8"/>
      <c r="O186" s="8"/>
      <c r="P186" s="8"/>
      <c r="Q186" s="8"/>
      <c r="R186" s="9"/>
      <c r="S186" s="8"/>
      <c r="T186" s="9"/>
      <c r="U186" s="10" t="str">
        <f aca="true">IF(B186="","",IF(OR(P186&lt;&gt;"",I186="می‌باشد"),"بسته",IF(AND(L186&lt;&gt;"",W186=""),"خطای فرمت تاریخ ایجاد",IF(AND(H186&lt;&gt;"",AA186=""),"خطای فرمت مهلت",IF(AND(H186&lt;&gt;"",AD186&lt;&gt;"",TODAY()&gt;AD186),"تاخیر",IF(L186&lt;&gt;"","در حال انجام",""))))))</f>
        <v>بسته</v>
      </c>
      <c r="V186" s="7" t="n">
        <f aca="true">IF(U186="تاخیر",TODAY()-AD186,IF(AND(U186="بسته",AH186&lt;&gt;"",AD186&lt;&gt;"",AH186&gt;AD186),AH186-AD186,0))</f>
        <v>0</v>
      </c>
      <c r="W186" s="7" t="n">
        <f aca="false">IF(L186="","",VALUE(LEFT(L186,FIND("/",L186)-1)))</f>
        <v>1405</v>
      </c>
      <c r="X186" s="7" t="n">
        <f aca="false">IF(L186="","",VALUE(MID(L186,FIND("/",L186)+1,FIND("/",L186,FIND("/",L186)+1)-FIND("/",L186)-1)))</f>
        <v>5</v>
      </c>
      <c r="Y186" s="7" t="n">
        <f aca="false">IF(L186="","",VALUE(MID(L186,FIND("/",L186,FIND("/",L186)+1)+1,LEN(L186)-FIND("/",L186,FIND("/",L186)+1))))</f>
        <v>25</v>
      </c>
      <c r="Z186" s="11" t="n">
        <f aca="false">IF(OR(L186="",W186=""),"",IFERROR(INDEX('لیست‌ها'!$Q$3:$Q$53,MATCH(W186,'لیست‌ها'!$P$3:$P$53,0))+IF(X186&lt;=6,(X186-1)*31+Y186,IF(X186&lt;=11,186+(X186-7)*30+Y186,336+Y186))-1,""))</f>
        <v>46250</v>
      </c>
      <c r="AA186" s="7" t="n">
        <f aca="false">IF(H186="","",VALUE(LEFT(H186,FIND("/",H186)-1)))</f>
        <v>1405</v>
      </c>
      <c r="AB186" s="7" t="n">
        <f aca="false">IF(H186="","",VALUE(MID(H186,FIND("/",H186)+1,FIND("/",H186,FIND("/",H186)+1)-FIND("/",H186)-1)))</f>
        <v>6</v>
      </c>
      <c r="AC186" s="7" t="n">
        <f aca="false">IF(H186="","",VALUE(MID(H186,FIND("/",H186,FIND("/",H186)+1)+1,LEN(H186)-FIND("/",H186,FIND("/",H186)+1))))</f>
        <v>23</v>
      </c>
      <c r="AD186" s="11" t="n">
        <f aca="false">IF(OR(H186="",AA186=""),"",IFERROR(INDEX('لیست‌ها'!$Q$3:$Q$53,MATCH(AA186,'لیست‌ها'!$P$3:$P$53,0))+IF(AB186&lt;=6,(AB186-1)*31+AC186,IF(AB186&lt;=11,186+(AB186-7)*30+AC186,336+AC186))-1,""))</f>
        <v>46279</v>
      </c>
      <c r="AE186" s="7" t="str">
        <f aca="false">IF(P186="","",VALUE(LEFT(P186,FIND("/",P186)-1)))</f>
        <v/>
      </c>
      <c r="AF186" s="7" t="str">
        <f aca="false">IF(P186="","",VALUE(MID(P186,FIND("/",P186)+1,FIND("/",P186,FIND("/",P186)+1)-FIND("/",P186)-1)))</f>
        <v/>
      </c>
      <c r="AG186" s="7" t="str">
        <f aca="false">IF(P186="","",VALUE(MID(P186,FIND("/",P186,FIND("/",P186)+1)+1,LEN(P186)-FIND("/",P186,FIND("/",P186)+1))))</f>
        <v/>
      </c>
      <c r="AH186" s="7" t="str">
        <f aca="false">IF(OR(P186="",AE186=""),"",IFERROR(INDEX('لیست‌ها'!$Q$3:$Q$53,MATCH(AE186,'لیست‌ها'!$P$3:$P$53,0))+IF(AF186&lt;=6,(AF186-1)*31+AG186,IF(AF186&lt;=11,186+(AF186-7)*30+AG186,336+AG186))-1,""))</f>
        <v/>
      </c>
      <c r="AI186" s="7" t="str">
        <f aca="false">IF(W186="","",W186&amp;"-"&amp;TEXT(X186,"00"))</f>
        <v>1405-05</v>
      </c>
      <c r="AJ186" s="7" t="n">
        <f aca="false">IF(W186="","",W186*12+X186)</f>
        <v>16865</v>
      </c>
      <c r="AK186" s="7" t="str">
        <f aca="false">IF(U186="تاخیر",V186+ROW()/100000,"")</f>
        <v/>
      </c>
    </row>
    <row r="187" customFormat="false" ht="15" hidden="false" customHeight="false" outlineLevel="0" collapsed="false">
      <c r="A187" s="7" t="n">
        <f aca="false">IF(B187="","",ROW()-3)</f>
        <v>184</v>
      </c>
      <c r="B187" s="8" t="s">
        <v>437</v>
      </c>
      <c r="C187" s="8" t="s">
        <v>38</v>
      </c>
      <c r="D187" s="8" t="s">
        <v>47</v>
      </c>
      <c r="E187" s="9" t="s">
        <v>438</v>
      </c>
      <c r="F187" s="9" t="s">
        <v>430</v>
      </c>
      <c r="G187" s="8" t="s">
        <v>309</v>
      </c>
      <c r="H187" s="8" t="s">
        <v>382</v>
      </c>
      <c r="I187" s="8" t="s">
        <v>54</v>
      </c>
      <c r="J187" s="9"/>
      <c r="K187" s="8"/>
      <c r="L187" s="8" t="s">
        <v>322</v>
      </c>
      <c r="M187" s="8" t="s">
        <v>56</v>
      </c>
      <c r="N187" s="8"/>
      <c r="O187" s="8"/>
      <c r="P187" s="8"/>
      <c r="Q187" s="8"/>
      <c r="R187" s="9"/>
      <c r="S187" s="8"/>
      <c r="T187" s="9"/>
      <c r="U187" s="10" t="str">
        <f aca="true">IF(B187="","",IF(OR(P187&lt;&gt;"",I187="می‌باشد"),"بسته",IF(AND(L187&lt;&gt;"",W187=""),"خطای فرمت تاریخ ایجاد",IF(AND(H187&lt;&gt;"",AA187=""),"خطای فرمت مهلت",IF(AND(H187&lt;&gt;"",AD187&lt;&gt;"",TODAY()&gt;AD187),"تاخیر",IF(L187&lt;&gt;"","در حال انجام",""))))))</f>
        <v>بسته</v>
      </c>
      <c r="V187" s="7" t="n">
        <f aca="true">IF(U187="تاخیر",TODAY()-AD187,IF(AND(U187="بسته",AH187&lt;&gt;"",AD187&lt;&gt;"",AH187&gt;AD187),AH187-AD187,0))</f>
        <v>0</v>
      </c>
      <c r="W187" s="7" t="n">
        <f aca="false">IF(L187="","",VALUE(LEFT(L187,FIND("/",L187)-1)))</f>
        <v>1405</v>
      </c>
      <c r="X187" s="7" t="n">
        <f aca="false">IF(L187="","",VALUE(MID(L187,FIND("/",L187)+1,FIND("/",L187,FIND("/",L187)+1)-FIND("/",L187)-1)))</f>
        <v>5</v>
      </c>
      <c r="Y187" s="7" t="n">
        <f aca="false">IF(L187="","",VALUE(MID(L187,FIND("/",L187,FIND("/",L187)+1)+1,LEN(L187)-FIND("/",L187,FIND("/",L187)+1))))</f>
        <v>25</v>
      </c>
      <c r="Z187" s="11" t="n">
        <f aca="false">IF(OR(L187="",W187=""),"",IFERROR(INDEX('لیست‌ها'!$Q$3:$Q$53,MATCH(W187,'لیست‌ها'!$P$3:$P$53,0))+IF(X187&lt;=6,(X187-1)*31+Y187,IF(X187&lt;=11,186+(X187-7)*30+Y187,336+Y187))-1,""))</f>
        <v>46250</v>
      </c>
      <c r="AA187" s="7" t="n">
        <f aca="false">IF(H187="","",VALUE(LEFT(H187,FIND("/",H187)-1)))</f>
        <v>1405</v>
      </c>
      <c r="AB187" s="7" t="n">
        <f aca="false">IF(H187="","",VALUE(MID(H187,FIND("/",H187)+1,FIND("/",H187,FIND("/",H187)+1)-FIND("/",H187)-1)))</f>
        <v>6</v>
      </c>
      <c r="AC187" s="7" t="n">
        <f aca="false">IF(H187="","",VALUE(MID(H187,FIND("/",H187,FIND("/",H187)+1)+1,LEN(H187)-FIND("/",H187,FIND("/",H187)+1))))</f>
        <v>23</v>
      </c>
      <c r="AD187" s="11" t="n">
        <f aca="false">IF(OR(H187="",AA187=""),"",IFERROR(INDEX('لیست‌ها'!$Q$3:$Q$53,MATCH(AA187,'لیست‌ها'!$P$3:$P$53,0))+IF(AB187&lt;=6,(AB187-1)*31+AC187,IF(AB187&lt;=11,186+(AB187-7)*30+AC187,336+AC187))-1,""))</f>
        <v>46279</v>
      </c>
      <c r="AE187" s="7" t="str">
        <f aca="false">IF(P187="","",VALUE(LEFT(P187,FIND("/",P187)-1)))</f>
        <v/>
      </c>
      <c r="AF187" s="7" t="str">
        <f aca="false">IF(P187="","",VALUE(MID(P187,FIND("/",P187)+1,FIND("/",P187,FIND("/",P187)+1)-FIND("/",P187)-1)))</f>
        <v/>
      </c>
      <c r="AG187" s="7" t="str">
        <f aca="false">IF(P187="","",VALUE(MID(P187,FIND("/",P187,FIND("/",P187)+1)+1,LEN(P187)-FIND("/",P187,FIND("/",P187)+1))))</f>
        <v/>
      </c>
      <c r="AH187" s="7" t="str">
        <f aca="false">IF(OR(P187="",AE187=""),"",IFERROR(INDEX('لیست‌ها'!$Q$3:$Q$53,MATCH(AE187,'لیست‌ها'!$P$3:$P$53,0))+IF(AF187&lt;=6,(AF187-1)*31+AG187,IF(AF187&lt;=11,186+(AF187-7)*30+AG187,336+AG187))-1,""))</f>
        <v/>
      </c>
      <c r="AI187" s="7" t="str">
        <f aca="false">IF(W187="","",W187&amp;"-"&amp;TEXT(X187,"00"))</f>
        <v>1405-05</v>
      </c>
      <c r="AJ187" s="7" t="n">
        <f aca="false">IF(W187="","",W187*12+X187)</f>
        <v>16865</v>
      </c>
      <c r="AK187" s="7" t="str">
        <f aca="false">IF(U187="تاخیر",V187+ROW()/100000,"")</f>
        <v/>
      </c>
    </row>
    <row r="188" customFormat="false" ht="15" hidden="false" customHeight="false" outlineLevel="0" collapsed="false">
      <c r="A188" s="7" t="n">
        <f aca="false">IF(B188="","",ROW()-3)</f>
        <v>185</v>
      </c>
      <c r="B188" s="8" t="s">
        <v>435</v>
      </c>
      <c r="C188" s="8" t="s">
        <v>38</v>
      </c>
      <c r="D188" s="8" t="s">
        <v>47</v>
      </c>
      <c r="E188" s="9" t="s">
        <v>436</v>
      </c>
      <c r="F188" s="9" t="s">
        <v>430</v>
      </c>
      <c r="G188" s="8" t="s">
        <v>309</v>
      </c>
      <c r="H188" s="8" t="s">
        <v>382</v>
      </c>
      <c r="I188" s="8" t="s">
        <v>54</v>
      </c>
      <c r="J188" s="9"/>
      <c r="K188" s="8"/>
      <c r="L188" s="8" t="s">
        <v>322</v>
      </c>
      <c r="M188" s="8" t="s">
        <v>56</v>
      </c>
      <c r="N188" s="8"/>
      <c r="O188" s="8"/>
      <c r="P188" s="8"/>
      <c r="Q188" s="8"/>
      <c r="R188" s="9"/>
      <c r="S188" s="8"/>
      <c r="T188" s="9"/>
      <c r="U188" s="10" t="str">
        <f aca="true">IF(B188="","",IF(OR(P188&lt;&gt;"",I188="می‌باشد"),"بسته",IF(AND(L188&lt;&gt;"",W188=""),"خطای فرمت تاریخ ایجاد",IF(AND(H188&lt;&gt;"",AA188=""),"خطای فرمت مهلت",IF(AND(H188&lt;&gt;"",AD188&lt;&gt;"",TODAY()&gt;AD188),"تاخیر",IF(L188&lt;&gt;"","در حال انجام",""))))))</f>
        <v>بسته</v>
      </c>
      <c r="V188" s="7" t="n">
        <f aca="true">IF(U188="تاخیر",TODAY()-AD188,IF(AND(U188="بسته",AH188&lt;&gt;"",AD188&lt;&gt;"",AH188&gt;AD188),AH188-AD188,0))</f>
        <v>0</v>
      </c>
      <c r="W188" s="7" t="n">
        <f aca="false">IF(L188="","",VALUE(LEFT(L188,FIND("/",L188)-1)))</f>
        <v>1405</v>
      </c>
      <c r="X188" s="7" t="n">
        <f aca="false">IF(L188="","",VALUE(MID(L188,FIND("/",L188)+1,FIND("/",L188,FIND("/",L188)+1)-FIND("/",L188)-1)))</f>
        <v>5</v>
      </c>
      <c r="Y188" s="7" t="n">
        <f aca="false">IF(L188="","",VALUE(MID(L188,FIND("/",L188,FIND("/",L188)+1)+1,LEN(L188)-FIND("/",L188,FIND("/",L188)+1))))</f>
        <v>25</v>
      </c>
      <c r="Z188" s="11" t="n">
        <f aca="false">IF(OR(L188="",W188=""),"",IFERROR(INDEX('لیست‌ها'!$Q$3:$Q$53,MATCH(W188,'لیست‌ها'!$P$3:$P$53,0))+IF(X188&lt;=6,(X188-1)*31+Y188,IF(X188&lt;=11,186+(X188-7)*30+Y188,336+Y188))-1,""))</f>
        <v>46250</v>
      </c>
      <c r="AA188" s="7" t="n">
        <f aca="false">IF(H188="","",VALUE(LEFT(H188,FIND("/",H188)-1)))</f>
        <v>1405</v>
      </c>
      <c r="AB188" s="7" t="n">
        <f aca="false">IF(H188="","",VALUE(MID(H188,FIND("/",H188)+1,FIND("/",H188,FIND("/",H188)+1)-FIND("/",H188)-1)))</f>
        <v>6</v>
      </c>
      <c r="AC188" s="7" t="n">
        <f aca="false">IF(H188="","",VALUE(MID(H188,FIND("/",H188,FIND("/",H188)+1)+1,LEN(H188)-FIND("/",H188,FIND("/",H188)+1))))</f>
        <v>23</v>
      </c>
      <c r="AD188" s="11" t="n">
        <f aca="false">IF(OR(H188="",AA188=""),"",IFERROR(INDEX('لیست‌ها'!$Q$3:$Q$53,MATCH(AA188,'لیست‌ها'!$P$3:$P$53,0))+IF(AB188&lt;=6,(AB188-1)*31+AC188,IF(AB188&lt;=11,186+(AB188-7)*30+AC188,336+AC188))-1,""))</f>
        <v>46279</v>
      </c>
      <c r="AE188" s="7" t="str">
        <f aca="false">IF(P188="","",VALUE(LEFT(P188,FIND("/",P188)-1)))</f>
        <v/>
      </c>
      <c r="AF188" s="7" t="str">
        <f aca="false">IF(P188="","",VALUE(MID(P188,FIND("/",P188)+1,FIND("/",P188,FIND("/",P188)+1)-FIND("/",P188)-1)))</f>
        <v/>
      </c>
      <c r="AG188" s="7" t="str">
        <f aca="false">IF(P188="","",VALUE(MID(P188,FIND("/",P188,FIND("/",P188)+1)+1,LEN(P188)-FIND("/",P188,FIND("/",P188)+1))))</f>
        <v/>
      </c>
      <c r="AH188" s="7" t="str">
        <f aca="false">IF(OR(P188="",AE188=""),"",IFERROR(INDEX('لیست‌ها'!$Q$3:$Q$53,MATCH(AE188,'لیست‌ها'!$P$3:$P$53,0))+IF(AF188&lt;=6,(AF188-1)*31+AG188,IF(AF188&lt;=11,186+(AF188-7)*30+AG188,336+AG188))-1,""))</f>
        <v/>
      </c>
      <c r="AI188" s="7" t="str">
        <f aca="false">IF(W188="","",W188&amp;"-"&amp;TEXT(X188,"00"))</f>
        <v>1405-05</v>
      </c>
      <c r="AJ188" s="7" t="n">
        <f aca="false">IF(W188="","",W188*12+X188)</f>
        <v>16865</v>
      </c>
      <c r="AK188" s="7" t="str">
        <f aca="false">IF(U188="تاخیر",V188+ROW()/100000,"")</f>
        <v/>
      </c>
    </row>
    <row r="189" customFormat="false" ht="15" hidden="false" customHeight="false" outlineLevel="0" collapsed="false">
      <c r="A189" s="7" t="n">
        <f aca="false">IF(B189="","",ROW()-3)</f>
        <v>186</v>
      </c>
      <c r="B189" s="8" t="s">
        <v>433</v>
      </c>
      <c r="C189" s="8" t="s">
        <v>38</v>
      </c>
      <c r="D189" s="8" t="s">
        <v>47</v>
      </c>
      <c r="E189" s="9" t="s">
        <v>434</v>
      </c>
      <c r="F189" s="9" t="s">
        <v>430</v>
      </c>
      <c r="G189" s="8" t="s">
        <v>309</v>
      </c>
      <c r="H189" s="8" t="s">
        <v>382</v>
      </c>
      <c r="I189" s="8"/>
      <c r="J189" s="9"/>
      <c r="K189" s="8"/>
      <c r="L189" s="8" t="s">
        <v>322</v>
      </c>
      <c r="M189" s="8" t="s">
        <v>110</v>
      </c>
      <c r="N189" s="8"/>
      <c r="O189" s="8"/>
      <c r="P189" s="8"/>
      <c r="Q189" s="8"/>
      <c r="R189" s="9"/>
      <c r="S189" s="8"/>
      <c r="T189" s="9"/>
      <c r="U189" s="10" t="str">
        <f aca="true">IF(B189="","",IF(OR(P189&lt;&gt;"",I189="می‌باشد"),"بسته",IF(AND(L189&lt;&gt;"",W189=""),"خطای فرمت تاریخ ایجاد",IF(AND(H189&lt;&gt;"",AA189=""),"خطای فرمت مهلت",IF(AND(H189&lt;&gt;"",AD189&lt;&gt;"",TODAY()&gt;AD189),"تاخیر",IF(L189&lt;&gt;"","در حال انجام",""))))))</f>
        <v>تاخیر</v>
      </c>
      <c r="V189" s="7" t="n">
        <f aca="true">IF(U189="تاخیر",TODAY()-AD189,IF(AND(U189="بسته",AH189&lt;&gt;"",AD189&lt;&gt;"",AH189&gt;AD189),AH189-AD189,0))</f>
        <v>16</v>
      </c>
      <c r="W189" s="7" t="n">
        <f aca="false">IF(L189="","",VALUE(LEFT(L189,FIND("/",L189)-1)))</f>
        <v>1405</v>
      </c>
      <c r="X189" s="7" t="n">
        <f aca="false">IF(L189="","",VALUE(MID(L189,FIND("/",L189)+1,FIND("/",L189,FIND("/",L189)+1)-FIND("/",L189)-1)))</f>
        <v>5</v>
      </c>
      <c r="Y189" s="7" t="n">
        <f aca="false">IF(L189="","",VALUE(MID(L189,FIND("/",L189,FIND("/",L189)+1)+1,LEN(L189)-FIND("/",L189,FIND("/",L189)+1))))</f>
        <v>25</v>
      </c>
      <c r="Z189" s="11" t="n">
        <f aca="false">IF(OR(L189="",W189=""),"",IFERROR(INDEX('لیست‌ها'!$Q$3:$Q$53,MATCH(W189,'لیست‌ها'!$P$3:$P$53,0))+IF(X189&lt;=6,(X189-1)*31+Y189,IF(X189&lt;=11,186+(X189-7)*30+Y189,336+Y189))-1,""))</f>
        <v>46250</v>
      </c>
      <c r="AA189" s="7" t="n">
        <f aca="false">IF(H189="","",VALUE(LEFT(H189,FIND("/",H189)-1)))</f>
        <v>1405</v>
      </c>
      <c r="AB189" s="7" t="n">
        <f aca="false">IF(H189="","",VALUE(MID(H189,FIND("/",H189)+1,FIND("/",H189,FIND("/",H189)+1)-FIND("/",H189)-1)))</f>
        <v>6</v>
      </c>
      <c r="AC189" s="7" t="n">
        <f aca="false">IF(H189="","",VALUE(MID(H189,FIND("/",H189,FIND("/",H189)+1)+1,LEN(H189)-FIND("/",H189,FIND("/",H189)+1))))</f>
        <v>23</v>
      </c>
      <c r="AD189" s="11" t="n">
        <f aca="false">IF(OR(H189="",AA189=""),"",IFERROR(INDEX('لیست‌ها'!$Q$3:$Q$53,MATCH(AA189,'لیست‌ها'!$P$3:$P$53,0))+IF(AB189&lt;=6,(AB189-1)*31+AC189,IF(AB189&lt;=11,186+(AB189-7)*30+AC189,336+AC189))-1,""))</f>
        <v>46279</v>
      </c>
      <c r="AE189" s="7" t="str">
        <f aca="false">IF(P189="","",VALUE(LEFT(P189,FIND("/",P189)-1)))</f>
        <v/>
      </c>
      <c r="AF189" s="7" t="str">
        <f aca="false">IF(P189="","",VALUE(MID(P189,FIND("/",P189)+1,FIND("/",P189,FIND("/",P189)+1)-FIND("/",P189)-1)))</f>
        <v/>
      </c>
      <c r="AG189" s="7" t="str">
        <f aca="false">IF(P189="","",VALUE(MID(P189,FIND("/",P189,FIND("/",P189)+1)+1,LEN(P189)-FIND("/",P189,FIND("/",P189)+1))))</f>
        <v/>
      </c>
      <c r="AH189" s="7" t="str">
        <f aca="false">IF(OR(P189="",AE189=""),"",IFERROR(INDEX('لیست‌ها'!$Q$3:$Q$53,MATCH(AE189,'لیست‌ها'!$P$3:$P$53,0))+IF(AF189&lt;=6,(AF189-1)*31+AG189,IF(AF189&lt;=11,186+(AF189-7)*30+AG189,336+AG189))-1,""))</f>
        <v/>
      </c>
      <c r="AI189" s="7" t="str">
        <f aca="false">IF(W189="","",W189&amp;"-"&amp;TEXT(X189,"00"))</f>
        <v>1405-05</v>
      </c>
      <c r="AJ189" s="7" t="n">
        <f aca="false">IF(W189="","",W189*12+X189)</f>
        <v>16865</v>
      </c>
      <c r="AK189" s="7" t="n">
        <f aca="false">IF(U189="تاخیر",V189+ROW()/100000,"")</f>
        <v>16.00179</v>
      </c>
    </row>
    <row r="190" customFormat="false" ht="15" hidden="false" customHeight="false" outlineLevel="0" collapsed="false">
      <c r="A190" s="7" t="n">
        <f aca="false">IF(B190="","",ROW()-3)</f>
        <v>187</v>
      </c>
      <c r="B190" s="8" t="s">
        <v>431</v>
      </c>
      <c r="C190" s="8" t="s">
        <v>38</v>
      </c>
      <c r="D190" s="8" t="s">
        <v>47</v>
      </c>
      <c r="E190" s="9" t="s">
        <v>432</v>
      </c>
      <c r="F190" s="9" t="s">
        <v>430</v>
      </c>
      <c r="G190" s="8" t="s">
        <v>309</v>
      </c>
      <c r="H190" s="8" t="s">
        <v>382</v>
      </c>
      <c r="I190" s="8" t="s">
        <v>54</v>
      </c>
      <c r="J190" s="9"/>
      <c r="K190" s="8"/>
      <c r="L190" s="8" t="s">
        <v>322</v>
      </c>
      <c r="M190" s="8" t="s">
        <v>56</v>
      </c>
      <c r="N190" s="8"/>
      <c r="O190" s="8"/>
      <c r="P190" s="8"/>
      <c r="Q190" s="8"/>
      <c r="R190" s="9"/>
      <c r="S190" s="8"/>
      <c r="T190" s="9"/>
      <c r="U190" s="10" t="str">
        <f aca="true">IF(B190="","",IF(OR(P190&lt;&gt;"",I190="می‌باشد"),"بسته",IF(AND(L190&lt;&gt;"",W190=""),"خطای فرمت تاریخ ایجاد",IF(AND(H190&lt;&gt;"",AA190=""),"خطای فرمت مهلت",IF(AND(H190&lt;&gt;"",AD190&lt;&gt;"",TODAY()&gt;AD190),"تاخیر",IF(L190&lt;&gt;"","در حال انجام",""))))))</f>
        <v>بسته</v>
      </c>
      <c r="V190" s="7" t="n">
        <f aca="true">IF(U190="تاخیر",TODAY()-AD190,IF(AND(U190="بسته",AH190&lt;&gt;"",AD190&lt;&gt;"",AH190&gt;AD190),AH190-AD190,0))</f>
        <v>0</v>
      </c>
      <c r="W190" s="7" t="n">
        <f aca="false">IF(L190="","",VALUE(LEFT(L190,FIND("/",L190)-1)))</f>
        <v>1405</v>
      </c>
      <c r="X190" s="7" t="n">
        <f aca="false">IF(L190="","",VALUE(MID(L190,FIND("/",L190)+1,FIND("/",L190,FIND("/",L190)+1)-FIND("/",L190)-1)))</f>
        <v>5</v>
      </c>
      <c r="Y190" s="7" t="n">
        <f aca="false">IF(L190="","",VALUE(MID(L190,FIND("/",L190,FIND("/",L190)+1)+1,LEN(L190)-FIND("/",L190,FIND("/",L190)+1))))</f>
        <v>25</v>
      </c>
      <c r="Z190" s="11" t="n">
        <f aca="false">IF(OR(L190="",W190=""),"",IFERROR(INDEX('لیست‌ها'!$Q$3:$Q$53,MATCH(W190,'لیست‌ها'!$P$3:$P$53,0))+IF(X190&lt;=6,(X190-1)*31+Y190,IF(X190&lt;=11,186+(X190-7)*30+Y190,336+Y190))-1,""))</f>
        <v>46250</v>
      </c>
      <c r="AA190" s="7" t="n">
        <f aca="false">IF(H190="","",VALUE(LEFT(H190,FIND("/",H190)-1)))</f>
        <v>1405</v>
      </c>
      <c r="AB190" s="7" t="n">
        <f aca="false">IF(H190="","",VALUE(MID(H190,FIND("/",H190)+1,FIND("/",H190,FIND("/",H190)+1)-FIND("/",H190)-1)))</f>
        <v>6</v>
      </c>
      <c r="AC190" s="7" t="n">
        <f aca="false">IF(H190="","",VALUE(MID(H190,FIND("/",H190,FIND("/",H190)+1)+1,LEN(H190)-FIND("/",H190,FIND("/",H190)+1))))</f>
        <v>23</v>
      </c>
      <c r="AD190" s="11" t="n">
        <f aca="false">IF(OR(H190="",AA190=""),"",IFERROR(INDEX('لیست‌ها'!$Q$3:$Q$53,MATCH(AA190,'لیست‌ها'!$P$3:$P$53,0))+IF(AB190&lt;=6,(AB190-1)*31+AC190,IF(AB190&lt;=11,186+(AB190-7)*30+AC190,336+AC190))-1,""))</f>
        <v>46279</v>
      </c>
      <c r="AE190" s="7" t="str">
        <f aca="false">IF(P190="","",VALUE(LEFT(P190,FIND("/",P190)-1)))</f>
        <v/>
      </c>
      <c r="AF190" s="7" t="str">
        <f aca="false">IF(P190="","",VALUE(MID(P190,FIND("/",P190)+1,FIND("/",P190,FIND("/",P190)+1)-FIND("/",P190)-1)))</f>
        <v/>
      </c>
      <c r="AG190" s="7" t="str">
        <f aca="false">IF(P190="","",VALUE(MID(P190,FIND("/",P190,FIND("/",P190)+1)+1,LEN(P190)-FIND("/",P190,FIND("/",P190)+1))))</f>
        <v/>
      </c>
      <c r="AH190" s="7" t="str">
        <f aca="false">IF(OR(P190="",AE190=""),"",IFERROR(INDEX('لیست‌ها'!$Q$3:$Q$53,MATCH(AE190,'لیست‌ها'!$P$3:$P$53,0))+IF(AF190&lt;=6,(AF190-1)*31+AG190,IF(AF190&lt;=11,186+(AF190-7)*30+AG190,336+AG190))-1,""))</f>
        <v/>
      </c>
      <c r="AI190" s="7" t="str">
        <f aca="false">IF(W190="","",W190&amp;"-"&amp;TEXT(X190,"00"))</f>
        <v>1405-05</v>
      </c>
      <c r="AJ190" s="7" t="n">
        <f aca="false">IF(W190="","",W190*12+X190)</f>
        <v>16865</v>
      </c>
      <c r="AK190" s="7" t="str">
        <f aca="false">IF(U190="تاخیر",V190+ROW()/100000,"")</f>
        <v/>
      </c>
    </row>
    <row r="191" customFormat="false" ht="15" hidden="false" customHeight="false" outlineLevel="0" collapsed="false">
      <c r="A191" s="7" t="n">
        <f aca="false">IF(B191="","",ROW()-3)</f>
        <v>188</v>
      </c>
      <c r="B191" s="8" t="s">
        <v>428</v>
      </c>
      <c r="C191" s="8" t="s">
        <v>38</v>
      </c>
      <c r="D191" s="8" t="s">
        <v>47</v>
      </c>
      <c r="E191" s="9" t="s">
        <v>429</v>
      </c>
      <c r="F191" s="9" t="s">
        <v>430</v>
      </c>
      <c r="G191" s="8" t="s">
        <v>309</v>
      </c>
      <c r="H191" s="8" t="s">
        <v>382</v>
      </c>
      <c r="I191" s="8" t="s">
        <v>54</v>
      </c>
      <c r="J191" s="9"/>
      <c r="K191" s="8"/>
      <c r="L191" s="8" t="s">
        <v>322</v>
      </c>
      <c r="M191" s="8" t="s">
        <v>56</v>
      </c>
      <c r="N191" s="8"/>
      <c r="O191" s="8"/>
      <c r="P191" s="8"/>
      <c r="Q191" s="8"/>
      <c r="R191" s="9"/>
      <c r="S191" s="8"/>
      <c r="T191" s="9"/>
      <c r="U191" s="10" t="str">
        <f aca="true">IF(B191="","",IF(OR(P191&lt;&gt;"",I191="می‌باشد"),"بسته",IF(AND(L191&lt;&gt;"",W191=""),"خطای فرمت تاریخ ایجاد",IF(AND(H191&lt;&gt;"",AA191=""),"خطای فرمت مهلت",IF(AND(H191&lt;&gt;"",AD191&lt;&gt;"",TODAY()&gt;AD191),"تاخیر",IF(L191&lt;&gt;"","در حال انجام",""))))))</f>
        <v>بسته</v>
      </c>
      <c r="V191" s="7" t="n">
        <f aca="true">IF(U191="تاخیر",TODAY()-AD191,IF(AND(U191="بسته",AH191&lt;&gt;"",AD191&lt;&gt;"",AH191&gt;AD191),AH191-AD191,0))</f>
        <v>0</v>
      </c>
      <c r="W191" s="7" t="n">
        <f aca="false">IF(L191="","",VALUE(LEFT(L191,FIND("/",L191)-1)))</f>
        <v>1405</v>
      </c>
      <c r="X191" s="7" t="n">
        <f aca="false">IF(L191="","",VALUE(MID(L191,FIND("/",L191)+1,FIND("/",L191,FIND("/",L191)+1)-FIND("/",L191)-1)))</f>
        <v>5</v>
      </c>
      <c r="Y191" s="7" t="n">
        <f aca="false">IF(L191="","",VALUE(MID(L191,FIND("/",L191,FIND("/",L191)+1)+1,LEN(L191)-FIND("/",L191,FIND("/",L191)+1))))</f>
        <v>25</v>
      </c>
      <c r="Z191" s="11" t="n">
        <f aca="false">IF(OR(L191="",W191=""),"",IFERROR(INDEX('لیست‌ها'!$Q$3:$Q$53,MATCH(W191,'لیست‌ها'!$P$3:$P$53,0))+IF(X191&lt;=6,(X191-1)*31+Y191,IF(X191&lt;=11,186+(X191-7)*30+Y191,336+Y191))-1,""))</f>
        <v>46250</v>
      </c>
      <c r="AA191" s="7" t="n">
        <f aca="false">IF(H191="","",VALUE(LEFT(H191,FIND("/",H191)-1)))</f>
        <v>1405</v>
      </c>
      <c r="AB191" s="7" t="n">
        <f aca="false">IF(H191="","",VALUE(MID(H191,FIND("/",H191)+1,FIND("/",H191,FIND("/",H191)+1)-FIND("/",H191)-1)))</f>
        <v>6</v>
      </c>
      <c r="AC191" s="7" t="n">
        <f aca="false">IF(H191="","",VALUE(MID(H191,FIND("/",H191,FIND("/",H191)+1)+1,LEN(H191)-FIND("/",H191,FIND("/",H191)+1))))</f>
        <v>23</v>
      </c>
      <c r="AD191" s="11" t="n">
        <f aca="false">IF(OR(H191="",AA191=""),"",IFERROR(INDEX('لیست‌ها'!$Q$3:$Q$53,MATCH(AA191,'لیست‌ها'!$P$3:$P$53,0))+IF(AB191&lt;=6,(AB191-1)*31+AC191,IF(AB191&lt;=11,186+(AB191-7)*30+AC191,336+AC191))-1,""))</f>
        <v>46279</v>
      </c>
      <c r="AE191" s="7" t="str">
        <f aca="false">IF(P191="","",VALUE(LEFT(P191,FIND("/",P191)-1)))</f>
        <v/>
      </c>
      <c r="AF191" s="7" t="str">
        <f aca="false">IF(P191="","",VALUE(MID(P191,FIND("/",P191)+1,FIND("/",P191,FIND("/",P191)+1)-FIND("/",P191)-1)))</f>
        <v/>
      </c>
      <c r="AG191" s="7" t="str">
        <f aca="false">IF(P191="","",VALUE(MID(P191,FIND("/",P191,FIND("/",P191)+1)+1,LEN(P191)-FIND("/",P191,FIND("/",P191)+1))))</f>
        <v/>
      </c>
      <c r="AH191" s="7" t="str">
        <f aca="false">IF(OR(P191="",AE191=""),"",IFERROR(INDEX('لیست‌ها'!$Q$3:$Q$53,MATCH(AE191,'لیست‌ها'!$P$3:$P$53,0))+IF(AF191&lt;=6,(AF191-1)*31+AG191,IF(AF191&lt;=11,186+(AF191-7)*30+AG191,336+AG191))-1,""))</f>
        <v/>
      </c>
      <c r="AI191" s="7" t="str">
        <f aca="false">IF(W191="","",W191&amp;"-"&amp;TEXT(X191,"00"))</f>
        <v>1405-05</v>
      </c>
      <c r="AJ191" s="7" t="n">
        <f aca="false">IF(W191="","",W191*12+X191)</f>
        <v>16865</v>
      </c>
      <c r="AK191" s="7" t="str">
        <f aca="false">IF(U191="تاخیر",V191+ROW()/100000,"")</f>
        <v/>
      </c>
    </row>
    <row r="192" customFormat="false" ht="15" hidden="false" customHeight="false" outlineLevel="0" collapsed="false">
      <c r="A192" s="7" t="n">
        <f aca="false">IF(B192="","",ROW()-3)</f>
        <v>189</v>
      </c>
      <c r="B192" s="8" t="s">
        <v>486</v>
      </c>
      <c r="C192" s="8" t="s">
        <v>38</v>
      </c>
      <c r="D192" s="8" t="s">
        <v>47</v>
      </c>
      <c r="E192" s="9" t="s">
        <v>487</v>
      </c>
      <c r="F192" s="9" t="s">
        <v>430</v>
      </c>
      <c r="G192" s="8" t="s">
        <v>309</v>
      </c>
      <c r="H192" s="8" t="s">
        <v>382</v>
      </c>
      <c r="I192" s="8"/>
      <c r="J192" s="9"/>
      <c r="K192" s="8"/>
      <c r="L192" s="8" t="s">
        <v>322</v>
      </c>
      <c r="M192" s="8" t="s">
        <v>110</v>
      </c>
      <c r="N192" s="8"/>
      <c r="O192" s="8"/>
      <c r="P192" s="8"/>
      <c r="Q192" s="8"/>
      <c r="R192" s="9"/>
      <c r="S192" s="8"/>
      <c r="T192" s="9"/>
      <c r="U192" s="10" t="str">
        <f aca="true">IF(B192="","",IF(OR(P192&lt;&gt;"",I192="می‌باشد"),"بسته",IF(AND(L192&lt;&gt;"",W192=""),"خطای فرمت تاریخ ایجاد",IF(AND(H192&lt;&gt;"",AA192=""),"خطای فرمت مهلت",IF(AND(H192&lt;&gt;"",AD192&lt;&gt;"",TODAY()&gt;AD192),"تاخیر",IF(L192&lt;&gt;"","در حال انجام",""))))))</f>
        <v>تاخیر</v>
      </c>
      <c r="V192" s="7" t="n">
        <f aca="true">IF(U192="تاخیر",TODAY()-AD192,IF(AND(U192="بسته",AH192&lt;&gt;"",AD192&lt;&gt;"",AH192&gt;AD192),AH192-AD192,0))</f>
        <v>16</v>
      </c>
      <c r="W192" s="7" t="n">
        <f aca="false">IF(L192="","",VALUE(LEFT(L192,FIND("/",L192)-1)))</f>
        <v>1405</v>
      </c>
      <c r="X192" s="7" t="n">
        <f aca="false">IF(L192="","",VALUE(MID(L192,FIND("/",L192)+1,FIND("/",L192,FIND("/",L192)+1)-FIND("/",L192)-1)))</f>
        <v>5</v>
      </c>
      <c r="Y192" s="7" t="n">
        <f aca="false">IF(L192="","",VALUE(MID(L192,FIND("/",L192,FIND("/",L192)+1)+1,LEN(L192)-FIND("/",L192,FIND("/",L192)+1))))</f>
        <v>25</v>
      </c>
      <c r="Z192" s="11" t="n">
        <f aca="false">IF(OR(L192="",W192=""),"",IFERROR(INDEX('لیست‌ها'!$Q$3:$Q$53,MATCH(W192,'لیست‌ها'!$P$3:$P$53,0))+IF(X192&lt;=6,(X192-1)*31+Y192,IF(X192&lt;=11,186+(X192-7)*30+Y192,336+Y192))-1,""))</f>
        <v>46250</v>
      </c>
      <c r="AA192" s="7" t="n">
        <f aca="false">IF(H192="","",VALUE(LEFT(H192,FIND("/",H192)-1)))</f>
        <v>1405</v>
      </c>
      <c r="AB192" s="7" t="n">
        <f aca="false">IF(H192="","",VALUE(MID(H192,FIND("/",H192)+1,FIND("/",H192,FIND("/",H192)+1)-FIND("/",H192)-1)))</f>
        <v>6</v>
      </c>
      <c r="AC192" s="7" t="n">
        <f aca="false">IF(H192="","",VALUE(MID(H192,FIND("/",H192,FIND("/",H192)+1)+1,LEN(H192)-FIND("/",H192,FIND("/",H192)+1))))</f>
        <v>23</v>
      </c>
      <c r="AD192" s="11" t="n">
        <f aca="false">IF(OR(H192="",AA192=""),"",IFERROR(INDEX('لیست‌ها'!$Q$3:$Q$53,MATCH(AA192,'لیست‌ها'!$P$3:$P$53,0))+IF(AB192&lt;=6,(AB192-1)*31+AC192,IF(AB192&lt;=11,186+(AB192-7)*30+AC192,336+AC192))-1,""))</f>
        <v>46279</v>
      </c>
      <c r="AE192" s="7" t="str">
        <f aca="false">IF(P192="","",VALUE(LEFT(P192,FIND("/",P192)-1)))</f>
        <v/>
      </c>
      <c r="AF192" s="7" t="str">
        <f aca="false">IF(P192="","",VALUE(MID(P192,FIND("/",P192)+1,FIND("/",P192,FIND("/",P192)+1)-FIND("/",P192)-1)))</f>
        <v/>
      </c>
      <c r="AG192" s="7" t="str">
        <f aca="false">IF(P192="","",VALUE(MID(P192,FIND("/",P192,FIND("/",P192)+1)+1,LEN(P192)-FIND("/",P192,FIND("/",P192)+1))))</f>
        <v/>
      </c>
      <c r="AH192" s="7" t="str">
        <f aca="false">IF(OR(P192="",AE192=""),"",IFERROR(INDEX('لیست‌ها'!$Q$3:$Q$53,MATCH(AE192,'لیست‌ها'!$P$3:$P$53,0))+IF(AF192&lt;=6,(AF192-1)*31+AG192,IF(AF192&lt;=11,186+(AF192-7)*30+AG192,336+AG192))-1,""))</f>
        <v/>
      </c>
      <c r="AI192" s="7" t="str">
        <f aca="false">IF(W192="","",W192&amp;"-"&amp;TEXT(X192,"00"))</f>
        <v>1405-05</v>
      </c>
      <c r="AJ192" s="7" t="n">
        <f aca="false">IF(W192="","",W192*12+X192)</f>
        <v>16865</v>
      </c>
      <c r="AK192" s="7" t="n">
        <f aca="false">IF(U192="تاخیر",V192+ROW()/100000,"")</f>
        <v>16.00206</v>
      </c>
    </row>
    <row r="193" customFormat="false" ht="15" hidden="false" customHeight="false" outlineLevel="0" collapsed="false">
      <c r="A193" s="7" t="n">
        <f aca="false">IF(B193="","",ROW()-3)</f>
        <v>190</v>
      </c>
      <c r="B193" s="8" t="s">
        <v>485</v>
      </c>
      <c r="C193" s="8" t="s">
        <v>38</v>
      </c>
      <c r="D193" s="8" t="s">
        <v>47</v>
      </c>
      <c r="E193" s="9" t="s">
        <v>184</v>
      </c>
      <c r="F193" s="9" t="s">
        <v>51</v>
      </c>
      <c r="G193" s="8" t="s">
        <v>52</v>
      </c>
      <c r="H193" s="8" t="s">
        <v>315</v>
      </c>
      <c r="I193" s="8" t="s">
        <v>54</v>
      </c>
      <c r="J193" s="9"/>
      <c r="K193" s="8"/>
      <c r="L193" s="8" t="s">
        <v>322</v>
      </c>
      <c r="M193" s="8" t="s">
        <v>56</v>
      </c>
      <c r="N193" s="8"/>
      <c r="O193" s="8"/>
      <c r="P193" s="8"/>
      <c r="Q193" s="8"/>
      <c r="R193" s="9"/>
      <c r="S193" s="8"/>
      <c r="T193" s="9"/>
      <c r="U193" s="10" t="str">
        <f aca="true">IF(B193="","",IF(OR(P193&lt;&gt;"",I193="می‌باشد"),"بسته",IF(AND(L193&lt;&gt;"",W193=""),"خطای فرمت تاریخ ایجاد",IF(AND(H193&lt;&gt;"",AA193=""),"خطای فرمت مهلت",IF(AND(H193&lt;&gt;"",AD193&lt;&gt;"",TODAY()&gt;AD193),"تاخیر",IF(L193&lt;&gt;"","در حال انجام",""))))))</f>
        <v>بسته</v>
      </c>
      <c r="V193" s="7" t="n">
        <f aca="true">IF(U193="تاخیر",TODAY()-AD193,IF(AND(U193="بسته",AH193&lt;&gt;"",AD193&lt;&gt;"",AH193&gt;AD193),AH193-AD193,0))</f>
        <v>0</v>
      </c>
      <c r="W193" s="7" t="n">
        <f aca="false">IF(L193="","",VALUE(LEFT(L193,FIND("/",L193)-1)))</f>
        <v>1405</v>
      </c>
      <c r="X193" s="7" t="n">
        <f aca="false">IF(L193="","",VALUE(MID(L193,FIND("/",L193)+1,FIND("/",L193,FIND("/",L193)+1)-FIND("/",L193)-1)))</f>
        <v>5</v>
      </c>
      <c r="Y193" s="7" t="n">
        <f aca="false">IF(L193="","",VALUE(MID(L193,FIND("/",L193,FIND("/",L193)+1)+1,LEN(L193)-FIND("/",L193,FIND("/",L193)+1))))</f>
        <v>25</v>
      </c>
      <c r="Z193" s="11" t="n">
        <f aca="false">IF(OR(L193="",W193=""),"",IFERROR(INDEX('لیست‌ها'!$Q$3:$Q$53,MATCH(W193,'لیست‌ها'!$P$3:$P$53,0))+IF(X193&lt;=6,(X193-1)*31+Y193,IF(X193&lt;=11,186+(X193-7)*30+Y193,336+Y193))-1,""))</f>
        <v>46250</v>
      </c>
      <c r="AA193" s="7" t="n">
        <f aca="false">IF(H193="","",VALUE(LEFT(H193,FIND("/",H193)-1)))</f>
        <v>1405</v>
      </c>
      <c r="AB193" s="7" t="n">
        <f aca="false">IF(H193="","",VALUE(MID(H193,FIND("/",H193)+1,FIND("/",H193,FIND("/",H193)+1)-FIND("/",H193)-1)))</f>
        <v>6</v>
      </c>
      <c r="AC193" s="7" t="n">
        <f aca="false">IF(H193="","",VALUE(MID(H193,FIND("/",H193,FIND("/",H193)+1)+1,LEN(H193)-FIND("/",H193,FIND("/",H193)+1))))</f>
        <v>21</v>
      </c>
      <c r="AD193" s="11" t="n">
        <f aca="false">IF(OR(H193="",AA193=""),"",IFERROR(INDEX('لیست‌ها'!$Q$3:$Q$53,MATCH(AA193,'لیست‌ها'!$P$3:$P$53,0))+IF(AB193&lt;=6,(AB193-1)*31+AC193,IF(AB193&lt;=11,186+(AB193-7)*30+AC193,336+AC193))-1,""))</f>
        <v>46277</v>
      </c>
      <c r="AE193" s="7" t="str">
        <f aca="false">IF(P193="","",VALUE(LEFT(P193,FIND("/",P193)-1)))</f>
        <v/>
      </c>
      <c r="AF193" s="7" t="str">
        <f aca="false">IF(P193="","",VALUE(MID(P193,FIND("/",P193)+1,FIND("/",P193,FIND("/",P193)+1)-FIND("/",P193)-1)))</f>
        <v/>
      </c>
      <c r="AG193" s="7" t="str">
        <f aca="false">IF(P193="","",VALUE(MID(P193,FIND("/",P193,FIND("/",P193)+1)+1,LEN(P193)-FIND("/",P193,FIND("/",P193)+1))))</f>
        <v/>
      </c>
      <c r="AH193" s="7" t="str">
        <f aca="false">IF(OR(P193="",AE193=""),"",IFERROR(INDEX('لیست‌ها'!$Q$3:$Q$53,MATCH(AE193,'لیست‌ها'!$P$3:$P$53,0))+IF(AF193&lt;=6,(AF193-1)*31+AG193,IF(AF193&lt;=11,186+(AF193-7)*30+AG193,336+AG193))-1,""))</f>
        <v/>
      </c>
      <c r="AI193" s="7" t="str">
        <f aca="false">IF(W193="","",W193&amp;"-"&amp;TEXT(X193,"00"))</f>
        <v>1405-05</v>
      </c>
      <c r="AJ193" s="7" t="n">
        <f aca="false">IF(W193="","",W193*12+X193)</f>
        <v>16865</v>
      </c>
      <c r="AK193" s="7" t="str">
        <f aca="false">IF(U193="تاخیر",V193+ROW()/100000,"")</f>
        <v/>
      </c>
    </row>
    <row r="194" customFormat="false" ht="15" hidden="false" customHeight="false" outlineLevel="0" collapsed="false">
      <c r="A194" s="7" t="n">
        <f aca="false">IF(B194="","",ROW()-3)</f>
        <v>191</v>
      </c>
      <c r="B194" s="8" t="s">
        <v>484</v>
      </c>
      <c r="C194" s="8" t="s">
        <v>38</v>
      </c>
      <c r="D194" s="8" t="s">
        <v>47</v>
      </c>
      <c r="E194" s="9" t="s">
        <v>60</v>
      </c>
      <c r="F194" s="9" t="s">
        <v>51</v>
      </c>
      <c r="G194" s="8" t="s">
        <v>52</v>
      </c>
      <c r="H194" s="8" t="s">
        <v>315</v>
      </c>
      <c r="I194" s="8" t="s">
        <v>54</v>
      </c>
      <c r="J194" s="9"/>
      <c r="K194" s="8"/>
      <c r="L194" s="8" t="s">
        <v>483</v>
      </c>
      <c r="M194" s="8" t="s">
        <v>56</v>
      </c>
      <c r="N194" s="8"/>
      <c r="O194" s="8"/>
      <c r="P194" s="8"/>
      <c r="Q194" s="8"/>
      <c r="R194" s="9"/>
      <c r="S194" s="8"/>
      <c r="T194" s="9"/>
      <c r="U194" s="10" t="str">
        <f aca="true">IF(B194="","",IF(OR(P194&lt;&gt;"",I194="می‌باشد"),"بسته",IF(AND(L194&lt;&gt;"",W194=""),"خطای فرمت تاریخ ایجاد",IF(AND(H194&lt;&gt;"",AA194=""),"خطای فرمت مهلت",IF(AND(H194&lt;&gt;"",AD194&lt;&gt;"",TODAY()&gt;AD194),"تاخیر",IF(L194&lt;&gt;"","در حال انجام",""))))))</f>
        <v>بسته</v>
      </c>
      <c r="V194" s="7" t="n">
        <f aca="true">IF(U194="تاخیر",TODAY()-AD194,IF(AND(U194="بسته",AH194&lt;&gt;"",AD194&lt;&gt;"",AH194&gt;AD194),AH194-AD194,0))</f>
        <v>0</v>
      </c>
      <c r="W194" s="7" t="n">
        <f aca="false">IF(L194="","",VALUE(LEFT(L194,FIND("/",L194)-1)))</f>
        <v>1405</v>
      </c>
      <c r="X194" s="7" t="n">
        <f aca="false">IF(L194="","",VALUE(MID(L194,FIND("/",L194)+1,FIND("/",L194,FIND("/",L194)+1)-FIND("/",L194)-1)))</f>
        <v>5</v>
      </c>
      <c r="Y194" s="7" t="n">
        <f aca="false">IF(L194="","",VALUE(MID(L194,FIND("/",L194,FIND("/",L194)+1)+1,LEN(L194)-FIND("/",L194,FIND("/",L194)+1))))</f>
        <v>26</v>
      </c>
      <c r="Z194" s="11" t="n">
        <f aca="false">IF(OR(L194="",W194=""),"",IFERROR(INDEX('لیست‌ها'!$Q$3:$Q$53,MATCH(W194,'لیست‌ها'!$P$3:$P$53,0))+IF(X194&lt;=6,(X194-1)*31+Y194,IF(X194&lt;=11,186+(X194-7)*30+Y194,336+Y194))-1,""))</f>
        <v>46251</v>
      </c>
      <c r="AA194" s="7" t="n">
        <f aca="false">IF(H194="","",VALUE(LEFT(H194,FIND("/",H194)-1)))</f>
        <v>1405</v>
      </c>
      <c r="AB194" s="7" t="n">
        <f aca="false">IF(H194="","",VALUE(MID(H194,FIND("/",H194)+1,FIND("/",H194,FIND("/",H194)+1)-FIND("/",H194)-1)))</f>
        <v>6</v>
      </c>
      <c r="AC194" s="7" t="n">
        <f aca="false">IF(H194="","",VALUE(MID(H194,FIND("/",H194,FIND("/",H194)+1)+1,LEN(H194)-FIND("/",H194,FIND("/",H194)+1))))</f>
        <v>21</v>
      </c>
      <c r="AD194" s="11" t="n">
        <f aca="false">IF(OR(H194="",AA194=""),"",IFERROR(INDEX('لیست‌ها'!$Q$3:$Q$53,MATCH(AA194,'لیست‌ها'!$P$3:$P$53,0))+IF(AB194&lt;=6,(AB194-1)*31+AC194,IF(AB194&lt;=11,186+(AB194-7)*30+AC194,336+AC194))-1,""))</f>
        <v>46277</v>
      </c>
      <c r="AE194" s="7" t="str">
        <f aca="false">IF(P194="","",VALUE(LEFT(P194,FIND("/",P194)-1)))</f>
        <v/>
      </c>
      <c r="AF194" s="7" t="str">
        <f aca="false">IF(P194="","",VALUE(MID(P194,FIND("/",P194)+1,FIND("/",P194,FIND("/",P194)+1)-FIND("/",P194)-1)))</f>
        <v/>
      </c>
      <c r="AG194" s="7" t="str">
        <f aca="false">IF(P194="","",VALUE(MID(P194,FIND("/",P194,FIND("/",P194)+1)+1,LEN(P194)-FIND("/",P194,FIND("/",P194)+1))))</f>
        <v/>
      </c>
      <c r="AH194" s="7" t="str">
        <f aca="false">IF(OR(P194="",AE194=""),"",IFERROR(INDEX('لیست‌ها'!$Q$3:$Q$53,MATCH(AE194,'لیست‌ها'!$P$3:$P$53,0))+IF(AF194&lt;=6,(AF194-1)*31+AG194,IF(AF194&lt;=11,186+(AF194-7)*30+AG194,336+AG194))-1,""))</f>
        <v/>
      </c>
      <c r="AI194" s="7" t="str">
        <f aca="false">IF(W194="","",W194&amp;"-"&amp;TEXT(X194,"00"))</f>
        <v>1405-05</v>
      </c>
      <c r="AJ194" s="7" t="n">
        <f aca="false">IF(W194="","",W194*12+X194)</f>
        <v>16865</v>
      </c>
      <c r="AK194" s="7" t="str">
        <f aca="false">IF(U194="تاخیر",V194+ROW()/100000,"")</f>
        <v/>
      </c>
    </row>
    <row r="195" customFormat="false" ht="15" hidden="false" customHeight="false" outlineLevel="0" collapsed="false">
      <c r="A195" s="7" t="n">
        <f aca="false">IF(B195="","",ROW()-3)</f>
        <v>192</v>
      </c>
      <c r="B195" s="8" t="s">
        <v>481</v>
      </c>
      <c r="C195" s="8" t="s">
        <v>46</v>
      </c>
      <c r="D195" s="8" t="s">
        <v>306</v>
      </c>
      <c r="E195" s="9" t="s">
        <v>482</v>
      </c>
      <c r="F195" s="9" t="s">
        <v>308</v>
      </c>
      <c r="G195" s="8" t="s">
        <v>309</v>
      </c>
      <c r="H195" s="8" t="s">
        <v>315</v>
      </c>
      <c r="I195" s="8" t="s">
        <v>54</v>
      </c>
      <c r="J195" s="9"/>
      <c r="K195" s="8"/>
      <c r="L195" s="8" t="s">
        <v>483</v>
      </c>
      <c r="M195" s="8" t="s">
        <v>56</v>
      </c>
      <c r="N195" s="8"/>
      <c r="O195" s="8"/>
      <c r="P195" s="8"/>
      <c r="Q195" s="8"/>
      <c r="R195" s="9"/>
      <c r="S195" s="8"/>
      <c r="T195" s="9"/>
      <c r="U195" s="10" t="str">
        <f aca="true">IF(B195="","",IF(OR(P195&lt;&gt;"",I195="می‌باشد"),"بسته",IF(AND(L195&lt;&gt;"",W195=""),"خطای فرمت تاریخ ایجاد",IF(AND(H195&lt;&gt;"",AA195=""),"خطای فرمت مهلت",IF(AND(H195&lt;&gt;"",AD195&lt;&gt;"",TODAY()&gt;AD195),"تاخیر",IF(L195&lt;&gt;"","در حال انجام",""))))))</f>
        <v>بسته</v>
      </c>
      <c r="V195" s="7" t="n">
        <f aca="true">IF(U195="تاخیر",TODAY()-AD195,IF(AND(U195="بسته",AH195&lt;&gt;"",AD195&lt;&gt;"",AH195&gt;AD195),AH195-AD195,0))</f>
        <v>0</v>
      </c>
      <c r="W195" s="7" t="n">
        <f aca="false">IF(L195="","",VALUE(LEFT(L195,FIND("/",L195)-1)))</f>
        <v>1405</v>
      </c>
      <c r="X195" s="7" t="n">
        <f aca="false">IF(L195="","",VALUE(MID(L195,FIND("/",L195)+1,FIND("/",L195,FIND("/",L195)+1)-FIND("/",L195)-1)))</f>
        <v>5</v>
      </c>
      <c r="Y195" s="7" t="n">
        <f aca="false">IF(L195="","",VALUE(MID(L195,FIND("/",L195,FIND("/",L195)+1)+1,LEN(L195)-FIND("/",L195,FIND("/",L195)+1))))</f>
        <v>26</v>
      </c>
      <c r="Z195" s="11" t="n">
        <f aca="false">IF(OR(L195="",W195=""),"",IFERROR(INDEX('لیست‌ها'!$Q$3:$Q$53,MATCH(W195,'لیست‌ها'!$P$3:$P$53,0))+IF(X195&lt;=6,(X195-1)*31+Y195,IF(X195&lt;=11,186+(X195-7)*30+Y195,336+Y195))-1,""))</f>
        <v>46251</v>
      </c>
      <c r="AA195" s="7" t="n">
        <f aca="false">IF(H195="","",VALUE(LEFT(H195,FIND("/",H195)-1)))</f>
        <v>1405</v>
      </c>
      <c r="AB195" s="7" t="n">
        <f aca="false">IF(H195="","",VALUE(MID(H195,FIND("/",H195)+1,FIND("/",H195,FIND("/",H195)+1)-FIND("/",H195)-1)))</f>
        <v>6</v>
      </c>
      <c r="AC195" s="7" t="n">
        <f aca="false">IF(H195="","",VALUE(MID(H195,FIND("/",H195,FIND("/",H195)+1)+1,LEN(H195)-FIND("/",H195,FIND("/",H195)+1))))</f>
        <v>21</v>
      </c>
      <c r="AD195" s="11" t="n">
        <f aca="false">IF(OR(H195="",AA195=""),"",IFERROR(INDEX('لیست‌ها'!$Q$3:$Q$53,MATCH(AA195,'لیست‌ها'!$P$3:$P$53,0))+IF(AB195&lt;=6,(AB195-1)*31+AC195,IF(AB195&lt;=11,186+(AB195-7)*30+AC195,336+AC195))-1,""))</f>
        <v>46277</v>
      </c>
      <c r="AE195" s="7" t="str">
        <f aca="false">IF(P195="","",VALUE(LEFT(P195,FIND("/",P195)-1)))</f>
        <v/>
      </c>
      <c r="AF195" s="7" t="str">
        <f aca="false">IF(P195="","",VALUE(MID(P195,FIND("/",P195)+1,FIND("/",P195,FIND("/",P195)+1)-FIND("/",P195)-1)))</f>
        <v/>
      </c>
      <c r="AG195" s="7" t="str">
        <f aca="false">IF(P195="","",VALUE(MID(P195,FIND("/",P195,FIND("/",P195)+1)+1,LEN(P195)-FIND("/",P195,FIND("/",P195)+1))))</f>
        <v/>
      </c>
      <c r="AH195" s="7" t="str">
        <f aca="false">IF(OR(P195="",AE195=""),"",IFERROR(INDEX('لیست‌ها'!$Q$3:$Q$53,MATCH(AE195,'لیست‌ها'!$P$3:$P$53,0))+IF(AF195&lt;=6,(AF195-1)*31+AG195,IF(AF195&lt;=11,186+(AF195-7)*30+AG195,336+AG195))-1,""))</f>
        <v/>
      </c>
      <c r="AI195" s="7" t="str">
        <f aca="false">IF(W195="","",W195&amp;"-"&amp;TEXT(X195,"00"))</f>
        <v>1405-05</v>
      </c>
      <c r="AJ195" s="7" t="n">
        <f aca="false">IF(W195="","",W195*12+X195)</f>
        <v>16865</v>
      </c>
      <c r="AK195" s="7" t="str">
        <f aca="false">IF(U195="تاخیر",V195+ROW()/100000,"")</f>
        <v/>
      </c>
    </row>
    <row r="196" customFormat="false" ht="15" hidden="false" customHeight="false" outlineLevel="0" collapsed="false">
      <c r="A196" s="7" t="n">
        <f aca="false">IF(B196="","",ROW()-3)</f>
        <v>193</v>
      </c>
      <c r="B196" s="8" t="s">
        <v>480</v>
      </c>
      <c r="C196" s="8" t="s">
        <v>38</v>
      </c>
      <c r="D196" s="8" t="s">
        <v>47</v>
      </c>
      <c r="E196" s="9" t="s">
        <v>60</v>
      </c>
      <c r="F196" s="9" t="s">
        <v>51</v>
      </c>
      <c r="G196" s="8" t="s">
        <v>52</v>
      </c>
      <c r="H196" s="8" t="s">
        <v>315</v>
      </c>
      <c r="I196" s="8" t="s">
        <v>54</v>
      </c>
      <c r="J196" s="9"/>
      <c r="K196" s="8"/>
      <c r="L196" s="8" t="s">
        <v>479</v>
      </c>
      <c r="M196" s="8" t="s">
        <v>56</v>
      </c>
      <c r="N196" s="8"/>
      <c r="O196" s="8"/>
      <c r="P196" s="8"/>
      <c r="Q196" s="8"/>
      <c r="R196" s="9"/>
      <c r="S196" s="8"/>
      <c r="T196" s="9"/>
      <c r="U196" s="10" t="str">
        <f aca="true">IF(B196="","",IF(OR(P196&lt;&gt;"",I196="می‌باشد"),"بسته",IF(AND(L196&lt;&gt;"",W196=""),"خطای فرمت تاریخ ایجاد",IF(AND(H196&lt;&gt;"",AA196=""),"خطای فرمت مهلت",IF(AND(H196&lt;&gt;"",AD196&lt;&gt;"",TODAY()&gt;AD196),"تاخیر",IF(L196&lt;&gt;"","در حال انجام",""))))))</f>
        <v>بسته</v>
      </c>
      <c r="V196" s="7" t="n">
        <f aca="true">IF(U196="تاخیر",TODAY()-AD196,IF(AND(U196="بسته",AH196&lt;&gt;"",AD196&lt;&gt;"",AH196&gt;AD196),AH196-AD196,0))</f>
        <v>0</v>
      </c>
      <c r="W196" s="7" t="n">
        <f aca="false">IF(L196="","",VALUE(LEFT(L196,FIND("/",L196)-1)))</f>
        <v>1405</v>
      </c>
      <c r="X196" s="7" t="n">
        <f aca="false">IF(L196="","",VALUE(MID(L196,FIND("/",L196)+1,FIND("/",L196,FIND("/",L196)+1)-FIND("/",L196)-1)))</f>
        <v>5</v>
      </c>
      <c r="Y196" s="7" t="n">
        <f aca="false">IF(L196="","",VALUE(MID(L196,FIND("/",L196,FIND("/",L196)+1)+1,LEN(L196)-FIND("/",L196,FIND("/",L196)+1))))</f>
        <v>27</v>
      </c>
      <c r="Z196" s="11" t="n">
        <f aca="false">IF(OR(L196="",W196=""),"",IFERROR(INDEX('لیست‌ها'!$Q$3:$Q$53,MATCH(W196,'لیست‌ها'!$P$3:$P$53,0))+IF(X196&lt;=6,(X196-1)*31+Y196,IF(X196&lt;=11,186+(X196-7)*30+Y196,336+Y196))-1,""))</f>
        <v>46252</v>
      </c>
      <c r="AA196" s="7" t="n">
        <f aca="false">IF(H196="","",VALUE(LEFT(H196,FIND("/",H196)-1)))</f>
        <v>1405</v>
      </c>
      <c r="AB196" s="7" t="n">
        <f aca="false">IF(H196="","",VALUE(MID(H196,FIND("/",H196)+1,FIND("/",H196,FIND("/",H196)+1)-FIND("/",H196)-1)))</f>
        <v>6</v>
      </c>
      <c r="AC196" s="7" t="n">
        <f aca="false">IF(H196="","",VALUE(MID(H196,FIND("/",H196,FIND("/",H196)+1)+1,LEN(H196)-FIND("/",H196,FIND("/",H196)+1))))</f>
        <v>21</v>
      </c>
      <c r="AD196" s="11" t="n">
        <f aca="false">IF(OR(H196="",AA196=""),"",IFERROR(INDEX('لیست‌ها'!$Q$3:$Q$53,MATCH(AA196,'لیست‌ها'!$P$3:$P$53,0))+IF(AB196&lt;=6,(AB196-1)*31+AC196,IF(AB196&lt;=11,186+(AB196-7)*30+AC196,336+AC196))-1,""))</f>
        <v>46277</v>
      </c>
      <c r="AE196" s="7" t="str">
        <f aca="false">IF(P196="","",VALUE(LEFT(P196,FIND("/",P196)-1)))</f>
        <v/>
      </c>
      <c r="AF196" s="7" t="str">
        <f aca="false">IF(P196="","",VALUE(MID(P196,FIND("/",P196)+1,FIND("/",P196,FIND("/",P196)+1)-FIND("/",P196)-1)))</f>
        <v/>
      </c>
      <c r="AG196" s="7" t="str">
        <f aca="false">IF(P196="","",VALUE(MID(P196,FIND("/",P196,FIND("/",P196)+1)+1,LEN(P196)-FIND("/",P196,FIND("/",P196)+1))))</f>
        <v/>
      </c>
      <c r="AH196" s="7" t="str">
        <f aca="false">IF(OR(P196="",AE196=""),"",IFERROR(INDEX('لیست‌ها'!$Q$3:$Q$53,MATCH(AE196,'لیست‌ها'!$P$3:$P$53,0))+IF(AF196&lt;=6,(AF196-1)*31+AG196,IF(AF196&lt;=11,186+(AF196-7)*30+AG196,336+AG196))-1,""))</f>
        <v/>
      </c>
      <c r="AI196" s="7" t="str">
        <f aca="false">IF(W196="","",W196&amp;"-"&amp;TEXT(X196,"00"))</f>
        <v>1405-05</v>
      </c>
      <c r="AJ196" s="7" t="n">
        <f aca="false">IF(W196="","",W196*12+X196)</f>
        <v>16865</v>
      </c>
      <c r="AK196" s="7" t="str">
        <f aca="false">IF(U196="تاخیر",V196+ROW()/100000,"")</f>
        <v/>
      </c>
    </row>
    <row r="197" customFormat="false" ht="15" hidden="false" customHeight="false" outlineLevel="0" collapsed="false">
      <c r="A197" s="7" t="n">
        <f aca="false">IF(B197="","",ROW()-3)</f>
        <v>194</v>
      </c>
      <c r="B197" s="8" t="s">
        <v>477</v>
      </c>
      <c r="C197" s="8" t="s">
        <v>38</v>
      </c>
      <c r="D197" s="8" t="s">
        <v>47</v>
      </c>
      <c r="E197" s="9" t="s">
        <v>478</v>
      </c>
      <c r="F197" s="9" t="s">
        <v>308</v>
      </c>
      <c r="G197" s="8" t="s">
        <v>309</v>
      </c>
      <c r="H197" s="8" t="s">
        <v>382</v>
      </c>
      <c r="I197" s="8"/>
      <c r="J197" s="9"/>
      <c r="K197" s="8"/>
      <c r="L197" s="8" t="s">
        <v>479</v>
      </c>
      <c r="M197" s="8" t="s">
        <v>371</v>
      </c>
      <c r="N197" s="8"/>
      <c r="O197" s="8"/>
      <c r="P197" s="8"/>
      <c r="Q197" s="8"/>
      <c r="R197" s="9"/>
      <c r="S197" s="8"/>
      <c r="T197" s="9"/>
      <c r="U197" s="10" t="str">
        <f aca="true">IF(B197="","",IF(OR(P197&lt;&gt;"",I197="می‌باشد"),"بسته",IF(AND(L197&lt;&gt;"",W197=""),"خطای فرمت تاریخ ایجاد",IF(AND(H197&lt;&gt;"",AA197=""),"خطای فرمت مهلت",IF(AND(H197&lt;&gt;"",AD197&lt;&gt;"",TODAY()&gt;AD197),"تاخیر",IF(L197&lt;&gt;"","در حال انجام",""))))))</f>
        <v>تاخیر</v>
      </c>
      <c r="V197" s="7" t="n">
        <f aca="true">IF(U197="تاخیر",TODAY()-AD197,IF(AND(U197="بسته",AH197&lt;&gt;"",AD197&lt;&gt;"",AH197&gt;AD197),AH197-AD197,0))</f>
        <v>16</v>
      </c>
      <c r="W197" s="7" t="n">
        <f aca="false">IF(L197="","",VALUE(LEFT(L197,FIND("/",L197)-1)))</f>
        <v>1405</v>
      </c>
      <c r="X197" s="7" t="n">
        <f aca="false">IF(L197="","",VALUE(MID(L197,FIND("/",L197)+1,FIND("/",L197,FIND("/",L197)+1)-FIND("/",L197)-1)))</f>
        <v>5</v>
      </c>
      <c r="Y197" s="7" t="n">
        <f aca="false">IF(L197="","",VALUE(MID(L197,FIND("/",L197,FIND("/",L197)+1)+1,LEN(L197)-FIND("/",L197,FIND("/",L197)+1))))</f>
        <v>27</v>
      </c>
      <c r="Z197" s="11" t="n">
        <f aca="false">IF(OR(L197="",W197=""),"",IFERROR(INDEX('لیست‌ها'!$Q$3:$Q$53,MATCH(W197,'لیست‌ها'!$P$3:$P$53,0))+IF(X197&lt;=6,(X197-1)*31+Y197,IF(X197&lt;=11,186+(X197-7)*30+Y197,336+Y197))-1,""))</f>
        <v>46252</v>
      </c>
      <c r="AA197" s="7" t="n">
        <f aca="false">IF(H197="","",VALUE(LEFT(H197,FIND("/",H197)-1)))</f>
        <v>1405</v>
      </c>
      <c r="AB197" s="7" t="n">
        <f aca="false">IF(H197="","",VALUE(MID(H197,FIND("/",H197)+1,FIND("/",H197,FIND("/",H197)+1)-FIND("/",H197)-1)))</f>
        <v>6</v>
      </c>
      <c r="AC197" s="7" t="n">
        <f aca="false">IF(H197="","",VALUE(MID(H197,FIND("/",H197,FIND("/",H197)+1)+1,LEN(H197)-FIND("/",H197,FIND("/",H197)+1))))</f>
        <v>23</v>
      </c>
      <c r="AD197" s="11" t="n">
        <f aca="false">IF(OR(H197="",AA197=""),"",IFERROR(INDEX('لیست‌ها'!$Q$3:$Q$53,MATCH(AA197,'لیست‌ها'!$P$3:$P$53,0))+IF(AB197&lt;=6,(AB197-1)*31+AC197,IF(AB197&lt;=11,186+(AB197-7)*30+AC197,336+AC197))-1,""))</f>
        <v>46279</v>
      </c>
      <c r="AE197" s="7" t="str">
        <f aca="false">IF(P197="","",VALUE(LEFT(P197,FIND("/",P197)-1)))</f>
        <v/>
      </c>
      <c r="AF197" s="7" t="str">
        <f aca="false">IF(P197="","",VALUE(MID(P197,FIND("/",P197)+1,FIND("/",P197,FIND("/",P197)+1)-FIND("/",P197)-1)))</f>
        <v/>
      </c>
      <c r="AG197" s="7" t="str">
        <f aca="false">IF(P197="","",VALUE(MID(P197,FIND("/",P197,FIND("/",P197)+1)+1,LEN(P197)-FIND("/",P197,FIND("/",P197)+1))))</f>
        <v/>
      </c>
      <c r="AH197" s="7" t="str">
        <f aca="false">IF(OR(P197="",AE197=""),"",IFERROR(INDEX('لیست‌ها'!$Q$3:$Q$53,MATCH(AE197,'لیست‌ها'!$P$3:$P$53,0))+IF(AF197&lt;=6,(AF197-1)*31+AG197,IF(AF197&lt;=11,186+(AF197-7)*30+AG197,336+AG197))-1,""))</f>
        <v/>
      </c>
      <c r="AI197" s="7" t="str">
        <f aca="false">IF(W197="","",W197&amp;"-"&amp;TEXT(X197,"00"))</f>
        <v>1405-05</v>
      </c>
      <c r="AJ197" s="7" t="n">
        <f aca="false">IF(W197="","",W197*12+X197)</f>
        <v>16865</v>
      </c>
      <c r="AK197" s="7" t="n">
        <f aca="false">IF(U197="تاخیر",V197+ROW()/100000,"")</f>
        <v>16.00201</v>
      </c>
    </row>
    <row r="198" customFormat="false" ht="15" hidden="false" customHeight="false" outlineLevel="0" collapsed="false">
      <c r="A198" s="7" t="n">
        <f aca="false">IF(B198="","",ROW()-3)</f>
        <v>195</v>
      </c>
      <c r="B198" s="8" t="s">
        <v>475</v>
      </c>
      <c r="C198" s="8" t="s">
        <v>38</v>
      </c>
      <c r="D198" s="8" t="s">
        <v>39</v>
      </c>
      <c r="E198" s="9" t="s">
        <v>476</v>
      </c>
      <c r="F198" s="9" t="s">
        <v>51</v>
      </c>
      <c r="G198" s="8" t="s">
        <v>42</v>
      </c>
      <c r="H198" s="8" t="s">
        <v>387</v>
      </c>
      <c r="I198" s="8" t="s">
        <v>54</v>
      </c>
      <c r="J198" s="9"/>
      <c r="K198" s="8"/>
      <c r="L198" s="8" t="s">
        <v>474</v>
      </c>
      <c r="M198" s="8" t="s">
        <v>56</v>
      </c>
      <c r="N198" s="8"/>
      <c r="O198" s="8"/>
      <c r="P198" s="8"/>
      <c r="Q198" s="8"/>
      <c r="R198" s="9"/>
      <c r="S198" s="8"/>
      <c r="T198" s="9"/>
      <c r="U198" s="10" t="str">
        <f aca="true">IF(B198="","",IF(OR(P198&lt;&gt;"",I198="می‌باشد"),"بسته",IF(AND(L198&lt;&gt;"",W198=""),"خطای فرمت تاریخ ایجاد",IF(AND(H198&lt;&gt;"",AA198=""),"خطای فرمت مهلت",IF(AND(H198&lt;&gt;"",AD198&lt;&gt;"",TODAY()&gt;AD198),"تاخیر",IF(L198&lt;&gt;"","در حال انجام",""))))))</f>
        <v>بسته</v>
      </c>
      <c r="V198" s="7" t="n">
        <f aca="true">IF(U198="تاخیر",TODAY()-AD198,IF(AND(U198="بسته",AH198&lt;&gt;"",AD198&lt;&gt;"",AH198&gt;AD198),AH198-AD198,0))</f>
        <v>0</v>
      </c>
      <c r="W198" s="7" t="n">
        <f aca="false">IF(L198="","",VALUE(LEFT(L198,FIND("/",L198)-1)))</f>
        <v>1405</v>
      </c>
      <c r="X198" s="7" t="n">
        <f aca="false">IF(L198="","",VALUE(MID(L198,FIND("/",L198)+1,FIND("/",L198,FIND("/",L198)+1)-FIND("/",L198)-1)))</f>
        <v>5</v>
      </c>
      <c r="Y198" s="7" t="n">
        <f aca="false">IF(L198="","",VALUE(MID(L198,FIND("/",L198,FIND("/",L198)+1)+1,LEN(L198)-FIND("/",L198,FIND("/",L198)+1))))</f>
        <v>28</v>
      </c>
      <c r="Z198" s="11" t="n">
        <f aca="false">IF(OR(L198="",W198=""),"",IFERROR(INDEX('لیست‌ها'!$Q$3:$Q$53,MATCH(W198,'لیست‌ها'!$P$3:$P$53,0))+IF(X198&lt;=6,(X198-1)*31+Y198,IF(X198&lt;=11,186+(X198-7)*30+Y198,336+Y198))-1,""))</f>
        <v>46253</v>
      </c>
      <c r="AA198" s="7" t="n">
        <f aca="false">IF(H198="","",VALUE(LEFT(H198,FIND("/",H198)-1)))</f>
        <v>1405</v>
      </c>
      <c r="AB198" s="7" t="n">
        <f aca="false">IF(H198="","",VALUE(MID(H198,FIND("/",H198)+1,FIND("/",H198,FIND("/",H198)+1)-FIND("/",H198)-1)))</f>
        <v>6</v>
      </c>
      <c r="AC198" s="7" t="n">
        <f aca="false">IF(H198="","",VALUE(MID(H198,FIND("/",H198,FIND("/",H198)+1)+1,LEN(H198)-FIND("/",H198,FIND("/",H198)+1))))</f>
        <v>31</v>
      </c>
      <c r="AD198" s="11" t="n">
        <f aca="false">IF(OR(H198="",AA198=""),"",IFERROR(INDEX('لیست‌ها'!$Q$3:$Q$53,MATCH(AA198,'لیست‌ها'!$P$3:$P$53,0))+IF(AB198&lt;=6,(AB198-1)*31+AC198,IF(AB198&lt;=11,186+(AB198-7)*30+AC198,336+AC198))-1,""))</f>
        <v>46287</v>
      </c>
      <c r="AE198" s="7" t="str">
        <f aca="false">IF(P198="","",VALUE(LEFT(P198,FIND("/",P198)-1)))</f>
        <v/>
      </c>
      <c r="AF198" s="7" t="str">
        <f aca="false">IF(P198="","",VALUE(MID(P198,FIND("/",P198)+1,FIND("/",P198,FIND("/",P198)+1)-FIND("/",P198)-1)))</f>
        <v/>
      </c>
      <c r="AG198" s="7" t="str">
        <f aca="false">IF(P198="","",VALUE(MID(P198,FIND("/",P198,FIND("/",P198)+1)+1,LEN(P198)-FIND("/",P198,FIND("/",P198)+1))))</f>
        <v/>
      </c>
      <c r="AH198" s="7" t="str">
        <f aca="false">IF(OR(P198="",AE198=""),"",IFERROR(INDEX('لیست‌ها'!$Q$3:$Q$53,MATCH(AE198,'لیست‌ها'!$P$3:$P$53,0))+IF(AF198&lt;=6,(AF198-1)*31+AG198,IF(AF198&lt;=11,186+(AF198-7)*30+AG198,336+AG198))-1,""))</f>
        <v/>
      </c>
      <c r="AI198" s="7" t="str">
        <f aca="false">IF(W198="","",W198&amp;"-"&amp;TEXT(X198,"00"))</f>
        <v>1405-05</v>
      </c>
      <c r="AJ198" s="7" t="n">
        <f aca="false">IF(W198="","",W198*12+X198)</f>
        <v>16865</v>
      </c>
      <c r="AK198" s="7" t="str">
        <f aca="false">IF(U198="تاخیر",V198+ROW()/100000,"")</f>
        <v/>
      </c>
    </row>
    <row r="199" customFormat="false" ht="15" hidden="false" customHeight="false" outlineLevel="0" collapsed="false">
      <c r="A199" s="7" t="n">
        <f aca="false">IF(B199="","",ROW()-3)</f>
        <v>196</v>
      </c>
      <c r="B199" s="8" t="s">
        <v>472</v>
      </c>
      <c r="C199" s="8" t="s">
        <v>46</v>
      </c>
      <c r="D199" s="8" t="s">
        <v>306</v>
      </c>
      <c r="E199" s="9" t="s">
        <v>473</v>
      </c>
      <c r="F199" s="9" t="s">
        <v>308</v>
      </c>
      <c r="G199" s="8" t="s">
        <v>309</v>
      </c>
      <c r="H199" s="8" t="s">
        <v>382</v>
      </c>
      <c r="I199" s="8"/>
      <c r="J199" s="9"/>
      <c r="K199" s="8"/>
      <c r="L199" s="8" t="s">
        <v>474</v>
      </c>
      <c r="M199" s="8" t="s">
        <v>371</v>
      </c>
      <c r="N199" s="8"/>
      <c r="O199" s="8"/>
      <c r="P199" s="8"/>
      <c r="Q199" s="8"/>
      <c r="R199" s="9"/>
      <c r="S199" s="8"/>
      <c r="T199" s="9"/>
      <c r="U199" s="10" t="str">
        <f aca="true">IF(B199="","",IF(OR(P199&lt;&gt;"",I199="می‌باشد"),"بسته",IF(AND(L199&lt;&gt;"",W199=""),"خطای فرمت تاریخ ایجاد",IF(AND(H199&lt;&gt;"",AA199=""),"خطای فرمت مهلت",IF(AND(H199&lt;&gt;"",AD199&lt;&gt;"",TODAY()&gt;AD199),"تاخیر",IF(L199&lt;&gt;"","در حال انجام",""))))))</f>
        <v>تاخیر</v>
      </c>
      <c r="V199" s="7" t="n">
        <f aca="true">IF(U199="تاخیر",TODAY()-AD199,IF(AND(U199="بسته",AH199&lt;&gt;"",AD199&lt;&gt;"",AH199&gt;AD199),AH199-AD199,0))</f>
        <v>16</v>
      </c>
      <c r="W199" s="7" t="n">
        <f aca="false">IF(L199="","",VALUE(LEFT(L199,FIND("/",L199)-1)))</f>
        <v>1405</v>
      </c>
      <c r="X199" s="7" t="n">
        <f aca="false">IF(L199="","",VALUE(MID(L199,FIND("/",L199)+1,FIND("/",L199,FIND("/",L199)+1)-FIND("/",L199)-1)))</f>
        <v>5</v>
      </c>
      <c r="Y199" s="7" t="n">
        <f aca="false">IF(L199="","",VALUE(MID(L199,FIND("/",L199,FIND("/",L199)+1)+1,LEN(L199)-FIND("/",L199,FIND("/",L199)+1))))</f>
        <v>28</v>
      </c>
      <c r="Z199" s="11" t="n">
        <f aca="false">IF(OR(L199="",W199=""),"",IFERROR(INDEX('لیست‌ها'!$Q$3:$Q$53,MATCH(W199,'لیست‌ها'!$P$3:$P$53,0))+IF(X199&lt;=6,(X199-1)*31+Y199,IF(X199&lt;=11,186+(X199-7)*30+Y199,336+Y199))-1,""))</f>
        <v>46253</v>
      </c>
      <c r="AA199" s="7" t="n">
        <f aca="false">IF(H199="","",VALUE(LEFT(H199,FIND("/",H199)-1)))</f>
        <v>1405</v>
      </c>
      <c r="AB199" s="7" t="n">
        <f aca="false">IF(H199="","",VALUE(MID(H199,FIND("/",H199)+1,FIND("/",H199,FIND("/",H199)+1)-FIND("/",H199)-1)))</f>
        <v>6</v>
      </c>
      <c r="AC199" s="7" t="n">
        <f aca="false">IF(H199="","",VALUE(MID(H199,FIND("/",H199,FIND("/",H199)+1)+1,LEN(H199)-FIND("/",H199,FIND("/",H199)+1))))</f>
        <v>23</v>
      </c>
      <c r="AD199" s="11" t="n">
        <f aca="false">IF(OR(H199="",AA199=""),"",IFERROR(INDEX('لیست‌ها'!$Q$3:$Q$53,MATCH(AA199,'لیست‌ها'!$P$3:$P$53,0))+IF(AB199&lt;=6,(AB199-1)*31+AC199,IF(AB199&lt;=11,186+(AB199-7)*30+AC199,336+AC199))-1,""))</f>
        <v>46279</v>
      </c>
      <c r="AE199" s="7" t="str">
        <f aca="false">IF(P199="","",VALUE(LEFT(P199,FIND("/",P199)-1)))</f>
        <v/>
      </c>
      <c r="AF199" s="7" t="str">
        <f aca="false">IF(P199="","",VALUE(MID(P199,FIND("/",P199)+1,FIND("/",P199,FIND("/",P199)+1)-FIND("/",P199)-1)))</f>
        <v/>
      </c>
      <c r="AG199" s="7" t="str">
        <f aca="false">IF(P199="","",VALUE(MID(P199,FIND("/",P199,FIND("/",P199)+1)+1,LEN(P199)-FIND("/",P199,FIND("/",P199)+1))))</f>
        <v/>
      </c>
      <c r="AH199" s="7" t="str">
        <f aca="false">IF(OR(P199="",AE199=""),"",IFERROR(INDEX('لیست‌ها'!$Q$3:$Q$53,MATCH(AE199,'لیست‌ها'!$P$3:$P$53,0))+IF(AF199&lt;=6,(AF199-1)*31+AG199,IF(AF199&lt;=11,186+(AF199-7)*30+AG199,336+AG199))-1,""))</f>
        <v/>
      </c>
      <c r="AI199" s="7" t="str">
        <f aca="false">IF(W199="","",W199&amp;"-"&amp;TEXT(X199,"00"))</f>
        <v>1405-05</v>
      </c>
      <c r="AJ199" s="7" t="n">
        <f aca="false">IF(W199="","",W199*12+X199)</f>
        <v>16865</v>
      </c>
      <c r="AK199" s="7" t="n">
        <f aca="false">IF(U199="تاخیر",V199+ROW()/100000,"")</f>
        <v>16.00199</v>
      </c>
    </row>
    <row r="200" customFormat="false" ht="15" hidden="false" customHeight="false" outlineLevel="0" collapsed="false">
      <c r="A200" s="7" t="n">
        <f aca="false">IF(B200="","",ROW()-3)</f>
        <v>197</v>
      </c>
      <c r="B200" s="8" t="s">
        <v>471</v>
      </c>
      <c r="C200" s="8" t="s">
        <v>38</v>
      </c>
      <c r="D200" s="8" t="s">
        <v>47</v>
      </c>
      <c r="E200" s="9" t="s">
        <v>58</v>
      </c>
      <c r="F200" s="9" t="s">
        <v>51</v>
      </c>
      <c r="G200" s="8" t="s">
        <v>52</v>
      </c>
      <c r="H200" s="8" t="s">
        <v>230</v>
      </c>
      <c r="I200" s="8" t="s">
        <v>54</v>
      </c>
      <c r="J200" s="9"/>
      <c r="K200" s="8"/>
      <c r="L200" s="8" t="s">
        <v>230</v>
      </c>
      <c r="M200" s="8" t="s">
        <v>56</v>
      </c>
      <c r="N200" s="8"/>
      <c r="O200" s="8"/>
      <c r="P200" s="8"/>
      <c r="Q200" s="8"/>
      <c r="R200" s="9"/>
      <c r="S200" s="8"/>
      <c r="T200" s="9"/>
      <c r="U200" s="10" t="str">
        <f aca="true">IF(B200="","",IF(OR(P200&lt;&gt;"",I200="می‌باشد"),"بسته",IF(AND(L200&lt;&gt;"",W200=""),"خطای فرمت تاریخ ایجاد",IF(AND(H200&lt;&gt;"",AA200=""),"خطای فرمت مهلت",IF(AND(H200&lt;&gt;"",AD200&lt;&gt;"",TODAY()&gt;AD200),"تاخیر",IF(L200&lt;&gt;"","در حال انجام",""))))))</f>
        <v>بسته</v>
      </c>
      <c r="V200" s="7" t="n">
        <f aca="true">IF(U200="تاخیر",TODAY()-AD200,IF(AND(U200="بسته",AH200&lt;&gt;"",AD200&lt;&gt;"",AH200&gt;AD200),AH200-AD200,0))</f>
        <v>0</v>
      </c>
      <c r="W200" s="7" t="n">
        <f aca="false">IF(L200="","",VALUE(LEFT(L200,FIND("/",L200)-1)))</f>
        <v>1405</v>
      </c>
      <c r="X200" s="7" t="n">
        <f aca="false">IF(L200="","",VALUE(MID(L200,FIND("/",L200)+1,FIND("/",L200,FIND("/",L200)+1)-FIND("/",L200)-1)))</f>
        <v>5</v>
      </c>
      <c r="Y200" s="7" t="n">
        <f aca="false">IF(L200="","",VALUE(MID(L200,FIND("/",L200,FIND("/",L200)+1)+1,LEN(L200)-FIND("/",L200,FIND("/",L200)+1))))</f>
        <v>31</v>
      </c>
      <c r="Z200" s="11" t="n">
        <f aca="false">IF(OR(L200="",W200=""),"",IFERROR(INDEX('لیست‌ها'!$Q$3:$Q$53,MATCH(W200,'لیست‌ها'!$P$3:$P$53,0))+IF(X200&lt;=6,(X200-1)*31+Y200,IF(X200&lt;=11,186+(X200-7)*30+Y200,336+Y200))-1,""))</f>
        <v>46256</v>
      </c>
      <c r="AA200" s="7" t="n">
        <f aca="false">IF(H200="","",VALUE(LEFT(H200,FIND("/",H200)-1)))</f>
        <v>1405</v>
      </c>
      <c r="AB200" s="7" t="n">
        <f aca="false">IF(H200="","",VALUE(MID(H200,FIND("/",H200)+1,FIND("/",H200,FIND("/",H200)+1)-FIND("/",H200)-1)))</f>
        <v>5</v>
      </c>
      <c r="AC200" s="7" t="n">
        <f aca="false">IF(H200="","",VALUE(MID(H200,FIND("/",H200,FIND("/",H200)+1)+1,LEN(H200)-FIND("/",H200,FIND("/",H200)+1))))</f>
        <v>31</v>
      </c>
      <c r="AD200" s="11" t="n">
        <f aca="false">IF(OR(H200="",AA200=""),"",IFERROR(INDEX('لیست‌ها'!$Q$3:$Q$53,MATCH(AA200,'لیست‌ها'!$P$3:$P$53,0))+IF(AB200&lt;=6,(AB200-1)*31+AC200,IF(AB200&lt;=11,186+(AB200-7)*30+AC200,336+AC200))-1,""))</f>
        <v>46256</v>
      </c>
      <c r="AE200" s="7" t="str">
        <f aca="false">IF(P200="","",VALUE(LEFT(P200,FIND("/",P200)-1)))</f>
        <v/>
      </c>
      <c r="AF200" s="7" t="str">
        <f aca="false">IF(P200="","",VALUE(MID(P200,FIND("/",P200)+1,FIND("/",P200,FIND("/",P200)+1)-FIND("/",P200)-1)))</f>
        <v/>
      </c>
      <c r="AG200" s="7" t="str">
        <f aca="false">IF(P200="","",VALUE(MID(P200,FIND("/",P200,FIND("/",P200)+1)+1,LEN(P200)-FIND("/",P200,FIND("/",P200)+1))))</f>
        <v/>
      </c>
      <c r="AH200" s="7" t="str">
        <f aca="false">IF(OR(P200="",AE200=""),"",IFERROR(INDEX('لیست‌ها'!$Q$3:$Q$53,MATCH(AE200,'لیست‌ها'!$P$3:$P$53,0))+IF(AF200&lt;=6,(AF200-1)*31+AG200,IF(AF200&lt;=11,186+(AF200-7)*30+AG200,336+AG200))-1,""))</f>
        <v/>
      </c>
      <c r="AI200" s="7" t="str">
        <f aca="false">IF(W200="","",W200&amp;"-"&amp;TEXT(X200,"00"))</f>
        <v>1405-05</v>
      </c>
      <c r="AJ200" s="7" t="n">
        <f aca="false">IF(W200="","",W200*12+X200)</f>
        <v>16865</v>
      </c>
      <c r="AK200" s="7" t="str">
        <f aca="false">IF(U200="تاخیر",V200+ROW()/100000,"")</f>
        <v/>
      </c>
    </row>
    <row r="201" customFormat="false" ht="15" hidden="false" customHeight="false" outlineLevel="0" collapsed="false">
      <c r="A201" s="7" t="n">
        <f aca="false">IF(B201="","",ROW()-3)</f>
        <v>198</v>
      </c>
      <c r="B201" s="8" t="s">
        <v>469</v>
      </c>
      <c r="C201" s="8" t="s">
        <v>38</v>
      </c>
      <c r="D201" s="8" t="s">
        <v>47</v>
      </c>
      <c r="E201" s="9" t="s">
        <v>470</v>
      </c>
      <c r="F201" s="9" t="s">
        <v>51</v>
      </c>
      <c r="G201" s="8" t="s">
        <v>52</v>
      </c>
      <c r="H201" s="8" t="s">
        <v>230</v>
      </c>
      <c r="I201" s="8" t="s">
        <v>54</v>
      </c>
      <c r="J201" s="9"/>
      <c r="K201" s="8"/>
      <c r="L201" s="8" t="s">
        <v>230</v>
      </c>
      <c r="M201" s="8" t="s">
        <v>56</v>
      </c>
      <c r="N201" s="8"/>
      <c r="O201" s="8"/>
      <c r="P201" s="8"/>
      <c r="Q201" s="8"/>
      <c r="R201" s="9"/>
      <c r="S201" s="8"/>
      <c r="T201" s="9"/>
      <c r="U201" s="10" t="str">
        <f aca="true">IF(B201="","",IF(OR(P201&lt;&gt;"",I201="می‌باشد"),"بسته",IF(AND(L201&lt;&gt;"",W201=""),"خطای فرمت تاریخ ایجاد",IF(AND(H201&lt;&gt;"",AA201=""),"خطای فرمت مهلت",IF(AND(H201&lt;&gt;"",AD201&lt;&gt;"",TODAY()&gt;AD201),"تاخیر",IF(L201&lt;&gt;"","در حال انجام",""))))))</f>
        <v>بسته</v>
      </c>
      <c r="V201" s="7" t="n">
        <f aca="true">IF(U201="تاخیر",TODAY()-AD201,IF(AND(U201="بسته",AH201&lt;&gt;"",AD201&lt;&gt;"",AH201&gt;AD201),AH201-AD201,0))</f>
        <v>0</v>
      </c>
      <c r="W201" s="7" t="n">
        <f aca="false">IF(L201="","",VALUE(LEFT(L201,FIND("/",L201)-1)))</f>
        <v>1405</v>
      </c>
      <c r="X201" s="7" t="n">
        <f aca="false">IF(L201="","",VALUE(MID(L201,FIND("/",L201)+1,FIND("/",L201,FIND("/",L201)+1)-FIND("/",L201)-1)))</f>
        <v>5</v>
      </c>
      <c r="Y201" s="7" t="n">
        <f aca="false">IF(L201="","",VALUE(MID(L201,FIND("/",L201,FIND("/",L201)+1)+1,LEN(L201)-FIND("/",L201,FIND("/",L201)+1))))</f>
        <v>31</v>
      </c>
      <c r="Z201" s="11" t="n">
        <f aca="false">IF(OR(L201="",W201=""),"",IFERROR(INDEX('لیست‌ها'!$Q$3:$Q$53,MATCH(W201,'لیست‌ها'!$P$3:$P$53,0))+IF(X201&lt;=6,(X201-1)*31+Y201,IF(X201&lt;=11,186+(X201-7)*30+Y201,336+Y201))-1,""))</f>
        <v>46256</v>
      </c>
      <c r="AA201" s="7" t="n">
        <f aca="false">IF(H201="","",VALUE(LEFT(H201,FIND("/",H201)-1)))</f>
        <v>1405</v>
      </c>
      <c r="AB201" s="7" t="n">
        <f aca="false">IF(H201="","",VALUE(MID(H201,FIND("/",H201)+1,FIND("/",H201,FIND("/",H201)+1)-FIND("/",H201)-1)))</f>
        <v>5</v>
      </c>
      <c r="AC201" s="7" t="n">
        <f aca="false">IF(H201="","",VALUE(MID(H201,FIND("/",H201,FIND("/",H201)+1)+1,LEN(H201)-FIND("/",H201,FIND("/",H201)+1))))</f>
        <v>31</v>
      </c>
      <c r="AD201" s="11" t="n">
        <f aca="false">IF(OR(H201="",AA201=""),"",IFERROR(INDEX('لیست‌ها'!$Q$3:$Q$53,MATCH(AA201,'لیست‌ها'!$P$3:$P$53,0))+IF(AB201&lt;=6,(AB201-1)*31+AC201,IF(AB201&lt;=11,186+(AB201-7)*30+AC201,336+AC201))-1,""))</f>
        <v>46256</v>
      </c>
      <c r="AE201" s="7" t="str">
        <f aca="false">IF(P201="","",VALUE(LEFT(P201,FIND("/",P201)-1)))</f>
        <v/>
      </c>
      <c r="AF201" s="7" t="str">
        <f aca="false">IF(P201="","",VALUE(MID(P201,FIND("/",P201)+1,FIND("/",P201,FIND("/",P201)+1)-FIND("/",P201)-1)))</f>
        <v/>
      </c>
      <c r="AG201" s="7" t="str">
        <f aca="false">IF(P201="","",VALUE(MID(P201,FIND("/",P201,FIND("/",P201)+1)+1,LEN(P201)-FIND("/",P201,FIND("/",P201)+1))))</f>
        <v/>
      </c>
      <c r="AH201" s="7" t="str">
        <f aca="false">IF(OR(P201="",AE201=""),"",IFERROR(INDEX('لیست‌ها'!$Q$3:$Q$53,MATCH(AE201,'لیست‌ها'!$P$3:$P$53,0))+IF(AF201&lt;=6,(AF201-1)*31+AG201,IF(AF201&lt;=11,186+(AF201-7)*30+AG201,336+AG201))-1,""))</f>
        <v/>
      </c>
      <c r="AI201" s="7" t="str">
        <f aca="false">IF(W201="","",W201&amp;"-"&amp;TEXT(X201,"00"))</f>
        <v>1405-05</v>
      </c>
      <c r="AJ201" s="7" t="n">
        <f aca="false">IF(W201="","",W201*12+X201)</f>
        <v>16865</v>
      </c>
      <c r="AK201" s="7" t="str">
        <f aca="false">IF(U201="تاخیر",V201+ROW()/100000,"")</f>
        <v/>
      </c>
    </row>
    <row r="202" customFormat="false" ht="15" hidden="false" customHeight="false" outlineLevel="0" collapsed="false">
      <c r="A202" s="7" t="n">
        <f aca="false">IF(B202="","",ROW()-3)</f>
        <v>199</v>
      </c>
      <c r="B202" s="8" t="s">
        <v>468</v>
      </c>
      <c r="C202" s="8" t="s">
        <v>38</v>
      </c>
      <c r="D202" s="8" t="s">
        <v>47</v>
      </c>
      <c r="E202" s="9" t="s">
        <v>103</v>
      </c>
      <c r="F202" s="9" t="s">
        <v>51</v>
      </c>
      <c r="G202" s="8" t="s">
        <v>52</v>
      </c>
      <c r="H202" s="8" t="s">
        <v>387</v>
      </c>
      <c r="I202" s="8" t="s">
        <v>54</v>
      </c>
      <c r="J202" s="9"/>
      <c r="K202" s="8"/>
      <c r="L202" s="8" t="s">
        <v>467</v>
      </c>
      <c r="M202" s="8" t="s">
        <v>56</v>
      </c>
      <c r="N202" s="8"/>
      <c r="O202" s="8"/>
      <c r="P202" s="8"/>
      <c r="Q202" s="8"/>
      <c r="R202" s="9"/>
      <c r="S202" s="8"/>
      <c r="T202" s="9"/>
      <c r="U202" s="10" t="str">
        <f aca="true">IF(B202="","",IF(OR(P202&lt;&gt;"",I202="می‌باشد"),"بسته",IF(AND(L202&lt;&gt;"",W202=""),"خطای فرمت تاریخ ایجاد",IF(AND(H202&lt;&gt;"",AA202=""),"خطای فرمت مهلت",IF(AND(H202&lt;&gt;"",AD202&lt;&gt;"",TODAY()&gt;AD202),"تاخیر",IF(L202&lt;&gt;"","در حال انجام",""))))))</f>
        <v>بسته</v>
      </c>
      <c r="V202" s="7" t="n">
        <f aca="true">IF(U202="تاخیر",TODAY()-AD202,IF(AND(U202="بسته",AH202&lt;&gt;"",AD202&lt;&gt;"",AH202&gt;AD202),AH202-AD202,0))</f>
        <v>0</v>
      </c>
      <c r="W202" s="7" t="n">
        <f aca="false">IF(L202="","",VALUE(LEFT(L202,FIND("/",L202)-1)))</f>
        <v>1405</v>
      </c>
      <c r="X202" s="7" t="n">
        <f aca="false">IF(L202="","",VALUE(MID(L202,FIND("/",L202)+1,FIND("/",L202,FIND("/",L202)+1)-FIND("/",L202)-1)))</f>
        <v>6</v>
      </c>
      <c r="Y202" s="7" t="n">
        <f aca="false">IF(L202="","",VALUE(MID(L202,FIND("/",L202,FIND("/",L202)+1)+1,LEN(L202)-FIND("/",L202,FIND("/",L202)+1))))</f>
        <v>3</v>
      </c>
      <c r="Z202" s="11" t="n">
        <f aca="false">IF(OR(L202="",W202=""),"",IFERROR(INDEX('لیست‌ها'!$Q$3:$Q$53,MATCH(W202,'لیست‌ها'!$P$3:$P$53,0))+IF(X202&lt;=6,(X202-1)*31+Y202,IF(X202&lt;=11,186+(X202-7)*30+Y202,336+Y202))-1,""))</f>
        <v>46259</v>
      </c>
      <c r="AA202" s="7" t="n">
        <f aca="false">IF(H202="","",VALUE(LEFT(H202,FIND("/",H202)-1)))</f>
        <v>1405</v>
      </c>
      <c r="AB202" s="7" t="n">
        <f aca="false">IF(H202="","",VALUE(MID(H202,FIND("/",H202)+1,FIND("/",H202,FIND("/",H202)+1)-FIND("/",H202)-1)))</f>
        <v>6</v>
      </c>
      <c r="AC202" s="7" t="n">
        <f aca="false">IF(H202="","",VALUE(MID(H202,FIND("/",H202,FIND("/",H202)+1)+1,LEN(H202)-FIND("/",H202,FIND("/",H202)+1))))</f>
        <v>31</v>
      </c>
      <c r="AD202" s="11" t="n">
        <f aca="false">IF(OR(H202="",AA202=""),"",IFERROR(INDEX('لیست‌ها'!$Q$3:$Q$53,MATCH(AA202,'لیست‌ها'!$P$3:$P$53,0))+IF(AB202&lt;=6,(AB202-1)*31+AC202,IF(AB202&lt;=11,186+(AB202-7)*30+AC202,336+AC202))-1,""))</f>
        <v>46287</v>
      </c>
      <c r="AE202" s="7" t="str">
        <f aca="false">IF(P202="","",VALUE(LEFT(P202,FIND("/",P202)-1)))</f>
        <v/>
      </c>
      <c r="AF202" s="7" t="str">
        <f aca="false">IF(P202="","",VALUE(MID(P202,FIND("/",P202)+1,FIND("/",P202,FIND("/",P202)+1)-FIND("/",P202)-1)))</f>
        <v/>
      </c>
      <c r="AG202" s="7" t="str">
        <f aca="false">IF(P202="","",VALUE(MID(P202,FIND("/",P202,FIND("/",P202)+1)+1,LEN(P202)-FIND("/",P202,FIND("/",P202)+1))))</f>
        <v/>
      </c>
      <c r="AH202" s="7" t="str">
        <f aca="false">IF(OR(P202="",AE202=""),"",IFERROR(INDEX('لیست‌ها'!$Q$3:$Q$53,MATCH(AE202,'لیست‌ها'!$P$3:$P$53,0))+IF(AF202&lt;=6,(AF202-1)*31+AG202,IF(AF202&lt;=11,186+(AF202-7)*30+AG202,336+AG202))-1,""))</f>
        <v/>
      </c>
      <c r="AI202" s="7" t="str">
        <f aca="false">IF(W202="","",W202&amp;"-"&amp;TEXT(X202,"00"))</f>
        <v>1405-06</v>
      </c>
      <c r="AJ202" s="7" t="n">
        <f aca="false">IF(W202="","",W202*12+X202)</f>
        <v>16866</v>
      </c>
      <c r="AK202" s="7" t="str">
        <f aca="false">IF(U202="تاخیر",V202+ROW()/100000,"")</f>
        <v/>
      </c>
    </row>
    <row r="203" customFormat="false" ht="15" hidden="false" customHeight="false" outlineLevel="0" collapsed="false">
      <c r="A203" s="7" t="n">
        <f aca="false">IF(B203="","",ROW()-3)</f>
        <v>200</v>
      </c>
      <c r="B203" s="8" t="s">
        <v>466</v>
      </c>
      <c r="C203" s="8" t="s">
        <v>38</v>
      </c>
      <c r="D203" s="8" t="s">
        <v>47</v>
      </c>
      <c r="E203" s="9" t="s">
        <v>82</v>
      </c>
      <c r="F203" s="9" t="s">
        <v>51</v>
      </c>
      <c r="G203" s="8" t="s">
        <v>52</v>
      </c>
      <c r="H203" s="8" t="s">
        <v>387</v>
      </c>
      <c r="I203" s="8" t="s">
        <v>54</v>
      </c>
      <c r="J203" s="9"/>
      <c r="K203" s="8"/>
      <c r="L203" s="8" t="s">
        <v>467</v>
      </c>
      <c r="M203" s="8" t="s">
        <v>56</v>
      </c>
      <c r="N203" s="8"/>
      <c r="O203" s="8"/>
      <c r="P203" s="8"/>
      <c r="Q203" s="8"/>
      <c r="R203" s="9"/>
      <c r="S203" s="8"/>
      <c r="T203" s="9"/>
      <c r="U203" s="10" t="str">
        <f aca="true">IF(B203="","",IF(OR(P203&lt;&gt;"",I203="می‌باشد"),"بسته",IF(AND(L203&lt;&gt;"",W203=""),"خطای فرمت تاریخ ایجاد",IF(AND(H203&lt;&gt;"",AA203=""),"خطای فرمت مهلت",IF(AND(H203&lt;&gt;"",AD203&lt;&gt;"",TODAY()&gt;AD203),"تاخیر",IF(L203&lt;&gt;"","در حال انجام",""))))))</f>
        <v>بسته</v>
      </c>
      <c r="V203" s="7" t="n">
        <f aca="true">IF(U203="تاخیر",TODAY()-AD203,IF(AND(U203="بسته",AH203&lt;&gt;"",AD203&lt;&gt;"",AH203&gt;AD203),AH203-AD203,0))</f>
        <v>0</v>
      </c>
      <c r="W203" s="7" t="n">
        <f aca="false">IF(L203="","",VALUE(LEFT(L203,FIND("/",L203)-1)))</f>
        <v>1405</v>
      </c>
      <c r="X203" s="7" t="n">
        <f aca="false">IF(L203="","",VALUE(MID(L203,FIND("/",L203)+1,FIND("/",L203,FIND("/",L203)+1)-FIND("/",L203)-1)))</f>
        <v>6</v>
      </c>
      <c r="Y203" s="7" t="n">
        <f aca="false">IF(L203="","",VALUE(MID(L203,FIND("/",L203,FIND("/",L203)+1)+1,LEN(L203)-FIND("/",L203,FIND("/",L203)+1))))</f>
        <v>3</v>
      </c>
      <c r="Z203" s="11" t="n">
        <f aca="false">IF(OR(L203="",W203=""),"",IFERROR(INDEX('لیست‌ها'!$Q$3:$Q$53,MATCH(W203,'لیست‌ها'!$P$3:$P$53,0))+IF(X203&lt;=6,(X203-1)*31+Y203,IF(X203&lt;=11,186+(X203-7)*30+Y203,336+Y203))-1,""))</f>
        <v>46259</v>
      </c>
      <c r="AA203" s="7" t="n">
        <f aca="false">IF(H203="","",VALUE(LEFT(H203,FIND("/",H203)-1)))</f>
        <v>1405</v>
      </c>
      <c r="AB203" s="7" t="n">
        <f aca="false">IF(H203="","",VALUE(MID(H203,FIND("/",H203)+1,FIND("/",H203,FIND("/",H203)+1)-FIND("/",H203)-1)))</f>
        <v>6</v>
      </c>
      <c r="AC203" s="7" t="n">
        <f aca="false">IF(H203="","",VALUE(MID(H203,FIND("/",H203,FIND("/",H203)+1)+1,LEN(H203)-FIND("/",H203,FIND("/",H203)+1))))</f>
        <v>31</v>
      </c>
      <c r="AD203" s="11" t="n">
        <f aca="false">IF(OR(H203="",AA203=""),"",IFERROR(INDEX('لیست‌ها'!$Q$3:$Q$53,MATCH(AA203,'لیست‌ها'!$P$3:$P$53,0))+IF(AB203&lt;=6,(AB203-1)*31+AC203,IF(AB203&lt;=11,186+(AB203-7)*30+AC203,336+AC203))-1,""))</f>
        <v>46287</v>
      </c>
      <c r="AE203" s="7" t="str">
        <f aca="false">IF(P203="","",VALUE(LEFT(P203,FIND("/",P203)-1)))</f>
        <v/>
      </c>
      <c r="AF203" s="7" t="str">
        <f aca="false">IF(P203="","",VALUE(MID(P203,FIND("/",P203)+1,FIND("/",P203,FIND("/",P203)+1)-FIND("/",P203)-1)))</f>
        <v/>
      </c>
      <c r="AG203" s="7" t="str">
        <f aca="false">IF(P203="","",VALUE(MID(P203,FIND("/",P203,FIND("/",P203)+1)+1,LEN(P203)-FIND("/",P203,FIND("/",P203)+1))))</f>
        <v/>
      </c>
      <c r="AH203" s="7" t="str">
        <f aca="false">IF(OR(P203="",AE203=""),"",IFERROR(INDEX('لیست‌ها'!$Q$3:$Q$53,MATCH(AE203,'لیست‌ها'!$P$3:$P$53,0))+IF(AF203&lt;=6,(AF203-1)*31+AG203,IF(AF203&lt;=11,186+(AF203-7)*30+AG203,336+AG203))-1,""))</f>
        <v/>
      </c>
      <c r="AI203" s="7" t="str">
        <f aca="false">IF(W203="","",W203&amp;"-"&amp;TEXT(X203,"00"))</f>
        <v>1405-06</v>
      </c>
      <c r="AJ203" s="7" t="n">
        <f aca="false">IF(W203="","",W203*12+X203)</f>
        <v>16866</v>
      </c>
      <c r="AK203" s="7" t="str">
        <f aca="false">IF(U203="تاخیر",V203+ROW()/100000,"")</f>
        <v/>
      </c>
    </row>
    <row r="204" customFormat="false" ht="15" hidden="false" customHeight="false" outlineLevel="0" collapsed="false">
      <c r="A204" s="7" t="n">
        <f aca="false">IF(B204="","",ROW()-3)</f>
        <v>201</v>
      </c>
      <c r="B204" s="8" t="s">
        <v>464</v>
      </c>
      <c r="C204" s="8" t="s">
        <v>38</v>
      </c>
      <c r="D204" s="8" t="s">
        <v>47</v>
      </c>
      <c r="E204" s="9" t="s">
        <v>465</v>
      </c>
      <c r="F204" s="9" t="s">
        <v>430</v>
      </c>
      <c r="G204" s="8" t="s">
        <v>309</v>
      </c>
      <c r="H204" s="8" t="s">
        <v>382</v>
      </c>
      <c r="I204" s="8" t="s">
        <v>54</v>
      </c>
      <c r="J204" s="9"/>
      <c r="K204" s="8"/>
      <c r="L204" s="8" t="s">
        <v>463</v>
      </c>
      <c r="M204" s="8" t="s">
        <v>56</v>
      </c>
      <c r="N204" s="8"/>
      <c r="O204" s="8"/>
      <c r="P204" s="8"/>
      <c r="Q204" s="8"/>
      <c r="R204" s="9"/>
      <c r="S204" s="8"/>
      <c r="T204" s="9"/>
      <c r="U204" s="10" t="str">
        <f aca="true">IF(B204="","",IF(OR(P204&lt;&gt;"",I204="می‌باشد"),"بسته",IF(AND(L204&lt;&gt;"",W204=""),"خطای فرمت تاریخ ایجاد",IF(AND(H204&lt;&gt;"",AA204=""),"خطای فرمت مهلت",IF(AND(H204&lt;&gt;"",AD204&lt;&gt;"",TODAY()&gt;AD204),"تاخیر",IF(L204&lt;&gt;"","در حال انجام",""))))))</f>
        <v>بسته</v>
      </c>
      <c r="V204" s="7" t="n">
        <f aca="true">IF(U204="تاخیر",TODAY()-AD204,IF(AND(U204="بسته",AH204&lt;&gt;"",AD204&lt;&gt;"",AH204&gt;AD204),AH204-AD204,0))</f>
        <v>0</v>
      </c>
      <c r="W204" s="7" t="n">
        <f aca="false">IF(L204="","",VALUE(LEFT(L204,FIND("/",L204)-1)))</f>
        <v>1405</v>
      </c>
      <c r="X204" s="7" t="n">
        <f aca="false">IF(L204="","",VALUE(MID(L204,FIND("/",L204)+1,FIND("/",L204,FIND("/",L204)+1)-FIND("/",L204)-1)))</f>
        <v>6</v>
      </c>
      <c r="Y204" s="7" t="n">
        <f aca="false">IF(L204="","",VALUE(MID(L204,FIND("/",L204,FIND("/",L204)+1)+1,LEN(L204)-FIND("/",L204,FIND("/",L204)+1))))</f>
        <v>4</v>
      </c>
      <c r="Z204" s="11" t="n">
        <f aca="false">IF(OR(L204="",W204=""),"",IFERROR(INDEX('لیست‌ها'!$Q$3:$Q$53,MATCH(W204,'لیست‌ها'!$P$3:$P$53,0))+IF(X204&lt;=6,(X204-1)*31+Y204,IF(X204&lt;=11,186+(X204-7)*30+Y204,336+Y204))-1,""))</f>
        <v>46260</v>
      </c>
      <c r="AA204" s="7" t="n">
        <f aca="false">IF(H204="","",VALUE(LEFT(H204,FIND("/",H204)-1)))</f>
        <v>1405</v>
      </c>
      <c r="AB204" s="7" t="n">
        <f aca="false">IF(H204="","",VALUE(MID(H204,FIND("/",H204)+1,FIND("/",H204,FIND("/",H204)+1)-FIND("/",H204)-1)))</f>
        <v>6</v>
      </c>
      <c r="AC204" s="7" t="n">
        <f aca="false">IF(H204="","",VALUE(MID(H204,FIND("/",H204,FIND("/",H204)+1)+1,LEN(H204)-FIND("/",H204,FIND("/",H204)+1))))</f>
        <v>23</v>
      </c>
      <c r="AD204" s="11" t="n">
        <f aca="false">IF(OR(H204="",AA204=""),"",IFERROR(INDEX('لیست‌ها'!$Q$3:$Q$53,MATCH(AA204,'لیست‌ها'!$P$3:$P$53,0))+IF(AB204&lt;=6,(AB204-1)*31+AC204,IF(AB204&lt;=11,186+(AB204-7)*30+AC204,336+AC204))-1,""))</f>
        <v>46279</v>
      </c>
      <c r="AE204" s="7" t="str">
        <f aca="false">IF(P204="","",VALUE(LEFT(P204,FIND("/",P204)-1)))</f>
        <v/>
      </c>
      <c r="AF204" s="7" t="str">
        <f aca="false">IF(P204="","",VALUE(MID(P204,FIND("/",P204)+1,FIND("/",P204,FIND("/",P204)+1)-FIND("/",P204)-1)))</f>
        <v/>
      </c>
      <c r="AG204" s="7" t="str">
        <f aca="false">IF(P204="","",VALUE(MID(P204,FIND("/",P204,FIND("/",P204)+1)+1,LEN(P204)-FIND("/",P204,FIND("/",P204)+1))))</f>
        <v/>
      </c>
      <c r="AH204" s="7" t="str">
        <f aca="false">IF(OR(P204="",AE204=""),"",IFERROR(INDEX('لیست‌ها'!$Q$3:$Q$53,MATCH(AE204,'لیست‌ها'!$P$3:$P$53,0))+IF(AF204&lt;=6,(AF204-1)*31+AG204,IF(AF204&lt;=11,186+(AF204-7)*30+AG204,336+AG204))-1,""))</f>
        <v/>
      </c>
      <c r="AI204" s="7" t="str">
        <f aca="false">IF(W204="","",W204&amp;"-"&amp;TEXT(X204,"00"))</f>
        <v>1405-06</v>
      </c>
      <c r="AJ204" s="7" t="n">
        <f aca="false">IF(W204="","",W204*12+X204)</f>
        <v>16866</v>
      </c>
      <c r="AK204" s="7" t="str">
        <f aca="false">IF(U204="تاخیر",V204+ROW()/100000,"")</f>
        <v/>
      </c>
    </row>
    <row r="205" customFormat="false" ht="15" hidden="false" customHeight="false" outlineLevel="0" collapsed="false">
      <c r="A205" s="7" t="n">
        <f aca="false">IF(B205="","",ROW()-3)</f>
        <v>202</v>
      </c>
      <c r="B205" s="8" t="s">
        <v>462</v>
      </c>
      <c r="C205" s="8" t="s">
        <v>38</v>
      </c>
      <c r="D205" s="8" t="s">
        <v>47</v>
      </c>
      <c r="E205" s="9" t="s">
        <v>106</v>
      </c>
      <c r="F205" s="9" t="s">
        <v>51</v>
      </c>
      <c r="G205" s="8" t="s">
        <v>52</v>
      </c>
      <c r="H205" s="8" t="s">
        <v>387</v>
      </c>
      <c r="I205" s="8"/>
      <c r="J205" s="9"/>
      <c r="K205" s="8"/>
      <c r="L205" s="8" t="s">
        <v>463</v>
      </c>
      <c r="M205" s="8" t="s">
        <v>71</v>
      </c>
      <c r="N205" s="8"/>
      <c r="O205" s="8"/>
      <c r="P205" s="8"/>
      <c r="Q205" s="8"/>
      <c r="R205" s="9"/>
      <c r="S205" s="8"/>
      <c r="T205" s="9"/>
      <c r="U205" s="10" t="str">
        <f aca="true">IF(B205="","",IF(OR(P205&lt;&gt;"",I205="می‌باشد"),"بسته",IF(AND(L205&lt;&gt;"",W205=""),"خطای فرمت تاریخ ایجاد",IF(AND(H205&lt;&gt;"",AA205=""),"خطای فرمت مهلت",IF(AND(H205&lt;&gt;"",AD205&lt;&gt;"",TODAY()&gt;AD205),"تاخیر",IF(L205&lt;&gt;"","در حال انجام",""))))))</f>
        <v>تاخیر</v>
      </c>
      <c r="V205" s="7" t="n">
        <f aca="true">IF(U205="تاخیر",TODAY()-AD205,IF(AND(U205="بسته",AH205&lt;&gt;"",AD205&lt;&gt;"",AH205&gt;AD205),AH205-AD205,0))</f>
        <v>8</v>
      </c>
      <c r="W205" s="7" t="n">
        <f aca="false">IF(L205="","",VALUE(LEFT(L205,FIND("/",L205)-1)))</f>
        <v>1405</v>
      </c>
      <c r="X205" s="7" t="n">
        <f aca="false">IF(L205="","",VALUE(MID(L205,FIND("/",L205)+1,FIND("/",L205,FIND("/",L205)+1)-FIND("/",L205)-1)))</f>
        <v>6</v>
      </c>
      <c r="Y205" s="7" t="n">
        <f aca="false">IF(L205="","",VALUE(MID(L205,FIND("/",L205,FIND("/",L205)+1)+1,LEN(L205)-FIND("/",L205,FIND("/",L205)+1))))</f>
        <v>4</v>
      </c>
      <c r="Z205" s="11" t="n">
        <f aca="false">IF(OR(L205="",W205=""),"",IFERROR(INDEX('لیست‌ها'!$Q$3:$Q$53,MATCH(W205,'لیست‌ها'!$P$3:$P$53,0))+IF(X205&lt;=6,(X205-1)*31+Y205,IF(X205&lt;=11,186+(X205-7)*30+Y205,336+Y205))-1,""))</f>
        <v>46260</v>
      </c>
      <c r="AA205" s="7" t="n">
        <f aca="false">IF(H205="","",VALUE(LEFT(H205,FIND("/",H205)-1)))</f>
        <v>1405</v>
      </c>
      <c r="AB205" s="7" t="n">
        <f aca="false">IF(H205="","",VALUE(MID(H205,FIND("/",H205)+1,FIND("/",H205,FIND("/",H205)+1)-FIND("/",H205)-1)))</f>
        <v>6</v>
      </c>
      <c r="AC205" s="7" t="n">
        <f aca="false">IF(H205="","",VALUE(MID(H205,FIND("/",H205,FIND("/",H205)+1)+1,LEN(H205)-FIND("/",H205,FIND("/",H205)+1))))</f>
        <v>31</v>
      </c>
      <c r="AD205" s="11" t="n">
        <f aca="false">IF(OR(H205="",AA205=""),"",IFERROR(INDEX('لیست‌ها'!$Q$3:$Q$53,MATCH(AA205,'لیست‌ها'!$P$3:$P$53,0))+IF(AB205&lt;=6,(AB205-1)*31+AC205,IF(AB205&lt;=11,186+(AB205-7)*30+AC205,336+AC205))-1,""))</f>
        <v>46287</v>
      </c>
      <c r="AE205" s="7" t="str">
        <f aca="false">IF(P205="","",VALUE(LEFT(P205,FIND("/",P205)-1)))</f>
        <v/>
      </c>
      <c r="AF205" s="7" t="str">
        <f aca="false">IF(P205="","",VALUE(MID(P205,FIND("/",P205)+1,FIND("/",P205,FIND("/",P205)+1)-FIND("/",P205)-1)))</f>
        <v/>
      </c>
      <c r="AG205" s="7" t="str">
        <f aca="false">IF(P205="","",VALUE(MID(P205,FIND("/",P205,FIND("/",P205)+1)+1,LEN(P205)-FIND("/",P205,FIND("/",P205)+1))))</f>
        <v/>
      </c>
      <c r="AH205" s="7" t="str">
        <f aca="false">IF(OR(P205="",AE205=""),"",IFERROR(INDEX('لیست‌ها'!$Q$3:$Q$53,MATCH(AE205,'لیست‌ها'!$P$3:$P$53,0))+IF(AF205&lt;=6,(AF205-1)*31+AG205,IF(AF205&lt;=11,186+(AF205-7)*30+AG205,336+AG205))-1,""))</f>
        <v/>
      </c>
      <c r="AI205" s="7" t="str">
        <f aca="false">IF(W205="","",W205&amp;"-"&amp;TEXT(X205,"00"))</f>
        <v>1405-06</v>
      </c>
      <c r="AJ205" s="7" t="n">
        <f aca="false">IF(W205="","",W205*12+X205)</f>
        <v>16866</v>
      </c>
      <c r="AK205" s="7" t="n">
        <f aca="false">IF(U205="تاخیر",V205+ROW()/100000,"")</f>
        <v>8.00193</v>
      </c>
    </row>
    <row r="206" customFormat="false" ht="15" hidden="false" customHeight="false" outlineLevel="0" collapsed="false">
      <c r="A206" s="7" t="n">
        <f aca="false">IF(B206="","",ROW()-3)</f>
        <v>203</v>
      </c>
      <c r="B206" s="8" t="s">
        <v>460</v>
      </c>
      <c r="C206" s="8" t="s">
        <v>46</v>
      </c>
      <c r="D206" s="8" t="s">
        <v>306</v>
      </c>
      <c r="E206" s="9" t="s">
        <v>461</v>
      </c>
      <c r="F206" s="9" t="s">
        <v>308</v>
      </c>
      <c r="G206" s="8" t="s">
        <v>309</v>
      </c>
      <c r="H206" s="8" t="s">
        <v>382</v>
      </c>
      <c r="I206" s="8"/>
      <c r="J206" s="9"/>
      <c r="K206" s="8"/>
      <c r="L206" s="8" t="s">
        <v>452</v>
      </c>
      <c r="M206" s="8" t="s">
        <v>71</v>
      </c>
      <c r="N206" s="8"/>
      <c r="O206" s="8"/>
      <c r="P206" s="8"/>
      <c r="Q206" s="8"/>
      <c r="R206" s="9"/>
      <c r="S206" s="8"/>
      <c r="T206" s="9"/>
      <c r="U206" s="10" t="str">
        <f aca="true">IF(B206="","",IF(OR(P206&lt;&gt;"",I206="می‌باشد"),"بسته",IF(AND(L206&lt;&gt;"",W206=""),"خطای فرمت تاریخ ایجاد",IF(AND(H206&lt;&gt;"",AA206=""),"خطای فرمت مهلت",IF(AND(H206&lt;&gt;"",AD206&lt;&gt;"",TODAY()&gt;AD206),"تاخیر",IF(L206&lt;&gt;"","در حال انجام",""))))))</f>
        <v>تاخیر</v>
      </c>
      <c r="V206" s="7" t="n">
        <f aca="true">IF(U206="تاخیر",TODAY()-AD206,IF(AND(U206="بسته",AH206&lt;&gt;"",AD206&lt;&gt;"",AH206&gt;AD206),AH206-AD206,0))</f>
        <v>16</v>
      </c>
      <c r="W206" s="7" t="n">
        <f aca="false">IF(L206="","",VALUE(LEFT(L206,FIND("/",L206)-1)))</f>
        <v>1405</v>
      </c>
      <c r="X206" s="7" t="n">
        <f aca="false">IF(L206="","",VALUE(MID(L206,FIND("/",L206)+1,FIND("/",L206,FIND("/",L206)+1)-FIND("/",L206)-1)))</f>
        <v>6</v>
      </c>
      <c r="Y206" s="7" t="n">
        <f aca="false">IF(L206="","",VALUE(MID(L206,FIND("/",L206,FIND("/",L206)+1)+1,LEN(L206)-FIND("/",L206,FIND("/",L206)+1))))</f>
        <v>7</v>
      </c>
      <c r="Z206" s="11" t="n">
        <f aca="false">IF(OR(L206="",W206=""),"",IFERROR(INDEX('لیست‌ها'!$Q$3:$Q$53,MATCH(W206,'لیست‌ها'!$P$3:$P$53,0))+IF(X206&lt;=6,(X206-1)*31+Y206,IF(X206&lt;=11,186+(X206-7)*30+Y206,336+Y206))-1,""))</f>
        <v>46263</v>
      </c>
      <c r="AA206" s="7" t="n">
        <f aca="false">IF(H206="","",VALUE(LEFT(H206,FIND("/",H206)-1)))</f>
        <v>1405</v>
      </c>
      <c r="AB206" s="7" t="n">
        <f aca="false">IF(H206="","",VALUE(MID(H206,FIND("/",H206)+1,FIND("/",H206,FIND("/",H206)+1)-FIND("/",H206)-1)))</f>
        <v>6</v>
      </c>
      <c r="AC206" s="7" t="n">
        <f aca="false">IF(H206="","",VALUE(MID(H206,FIND("/",H206,FIND("/",H206)+1)+1,LEN(H206)-FIND("/",H206,FIND("/",H206)+1))))</f>
        <v>23</v>
      </c>
      <c r="AD206" s="11" t="n">
        <f aca="false">IF(OR(H206="",AA206=""),"",IFERROR(INDEX('لیست‌ها'!$Q$3:$Q$53,MATCH(AA206,'لیست‌ها'!$P$3:$P$53,0))+IF(AB206&lt;=6,(AB206-1)*31+AC206,IF(AB206&lt;=11,186+(AB206-7)*30+AC206,336+AC206))-1,""))</f>
        <v>46279</v>
      </c>
      <c r="AE206" s="7" t="str">
        <f aca="false">IF(P206="","",VALUE(LEFT(P206,FIND("/",P206)-1)))</f>
        <v/>
      </c>
      <c r="AF206" s="7" t="str">
        <f aca="false">IF(P206="","",VALUE(MID(P206,FIND("/",P206)+1,FIND("/",P206,FIND("/",P206)+1)-FIND("/",P206)-1)))</f>
        <v/>
      </c>
      <c r="AG206" s="7" t="str">
        <f aca="false">IF(P206="","",VALUE(MID(P206,FIND("/",P206,FIND("/",P206)+1)+1,LEN(P206)-FIND("/",P206,FIND("/",P206)+1))))</f>
        <v/>
      </c>
      <c r="AH206" s="7" t="str">
        <f aca="false">IF(OR(P206="",AE206=""),"",IFERROR(INDEX('لیست‌ها'!$Q$3:$Q$53,MATCH(AE206,'لیست‌ها'!$P$3:$P$53,0))+IF(AF206&lt;=6,(AF206-1)*31+AG206,IF(AF206&lt;=11,186+(AF206-7)*30+AG206,336+AG206))-1,""))</f>
        <v/>
      </c>
      <c r="AI206" s="7" t="str">
        <f aca="false">IF(W206="","",W206&amp;"-"&amp;TEXT(X206,"00"))</f>
        <v>1405-06</v>
      </c>
      <c r="AJ206" s="7" t="n">
        <f aca="false">IF(W206="","",W206*12+X206)</f>
        <v>16866</v>
      </c>
      <c r="AK206" s="7" t="n">
        <f aca="false">IF(U206="تاخیر",V206+ROW()/100000,"")</f>
        <v>16.00192</v>
      </c>
    </row>
    <row r="207" customFormat="false" ht="15" hidden="false" customHeight="false" outlineLevel="0" collapsed="false">
      <c r="A207" s="7" t="n">
        <f aca="false">IF(B207="","",ROW()-3)</f>
        <v>204</v>
      </c>
      <c r="B207" s="8" t="s">
        <v>510</v>
      </c>
      <c r="C207" s="8" t="s">
        <v>38</v>
      </c>
      <c r="D207" s="8" t="s">
        <v>47</v>
      </c>
      <c r="E207" s="9" t="s">
        <v>63</v>
      </c>
      <c r="F207" s="9" t="s">
        <v>51</v>
      </c>
      <c r="G207" s="8" t="s">
        <v>52</v>
      </c>
      <c r="H207" s="8"/>
      <c r="I207" s="8"/>
      <c r="J207" s="9"/>
      <c r="K207" s="8"/>
      <c r="L207" s="8" t="s">
        <v>509</v>
      </c>
      <c r="M207" s="8" t="s">
        <v>56</v>
      </c>
      <c r="N207" s="8"/>
      <c r="O207" s="8"/>
      <c r="P207" s="8"/>
      <c r="Q207" s="8"/>
      <c r="R207" s="9"/>
      <c r="S207" s="8"/>
      <c r="T207" s="9"/>
      <c r="U207" s="10" t="str">
        <f aca="true">IF(B207="","",IF(OR(P207&lt;&gt;"",I207="می‌باشد"),"بسته",IF(AND(L207&lt;&gt;"",W207=""),"خطای فرمت تاریخ ایجاد",IF(AND(H207&lt;&gt;"",AA207=""),"خطای فرمت مهلت",IF(AND(H207&lt;&gt;"",AD207&lt;&gt;"",TODAY()&gt;AD207),"تاخیر",IF(L207&lt;&gt;"","در حال انجام",""))))))</f>
        <v>در حال انجام</v>
      </c>
      <c r="V207" s="7" t="n">
        <f aca="true">IF(U207="تاخیر",TODAY()-AD207,IF(AND(U207="بسته",AH207&lt;&gt;"",AD207&lt;&gt;"",AH207&gt;AD207),AH207-AD207,0))</f>
        <v>0</v>
      </c>
      <c r="W207" s="7" t="n">
        <f aca="false">IF(L207="","",VALUE(LEFT(L207,FIND("/",L207)-1)))</f>
        <v>1405</v>
      </c>
      <c r="X207" s="7" t="n">
        <f aca="false">IF(L207="","",VALUE(MID(L207,FIND("/",L207)+1,FIND("/",L207,FIND("/",L207)+1)-FIND("/",L207)-1)))</f>
        <v>6</v>
      </c>
      <c r="Y207" s="7" t="n">
        <f aca="false">IF(L207="","",VALUE(MID(L207,FIND("/",L207,FIND("/",L207)+1)+1,LEN(L207)-FIND("/",L207,FIND("/",L207)+1))))</f>
        <v>9</v>
      </c>
      <c r="Z207" s="11" t="n">
        <f aca="false">IF(OR(L207="",W207=""),"",IFERROR(INDEX('لیست‌ها'!$Q$3:$Q$53,MATCH(W207,'لیست‌ها'!$P$3:$P$53,0))+IF(X207&lt;=6,(X207-1)*31+Y207,IF(X207&lt;=11,186+(X207-7)*30+Y207,336+Y207))-1,""))</f>
        <v>46265</v>
      </c>
      <c r="AA207" s="7" t="str">
        <f aca="false">IF(H207="","",VALUE(LEFT(H207,FIND("/",H207)-1)))</f>
        <v/>
      </c>
      <c r="AB207" s="7" t="str">
        <f aca="false">IF(H207="","",VALUE(MID(H207,FIND("/",H207)+1,FIND("/",H207,FIND("/",H207)+1)-FIND("/",H207)-1)))</f>
        <v/>
      </c>
      <c r="AC207" s="7" t="str">
        <f aca="false">IF(H207="","",VALUE(MID(H207,FIND("/",H207,FIND("/",H207)+1)+1,LEN(H207)-FIND("/",H207,FIND("/",H207)+1))))</f>
        <v/>
      </c>
      <c r="AD207" s="7" t="str">
        <f aca="false">IF(OR(H207="",AA207=""),"",IFERROR(INDEX('لیست‌ها'!$Q$3:$Q$53,MATCH(AA207,'لیست‌ها'!$P$3:$P$53,0))+IF(AB207&lt;=6,(AB207-1)*31+AC207,IF(AB207&lt;=11,186+(AB207-7)*30+AC207,336+AC207))-1,""))</f>
        <v/>
      </c>
      <c r="AE207" s="7" t="str">
        <f aca="false">IF(P207="","",VALUE(LEFT(P207,FIND("/",P207)-1)))</f>
        <v/>
      </c>
      <c r="AF207" s="7" t="str">
        <f aca="false">IF(P207="","",VALUE(MID(P207,FIND("/",P207)+1,FIND("/",P207,FIND("/",P207)+1)-FIND("/",P207)-1)))</f>
        <v/>
      </c>
      <c r="AG207" s="7" t="str">
        <f aca="false">IF(P207="","",VALUE(MID(P207,FIND("/",P207,FIND("/",P207)+1)+1,LEN(P207)-FIND("/",P207,FIND("/",P207)+1))))</f>
        <v/>
      </c>
      <c r="AH207" s="7" t="str">
        <f aca="false">IF(OR(P207="",AE207=""),"",IFERROR(INDEX('لیست‌ها'!$Q$3:$Q$53,MATCH(AE207,'لیست‌ها'!$P$3:$P$53,0))+IF(AF207&lt;=6,(AF207-1)*31+AG207,IF(AF207&lt;=11,186+(AF207-7)*30+AG207,336+AG207))-1,""))</f>
        <v/>
      </c>
      <c r="AI207" s="7" t="str">
        <f aca="false">IF(W207="","",W207&amp;"-"&amp;TEXT(X207,"00"))</f>
        <v>1405-06</v>
      </c>
      <c r="AJ207" s="7" t="n">
        <f aca="false">IF(W207="","",W207*12+X207)</f>
        <v>16866</v>
      </c>
      <c r="AK207" s="7" t="str">
        <f aca="false">IF(U207="تاخیر",V207+ROW()/100000,"")</f>
        <v/>
      </c>
    </row>
    <row r="208" customFormat="false" ht="15" hidden="false" customHeight="false" outlineLevel="0" collapsed="false">
      <c r="A208" s="7" t="n">
        <f aca="false">IF(B208="","",ROW()-3)</f>
        <v>205</v>
      </c>
      <c r="B208" s="8" t="s">
        <v>508</v>
      </c>
      <c r="C208" s="8" t="s">
        <v>46</v>
      </c>
      <c r="D208" s="8" t="s">
        <v>47</v>
      </c>
      <c r="E208" s="9" t="s">
        <v>299</v>
      </c>
      <c r="F208" s="9" t="s">
        <v>41</v>
      </c>
      <c r="G208" s="8" t="s">
        <v>42</v>
      </c>
      <c r="H208" s="8" t="s">
        <v>489</v>
      </c>
      <c r="I208" s="8" t="s">
        <v>54</v>
      </c>
      <c r="J208" s="9"/>
      <c r="K208" s="8"/>
      <c r="L208" s="8" t="s">
        <v>509</v>
      </c>
      <c r="M208" s="8" t="s">
        <v>56</v>
      </c>
      <c r="N208" s="8"/>
      <c r="O208" s="8"/>
      <c r="P208" s="8"/>
      <c r="Q208" s="8"/>
      <c r="R208" s="9"/>
      <c r="S208" s="8"/>
      <c r="T208" s="9"/>
      <c r="U208" s="10" t="str">
        <f aca="true">IF(B208="","",IF(OR(P208&lt;&gt;"",I208="می‌باشد"),"بسته",IF(AND(L208&lt;&gt;"",W208=""),"خطای فرمت تاریخ ایجاد",IF(AND(H208&lt;&gt;"",AA208=""),"خطای فرمت مهلت",IF(AND(H208&lt;&gt;"",AD208&lt;&gt;"",TODAY()&gt;AD208),"تاخیر",IF(L208&lt;&gt;"","در حال انجام",""))))))</f>
        <v>بسته</v>
      </c>
      <c r="V208" s="7" t="n">
        <f aca="true">IF(U208="تاخیر",TODAY()-AD208,IF(AND(U208="بسته",AH208&lt;&gt;"",AD208&lt;&gt;"",AH208&gt;AD208),AH208-AD208,0))</f>
        <v>0</v>
      </c>
      <c r="W208" s="7" t="n">
        <f aca="false">IF(L208="","",VALUE(LEFT(L208,FIND("/",L208)-1)))</f>
        <v>1405</v>
      </c>
      <c r="X208" s="7" t="n">
        <f aca="false">IF(L208="","",VALUE(MID(L208,FIND("/",L208)+1,FIND("/",L208,FIND("/",L208)+1)-FIND("/",L208)-1)))</f>
        <v>6</v>
      </c>
      <c r="Y208" s="7" t="n">
        <f aca="false">IF(L208="","",VALUE(MID(L208,FIND("/",L208,FIND("/",L208)+1)+1,LEN(L208)-FIND("/",L208,FIND("/",L208)+1))))</f>
        <v>9</v>
      </c>
      <c r="Z208" s="11" t="n">
        <f aca="false">IF(OR(L208="",W208=""),"",IFERROR(INDEX('لیست‌ها'!$Q$3:$Q$53,MATCH(W208,'لیست‌ها'!$P$3:$P$53,0))+IF(X208&lt;=6,(X208-1)*31+Y208,IF(X208&lt;=11,186+(X208-7)*30+Y208,336+Y208))-1,""))</f>
        <v>46265</v>
      </c>
      <c r="AA208" s="7" t="n">
        <f aca="false">IF(H208="","",VALUE(LEFT(H208,FIND("/",H208)-1)))</f>
        <v>1405</v>
      </c>
      <c r="AB208" s="7" t="n">
        <f aca="false">IF(H208="","",VALUE(MID(H208,FIND("/",H208)+1,FIND("/",H208,FIND("/",H208)+1)-FIND("/",H208)-1)))</f>
        <v>7</v>
      </c>
      <c r="AC208" s="7" t="n">
        <f aca="false">IF(H208="","",VALUE(MID(H208,FIND("/",H208,FIND("/",H208)+1)+1,LEN(H208)-FIND("/",H208,FIND("/",H208)+1))))</f>
        <v>7</v>
      </c>
      <c r="AD208" s="11" t="n">
        <f aca="false">IF(OR(H208="",AA208=""),"",IFERROR(INDEX('لیست‌ها'!$Q$3:$Q$53,MATCH(AA208,'لیست‌ها'!$P$3:$P$53,0))+IF(AB208&lt;=6,(AB208-1)*31+AC208,IF(AB208&lt;=11,186+(AB208-7)*30+AC208,336+AC208))-1,""))</f>
        <v>46294</v>
      </c>
      <c r="AE208" s="7" t="str">
        <f aca="false">IF(P208="","",VALUE(LEFT(P208,FIND("/",P208)-1)))</f>
        <v/>
      </c>
      <c r="AF208" s="7" t="str">
        <f aca="false">IF(P208="","",VALUE(MID(P208,FIND("/",P208)+1,FIND("/",P208,FIND("/",P208)+1)-FIND("/",P208)-1)))</f>
        <v/>
      </c>
      <c r="AG208" s="7" t="str">
        <f aca="false">IF(P208="","",VALUE(MID(P208,FIND("/",P208,FIND("/",P208)+1)+1,LEN(P208)-FIND("/",P208,FIND("/",P208)+1))))</f>
        <v/>
      </c>
      <c r="AH208" s="7" t="str">
        <f aca="false">IF(OR(P208="",AE208=""),"",IFERROR(INDEX('لیست‌ها'!$Q$3:$Q$53,MATCH(AE208,'لیست‌ها'!$P$3:$P$53,0))+IF(AF208&lt;=6,(AF208-1)*31+AG208,IF(AF208&lt;=11,186+(AF208-7)*30+AG208,336+AG208))-1,""))</f>
        <v/>
      </c>
      <c r="AI208" s="7" t="str">
        <f aca="false">IF(W208="","",W208&amp;"-"&amp;TEXT(X208,"00"))</f>
        <v>1405-06</v>
      </c>
      <c r="AJ208" s="7" t="n">
        <f aca="false">IF(W208="","",W208*12+X208)</f>
        <v>16866</v>
      </c>
      <c r="AK208" s="7" t="str">
        <f aca="false">IF(U208="تاخیر",V208+ROW()/100000,"")</f>
        <v/>
      </c>
    </row>
    <row r="209" customFormat="false" ht="15" hidden="false" customHeight="false" outlineLevel="0" collapsed="false">
      <c r="A209" s="7" t="n">
        <f aca="false">IF(B209="","",ROW()-3)</f>
        <v>206</v>
      </c>
      <c r="B209" s="8" t="s">
        <v>507</v>
      </c>
      <c r="C209" s="8" t="s">
        <v>38</v>
      </c>
      <c r="D209" s="8" t="s">
        <v>39</v>
      </c>
      <c r="E209" s="9" t="s">
        <v>352</v>
      </c>
      <c r="F209" s="9" t="s">
        <v>41</v>
      </c>
      <c r="G209" s="8" t="s">
        <v>42</v>
      </c>
      <c r="H209" s="8"/>
      <c r="I209" s="8"/>
      <c r="J209" s="9"/>
      <c r="K209" s="8"/>
      <c r="L209" s="8" t="s">
        <v>502</v>
      </c>
      <c r="M209" s="8" t="s">
        <v>56</v>
      </c>
      <c r="N209" s="8"/>
      <c r="O209" s="8"/>
      <c r="P209" s="8"/>
      <c r="Q209" s="8"/>
      <c r="R209" s="9"/>
      <c r="S209" s="8"/>
      <c r="T209" s="9"/>
      <c r="U209" s="10" t="str">
        <f aca="true">IF(B209="","",IF(OR(P209&lt;&gt;"",I209="می‌باشد"),"بسته",IF(AND(L209&lt;&gt;"",W209=""),"خطای فرمت تاریخ ایجاد",IF(AND(H209&lt;&gt;"",AA209=""),"خطای فرمت مهلت",IF(AND(H209&lt;&gt;"",AD209&lt;&gt;"",TODAY()&gt;AD209),"تاخیر",IF(L209&lt;&gt;"","در حال انجام",""))))))</f>
        <v>در حال انجام</v>
      </c>
      <c r="V209" s="7" t="n">
        <f aca="true">IF(U209="تاخیر",TODAY()-AD209,IF(AND(U209="بسته",AH209&lt;&gt;"",AD209&lt;&gt;"",AH209&gt;AD209),AH209-AD209,0))</f>
        <v>0</v>
      </c>
      <c r="W209" s="7" t="n">
        <f aca="false">IF(L209="","",VALUE(LEFT(L209,FIND("/",L209)-1)))</f>
        <v>1405</v>
      </c>
      <c r="X209" s="7" t="n">
        <f aca="false">IF(L209="","",VALUE(MID(L209,FIND("/",L209)+1,FIND("/",L209,FIND("/",L209)+1)-FIND("/",L209)-1)))</f>
        <v>6</v>
      </c>
      <c r="Y209" s="7" t="n">
        <f aca="false">IF(L209="","",VALUE(MID(L209,FIND("/",L209,FIND("/",L209)+1)+1,LEN(L209)-FIND("/",L209,FIND("/",L209)+1))))</f>
        <v>10</v>
      </c>
      <c r="Z209" s="11" t="n">
        <f aca="false">IF(OR(L209="",W209=""),"",IFERROR(INDEX('لیست‌ها'!$Q$3:$Q$53,MATCH(W209,'لیست‌ها'!$P$3:$P$53,0))+IF(X209&lt;=6,(X209-1)*31+Y209,IF(X209&lt;=11,186+(X209-7)*30+Y209,336+Y209))-1,""))</f>
        <v>46266</v>
      </c>
      <c r="AA209" s="7" t="str">
        <f aca="false">IF(H209="","",VALUE(LEFT(H209,FIND("/",H209)-1)))</f>
        <v/>
      </c>
      <c r="AB209" s="7" t="str">
        <f aca="false">IF(H209="","",VALUE(MID(H209,FIND("/",H209)+1,FIND("/",H209,FIND("/",H209)+1)-FIND("/",H209)-1)))</f>
        <v/>
      </c>
      <c r="AC209" s="7" t="str">
        <f aca="false">IF(H209="","",VALUE(MID(H209,FIND("/",H209,FIND("/",H209)+1)+1,LEN(H209)-FIND("/",H209,FIND("/",H209)+1))))</f>
        <v/>
      </c>
      <c r="AD209" s="7" t="str">
        <f aca="false">IF(OR(H209="",AA209=""),"",IFERROR(INDEX('لیست‌ها'!$Q$3:$Q$53,MATCH(AA209,'لیست‌ها'!$P$3:$P$53,0))+IF(AB209&lt;=6,(AB209-1)*31+AC209,IF(AB209&lt;=11,186+(AB209-7)*30+AC209,336+AC209))-1,""))</f>
        <v/>
      </c>
      <c r="AE209" s="7" t="str">
        <f aca="false">IF(P209="","",VALUE(LEFT(P209,FIND("/",P209)-1)))</f>
        <v/>
      </c>
      <c r="AF209" s="7" t="str">
        <f aca="false">IF(P209="","",VALUE(MID(P209,FIND("/",P209)+1,FIND("/",P209,FIND("/",P209)+1)-FIND("/",P209)-1)))</f>
        <v/>
      </c>
      <c r="AG209" s="7" t="str">
        <f aca="false">IF(P209="","",VALUE(MID(P209,FIND("/",P209,FIND("/",P209)+1)+1,LEN(P209)-FIND("/",P209,FIND("/",P209)+1))))</f>
        <v/>
      </c>
      <c r="AH209" s="7" t="str">
        <f aca="false">IF(OR(P209="",AE209=""),"",IFERROR(INDEX('لیست‌ها'!$Q$3:$Q$53,MATCH(AE209,'لیست‌ها'!$P$3:$P$53,0))+IF(AF209&lt;=6,(AF209-1)*31+AG209,IF(AF209&lt;=11,186+(AF209-7)*30+AG209,336+AG209))-1,""))</f>
        <v/>
      </c>
      <c r="AI209" s="7" t="str">
        <f aca="false">IF(W209="","",W209&amp;"-"&amp;TEXT(X209,"00"))</f>
        <v>1405-06</v>
      </c>
      <c r="AJ209" s="7" t="n">
        <f aca="false">IF(W209="","",W209*12+X209)</f>
        <v>16866</v>
      </c>
      <c r="AK209" s="7" t="str">
        <f aca="false">IF(U209="تاخیر",V209+ROW()/100000,"")</f>
        <v/>
      </c>
    </row>
    <row r="210" customFormat="false" ht="15" hidden="false" customHeight="false" outlineLevel="0" collapsed="false">
      <c r="A210" s="7" t="n">
        <f aca="false">IF(B210="","",ROW()-3)</f>
        <v>207</v>
      </c>
      <c r="B210" s="8" t="s">
        <v>506</v>
      </c>
      <c r="C210" s="8" t="s">
        <v>38</v>
      </c>
      <c r="D210" s="8" t="s">
        <v>39</v>
      </c>
      <c r="E210" s="9" t="s">
        <v>197</v>
      </c>
      <c r="F210" s="9" t="s">
        <v>41</v>
      </c>
      <c r="G210" s="8" t="s">
        <v>42</v>
      </c>
      <c r="H210" s="8"/>
      <c r="I210" s="8"/>
      <c r="J210" s="9"/>
      <c r="K210" s="8"/>
      <c r="L210" s="8" t="s">
        <v>502</v>
      </c>
      <c r="M210" s="8" t="s">
        <v>56</v>
      </c>
      <c r="N210" s="8"/>
      <c r="O210" s="8"/>
      <c r="P210" s="8"/>
      <c r="Q210" s="8"/>
      <c r="R210" s="9"/>
      <c r="S210" s="8"/>
      <c r="T210" s="9"/>
      <c r="U210" s="10" t="str">
        <f aca="true">IF(B210="","",IF(OR(P210&lt;&gt;"",I210="می‌باشد"),"بسته",IF(AND(L210&lt;&gt;"",W210=""),"خطای فرمت تاریخ ایجاد",IF(AND(H210&lt;&gt;"",AA210=""),"خطای فرمت مهلت",IF(AND(H210&lt;&gt;"",AD210&lt;&gt;"",TODAY()&gt;AD210),"تاخیر",IF(L210&lt;&gt;"","در حال انجام",""))))))</f>
        <v>در حال انجام</v>
      </c>
      <c r="V210" s="7" t="n">
        <f aca="true">IF(U210="تاخیر",TODAY()-AD210,IF(AND(U210="بسته",AH210&lt;&gt;"",AD210&lt;&gt;"",AH210&gt;AD210),AH210-AD210,0))</f>
        <v>0</v>
      </c>
      <c r="W210" s="7" t="n">
        <f aca="false">IF(L210="","",VALUE(LEFT(L210,FIND("/",L210)-1)))</f>
        <v>1405</v>
      </c>
      <c r="X210" s="7" t="n">
        <f aca="false">IF(L210="","",VALUE(MID(L210,FIND("/",L210)+1,FIND("/",L210,FIND("/",L210)+1)-FIND("/",L210)-1)))</f>
        <v>6</v>
      </c>
      <c r="Y210" s="7" t="n">
        <f aca="false">IF(L210="","",VALUE(MID(L210,FIND("/",L210,FIND("/",L210)+1)+1,LEN(L210)-FIND("/",L210,FIND("/",L210)+1))))</f>
        <v>10</v>
      </c>
      <c r="Z210" s="11" t="n">
        <f aca="false">IF(OR(L210="",W210=""),"",IFERROR(INDEX('لیست‌ها'!$Q$3:$Q$53,MATCH(W210,'لیست‌ها'!$P$3:$P$53,0))+IF(X210&lt;=6,(X210-1)*31+Y210,IF(X210&lt;=11,186+(X210-7)*30+Y210,336+Y210))-1,""))</f>
        <v>46266</v>
      </c>
      <c r="AA210" s="7" t="str">
        <f aca="false">IF(H210="","",VALUE(LEFT(H210,FIND("/",H210)-1)))</f>
        <v/>
      </c>
      <c r="AB210" s="7" t="str">
        <f aca="false">IF(H210="","",VALUE(MID(H210,FIND("/",H210)+1,FIND("/",H210,FIND("/",H210)+1)-FIND("/",H210)-1)))</f>
        <v/>
      </c>
      <c r="AC210" s="7" t="str">
        <f aca="false">IF(H210="","",VALUE(MID(H210,FIND("/",H210,FIND("/",H210)+1)+1,LEN(H210)-FIND("/",H210,FIND("/",H210)+1))))</f>
        <v/>
      </c>
      <c r="AD210" s="7" t="str">
        <f aca="false">IF(OR(H210="",AA210=""),"",IFERROR(INDEX('لیست‌ها'!$Q$3:$Q$53,MATCH(AA210,'لیست‌ها'!$P$3:$P$53,0))+IF(AB210&lt;=6,(AB210-1)*31+AC210,IF(AB210&lt;=11,186+(AB210-7)*30+AC210,336+AC210))-1,""))</f>
        <v/>
      </c>
      <c r="AE210" s="7" t="str">
        <f aca="false">IF(P210="","",VALUE(LEFT(P210,FIND("/",P210)-1)))</f>
        <v/>
      </c>
      <c r="AF210" s="7" t="str">
        <f aca="false">IF(P210="","",VALUE(MID(P210,FIND("/",P210)+1,FIND("/",P210,FIND("/",P210)+1)-FIND("/",P210)-1)))</f>
        <v/>
      </c>
      <c r="AG210" s="7" t="str">
        <f aca="false">IF(P210="","",VALUE(MID(P210,FIND("/",P210,FIND("/",P210)+1)+1,LEN(P210)-FIND("/",P210,FIND("/",P210)+1))))</f>
        <v/>
      </c>
      <c r="AH210" s="7" t="str">
        <f aca="false">IF(OR(P210="",AE210=""),"",IFERROR(INDEX('لیست‌ها'!$Q$3:$Q$53,MATCH(AE210,'لیست‌ها'!$P$3:$P$53,0))+IF(AF210&lt;=6,(AF210-1)*31+AG210,IF(AF210&lt;=11,186+(AF210-7)*30+AG210,336+AG210))-1,""))</f>
        <v/>
      </c>
      <c r="AI210" s="7" t="str">
        <f aca="false">IF(W210="","",W210&amp;"-"&amp;TEXT(X210,"00"))</f>
        <v>1405-06</v>
      </c>
      <c r="AJ210" s="7" t="n">
        <f aca="false">IF(W210="","",W210*12+X210)</f>
        <v>16866</v>
      </c>
      <c r="AK210" s="7" t="str">
        <f aca="false">IF(U210="تاخیر",V210+ROW()/100000,"")</f>
        <v/>
      </c>
    </row>
    <row r="211" customFormat="false" ht="15" hidden="false" customHeight="false" outlineLevel="0" collapsed="false">
      <c r="A211" s="7" t="n">
        <f aca="false">IF(B211="","",ROW()-3)</f>
        <v>208</v>
      </c>
      <c r="B211" s="8" t="s">
        <v>505</v>
      </c>
      <c r="C211" s="8" t="s">
        <v>38</v>
      </c>
      <c r="D211" s="8" t="s">
        <v>39</v>
      </c>
      <c r="E211" s="9" t="s">
        <v>344</v>
      </c>
      <c r="F211" s="9" t="s">
        <v>41</v>
      </c>
      <c r="G211" s="8" t="s">
        <v>42</v>
      </c>
      <c r="H211" s="8"/>
      <c r="I211" s="8"/>
      <c r="J211" s="9"/>
      <c r="K211" s="8"/>
      <c r="L211" s="8" t="s">
        <v>502</v>
      </c>
      <c r="M211" s="8" t="s">
        <v>56</v>
      </c>
      <c r="N211" s="8"/>
      <c r="O211" s="8"/>
      <c r="P211" s="8"/>
      <c r="Q211" s="8"/>
      <c r="R211" s="9"/>
      <c r="S211" s="8"/>
      <c r="T211" s="9"/>
      <c r="U211" s="10" t="str">
        <f aca="true">IF(B211="","",IF(OR(P211&lt;&gt;"",I211="می‌باشد"),"بسته",IF(AND(L211&lt;&gt;"",W211=""),"خطای فرمت تاریخ ایجاد",IF(AND(H211&lt;&gt;"",AA211=""),"خطای فرمت مهلت",IF(AND(H211&lt;&gt;"",AD211&lt;&gt;"",TODAY()&gt;AD211),"تاخیر",IF(L211&lt;&gt;"","در حال انجام",""))))))</f>
        <v>در حال انجام</v>
      </c>
      <c r="V211" s="7" t="n">
        <f aca="true">IF(U211="تاخیر",TODAY()-AD211,IF(AND(U211="بسته",AH211&lt;&gt;"",AD211&lt;&gt;"",AH211&gt;AD211),AH211-AD211,0))</f>
        <v>0</v>
      </c>
      <c r="W211" s="7" t="n">
        <f aca="false">IF(L211="","",VALUE(LEFT(L211,FIND("/",L211)-1)))</f>
        <v>1405</v>
      </c>
      <c r="X211" s="7" t="n">
        <f aca="false">IF(L211="","",VALUE(MID(L211,FIND("/",L211)+1,FIND("/",L211,FIND("/",L211)+1)-FIND("/",L211)-1)))</f>
        <v>6</v>
      </c>
      <c r="Y211" s="7" t="n">
        <f aca="false">IF(L211="","",VALUE(MID(L211,FIND("/",L211,FIND("/",L211)+1)+1,LEN(L211)-FIND("/",L211,FIND("/",L211)+1))))</f>
        <v>10</v>
      </c>
      <c r="Z211" s="11" t="n">
        <f aca="false">IF(OR(L211="",W211=""),"",IFERROR(INDEX('لیست‌ها'!$Q$3:$Q$53,MATCH(W211,'لیست‌ها'!$P$3:$P$53,0))+IF(X211&lt;=6,(X211-1)*31+Y211,IF(X211&lt;=11,186+(X211-7)*30+Y211,336+Y211))-1,""))</f>
        <v>46266</v>
      </c>
      <c r="AA211" s="7" t="str">
        <f aca="false">IF(H211="","",VALUE(LEFT(H211,FIND("/",H211)-1)))</f>
        <v/>
      </c>
      <c r="AB211" s="7" t="str">
        <f aca="false">IF(H211="","",VALUE(MID(H211,FIND("/",H211)+1,FIND("/",H211,FIND("/",H211)+1)-FIND("/",H211)-1)))</f>
        <v/>
      </c>
      <c r="AC211" s="7" t="str">
        <f aca="false">IF(H211="","",VALUE(MID(H211,FIND("/",H211,FIND("/",H211)+1)+1,LEN(H211)-FIND("/",H211,FIND("/",H211)+1))))</f>
        <v/>
      </c>
      <c r="AD211" s="7" t="str">
        <f aca="false">IF(OR(H211="",AA211=""),"",IFERROR(INDEX('لیست‌ها'!$Q$3:$Q$53,MATCH(AA211,'لیست‌ها'!$P$3:$P$53,0))+IF(AB211&lt;=6,(AB211-1)*31+AC211,IF(AB211&lt;=11,186+(AB211-7)*30+AC211,336+AC211))-1,""))</f>
        <v/>
      </c>
      <c r="AE211" s="7" t="str">
        <f aca="false">IF(P211="","",VALUE(LEFT(P211,FIND("/",P211)-1)))</f>
        <v/>
      </c>
      <c r="AF211" s="7" t="str">
        <f aca="false">IF(P211="","",VALUE(MID(P211,FIND("/",P211)+1,FIND("/",P211,FIND("/",P211)+1)-FIND("/",P211)-1)))</f>
        <v/>
      </c>
      <c r="AG211" s="7" t="str">
        <f aca="false">IF(P211="","",VALUE(MID(P211,FIND("/",P211,FIND("/",P211)+1)+1,LEN(P211)-FIND("/",P211,FIND("/",P211)+1))))</f>
        <v/>
      </c>
      <c r="AH211" s="7" t="str">
        <f aca="false">IF(OR(P211="",AE211=""),"",IFERROR(INDEX('لیست‌ها'!$Q$3:$Q$53,MATCH(AE211,'لیست‌ها'!$P$3:$P$53,0))+IF(AF211&lt;=6,(AF211-1)*31+AG211,IF(AF211&lt;=11,186+(AF211-7)*30+AG211,336+AG211))-1,""))</f>
        <v/>
      </c>
      <c r="AI211" s="7" t="str">
        <f aca="false">IF(W211="","",W211&amp;"-"&amp;TEXT(X211,"00"))</f>
        <v>1405-06</v>
      </c>
      <c r="AJ211" s="7" t="n">
        <f aca="false">IF(W211="","",W211*12+X211)</f>
        <v>16866</v>
      </c>
      <c r="AK211" s="7" t="str">
        <f aca="false">IF(U211="تاخیر",V211+ROW()/100000,"")</f>
        <v/>
      </c>
    </row>
    <row r="212" customFormat="false" ht="15" hidden="false" customHeight="false" outlineLevel="0" collapsed="false">
      <c r="A212" s="7" t="n">
        <f aca="false">IF(B212="","",ROW()-3)</f>
        <v>209</v>
      </c>
      <c r="B212" s="8" t="s">
        <v>504</v>
      </c>
      <c r="C212" s="8" t="s">
        <v>38</v>
      </c>
      <c r="D212" s="8" t="s">
        <v>47</v>
      </c>
      <c r="E212" s="9" t="s">
        <v>103</v>
      </c>
      <c r="F212" s="9" t="s">
        <v>51</v>
      </c>
      <c r="G212" s="8" t="s">
        <v>52</v>
      </c>
      <c r="H212" s="8" t="s">
        <v>387</v>
      </c>
      <c r="I212" s="8" t="s">
        <v>54</v>
      </c>
      <c r="J212" s="9"/>
      <c r="K212" s="8"/>
      <c r="L212" s="8" t="s">
        <v>502</v>
      </c>
      <c r="M212" s="8" t="s">
        <v>56</v>
      </c>
      <c r="N212" s="8"/>
      <c r="O212" s="8"/>
      <c r="P212" s="8"/>
      <c r="Q212" s="8"/>
      <c r="R212" s="9"/>
      <c r="S212" s="8"/>
      <c r="T212" s="9"/>
      <c r="U212" s="10" t="str">
        <f aca="true">IF(B212="","",IF(OR(P212&lt;&gt;"",I212="می‌باشد"),"بسته",IF(AND(L212&lt;&gt;"",W212=""),"خطای فرمت تاریخ ایجاد",IF(AND(H212&lt;&gt;"",AA212=""),"خطای فرمت مهلت",IF(AND(H212&lt;&gt;"",AD212&lt;&gt;"",TODAY()&gt;AD212),"تاخیر",IF(L212&lt;&gt;"","در حال انجام",""))))))</f>
        <v>بسته</v>
      </c>
      <c r="V212" s="7" t="n">
        <f aca="true">IF(U212="تاخیر",TODAY()-AD212,IF(AND(U212="بسته",AH212&lt;&gt;"",AD212&lt;&gt;"",AH212&gt;AD212),AH212-AD212,0))</f>
        <v>0</v>
      </c>
      <c r="W212" s="7" t="n">
        <f aca="false">IF(L212="","",VALUE(LEFT(L212,FIND("/",L212)-1)))</f>
        <v>1405</v>
      </c>
      <c r="X212" s="7" t="n">
        <f aca="false">IF(L212="","",VALUE(MID(L212,FIND("/",L212)+1,FIND("/",L212,FIND("/",L212)+1)-FIND("/",L212)-1)))</f>
        <v>6</v>
      </c>
      <c r="Y212" s="7" t="n">
        <f aca="false">IF(L212="","",VALUE(MID(L212,FIND("/",L212,FIND("/",L212)+1)+1,LEN(L212)-FIND("/",L212,FIND("/",L212)+1))))</f>
        <v>10</v>
      </c>
      <c r="Z212" s="11" t="n">
        <f aca="false">IF(OR(L212="",W212=""),"",IFERROR(INDEX('لیست‌ها'!$Q$3:$Q$53,MATCH(W212,'لیست‌ها'!$P$3:$P$53,0))+IF(X212&lt;=6,(X212-1)*31+Y212,IF(X212&lt;=11,186+(X212-7)*30+Y212,336+Y212))-1,""))</f>
        <v>46266</v>
      </c>
      <c r="AA212" s="7" t="n">
        <f aca="false">IF(H212="","",VALUE(LEFT(H212,FIND("/",H212)-1)))</f>
        <v>1405</v>
      </c>
      <c r="AB212" s="7" t="n">
        <f aca="false">IF(H212="","",VALUE(MID(H212,FIND("/",H212)+1,FIND("/",H212,FIND("/",H212)+1)-FIND("/",H212)-1)))</f>
        <v>6</v>
      </c>
      <c r="AC212" s="7" t="n">
        <f aca="false">IF(H212="","",VALUE(MID(H212,FIND("/",H212,FIND("/",H212)+1)+1,LEN(H212)-FIND("/",H212,FIND("/",H212)+1))))</f>
        <v>31</v>
      </c>
      <c r="AD212" s="11" t="n">
        <f aca="false">IF(OR(H212="",AA212=""),"",IFERROR(INDEX('لیست‌ها'!$Q$3:$Q$53,MATCH(AA212,'لیست‌ها'!$P$3:$P$53,0))+IF(AB212&lt;=6,(AB212-1)*31+AC212,IF(AB212&lt;=11,186+(AB212-7)*30+AC212,336+AC212))-1,""))</f>
        <v>46287</v>
      </c>
      <c r="AE212" s="7" t="str">
        <f aca="false">IF(P212="","",VALUE(LEFT(P212,FIND("/",P212)-1)))</f>
        <v/>
      </c>
      <c r="AF212" s="7" t="str">
        <f aca="false">IF(P212="","",VALUE(MID(P212,FIND("/",P212)+1,FIND("/",P212,FIND("/",P212)+1)-FIND("/",P212)-1)))</f>
        <v/>
      </c>
      <c r="AG212" s="7" t="str">
        <f aca="false">IF(P212="","",VALUE(MID(P212,FIND("/",P212,FIND("/",P212)+1)+1,LEN(P212)-FIND("/",P212,FIND("/",P212)+1))))</f>
        <v/>
      </c>
      <c r="AH212" s="7" t="str">
        <f aca="false">IF(OR(P212="",AE212=""),"",IFERROR(INDEX('لیست‌ها'!$Q$3:$Q$53,MATCH(AE212,'لیست‌ها'!$P$3:$P$53,0))+IF(AF212&lt;=6,(AF212-1)*31+AG212,IF(AF212&lt;=11,186+(AF212-7)*30+AG212,336+AG212))-1,""))</f>
        <v/>
      </c>
      <c r="AI212" s="7" t="str">
        <f aca="false">IF(W212="","",W212&amp;"-"&amp;TEXT(X212,"00"))</f>
        <v>1405-06</v>
      </c>
      <c r="AJ212" s="7" t="n">
        <f aca="false">IF(W212="","",W212*12+X212)</f>
        <v>16866</v>
      </c>
      <c r="AK212" s="7" t="str">
        <f aca="false">IF(U212="تاخیر",V212+ROW()/100000,"")</f>
        <v/>
      </c>
    </row>
    <row r="213" customFormat="false" ht="15" hidden="false" customHeight="false" outlineLevel="0" collapsed="false">
      <c r="A213" s="7" t="n">
        <f aca="false">IF(B213="","",ROW()-3)</f>
        <v>210</v>
      </c>
      <c r="B213" s="8" t="s">
        <v>503</v>
      </c>
      <c r="C213" s="8" t="s">
        <v>38</v>
      </c>
      <c r="D213" s="8" t="s">
        <v>89</v>
      </c>
      <c r="E213" s="9" t="s">
        <v>108</v>
      </c>
      <c r="F213" s="9" t="s">
        <v>91</v>
      </c>
      <c r="G213" s="8" t="s">
        <v>92</v>
      </c>
      <c r="H213" s="8" t="s">
        <v>387</v>
      </c>
      <c r="I213" s="8" t="s">
        <v>54</v>
      </c>
      <c r="J213" s="9"/>
      <c r="K213" s="8"/>
      <c r="L213" s="8" t="s">
        <v>502</v>
      </c>
      <c r="M213" s="8" t="s">
        <v>56</v>
      </c>
      <c r="N213" s="8"/>
      <c r="O213" s="8"/>
      <c r="P213" s="8"/>
      <c r="Q213" s="8"/>
      <c r="R213" s="9"/>
      <c r="S213" s="8"/>
      <c r="T213" s="9"/>
      <c r="U213" s="10" t="str">
        <f aca="true">IF(B213="","",IF(OR(P213&lt;&gt;"",I213="می‌باشد"),"بسته",IF(AND(L213&lt;&gt;"",W213=""),"خطای فرمت تاریخ ایجاد",IF(AND(H213&lt;&gt;"",AA213=""),"خطای فرمت مهلت",IF(AND(H213&lt;&gt;"",AD213&lt;&gt;"",TODAY()&gt;AD213),"تاخیر",IF(L213&lt;&gt;"","در حال انجام",""))))))</f>
        <v>بسته</v>
      </c>
      <c r="V213" s="7" t="n">
        <f aca="true">IF(U213="تاخیر",TODAY()-AD213,IF(AND(U213="بسته",AH213&lt;&gt;"",AD213&lt;&gt;"",AH213&gt;AD213),AH213-AD213,0))</f>
        <v>0</v>
      </c>
      <c r="W213" s="7" t="n">
        <f aca="false">IF(L213="","",VALUE(LEFT(L213,FIND("/",L213)-1)))</f>
        <v>1405</v>
      </c>
      <c r="X213" s="7" t="n">
        <f aca="false">IF(L213="","",VALUE(MID(L213,FIND("/",L213)+1,FIND("/",L213,FIND("/",L213)+1)-FIND("/",L213)-1)))</f>
        <v>6</v>
      </c>
      <c r="Y213" s="7" t="n">
        <f aca="false">IF(L213="","",VALUE(MID(L213,FIND("/",L213,FIND("/",L213)+1)+1,LEN(L213)-FIND("/",L213,FIND("/",L213)+1))))</f>
        <v>10</v>
      </c>
      <c r="Z213" s="11" t="n">
        <f aca="false">IF(OR(L213="",W213=""),"",IFERROR(INDEX('لیست‌ها'!$Q$3:$Q$53,MATCH(W213,'لیست‌ها'!$P$3:$P$53,0))+IF(X213&lt;=6,(X213-1)*31+Y213,IF(X213&lt;=11,186+(X213-7)*30+Y213,336+Y213))-1,""))</f>
        <v>46266</v>
      </c>
      <c r="AA213" s="7" t="n">
        <f aca="false">IF(H213="","",VALUE(LEFT(H213,FIND("/",H213)-1)))</f>
        <v>1405</v>
      </c>
      <c r="AB213" s="7" t="n">
        <f aca="false">IF(H213="","",VALUE(MID(H213,FIND("/",H213)+1,FIND("/",H213,FIND("/",H213)+1)-FIND("/",H213)-1)))</f>
        <v>6</v>
      </c>
      <c r="AC213" s="7" t="n">
        <f aca="false">IF(H213="","",VALUE(MID(H213,FIND("/",H213,FIND("/",H213)+1)+1,LEN(H213)-FIND("/",H213,FIND("/",H213)+1))))</f>
        <v>31</v>
      </c>
      <c r="AD213" s="11" t="n">
        <f aca="false">IF(OR(H213="",AA213=""),"",IFERROR(INDEX('لیست‌ها'!$Q$3:$Q$53,MATCH(AA213,'لیست‌ها'!$P$3:$P$53,0))+IF(AB213&lt;=6,(AB213-1)*31+AC213,IF(AB213&lt;=11,186+(AB213-7)*30+AC213,336+AC213))-1,""))</f>
        <v>46287</v>
      </c>
      <c r="AE213" s="7" t="str">
        <f aca="false">IF(P213="","",VALUE(LEFT(P213,FIND("/",P213)-1)))</f>
        <v/>
      </c>
      <c r="AF213" s="7" t="str">
        <f aca="false">IF(P213="","",VALUE(MID(P213,FIND("/",P213)+1,FIND("/",P213,FIND("/",P213)+1)-FIND("/",P213)-1)))</f>
        <v/>
      </c>
      <c r="AG213" s="7" t="str">
        <f aca="false">IF(P213="","",VALUE(MID(P213,FIND("/",P213,FIND("/",P213)+1)+1,LEN(P213)-FIND("/",P213,FIND("/",P213)+1))))</f>
        <v/>
      </c>
      <c r="AH213" s="7" t="str">
        <f aca="false">IF(OR(P213="",AE213=""),"",IFERROR(INDEX('لیست‌ها'!$Q$3:$Q$53,MATCH(AE213,'لیست‌ها'!$P$3:$P$53,0))+IF(AF213&lt;=6,(AF213-1)*31+AG213,IF(AF213&lt;=11,186+(AF213-7)*30+AG213,336+AG213))-1,""))</f>
        <v/>
      </c>
      <c r="AI213" s="7" t="str">
        <f aca="false">IF(W213="","",W213&amp;"-"&amp;TEXT(X213,"00"))</f>
        <v>1405-06</v>
      </c>
      <c r="AJ213" s="7" t="n">
        <f aca="false">IF(W213="","",W213*12+X213)</f>
        <v>16866</v>
      </c>
      <c r="AK213" s="7" t="str">
        <f aca="false">IF(U213="تاخیر",V213+ROW()/100000,"")</f>
        <v/>
      </c>
    </row>
    <row r="214" customFormat="false" ht="15" hidden="false" customHeight="false" outlineLevel="0" collapsed="false">
      <c r="A214" s="7" t="n">
        <f aca="false">IF(B214="","",ROW()-3)</f>
        <v>211</v>
      </c>
      <c r="B214" s="8" t="s">
        <v>500</v>
      </c>
      <c r="C214" s="8" t="s">
        <v>38</v>
      </c>
      <c r="D214" s="8" t="s">
        <v>47</v>
      </c>
      <c r="E214" s="9" t="s">
        <v>501</v>
      </c>
      <c r="F214" s="9" t="s">
        <v>430</v>
      </c>
      <c r="G214" s="8" t="s">
        <v>309</v>
      </c>
      <c r="H214" s="8" t="s">
        <v>489</v>
      </c>
      <c r="I214" s="8" t="s">
        <v>54</v>
      </c>
      <c r="J214" s="9"/>
      <c r="K214" s="8"/>
      <c r="L214" s="8" t="s">
        <v>502</v>
      </c>
      <c r="M214" s="8" t="s">
        <v>56</v>
      </c>
      <c r="N214" s="8"/>
      <c r="O214" s="8"/>
      <c r="P214" s="8"/>
      <c r="Q214" s="8"/>
      <c r="R214" s="9"/>
      <c r="S214" s="8"/>
      <c r="T214" s="9"/>
      <c r="U214" s="10" t="str">
        <f aca="true">IF(B214="","",IF(OR(P214&lt;&gt;"",I214="می‌باشد"),"بسته",IF(AND(L214&lt;&gt;"",W214=""),"خطای فرمت تاریخ ایجاد",IF(AND(H214&lt;&gt;"",AA214=""),"خطای فرمت مهلت",IF(AND(H214&lt;&gt;"",AD214&lt;&gt;"",TODAY()&gt;AD214),"تاخیر",IF(L214&lt;&gt;"","در حال انجام",""))))))</f>
        <v>بسته</v>
      </c>
      <c r="V214" s="7" t="n">
        <f aca="true">IF(U214="تاخیر",TODAY()-AD214,IF(AND(U214="بسته",AH214&lt;&gt;"",AD214&lt;&gt;"",AH214&gt;AD214),AH214-AD214,0))</f>
        <v>0</v>
      </c>
      <c r="W214" s="7" t="n">
        <f aca="false">IF(L214="","",VALUE(LEFT(L214,FIND("/",L214)-1)))</f>
        <v>1405</v>
      </c>
      <c r="X214" s="7" t="n">
        <f aca="false">IF(L214="","",VALUE(MID(L214,FIND("/",L214)+1,FIND("/",L214,FIND("/",L214)+1)-FIND("/",L214)-1)))</f>
        <v>6</v>
      </c>
      <c r="Y214" s="7" t="n">
        <f aca="false">IF(L214="","",VALUE(MID(L214,FIND("/",L214,FIND("/",L214)+1)+1,LEN(L214)-FIND("/",L214,FIND("/",L214)+1))))</f>
        <v>10</v>
      </c>
      <c r="Z214" s="11" t="n">
        <f aca="false">IF(OR(L214="",W214=""),"",IFERROR(INDEX('لیست‌ها'!$Q$3:$Q$53,MATCH(W214,'لیست‌ها'!$P$3:$P$53,0))+IF(X214&lt;=6,(X214-1)*31+Y214,IF(X214&lt;=11,186+(X214-7)*30+Y214,336+Y214))-1,""))</f>
        <v>46266</v>
      </c>
      <c r="AA214" s="7" t="n">
        <f aca="false">IF(H214="","",VALUE(LEFT(H214,FIND("/",H214)-1)))</f>
        <v>1405</v>
      </c>
      <c r="AB214" s="7" t="n">
        <f aca="false">IF(H214="","",VALUE(MID(H214,FIND("/",H214)+1,FIND("/",H214,FIND("/",H214)+1)-FIND("/",H214)-1)))</f>
        <v>7</v>
      </c>
      <c r="AC214" s="7" t="n">
        <f aca="false">IF(H214="","",VALUE(MID(H214,FIND("/",H214,FIND("/",H214)+1)+1,LEN(H214)-FIND("/",H214,FIND("/",H214)+1))))</f>
        <v>7</v>
      </c>
      <c r="AD214" s="11" t="n">
        <f aca="false">IF(OR(H214="",AA214=""),"",IFERROR(INDEX('لیست‌ها'!$Q$3:$Q$53,MATCH(AA214,'لیست‌ها'!$P$3:$P$53,0))+IF(AB214&lt;=6,(AB214-1)*31+AC214,IF(AB214&lt;=11,186+(AB214-7)*30+AC214,336+AC214))-1,""))</f>
        <v>46294</v>
      </c>
      <c r="AE214" s="7" t="str">
        <f aca="false">IF(P214="","",VALUE(LEFT(P214,FIND("/",P214)-1)))</f>
        <v/>
      </c>
      <c r="AF214" s="7" t="str">
        <f aca="false">IF(P214="","",VALUE(MID(P214,FIND("/",P214)+1,FIND("/",P214,FIND("/",P214)+1)-FIND("/",P214)-1)))</f>
        <v/>
      </c>
      <c r="AG214" s="7" t="str">
        <f aca="false">IF(P214="","",VALUE(MID(P214,FIND("/",P214,FIND("/",P214)+1)+1,LEN(P214)-FIND("/",P214,FIND("/",P214)+1))))</f>
        <v/>
      </c>
      <c r="AH214" s="7" t="str">
        <f aca="false">IF(OR(P214="",AE214=""),"",IFERROR(INDEX('لیست‌ها'!$Q$3:$Q$53,MATCH(AE214,'لیست‌ها'!$P$3:$P$53,0))+IF(AF214&lt;=6,(AF214-1)*31+AG214,IF(AF214&lt;=11,186+(AF214-7)*30+AG214,336+AG214))-1,""))</f>
        <v/>
      </c>
      <c r="AI214" s="7" t="str">
        <f aca="false">IF(W214="","",W214&amp;"-"&amp;TEXT(X214,"00"))</f>
        <v>1405-06</v>
      </c>
      <c r="AJ214" s="7" t="n">
        <f aca="false">IF(W214="","",W214*12+X214)</f>
        <v>16866</v>
      </c>
      <c r="AK214" s="7" t="str">
        <f aca="false">IF(U214="تاخیر",V214+ROW()/100000,"")</f>
        <v/>
      </c>
    </row>
    <row r="215" customFormat="false" ht="15" hidden="false" customHeight="false" outlineLevel="0" collapsed="false">
      <c r="A215" s="7" t="n">
        <f aca="false">IF(B215="","",ROW()-3)</f>
        <v>212</v>
      </c>
      <c r="B215" s="8" t="s">
        <v>497</v>
      </c>
      <c r="C215" s="8" t="s">
        <v>38</v>
      </c>
      <c r="D215" s="8" t="s">
        <v>47</v>
      </c>
      <c r="E215" s="9" t="s">
        <v>498</v>
      </c>
      <c r="F215" s="9" t="s">
        <v>430</v>
      </c>
      <c r="G215" s="8" t="s">
        <v>309</v>
      </c>
      <c r="H215" s="8" t="s">
        <v>489</v>
      </c>
      <c r="I215" s="8"/>
      <c r="J215" s="9"/>
      <c r="K215" s="8"/>
      <c r="L215" s="8" t="s">
        <v>499</v>
      </c>
      <c r="M215" s="8" t="s">
        <v>374</v>
      </c>
      <c r="N215" s="8"/>
      <c r="O215" s="8"/>
      <c r="P215" s="8"/>
      <c r="Q215" s="8"/>
      <c r="R215" s="9"/>
      <c r="S215" s="8"/>
      <c r="T215" s="9"/>
      <c r="U215" s="10" t="str">
        <f aca="true">IF(B215="","",IF(OR(P215&lt;&gt;"",I215="می‌باشد"),"بسته",IF(AND(L215&lt;&gt;"",W215=""),"خطای فرمت تاریخ ایجاد",IF(AND(H215&lt;&gt;"",AA215=""),"خطای فرمت مهلت",IF(AND(H215&lt;&gt;"",AD215&lt;&gt;"",TODAY()&gt;AD215),"تاخیر",IF(L215&lt;&gt;"","در حال انجام",""))))))</f>
        <v>تاخیر</v>
      </c>
      <c r="V215" s="7" t="n">
        <f aca="true">IF(U215="تاخیر",TODAY()-AD215,IF(AND(U215="بسته",AH215&lt;&gt;"",AD215&lt;&gt;"",AH215&gt;AD215),AH215-AD215,0))</f>
        <v>1</v>
      </c>
      <c r="W215" s="7" t="n">
        <f aca="false">IF(L215="","",VALUE(LEFT(L215,FIND("/",L215)-1)))</f>
        <v>1405</v>
      </c>
      <c r="X215" s="7" t="n">
        <f aca="false">IF(L215="","",VALUE(MID(L215,FIND("/",L215)+1,FIND("/",L215,FIND("/",L215)+1)-FIND("/",L215)-1)))</f>
        <v>6</v>
      </c>
      <c r="Y215" s="7" t="n">
        <f aca="false">IF(L215="","",VALUE(MID(L215,FIND("/",L215,FIND("/",L215)+1)+1,LEN(L215)-FIND("/",L215,FIND("/",L215)+1))))</f>
        <v>11</v>
      </c>
      <c r="Z215" s="11" t="n">
        <f aca="false">IF(OR(L215="",W215=""),"",IFERROR(INDEX('لیست‌ها'!$Q$3:$Q$53,MATCH(W215,'لیست‌ها'!$P$3:$P$53,0))+IF(X215&lt;=6,(X215-1)*31+Y215,IF(X215&lt;=11,186+(X215-7)*30+Y215,336+Y215))-1,""))</f>
        <v>46267</v>
      </c>
      <c r="AA215" s="7" t="n">
        <f aca="false">IF(H215="","",VALUE(LEFT(H215,FIND("/",H215)-1)))</f>
        <v>1405</v>
      </c>
      <c r="AB215" s="7" t="n">
        <f aca="false">IF(H215="","",VALUE(MID(H215,FIND("/",H215)+1,FIND("/",H215,FIND("/",H215)+1)-FIND("/",H215)-1)))</f>
        <v>7</v>
      </c>
      <c r="AC215" s="7" t="n">
        <f aca="false">IF(H215="","",VALUE(MID(H215,FIND("/",H215,FIND("/",H215)+1)+1,LEN(H215)-FIND("/",H215,FIND("/",H215)+1))))</f>
        <v>7</v>
      </c>
      <c r="AD215" s="11" t="n">
        <f aca="false">IF(OR(H215="",AA215=""),"",IFERROR(INDEX('لیست‌ها'!$Q$3:$Q$53,MATCH(AA215,'لیست‌ها'!$P$3:$P$53,0))+IF(AB215&lt;=6,(AB215-1)*31+AC215,IF(AB215&lt;=11,186+(AB215-7)*30+AC215,336+AC215))-1,""))</f>
        <v>46294</v>
      </c>
      <c r="AE215" s="7" t="str">
        <f aca="false">IF(P215="","",VALUE(LEFT(P215,FIND("/",P215)-1)))</f>
        <v/>
      </c>
      <c r="AF215" s="7" t="str">
        <f aca="false">IF(P215="","",VALUE(MID(P215,FIND("/",P215)+1,FIND("/",P215,FIND("/",P215)+1)-FIND("/",P215)-1)))</f>
        <v/>
      </c>
      <c r="AG215" s="7" t="str">
        <f aca="false">IF(P215="","",VALUE(MID(P215,FIND("/",P215,FIND("/",P215)+1)+1,LEN(P215)-FIND("/",P215,FIND("/",P215)+1))))</f>
        <v/>
      </c>
      <c r="AH215" s="7" t="str">
        <f aca="false">IF(OR(P215="",AE215=""),"",IFERROR(INDEX('لیست‌ها'!$Q$3:$Q$53,MATCH(AE215,'لیست‌ها'!$P$3:$P$53,0))+IF(AF215&lt;=6,(AF215-1)*31+AG215,IF(AF215&lt;=11,186+(AF215-7)*30+AG215,336+AG215))-1,""))</f>
        <v/>
      </c>
      <c r="AI215" s="7" t="str">
        <f aca="false">IF(W215="","",W215&amp;"-"&amp;TEXT(X215,"00"))</f>
        <v>1405-06</v>
      </c>
      <c r="AJ215" s="7" t="n">
        <f aca="false">IF(W215="","",W215*12+X215)</f>
        <v>16866</v>
      </c>
      <c r="AK215" s="7" t="n">
        <f aca="false">IF(U215="تاخیر",V215+ROW()/100000,"")</f>
        <v>1.00213</v>
      </c>
    </row>
    <row r="216" customFormat="false" ht="15" hidden="false" customHeight="false" outlineLevel="0" collapsed="false">
      <c r="A216" s="7" t="n">
        <f aca="false">IF(B216="","",ROW()-3)</f>
        <v>213</v>
      </c>
      <c r="B216" s="8" t="s">
        <v>496</v>
      </c>
      <c r="C216" s="8" t="s">
        <v>38</v>
      </c>
      <c r="D216" s="8" t="s">
        <v>47</v>
      </c>
      <c r="E216" s="9" t="s">
        <v>63</v>
      </c>
      <c r="F216" s="9" t="s">
        <v>51</v>
      </c>
      <c r="G216" s="8" t="s">
        <v>52</v>
      </c>
      <c r="H216" s="8" t="s">
        <v>489</v>
      </c>
      <c r="I216" s="8" t="s">
        <v>54</v>
      </c>
      <c r="J216" s="9"/>
      <c r="K216" s="8"/>
      <c r="L216" s="8" t="s">
        <v>492</v>
      </c>
      <c r="M216" s="8" t="s">
        <v>56</v>
      </c>
      <c r="N216" s="8"/>
      <c r="O216" s="8"/>
      <c r="P216" s="8"/>
      <c r="Q216" s="8"/>
      <c r="R216" s="9"/>
      <c r="S216" s="8"/>
      <c r="T216" s="9"/>
      <c r="U216" s="10" t="str">
        <f aca="true">IF(B216="","",IF(OR(P216&lt;&gt;"",I216="می‌باشد"),"بسته",IF(AND(L216&lt;&gt;"",W216=""),"خطای فرمت تاریخ ایجاد",IF(AND(H216&lt;&gt;"",AA216=""),"خطای فرمت مهلت",IF(AND(H216&lt;&gt;"",AD216&lt;&gt;"",TODAY()&gt;AD216),"تاخیر",IF(L216&lt;&gt;"","در حال انجام",""))))))</f>
        <v>بسته</v>
      </c>
      <c r="V216" s="7" t="n">
        <f aca="true">IF(U216="تاخیر",TODAY()-AD216,IF(AND(U216="بسته",AH216&lt;&gt;"",AD216&lt;&gt;"",AH216&gt;AD216),AH216-AD216,0))</f>
        <v>0</v>
      </c>
      <c r="W216" s="7" t="n">
        <f aca="false">IF(L216="","",VALUE(LEFT(L216,FIND("/",L216)-1)))</f>
        <v>1405</v>
      </c>
      <c r="X216" s="7" t="n">
        <f aca="false">IF(L216="","",VALUE(MID(L216,FIND("/",L216)+1,FIND("/",L216,FIND("/",L216)+1)-FIND("/",L216)-1)))</f>
        <v>6</v>
      </c>
      <c r="Y216" s="7" t="n">
        <f aca="false">IF(L216="","",VALUE(MID(L216,FIND("/",L216,FIND("/",L216)+1)+1,LEN(L216)-FIND("/",L216,FIND("/",L216)+1))))</f>
        <v>14</v>
      </c>
      <c r="Z216" s="11" t="n">
        <f aca="false">IF(OR(L216="",W216=""),"",IFERROR(INDEX('لیست‌ها'!$Q$3:$Q$53,MATCH(W216,'لیست‌ها'!$P$3:$P$53,0))+IF(X216&lt;=6,(X216-1)*31+Y216,IF(X216&lt;=11,186+(X216-7)*30+Y216,336+Y216))-1,""))</f>
        <v>46270</v>
      </c>
      <c r="AA216" s="7" t="n">
        <f aca="false">IF(H216="","",VALUE(LEFT(H216,FIND("/",H216)-1)))</f>
        <v>1405</v>
      </c>
      <c r="AB216" s="7" t="n">
        <f aca="false">IF(H216="","",VALUE(MID(H216,FIND("/",H216)+1,FIND("/",H216,FIND("/",H216)+1)-FIND("/",H216)-1)))</f>
        <v>7</v>
      </c>
      <c r="AC216" s="7" t="n">
        <f aca="false">IF(H216="","",VALUE(MID(H216,FIND("/",H216,FIND("/",H216)+1)+1,LEN(H216)-FIND("/",H216,FIND("/",H216)+1))))</f>
        <v>7</v>
      </c>
      <c r="AD216" s="11" t="n">
        <f aca="false">IF(OR(H216="",AA216=""),"",IFERROR(INDEX('لیست‌ها'!$Q$3:$Q$53,MATCH(AA216,'لیست‌ها'!$P$3:$P$53,0))+IF(AB216&lt;=6,(AB216-1)*31+AC216,IF(AB216&lt;=11,186+(AB216-7)*30+AC216,336+AC216))-1,""))</f>
        <v>46294</v>
      </c>
      <c r="AE216" s="7" t="str">
        <f aca="false">IF(P216="","",VALUE(LEFT(P216,FIND("/",P216)-1)))</f>
        <v/>
      </c>
      <c r="AF216" s="7" t="str">
        <f aca="false">IF(P216="","",VALUE(MID(P216,FIND("/",P216)+1,FIND("/",P216,FIND("/",P216)+1)-FIND("/",P216)-1)))</f>
        <v/>
      </c>
      <c r="AG216" s="7" t="str">
        <f aca="false">IF(P216="","",VALUE(MID(P216,FIND("/",P216,FIND("/",P216)+1)+1,LEN(P216)-FIND("/",P216,FIND("/",P216)+1))))</f>
        <v/>
      </c>
      <c r="AH216" s="7" t="str">
        <f aca="false">IF(OR(P216="",AE216=""),"",IFERROR(INDEX('لیست‌ها'!$Q$3:$Q$53,MATCH(AE216,'لیست‌ها'!$P$3:$P$53,0))+IF(AF216&lt;=6,(AF216-1)*31+AG216,IF(AF216&lt;=11,186+(AF216-7)*30+AG216,336+AG216))-1,""))</f>
        <v/>
      </c>
      <c r="AI216" s="7" t="str">
        <f aca="false">IF(W216="","",W216&amp;"-"&amp;TEXT(X216,"00"))</f>
        <v>1405-06</v>
      </c>
      <c r="AJ216" s="7" t="n">
        <f aca="false">IF(W216="","",W216*12+X216)</f>
        <v>16866</v>
      </c>
      <c r="AK216" s="7" t="str">
        <f aca="false">IF(U216="تاخیر",V216+ROW()/100000,"")</f>
        <v/>
      </c>
    </row>
    <row r="217" customFormat="false" ht="15" hidden="false" customHeight="false" outlineLevel="0" collapsed="false">
      <c r="A217" s="7" t="n">
        <f aca="false">IF(B217="","",ROW()-3)</f>
        <v>214</v>
      </c>
      <c r="B217" s="8" t="s">
        <v>495</v>
      </c>
      <c r="C217" s="8" t="s">
        <v>38</v>
      </c>
      <c r="D217" s="8" t="s">
        <v>47</v>
      </c>
      <c r="E217" s="9" t="s">
        <v>58</v>
      </c>
      <c r="F217" s="9" t="s">
        <v>51</v>
      </c>
      <c r="G217" s="8" t="s">
        <v>52</v>
      </c>
      <c r="H217" s="8" t="s">
        <v>489</v>
      </c>
      <c r="I217" s="8" t="s">
        <v>54</v>
      </c>
      <c r="J217" s="9"/>
      <c r="K217" s="8"/>
      <c r="L217" s="8" t="s">
        <v>492</v>
      </c>
      <c r="M217" s="8" t="s">
        <v>56</v>
      </c>
      <c r="N217" s="8"/>
      <c r="O217" s="8"/>
      <c r="P217" s="8"/>
      <c r="Q217" s="8"/>
      <c r="R217" s="9"/>
      <c r="S217" s="8"/>
      <c r="T217" s="9"/>
      <c r="U217" s="10" t="str">
        <f aca="true">IF(B217="","",IF(OR(P217&lt;&gt;"",I217="می‌باشد"),"بسته",IF(AND(L217&lt;&gt;"",W217=""),"خطای فرمت تاریخ ایجاد",IF(AND(H217&lt;&gt;"",AA217=""),"خطای فرمت مهلت",IF(AND(H217&lt;&gt;"",AD217&lt;&gt;"",TODAY()&gt;AD217),"تاخیر",IF(L217&lt;&gt;"","در حال انجام",""))))))</f>
        <v>بسته</v>
      </c>
      <c r="V217" s="7" t="n">
        <f aca="true">IF(U217="تاخیر",TODAY()-AD217,IF(AND(U217="بسته",AH217&lt;&gt;"",AD217&lt;&gt;"",AH217&gt;AD217),AH217-AD217,0))</f>
        <v>0</v>
      </c>
      <c r="W217" s="7" t="n">
        <f aca="false">IF(L217="","",VALUE(LEFT(L217,FIND("/",L217)-1)))</f>
        <v>1405</v>
      </c>
      <c r="X217" s="7" t="n">
        <f aca="false">IF(L217="","",VALUE(MID(L217,FIND("/",L217)+1,FIND("/",L217,FIND("/",L217)+1)-FIND("/",L217)-1)))</f>
        <v>6</v>
      </c>
      <c r="Y217" s="7" t="n">
        <f aca="false">IF(L217="","",VALUE(MID(L217,FIND("/",L217,FIND("/",L217)+1)+1,LEN(L217)-FIND("/",L217,FIND("/",L217)+1))))</f>
        <v>14</v>
      </c>
      <c r="Z217" s="11" t="n">
        <f aca="false">IF(OR(L217="",W217=""),"",IFERROR(INDEX('لیست‌ها'!$Q$3:$Q$53,MATCH(W217,'لیست‌ها'!$P$3:$P$53,0))+IF(X217&lt;=6,(X217-1)*31+Y217,IF(X217&lt;=11,186+(X217-7)*30+Y217,336+Y217))-1,""))</f>
        <v>46270</v>
      </c>
      <c r="AA217" s="7" t="n">
        <f aca="false">IF(H217="","",VALUE(LEFT(H217,FIND("/",H217)-1)))</f>
        <v>1405</v>
      </c>
      <c r="AB217" s="7" t="n">
        <f aca="false">IF(H217="","",VALUE(MID(H217,FIND("/",H217)+1,FIND("/",H217,FIND("/",H217)+1)-FIND("/",H217)-1)))</f>
        <v>7</v>
      </c>
      <c r="AC217" s="7" t="n">
        <f aca="false">IF(H217="","",VALUE(MID(H217,FIND("/",H217,FIND("/",H217)+1)+1,LEN(H217)-FIND("/",H217,FIND("/",H217)+1))))</f>
        <v>7</v>
      </c>
      <c r="AD217" s="11" t="n">
        <f aca="false">IF(OR(H217="",AA217=""),"",IFERROR(INDEX('لیست‌ها'!$Q$3:$Q$53,MATCH(AA217,'لیست‌ها'!$P$3:$P$53,0))+IF(AB217&lt;=6,(AB217-1)*31+AC217,IF(AB217&lt;=11,186+(AB217-7)*30+AC217,336+AC217))-1,""))</f>
        <v>46294</v>
      </c>
      <c r="AE217" s="7" t="str">
        <f aca="false">IF(P217="","",VALUE(LEFT(P217,FIND("/",P217)-1)))</f>
        <v/>
      </c>
      <c r="AF217" s="7" t="str">
        <f aca="false">IF(P217="","",VALUE(MID(P217,FIND("/",P217)+1,FIND("/",P217,FIND("/",P217)+1)-FIND("/",P217)-1)))</f>
        <v/>
      </c>
      <c r="AG217" s="7" t="str">
        <f aca="false">IF(P217="","",VALUE(MID(P217,FIND("/",P217,FIND("/",P217)+1)+1,LEN(P217)-FIND("/",P217,FIND("/",P217)+1))))</f>
        <v/>
      </c>
      <c r="AH217" s="7" t="str">
        <f aca="false">IF(OR(P217="",AE217=""),"",IFERROR(INDEX('لیست‌ها'!$Q$3:$Q$53,MATCH(AE217,'لیست‌ها'!$P$3:$P$53,0))+IF(AF217&lt;=6,(AF217-1)*31+AG217,IF(AF217&lt;=11,186+(AF217-7)*30+AG217,336+AG217))-1,""))</f>
        <v/>
      </c>
      <c r="AI217" s="7" t="str">
        <f aca="false">IF(W217="","",W217&amp;"-"&amp;TEXT(X217,"00"))</f>
        <v>1405-06</v>
      </c>
      <c r="AJ217" s="7" t="n">
        <f aca="false">IF(W217="","",W217*12+X217)</f>
        <v>16866</v>
      </c>
      <c r="AK217" s="7" t="str">
        <f aca="false">IF(U217="تاخیر",V217+ROW()/100000,"")</f>
        <v/>
      </c>
    </row>
    <row r="218" customFormat="false" ht="15" hidden="false" customHeight="false" outlineLevel="0" collapsed="false">
      <c r="A218" s="7" t="n">
        <f aca="false">IF(B218="","",ROW()-3)</f>
        <v>215</v>
      </c>
      <c r="B218" s="8" t="s">
        <v>494</v>
      </c>
      <c r="C218" s="8" t="s">
        <v>38</v>
      </c>
      <c r="D218" s="8" t="s">
        <v>47</v>
      </c>
      <c r="E218" s="9" t="s">
        <v>238</v>
      </c>
      <c r="F218" s="9" t="s">
        <v>51</v>
      </c>
      <c r="G218" s="8" t="s">
        <v>52</v>
      </c>
      <c r="H218" s="8" t="s">
        <v>489</v>
      </c>
      <c r="I218" s="8" t="s">
        <v>54</v>
      </c>
      <c r="J218" s="9"/>
      <c r="K218" s="8"/>
      <c r="L218" s="8" t="s">
        <v>492</v>
      </c>
      <c r="M218" s="8" t="s">
        <v>56</v>
      </c>
      <c r="N218" s="8"/>
      <c r="O218" s="8"/>
      <c r="P218" s="8"/>
      <c r="Q218" s="8"/>
      <c r="R218" s="9"/>
      <c r="S218" s="8"/>
      <c r="T218" s="9"/>
      <c r="U218" s="10" t="str">
        <f aca="true">IF(B218="","",IF(OR(P218&lt;&gt;"",I218="می‌باشد"),"بسته",IF(AND(L218&lt;&gt;"",W218=""),"خطای فرمت تاریخ ایجاد",IF(AND(H218&lt;&gt;"",AA218=""),"خطای فرمت مهلت",IF(AND(H218&lt;&gt;"",AD218&lt;&gt;"",TODAY()&gt;AD218),"تاخیر",IF(L218&lt;&gt;"","در حال انجام",""))))))</f>
        <v>بسته</v>
      </c>
      <c r="V218" s="7" t="n">
        <f aca="true">IF(U218="تاخیر",TODAY()-AD218,IF(AND(U218="بسته",AH218&lt;&gt;"",AD218&lt;&gt;"",AH218&gt;AD218),AH218-AD218,0))</f>
        <v>0</v>
      </c>
      <c r="W218" s="7" t="n">
        <f aca="false">IF(L218="","",VALUE(LEFT(L218,FIND("/",L218)-1)))</f>
        <v>1405</v>
      </c>
      <c r="X218" s="7" t="n">
        <f aca="false">IF(L218="","",VALUE(MID(L218,FIND("/",L218)+1,FIND("/",L218,FIND("/",L218)+1)-FIND("/",L218)-1)))</f>
        <v>6</v>
      </c>
      <c r="Y218" s="7" t="n">
        <f aca="false">IF(L218="","",VALUE(MID(L218,FIND("/",L218,FIND("/",L218)+1)+1,LEN(L218)-FIND("/",L218,FIND("/",L218)+1))))</f>
        <v>14</v>
      </c>
      <c r="Z218" s="11" t="n">
        <f aca="false">IF(OR(L218="",W218=""),"",IFERROR(INDEX('لیست‌ها'!$Q$3:$Q$53,MATCH(W218,'لیست‌ها'!$P$3:$P$53,0))+IF(X218&lt;=6,(X218-1)*31+Y218,IF(X218&lt;=11,186+(X218-7)*30+Y218,336+Y218))-1,""))</f>
        <v>46270</v>
      </c>
      <c r="AA218" s="7" t="n">
        <f aca="false">IF(H218="","",VALUE(LEFT(H218,FIND("/",H218)-1)))</f>
        <v>1405</v>
      </c>
      <c r="AB218" s="7" t="n">
        <f aca="false">IF(H218="","",VALUE(MID(H218,FIND("/",H218)+1,FIND("/",H218,FIND("/",H218)+1)-FIND("/",H218)-1)))</f>
        <v>7</v>
      </c>
      <c r="AC218" s="7" t="n">
        <f aca="false">IF(H218="","",VALUE(MID(H218,FIND("/",H218,FIND("/",H218)+1)+1,LEN(H218)-FIND("/",H218,FIND("/",H218)+1))))</f>
        <v>7</v>
      </c>
      <c r="AD218" s="11" t="n">
        <f aca="false">IF(OR(H218="",AA218=""),"",IFERROR(INDEX('لیست‌ها'!$Q$3:$Q$53,MATCH(AA218,'لیست‌ها'!$P$3:$P$53,0))+IF(AB218&lt;=6,(AB218-1)*31+AC218,IF(AB218&lt;=11,186+(AB218-7)*30+AC218,336+AC218))-1,""))</f>
        <v>46294</v>
      </c>
      <c r="AE218" s="7" t="str">
        <f aca="false">IF(P218="","",VALUE(LEFT(P218,FIND("/",P218)-1)))</f>
        <v/>
      </c>
      <c r="AF218" s="7" t="str">
        <f aca="false">IF(P218="","",VALUE(MID(P218,FIND("/",P218)+1,FIND("/",P218,FIND("/",P218)+1)-FIND("/",P218)-1)))</f>
        <v/>
      </c>
      <c r="AG218" s="7" t="str">
        <f aca="false">IF(P218="","",VALUE(MID(P218,FIND("/",P218,FIND("/",P218)+1)+1,LEN(P218)-FIND("/",P218,FIND("/",P218)+1))))</f>
        <v/>
      </c>
      <c r="AH218" s="7" t="str">
        <f aca="false">IF(OR(P218="",AE218=""),"",IFERROR(INDEX('لیست‌ها'!$Q$3:$Q$53,MATCH(AE218,'لیست‌ها'!$P$3:$P$53,0))+IF(AF218&lt;=6,(AF218-1)*31+AG218,IF(AF218&lt;=11,186+(AF218-7)*30+AG218,336+AG218))-1,""))</f>
        <v/>
      </c>
      <c r="AI218" s="7" t="str">
        <f aca="false">IF(W218="","",W218&amp;"-"&amp;TEXT(X218,"00"))</f>
        <v>1405-06</v>
      </c>
      <c r="AJ218" s="7" t="n">
        <f aca="false">IF(W218="","",W218*12+X218)</f>
        <v>16866</v>
      </c>
      <c r="AK218" s="7" t="str">
        <f aca="false">IF(U218="تاخیر",V218+ROW()/100000,"")</f>
        <v/>
      </c>
    </row>
    <row r="219" customFormat="false" ht="15" hidden="false" customHeight="false" outlineLevel="0" collapsed="false">
      <c r="A219" s="7" t="n">
        <f aca="false">IF(B219="","",ROW()-3)</f>
        <v>216</v>
      </c>
      <c r="B219" s="8" t="s">
        <v>493</v>
      </c>
      <c r="C219" s="8" t="s">
        <v>38</v>
      </c>
      <c r="D219" s="8" t="s">
        <v>47</v>
      </c>
      <c r="E219" s="9" t="s">
        <v>100</v>
      </c>
      <c r="F219" s="9" t="s">
        <v>51</v>
      </c>
      <c r="G219" s="8" t="s">
        <v>52</v>
      </c>
      <c r="H219" s="8" t="s">
        <v>489</v>
      </c>
      <c r="I219" s="8" t="s">
        <v>54</v>
      </c>
      <c r="J219" s="9"/>
      <c r="K219" s="8"/>
      <c r="L219" s="8" t="s">
        <v>492</v>
      </c>
      <c r="M219" s="8" t="s">
        <v>56</v>
      </c>
      <c r="N219" s="8"/>
      <c r="O219" s="8"/>
      <c r="P219" s="8"/>
      <c r="Q219" s="8"/>
      <c r="R219" s="9"/>
      <c r="S219" s="8"/>
      <c r="T219" s="9"/>
      <c r="U219" s="10" t="str">
        <f aca="true">IF(B219="","",IF(OR(P219&lt;&gt;"",I219="می‌باشد"),"بسته",IF(AND(L219&lt;&gt;"",W219=""),"خطای فرمت تاریخ ایجاد",IF(AND(H219&lt;&gt;"",AA219=""),"خطای فرمت مهلت",IF(AND(H219&lt;&gt;"",AD219&lt;&gt;"",TODAY()&gt;AD219),"تاخیر",IF(L219&lt;&gt;"","در حال انجام",""))))))</f>
        <v>بسته</v>
      </c>
      <c r="V219" s="7" t="n">
        <f aca="true">IF(U219="تاخیر",TODAY()-AD219,IF(AND(U219="بسته",AH219&lt;&gt;"",AD219&lt;&gt;"",AH219&gt;AD219),AH219-AD219,0))</f>
        <v>0</v>
      </c>
      <c r="W219" s="7" t="n">
        <f aca="false">IF(L219="","",VALUE(LEFT(L219,FIND("/",L219)-1)))</f>
        <v>1405</v>
      </c>
      <c r="X219" s="7" t="n">
        <f aca="false">IF(L219="","",VALUE(MID(L219,FIND("/",L219)+1,FIND("/",L219,FIND("/",L219)+1)-FIND("/",L219)-1)))</f>
        <v>6</v>
      </c>
      <c r="Y219" s="7" t="n">
        <f aca="false">IF(L219="","",VALUE(MID(L219,FIND("/",L219,FIND("/",L219)+1)+1,LEN(L219)-FIND("/",L219,FIND("/",L219)+1))))</f>
        <v>14</v>
      </c>
      <c r="Z219" s="11" t="n">
        <f aca="false">IF(OR(L219="",W219=""),"",IFERROR(INDEX('لیست‌ها'!$Q$3:$Q$53,MATCH(W219,'لیست‌ها'!$P$3:$P$53,0))+IF(X219&lt;=6,(X219-1)*31+Y219,IF(X219&lt;=11,186+(X219-7)*30+Y219,336+Y219))-1,""))</f>
        <v>46270</v>
      </c>
      <c r="AA219" s="7" t="n">
        <f aca="false">IF(H219="","",VALUE(LEFT(H219,FIND("/",H219)-1)))</f>
        <v>1405</v>
      </c>
      <c r="AB219" s="7" t="n">
        <f aca="false">IF(H219="","",VALUE(MID(H219,FIND("/",H219)+1,FIND("/",H219,FIND("/",H219)+1)-FIND("/",H219)-1)))</f>
        <v>7</v>
      </c>
      <c r="AC219" s="7" t="n">
        <f aca="false">IF(H219="","",VALUE(MID(H219,FIND("/",H219,FIND("/",H219)+1)+1,LEN(H219)-FIND("/",H219,FIND("/",H219)+1))))</f>
        <v>7</v>
      </c>
      <c r="AD219" s="11" t="n">
        <f aca="false">IF(OR(H219="",AA219=""),"",IFERROR(INDEX('لیست‌ها'!$Q$3:$Q$53,MATCH(AA219,'لیست‌ها'!$P$3:$P$53,0))+IF(AB219&lt;=6,(AB219-1)*31+AC219,IF(AB219&lt;=11,186+(AB219-7)*30+AC219,336+AC219))-1,""))</f>
        <v>46294</v>
      </c>
      <c r="AE219" s="7" t="str">
        <f aca="false">IF(P219="","",VALUE(LEFT(P219,FIND("/",P219)-1)))</f>
        <v/>
      </c>
      <c r="AF219" s="7" t="str">
        <f aca="false">IF(P219="","",VALUE(MID(P219,FIND("/",P219)+1,FIND("/",P219,FIND("/",P219)+1)-FIND("/",P219)-1)))</f>
        <v/>
      </c>
      <c r="AG219" s="7" t="str">
        <f aca="false">IF(P219="","",VALUE(MID(P219,FIND("/",P219,FIND("/",P219)+1)+1,LEN(P219)-FIND("/",P219,FIND("/",P219)+1))))</f>
        <v/>
      </c>
      <c r="AH219" s="7" t="str">
        <f aca="false">IF(OR(P219="",AE219=""),"",IFERROR(INDEX('لیست‌ها'!$Q$3:$Q$53,MATCH(AE219,'لیست‌ها'!$P$3:$P$53,0))+IF(AF219&lt;=6,(AF219-1)*31+AG219,IF(AF219&lt;=11,186+(AF219-7)*30+AG219,336+AG219))-1,""))</f>
        <v/>
      </c>
      <c r="AI219" s="7" t="str">
        <f aca="false">IF(W219="","",W219&amp;"-"&amp;TEXT(X219,"00"))</f>
        <v>1405-06</v>
      </c>
      <c r="AJ219" s="7" t="n">
        <f aca="false">IF(W219="","",W219*12+X219)</f>
        <v>16866</v>
      </c>
      <c r="AK219" s="7" t="str">
        <f aca="false">IF(U219="تاخیر",V219+ROW()/100000,"")</f>
        <v/>
      </c>
    </row>
    <row r="220" customFormat="false" ht="15" hidden="false" customHeight="false" outlineLevel="0" collapsed="false">
      <c r="A220" s="7" t="n">
        <f aca="false">IF(B220="","",ROW()-3)</f>
        <v>217</v>
      </c>
      <c r="B220" s="8" t="s">
        <v>491</v>
      </c>
      <c r="C220" s="8" t="s">
        <v>38</v>
      </c>
      <c r="D220" s="8" t="s">
        <v>47</v>
      </c>
      <c r="E220" s="9" t="s">
        <v>78</v>
      </c>
      <c r="F220" s="9" t="s">
        <v>51</v>
      </c>
      <c r="G220" s="8" t="s">
        <v>52</v>
      </c>
      <c r="H220" s="8" t="s">
        <v>387</v>
      </c>
      <c r="I220" s="8"/>
      <c r="J220" s="9"/>
      <c r="K220" s="8"/>
      <c r="L220" s="8" t="s">
        <v>492</v>
      </c>
      <c r="M220" s="8" t="s">
        <v>110</v>
      </c>
      <c r="N220" s="8"/>
      <c r="O220" s="8"/>
      <c r="P220" s="8"/>
      <c r="Q220" s="8"/>
      <c r="R220" s="9"/>
      <c r="S220" s="8"/>
      <c r="T220" s="9"/>
      <c r="U220" s="10" t="str">
        <f aca="true">IF(B220="","",IF(OR(P220&lt;&gt;"",I220="می‌باشد"),"بسته",IF(AND(L220&lt;&gt;"",W220=""),"خطای فرمت تاریخ ایجاد",IF(AND(H220&lt;&gt;"",AA220=""),"خطای فرمت مهلت",IF(AND(H220&lt;&gt;"",AD220&lt;&gt;"",TODAY()&gt;AD220),"تاخیر",IF(L220&lt;&gt;"","در حال انجام",""))))))</f>
        <v>تاخیر</v>
      </c>
      <c r="V220" s="7" t="n">
        <f aca="true">IF(U220="تاخیر",TODAY()-AD220,IF(AND(U220="بسته",AH220&lt;&gt;"",AD220&lt;&gt;"",AH220&gt;AD220),AH220-AD220,0))</f>
        <v>8</v>
      </c>
      <c r="W220" s="7" t="n">
        <f aca="false">IF(L220="","",VALUE(LEFT(L220,FIND("/",L220)-1)))</f>
        <v>1405</v>
      </c>
      <c r="X220" s="7" t="n">
        <f aca="false">IF(L220="","",VALUE(MID(L220,FIND("/",L220)+1,FIND("/",L220,FIND("/",L220)+1)-FIND("/",L220)-1)))</f>
        <v>6</v>
      </c>
      <c r="Y220" s="7" t="n">
        <f aca="false">IF(L220="","",VALUE(MID(L220,FIND("/",L220,FIND("/",L220)+1)+1,LEN(L220)-FIND("/",L220,FIND("/",L220)+1))))</f>
        <v>14</v>
      </c>
      <c r="Z220" s="11" t="n">
        <f aca="false">IF(OR(L220="",W220=""),"",IFERROR(INDEX('لیست‌ها'!$Q$3:$Q$53,MATCH(W220,'لیست‌ها'!$P$3:$P$53,0))+IF(X220&lt;=6,(X220-1)*31+Y220,IF(X220&lt;=11,186+(X220-7)*30+Y220,336+Y220))-1,""))</f>
        <v>46270</v>
      </c>
      <c r="AA220" s="7" t="n">
        <f aca="false">IF(H220="","",VALUE(LEFT(H220,FIND("/",H220)-1)))</f>
        <v>1405</v>
      </c>
      <c r="AB220" s="7" t="n">
        <f aca="false">IF(H220="","",VALUE(MID(H220,FIND("/",H220)+1,FIND("/",H220,FIND("/",H220)+1)-FIND("/",H220)-1)))</f>
        <v>6</v>
      </c>
      <c r="AC220" s="7" t="n">
        <f aca="false">IF(H220="","",VALUE(MID(H220,FIND("/",H220,FIND("/",H220)+1)+1,LEN(H220)-FIND("/",H220,FIND("/",H220)+1))))</f>
        <v>31</v>
      </c>
      <c r="AD220" s="11" t="n">
        <f aca="false">IF(OR(H220="",AA220=""),"",IFERROR(INDEX('لیست‌ها'!$Q$3:$Q$53,MATCH(AA220,'لیست‌ها'!$P$3:$P$53,0))+IF(AB220&lt;=6,(AB220-1)*31+AC220,IF(AB220&lt;=11,186+(AB220-7)*30+AC220,336+AC220))-1,""))</f>
        <v>46287</v>
      </c>
      <c r="AE220" s="7" t="str">
        <f aca="false">IF(P220="","",VALUE(LEFT(P220,FIND("/",P220)-1)))</f>
        <v/>
      </c>
      <c r="AF220" s="7" t="str">
        <f aca="false">IF(P220="","",VALUE(MID(P220,FIND("/",P220)+1,FIND("/",P220,FIND("/",P220)+1)-FIND("/",P220)-1)))</f>
        <v/>
      </c>
      <c r="AG220" s="7" t="str">
        <f aca="false">IF(P220="","",VALUE(MID(P220,FIND("/",P220,FIND("/",P220)+1)+1,LEN(P220)-FIND("/",P220,FIND("/",P220)+1))))</f>
        <v/>
      </c>
      <c r="AH220" s="7" t="str">
        <f aca="false">IF(OR(P220="",AE220=""),"",IFERROR(INDEX('لیست‌ها'!$Q$3:$Q$53,MATCH(AE220,'لیست‌ها'!$P$3:$P$53,0))+IF(AF220&lt;=6,(AF220-1)*31+AG220,IF(AF220&lt;=11,186+(AF220-7)*30+AG220,336+AG220))-1,""))</f>
        <v/>
      </c>
      <c r="AI220" s="7" t="str">
        <f aca="false">IF(W220="","",W220&amp;"-"&amp;TEXT(X220,"00"))</f>
        <v>1405-06</v>
      </c>
      <c r="AJ220" s="7" t="n">
        <f aca="false">IF(W220="","",W220*12+X220)</f>
        <v>16866</v>
      </c>
      <c r="AK220" s="7" t="n">
        <f aca="false">IF(U220="تاخیر",V220+ROW()/100000,"")</f>
        <v>8.00208</v>
      </c>
    </row>
    <row r="221" customFormat="false" ht="15" hidden="false" customHeight="false" outlineLevel="0" collapsed="false">
      <c r="A221" s="7" t="n">
        <f aca="false">IF(B221="","",ROW()-3)</f>
        <v>218</v>
      </c>
      <c r="B221" s="8" t="s">
        <v>488</v>
      </c>
      <c r="C221" s="8" t="s">
        <v>38</v>
      </c>
      <c r="D221" s="8" t="s">
        <v>47</v>
      </c>
      <c r="E221" s="9" t="s">
        <v>60</v>
      </c>
      <c r="F221" s="9" t="s">
        <v>51</v>
      </c>
      <c r="G221" s="8" t="s">
        <v>52</v>
      </c>
      <c r="H221" s="8" t="s">
        <v>489</v>
      </c>
      <c r="I221" s="8" t="s">
        <v>54</v>
      </c>
      <c r="J221" s="9"/>
      <c r="K221" s="8"/>
      <c r="L221" s="8" t="s">
        <v>490</v>
      </c>
      <c r="M221" s="8" t="s">
        <v>56</v>
      </c>
      <c r="N221" s="8"/>
      <c r="O221" s="8"/>
      <c r="P221" s="8"/>
      <c r="Q221" s="8"/>
      <c r="R221" s="9"/>
      <c r="S221" s="8"/>
      <c r="T221" s="9"/>
      <c r="U221" s="10" t="str">
        <f aca="true">IF(B221="","",IF(OR(P221&lt;&gt;"",I221="می‌باشد"),"بسته",IF(AND(L221&lt;&gt;"",W221=""),"خطای فرمت تاریخ ایجاد",IF(AND(H221&lt;&gt;"",AA221=""),"خطای فرمت مهلت",IF(AND(H221&lt;&gt;"",AD221&lt;&gt;"",TODAY()&gt;AD221),"تاخیر",IF(L221&lt;&gt;"","در حال انجام",""))))))</f>
        <v>بسته</v>
      </c>
      <c r="V221" s="7" t="n">
        <f aca="true">IF(U221="تاخیر",TODAY()-AD221,IF(AND(U221="بسته",AH221&lt;&gt;"",AD221&lt;&gt;"",AH221&gt;AD221),AH221-AD221,0))</f>
        <v>0</v>
      </c>
      <c r="W221" s="7" t="n">
        <f aca="false">IF(L221="","",VALUE(LEFT(L221,FIND("/",L221)-1)))</f>
        <v>1405</v>
      </c>
      <c r="X221" s="7" t="n">
        <f aca="false">IF(L221="","",VALUE(MID(L221,FIND("/",L221)+1,FIND("/",L221,FIND("/",L221)+1)-FIND("/",L221)-1)))</f>
        <v>6</v>
      </c>
      <c r="Y221" s="7" t="n">
        <f aca="false">IF(L221="","",VALUE(MID(L221,FIND("/",L221,FIND("/",L221)+1)+1,LEN(L221)-FIND("/",L221,FIND("/",L221)+1))))</f>
        <v>17</v>
      </c>
      <c r="Z221" s="11" t="n">
        <f aca="false">IF(OR(L221="",W221=""),"",IFERROR(INDEX('لیست‌ها'!$Q$3:$Q$53,MATCH(W221,'لیست‌ها'!$P$3:$P$53,0))+IF(X221&lt;=6,(X221-1)*31+Y221,IF(X221&lt;=11,186+(X221-7)*30+Y221,336+Y221))-1,""))</f>
        <v>46273</v>
      </c>
      <c r="AA221" s="7" t="n">
        <f aca="false">IF(H221="","",VALUE(LEFT(H221,FIND("/",H221)-1)))</f>
        <v>1405</v>
      </c>
      <c r="AB221" s="7" t="n">
        <f aca="false">IF(H221="","",VALUE(MID(H221,FIND("/",H221)+1,FIND("/",H221,FIND("/",H221)+1)-FIND("/",H221)-1)))</f>
        <v>7</v>
      </c>
      <c r="AC221" s="7" t="n">
        <f aca="false">IF(H221="","",VALUE(MID(H221,FIND("/",H221,FIND("/",H221)+1)+1,LEN(H221)-FIND("/",H221,FIND("/",H221)+1))))</f>
        <v>7</v>
      </c>
      <c r="AD221" s="11" t="n">
        <f aca="false">IF(OR(H221="",AA221=""),"",IFERROR(INDEX('لیست‌ها'!$Q$3:$Q$53,MATCH(AA221,'لیست‌ها'!$P$3:$P$53,0))+IF(AB221&lt;=6,(AB221-1)*31+AC221,IF(AB221&lt;=11,186+(AB221-7)*30+AC221,336+AC221))-1,""))</f>
        <v>46294</v>
      </c>
      <c r="AE221" s="7" t="str">
        <f aca="false">IF(P221="","",VALUE(LEFT(P221,FIND("/",P221)-1)))</f>
        <v/>
      </c>
      <c r="AF221" s="7" t="str">
        <f aca="false">IF(P221="","",VALUE(MID(P221,FIND("/",P221)+1,FIND("/",P221,FIND("/",P221)+1)-FIND("/",P221)-1)))</f>
        <v/>
      </c>
      <c r="AG221" s="7" t="str">
        <f aca="false">IF(P221="","",VALUE(MID(P221,FIND("/",P221,FIND("/",P221)+1)+1,LEN(P221)-FIND("/",P221,FIND("/",P221)+1))))</f>
        <v/>
      </c>
      <c r="AH221" s="7" t="str">
        <f aca="false">IF(OR(P221="",AE221=""),"",IFERROR(INDEX('لیست‌ها'!$Q$3:$Q$53,MATCH(AE221,'لیست‌ها'!$P$3:$P$53,0))+IF(AF221&lt;=6,(AF221-1)*31+AG221,IF(AF221&lt;=11,186+(AF221-7)*30+AG221,336+AG221))-1,""))</f>
        <v/>
      </c>
      <c r="AI221" s="7" t="str">
        <f aca="false">IF(W221="","",W221&amp;"-"&amp;TEXT(X221,"00"))</f>
        <v>1405-06</v>
      </c>
      <c r="AJ221" s="7" t="n">
        <f aca="false">IF(W221="","",W221*12+X221)</f>
        <v>16866</v>
      </c>
      <c r="AK221" s="7" t="str">
        <f aca="false">IF(U221="تاخیر",V221+ROW()/100000,"")</f>
        <v/>
      </c>
    </row>
    <row r="222" customFormat="false" ht="15" hidden="false" customHeight="false" outlineLevel="0" collapsed="false">
      <c r="A222" s="7" t="n">
        <f aca="false">IF(B222="","",ROW()-3)</f>
        <v>219</v>
      </c>
      <c r="B222" s="8" t="s">
        <v>536</v>
      </c>
      <c r="C222" s="8" t="s">
        <v>38</v>
      </c>
      <c r="D222" s="8" t="s">
        <v>47</v>
      </c>
      <c r="E222" s="9" t="s">
        <v>184</v>
      </c>
      <c r="F222" s="9" t="s">
        <v>51</v>
      </c>
      <c r="G222" s="8" t="s">
        <v>52</v>
      </c>
      <c r="H222" s="8" t="s">
        <v>489</v>
      </c>
      <c r="I222" s="8" t="s">
        <v>54</v>
      </c>
      <c r="J222" s="9"/>
      <c r="K222" s="8"/>
      <c r="L222" s="8" t="s">
        <v>537</v>
      </c>
      <c r="M222" s="8" t="s">
        <v>56</v>
      </c>
      <c r="N222" s="8"/>
      <c r="O222" s="8"/>
      <c r="P222" s="8"/>
      <c r="Q222" s="8"/>
      <c r="R222" s="9"/>
      <c r="S222" s="8"/>
      <c r="T222" s="9"/>
      <c r="U222" s="10" t="str">
        <f aca="true">IF(B222="","",IF(OR(P222&lt;&gt;"",I222="می‌باشد"),"بسته",IF(AND(L222&lt;&gt;"",W222=""),"خطای فرمت تاریخ ایجاد",IF(AND(H222&lt;&gt;"",AA222=""),"خطای فرمت مهلت",IF(AND(H222&lt;&gt;"",AD222&lt;&gt;"",TODAY()&gt;AD222),"تاخیر",IF(L222&lt;&gt;"","در حال انجام",""))))))</f>
        <v>بسته</v>
      </c>
      <c r="V222" s="7" t="n">
        <f aca="true">IF(U222="تاخیر",TODAY()-AD222,IF(AND(U222="بسته",AH222&lt;&gt;"",AD222&lt;&gt;"",AH222&gt;AD222),AH222-AD222,0))</f>
        <v>0</v>
      </c>
      <c r="W222" s="7" t="n">
        <f aca="false">IF(L222="","",VALUE(LEFT(L222,FIND("/",L222)-1)))</f>
        <v>1405</v>
      </c>
      <c r="X222" s="7" t="n">
        <f aca="false">IF(L222="","",VALUE(MID(L222,FIND("/",L222)+1,FIND("/",L222,FIND("/",L222)+1)-FIND("/",L222)-1)))</f>
        <v>6</v>
      </c>
      <c r="Y222" s="7" t="n">
        <f aca="false">IF(L222="","",VALUE(MID(L222,FIND("/",L222,FIND("/",L222)+1)+1,LEN(L222)-FIND("/",L222,FIND("/",L222)+1))))</f>
        <v>18</v>
      </c>
      <c r="Z222" s="11" t="n">
        <f aca="false">IF(OR(L222="",W222=""),"",IFERROR(INDEX('لیست‌ها'!$Q$3:$Q$53,MATCH(W222,'لیست‌ها'!$P$3:$P$53,0))+IF(X222&lt;=6,(X222-1)*31+Y222,IF(X222&lt;=11,186+(X222-7)*30+Y222,336+Y222))-1,""))</f>
        <v>46274</v>
      </c>
      <c r="AA222" s="7" t="n">
        <f aca="false">IF(H222="","",VALUE(LEFT(H222,FIND("/",H222)-1)))</f>
        <v>1405</v>
      </c>
      <c r="AB222" s="7" t="n">
        <f aca="false">IF(H222="","",VALUE(MID(H222,FIND("/",H222)+1,FIND("/",H222,FIND("/",H222)+1)-FIND("/",H222)-1)))</f>
        <v>7</v>
      </c>
      <c r="AC222" s="7" t="n">
        <f aca="false">IF(H222="","",VALUE(MID(H222,FIND("/",H222,FIND("/",H222)+1)+1,LEN(H222)-FIND("/",H222,FIND("/",H222)+1))))</f>
        <v>7</v>
      </c>
      <c r="AD222" s="11" t="n">
        <f aca="false">IF(OR(H222="",AA222=""),"",IFERROR(INDEX('لیست‌ها'!$Q$3:$Q$53,MATCH(AA222,'لیست‌ها'!$P$3:$P$53,0))+IF(AB222&lt;=6,(AB222-1)*31+AC222,IF(AB222&lt;=11,186+(AB222-7)*30+AC222,336+AC222))-1,""))</f>
        <v>46294</v>
      </c>
      <c r="AE222" s="7" t="str">
        <f aca="false">IF(P222="","",VALUE(LEFT(P222,FIND("/",P222)-1)))</f>
        <v/>
      </c>
      <c r="AF222" s="7" t="str">
        <f aca="false">IF(P222="","",VALUE(MID(P222,FIND("/",P222)+1,FIND("/",P222,FIND("/",P222)+1)-FIND("/",P222)-1)))</f>
        <v/>
      </c>
      <c r="AG222" s="7" t="str">
        <f aca="false">IF(P222="","",VALUE(MID(P222,FIND("/",P222,FIND("/",P222)+1)+1,LEN(P222)-FIND("/",P222,FIND("/",P222)+1))))</f>
        <v/>
      </c>
      <c r="AH222" s="7" t="str">
        <f aca="false">IF(OR(P222="",AE222=""),"",IFERROR(INDEX('لیست‌ها'!$Q$3:$Q$53,MATCH(AE222,'لیست‌ها'!$P$3:$P$53,0))+IF(AF222&lt;=6,(AF222-1)*31+AG222,IF(AF222&lt;=11,186+(AF222-7)*30+AG222,336+AG222))-1,""))</f>
        <v/>
      </c>
      <c r="AI222" s="7" t="str">
        <f aca="false">IF(W222="","",W222&amp;"-"&amp;TEXT(X222,"00"))</f>
        <v>1405-06</v>
      </c>
      <c r="AJ222" s="7" t="n">
        <f aca="false">IF(W222="","",W222*12+X222)</f>
        <v>16866</v>
      </c>
      <c r="AK222" s="7" t="str">
        <f aca="false">IF(U222="تاخیر",V222+ROW()/100000,"")</f>
        <v/>
      </c>
    </row>
    <row r="223" customFormat="false" ht="15" hidden="false" customHeight="false" outlineLevel="0" collapsed="false">
      <c r="A223" s="7" t="n">
        <f aca="false">IF(B223="","",ROW()-3)</f>
        <v>220</v>
      </c>
      <c r="B223" s="8" t="s">
        <v>534</v>
      </c>
      <c r="C223" s="8" t="s">
        <v>38</v>
      </c>
      <c r="D223" s="8" t="s">
        <v>89</v>
      </c>
      <c r="E223" s="9" t="s">
        <v>535</v>
      </c>
      <c r="F223" s="9" t="s">
        <v>91</v>
      </c>
      <c r="G223" s="8" t="s">
        <v>92</v>
      </c>
      <c r="H223" s="8" t="s">
        <v>489</v>
      </c>
      <c r="I223" s="8"/>
      <c r="J223" s="9"/>
      <c r="K223" s="8"/>
      <c r="L223" s="8" t="s">
        <v>315</v>
      </c>
      <c r="M223" s="8" t="s">
        <v>71</v>
      </c>
      <c r="N223" s="8"/>
      <c r="O223" s="8"/>
      <c r="P223" s="8"/>
      <c r="Q223" s="8"/>
      <c r="R223" s="9"/>
      <c r="S223" s="8"/>
      <c r="T223" s="9"/>
      <c r="U223" s="10" t="str">
        <f aca="true">IF(B223="","",IF(OR(P223&lt;&gt;"",I223="می‌باشد"),"بسته",IF(AND(L223&lt;&gt;"",W223=""),"خطای فرمت تاریخ ایجاد",IF(AND(H223&lt;&gt;"",AA223=""),"خطای فرمت مهلت",IF(AND(H223&lt;&gt;"",AD223&lt;&gt;"",TODAY()&gt;AD223),"تاخیر",IF(L223&lt;&gt;"","در حال انجام",""))))))</f>
        <v>تاخیر</v>
      </c>
      <c r="V223" s="7" t="n">
        <f aca="true">IF(U223="تاخیر",TODAY()-AD223,IF(AND(U223="بسته",AH223&lt;&gt;"",AD223&lt;&gt;"",AH223&gt;AD223),AH223-AD223,0))</f>
        <v>1</v>
      </c>
      <c r="W223" s="7" t="n">
        <f aca="false">IF(L223="","",VALUE(LEFT(L223,FIND("/",L223)-1)))</f>
        <v>1405</v>
      </c>
      <c r="X223" s="7" t="n">
        <f aca="false">IF(L223="","",VALUE(MID(L223,FIND("/",L223)+1,FIND("/",L223,FIND("/",L223)+1)-FIND("/",L223)-1)))</f>
        <v>6</v>
      </c>
      <c r="Y223" s="7" t="n">
        <f aca="false">IF(L223="","",VALUE(MID(L223,FIND("/",L223,FIND("/",L223)+1)+1,LEN(L223)-FIND("/",L223,FIND("/",L223)+1))))</f>
        <v>21</v>
      </c>
      <c r="Z223" s="11" t="n">
        <f aca="false">IF(OR(L223="",W223=""),"",IFERROR(INDEX('لیست‌ها'!$Q$3:$Q$53,MATCH(W223,'لیست‌ها'!$P$3:$P$53,0))+IF(X223&lt;=6,(X223-1)*31+Y223,IF(X223&lt;=11,186+(X223-7)*30+Y223,336+Y223))-1,""))</f>
        <v>46277</v>
      </c>
      <c r="AA223" s="7" t="n">
        <f aca="false">IF(H223="","",VALUE(LEFT(H223,FIND("/",H223)-1)))</f>
        <v>1405</v>
      </c>
      <c r="AB223" s="7" t="n">
        <f aca="false">IF(H223="","",VALUE(MID(H223,FIND("/",H223)+1,FIND("/",H223,FIND("/",H223)+1)-FIND("/",H223)-1)))</f>
        <v>7</v>
      </c>
      <c r="AC223" s="7" t="n">
        <f aca="false">IF(H223="","",VALUE(MID(H223,FIND("/",H223,FIND("/",H223)+1)+1,LEN(H223)-FIND("/",H223,FIND("/",H223)+1))))</f>
        <v>7</v>
      </c>
      <c r="AD223" s="11" t="n">
        <f aca="false">IF(OR(H223="",AA223=""),"",IFERROR(INDEX('لیست‌ها'!$Q$3:$Q$53,MATCH(AA223,'لیست‌ها'!$P$3:$P$53,0))+IF(AB223&lt;=6,(AB223-1)*31+AC223,IF(AB223&lt;=11,186+(AB223-7)*30+AC223,336+AC223))-1,""))</f>
        <v>46294</v>
      </c>
      <c r="AE223" s="7" t="str">
        <f aca="false">IF(P223="","",VALUE(LEFT(P223,FIND("/",P223)-1)))</f>
        <v/>
      </c>
      <c r="AF223" s="7" t="str">
        <f aca="false">IF(P223="","",VALUE(MID(P223,FIND("/",P223)+1,FIND("/",P223,FIND("/",P223)+1)-FIND("/",P223)-1)))</f>
        <v/>
      </c>
      <c r="AG223" s="7" t="str">
        <f aca="false">IF(P223="","",VALUE(MID(P223,FIND("/",P223,FIND("/",P223)+1)+1,LEN(P223)-FIND("/",P223,FIND("/",P223)+1))))</f>
        <v/>
      </c>
      <c r="AH223" s="7" t="str">
        <f aca="false">IF(OR(P223="",AE223=""),"",IFERROR(INDEX('لیست‌ها'!$Q$3:$Q$53,MATCH(AE223,'لیست‌ها'!$P$3:$P$53,0))+IF(AF223&lt;=6,(AF223-1)*31+AG223,IF(AF223&lt;=11,186+(AF223-7)*30+AG223,336+AG223))-1,""))</f>
        <v/>
      </c>
      <c r="AI223" s="7" t="str">
        <f aca="false">IF(W223="","",W223&amp;"-"&amp;TEXT(X223,"00"))</f>
        <v>1405-06</v>
      </c>
      <c r="AJ223" s="7" t="n">
        <f aca="false">IF(W223="","",W223*12+X223)</f>
        <v>16866</v>
      </c>
      <c r="AK223" s="7" t="n">
        <f aca="false">IF(U223="تاخیر",V223+ROW()/100000,"")</f>
        <v>1.00234</v>
      </c>
    </row>
    <row r="224" customFormat="false" ht="15" hidden="false" customHeight="false" outlineLevel="0" collapsed="false">
      <c r="A224" s="7" t="n">
        <f aca="false">IF(B224="","",ROW()-3)</f>
        <v>221</v>
      </c>
      <c r="B224" s="8" t="s">
        <v>533</v>
      </c>
      <c r="C224" s="8" t="s">
        <v>38</v>
      </c>
      <c r="D224" s="8" t="s">
        <v>47</v>
      </c>
      <c r="E224" s="9" t="s">
        <v>153</v>
      </c>
      <c r="F224" s="9" t="s">
        <v>51</v>
      </c>
      <c r="G224" s="8" t="s">
        <v>52</v>
      </c>
      <c r="H224" s="8" t="s">
        <v>489</v>
      </c>
      <c r="I224" s="8" t="s">
        <v>54</v>
      </c>
      <c r="J224" s="9"/>
      <c r="K224" s="8"/>
      <c r="L224" s="8" t="s">
        <v>315</v>
      </c>
      <c r="M224" s="8" t="s">
        <v>56</v>
      </c>
      <c r="N224" s="8"/>
      <c r="O224" s="8"/>
      <c r="P224" s="8"/>
      <c r="Q224" s="8"/>
      <c r="R224" s="9"/>
      <c r="S224" s="8"/>
      <c r="T224" s="9"/>
      <c r="U224" s="10" t="str">
        <f aca="true">IF(B224="","",IF(OR(P224&lt;&gt;"",I224="می‌باشد"),"بسته",IF(AND(L224&lt;&gt;"",W224=""),"خطای فرمت تاریخ ایجاد",IF(AND(H224&lt;&gt;"",AA224=""),"خطای فرمت مهلت",IF(AND(H224&lt;&gt;"",AD224&lt;&gt;"",TODAY()&gt;AD224),"تاخیر",IF(L224&lt;&gt;"","در حال انجام",""))))))</f>
        <v>بسته</v>
      </c>
      <c r="V224" s="7" t="n">
        <f aca="true">IF(U224="تاخیر",TODAY()-AD224,IF(AND(U224="بسته",AH224&lt;&gt;"",AD224&lt;&gt;"",AH224&gt;AD224),AH224-AD224,0))</f>
        <v>0</v>
      </c>
      <c r="W224" s="7" t="n">
        <f aca="false">IF(L224="","",VALUE(LEFT(L224,FIND("/",L224)-1)))</f>
        <v>1405</v>
      </c>
      <c r="X224" s="7" t="n">
        <f aca="false">IF(L224="","",VALUE(MID(L224,FIND("/",L224)+1,FIND("/",L224,FIND("/",L224)+1)-FIND("/",L224)-1)))</f>
        <v>6</v>
      </c>
      <c r="Y224" s="7" t="n">
        <f aca="false">IF(L224="","",VALUE(MID(L224,FIND("/",L224,FIND("/",L224)+1)+1,LEN(L224)-FIND("/",L224,FIND("/",L224)+1))))</f>
        <v>21</v>
      </c>
      <c r="Z224" s="11" t="n">
        <f aca="false">IF(OR(L224="",W224=""),"",IFERROR(INDEX('لیست‌ها'!$Q$3:$Q$53,MATCH(W224,'لیست‌ها'!$P$3:$P$53,0))+IF(X224&lt;=6,(X224-1)*31+Y224,IF(X224&lt;=11,186+(X224-7)*30+Y224,336+Y224))-1,""))</f>
        <v>46277</v>
      </c>
      <c r="AA224" s="7" t="n">
        <f aca="false">IF(H224="","",VALUE(LEFT(H224,FIND("/",H224)-1)))</f>
        <v>1405</v>
      </c>
      <c r="AB224" s="7" t="n">
        <f aca="false">IF(H224="","",VALUE(MID(H224,FIND("/",H224)+1,FIND("/",H224,FIND("/",H224)+1)-FIND("/",H224)-1)))</f>
        <v>7</v>
      </c>
      <c r="AC224" s="7" t="n">
        <f aca="false">IF(H224="","",VALUE(MID(H224,FIND("/",H224,FIND("/",H224)+1)+1,LEN(H224)-FIND("/",H224,FIND("/",H224)+1))))</f>
        <v>7</v>
      </c>
      <c r="AD224" s="11" t="n">
        <f aca="false">IF(OR(H224="",AA224=""),"",IFERROR(INDEX('لیست‌ها'!$Q$3:$Q$53,MATCH(AA224,'لیست‌ها'!$P$3:$P$53,0))+IF(AB224&lt;=6,(AB224-1)*31+AC224,IF(AB224&lt;=11,186+(AB224-7)*30+AC224,336+AC224))-1,""))</f>
        <v>46294</v>
      </c>
      <c r="AE224" s="7" t="str">
        <f aca="false">IF(P224="","",VALUE(LEFT(P224,FIND("/",P224)-1)))</f>
        <v/>
      </c>
      <c r="AF224" s="7" t="str">
        <f aca="false">IF(P224="","",VALUE(MID(P224,FIND("/",P224)+1,FIND("/",P224,FIND("/",P224)+1)-FIND("/",P224)-1)))</f>
        <v/>
      </c>
      <c r="AG224" s="7" t="str">
        <f aca="false">IF(P224="","",VALUE(MID(P224,FIND("/",P224,FIND("/",P224)+1)+1,LEN(P224)-FIND("/",P224,FIND("/",P224)+1))))</f>
        <v/>
      </c>
      <c r="AH224" s="7" t="str">
        <f aca="false">IF(OR(P224="",AE224=""),"",IFERROR(INDEX('لیست‌ها'!$Q$3:$Q$53,MATCH(AE224,'لیست‌ها'!$P$3:$P$53,0))+IF(AF224&lt;=6,(AF224-1)*31+AG224,IF(AF224&lt;=11,186+(AF224-7)*30+AG224,336+AG224))-1,""))</f>
        <v/>
      </c>
      <c r="AI224" s="7" t="str">
        <f aca="false">IF(W224="","",W224&amp;"-"&amp;TEXT(X224,"00"))</f>
        <v>1405-06</v>
      </c>
      <c r="AJ224" s="7" t="n">
        <f aca="false">IF(W224="","",W224*12+X224)</f>
        <v>16866</v>
      </c>
      <c r="AK224" s="7" t="str">
        <f aca="false">IF(U224="تاخیر",V224+ROW()/100000,"")</f>
        <v/>
      </c>
    </row>
    <row r="225" customFormat="false" ht="15" hidden="false" customHeight="false" outlineLevel="0" collapsed="false">
      <c r="A225" s="7" t="n">
        <f aca="false">IF(B225="","",ROW()-3)</f>
        <v>222</v>
      </c>
      <c r="B225" s="8" t="s">
        <v>531</v>
      </c>
      <c r="C225" s="8" t="s">
        <v>38</v>
      </c>
      <c r="D225" s="8" t="s">
        <v>47</v>
      </c>
      <c r="E225" s="9" t="s">
        <v>532</v>
      </c>
      <c r="F225" s="9" t="s">
        <v>51</v>
      </c>
      <c r="G225" s="8" t="s">
        <v>52</v>
      </c>
      <c r="H225" s="8" t="s">
        <v>489</v>
      </c>
      <c r="I225" s="8" t="s">
        <v>54</v>
      </c>
      <c r="J225" s="9"/>
      <c r="K225" s="8"/>
      <c r="L225" s="8" t="s">
        <v>315</v>
      </c>
      <c r="M225" s="8" t="s">
        <v>56</v>
      </c>
      <c r="N225" s="8"/>
      <c r="O225" s="8"/>
      <c r="P225" s="8"/>
      <c r="Q225" s="8"/>
      <c r="R225" s="9"/>
      <c r="S225" s="8"/>
      <c r="T225" s="9"/>
      <c r="U225" s="10" t="str">
        <f aca="true">IF(B225="","",IF(OR(P225&lt;&gt;"",I225="می‌باشد"),"بسته",IF(AND(L225&lt;&gt;"",W225=""),"خطای فرمت تاریخ ایجاد",IF(AND(H225&lt;&gt;"",AA225=""),"خطای فرمت مهلت",IF(AND(H225&lt;&gt;"",AD225&lt;&gt;"",TODAY()&gt;AD225),"تاخیر",IF(L225&lt;&gt;"","در حال انجام",""))))))</f>
        <v>بسته</v>
      </c>
      <c r="V225" s="7" t="n">
        <f aca="true">IF(U225="تاخیر",TODAY()-AD225,IF(AND(U225="بسته",AH225&lt;&gt;"",AD225&lt;&gt;"",AH225&gt;AD225),AH225-AD225,0))</f>
        <v>0</v>
      </c>
      <c r="W225" s="7" t="n">
        <f aca="false">IF(L225="","",VALUE(LEFT(L225,FIND("/",L225)-1)))</f>
        <v>1405</v>
      </c>
      <c r="X225" s="7" t="n">
        <f aca="false">IF(L225="","",VALUE(MID(L225,FIND("/",L225)+1,FIND("/",L225,FIND("/",L225)+1)-FIND("/",L225)-1)))</f>
        <v>6</v>
      </c>
      <c r="Y225" s="7" t="n">
        <f aca="false">IF(L225="","",VALUE(MID(L225,FIND("/",L225,FIND("/",L225)+1)+1,LEN(L225)-FIND("/",L225,FIND("/",L225)+1))))</f>
        <v>21</v>
      </c>
      <c r="Z225" s="11" t="n">
        <f aca="false">IF(OR(L225="",W225=""),"",IFERROR(INDEX('لیست‌ها'!$Q$3:$Q$53,MATCH(W225,'لیست‌ها'!$P$3:$P$53,0))+IF(X225&lt;=6,(X225-1)*31+Y225,IF(X225&lt;=11,186+(X225-7)*30+Y225,336+Y225))-1,""))</f>
        <v>46277</v>
      </c>
      <c r="AA225" s="7" t="n">
        <f aca="false">IF(H225="","",VALUE(LEFT(H225,FIND("/",H225)-1)))</f>
        <v>1405</v>
      </c>
      <c r="AB225" s="7" t="n">
        <f aca="false">IF(H225="","",VALUE(MID(H225,FIND("/",H225)+1,FIND("/",H225,FIND("/",H225)+1)-FIND("/",H225)-1)))</f>
        <v>7</v>
      </c>
      <c r="AC225" s="7" t="n">
        <f aca="false">IF(H225="","",VALUE(MID(H225,FIND("/",H225,FIND("/",H225)+1)+1,LEN(H225)-FIND("/",H225,FIND("/",H225)+1))))</f>
        <v>7</v>
      </c>
      <c r="AD225" s="11" t="n">
        <f aca="false">IF(OR(H225="",AA225=""),"",IFERROR(INDEX('لیست‌ها'!$Q$3:$Q$53,MATCH(AA225,'لیست‌ها'!$P$3:$P$53,0))+IF(AB225&lt;=6,(AB225-1)*31+AC225,IF(AB225&lt;=11,186+(AB225-7)*30+AC225,336+AC225))-1,""))</f>
        <v>46294</v>
      </c>
      <c r="AE225" s="7" t="str">
        <f aca="false">IF(P225="","",VALUE(LEFT(P225,FIND("/",P225)-1)))</f>
        <v/>
      </c>
      <c r="AF225" s="7" t="str">
        <f aca="false">IF(P225="","",VALUE(MID(P225,FIND("/",P225)+1,FIND("/",P225,FIND("/",P225)+1)-FIND("/",P225)-1)))</f>
        <v/>
      </c>
      <c r="AG225" s="7" t="str">
        <f aca="false">IF(P225="","",VALUE(MID(P225,FIND("/",P225,FIND("/",P225)+1)+1,LEN(P225)-FIND("/",P225,FIND("/",P225)+1))))</f>
        <v/>
      </c>
      <c r="AH225" s="7" t="str">
        <f aca="false">IF(OR(P225="",AE225=""),"",IFERROR(INDEX('لیست‌ها'!$Q$3:$Q$53,MATCH(AE225,'لیست‌ها'!$P$3:$P$53,0))+IF(AF225&lt;=6,(AF225-1)*31+AG225,IF(AF225&lt;=11,186+(AF225-7)*30+AG225,336+AG225))-1,""))</f>
        <v/>
      </c>
      <c r="AI225" s="7" t="str">
        <f aca="false">IF(W225="","",W225&amp;"-"&amp;TEXT(X225,"00"))</f>
        <v>1405-06</v>
      </c>
      <c r="AJ225" s="7" t="n">
        <f aca="false">IF(W225="","",W225*12+X225)</f>
        <v>16866</v>
      </c>
      <c r="AK225" s="7" t="str">
        <f aca="false">IF(U225="تاخیر",V225+ROW()/100000,"")</f>
        <v/>
      </c>
    </row>
    <row r="226" customFormat="false" ht="15" hidden="false" customHeight="false" outlineLevel="0" collapsed="false">
      <c r="A226" s="7" t="n">
        <f aca="false">IF(B226="","",ROW()-3)</f>
        <v>223</v>
      </c>
      <c r="B226" s="8" t="s">
        <v>530</v>
      </c>
      <c r="C226" s="8" t="s">
        <v>38</v>
      </c>
      <c r="D226" s="8" t="s">
        <v>47</v>
      </c>
      <c r="E226" s="9" t="s">
        <v>274</v>
      </c>
      <c r="F226" s="9" t="s">
        <v>51</v>
      </c>
      <c r="G226" s="8" t="s">
        <v>52</v>
      </c>
      <c r="H226" s="8" t="s">
        <v>489</v>
      </c>
      <c r="I226" s="8" t="s">
        <v>54</v>
      </c>
      <c r="J226" s="9"/>
      <c r="K226" s="8"/>
      <c r="L226" s="8" t="s">
        <v>315</v>
      </c>
      <c r="M226" s="8" t="s">
        <v>56</v>
      </c>
      <c r="N226" s="8"/>
      <c r="O226" s="8"/>
      <c r="P226" s="8"/>
      <c r="Q226" s="8"/>
      <c r="R226" s="9"/>
      <c r="S226" s="8"/>
      <c r="T226" s="9"/>
      <c r="U226" s="10" t="str">
        <f aca="true">IF(B226="","",IF(OR(P226&lt;&gt;"",I226="می‌باشد"),"بسته",IF(AND(L226&lt;&gt;"",W226=""),"خطای فرمت تاریخ ایجاد",IF(AND(H226&lt;&gt;"",AA226=""),"خطای فرمت مهلت",IF(AND(H226&lt;&gt;"",AD226&lt;&gt;"",TODAY()&gt;AD226),"تاخیر",IF(L226&lt;&gt;"","در حال انجام",""))))))</f>
        <v>بسته</v>
      </c>
      <c r="V226" s="7" t="n">
        <f aca="true">IF(U226="تاخیر",TODAY()-AD226,IF(AND(U226="بسته",AH226&lt;&gt;"",AD226&lt;&gt;"",AH226&gt;AD226),AH226-AD226,0))</f>
        <v>0</v>
      </c>
      <c r="W226" s="7" t="n">
        <f aca="false">IF(L226="","",VALUE(LEFT(L226,FIND("/",L226)-1)))</f>
        <v>1405</v>
      </c>
      <c r="X226" s="7" t="n">
        <f aca="false">IF(L226="","",VALUE(MID(L226,FIND("/",L226)+1,FIND("/",L226,FIND("/",L226)+1)-FIND("/",L226)-1)))</f>
        <v>6</v>
      </c>
      <c r="Y226" s="7" t="n">
        <f aca="false">IF(L226="","",VALUE(MID(L226,FIND("/",L226,FIND("/",L226)+1)+1,LEN(L226)-FIND("/",L226,FIND("/",L226)+1))))</f>
        <v>21</v>
      </c>
      <c r="Z226" s="11" t="n">
        <f aca="false">IF(OR(L226="",W226=""),"",IFERROR(INDEX('لیست‌ها'!$Q$3:$Q$53,MATCH(W226,'لیست‌ها'!$P$3:$P$53,0))+IF(X226&lt;=6,(X226-1)*31+Y226,IF(X226&lt;=11,186+(X226-7)*30+Y226,336+Y226))-1,""))</f>
        <v>46277</v>
      </c>
      <c r="AA226" s="7" t="n">
        <f aca="false">IF(H226="","",VALUE(LEFT(H226,FIND("/",H226)-1)))</f>
        <v>1405</v>
      </c>
      <c r="AB226" s="7" t="n">
        <f aca="false">IF(H226="","",VALUE(MID(H226,FIND("/",H226)+1,FIND("/",H226,FIND("/",H226)+1)-FIND("/",H226)-1)))</f>
        <v>7</v>
      </c>
      <c r="AC226" s="7" t="n">
        <f aca="false">IF(H226="","",VALUE(MID(H226,FIND("/",H226,FIND("/",H226)+1)+1,LEN(H226)-FIND("/",H226,FIND("/",H226)+1))))</f>
        <v>7</v>
      </c>
      <c r="AD226" s="11" t="n">
        <f aca="false">IF(OR(H226="",AA226=""),"",IFERROR(INDEX('لیست‌ها'!$Q$3:$Q$53,MATCH(AA226,'لیست‌ها'!$P$3:$P$53,0))+IF(AB226&lt;=6,(AB226-1)*31+AC226,IF(AB226&lt;=11,186+(AB226-7)*30+AC226,336+AC226))-1,""))</f>
        <v>46294</v>
      </c>
      <c r="AE226" s="7" t="str">
        <f aca="false">IF(P226="","",VALUE(LEFT(P226,FIND("/",P226)-1)))</f>
        <v/>
      </c>
      <c r="AF226" s="7" t="str">
        <f aca="false">IF(P226="","",VALUE(MID(P226,FIND("/",P226)+1,FIND("/",P226,FIND("/",P226)+1)-FIND("/",P226)-1)))</f>
        <v/>
      </c>
      <c r="AG226" s="7" t="str">
        <f aca="false">IF(P226="","",VALUE(MID(P226,FIND("/",P226,FIND("/",P226)+1)+1,LEN(P226)-FIND("/",P226,FIND("/",P226)+1))))</f>
        <v/>
      </c>
      <c r="AH226" s="7" t="str">
        <f aca="false">IF(OR(P226="",AE226=""),"",IFERROR(INDEX('لیست‌ها'!$Q$3:$Q$53,MATCH(AE226,'لیست‌ها'!$P$3:$P$53,0))+IF(AF226&lt;=6,(AF226-1)*31+AG226,IF(AF226&lt;=11,186+(AF226-7)*30+AG226,336+AG226))-1,""))</f>
        <v/>
      </c>
      <c r="AI226" s="7" t="str">
        <f aca="false">IF(W226="","",W226&amp;"-"&amp;TEXT(X226,"00"))</f>
        <v>1405-06</v>
      </c>
      <c r="AJ226" s="7" t="n">
        <f aca="false">IF(W226="","",W226*12+X226)</f>
        <v>16866</v>
      </c>
      <c r="AK226" s="7" t="str">
        <f aca="false">IF(U226="تاخیر",V226+ROW()/100000,"")</f>
        <v/>
      </c>
    </row>
    <row r="227" customFormat="false" ht="15" hidden="false" customHeight="false" outlineLevel="0" collapsed="false">
      <c r="A227" s="7" t="n">
        <f aca="false">IF(B227="","",ROW()-3)</f>
        <v>224</v>
      </c>
      <c r="B227" s="8" t="s">
        <v>529</v>
      </c>
      <c r="C227" s="8" t="s">
        <v>38</v>
      </c>
      <c r="D227" s="8" t="s">
        <v>47</v>
      </c>
      <c r="E227" s="9" t="s">
        <v>60</v>
      </c>
      <c r="F227" s="9" t="s">
        <v>51</v>
      </c>
      <c r="G227" s="8" t="s">
        <v>52</v>
      </c>
      <c r="H227" s="8" t="s">
        <v>489</v>
      </c>
      <c r="I227" s="8" t="s">
        <v>54</v>
      </c>
      <c r="J227" s="9"/>
      <c r="K227" s="8"/>
      <c r="L227" s="8" t="s">
        <v>315</v>
      </c>
      <c r="M227" s="8" t="s">
        <v>56</v>
      </c>
      <c r="N227" s="8"/>
      <c r="O227" s="8"/>
      <c r="P227" s="8"/>
      <c r="Q227" s="8"/>
      <c r="R227" s="9"/>
      <c r="S227" s="8"/>
      <c r="T227" s="9"/>
      <c r="U227" s="10" t="str">
        <f aca="true">IF(B227="","",IF(OR(P227&lt;&gt;"",I227="می‌باشد"),"بسته",IF(AND(L227&lt;&gt;"",W227=""),"خطای فرمت تاریخ ایجاد",IF(AND(H227&lt;&gt;"",AA227=""),"خطای فرمت مهلت",IF(AND(H227&lt;&gt;"",AD227&lt;&gt;"",TODAY()&gt;AD227),"تاخیر",IF(L227&lt;&gt;"","در حال انجام",""))))))</f>
        <v>بسته</v>
      </c>
      <c r="V227" s="7" t="n">
        <f aca="true">IF(U227="تاخیر",TODAY()-AD227,IF(AND(U227="بسته",AH227&lt;&gt;"",AD227&lt;&gt;"",AH227&gt;AD227),AH227-AD227,0))</f>
        <v>0</v>
      </c>
      <c r="W227" s="7" t="n">
        <f aca="false">IF(L227="","",VALUE(LEFT(L227,FIND("/",L227)-1)))</f>
        <v>1405</v>
      </c>
      <c r="X227" s="7" t="n">
        <f aca="false">IF(L227="","",VALUE(MID(L227,FIND("/",L227)+1,FIND("/",L227,FIND("/",L227)+1)-FIND("/",L227)-1)))</f>
        <v>6</v>
      </c>
      <c r="Y227" s="7" t="n">
        <f aca="false">IF(L227="","",VALUE(MID(L227,FIND("/",L227,FIND("/",L227)+1)+1,LEN(L227)-FIND("/",L227,FIND("/",L227)+1))))</f>
        <v>21</v>
      </c>
      <c r="Z227" s="11" t="n">
        <f aca="false">IF(OR(L227="",W227=""),"",IFERROR(INDEX('لیست‌ها'!$Q$3:$Q$53,MATCH(W227,'لیست‌ها'!$P$3:$P$53,0))+IF(X227&lt;=6,(X227-1)*31+Y227,IF(X227&lt;=11,186+(X227-7)*30+Y227,336+Y227))-1,""))</f>
        <v>46277</v>
      </c>
      <c r="AA227" s="7" t="n">
        <f aca="false">IF(H227="","",VALUE(LEFT(H227,FIND("/",H227)-1)))</f>
        <v>1405</v>
      </c>
      <c r="AB227" s="7" t="n">
        <f aca="false">IF(H227="","",VALUE(MID(H227,FIND("/",H227)+1,FIND("/",H227,FIND("/",H227)+1)-FIND("/",H227)-1)))</f>
        <v>7</v>
      </c>
      <c r="AC227" s="7" t="n">
        <f aca="false">IF(H227="","",VALUE(MID(H227,FIND("/",H227,FIND("/",H227)+1)+1,LEN(H227)-FIND("/",H227,FIND("/",H227)+1))))</f>
        <v>7</v>
      </c>
      <c r="AD227" s="11" t="n">
        <f aca="false">IF(OR(H227="",AA227=""),"",IFERROR(INDEX('لیست‌ها'!$Q$3:$Q$53,MATCH(AA227,'لیست‌ها'!$P$3:$P$53,0))+IF(AB227&lt;=6,(AB227-1)*31+AC227,IF(AB227&lt;=11,186+(AB227-7)*30+AC227,336+AC227))-1,""))</f>
        <v>46294</v>
      </c>
      <c r="AE227" s="7" t="str">
        <f aca="false">IF(P227="","",VALUE(LEFT(P227,FIND("/",P227)-1)))</f>
        <v/>
      </c>
      <c r="AF227" s="7" t="str">
        <f aca="false">IF(P227="","",VALUE(MID(P227,FIND("/",P227)+1,FIND("/",P227,FIND("/",P227)+1)-FIND("/",P227)-1)))</f>
        <v/>
      </c>
      <c r="AG227" s="7" t="str">
        <f aca="false">IF(P227="","",VALUE(MID(P227,FIND("/",P227,FIND("/",P227)+1)+1,LEN(P227)-FIND("/",P227,FIND("/",P227)+1))))</f>
        <v/>
      </c>
      <c r="AH227" s="7" t="str">
        <f aca="false">IF(OR(P227="",AE227=""),"",IFERROR(INDEX('لیست‌ها'!$Q$3:$Q$53,MATCH(AE227,'لیست‌ها'!$P$3:$P$53,0))+IF(AF227&lt;=6,(AF227-1)*31+AG227,IF(AF227&lt;=11,186+(AF227-7)*30+AG227,336+AG227))-1,""))</f>
        <v/>
      </c>
      <c r="AI227" s="7" t="str">
        <f aca="false">IF(W227="","",W227&amp;"-"&amp;TEXT(X227,"00"))</f>
        <v>1405-06</v>
      </c>
      <c r="AJ227" s="7" t="n">
        <f aca="false">IF(W227="","",W227*12+X227)</f>
        <v>16866</v>
      </c>
      <c r="AK227" s="7" t="str">
        <f aca="false">IF(U227="تاخیر",V227+ROW()/100000,"")</f>
        <v/>
      </c>
    </row>
    <row r="228" customFormat="false" ht="15" hidden="false" customHeight="false" outlineLevel="0" collapsed="false">
      <c r="A228" s="7" t="n">
        <f aca="false">IF(B228="","",ROW()-3)</f>
        <v>225</v>
      </c>
      <c r="B228" s="8" t="s">
        <v>528</v>
      </c>
      <c r="C228" s="8" t="s">
        <v>38</v>
      </c>
      <c r="D228" s="8" t="s">
        <v>47</v>
      </c>
      <c r="E228" s="9" t="s">
        <v>147</v>
      </c>
      <c r="F228" s="9" t="s">
        <v>51</v>
      </c>
      <c r="G228" s="8" t="s">
        <v>52</v>
      </c>
      <c r="H228" s="8" t="s">
        <v>489</v>
      </c>
      <c r="I228" s="8" t="s">
        <v>54</v>
      </c>
      <c r="J228" s="9"/>
      <c r="K228" s="8"/>
      <c r="L228" s="8" t="s">
        <v>315</v>
      </c>
      <c r="M228" s="8" t="s">
        <v>56</v>
      </c>
      <c r="N228" s="8"/>
      <c r="O228" s="8"/>
      <c r="P228" s="8"/>
      <c r="Q228" s="8"/>
      <c r="R228" s="9"/>
      <c r="S228" s="8"/>
      <c r="T228" s="9"/>
      <c r="U228" s="10" t="str">
        <f aca="true">IF(B228="","",IF(OR(P228&lt;&gt;"",I228="می‌باشد"),"بسته",IF(AND(L228&lt;&gt;"",W228=""),"خطای فرمت تاریخ ایجاد",IF(AND(H228&lt;&gt;"",AA228=""),"خطای فرمت مهلت",IF(AND(H228&lt;&gt;"",AD228&lt;&gt;"",TODAY()&gt;AD228),"تاخیر",IF(L228&lt;&gt;"","در حال انجام",""))))))</f>
        <v>بسته</v>
      </c>
      <c r="V228" s="7" t="n">
        <f aca="true">IF(U228="تاخیر",TODAY()-AD228,IF(AND(U228="بسته",AH228&lt;&gt;"",AD228&lt;&gt;"",AH228&gt;AD228),AH228-AD228,0))</f>
        <v>0</v>
      </c>
      <c r="W228" s="7" t="n">
        <f aca="false">IF(L228="","",VALUE(LEFT(L228,FIND("/",L228)-1)))</f>
        <v>1405</v>
      </c>
      <c r="X228" s="7" t="n">
        <f aca="false">IF(L228="","",VALUE(MID(L228,FIND("/",L228)+1,FIND("/",L228,FIND("/",L228)+1)-FIND("/",L228)-1)))</f>
        <v>6</v>
      </c>
      <c r="Y228" s="7" t="n">
        <f aca="false">IF(L228="","",VALUE(MID(L228,FIND("/",L228,FIND("/",L228)+1)+1,LEN(L228)-FIND("/",L228,FIND("/",L228)+1))))</f>
        <v>21</v>
      </c>
      <c r="Z228" s="11" t="n">
        <f aca="false">IF(OR(L228="",W228=""),"",IFERROR(INDEX('لیست‌ها'!$Q$3:$Q$53,MATCH(W228,'لیست‌ها'!$P$3:$P$53,0))+IF(X228&lt;=6,(X228-1)*31+Y228,IF(X228&lt;=11,186+(X228-7)*30+Y228,336+Y228))-1,""))</f>
        <v>46277</v>
      </c>
      <c r="AA228" s="7" t="n">
        <f aca="false">IF(H228="","",VALUE(LEFT(H228,FIND("/",H228)-1)))</f>
        <v>1405</v>
      </c>
      <c r="AB228" s="7" t="n">
        <f aca="false">IF(H228="","",VALUE(MID(H228,FIND("/",H228)+1,FIND("/",H228,FIND("/",H228)+1)-FIND("/",H228)-1)))</f>
        <v>7</v>
      </c>
      <c r="AC228" s="7" t="n">
        <f aca="false">IF(H228="","",VALUE(MID(H228,FIND("/",H228,FIND("/",H228)+1)+1,LEN(H228)-FIND("/",H228,FIND("/",H228)+1))))</f>
        <v>7</v>
      </c>
      <c r="AD228" s="11" t="n">
        <f aca="false">IF(OR(H228="",AA228=""),"",IFERROR(INDEX('لیست‌ها'!$Q$3:$Q$53,MATCH(AA228,'لیست‌ها'!$P$3:$P$53,0))+IF(AB228&lt;=6,(AB228-1)*31+AC228,IF(AB228&lt;=11,186+(AB228-7)*30+AC228,336+AC228))-1,""))</f>
        <v>46294</v>
      </c>
      <c r="AE228" s="7" t="str">
        <f aca="false">IF(P228="","",VALUE(LEFT(P228,FIND("/",P228)-1)))</f>
        <v/>
      </c>
      <c r="AF228" s="7" t="str">
        <f aca="false">IF(P228="","",VALUE(MID(P228,FIND("/",P228)+1,FIND("/",P228,FIND("/",P228)+1)-FIND("/",P228)-1)))</f>
        <v/>
      </c>
      <c r="AG228" s="7" t="str">
        <f aca="false">IF(P228="","",VALUE(MID(P228,FIND("/",P228,FIND("/",P228)+1)+1,LEN(P228)-FIND("/",P228,FIND("/",P228)+1))))</f>
        <v/>
      </c>
      <c r="AH228" s="7" t="str">
        <f aca="false">IF(OR(P228="",AE228=""),"",IFERROR(INDEX('لیست‌ها'!$Q$3:$Q$53,MATCH(AE228,'لیست‌ها'!$P$3:$P$53,0))+IF(AF228&lt;=6,(AF228-1)*31+AG228,IF(AF228&lt;=11,186+(AF228-7)*30+AG228,336+AG228))-1,""))</f>
        <v/>
      </c>
      <c r="AI228" s="7" t="str">
        <f aca="false">IF(W228="","",W228&amp;"-"&amp;TEXT(X228,"00"))</f>
        <v>1405-06</v>
      </c>
      <c r="AJ228" s="7" t="n">
        <f aca="false">IF(W228="","",W228*12+X228)</f>
        <v>16866</v>
      </c>
      <c r="AK228" s="7" t="str">
        <f aca="false">IF(U228="تاخیر",V228+ROW()/100000,"")</f>
        <v/>
      </c>
    </row>
    <row r="229" customFormat="false" ht="15" hidden="false" customHeight="false" outlineLevel="0" collapsed="false">
      <c r="A229" s="7" t="n">
        <f aca="false">IF(B229="","",ROW()-3)</f>
        <v>226</v>
      </c>
      <c r="B229" s="8" t="s">
        <v>527</v>
      </c>
      <c r="C229" s="8" t="s">
        <v>38</v>
      </c>
      <c r="D229" s="8" t="s">
        <v>47</v>
      </c>
      <c r="E229" s="9" t="s">
        <v>268</v>
      </c>
      <c r="F229" s="9" t="s">
        <v>51</v>
      </c>
      <c r="G229" s="8" t="s">
        <v>52</v>
      </c>
      <c r="H229" s="8" t="s">
        <v>513</v>
      </c>
      <c r="I229" s="8"/>
      <c r="J229" s="9"/>
      <c r="K229" s="8"/>
      <c r="L229" s="8" t="s">
        <v>526</v>
      </c>
      <c r="M229" s="8" t="s">
        <v>276</v>
      </c>
      <c r="N229" s="8"/>
      <c r="O229" s="8"/>
      <c r="P229" s="8"/>
      <c r="Q229" s="8"/>
      <c r="R229" s="9"/>
      <c r="S229" s="8"/>
      <c r="T229" s="9"/>
      <c r="U229" s="10" t="str">
        <f aca="true">IF(B229="","",IF(OR(P229&lt;&gt;"",I229="می‌باشد"),"بسته",IF(AND(L229&lt;&gt;"",W229=""),"خطای فرمت تاریخ ایجاد",IF(AND(H229&lt;&gt;"",AA229=""),"خطای فرمت مهلت",IF(AND(H229&lt;&gt;"",AD229&lt;&gt;"",TODAY()&gt;AD229),"تاخیر",IF(L229&lt;&gt;"","در حال انجام",""))))))</f>
        <v>در حال انجام</v>
      </c>
      <c r="V229" s="7" t="n">
        <f aca="true">IF(U229="تاخیر",TODAY()-AD229,IF(AND(U229="بسته",AH229&lt;&gt;"",AD229&lt;&gt;"",AH229&gt;AD229),AH229-AD229,0))</f>
        <v>0</v>
      </c>
      <c r="W229" s="7" t="n">
        <f aca="false">IF(L229="","",VALUE(LEFT(L229,FIND("/",L229)-1)))</f>
        <v>1405</v>
      </c>
      <c r="X229" s="7" t="n">
        <f aca="false">IF(L229="","",VALUE(MID(L229,FIND("/",L229)+1,FIND("/",L229,FIND("/",L229)+1)-FIND("/",L229)-1)))</f>
        <v>6</v>
      </c>
      <c r="Y229" s="7" t="n">
        <f aca="false">IF(L229="","",VALUE(MID(L229,FIND("/",L229,FIND("/",L229)+1)+1,LEN(L229)-FIND("/",L229,FIND("/",L229)+1))))</f>
        <v>22</v>
      </c>
      <c r="Z229" s="11" t="n">
        <f aca="false">IF(OR(L229="",W229=""),"",IFERROR(INDEX('لیست‌ها'!$Q$3:$Q$53,MATCH(W229,'لیست‌ها'!$P$3:$P$53,0))+IF(X229&lt;=6,(X229-1)*31+Y229,IF(X229&lt;=11,186+(X229-7)*30+Y229,336+Y229))-1,""))</f>
        <v>46278</v>
      </c>
      <c r="AA229" s="7" t="n">
        <f aca="false">IF(H229="","",VALUE(LEFT(H229,FIND("/",H229)-1)))</f>
        <v>1405</v>
      </c>
      <c r="AB229" s="7" t="n">
        <f aca="false">IF(H229="","",VALUE(MID(H229,FIND("/",H229)+1,FIND("/",H229,FIND("/",H229)+1)-FIND("/",H229)-1)))</f>
        <v>7</v>
      </c>
      <c r="AC229" s="7" t="n">
        <f aca="false">IF(H229="","",VALUE(MID(H229,FIND("/",H229,FIND("/",H229)+1)+1,LEN(H229)-FIND("/",H229,FIND("/",H229)+1))))</f>
        <v>21</v>
      </c>
      <c r="AD229" s="11" t="n">
        <f aca="false">IF(OR(H229="",AA229=""),"",IFERROR(INDEX('لیست‌ها'!$Q$3:$Q$53,MATCH(AA229,'لیست‌ها'!$P$3:$P$53,0))+IF(AB229&lt;=6,(AB229-1)*31+AC229,IF(AB229&lt;=11,186+(AB229-7)*30+AC229,336+AC229))-1,""))</f>
        <v>46308</v>
      </c>
      <c r="AE229" s="7" t="str">
        <f aca="false">IF(P229="","",VALUE(LEFT(P229,FIND("/",P229)-1)))</f>
        <v/>
      </c>
      <c r="AF229" s="7" t="str">
        <f aca="false">IF(P229="","",VALUE(MID(P229,FIND("/",P229)+1,FIND("/",P229,FIND("/",P229)+1)-FIND("/",P229)-1)))</f>
        <v/>
      </c>
      <c r="AG229" s="7" t="str">
        <f aca="false">IF(P229="","",VALUE(MID(P229,FIND("/",P229,FIND("/",P229)+1)+1,LEN(P229)-FIND("/",P229,FIND("/",P229)+1))))</f>
        <v/>
      </c>
      <c r="AH229" s="7" t="str">
        <f aca="false">IF(OR(P229="",AE229=""),"",IFERROR(INDEX('لیست‌ها'!$Q$3:$Q$53,MATCH(AE229,'لیست‌ها'!$P$3:$P$53,0))+IF(AF229&lt;=6,(AF229-1)*31+AG229,IF(AF229&lt;=11,186+(AF229-7)*30+AG229,336+AG229))-1,""))</f>
        <v/>
      </c>
      <c r="AI229" s="7" t="str">
        <f aca="false">IF(W229="","",W229&amp;"-"&amp;TEXT(X229,"00"))</f>
        <v>1405-06</v>
      </c>
      <c r="AJ229" s="7" t="n">
        <f aca="false">IF(W229="","",W229*12+X229)</f>
        <v>16866</v>
      </c>
      <c r="AK229" s="7" t="str">
        <f aca="false">IF(U229="تاخیر",V229+ROW()/100000,"")</f>
        <v/>
      </c>
    </row>
    <row r="230" customFormat="false" ht="15" hidden="false" customHeight="false" outlineLevel="0" collapsed="false">
      <c r="A230" s="7" t="n">
        <f aca="false">IF(B230="","",ROW()-3)</f>
        <v>227</v>
      </c>
      <c r="B230" s="8" t="s">
        <v>524</v>
      </c>
      <c r="C230" s="8" t="s">
        <v>38</v>
      </c>
      <c r="D230" s="8" t="s">
        <v>47</v>
      </c>
      <c r="E230" s="9" t="s">
        <v>525</v>
      </c>
      <c r="F230" s="9" t="s">
        <v>51</v>
      </c>
      <c r="G230" s="8" t="s">
        <v>52</v>
      </c>
      <c r="H230" s="8" t="s">
        <v>513</v>
      </c>
      <c r="I230" s="8" t="s">
        <v>54</v>
      </c>
      <c r="J230" s="9"/>
      <c r="K230" s="8"/>
      <c r="L230" s="8" t="s">
        <v>526</v>
      </c>
      <c r="M230" s="8" t="s">
        <v>56</v>
      </c>
      <c r="N230" s="8"/>
      <c r="O230" s="8"/>
      <c r="P230" s="8"/>
      <c r="Q230" s="8"/>
      <c r="R230" s="9"/>
      <c r="S230" s="8"/>
      <c r="T230" s="9"/>
      <c r="U230" s="10" t="str">
        <f aca="true">IF(B230="","",IF(OR(P230&lt;&gt;"",I230="می‌باشد"),"بسته",IF(AND(L230&lt;&gt;"",W230=""),"خطای فرمت تاریخ ایجاد",IF(AND(H230&lt;&gt;"",AA230=""),"خطای فرمت مهلت",IF(AND(H230&lt;&gt;"",AD230&lt;&gt;"",TODAY()&gt;AD230),"تاخیر",IF(L230&lt;&gt;"","در حال انجام",""))))))</f>
        <v>بسته</v>
      </c>
      <c r="V230" s="7" t="n">
        <f aca="true">IF(U230="تاخیر",TODAY()-AD230,IF(AND(U230="بسته",AH230&lt;&gt;"",AD230&lt;&gt;"",AH230&gt;AD230),AH230-AD230,0))</f>
        <v>0</v>
      </c>
      <c r="W230" s="7" t="n">
        <f aca="false">IF(L230="","",VALUE(LEFT(L230,FIND("/",L230)-1)))</f>
        <v>1405</v>
      </c>
      <c r="X230" s="7" t="n">
        <f aca="false">IF(L230="","",VALUE(MID(L230,FIND("/",L230)+1,FIND("/",L230,FIND("/",L230)+1)-FIND("/",L230)-1)))</f>
        <v>6</v>
      </c>
      <c r="Y230" s="7" t="n">
        <f aca="false">IF(L230="","",VALUE(MID(L230,FIND("/",L230,FIND("/",L230)+1)+1,LEN(L230)-FIND("/",L230,FIND("/",L230)+1))))</f>
        <v>22</v>
      </c>
      <c r="Z230" s="11" t="n">
        <f aca="false">IF(OR(L230="",W230=""),"",IFERROR(INDEX('لیست‌ها'!$Q$3:$Q$53,MATCH(W230,'لیست‌ها'!$P$3:$P$53,0))+IF(X230&lt;=6,(X230-1)*31+Y230,IF(X230&lt;=11,186+(X230-7)*30+Y230,336+Y230))-1,""))</f>
        <v>46278</v>
      </c>
      <c r="AA230" s="7" t="n">
        <f aca="false">IF(H230="","",VALUE(LEFT(H230,FIND("/",H230)-1)))</f>
        <v>1405</v>
      </c>
      <c r="AB230" s="7" t="n">
        <f aca="false">IF(H230="","",VALUE(MID(H230,FIND("/",H230)+1,FIND("/",H230,FIND("/",H230)+1)-FIND("/",H230)-1)))</f>
        <v>7</v>
      </c>
      <c r="AC230" s="7" t="n">
        <f aca="false">IF(H230="","",VALUE(MID(H230,FIND("/",H230,FIND("/",H230)+1)+1,LEN(H230)-FIND("/",H230,FIND("/",H230)+1))))</f>
        <v>21</v>
      </c>
      <c r="AD230" s="11" t="n">
        <f aca="false">IF(OR(H230="",AA230=""),"",IFERROR(INDEX('لیست‌ها'!$Q$3:$Q$53,MATCH(AA230,'لیست‌ها'!$P$3:$P$53,0))+IF(AB230&lt;=6,(AB230-1)*31+AC230,IF(AB230&lt;=11,186+(AB230-7)*30+AC230,336+AC230))-1,""))</f>
        <v>46308</v>
      </c>
      <c r="AE230" s="7" t="str">
        <f aca="false">IF(P230="","",VALUE(LEFT(P230,FIND("/",P230)-1)))</f>
        <v/>
      </c>
      <c r="AF230" s="7" t="str">
        <f aca="false">IF(P230="","",VALUE(MID(P230,FIND("/",P230)+1,FIND("/",P230,FIND("/",P230)+1)-FIND("/",P230)-1)))</f>
        <v/>
      </c>
      <c r="AG230" s="7" t="str">
        <f aca="false">IF(P230="","",VALUE(MID(P230,FIND("/",P230,FIND("/",P230)+1)+1,LEN(P230)-FIND("/",P230,FIND("/",P230)+1))))</f>
        <v/>
      </c>
      <c r="AH230" s="7" t="str">
        <f aca="false">IF(OR(P230="",AE230=""),"",IFERROR(INDEX('لیست‌ها'!$Q$3:$Q$53,MATCH(AE230,'لیست‌ها'!$P$3:$P$53,0))+IF(AF230&lt;=6,(AF230-1)*31+AG230,IF(AF230&lt;=11,186+(AF230-7)*30+AG230,336+AG230))-1,""))</f>
        <v/>
      </c>
      <c r="AI230" s="7" t="str">
        <f aca="false">IF(W230="","",W230&amp;"-"&amp;TEXT(X230,"00"))</f>
        <v>1405-06</v>
      </c>
      <c r="AJ230" s="7" t="n">
        <f aca="false">IF(W230="","",W230*12+X230)</f>
        <v>16866</v>
      </c>
      <c r="AK230" s="7" t="str">
        <f aca="false">IF(U230="تاخیر",V230+ROW()/100000,"")</f>
        <v/>
      </c>
    </row>
    <row r="231" customFormat="false" ht="15" hidden="false" customHeight="false" outlineLevel="0" collapsed="false">
      <c r="A231" s="7" t="n">
        <f aca="false">IF(B231="","",ROW()-3)</f>
        <v>228</v>
      </c>
      <c r="B231" s="8" t="s">
        <v>522</v>
      </c>
      <c r="C231" s="8" t="s">
        <v>38</v>
      </c>
      <c r="D231" s="8" t="s">
        <v>306</v>
      </c>
      <c r="E231" s="9" t="s">
        <v>523</v>
      </c>
      <c r="F231" s="9" t="s">
        <v>308</v>
      </c>
      <c r="G231" s="8" t="s">
        <v>309</v>
      </c>
      <c r="H231" s="8" t="s">
        <v>513</v>
      </c>
      <c r="I231" s="8" t="s">
        <v>54</v>
      </c>
      <c r="J231" s="9"/>
      <c r="K231" s="8"/>
      <c r="L231" s="8" t="s">
        <v>382</v>
      </c>
      <c r="M231" s="8" t="s">
        <v>56</v>
      </c>
      <c r="N231" s="8"/>
      <c r="O231" s="8"/>
      <c r="P231" s="8"/>
      <c r="Q231" s="8"/>
      <c r="R231" s="9"/>
      <c r="S231" s="8"/>
      <c r="T231" s="9"/>
      <c r="U231" s="10" t="str">
        <f aca="true">IF(B231="","",IF(OR(P231&lt;&gt;"",I231="می‌باشد"),"بسته",IF(AND(L231&lt;&gt;"",W231=""),"خطای فرمت تاریخ ایجاد",IF(AND(H231&lt;&gt;"",AA231=""),"خطای فرمت مهلت",IF(AND(H231&lt;&gt;"",AD231&lt;&gt;"",TODAY()&gt;AD231),"تاخیر",IF(L231&lt;&gt;"","در حال انجام",""))))))</f>
        <v>بسته</v>
      </c>
      <c r="V231" s="7" t="n">
        <f aca="true">IF(U231="تاخیر",TODAY()-AD231,IF(AND(U231="بسته",AH231&lt;&gt;"",AD231&lt;&gt;"",AH231&gt;AD231),AH231-AD231,0))</f>
        <v>0</v>
      </c>
      <c r="W231" s="7" t="n">
        <f aca="false">IF(L231="","",VALUE(LEFT(L231,FIND("/",L231)-1)))</f>
        <v>1405</v>
      </c>
      <c r="X231" s="7" t="n">
        <f aca="false">IF(L231="","",VALUE(MID(L231,FIND("/",L231)+1,FIND("/",L231,FIND("/",L231)+1)-FIND("/",L231)-1)))</f>
        <v>6</v>
      </c>
      <c r="Y231" s="7" t="n">
        <f aca="false">IF(L231="","",VALUE(MID(L231,FIND("/",L231,FIND("/",L231)+1)+1,LEN(L231)-FIND("/",L231,FIND("/",L231)+1))))</f>
        <v>23</v>
      </c>
      <c r="Z231" s="11" t="n">
        <f aca="false">IF(OR(L231="",W231=""),"",IFERROR(INDEX('لیست‌ها'!$Q$3:$Q$53,MATCH(W231,'لیست‌ها'!$P$3:$P$53,0))+IF(X231&lt;=6,(X231-1)*31+Y231,IF(X231&lt;=11,186+(X231-7)*30+Y231,336+Y231))-1,""))</f>
        <v>46279</v>
      </c>
      <c r="AA231" s="7" t="n">
        <f aca="false">IF(H231="","",VALUE(LEFT(H231,FIND("/",H231)-1)))</f>
        <v>1405</v>
      </c>
      <c r="AB231" s="7" t="n">
        <f aca="false">IF(H231="","",VALUE(MID(H231,FIND("/",H231)+1,FIND("/",H231,FIND("/",H231)+1)-FIND("/",H231)-1)))</f>
        <v>7</v>
      </c>
      <c r="AC231" s="7" t="n">
        <f aca="false">IF(H231="","",VALUE(MID(H231,FIND("/",H231,FIND("/",H231)+1)+1,LEN(H231)-FIND("/",H231,FIND("/",H231)+1))))</f>
        <v>21</v>
      </c>
      <c r="AD231" s="11" t="n">
        <f aca="false">IF(OR(H231="",AA231=""),"",IFERROR(INDEX('لیست‌ها'!$Q$3:$Q$53,MATCH(AA231,'لیست‌ها'!$P$3:$P$53,0))+IF(AB231&lt;=6,(AB231-1)*31+AC231,IF(AB231&lt;=11,186+(AB231-7)*30+AC231,336+AC231))-1,""))</f>
        <v>46308</v>
      </c>
      <c r="AE231" s="7" t="str">
        <f aca="false">IF(P231="","",VALUE(LEFT(P231,FIND("/",P231)-1)))</f>
        <v/>
      </c>
      <c r="AF231" s="7" t="str">
        <f aca="false">IF(P231="","",VALUE(MID(P231,FIND("/",P231)+1,FIND("/",P231,FIND("/",P231)+1)-FIND("/",P231)-1)))</f>
        <v/>
      </c>
      <c r="AG231" s="7" t="str">
        <f aca="false">IF(P231="","",VALUE(MID(P231,FIND("/",P231,FIND("/",P231)+1)+1,LEN(P231)-FIND("/",P231,FIND("/",P231)+1))))</f>
        <v/>
      </c>
      <c r="AH231" s="7" t="str">
        <f aca="false">IF(OR(P231="",AE231=""),"",IFERROR(INDEX('لیست‌ها'!$Q$3:$Q$53,MATCH(AE231,'لیست‌ها'!$P$3:$P$53,0))+IF(AF231&lt;=6,(AF231-1)*31+AG231,IF(AF231&lt;=11,186+(AF231-7)*30+AG231,336+AG231))-1,""))</f>
        <v/>
      </c>
      <c r="AI231" s="7" t="str">
        <f aca="false">IF(W231="","",W231&amp;"-"&amp;TEXT(X231,"00"))</f>
        <v>1405-06</v>
      </c>
      <c r="AJ231" s="7" t="n">
        <f aca="false">IF(W231="","",W231*12+X231)</f>
        <v>16866</v>
      </c>
      <c r="AK231" s="7" t="str">
        <f aca="false">IF(U231="تاخیر",V231+ROW()/100000,"")</f>
        <v/>
      </c>
    </row>
    <row r="232" customFormat="false" ht="15" hidden="false" customHeight="false" outlineLevel="0" collapsed="false">
      <c r="A232" s="7" t="n">
        <f aca="false">IF(B232="","",ROW()-3)</f>
        <v>229</v>
      </c>
      <c r="B232" s="8" t="s">
        <v>519</v>
      </c>
      <c r="C232" s="8" t="s">
        <v>38</v>
      </c>
      <c r="D232" s="8" t="s">
        <v>39</v>
      </c>
      <c r="E232" s="9" t="s">
        <v>520</v>
      </c>
      <c r="F232" s="9" t="s">
        <v>51</v>
      </c>
      <c r="G232" s="8" t="s">
        <v>42</v>
      </c>
      <c r="H232" s="8" t="s">
        <v>513</v>
      </c>
      <c r="I232" s="8"/>
      <c r="J232" s="9"/>
      <c r="K232" s="8"/>
      <c r="L232" s="8" t="s">
        <v>521</v>
      </c>
      <c r="M232" s="8" t="s">
        <v>56</v>
      </c>
      <c r="N232" s="8"/>
      <c r="O232" s="8"/>
      <c r="P232" s="8"/>
      <c r="Q232" s="8"/>
      <c r="R232" s="9"/>
      <c r="S232" s="8"/>
      <c r="T232" s="9"/>
      <c r="U232" s="10" t="str">
        <f aca="true">IF(B232="","",IF(OR(P232&lt;&gt;"",I232="می‌باشد"),"بسته",IF(AND(L232&lt;&gt;"",W232=""),"خطای فرمت تاریخ ایجاد",IF(AND(H232&lt;&gt;"",AA232=""),"خطای فرمت مهلت",IF(AND(H232&lt;&gt;"",AD232&lt;&gt;"",TODAY()&gt;AD232),"تاخیر",IF(L232&lt;&gt;"","در حال انجام",""))))))</f>
        <v>در حال انجام</v>
      </c>
      <c r="V232" s="7" t="n">
        <f aca="true">IF(U232="تاخیر",TODAY()-AD232,IF(AND(U232="بسته",AH232&lt;&gt;"",AD232&lt;&gt;"",AH232&gt;AD232),AH232-AD232,0))</f>
        <v>0</v>
      </c>
      <c r="W232" s="7" t="n">
        <f aca="false">IF(L232="","",VALUE(LEFT(L232,FIND("/",L232)-1)))</f>
        <v>1405</v>
      </c>
      <c r="X232" s="7" t="n">
        <f aca="false">IF(L232="","",VALUE(MID(L232,FIND("/",L232)+1,FIND("/",L232,FIND("/",L232)+1)-FIND("/",L232)-1)))</f>
        <v>6</v>
      </c>
      <c r="Y232" s="7" t="n">
        <f aca="false">IF(L232="","",VALUE(MID(L232,FIND("/",L232,FIND("/",L232)+1)+1,LEN(L232)-FIND("/",L232,FIND("/",L232)+1))))</f>
        <v>24</v>
      </c>
      <c r="Z232" s="11" t="n">
        <f aca="false">IF(OR(L232="",W232=""),"",IFERROR(INDEX('لیست‌ها'!$Q$3:$Q$53,MATCH(W232,'لیست‌ها'!$P$3:$P$53,0))+IF(X232&lt;=6,(X232-1)*31+Y232,IF(X232&lt;=11,186+(X232-7)*30+Y232,336+Y232))-1,""))</f>
        <v>46280</v>
      </c>
      <c r="AA232" s="7" t="n">
        <f aca="false">IF(H232="","",VALUE(LEFT(H232,FIND("/",H232)-1)))</f>
        <v>1405</v>
      </c>
      <c r="AB232" s="7" t="n">
        <f aca="false">IF(H232="","",VALUE(MID(H232,FIND("/",H232)+1,FIND("/",H232,FIND("/",H232)+1)-FIND("/",H232)-1)))</f>
        <v>7</v>
      </c>
      <c r="AC232" s="7" t="n">
        <f aca="false">IF(H232="","",VALUE(MID(H232,FIND("/",H232,FIND("/",H232)+1)+1,LEN(H232)-FIND("/",H232,FIND("/",H232)+1))))</f>
        <v>21</v>
      </c>
      <c r="AD232" s="11" t="n">
        <f aca="false">IF(OR(H232="",AA232=""),"",IFERROR(INDEX('لیست‌ها'!$Q$3:$Q$53,MATCH(AA232,'لیست‌ها'!$P$3:$P$53,0))+IF(AB232&lt;=6,(AB232-1)*31+AC232,IF(AB232&lt;=11,186+(AB232-7)*30+AC232,336+AC232))-1,""))</f>
        <v>46308</v>
      </c>
      <c r="AE232" s="7" t="str">
        <f aca="false">IF(P232="","",VALUE(LEFT(P232,FIND("/",P232)-1)))</f>
        <v/>
      </c>
      <c r="AF232" s="7" t="str">
        <f aca="false">IF(P232="","",VALUE(MID(P232,FIND("/",P232)+1,FIND("/",P232,FIND("/",P232)+1)-FIND("/",P232)-1)))</f>
        <v/>
      </c>
      <c r="AG232" s="7" t="str">
        <f aca="false">IF(P232="","",VALUE(MID(P232,FIND("/",P232,FIND("/",P232)+1)+1,LEN(P232)-FIND("/",P232,FIND("/",P232)+1))))</f>
        <v/>
      </c>
      <c r="AH232" s="7" t="str">
        <f aca="false">IF(OR(P232="",AE232=""),"",IFERROR(INDEX('لیست‌ها'!$Q$3:$Q$53,MATCH(AE232,'لیست‌ها'!$P$3:$P$53,0))+IF(AF232&lt;=6,(AF232-1)*31+AG232,IF(AF232&lt;=11,186+(AF232-7)*30+AG232,336+AG232))-1,""))</f>
        <v/>
      </c>
      <c r="AI232" s="7" t="str">
        <f aca="false">IF(W232="","",W232&amp;"-"&amp;TEXT(X232,"00"))</f>
        <v>1405-06</v>
      </c>
      <c r="AJ232" s="7" t="n">
        <f aca="false">IF(W232="","",W232*12+X232)</f>
        <v>16866</v>
      </c>
      <c r="AK232" s="7" t="str">
        <f aca="false">IF(U232="تاخیر",V232+ROW()/100000,"")</f>
        <v/>
      </c>
    </row>
    <row r="233" customFormat="false" ht="15" hidden="false" customHeight="false" outlineLevel="0" collapsed="false">
      <c r="A233" s="7" t="n">
        <f aca="false">IF(B233="","",ROW()-3)</f>
        <v>230</v>
      </c>
      <c r="B233" s="8" t="s">
        <v>518</v>
      </c>
      <c r="C233" s="8" t="s">
        <v>38</v>
      </c>
      <c r="D233" s="8" t="s">
        <v>47</v>
      </c>
      <c r="E233" s="9" t="s">
        <v>103</v>
      </c>
      <c r="F233" s="9" t="s">
        <v>51</v>
      </c>
      <c r="G233" s="8" t="s">
        <v>52</v>
      </c>
      <c r="H233" s="8" t="s">
        <v>513</v>
      </c>
      <c r="I233" s="8"/>
      <c r="J233" s="9"/>
      <c r="K233" s="8"/>
      <c r="L233" s="8" t="s">
        <v>517</v>
      </c>
      <c r="M233" s="8" t="s">
        <v>110</v>
      </c>
      <c r="N233" s="8"/>
      <c r="O233" s="8"/>
      <c r="P233" s="8"/>
      <c r="Q233" s="8"/>
      <c r="R233" s="9"/>
      <c r="S233" s="8"/>
      <c r="T233" s="9"/>
      <c r="U233" s="10" t="str">
        <f aca="true">IF(B233="","",IF(OR(P233&lt;&gt;"",I233="می‌باشد"),"بسته",IF(AND(L233&lt;&gt;"",W233=""),"خطای فرمت تاریخ ایجاد",IF(AND(H233&lt;&gt;"",AA233=""),"خطای فرمت مهلت",IF(AND(H233&lt;&gt;"",AD233&lt;&gt;"",TODAY()&gt;AD233),"تاخیر",IF(L233&lt;&gt;"","در حال انجام",""))))))</f>
        <v>در حال انجام</v>
      </c>
      <c r="V233" s="7" t="n">
        <f aca="true">IF(U233="تاخیر",TODAY()-AD233,IF(AND(U233="بسته",AH233&lt;&gt;"",AD233&lt;&gt;"",AH233&gt;AD233),AH233-AD233,0))</f>
        <v>0</v>
      </c>
      <c r="W233" s="7" t="n">
        <f aca="false">IF(L233="","",VALUE(LEFT(L233,FIND("/",L233)-1)))</f>
        <v>1405</v>
      </c>
      <c r="X233" s="7" t="n">
        <f aca="false">IF(L233="","",VALUE(MID(L233,FIND("/",L233)+1,FIND("/",L233,FIND("/",L233)+1)-FIND("/",L233)-1)))</f>
        <v>6</v>
      </c>
      <c r="Y233" s="7" t="n">
        <f aca="false">IF(L233="","",VALUE(MID(L233,FIND("/",L233,FIND("/",L233)+1)+1,LEN(L233)-FIND("/",L233,FIND("/",L233)+1))))</f>
        <v>25</v>
      </c>
      <c r="Z233" s="11" t="n">
        <f aca="false">IF(OR(L233="",W233=""),"",IFERROR(INDEX('لیست‌ها'!$Q$3:$Q$53,MATCH(W233,'لیست‌ها'!$P$3:$P$53,0))+IF(X233&lt;=6,(X233-1)*31+Y233,IF(X233&lt;=11,186+(X233-7)*30+Y233,336+Y233))-1,""))</f>
        <v>46281</v>
      </c>
      <c r="AA233" s="7" t="n">
        <f aca="false">IF(H233="","",VALUE(LEFT(H233,FIND("/",H233)-1)))</f>
        <v>1405</v>
      </c>
      <c r="AB233" s="7" t="n">
        <f aca="false">IF(H233="","",VALUE(MID(H233,FIND("/",H233)+1,FIND("/",H233,FIND("/",H233)+1)-FIND("/",H233)-1)))</f>
        <v>7</v>
      </c>
      <c r="AC233" s="7" t="n">
        <f aca="false">IF(H233="","",VALUE(MID(H233,FIND("/",H233,FIND("/",H233)+1)+1,LEN(H233)-FIND("/",H233,FIND("/",H233)+1))))</f>
        <v>21</v>
      </c>
      <c r="AD233" s="11" t="n">
        <f aca="false">IF(OR(H233="",AA233=""),"",IFERROR(INDEX('لیست‌ها'!$Q$3:$Q$53,MATCH(AA233,'لیست‌ها'!$P$3:$P$53,0))+IF(AB233&lt;=6,(AB233-1)*31+AC233,IF(AB233&lt;=11,186+(AB233-7)*30+AC233,336+AC233))-1,""))</f>
        <v>46308</v>
      </c>
      <c r="AE233" s="7" t="str">
        <f aca="false">IF(P233="","",VALUE(LEFT(P233,FIND("/",P233)-1)))</f>
        <v/>
      </c>
      <c r="AF233" s="7" t="str">
        <f aca="false">IF(P233="","",VALUE(MID(P233,FIND("/",P233)+1,FIND("/",P233,FIND("/",P233)+1)-FIND("/",P233)-1)))</f>
        <v/>
      </c>
      <c r="AG233" s="7" t="str">
        <f aca="false">IF(P233="","",VALUE(MID(P233,FIND("/",P233,FIND("/",P233)+1)+1,LEN(P233)-FIND("/",P233,FIND("/",P233)+1))))</f>
        <v/>
      </c>
      <c r="AH233" s="7" t="str">
        <f aca="false">IF(OR(P233="",AE233=""),"",IFERROR(INDEX('لیست‌ها'!$Q$3:$Q$53,MATCH(AE233,'لیست‌ها'!$P$3:$P$53,0))+IF(AF233&lt;=6,(AF233-1)*31+AG233,IF(AF233&lt;=11,186+(AF233-7)*30+AG233,336+AG233))-1,""))</f>
        <v/>
      </c>
      <c r="AI233" s="7" t="str">
        <f aca="false">IF(W233="","",W233&amp;"-"&amp;TEXT(X233,"00"))</f>
        <v>1405-06</v>
      </c>
      <c r="AJ233" s="7" t="n">
        <f aca="false">IF(W233="","",W233*12+X233)</f>
        <v>16866</v>
      </c>
      <c r="AK233" s="7" t="str">
        <f aca="false">IF(U233="تاخیر",V233+ROW()/100000,"")</f>
        <v/>
      </c>
    </row>
    <row r="234" customFormat="false" ht="15" hidden="false" customHeight="false" outlineLevel="0" collapsed="false">
      <c r="A234" s="7" t="n">
        <f aca="false">IF(B234="","",ROW()-3)</f>
        <v>231</v>
      </c>
      <c r="B234" s="8" t="s">
        <v>515</v>
      </c>
      <c r="C234" s="8" t="s">
        <v>38</v>
      </c>
      <c r="D234" s="8" t="s">
        <v>39</v>
      </c>
      <c r="E234" s="9" t="s">
        <v>516</v>
      </c>
      <c r="F234" s="9" t="s">
        <v>51</v>
      </c>
      <c r="G234" s="8" t="s">
        <v>42</v>
      </c>
      <c r="H234" s="8" t="s">
        <v>513</v>
      </c>
      <c r="I234" s="8"/>
      <c r="J234" s="9"/>
      <c r="K234" s="8"/>
      <c r="L234" s="8" t="s">
        <v>517</v>
      </c>
      <c r="M234" s="8" t="s">
        <v>374</v>
      </c>
      <c r="N234" s="8"/>
      <c r="O234" s="8"/>
      <c r="P234" s="8"/>
      <c r="Q234" s="8"/>
      <c r="R234" s="9"/>
      <c r="S234" s="8"/>
      <c r="T234" s="9"/>
      <c r="U234" s="10" t="str">
        <f aca="true">IF(B234="","",IF(OR(P234&lt;&gt;"",I234="می‌باشد"),"بسته",IF(AND(L234&lt;&gt;"",W234=""),"خطای فرمت تاریخ ایجاد",IF(AND(H234&lt;&gt;"",AA234=""),"خطای فرمت مهلت",IF(AND(H234&lt;&gt;"",AD234&lt;&gt;"",TODAY()&gt;AD234),"تاخیر",IF(L234&lt;&gt;"","در حال انجام",""))))))</f>
        <v>در حال انجام</v>
      </c>
      <c r="V234" s="7" t="n">
        <f aca="true">IF(U234="تاخیر",TODAY()-AD234,IF(AND(U234="بسته",AH234&lt;&gt;"",AD234&lt;&gt;"",AH234&gt;AD234),AH234-AD234,0))</f>
        <v>0</v>
      </c>
      <c r="W234" s="7" t="n">
        <f aca="false">IF(L234="","",VALUE(LEFT(L234,FIND("/",L234)-1)))</f>
        <v>1405</v>
      </c>
      <c r="X234" s="7" t="n">
        <f aca="false">IF(L234="","",VALUE(MID(L234,FIND("/",L234)+1,FIND("/",L234,FIND("/",L234)+1)-FIND("/",L234)-1)))</f>
        <v>6</v>
      </c>
      <c r="Y234" s="7" t="n">
        <f aca="false">IF(L234="","",VALUE(MID(L234,FIND("/",L234,FIND("/",L234)+1)+1,LEN(L234)-FIND("/",L234,FIND("/",L234)+1))))</f>
        <v>25</v>
      </c>
      <c r="Z234" s="11" t="n">
        <f aca="false">IF(OR(L234="",W234=""),"",IFERROR(INDEX('لیست‌ها'!$Q$3:$Q$53,MATCH(W234,'لیست‌ها'!$P$3:$P$53,0))+IF(X234&lt;=6,(X234-1)*31+Y234,IF(X234&lt;=11,186+(X234-7)*30+Y234,336+Y234))-1,""))</f>
        <v>46281</v>
      </c>
      <c r="AA234" s="7" t="n">
        <f aca="false">IF(H234="","",VALUE(LEFT(H234,FIND("/",H234)-1)))</f>
        <v>1405</v>
      </c>
      <c r="AB234" s="7" t="n">
        <f aca="false">IF(H234="","",VALUE(MID(H234,FIND("/",H234)+1,FIND("/",H234,FIND("/",H234)+1)-FIND("/",H234)-1)))</f>
        <v>7</v>
      </c>
      <c r="AC234" s="7" t="n">
        <f aca="false">IF(H234="","",VALUE(MID(H234,FIND("/",H234,FIND("/",H234)+1)+1,LEN(H234)-FIND("/",H234,FIND("/",H234)+1))))</f>
        <v>21</v>
      </c>
      <c r="AD234" s="11" t="n">
        <f aca="false">IF(OR(H234="",AA234=""),"",IFERROR(INDEX('لیست‌ها'!$Q$3:$Q$53,MATCH(AA234,'لیست‌ها'!$P$3:$P$53,0))+IF(AB234&lt;=6,(AB234-1)*31+AC234,IF(AB234&lt;=11,186+(AB234-7)*30+AC234,336+AC234))-1,""))</f>
        <v>46308</v>
      </c>
      <c r="AE234" s="7" t="str">
        <f aca="false">IF(P234="","",VALUE(LEFT(P234,FIND("/",P234)-1)))</f>
        <v/>
      </c>
      <c r="AF234" s="7" t="str">
        <f aca="false">IF(P234="","",VALUE(MID(P234,FIND("/",P234)+1,FIND("/",P234,FIND("/",P234)+1)-FIND("/",P234)-1)))</f>
        <v/>
      </c>
      <c r="AG234" s="7" t="str">
        <f aca="false">IF(P234="","",VALUE(MID(P234,FIND("/",P234,FIND("/",P234)+1)+1,LEN(P234)-FIND("/",P234,FIND("/",P234)+1))))</f>
        <v/>
      </c>
      <c r="AH234" s="7" t="str">
        <f aca="false">IF(OR(P234="",AE234=""),"",IFERROR(INDEX('لیست‌ها'!$Q$3:$Q$53,MATCH(AE234,'لیست‌ها'!$P$3:$P$53,0))+IF(AF234&lt;=6,(AF234-1)*31+AG234,IF(AF234&lt;=11,186+(AF234-7)*30+AG234,336+AG234))-1,""))</f>
        <v/>
      </c>
      <c r="AI234" s="7" t="str">
        <f aca="false">IF(W234="","",W234&amp;"-"&amp;TEXT(X234,"00"))</f>
        <v>1405-06</v>
      </c>
      <c r="AJ234" s="7" t="n">
        <f aca="false">IF(W234="","",W234*12+X234)</f>
        <v>16866</v>
      </c>
      <c r="AK234" s="7" t="str">
        <f aca="false">IF(U234="تاخیر",V234+ROW()/100000,"")</f>
        <v/>
      </c>
    </row>
    <row r="235" customFormat="false" ht="15" hidden="false" customHeight="false" outlineLevel="0" collapsed="false">
      <c r="A235" s="7" t="n">
        <f aca="false">IF(B235="","",ROW()-3)</f>
        <v>232</v>
      </c>
      <c r="B235" s="8" t="s">
        <v>511</v>
      </c>
      <c r="C235" s="8" t="s">
        <v>38</v>
      </c>
      <c r="D235" s="8" t="s">
        <v>47</v>
      </c>
      <c r="E235" s="9" t="s">
        <v>512</v>
      </c>
      <c r="F235" s="9" t="s">
        <v>51</v>
      </c>
      <c r="G235" s="8" t="s">
        <v>52</v>
      </c>
      <c r="H235" s="8" t="s">
        <v>513</v>
      </c>
      <c r="I235" s="8"/>
      <c r="J235" s="9"/>
      <c r="K235" s="8"/>
      <c r="L235" s="8" t="s">
        <v>514</v>
      </c>
      <c r="M235" s="8" t="s">
        <v>374</v>
      </c>
      <c r="N235" s="8"/>
      <c r="O235" s="8"/>
      <c r="P235" s="8"/>
      <c r="Q235" s="8"/>
      <c r="R235" s="9"/>
      <c r="S235" s="8"/>
      <c r="T235" s="9"/>
      <c r="U235" s="10" t="str">
        <f aca="true">IF(B235="","",IF(OR(P235&lt;&gt;"",I235="می‌باشد"),"بسته",IF(AND(L235&lt;&gt;"",W235=""),"خطای فرمت تاریخ ایجاد",IF(AND(H235&lt;&gt;"",AA235=""),"خطای فرمت مهلت",IF(AND(H235&lt;&gt;"",AD235&lt;&gt;"",TODAY()&gt;AD235),"تاخیر",IF(L235&lt;&gt;"","در حال انجام",""))))))</f>
        <v>در حال انجام</v>
      </c>
      <c r="V235" s="7" t="n">
        <f aca="true">IF(U235="تاخیر",TODAY()-AD235,IF(AND(U235="بسته",AH235&lt;&gt;"",AD235&lt;&gt;"",AH235&gt;AD235),AH235-AD235,0))</f>
        <v>0</v>
      </c>
      <c r="W235" s="7" t="n">
        <f aca="false">IF(L235="","",VALUE(LEFT(L235,FIND("/",L235)-1)))</f>
        <v>1405</v>
      </c>
      <c r="X235" s="7" t="n">
        <f aca="false">IF(L235="","",VALUE(MID(L235,FIND("/",L235)+1,FIND("/",L235,FIND("/",L235)+1)-FIND("/",L235)-1)))</f>
        <v>6</v>
      </c>
      <c r="Y235" s="7" t="n">
        <f aca="false">IF(L235="","",VALUE(MID(L235,FIND("/",L235,FIND("/",L235)+1)+1,LEN(L235)-FIND("/",L235,FIND("/",L235)+1))))</f>
        <v>28</v>
      </c>
      <c r="Z235" s="11" t="n">
        <f aca="false">IF(OR(L235="",W235=""),"",IFERROR(INDEX('لیست‌ها'!$Q$3:$Q$53,MATCH(W235,'لیست‌ها'!$P$3:$P$53,0))+IF(X235&lt;=6,(X235-1)*31+Y235,IF(X235&lt;=11,186+(X235-7)*30+Y235,336+Y235))-1,""))</f>
        <v>46284</v>
      </c>
      <c r="AA235" s="7" t="n">
        <f aca="false">IF(H235="","",VALUE(LEFT(H235,FIND("/",H235)-1)))</f>
        <v>1405</v>
      </c>
      <c r="AB235" s="7" t="n">
        <f aca="false">IF(H235="","",VALUE(MID(H235,FIND("/",H235)+1,FIND("/",H235,FIND("/",H235)+1)-FIND("/",H235)-1)))</f>
        <v>7</v>
      </c>
      <c r="AC235" s="7" t="n">
        <f aca="false">IF(H235="","",VALUE(MID(H235,FIND("/",H235,FIND("/",H235)+1)+1,LEN(H235)-FIND("/",H235,FIND("/",H235)+1))))</f>
        <v>21</v>
      </c>
      <c r="AD235" s="11" t="n">
        <f aca="false">IF(OR(H235="",AA235=""),"",IFERROR(INDEX('لیست‌ها'!$Q$3:$Q$53,MATCH(AA235,'لیست‌ها'!$P$3:$P$53,0))+IF(AB235&lt;=6,(AB235-1)*31+AC235,IF(AB235&lt;=11,186+(AB235-7)*30+AC235,336+AC235))-1,""))</f>
        <v>46308</v>
      </c>
      <c r="AE235" s="7" t="str">
        <f aca="false">IF(P235="","",VALUE(LEFT(P235,FIND("/",P235)-1)))</f>
        <v/>
      </c>
      <c r="AF235" s="7" t="str">
        <f aca="false">IF(P235="","",VALUE(MID(P235,FIND("/",P235)+1,FIND("/",P235,FIND("/",P235)+1)-FIND("/",P235)-1)))</f>
        <v/>
      </c>
      <c r="AG235" s="7" t="str">
        <f aca="false">IF(P235="","",VALUE(MID(P235,FIND("/",P235,FIND("/",P235)+1)+1,LEN(P235)-FIND("/",P235,FIND("/",P235)+1))))</f>
        <v/>
      </c>
      <c r="AH235" s="7" t="str">
        <f aca="false">IF(OR(P235="",AE235=""),"",IFERROR(INDEX('لیست‌ها'!$Q$3:$Q$53,MATCH(AE235,'لیست‌ها'!$P$3:$P$53,0))+IF(AF235&lt;=6,(AF235-1)*31+AG235,IF(AF235&lt;=11,186+(AF235-7)*30+AG235,336+AG235))-1,""))</f>
        <v/>
      </c>
      <c r="AI235" s="7" t="str">
        <f aca="false">IF(W235="","",W235&amp;"-"&amp;TEXT(X235,"00"))</f>
        <v>1405-06</v>
      </c>
      <c r="AJ235" s="7" t="n">
        <f aca="false">IF(W235="","",W235*12+X235)</f>
        <v>16866</v>
      </c>
      <c r="AK235" s="7" t="str">
        <f aca="false">IF(U235="تاخیر",V235+ROW()/100000,"")</f>
        <v/>
      </c>
    </row>
    <row r="236" customFormat="false" ht="15" hidden="false" customHeight="false" outlineLevel="0" collapsed="false">
      <c r="A236" s="7" t="n">
        <f aca="false">IF(B236="","",ROW()-3)</f>
        <v>233</v>
      </c>
      <c r="B236" s="8" t="s">
        <v>563</v>
      </c>
      <c r="C236" s="8" t="s">
        <v>38</v>
      </c>
      <c r="D236" s="8" t="s">
        <v>47</v>
      </c>
      <c r="E236" s="9" t="s">
        <v>222</v>
      </c>
      <c r="F236" s="9" t="s">
        <v>51</v>
      </c>
      <c r="G236" s="8" t="s">
        <v>52</v>
      </c>
      <c r="H236" s="8" t="s">
        <v>513</v>
      </c>
      <c r="I236" s="8"/>
      <c r="J236" s="9"/>
      <c r="K236" s="8"/>
      <c r="L236" s="8" t="s">
        <v>560</v>
      </c>
      <c r="M236" s="8" t="s">
        <v>374</v>
      </c>
      <c r="N236" s="8"/>
      <c r="O236" s="8"/>
      <c r="P236" s="8"/>
      <c r="Q236" s="8"/>
      <c r="R236" s="9"/>
      <c r="S236" s="8"/>
      <c r="T236" s="9"/>
      <c r="U236" s="10" t="str">
        <f aca="true">IF(B236="","",IF(OR(P236&lt;&gt;"",I236="می‌باشد"),"بسته",IF(AND(L236&lt;&gt;"",W236=""),"خطای فرمت تاریخ ایجاد",IF(AND(H236&lt;&gt;"",AA236=""),"خطای فرمت مهلت",IF(AND(H236&lt;&gt;"",AD236&lt;&gt;"",TODAY()&gt;AD236),"تاخیر",IF(L236&lt;&gt;"","در حال انجام",""))))))</f>
        <v>در حال انجام</v>
      </c>
      <c r="V236" s="7" t="n">
        <f aca="true">IF(U236="تاخیر",TODAY()-AD236,IF(AND(U236="بسته",AH236&lt;&gt;"",AD236&lt;&gt;"",AH236&gt;AD236),AH236-AD236,0))</f>
        <v>0</v>
      </c>
      <c r="W236" s="7" t="n">
        <f aca="false">IF(L236="","",VALUE(LEFT(L236,FIND("/",L236)-1)))</f>
        <v>1405</v>
      </c>
      <c r="X236" s="7" t="n">
        <f aca="false">IF(L236="","",VALUE(MID(L236,FIND("/",L236)+1,FIND("/",L236,FIND("/",L236)+1)-FIND("/",L236)-1)))</f>
        <v>6</v>
      </c>
      <c r="Y236" s="7" t="n">
        <f aca="false">IF(L236="","",VALUE(MID(L236,FIND("/",L236,FIND("/",L236)+1)+1,LEN(L236)-FIND("/",L236,FIND("/",L236)+1))))</f>
        <v>29</v>
      </c>
      <c r="Z236" s="11" t="n">
        <f aca="false">IF(OR(L236="",W236=""),"",IFERROR(INDEX('لیست‌ها'!$Q$3:$Q$53,MATCH(W236,'لیست‌ها'!$P$3:$P$53,0))+IF(X236&lt;=6,(X236-1)*31+Y236,IF(X236&lt;=11,186+(X236-7)*30+Y236,336+Y236))-1,""))</f>
        <v>46285</v>
      </c>
      <c r="AA236" s="7" t="n">
        <f aca="false">IF(H236="","",VALUE(LEFT(H236,FIND("/",H236)-1)))</f>
        <v>1405</v>
      </c>
      <c r="AB236" s="7" t="n">
        <f aca="false">IF(H236="","",VALUE(MID(H236,FIND("/",H236)+1,FIND("/",H236,FIND("/",H236)+1)-FIND("/",H236)-1)))</f>
        <v>7</v>
      </c>
      <c r="AC236" s="7" t="n">
        <f aca="false">IF(H236="","",VALUE(MID(H236,FIND("/",H236,FIND("/",H236)+1)+1,LEN(H236)-FIND("/",H236,FIND("/",H236)+1))))</f>
        <v>21</v>
      </c>
      <c r="AD236" s="11" t="n">
        <f aca="false">IF(OR(H236="",AA236=""),"",IFERROR(INDEX('لیست‌ها'!$Q$3:$Q$53,MATCH(AA236,'لیست‌ها'!$P$3:$P$53,0))+IF(AB236&lt;=6,(AB236-1)*31+AC236,IF(AB236&lt;=11,186+(AB236-7)*30+AC236,336+AC236))-1,""))</f>
        <v>46308</v>
      </c>
      <c r="AE236" s="7" t="str">
        <f aca="false">IF(P236="","",VALUE(LEFT(P236,FIND("/",P236)-1)))</f>
        <v/>
      </c>
      <c r="AF236" s="7" t="str">
        <f aca="false">IF(P236="","",VALUE(MID(P236,FIND("/",P236)+1,FIND("/",P236,FIND("/",P236)+1)-FIND("/",P236)-1)))</f>
        <v/>
      </c>
      <c r="AG236" s="7" t="str">
        <f aca="false">IF(P236="","",VALUE(MID(P236,FIND("/",P236,FIND("/",P236)+1)+1,LEN(P236)-FIND("/",P236,FIND("/",P236)+1))))</f>
        <v/>
      </c>
      <c r="AH236" s="7" t="str">
        <f aca="false">IF(OR(P236="",AE236=""),"",IFERROR(INDEX('لیست‌ها'!$Q$3:$Q$53,MATCH(AE236,'لیست‌ها'!$P$3:$P$53,0))+IF(AF236&lt;=6,(AF236-1)*31+AG236,IF(AF236&lt;=11,186+(AF236-7)*30+AG236,336+AG236))-1,""))</f>
        <v/>
      </c>
      <c r="AI236" s="7" t="str">
        <f aca="false">IF(W236="","",W236&amp;"-"&amp;TEXT(X236,"00"))</f>
        <v>1405-06</v>
      </c>
      <c r="AJ236" s="7" t="n">
        <f aca="false">IF(W236="","",W236*12+X236)</f>
        <v>16866</v>
      </c>
      <c r="AK236" s="7" t="str">
        <f aca="false">IF(U236="تاخیر",V236+ROW()/100000,"")</f>
        <v/>
      </c>
    </row>
    <row r="237" customFormat="false" ht="15" hidden="false" customHeight="false" outlineLevel="0" collapsed="false">
      <c r="A237" s="7" t="n">
        <f aca="false">IF(B237="","",ROW()-3)</f>
        <v>234</v>
      </c>
      <c r="B237" s="8" t="s">
        <v>561</v>
      </c>
      <c r="C237" s="8" t="s">
        <v>38</v>
      </c>
      <c r="D237" s="8" t="s">
        <v>47</v>
      </c>
      <c r="E237" s="9" t="s">
        <v>562</v>
      </c>
      <c r="F237" s="9" t="s">
        <v>51</v>
      </c>
      <c r="G237" s="8" t="s">
        <v>52</v>
      </c>
      <c r="H237" s="8"/>
      <c r="I237" s="8"/>
      <c r="J237" s="9"/>
      <c r="K237" s="8"/>
      <c r="L237" s="8" t="s">
        <v>560</v>
      </c>
      <c r="M237" s="8" t="s">
        <v>540</v>
      </c>
      <c r="N237" s="8"/>
      <c r="O237" s="8"/>
      <c r="P237" s="8"/>
      <c r="Q237" s="8"/>
      <c r="R237" s="9"/>
      <c r="S237" s="8"/>
      <c r="T237" s="9"/>
      <c r="U237" s="10" t="str">
        <f aca="true">IF(B237="","",IF(OR(P237&lt;&gt;"",I237="می‌باشد"),"بسته",IF(AND(L237&lt;&gt;"",W237=""),"خطای فرمت تاریخ ایجاد",IF(AND(H237&lt;&gt;"",AA237=""),"خطای فرمت مهلت",IF(AND(H237&lt;&gt;"",AD237&lt;&gt;"",TODAY()&gt;AD237),"تاخیر",IF(L237&lt;&gt;"","در حال انجام",""))))))</f>
        <v>در حال انجام</v>
      </c>
      <c r="V237" s="7" t="n">
        <f aca="true">IF(U237="تاخیر",TODAY()-AD237,IF(AND(U237="بسته",AH237&lt;&gt;"",AD237&lt;&gt;"",AH237&gt;AD237),AH237-AD237,0))</f>
        <v>0</v>
      </c>
      <c r="W237" s="7" t="n">
        <f aca="false">IF(L237="","",VALUE(LEFT(L237,FIND("/",L237)-1)))</f>
        <v>1405</v>
      </c>
      <c r="X237" s="7" t="n">
        <f aca="false">IF(L237="","",VALUE(MID(L237,FIND("/",L237)+1,FIND("/",L237,FIND("/",L237)+1)-FIND("/",L237)-1)))</f>
        <v>6</v>
      </c>
      <c r="Y237" s="7" t="n">
        <f aca="false">IF(L237="","",VALUE(MID(L237,FIND("/",L237,FIND("/",L237)+1)+1,LEN(L237)-FIND("/",L237,FIND("/",L237)+1))))</f>
        <v>29</v>
      </c>
      <c r="Z237" s="11" t="n">
        <f aca="false">IF(OR(L237="",W237=""),"",IFERROR(INDEX('لیست‌ها'!$Q$3:$Q$53,MATCH(W237,'لیست‌ها'!$P$3:$P$53,0))+IF(X237&lt;=6,(X237-1)*31+Y237,IF(X237&lt;=11,186+(X237-7)*30+Y237,336+Y237))-1,""))</f>
        <v>46285</v>
      </c>
      <c r="AA237" s="7" t="str">
        <f aca="false">IF(H237="","",VALUE(LEFT(H237,FIND("/",H237)-1)))</f>
        <v/>
      </c>
      <c r="AB237" s="7" t="str">
        <f aca="false">IF(H237="","",VALUE(MID(H237,FIND("/",H237)+1,FIND("/",H237,FIND("/",H237)+1)-FIND("/",H237)-1)))</f>
        <v/>
      </c>
      <c r="AC237" s="7" t="str">
        <f aca="false">IF(H237="","",VALUE(MID(H237,FIND("/",H237,FIND("/",H237)+1)+1,LEN(H237)-FIND("/",H237,FIND("/",H237)+1))))</f>
        <v/>
      </c>
      <c r="AD237" s="7" t="str">
        <f aca="false">IF(OR(H237="",AA237=""),"",IFERROR(INDEX('لیست‌ها'!$Q$3:$Q$53,MATCH(AA237,'لیست‌ها'!$P$3:$P$53,0))+IF(AB237&lt;=6,(AB237-1)*31+AC237,IF(AB237&lt;=11,186+(AB237-7)*30+AC237,336+AC237))-1,""))</f>
        <v/>
      </c>
      <c r="AE237" s="7" t="str">
        <f aca="false">IF(P237="","",VALUE(LEFT(P237,FIND("/",P237)-1)))</f>
        <v/>
      </c>
      <c r="AF237" s="7" t="str">
        <f aca="false">IF(P237="","",VALUE(MID(P237,FIND("/",P237)+1,FIND("/",P237,FIND("/",P237)+1)-FIND("/",P237)-1)))</f>
        <v/>
      </c>
      <c r="AG237" s="7" t="str">
        <f aca="false">IF(P237="","",VALUE(MID(P237,FIND("/",P237,FIND("/",P237)+1)+1,LEN(P237)-FIND("/",P237,FIND("/",P237)+1))))</f>
        <v/>
      </c>
      <c r="AH237" s="7" t="str">
        <f aca="false">IF(OR(P237="",AE237=""),"",IFERROR(INDEX('لیست‌ها'!$Q$3:$Q$53,MATCH(AE237,'لیست‌ها'!$P$3:$P$53,0))+IF(AF237&lt;=6,(AF237-1)*31+AG237,IF(AF237&lt;=11,186+(AF237-7)*30+AG237,336+AG237))-1,""))</f>
        <v/>
      </c>
      <c r="AI237" s="7" t="str">
        <f aca="false">IF(W237="","",W237&amp;"-"&amp;TEXT(X237,"00"))</f>
        <v>1405-06</v>
      </c>
      <c r="AJ237" s="7" t="n">
        <f aca="false">IF(W237="","",W237*12+X237)</f>
        <v>16866</v>
      </c>
      <c r="AK237" s="7" t="str">
        <f aca="false">IF(U237="تاخیر",V237+ROW()/100000,"")</f>
        <v/>
      </c>
    </row>
    <row r="238" customFormat="false" ht="15" hidden="false" customHeight="false" outlineLevel="0" collapsed="false">
      <c r="A238" s="7" t="n">
        <f aca="false">IF(B238="","",ROW()-3)</f>
        <v>235</v>
      </c>
      <c r="B238" s="8" t="s">
        <v>559</v>
      </c>
      <c r="C238" s="8" t="s">
        <v>38</v>
      </c>
      <c r="D238" s="8" t="s">
        <v>47</v>
      </c>
      <c r="E238" s="9" t="s">
        <v>333</v>
      </c>
      <c r="F238" s="9" t="s">
        <v>51</v>
      </c>
      <c r="G238" s="8" t="s">
        <v>52</v>
      </c>
      <c r="H238" s="8"/>
      <c r="I238" s="8"/>
      <c r="J238" s="9"/>
      <c r="K238" s="8"/>
      <c r="L238" s="8" t="s">
        <v>560</v>
      </c>
      <c r="M238" s="8" t="s">
        <v>540</v>
      </c>
      <c r="N238" s="8"/>
      <c r="O238" s="8"/>
      <c r="P238" s="8"/>
      <c r="Q238" s="8"/>
      <c r="R238" s="9"/>
      <c r="S238" s="8"/>
      <c r="T238" s="9"/>
      <c r="U238" s="10" t="str">
        <f aca="true">IF(B238="","",IF(OR(P238&lt;&gt;"",I238="می‌باشد"),"بسته",IF(AND(L238&lt;&gt;"",W238=""),"خطای فرمت تاریخ ایجاد",IF(AND(H238&lt;&gt;"",AA238=""),"خطای فرمت مهلت",IF(AND(H238&lt;&gt;"",AD238&lt;&gt;"",TODAY()&gt;AD238),"تاخیر",IF(L238&lt;&gt;"","در حال انجام",""))))))</f>
        <v>در حال انجام</v>
      </c>
      <c r="V238" s="7" t="n">
        <f aca="true">IF(U238="تاخیر",TODAY()-AD238,IF(AND(U238="بسته",AH238&lt;&gt;"",AD238&lt;&gt;"",AH238&gt;AD238),AH238-AD238,0))</f>
        <v>0</v>
      </c>
      <c r="W238" s="7" t="n">
        <f aca="false">IF(L238="","",VALUE(LEFT(L238,FIND("/",L238)-1)))</f>
        <v>1405</v>
      </c>
      <c r="X238" s="7" t="n">
        <f aca="false">IF(L238="","",VALUE(MID(L238,FIND("/",L238)+1,FIND("/",L238,FIND("/",L238)+1)-FIND("/",L238)-1)))</f>
        <v>6</v>
      </c>
      <c r="Y238" s="7" t="n">
        <f aca="false">IF(L238="","",VALUE(MID(L238,FIND("/",L238,FIND("/",L238)+1)+1,LEN(L238)-FIND("/",L238,FIND("/",L238)+1))))</f>
        <v>29</v>
      </c>
      <c r="Z238" s="11" t="n">
        <f aca="false">IF(OR(L238="",W238=""),"",IFERROR(INDEX('لیست‌ها'!$Q$3:$Q$53,MATCH(W238,'لیست‌ها'!$P$3:$P$53,0))+IF(X238&lt;=6,(X238-1)*31+Y238,IF(X238&lt;=11,186+(X238-7)*30+Y238,336+Y238))-1,""))</f>
        <v>46285</v>
      </c>
      <c r="AA238" s="7" t="str">
        <f aca="false">IF(H238="","",VALUE(LEFT(H238,FIND("/",H238)-1)))</f>
        <v/>
      </c>
      <c r="AB238" s="7" t="str">
        <f aca="false">IF(H238="","",VALUE(MID(H238,FIND("/",H238)+1,FIND("/",H238,FIND("/",H238)+1)-FIND("/",H238)-1)))</f>
        <v/>
      </c>
      <c r="AC238" s="7" t="str">
        <f aca="false">IF(H238="","",VALUE(MID(H238,FIND("/",H238,FIND("/",H238)+1)+1,LEN(H238)-FIND("/",H238,FIND("/",H238)+1))))</f>
        <v/>
      </c>
      <c r="AD238" s="7" t="str">
        <f aca="false">IF(OR(H238="",AA238=""),"",IFERROR(INDEX('لیست‌ها'!$Q$3:$Q$53,MATCH(AA238,'لیست‌ها'!$P$3:$P$53,0))+IF(AB238&lt;=6,(AB238-1)*31+AC238,IF(AB238&lt;=11,186+(AB238-7)*30+AC238,336+AC238))-1,""))</f>
        <v/>
      </c>
      <c r="AE238" s="7" t="str">
        <f aca="false">IF(P238="","",VALUE(LEFT(P238,FIND("/",P238)-1)))</f>
        <v/>
      </c>
      <c r="AF238" s="7" t="str">
        <f aca="false">IF(P238="","",VALUE(MID(P238,FIND("/",P238)+1,FIND("/",P238,FIND("/",P238)+1)-FIND("/",P238)-1)))</f>
        <v/>
      </c>
      <c r="AG238" s="7" t="str">
        <f aca="false">IF(P238="","",VALUE(MID(P238,FIND("/",P238,FIND("/",P238)+1)+1,LEN(P238)-FIND("/",P238,FIND("/",P238)+1))))</f>
        <v/>
      </c>
      <c r="AH238" s="7" t="str">
        <f aca="false">IF(OR(P238="",AE238=""),"",IFERROR(INDEX('لیست‌ها'!$Q$3:$Q$53,MATCH(AE238,'لیست‌ها'!$P$3:$P$53,0))+IF(AF238&lt;=6,(AF238-1)*31+AG238,IF(AF238&lt;=11,186+(AF238-7)*30+AG238,336+AG238))-1,""))</f>
        <v/>
      </c>
      <c r="AI238" s="7" t="str">
        <f aca="false">IF(W238="","",W238&amp;"-"&amp;TEXT(X238,"00"))</f>
        <v>1405-06</v>
      </c>
      <c r="AJ238" s="7" t="n">
        <f aca="false">IF(W238="","",W238*12+X238)</f>
        <v>16866</v>
      </c>
      <c r="AK238" s="7" t="str">
        <f aca="false">IF(U238="تاخیر",V238+ROW()/100000,"")</f>
        <v/>
      </c>
    </row>
    <row r="239" customFormat="false" ht="15" hidden="false" customHeight="false" outlineLevel="0" collapsed="false">
      <c r="A239" s="7" t="n">
        <f aca="false">IF(B239="","",ROW()-3)</f>
        <v>236</v>
      </c>
      <c r="B239" s="8" t="s">
        <v>558</v>
      </c>
      <c r="C239" s="8" t="s">
        <v>38</v>
      </c>
      <c r="D239" s="8" t="s">
        <v>47</v>
      </c>
      <c r="E239" s="9" t="s">
        <v>549</v>
      </c>
      <c r="F239" s="9" t="s">
        <v>51</v>
      </c>
      <c r="G239" s="8" t="s">
        <v>52</v>
      </c>
      <c r="H239" s="8"/>
      <c r="I239" s="8"/>
      <c r="J239" s="9"/>
      <c r="K239" s="8"/>
      <c r="L239" s="8" t="s">
        <v>387</v>
      </c>
      <c r="M239" s="8" t="s">
        <v>540</v>
      </c>
      <c r="N239" s="8"/>
      <c r="O239" s="8"/>
      <c r="P239" s="8"/>
      <c r="Q239" s="8"/>
      <c r="R239" s="9"/>
      <c r="S239" s="8"/>
      <c r="T239" s="9"/>
      <c r="U239" s="10" t="str">
        <f aca="true">IF(B239="","",IF(OR(P239&lt;&gt;"",I239="می‌باشد"),"بسته",IF(AND(L239&lt;&gt;"",W239=""),"خطای فرمت تاریخ ایجاد",IF(AND(H239&lt;&gt;"",AA239=""),"خطای فرمت مهلت",IF(AND(H239&lt;&gt;"",AD239&lt;&gt;"",TODAY()&gt;AD239),"تاخیر",IF(L239&lt;&gt;"","در حال انجام",""))))))</f>
        <v>در حال انجام</v>
      </c>
      <c r="V239" s="7" t="n">
        <f aca="true">IF(U239="تاخیر",TODAY()-AD239,IF(AND(U239="بسته",AH239&lt;&gt;"",AD239&lt;&gt;"",AH239&gt;AD239),AH239-AD239,0))</f>
        <v>0</v>
      </c>
      <c r="W239" s="7" t="n">
        <f aca="false">IF(L239="","",VALUE(LEFT(L239,FIND("/",L239)-1)))</f>
        <v>1405</v>
      </c>
      <c r="X239" s="7" t="n">
        <f aca="false">IF(L239="","",VALUE(MID(L239,FIND("/",L239)+1,FIND("/",L239,FIND("/",L239)+1)-FIND("/",L239)-1)))</f>
        <v>6</v>
      </c>
      <c r="Y239" s="7" t="n">
        <f aca="false">IF(L239="","",VALUE(MID(L239,FIND("/",L239,FIND("/",L239)+1)+1,LEN(L239)-FIND("/",L239,FIND("/",L239)+1))))</f>
        <v>31</v>
      </c>
      <c r="Z239" s="11" t="n">
        <f aca="false">IF(OR(L239="",W239=""),"",IFERROR(INDEX('لیست‌ها'!$Q$3:$Q$53,MATCH(W239,'لیست‌ها'!$P$3:$P$53,0))+IF(X239&lt;=6,(X239-1)*31+Y239,IF(X239&lt;=11,186+(X239-7)*30+Y239,336+Y239))-1,""))</f>
        <v>46287</v>
      </c>
      <c r="AA239" s="7" t="str">
        <f aca="false">IF(H239="","",VALUE(LEFT(H239,FIND("/",H239)-1)))</f>
        <v/>
      </c>
      <c r="AB239" s="7" t="str">
        <f aca="false">IF(H239="","",VALUE(MID(H239,FIND("/",H239)+1,FIND("/",H239,FIND("/",H239)+1)-FIND("/",H239)-1)))</f>
        <v/>
      </c>
      <c r="AC239" s="7" t="str">
        <f aca="false">IF(H239="","",VALUE(MID(H239,FIND("/",H239,FIND("/",H239)+1)+1,LEN(H239)-FIND("/",H239,FIND("/",H239)+1))))</f>
        <v/>
      </c>
      <c r="AD239" s="7" t="str">
        <f aca="false">IF(OR(H239="",AA239=""),"",IFERROR(INDEX('لیست‌ها'!$Q$3:$Q$53,MATCH(AA239,'لیست‌ها'!$P$3:$P$53,0))+IF(AB239&lt;=6,(AB239-1)*31+AC239,IF(AB239&lt;=11,186+(AB239-7)*30+AC239,336+AC239))-1,""))</f>
        <v/>
      </c>
      <c r="AE239" s="7" t="str">
        <f aca="false">IF(P239="","",VALUE(LEFT(P239,FIND("/",P239)-1)))</f>
        <v/>
      </c>
      <c r="AF239" s="7" t="str">
        <f aca="false">IF(P239="","",VALUE(MID(P239,FIND("/",P239)+1,FIND("/",P239,FIND("/",P239)+1)-FIND("/",P239)-1)))</f>
        <v/>
      </c>
      <c r="AG239" s="7" t="str">
        <f aca="false">IF(P239="","",VALUE(MID(P239,FIND("/",P239,FIND("/",P239)+1)+1,LEN(P239)-FIND("/",P239,FIND("/",P239)+1))))</f>
        <v/>
      </c>
      <c r="AH239" s="7" t="str">
        <f aca="false">IF(OR(P239="",AE239=""),"",IFERROR(INDEX('لیست‌ها'!$Q$3:$Q$53,MATCH(AE239,'لیست‌ها'!$P$3:$P$53,0))+IF(AF239&lt;=6,(AF239-1)*31+AG239,IF(AF239&lt;=11,186+(AF239-7)*30+AG239,336+AG239))-1,""))</f>
        <v/>
      </c>
      <c r="AI239" s="7" t="str">
        <f aca="false">IF(W239="","",W239&amp;"-"&amp;TEXT(X239,"00"))</f>
        <v>1405-06</v>
      </c>
      <c r="AJ239" s="7" t="n">
        <f aca="false">IF(W239="","",W239*12+X239)</f>
        <v>16866</v>
      </c>
      <c r="AK239" s="7" t="str">
        <f aca="false">IF(U239="تاخیر",V239+ROW()/100000,"")</f>
        <v/>
      </c>
    </row>
    <row r="240" customFormat="false" ht="15" hidden="false" customHeight="false" outlineLevel="0" collapsed="false">
      <c r="A240" s="7" t="n">
        <f aca="false">IF(B240="","",ROW()-3)</f>
        <v>237</v>
      </c>
      <c r="B240" s="8" t="s">
        <v>557</v>
      </c>
      <c r="C240" s="8" t="s">
        <v>38</v>
      </c>
      <c r="D240" s="8" t="s">
        <v>47</v>
      </c>
      <c r="E240" s="9" t="s">
        <v>532</v>
      </c>
      <c r="F240" s="9" t="s">
        <v>51</v>
      </c>
      <c r="G240" s="8" t="s">
        <v>52</v>
      </c>
      <c r="H240" s="8"/>
      <c r="I240" s="8"/>
      <c r="J240" s="9"/>
      <c r="K240" s="8"/>
      <c r="L240" s="8" t="s">
        <v>387</v>
      </c>
      <c r="M240" s="8" t="s">
        <v>540</v>
      </c>
      <c r="N240" s="8"/>
      <c r="O240" s="8"/>
      <c r="P240" s="8"/>
      <c r="Q240" s="8"/>
      <c r="R240" s="9"/>
      <c r="S240" s="8"/>
      <c r="T240" s="9"/>
      <c r="U240" s="10" t="str">
        <f aca="true">IF(B240="","",IF(OR(P240&lt;&gt;"",I240="می‌باشد"),"بسته",IF(AND(L240&lt;&gt;"",W240=""),"خطای فرمت تاریخ ایجاد",IF(AND(H240&lt;&gt;"",AA240=""),"خطای فرمت مهلت",IF(AND(H240&lt;&gt;"",AD240&lt;&gt;"",TODAY()&gt;AD240),"تاخیر",IF(L240&lt;&gt;"","در حال انجام",""))))))</f>
        <v>در حال انجام</v>
      </c>
      <c r="V240" s="7" t="n">
        <f aca="true">IF(U240="تاخیر",TODAY()-AD240,IF(AND(U240="بسته",AH240&lt;&gt;"",AD240&lt;&gt;"",AH240&gt;AD240),AH240-AD240,0))</f>
        <v>0</v>
      </c>
      <c r="W240" s="7" t="n">
        <f aca="false">IF(L240="","",VALUE(LEFT(L240,FIND("/",L240)-1)))</f>
        <v>1405</v>
      </c>
      <c r="X240" s="7" t="n">
        <f aca="false">IF(L240="","",VALUE(MID(L240,FIND("/",L240)+1,FIND("/",L240,FIND("/",L240)+1)-FIND("/",L240)-1)))</f>
        <v>6</v>
      </c>
      <c r="Y240" s="7" t="n">
        <f aca="false">IF(L240="","",VALUE(MID(L240,FIND("/",L240,FIND("/",L240)+1)+1,LEN(L240)-FIND("/",L240,FIND("/",L240)+1))))</f>
        <v>31</v>
      </c>
      <c r="Z240" s="11" t="n">
        <f aca="false">IF(OR(L240="",W240=""),"",IFERROR(INDEX('لیست‌ها'!$Q$3:$Q$53,MATCH(W240,'لیست‌ها'!$P$3:$P$53,0))+IF(X240&lt;=6,(X240-1)*31+Y240,IF(X240&lt;=11,186+(X240-7)*30+Y240,336+Y240))-1,""))</f>
        <v>46287</v>
      </c>
      <c r="AA240" s="7" t="str">
        <f aca="false">IF(H240="","",VALUE(LEFT(H240,FIND("/",H240)-1)))</f>
        <v/>
      </c>
      <c r="AB240" s="7" t="str">
        <f aca="false">IF(H240="","",VALUE(MID(H240,FIND("/",H240)+1,FIND("/",H240,FIND("/",H240)+1)-FIND("/",H240)-1)))</f>
        <v/>
      </c>
      <c r="AC240" s="7" t="str">
        <f aca="false">IF(H240="","",VALUE(MID(H240,FIND("/",H240,FIND("/",H240)+1)+1,LEN(H240)-FIND("/",H240,FIND("/",H240)+1))))</f>
        <v/>
      </c>
      <c r="AD240" s="7" t="str">
        <f aca="false">IF(OR(H240="",AA240=""),"",IFERROR(INDEX('لیست‌ها'!$Q$3:$Q$53,MATCH(AA240,'لیست‌ها'!$P$3:$P$53,0))+IF(AB240&lt;=6,(AB240-1)*31+AC240,IF(AB240&lt;=11,186+(AB240-7)*30+AC240,336+AC240))-1,""))</f>
        <v/>
      </c>
      <c r="AE240" s="7" t="str">
        <f aca="false">IF(P240="","",VALUE(LEFT(P240,FIND("/",P240)-1)))</f>
        <v/>
      </c>
      <c r="AF240" s="7" t="str">
        <f aca="false">IF(P240="","",VALUE(MID(P240,FIND("/",P240)+1,FIND("/",P240,FIND("/",P240)+1)-FIND("/",P240)-1)))</f>
        <v/>
      </c>
      <c r="AG240" s="7" t="str">
        <f aca="false">IF(P240="","",VALUE(MID(P240,FIND("/",P240,FIND("/",P240)+1)+1,LEN(P240)-FIND("/",P240,FIND("/",P240)+1))))</f>
        <v/>
      </c>
      <c r="AH240" s="7" t="str">
        <f aca="false">IF(OR(P240="",AE240=""),"",IFERROR(INDEX('لیست‌ها'!$Q$3:$Q$53,MATCH(AE240,'لیست‌ها'!$P$3:$P$53,0))+IF(AF240&lt;=6,(AF240-1)*31+AG240,IF(AF240&lt;=11,186+(AF240-7)*30+AG240,336+AG240))-1,""))</f>
        <v/>
      </c>
      <c r="AI240" s="7" t="str">
        <f aca="false">IF(W240="","",W240&amp;"-"&amp;TEXT(X240,"00"))</f>
        <v>1405-06</v>
      </c>
      <c r="AJ240" s="7" t="n">
        <f aca="false">IF(W240="","",W240*12+X240)</f>
        <v>16866</v>
      </c>
      <c r="AK240" s="7" t="str">
        <f aca="false">IF(U240="تاخیر",V240+ROW()/100000,"")</f>
        <v/>
      </c>
    </row>
    <row r="241" customFormat="false" ht="15" hidden="false" customHeight="false" outlineLevel="0" collapsed="false">
      <c r="A241" s="7" t="n">
        <f aca="false">IF(B241="","",ROW()-3)</f>
        <v>238</v>
      </c>
      <c r="B241" s="8" t="s">
        <v>556</v>
      </c>
      <c r="C241" s="8" t="s">
        <v>38</v>
      </c>
      <c r="D241" s="8" t="s">
        <v>47</v>
      </c>
      <c r="E241" s="9" t="s">
        <v>512</v>
      </c>
      <c r="F241" s="9" t="s">
        <v>51</v>
      </c>
      <c r="G241" s="8" t="s">
        <v>52</v>
      </c>
      <c r="H241" s="8"/>
      <c r="I241" s="8"/>
      <c r="J241" s="9"/>
      <c r="K241" s="8"/>
      <c r="L241" s="8" t="s">
        <v>387</v>
      </c>
      <c r="M241" s="8" t="s">
        <v>540</v>
      </c>
      <c r="N241" s="8"/>
      <c r="O241" s="8"/>
      <c r="P241" s="8"/>
      <c r="Q241" s="8"/>
      <c r="R241" s="9"/>
      <c r="S241" s="8"/>
      <c r="T241" s="9"/>
      <c r="U241" s="10" t="str">
        <f aca="true">IF(B241="","",IF(OR(P241&lt;&gt;"",I241="می‌باشد"),"بسته",IF(AND(L241&lt;&gt;"",W241=""),"خطای فرمت تاریخ ایجاد",IF(AND(H241&lt;&gt;"",AA241=""),"خطای فرمت مهلت",IF(AND(H241&lt;&gt;"",AD241&lt;&gt;"",TODAY()&gt;AD241),"تاخیر",IF(L241&lt;&gt;"","در حال انجام",""))))))</f>
        <v>در حال انجام</v>
      </c>
      <c r="V241" s="7" t="n">
        <f aca="true">IF(U241="تاخیر",TODAY()-AD241,IF(AND(U241="بسته",AH241&lt;&gt;"",AD241&lt;&gt;"",AH241&gt;AD241),AH241-AD241,0))</f>
        <v>0</v>
      </c>
      <c r="W241" s="7" t="n">
        <f aca="false">IF(L241="","",VALUE(LEFT(L241,FIND("/",L241)-1)))</f>
        <v>1405</v>
      </c>
      <c r="X241" s="7" t="n">
        <f aca="false">IF(L241="","",VALUE(MID(L241,FIND("/",L241)+1,FIND("/",L241,FIND("/",L241)+1)-FIND("/",L241)-1)))</f>
        <v>6</v>
      </c>
      <c r="Y241" s="7" t="n">
        <f aca="false">IF(L241="","",VALUE(MID(L241,FIND("/",L241,FIND("/",L241)+1)+1,LEN(L241)-FIND("/",L241,FIND("/",L241)+1))))</f>
        <v>31</v>
      </c>
      <c r="Z241" s="11" t="n">
        <f aca="false">IF(OR(L241="",W241=""),"",IFERROR(INDEX('لیست‌ها'!$Q$3:$Q$53,MATCH(W241,'لیست‌ها'!$P$3:$P$53,0))+IF(X241&lt;=6,(X241-1)*31+Y241,IF(X241&lt;=11,186+(X241-7)*30+Y241,336+Y241))-1,""))</f>
        <v>46287</v>
      </c>
      <c r="AA241" s="7" t="str">
        <f aca="false">IF(H241="","",VALUE(LEFT(H241,FIND("/",H241)-1)))</f>
        <v/>
      </c>
      <c r="AB241" s="7" t="str">
        <f aca="false">IF(H241="","",VALUE(MID(H241,FIND("/",H241)+1,FIND("/",H241,FIND("/",H241)+1)-FIND("/",H241)-1)))</f>
        <v/>
      </c>
      <c r="AC241" s="7" t="str">
        <f aca="false">IF(H241="","",VALUE(MID(H241,FIND("/",H241,FIND("/",H241)+1)+1,LEN(H241)-FIND("/",H241,FIND("/",H241)+1))))</f>
        <v/>
      </c>
      <c r="AD241" s="7" t="str">
        <f aca="false">IF(OR(H241="",AA241=""),"",IFERROR(INDEX('لیست‌ها'!$Q$3:$Q$53,MATCH(AA241,'لیست‌ها'!$P$3:$P$53,0))+IF(AB241&lt;=6,(AB241-1)*31+AC241,IF(AB241&lt;=11,186+(AB241-7)*30+AC241,336+AC241))-1,""))</f>
        <v/>
      </c>
      <c r="AE241" s="7" t="str">
        <f aca="false">IF(P241="","",VALUE(LEFT(P241,FIND("/",P241)-1)))</f>
        <v/>
      </c>
      <c r="AF241" s="7" t="str">
        <f aca="false">IF(P241="","",VALUE(MID(P241,FIND("/",P241)+1,FIND("/",P241,FIND("/",P241)+1)-FIND("/",P241)-1)))</f>
        <v/>
      </c>
      <c r="AG241" s="7" t="str">
        <f aca="false">IF(P241="","",VALUE(MID(P241,FIND("/",P241,FIND("/",P241)+1)+1,LEN(P241)-FIND("/",P241,FIND("/",P241)+1))))</f>
        <v/>
      </c>
      <c r="AH241" s="7" t="str">
        <f aca="false">IF(OR(P241="",AE241=""),"",IFERROR(INDEX('لیست‌ها'!$Q$3:$Q$53,MATCH(AE241,'لیست‌ها'!$P$3:$P$53,0))+IF(AF241&lt;=6,(AF241-1)*31+AG241,IF(AF241&lt;=11,186+(AF241-7)*30+AG241,336+AG241))-1,""))</f>
        <v/>
      </c>
      <c r="AI241" s="7" t="str">
        <f aca="false">IF(W241="","",W241&amp;"-"&amp;TEXT(X241,"00"))</f>
        <v>1405-06</v>
      </c>
      <c r="AJ241" s="7" t="n">
        <f aca="false">IF(W241="","",W241*12+X241)</f>
        <v>16866</v>
      </c>
      <c r="AK241" s="7" t="str">
        <f aca="false">IF(U241="تاخیر",V241+ROW()/100000,"")</f>
        <v/>
      </c>
    </row>
    <row r="242" customFormat="false" ht="15" hidden="false" customHeight="false" outlineLevel="0" collapsed="false">
      <c r="A242" s="7" t="n">
        <f aca="false">IF(B242="","",ROW()-3)</f>
        <v>239</v>
      </c>
      <c r="B242" s="8" t="s">
        <v>552</v>
      </c>
      <c r="C242" s="8" t="s">
        <v>38</v>
      </c>
      <c r="D242" s="8" t="s">
        <v>39</v>
      </c>
      <c r="E242" s="9" t="s">
        <v>553</v>
      </c>
      <c r="F242" s="9" t="s">
        <v>554</v>
      </c>
      <c r="G242" s="8" t="s">
        <v>394</v>
      </c>
      <c r="H242" s="8"/>
      <c r="I242" s="8"/>
      <c r="J242" s="9"/>
      <c r="K242" s="8"/>
      <c r="L242" s="8" t="s">
        <v>555</v>
      </c>
      <c r="M242" s="8" t="s">
        <v>540</v>
      </c>
      <c r="N242" s="8"/>
      <c r="O242" s="8"/>
      <c r="P242" s="8"/>
      <c r="Q242" s="8"/>
      <c r="R242" s="9"/>
      <c r="S242" s="8"/>
      <c r="T242" s="9"/>
      <c r="U242" s="10" t="str">
        <f aca="true">IF(B242="","",IF(OR(P242&lt;&gt;"",I242="می‌باشد"),"بسته",IF(AND(L242&lt;&gt;"",W242=""),"خطای فرمت تاریخ ایجاد",IF(AND(H242&lt;&gt;"",AA242=""),"خطای فرمت مهلت",IF(AND(H242&lt;&gt;"",AD242&lt;&gt;"",TODAY()&gt;AD242),"تاخیر",IF(L242&lt;&gt;"","در حال انجام",""))))))</f>
        <v>در حال انجام</v>
      </c>
      <c r="V242" s="7" t="n">
        <f aca="true">IF(U242="تاخیر",TODAY()-AD242,IF(AND(U242="بسته",AH242&lt;&gt;"",AD242&lt;&gt;"",AH242&gt;AD242),AH242-AD242,0))</f>
        <v>0</v>
      </c>
      <c r="W242" s="7" t="n">
        <f aca="false">IF(L242="","",VALUE(LEFT(L242,FIND("/",L242)-1)))</f>
        <v>1405</v>
      </c>
      <c r="X242" s="7" t="n">
        <f aca="false">IF(L242="","",VALUE(MID(L242,FIND("/",L242)+1,FIND("/",L242,FIND("/",L242)+1)-FIND("/",L242)-1)))</f>
        <v>7</v>
      </c>
      <c r="Y242" s="7" t="n">
        <f aca="false">IF(L242="","",VALUE(MID(L242,FIND("/",L242,FIND("/",L242)+1)+1,LEN(L242)-FIND("/",L242,FIND("/",L242)+1))))</f>
        <v>1</v>
      </c>
      <c r="Z242" s="11" t="n">
        <f aca="false">IF(OR(L242="",W242=""),"",IFERROR(INDEX('لیست‌ها'!$Q$3:$Q$53,MATCH(W242,'لیست‌ها'!$P$3:$P$53,0))+IF(X242&lt;=6,(X242-1)*31+Y242,IF(X242&lt;=11,186+(X242-7)*30+Y242,336+Y242))-1,""))</f>
        <v>46288</v>
      </c>
      <c r="AA242" s="7" t="str">
        <f aca="false">IF(H242="","",VALUE(LEFT(H242,FIND("/",H242)-1)))</f>
        <v/>
      </c>
      <c r="AB242" s="7" t="str">
        <f aca="false">IF(H242="","",VALUE(MID(H242,FIND("/",H242)+1,FIND("/",H242,FIND("/",H242)+1)-FIND("/",H242)-1)))</f>
        <v/>
      </c>
      <c r="AC242" s="7" t="str">
        <f aca="false">IF(H242="","",VALUE(MID(H242,FIND("/",H242,FIND("/",H242)+1)+1,LEN(H242)-FIND("/",H242,FIND("/",H242)+1))))</f>
        <v/>
      </c>
      <c r="AD242" s="7" t="str">
        <f aca="false">IF(OR(H242="",AA242=""),"",IFERROR(INDEX('لیست‌ها'!$Q$3:$Q$53,MATCH(AA242,'لیست‌ها'!$P$3:$P$53,0))+IF(AB242&lt;=6,(AB242-1)*31+AC242,IF(AB242&lt;=11,186+(AB242-7)*30+AC242,336+AC242))-1,""))</f>
        <v/>
      </c>
      <c r="AE242" s="7" t="str">
        <f aca="false">IF(P242="","",VALUE(LEFT(P242,FIND("/",P242)-1)))</f>
        <v/>
      </c>
      <c r="AF242" s="7" t="str">
        <f aca="false">IF(P242="","",VALUE(MID(P242,FIND("/",P242)+1,FIND("/",P242,FIND("/",P242)+1)-FIND("/",P242)-1)))</f>
        <v/>
      </c>
      <c r="AG242" s="7" t="str">
        <f aca="false">IF(P242="","",VALUE(MID(P242,FIND("/",P242,FIND("/",P242)+1)+1,LEN(P242)-FIND("/",P242,FIND("/",P242)+1))))</f>
        <v/>
      </c>
      <c r="AH242" s="7" t="str">
        <f aca="false">IF(OR(P242="",AE242=""),"",IFERROR(INDEX('لیست‌ها'!$Q$3:$Q$53,MATCH(AE242,'لیست‌ها'!$P$3:$P$53,0))+IF(AF242&lt;=6,(AF242-1)*31+AG242,IF(AF242&lt;=11,186+(AF242-7)*30+AG242,336+AG242))-1,""))</f>
        <v/>
      </c>
      <c r="AI242" s="7" t="str">
        <f aca="false">IF(W242="","",W242&amp;"-"&amp;TEXT(X242,"00"))</f>
        <v>1405-07</v>
      </c>
      <c r="AJ242" s="7" t="n">
        <f aca="false">IF(W242="","",W242*12+X242)</f>
        <v>16867</v>
      </c>
      <c r="AK242" s="7" t="str">
        <f aca="false">IF(U242="تاخیر",V242+ROW()/100000,"")</f>
        <v/>
      </c>
    </row>
    <row r="243" customFormat="false" ht="15" hidden="false" customHeight="false" outlineLevel="0" collapsed="false">
      <c r="A243" s="7" t="n">
        <f aca="false">IF(B243="","",ROW()-3)</f>
        <v>240</v>
      </c>
      <c r="B243" s="8" t="s">
        <v>550</v>
      </c>
      <c r="C243" s="8" t="s">
        <v>38</v>
      </c>
      <c r="D243" s="8" t="s">
        <v>47</v>
      </c>
      <c r="E243" s="9" t="s">
        <v>283</v>
      </c>
      <c r="F243" s="9" t="s">
        <v>51</v>
      </c>
      <c r="G243" s="8" t="s">
        <v>52</v>
      </c>
      <c r="H243" s="8"/>
      <c r="I243" s="8"/>
      <c r="J243" s="9"/>
      <c r="K243" s="8"/>
      <c r="L243" s="8" t="s">
        <v>551</v>
      </c>
      <c r="M243" s="8" t="s">
        <v>540</v>
      </c>
      <c r="N243" s="8"/>
      <c r="O243" s="8"/>
      <c r="P243" s="8"/>
      <c r="Q243" s="8"/>
      <c r="R243" s="9"/>
      <c r="S243" s="8"/>
      <c r="T243" s="9"/>
      <c r="U243" s="10" t="str">
        <f aca="true">IF(B243="","",IF(OR(P243&lt;&gt;"",I243="می‌باشد"),"بسته",IF(AND(L243&lt;&gt;"",W243=""),"خطای فرمت تاریخ ایجاد",IF(AND(H243&lt;&gt;"",AA243=""),"خطای فرمت مهلت",IF(AND(H243&lt;&gt;"",AD243&lt;&gt;"",TODAY()&gt;AD243),"تاخیر",IF(L243&lt;&gt;"","در حال انجام",""))))))</f>
        <v>در حال انجام</v>
      </c>
      <c r="V243" s="7" t="n">
        <f aca="true">IF(U243="تاخیر",TODAY()-AD243,IF(AND(U243="بسته",AH243&lt;&gt;"",AD243&lt;&gt;"",AH243&gt;AD243),AH243-AD243,0))</f>
        <v>0</v>
      </c>
      <c r="W243" s="7" t="n">
        <f aca="false">IF(L243="","",VALUE(LEFT(L243,FIND("/",L243)-1)))</f>
        <v>1405</v>
      </c>
      <c r="X243" s="7" t="n">
        <f aca="false">IF(L243="","",VALUE(MID(L243,FIND("/",L243)+1,FIND("/",L243,FIND("/",L243)+1)-FIND("/",L243)-1)))</f>
        <v>7</v>
      </c>
      <c r="Y243" s="7" t="n">
        <f aca="false">IF(L243="","",VALUE(MID(L243,FIND("/",L243,FIND("/",L243)+1)+1,LEN(L243)-FIND("/",L243,FIND("/",L243)+1))))</f>
        <v>4</v>
      </c>
      <c r="Z243" s="11" t="n">
        <f aca="false">IF(OR(L243="",W243=""),"",IFERROR(INDEX('لیست‌ها'!$Q$3:$Q$53,MATCH(W243,'لیست‌ها'!$P$3:$P$53,0))+IF(X243&lt;=6,(X243-1)*31+Y243,IF(X243&lt;=11,186+(X243-7)*30+Y243,336+Y243))-1,""))</f>
        <v>46291</v>
      </c>
      <c r="AA243" s="7" t="str">
        <f aca="false">IF(H243="","",VALUE(LEFT(H243,FIND("/",H243)-1)))</f>
        <v/>
      </c>
      <c r="AB243" s="7" t="str">
        <f aca="false">IF(H243="","",VALUE(MID(H243,FIND("/",H243)+1,FIND("/",H243,FIND("/",H243)+1)-FIND("/",H243)-1)))</f>
        <v/>
      </c>
      <c r="AC243" s="7" t="str">
        <f aca="false">IF(H243="","",VALUE(MID(H243,FIND("/",H243,FIND("/",H243)+1)+1,LEN(H243)-FIND("/",H243,FIND("/",H243)+1))))</f>
        <v/>
      </c>
      <c r="AD243" s="7" t="str">
        <f aca="false">IF(OR(H243="",AA243=""),"",IFERROR(INDEX('لیست‌ها'!$Q$3:$Q$53,MATCH(AA243,'لیست‌ها'!$P$3:$P$53,0))+IF(AB243&lt;=6,(AB243-1)*31+AC243,IF(AB243&lt;=11,186+(AB243-7)*30+AC243,336+AC243))-1,""))</f>
        <v/>
      </c>
      <c r="AE243" s="7" t="str">
        <f aca="false">IF(P243="","",VALUE(LEFT(P243,FIND("/",P243)-1)))</f>
        <v/>
      </c>
      <c r="AF243" s="7" t="str">
        <f aca="false">IF(P243="","",VALUE(MID(P243,FIND("/",P243)+1,FIND("/",P243,FIND("/",P243)+1)-FIND("/",P243)-1)))</f>
        <v/>
      </c>
      <c r="AG243" s="7" t="str">
        <f aca="false">IF(P243="","",VALUE(MID(P243,FIND("/",P243,FIND("/",P243)+1)+1,LEN(P243)-FIND("/",P243,FIND("/",P243)+1))))</f>
        <v/>
      </c>
      <c r="AH243" s="7" t="str">
        <f aca="false">IF(OR(P243="",AE243=""),"",IFERROR(INDEX('لیست‌ها'!$Q$3:$Q$53,MATCH(AE243,'لیست‌ها'!$P$3:$P$53,0))+IF(AF243&lt;=6,(AF243-1)*31+AG243,IF(AF243&lt;=11,186+(AF243-7)*30+AG243,336+AG243))-1,""))</f>
        <v/>
      </c>
      <c r="AI243" s="7" t="str">
        <f aca="false">IF(W243="","",W243&amp;"-"&amp;TEXT(X243,"00"))</f>
        <v>1405-07</v>
      </c>
      <c r="AJ243" s="7" t="n">
        <f aca="false">IF(W243="","",W243*12+X243)</f>
        <v>16867</v>
      </c>
      <c r="AK243" s="7" t="str">
        <f aca="false">IF(U243="تاخیر",V243+ROW()/100000,"")</f>
        <v/>
      </c>
    </row>
    <row r="244" customFormat="false" ht="15" hidden="false" customHeight="false" outlineLevel="0" collapsed="false">
      <c r="A244" s="7" t="n">
        <f aca="false">IF(B244="","",ROW()-3)</f>
        <v>241</v>
      </c>
      <c r="B244" s="8" t="s">
        <v>548</v>
      </c>
      <c r="C244" s="8" t="s">
        <v>38</v>
      </c>
      <c r="D244" s="8" t="s">
        <v>47</v>
      </c>
      <c r="E244" s="9" t="s">
        <v>549</v>
      </c>
      <c r="F244" s="9" t="s">
        <v>51</v>
      </c>
      <c r="G244" s="8" t="s">
        <v>52</v>
      </c>
      <c r="H244" s="8"/>
      <c r="I244" s="8"/>
      <c r="J244" s="9"/>
      <c r="K244" s="8"/>
      <c r="L244" s="8" t="s">
        <v>544</v>
      </c>
      <c r="M244" s="8" t="s">
        <v>540</v>
      </c>
      <c r="N244" s="8"/>
      <c r="O244" s="8"/>
      <c r="P244" s="8"/>
      <c r="Q244" s="8"/>
      <c r="R244" s="9"/>
      <c r="S244" s="8"/>
      <c r="T244" s="9"/>
      <c r="U244" s="10" t="str">
        <f aca="true">IF(B244="","",IF(OR(P244&lt;&gt;"",I244="می‌باشد"),"بسته",IF(AND(L244&lt;&gt;"",W244=""),"خطای فرمت تاریخ ایجاد",IF(AND(H244&lt;&gt;"",AA244=""),"خطای فرمت مهلت",IF(AND(H244&lt;&gt;"",AD244&lt;&gt;"",TODAY()&gt;AD244),"تاخیر",IF(L244&lt;&gt;"","در حال انجام",""))))))</f>
        <v>در حال انجام</v>
      </c>
      <c r="V244" s="7" t="n">
        <f aca="true">IF(U244="تاخیر",TODAY()-AD244,IF(AND(U244="بسته",AH244&lt;&gt;"",AD244&lt;&gt;"",AH244&gt;AD244),AH244-AD244,0))</f>
        <v>0</v>
      </c>
      <c r="W244" s="7" t="n">
        <f aca="false">IF(L244="","",VALUE(LEFT(L244,FIND("/",L244)-1)))</f>
        <v>1405</v>
      </c>
      <c r="X244" s="7" t="n">
        <f aca="false">IF(L244="","",VALUE(MID(L244,FIND("/",L244)+1,FIND("/",L244,FIND("/",L244)+1)-FIND("/",L244)-1)))</f>
        <v>7</v>
      </c>
      <c r="Y244" s="7" t="n">
        <f aca="false">IF(L244="","",VALUE(MID(L244,FIND("/",L244,FIND("/",L244)+1)+1,LEN(L244)-FIND("/",L244,FIND("/",L244)+1))))</f>
        <v>6</v>
      </c>
      <c r="Z244" s="11" t="n">
        <f aca="false">IF(OR(L244="",W244=""),"",IFERROR(INDEX('لیست‌ها'!$Q$3:$Q$53,MATCH(W244,'لیست‌ها'!$P$3:$P$53,0))+IF(X244&lt;=6,(X244-1)*31+Y244,IF(X244&lt;=11,186+(X244-7)*30+Y244,336+Y244))-1,""))</f>
        <v>46293</v>
      </c>
      <c r="AA244" s="7" t="str">
        <f aca="false">IF(H244="","",VALUE(LEFT(H244,FIND("/",H244)-1)))</f>
        <v/>
      </c>
      <c r="AB244" s="7" t="str">
        <f aca="false">IF(H244="","",VALUE(MID(H244,FIND("/",H244)+1,FIND("/",H244,FIND("/",H244)+1)-FIND("/",H244)-1)))</f>
        <v/>
      </c>
      <c r="AC244" s="7" t="str">
        <f aca="false">IF(H244="","",VALUE(MID(H244,FIND("/",H244,FIND("/",H244)+1)+1,LEN(H244)-FIND("/",H244,FIND("/",H244)+1))))</f>
        <v/>
      </c>
      <c r="AD244" s="7" t="str">
        <f aca="false">IF(OR(H244="",AA244=""),"",IFERROR(INDEX('لیست‌ها'!$Q$3:$Q$53,MATCH(AA244,'لیست‌ها'!$P$3:$P$53,0))+IF(AB244&lt;=6,(AB244-1)*31+AC244,IF(AB244&lt;=11,186+(AB244-7)*30+AC244,336+AC244))-1,""))</f>
        <v/>
      </c>
      <c r="AE244" s="7" t="str">
        <f aca="false">IF(P244="","",VALUE(LEFT(P244,FIND("/",P244)-1)))</f>
        <v/>
      </c>
      <c r="AF244" s="7" t="str">
        <f aca="false">IF(P244="","",VALUE(MID(P244,FIND("/",P244)+1,FIND("/",P244,FIND("/",P244)+1)-FIND("/",P244)-1)))</f>
        <v/>
      </c>
      <c r="AG244" s="7" t="str">
        <f aca="false">IF(P244="","",VALUE(MID(P244,FIND("/",P244,FIND("/",P244)+1)+1,LEN(P244)-FIND("/",P244,FIND("/",P244)+1))))</f>
        <v/>
      </c>
      <c r="AH244" s="7" t="str">
        <f aca="false">IF(OR(P244="",AE244=""),"",IFERROR(INDEX('لیست‌ها'!$Q$3:$Q$53,MATCH(AE244,'لیست‌ها'!$P$3:$P$53,0))+IF(AF244&lt;=6,(AF244-1)*31+AG244,IF(AF244&lt;=11,186+(AF244-7)*30+AG244,336+AG244))-1,""))</f>
        <v/>
      </c>
      <c r="AI244" s="7" t="str">
        <f aca="false">IF(W244="","",W244&amp;"-"&amp;TEXT(X244,"00"))</f>
        <v>1405-07</v>
      </c>
      <c r="AJ244" s="7" t="n">
        <f aca="false">IF(W244="","",W244*12+X244)</f>
        <v>16867</v>
      </c>
      <c r="AK244" s="7" t="str">
        <f aca="false">IF(U244="تاخیر",V244+ROW()/100000,"")</f>
        <v/>
      </c>
    </row>
    <row r="245" customFormat="false" ht="15" hidden="false" customHeight="false" outlineLevel="0" collapsed="false">
      <c r="A245" s="7" t="n">
        <f aca="false">IF(B245="","",ROW()-3)</f>
        <v>242</v>
      </c>
      <c r="B245" s="8" t="s">
        <v>547</v>
      </c>
      <c r="C245" s="8" t="s">
        <v>38</v>
      </c>
      <c r="D245" s="8" t="s">
        <v>47</v>
      </c>
      <c r="E245" s="9" t="s">
        <v>248</v>
      </c>
      <c r="F245" s="9" t="s">
        <v>51</v>
      </c>
      <c r="G245" s="8" t="s">
        <v>52</v>
      </c>
      <c r="H245" s="8"/>
      <c r="I245" s="8"/>
      <c r="J245" s="9"/>
      <c r="K245" s="8"/>
      <c r="L245" s="8" t="s">
        <v>544</v>
      </c>
      <c r="M245" s="8" t="s">
        <v>56</v>
      </c>
      <c r="N245" s="8"/>
      <c r="O245" s="8"/>
      <c r="P245" s="8"/>
      <c r="Q245" s="8"/>
      <c r="R245" s="9"/>
      <c r="S245" s="8"/>
      <c r="T245" s="9"/>
      <c r="U245" s="10" t="str">
        <f aca="true">IF(B245="","",IF(OR(P245&lt;&gt;"",I245="می‌باشد"),"بسته",IF(AND(L245&lt;&gt;"",W245=""),"خطای فرمت تاریخ ایجاد",IF(AND(H245&lt;&gt;"",AA245=""),"خطای فرمت مهلت",IF(AND(H245&lt;&gt;"",AD245&lt;&gt;"",TODAY()&gt;AD245),"تاخیر",IF(L245&lt;&gt;"","در حال انجام",""))))))</f>
        <v>در حال انجام</v>
      </c>
      <c r="V245" s="7" t="n">
        <f aca="true">IF(U245="تاخیر",TODAY()-AD245,IF(AND(U245="بسته",AH245&lt;&gt;"",AD245&lt;&gt;"",AH245&gt;AD245),AH245-AD245,0))</f>
        <v>0</v>
      </c>
      <c r="W245" s="7" t="n">
        <f aca="false">IF(L245="","",VALUE(LEFT(L245,FIND("/",L245)-1)))</f>
        <v>1405</v>
      </c>
      <c r="X245" s="7" t="n">
        <f aca="false">IF(L245="","",VALUE(MID(L245,FIND("/",L245)+1,FIND("/",L245,FIND("/",L245)+1)-FIND("/",L245)-1)))</f>
        <v>7</v>
      </c>
      <c r="Y245" s="7" t="n">
        <f aca="false">IF(L245="","",VALUE(MID(L245,FIND("/",L245,FIND("/",L245)+1)+1,LEN(L245)-FIND("/",L245,FIND("/",L245)+1))))</f>
        <v>6</v>
      </c>
      <c r="Z245" s="11" t="n">
        <f aca="false">IF(OR(L245="",W245=""),"",IFERROR(INDEX('لیست‌ها'!$Q$3:$Q$53,MATCH(W245,'لیست‌ها'!$P$3:$P$53,0))+IF(X245&lt;=6,(X245-1)*31+Y245,IF(X245&lt;=11,186+(X245-7)*30+Y245,336+Y245))-1,""))</f>
        <v>46293</v>
      </c>
      <c r="AA245" s="7" t="str">
        <f aca="false">IF(H245="","",VALUE(LEFT(H245,FIND("/",H245)-1)))</f>
        <v/>
      </c>
      <c r="AB245" s="7" t="str">
        <f aca="false">IF(H245="","",VALUE(MID(H245,FIND("/",H245)+1,FIND("/",H245,FIND("/",H245)+1)-FIND("/",H245)-1)))</f>
        <v/>
      </c>
      <c r="AC245" s="7" t="str">
        <f aca="false">IF(H245="","",VALUE(MID(H245,FIND("/",H245,FIND("/",H245)+1)+1,LEN(H245)-FIND("/",H245,FIND("/",H245)+1))))</f>
        <v/>
      </c>
      <c r="AD245" s="7" t="str">
        <f aca="false">IF(OR(H245="",AA245=""),"",IFERROR(INDEX('لیست‌ها'!$Q$3:$Q$53,MATCH(AA245,'لیست‌ها'!$P$3:$P$53,0))+IF(AB245&lt;=6,(AB245-1)*31+AC245,IF(AB245&lt;=11,186+(AB245-7)*30+AC245,336+AC245))-1,""))</f>
        <v/>
      </c>
      <c r="AE245" s="7" t="str">
        <f aca="false">IF(P245="","",VALUE(LEFT(P245,FIND("/",P245)-1)))</f>
        <v/>
      </c>
      <c r="AF245" s="7" t="str">
        <f aca="false">IF(P245="","",VALUE(MID(P245,FIND("/",P245)+1,FIND("/",P245,FIND("/",P245)+1)-FIND("/",P245)-1)))</f>
        <v/>
      </c>
      <c r="AG245" s="7" t="str">
        <f aca="false">IF(P245="","",VALUE(MID(P245,FIND("/",P245,FIND("/",P245)+1)+1,LEN(P245)-FIND("/",P245,FIND("/",P245)+1))))</f>
        <v/>
      </c>
      <c r="AH245" s="7" t="str">
        <f aca="false">IF(OR(P245="",AE245=""),"",IFERROR(INDEX('لیست‌ها'!$Q$3:$Q$53,MATCH(AE245,'لیست‌ها'!$P$3:$P$53,0))+IF(AF245&lt;=6,(AF245-1)*31+AG245,IF(AF245&lt;=11,186+(AF245-7)*30+AG245,336+AG245))-1,""))</f>
        <v/>
      </c>
      <c r="AI245" s="7" t="str">
        <f aca="false">IF(W245="","",W245&amp;"-"&amp;TEXT(X245,"00"))</f>
        <v>1405-07</v>
      </c>
      <c r="AJ245" s="7" t="n">
        <f aca="false">IF(W245="","",W245*12+X245)</f>
        <v>16867</v>
      </c>
      <c r="AK245" s="7" t="str">
        <f aca="false">IF(U245="تاخیر",V245+ROW()/100000,"")</f>
        <v/>
      </c>
    </row>
    <row r="246" customFormat="false" ht="15" hidden="false" customHeight="false" outlineLevel="0" collapsed="false">
      <c r="A246" s="7" t="n">
        <f aca="false">IF(B246="","",ROW()-3)</f>
        <v>243</v>
      </c>
      <c r="B246" s="8" t="s">
        <v>545</v>
      </c>
      <c r="C246" s="8" t="s">
        <v>38</v>
      </c>
      <c r="D246" s="8" t="s">
        <v>47</v>
      </c>
      <c r="E246" s="9" t="s">
        <v>546</v>
      </c>
      <c r="F246" s="9" t="s">
        <v>51</v>
      </c>
      <c r="G246" s="8" t="s">
        <v>52</v>
      </c>
      <c r="H246" s="8"/>
      <c r="I246" s="8"/>
      <c r="J246" s="9"/>
      <c r="K246" s="8"/>
      <c r="L246" s="8" t="s">
        <v>544</v>
      </c>
      <c r="M246" s="8" t="s">
        <v>56</v>
      </c>
      <c r="N246" s="8"/>
      <c r="O246" s="8"/>
      <c r="P246" s="8"/>
      <c r="Q246" s="8"/>
      <c r="R246" s="9"/>
      <c r="S246" s="8"/>
      <c r="T246" s="9"/>
      <c r="U246" s="10" t="str">
        <f aca="true">IF(B246="","",IF(OR(P246&lt;&gt;"",I246="می‌باشد"),"بسته",IF(AND(L246&lt;&gt;"",W246=""),"خطای فرمت تاریخ ایجاد",IF(AND(H246&lt;&gt;"",AA246=""),"خطای فرمت مهلت",IF(AND(H246&lt;&gt;"",AD246&lt;&gt;"",TODAY()&gt;AD246),"تاخیر",IF(L246&lt;&gt;"","در حال انجام",""))))))</f>
        <v>در حال انجام</v>
      </c>
      <c r="V246" s="7" t="n">
        <f aca="true">IF(U246="تاخیر",TODAY()-AD246,IF(AND(U246="بسته",AH246&lt;&gt;"",AD246&lt;&gt;"",AH246&gt;AD246),AH246-AD246,0))</f>
        <v>0</v>
      </c>
      <c r="W246" s="7" t="n">
        <f aca="false">IF(L246="","",VALUE(LEFT(L246,FIND("/",L246)-1)))</f>
        <v>1405</v>
      </c>
      <c r="X246" s="7" t="n">
        <f aca="false">IF(L246="","",VALUE(MID(L246,FIND("/",L246)+1,FIND("/",L246,FIND("/",L246)+1)-FIND("/",L246)-1)))</f>
        <v>7</v>
      </c>
      <c r="Y246" s="7" t="n">
        <f aca="false">IF(L246="","",VALUE(MID(L246,FIND("/",L246,FIND("/",L246)+1)+1,LEN(L246)-FIND("/",L246,FIND("/",L246)+1))))</f>
        <v>6</v>
      </c>
      <c r="Z246" s="11" t="n">
        <f aca="false">IF(OR(L246="",W246=""),"",IFERROR(INDEX('لیست‌ها'!$Q$3:$Q$53,MATCH(W246,'لیست‌ها'!$P$3:$P$53,0))+IF(X246&lt;=6,(X246-1)*31+Y246,IF(X246&lt;=11,186+(X246-7)*30+Y246,336+Y246))-1,""))</f>
        <v>46293</v>
      </c>
      <c r="AA246" s="7" t="str">
        <f aca="false">IF(H246="","",VALUE(LEFT(H246,FIND("/",H246)-1)))</f>
        <v/>
      </c>
      <c r="AB246" s="7" t="str">
        <f aca="false">IF(H246="","",VALUE(MID(H246,FIND("/",H246)+1,FIND("/",H246,FIND("/",H246)+1)-FIND("/",H246)-1)))</f>
        <v/>
      </c>
      <c r="AC246" s="7" t="str">
        <f aca="false">IF(H246="","",VALUE(MID(H246,FIND("/",H246,FIND("/",H246)+1)+1,LEN(H246)-FIND("/",H246,FIND("/",H246)+1))))</f>
        <v/>
      </c>
      <c r="AD246" s="7" t="str">
        <f aca="false">IF(OR(H246="",AA246=""),"",IFERROR(INDEX('لیست‌ها'!$Q$3:$Q$53,MATCH(AA246,'لیست‌ها'!$P$3:$P$53,0))+IF(AB246&lt;=6,(AB246-1)*31+AC246,IF(AB246&lt;=11,186+(AB246-7)*30+AC246,336+AC246))-1,""))</f>
        <v/>
      </c>
      <c r="AE246" s="7" t="str">
        <f aca="false">IF(P246="","",VALUE(LEFT(P246,FIND("/",P246)-1)))</f>
        <v/>
      </c>
      <c r="AF246" s="7" t="str">
        <f aca="false">IF(P246="","",VALUE(MID(P246,FIND("/",P246)+1,FIND("/",P246,FIND("/",P246)+1)-FIND("/",P246)-1)))</f>
        <v/>
      </c>
      <c r="AG246" s="7" t="str">
        <f aca="false">IF(P246="","",VALUE(MID(P246,FIND("/",P246,FIND("/",P246)+1)+1,LEN(P246)-FIND("/",P246,FIND("/",P246)+1))))</f>
        <v/>
      </c>
      <c r="AH246" s="7" t="str">
        <f aca="false">IF(OR(P246="",AE246=""),"",IFERROR(INDEX('لیست‌ها'!$Q$3:$Q$53,MATCH(AE246,'لیست‌ها'!$P$3:$P$53,0))+IF(AF246&lt;=6,(AF246-1)*31+AG246,IF(AF246&lt;=11,186+(AF246-7)*30+AG246,336+AG246))-1,""))</f>
        <v/>
      </c>
      <c r="AI246" s="7" t="str">
        <f aca="false">IF(W246="","",W246&amp;"-"&amp;TEXT(X246,"00"))</f>
        <v>1405-07</v>
      </c>
      <c r="AJ246" s="7" t="n">
        <f aca="false">IF(W246="","",W246*12+X246)</f>
        <v>16867</v>
      </c>
      <c r="AK246" s="7" t="str">
        <f aca="false">IF(U246="تاخیر",V246+ROW()/100000,"")</f>
        <v/>
      </c>
    </row>
    <row r="247" customFormat="false" ht="15" hidden="false" customHeight="false" outlineLevel="0" collapsed="false">
      <c r="A247" s="7" t="n">
        <f aca="false">IF(B247="","",ROW()-3)</f>
        <v>244</v>
      </c>
      <c r="B247" s="8" t="s">
        <v>543</v>
      </c>
      <c r="C247" s="8" t="s">
        <v>38</v>
      </c>
      <c r="D247" s="8" t="s">
        <v>47</v>
      </c>
      <c r="E247" s="9" t="s">
        <v>66</v>
      </c>
      <c r="F247" s="9" t="s">
        <v>51</v>
      </c>
      <c r="G247" s="8" t="s">
        <v>52</v>
      </c>
      <c r="H247" s="8"/>
      <c r="I247" s="8"/>
      <c r="J247" s="9"/>
      <c r="K247" s="8"/>
      <c r="L247" s="8" t="s">
        <v>544</v>
      </c>
      <c r="M247" s="8" t="s">
        <v>56</v>
      </c>
      <c r="N247" s="8"/>
      <c r="O247" s="8"/>
      <c r="P247" s="8"/>
      <c r="Q247" s="8"/>
      <c r="R247" s="9"/>
      <c r="S247" s="8"/>
      <c r="T247" s="9"/>
      <c r="U247" s="10" t="str">
        <f aca="true">IF(B247="","",IF(OR(P247&lt;&gt;"",I247="می‌باشد"),"بسته",IF(AND(L247&lt;&gt;"",W247=""),"خطای فرمت تاریخ ایجاد",IF(AND(H247&lt;&gt;"",AA247=""),"خطای فرمت مهلت",IF(AND(H247&lt;&gt;"",AD247&lt;&gt;"",TODAY()&gt;AD247),"تاخیر",IF(L247&lt;&gt;"","در حال انجام",""))))))</f>
        <v>در حال انجام</v>
      </c>
      <c r="V247" s="7" t="n">
        <f aca="true">IF(U247="تاخیر",TODAY()-AD247,IF(AND(U247="بسته",AH247&lt;&gt;"",AD247&lt;&gt;"",AH247&gt;AD247),AH247-AD247,0))</f>
        <v>0</v>
      </c>
      <c r="W247" s="7" t="n">
        <f aca="false">IF(L247="","",VALUE(LEFT(L247,FIND("/",L247)-1)))</f>
        <v>1405</v>
      </c>
      <c r="X247" s="7" t="n">
        <f aca="false">IF(L247="","",VALUE(MID(L247,FIND("/",L247)+1,FIND("/",L247,FIND("/",L247)+1)-FIND("/",L247)-1)))</f>
        <v>7</v>
      </c>
      <c r="Y247" s="7" t="n">
        <f aca="false">IF(L247="","",VALUE(MID(L247,FIND("/",L247,FIND("/",L247)+1)+1,LEN(L247)-FIND("/",L247,FIND("/",L247)+1))))</f>
        <v>6</v>
      </c>
      <c r="Z247" s="11" t="n">
        <f aca="false">IF(OR(L247="",W247=""),"",IFERROR(INDEX('لیست‌ها'!$Q$3:$Q$53,MATCH(W247,'لیست‌ها'!$P$3:$P$53,0))+IF(X247&lt;=6,(X247-1)*31+Y247,IF(X247&lt;=11,186+(X247-7)*30+Y247,336+Y247))-1,""))</f>
        <v>46293</v>
      </c>
      <c r="AA247" s="7" t="str">
        <f aca="false">IF(H247="","",VALUE(LEFT(H247,FIND("/",H247)-1)))</f>
        <v/>
      </c>
      <c r="AB247" s="7" t="str">
        <f aca="false">IF(H247="","",VALUE(MID(H247,FIND("/",H247)+1,FIND("/",H247,FIND("/",H247)+1)-FIND("/",H247)-1)))</f>
        <v/>
      </c>
      <c r="AC247" s="7" t="str">
        <f aca="false">IF(H247="","",VALUE(MID(H247,FIND("/",H247,FIND("/",H247)+1)+1,LEN(H247)-FIND("/",H247,FIND("/",H247)+1))))</f>
        <v/>
      </c>
      <c r="AD247" s="7" t="str">
        <f aca="false">IF(OR(H247="",AA247=""),"",IFERROR(INDEX('لیست‌ها'!$Q$3:$Q$53,MATCH(AA247,'لیست‌ها'!$P$3:$P$53,0))+IF(AB247&lt;=6,(AB247-1)*31+AC247,IF(AB247&lt;=11,186+(AB247-7)*30+AC247,336+AC247))-1,""))</f>
        <v/>
      </c>
      <c r="AE247" s="7" t="str">
        <f aca="false">IF(P247="","",VALUE(LEFT(P247,FIND("/",P247)-1)))</f>
        <v/>
      </c>
      <c r="AF247" s="7" t="str">
        <f aca="false">IF(P247="","",VALUE(MID(P247,FIND("/",P247)+1,FIND("/",P247,FIND("/",P247)+1)-FIND("/",P247)-1)))</f>
        <v/>
      </c>
      <c r="AG247" s="7" t="str">
        <f aca="false">IF(P247="","",VALUE(MID(P247,FIND("/",P247,FIND("/",P247)+1)+1,LEN(P247)-FIND("/",P247,FIND("/",P247)+1))))</f>
        <v/>
      </c>
      <c r="AH247" s="7" t="str">
        <f aca="false">IF(OR(P247="",AE247=""),"",IFERROR(INDEX('لیست‌ها'!$Q$3:$Q$53,MATCH(AE247,'لیست‌ها'!$P$3:$P$53,0))+IF(AF247&lt;=6,(AF247-1)*31+AG247,IF(AF247&lt;=11,186+(AF247-7)*30+AG247,336+AG247))-1,""))</f>
        <v/>
      </c>
      <c r="AI247" s="7" t="str">
        <f aca="false">IF(W247="","",W247&amp;"-"&amp;TEXT(X247,"00"))</f>
        <v>1405-07</v>
      </c>
      <c r="AJ247" s="7" t="n">
        <f aca="false">IF(W247="","",W247*12+X247)</f>
        <v>16867</v>
      </c>
      <c r="AK247" s="7" t="str">
        <f aca="false">IF(U247="تاخیر",V247+ROW()/100000,"")</f>
        <v/>
      </c>
    </row>
    <row r="248" customFormat="false" ht="15" hidden="false" customHeight="false" outlineLevel="0" collapsed="false">
      <c r="A248" s="7" t="n">
        <f aca="false">IF(B248="","",ROW()-3)</f>
        <v>245</v>
      </c>
      <c r="B248" s="8" t="s">
        <v>541</v>
      </c>
      <c r="C248" s="8" t="s">
        <v>38</v>
      </c>
      <c r="D248" s="8" t="s">
        <v>89</v>
      </c>
      <c r="E248" s="9" t="s">
        <v>542</v>
      </c>
      <c r="F248" s="9" t="s">
        <v>143</v>
      </c>
      <c r="G248" s="8" t="s">
        <v>144</v>
      </c>
      <c r="H248" s="8"/>
      <c r="I248" s="8"/>
      <c r="J248" s="9"/>
      <c r="K248" s="8"/>
      <c r="L248" s="8" t="s">
        <v>539</v>
      </c>
      <c r="M248" s="8" t="s">
        <v>540</v>
      </c>
      <c r="N248" s="8"/>
      <c r="O248" s="8"/>
      <c r="P248" s="8"/>
      <c r="Q248" s="8"/>
      <c r="R248" s="9"/>
      <c r="S248" s="8"/>
      <c r="T248" s="9"/>
      <c r="U248" s="10" t="str">
        <f aca="true">IF(B248="","",IF(OR(P248&lt;&gt;"",I248="می‌باشد"),"بسته",IF(AND(L248&lt;&gt;"",W248=""),"خطای فرمت تاریخ ایجاد",IF(AND(H248&lt;&gt;"",AA248=""),"خطای فرمت مهلت",IF(AND(H248&lt;&gt;"",AD248&lt;&gt;"",TODAY()&gt;AD248),"تاخیر",IF(L248&lt;&gt;"","در حال انجام",""))))))</f>
        <v>در حال انجام</v>
      </c>
      <c r="V248" s="7" t="n">
        <f aca="true">IF(U248="تاخیر",TODAY()-AD248,IF(AND(U248="بسته",AH248&lt;&gt;"",AD248&lt;&gt;"",AH248&gt;AD248),AH248-AD248,0))</f>
        <v>0</v>
      </c>
      <c r="W248" s="7" t="n">
        <f aca="false">IF(L248="","",VALUE(LEFT(L248,FIND("/",L248)-1)))</f>
        <v>1405</v>
      </c>
      <c r="X248" s="7" t="n">
        <f aca="false">IF(L248="","",VALUE(MID(L248,FIND("/",L248)+1,FIND("/",L248,FIND("/",L248)+1)-FIND("/",L248)-1)))</f>
        <v>7</v>
      </c>
      <c r="Y248" s="7" t="n">
        <f aca="false">IF(L248="","",VALUE(MID(L248,FIND("/",L248,FIND("/",L248)+1)+1,LEN(L248)-FIND("/",L248,FIND("/",L248)+1))))</f>
        <v>8</v>
      </c>
      <c r="Z248" s="11" t="n">
        <f aca="false">IF(OR(L248="",W248=""),"",IFERROR(INDEX('لیست‌ها'!$Q$3:$Q$53,MATCH(W248,'لیست‌ها'!$P$3:$P$53,0))+IF(X248&lt;=6,(X248-1)*31+Y248,IF(X248&lt;=11,186+(X248-7)*30+Y248,336+Y248))-1,""))</f>
        <v>46295</v>
      </c>
      <c r="AA248" s="7" t="str">
        <f aca="false">IF(H248="","",VALUE(LEFT(H248,FIND("/",H248)-1)))</f>
        <v/>
      </c>
      <c r="AB248" s="7" t="str">
        <f aca="false">IF(H248="","",VALUE(MID(H248,FIND("/",H248)+1,FIND("/",H248,FIND("/",H248)+1)-FIND("/",H248)-1)))</f>
        <v/>
      </c>
      <c r="AC248" s="7" t="str">
        <f aca="false">IF(H248="","",VALUE(MID(H248,FIND("/",H248,FIND("/",H248)+1)+1,LEN(H248)-FIND("/",H248,FIND("/",H248)+1))))</f>
        <v/>
      </c>
      <c r="AD248" s="7" t="str">
        <f aca="false">IF(OR(H248="",AA248=""),"",IFERROR(INDEX('لیست‌ها'!$Q$3:$Q$53,MATCH(AA248,'لیست‌ها'!$P$3:$P$53,0))+IF(AB248&lt;=6,(AB248-1)*31+AC248,IF(AB248&lt;=11,186+(AB248-7)*30+AC248,336+AC248))-1,""))</f>
        <v/>
      </c>
      <c r="AE248" s="7" t="str">
        <f aca="false">IF(P248="","",VALUE(LEFT(P248,FIND("/",P248)-1)))</f>
        <v/>
      </c>
      <c r="AF248" s="7" t="str">
        <f aca="false">IF(P248="","",VALUE(MID(P248,FIND("/",P248)+1,FIND("/",P248,FIND("/",P248)+1)-FIND("/",P248)-1)))</f>
        <v/>
      </c>
      <c r="AG248" s="7" t="str">
        <f aca="false">IF(P248="","",VALUE(MID(P248,FIND("/",P248,FIND("/",P248)+1)+1,LEN(P248)-FIND("/",P248,FIND("/",P248)+1))))</f>
        <v/>
      </c>
      <c r="AH248" s="7" t="str">
        <f aca="false">IF(OR(P248="",AE248=""),"",IFERROR(INDEX('لیست‌ها'!$Q$3:$Q$53,MATCH(AE248,'لیست‌ها'!$P$3:$P$53,0))+IF(AF248&lt;=6,(AF248-1)*31+AG248,IF(AF248&lt;=11,186+(AF248-7)*30+AG248,336+AG248))-1,""))</f>
        <v/>
      </c>
      <c r="AI248" s="7" t="str">
        <f aca="false">IF(W248="","",W248&amp;"-"&amp;TEXT(X248,"00"))</f>
        <v>1405-07</v>
      </c>
      <c r="AJ248" s="7" t="n">
        <f aca="false">IF(W248="","",W248*12+X248)</f>
        <v>16867</v>
      </c>
      <c r="AK248" s="7" t="str">
        <f aca="false">IF(U248="تاخیر",V248+ROW()/100000,"")</f>
        <v/>
      </c>
    </row>
    <row r="249" customFormat="false" ht="15" hidden="false" customHeight="false" outlineLevel="0" collapsed="false">
      <c r="A249" s="7" t="n">
        <f aca="false">IF(B249="","",ROW()-3)</f>
        <v>246</v>
      </c>
      <c r="B249" s="8" t="s">
        <v>538</v>
      </c>
      <c r="C249" s="8" t="s">
        <v>38</v>
      </c>
      <c r="D249" s="8" t="s">
        <v>89</v>
      </c>
      <c r="E249" s="9" t="s">
        <v>301</v>
      </c>
      <c r="F249" s="9" t="s">
        <v>143</v>
      </c>
      <c r="G249" s="8" t="s">
        <v>144</v>
      </c>
      <c r="H249" s="8"/>
      <c r="I249" s="8"/>
      <c r="J249" s="9"/>
      <c r="K249" s="8"/>
      <c r="L249" s="8" t="s">
        <v>539</v>
      </c>
      <c r="M249" s="8" t="s">
        <v>540</v>
      </c>
      <c r="N249" s="8"/>
      <c r="O249" s="8"/>
      <c r="P249" s="8"/>
      <c r="Q249" s="8"/>
      <c r="R249" s="9"/>
      <c r="S249" s="8"/>
      <c r="T249" s="9"/>
      <c r="U249" s="10" t="str">
        <f aca="true">IF(B249="","",IF(OR(P249&lt;&gt;"",I249="می‌باشد"),"بسته",IF(AND(L249&lt;&gt;"",W249=""),"خطای فرمت تاریخ ایجاد",IF(AND(H249&lt;&gt;"",AA249=""),"خطای فرمت مهلت",IF(AND(H249&lt;&gt;"",AD249&lt;&gt;"",TODAY()&gt;AD249),"تاخیر",IF(L249&lt;&gt;"","در حال انجام",""))))))</f>
        <v>در حال انجام</v>
      </c>
      <c r="V249" s="7" t="n">
        <f aca="true">IF(U249="تاخیر",TODAY()-AD249,IF(AND(U249="بسته",AH249&lt;&gt;"",AD249&lt;&gt;"",AH249&gt;AD249),AH249-AD249,0))</f>
        <v>0</v>
      </c>
      <c r="W249" s="7" t="n">
        <f aca="false">IF(L249="","",VALUE(LEFT(L249,FIND("/",L249)-1)))</f>
        <v>1405</v>
      </c>
      <c r="X249" s="7" t="n">
        <f aca="false">IF(L249="","",VALUE(MID(L249,FIND("/",L249)+1,FIND("/",L249,FIND("/",L249)+1)-FIND("/",L249)-1)))</f>
        <v>7</v>
      </c>
      <c r="Y249" s="7" t="n">
        <f aca="false">IF(L249="","",VALUE(MID(L249,FIND("/",L249,FIND("/",L249)+1)+1,LEN(L249)-FIND("/",L249,FIND("/",L249)+1))))</f>
        <v>8</v>
      </c>
      <c r="Z249" s="11" t="n">
        <f aca="false">IF(OR(L249="",W249=""),"",IFERROR(INDEX('لیست‌ها'!$Q$3:$Q$53,MATCH(W249,'لیست‌ها'!$P$3:$P$53,0))+IF(X249&lt;=6,(X249-1)*31+Y249,IF(X249&lt;=11,186+(X249-7)*30+Y249,336+Y249))-1,""))</f>
        <v>46295</v>
      </c>
      <c r="AA249" s="7" t="str">
        <f aca="false">IF(H249="","",VALUE(LEFT(H249,FIND("/",H249)-1)))</f>
        <v/>
      </c>
      <c r="AB249" s="7" t="str">
        <f aca="false">IF(H249="","",VALUE(MID(H249,FIND("/",H249)+1,FIND("/",H249,FIND("/",H249)+1)-FIND("/",H249)-1)))</f>
        <v/>
      </c>
      <c r="AC249" s="7" t="str">
        <f aca="false">IF(H249="","",VALUE(MID(H249,FIND("/",H249,FIND("/",H249)+1)+1,LEN(H249)-FIND("/",H249,FIND("/",H249)+1))))</f>
        <v/>
      </c>
      <c r="AD249" s="7" t="str">
        <f aca="false">IF(OR(H249="",AA249=""),"",IFERROR(INDEX('لیست‌ها'!$Q$3:$Q$53,MATCH(AA249,'لیست‌ها'!$P$3:$P$53,0))+IF(AB249&lt;=6,(AB249-1)*31+AC249,IF(AB249&lt;=11,186+(AB249-7)*30+AC249,336+AC249))-1,""))</f>
        <v/>
      </c>
      <c r="AE249" s="7" t="str">
        <f aca="false">IF(P249="","",VALUE(LEFT(P249,FIND("/",P249)-1)))</f>
        <v/>
      </c>
      <c r="AF249" s="7" t="str">
        <f aca="false">IF(P249="","",VALUE(MID(P249,FIND("/",P249)+1,FIND("/",P249,FIND("/",P249)+1)-FIND("/",P249)-1)))</f>
        <v/>
      </c>
      <c r="AG249" s="7" t="str">
        <f aca="false">IF(P249="","",VALUE(MID(P249,FIND("/",P249,FIND("/",P249)+1)+1,LEN(P249)-FIND("/",P249,FIND("/",P249)+1))))</f>
        <v/>
      </c>
      <c r="AH249" s="7" t="str">
        <f aca="false">IF(OR(P249="",AE249=""),"",IFERROR(INDEX('لیست‌ها'!$Q$3:$Q$53,MATCH(AE249,'لیست‌ها'!$P$3:$P$53,0))+IF(AF249&lt;=6,(AF249-1)*31+AG249,IF(AF249&lt;=11,186+(AF249-7)*30+AG249,336+AG249))-1,""))</f>
        <v/>
      </c>
      <c r="AI249" s="7" t="str">
        <f aca="false">IF(W249="","",W249&amp;"-"&amp;TEXT(X249,"00"))</f>
        <v>1405-07</v>
      </c>
      <c r="AJ249" s="7" t="n">
        <f aca="false">IF(W249="","",W249*12+X249)</f>
        <v>16867</v>
      </c>
      <c r="AK249" s="7" t="str">
        <f aca="false">IF(U249="تاخیر",V249+ROW()/100000,"")</f>
        <v/>
      </c>
    </row>
    <row r="250" customFormat="false" ht="15" hidden="false" customHeight="false" outlineLevel="0" collapsed="false">
      <c r="A250" s="7" t="str">
        <f aca="false">IF(B250="","",ROW()-3)</f>
        <v/>
      </c>
      <c r="B250" s="8"/>
      <c r="C250" s="8"/>
      <c r="D250" s="8"/>
      <c r="E250" s="9"/>
      <c r="F250" s="9"/>
      <c r="G250" s="8"/>
      <c r="H250" s="8"/>
      <c r="I250" s="8"/>
      <c r="J250" s="9"/>
      <c r="K250" s="8"/>
      <c r="L250" s="8"/>
      <c r="M250" s="8"/>
      <c r="N250" s="8"/>
      <c r="O250" s="8"/>
      <c r="P250" s="8"/>
      <c r="Q250" s="8"/>
      <c r="R250" s="9"/>
      <c r="S250" s="8"/>
      <c r="T250" s="9"/>
      <c r="U250" s="10" t="str">
        <f aca="true">IF(B250="","",IF(OR(P250&lt;&gt;"",I250="می‌باشد"),"بسته",IF(AND(L250&lt;&gt;"",W250=""),"خطای فرمت تاریخ ایجاد",IF(AND(H250&lt;&gt;"",AA250=""),"خطای فرمت مهلت",IF(AND(H250&lt;&gt;"",AD250&lt;&gt;"",TODAY()&gt;AD250),"تاخیر",IF(L250&lt;&gt;"","در حال انجام",""))))))</f>
        <v/>
      </c>
      <c r="V250" s="7" t="n">
        <f aca="true">IF(U250="تاخیر",TODAY()-AD250,IF(AND(U250="بسته",AH250&lt;&gt;"",AD250&lt;&gt;"",AH250&gt;AD250),AH250-AD250,0))</f>
        <v>0</v>
      </c>
      <c r="W250" s="7" t="str">
        <f aca="false">IF(L250="","",VALUE(LEFT(L250,FIND("/",L250)-1)))</f>
        <v/>
      </c>
      <c r="X250" s="7" t="str">
        <f aca="false">IF(L250="","",VALUE(MID(L250,FIND("/",L250)+1,FIND("/",L250,FIND("/",L250)+1)-FIND("/",L250)-1)))</f>
        <v/>
      </c>
      <c r="Y250" s="7" t="str">
        <f aca="false">IF(L250="","",VALUE(MID(L250,FIND("/",L250,FIND("/",L250)+1)+1,LEN(L250)-FIND("/",L250,FIND("/",L250)+1))))</f>
        <v/>
      </c>
      <c r="Z250" s="7" t="str">
        <f aca="false">IF(OR(L250="",W250=""),"",IFERROR(INDEX('لیست‌ها'!$Q$3:$Q$53,MATCH(W250,'لیست‌ها'!$P$3:$P$53,0))+IF(X250&lt;=6,(X250-1)*31+Y250,IF(X250&lt;=11,186+(X250-7)*30+Y250,336+Y250))-1,""))</f>
        <v/>
      </c>
      <c r="AA250" s="7" t="str">
        <f aca="false">IF(H250="","",VALUE(LEFT(H250,FIND("/",H250)-1)))</f>
        <v/>
      </c>
      <c r="AB250" s="7" t="str">
        <f aca="false">IF(H250="","",VALUE(MID(H250,FIND("/",H250)+1,FIND("/",H250,FIND("/",H250)+1)-FIND("/",H250)-1)))</f>
        <v/>
      </c>
      <c r="AC250" s="7" t="str">
        <f aca="false">IF(H250="","",VALUE(MID(H250,FIND("/",H250,FIND("/",H250)+1)+1,LEN(H250)-FIND("/",H250,FIND("/",H250)+1))))</f>
        <v/>
      </c>
      <c r="AD250" s="7" t="str">
        <f aca="false">IF(OR(H250="",AA250=""),"",IFERROR(INDEX('لیست‌ها'!$Q$3:$Q$53,MATCH(AA250,'لیست‌ها'!$P$3:$P$53,0))+IF(AB250&lt;=6,(AB250-1)*31+AC250,IF(AB250&lt;=11,186+(AB250-7)*30+AC250,336+AC250))-1,""))</f>
        <v/>
      </c>
      <c r="AE250" s="7" t="str">
        <f aca="false">IF(P250="","",VALUE(LEFT(P250,FIND("/",P250)-1)))</f>
        <v/>
      </c>
      <c r="AF250" s="7" t="str">
        <f aca="false">IF(P250="","",VALUE(MID(P250,FIND("/",P250)+1,FIND("/",P250,FIND("/",P250)+1)-FIND("/",P250)-1)))</f>
        <v/>
      </c>
      <c r="AG250" s="7" t="str">
        <f aca="false">IF(P250="","",VALUE(MID(P250,FIND("/",P250,FIND("/",P250)+1)+1,LEN(P250)-FIND("/",P250,FIND("/",P250)+1))))</f>
        <v/>
      </c>
      <c r="AH250" s="7" t="str">
        <f aca="false">IF(OR(P250="",AE250=""),"",IFERROR(INDEX('لیست‌ها'!$Q$3:$Q$53,MATCH(AE250,'لیست‌ها'!$P$3:$P$53,0))+IF(AF250&lt;=6,(AF250-1)*31+AG250,IF(AF250&lt;=11,186+(AF250-7)*30+AG250,336+AG250))-1,""))</f>
        <v/>
      </c>
      <c r="AI250" s="7" t="str">
        <f aca="false">IF(W250="","",W250&amp;"-"&amp;TEXT(X250,"00"))</f>
        <v/>
      </c>
      <c r="AJ250" s="7" t="str">
        <f aca="false">IF(W250="","",W250*12+X250)</f>
        <v/>
      </c>
      <c r="AK250" s="7" t="str">
        <f aca="false">IF(U250="تاخیر",V250+ROW()/100000,"")</f>
        <v/>
      </c>
    </row>
    <row r="251" customFormat="false" ht="15" hidden="false" customHeight="false" outlineLevel="0" collapsed="false">
      <c r="A251" s="7" t="str">
        <f aca="false">IF(B251="","",ROW()-3)</f>
        <v/>
      </c>
      <c r="B251" s="8"/>
      <c r="C251" s="8"/>
      <c r="D251" s="8"/>
      <c r="E251" s="9"/>
      <c r="F251" s="9"/>
      <c r="G251" s="8"/>
      <c r="H251" s="8"/>
      <c r="I251" s="8"/>
      <c r="J251" s="9"/>
      <c r="K251" s="8"/>
      <c r="L251" s="8"/>
      <c r="M251" s="8"/>
      <c r="N251" s="8"/>
      <c r="O251" s="8"/>
      <c r="P251" s="8"/>
      <c r="Q251" s="8"/>
      <c r="R251" s="9"/>
      <c r="S251" s="8"/>
      <c r="T251" s="9"/>
      <c r="U251" s="10" t="str">
        <f aca="true">IF(B251="","",IF(OR(P251&lt;&gt;"",I251="می‌باشد"),"بسته",IF(AND(L251&lt;&gt;"",W251=""),"خطای فرمت تاریخ ایجاد",IF(AND(H251&lt;&gt;"",AA251=""),"خطای فرمت مهلت",IF(AND(H251&lt;&gt;"",AD251&lt;&gt;"",TODAY()&gt;AD251),"تاخیر",IF(L251&lt;&gt;"","در حال انجام",""))))))</f>
        <v/>
      </c>
      <c r="V251" s="7" t="n">
        <f aca="true">IF(U251="تاخیر",TODAY()-AD251,IF(AND(U251="بسته",AH251&lt;&gt;"",AD251&lt;&gt;"",AH251&gt;AD251),AH251-AD251,0))</f>
        <v>0</v>
      </c>
      <c r="W251" s="7" t="str">
        <f aca="false">IF(L251="","",VALUE(LEFT(L251,FIND("/",L251)-1)))</f>
        <v/>
      </c>
      <c r="X251" s="7" t="str">
        <f aca="false">IF(L251="","",VALUE(MID(L251,FIND("/",L251)+1,FIND("/",L251,FIND("/",L251)+1)-FIND("/",L251)-1)))</f>
        <v/>
      </c>
      <c r="Y251" s="7" t="str">
        <f aca="false">IF(L251="","",VALUE(MID(L251,FIND("/",L251,FIND("/",L251)+1)+1,LEN(L251)-FIND("/",L251,FIND("/",L251)+1))))</f>
        <v/>
      </c>
      <c r="Z251" s="7" t="str">
        <f aca="false">IF(OR(L251="",W251=""),"",IFERROR(INDEX('لیست‌ها'!$Q$3:$Q$53,MATCH(W251,'لیست‌ها'!$P$3:$P$53,0))+IF(X251&lt;=6,(X251-1)*31+Y251,IF(X251&lt;=11,186+(X251-7)*30+Y251,336+Y251))-1,""))</f>
        <v/>
      </c>
      <c r="AA251" s="7" t="str">
        <f aca="false">IF(H251="","",VALUE(LEFT(H251,FIND("/",H251)-1)))</f>
        <v/>
      </c>
      <c r="AB251" s="7" t="str">
        <f aca="false">IF(H251="","",VALUE(MID(H251,FIND("/",H251)+1,FIND("/",H251,FIND("/",H251)+1)-FIND("/",H251)-1)))</f>
        <v/>
      </c>
      <c r="AC251" s="7" t="str">
        <f aca="false">IF(H251="","",VALUE(MID(H251,FIND("/",H251,FIND("/",H251)+1)+1,LEN(H251)-FIND("/",H251,FIND("/",H251)+1))))</f>
        <v/>
      </c>
      <c r="AD251" s="7" t="str">
        <f aca="false">IF(OR(H251="",AA251=""),"",IFERROR(INDEX('لیست‌ها'!$Q$3:$Q$53,MATCH(AA251,'لیست‌ها'!$P$3:$P$53,0))+IF(AB251&lt;=6,(AB251-1)*31+AC251,IF(AB251&lt;=11,186+(AB251-7)*30+AC251,336+AC251))-1,""))</f>
        <v/>
      </c>
      <c r="AE251" s="7" t="str">
        <f aca="false">IF(P251="","",VALUE(LEFT(P251,FIND("/",P251)-1)))</f>
        <v/>
      </c>
      <c r="AF251" s="7" t="str">
        <f aca="false">IF(P251="","",VALUE(MID(P251,FIND("/",P251)+1,FIND("/",P251,FIND("/",P251)+1)-FIND("/",P251)-1)))</f>
        <v/>
      </c>
      <c r="AG251" s="7" t="str">
        <f aca="false">IF(P251="","",VALUE(MID(P251,FIND("/",P251,FIND("/",P251)+1)+1,LEN(P251)-FIND("/",P251,FIND("/",P251)+1))))</f>
        <v/>
      </c>
      <c r="AH251" s="7" t="str">
        <f aca="false">IF(OR(P251="",AE251=""),"",IFERROR(INDEX('لیست‌ها'!$Q$3:$Q$53,MATCH(AE251,'لیست‌ها'!$P$3:$P$53,0))+IF(AF251&lt;=6,(AF251-1)*31+AG251,IF(AF251&lt;=11,186+(AF251-7)*30+AG251,336+AG251))-1,""))</f>
        <v/>
      </c>
      <c r="AI251" s="7" t="str">
        <f aca="false">IF(W251="","",W251&amp;"-"&amp;TEXT(X251,"00"))</f>
        <v/>
      </c>
      <c r="AJ251" s="7" t="str">
        <f aca="false">IF(W251="","",W251*12+X251)</f>
        <v/>
      </c>
      <c r="AK251" s="7" t="str">
        <f aca="false">IF(U251="تاخیر",V251+ROW()/100000,"")</f>
        <v/>
      </c>
    </row>
    <row r="252" customFormat="false" ht="15" hidden="false" customHeight="false" outlineLevel="0" collapsed="false">
      <c r="A252" s="7" t="str">
        <f aca="false">IF(B252="","",ROW()-3)</f>
        <v/>
      </c>
      <c r="B252" s="8"/>
      <c r="C252" s="8"/>
      <c r="D252" s="8"/>
      <c r="E252" s="9"/>
      <c r="F252" s="9"/>
      <c r="G252" s="8"/>
      <c r="H252" s="8"/>
      <c r="I252" s="8"/>
      <c r="J252" s="9"/>
      <c r="K252" s="8"/>
      <c r="L252" s="8"/>
      <c r="M252" s="8"/>
      <c r="N252" s="8"/>
      <c r="O252" s="8"/>
      <c r="P252" s="8"/>
      <c r="Q252" s="8"/>
      <c r="R252" s="9"/>
      <c r="S252" s="8"/>
      <c r="T252" s="9"/>
      <c r="U252" s="10" t="str">
        <f aca="true">IF(B252="","",IF(OR(P252&lt;&gt;"",I252="می‌باشد"),"بسته",IF(AND(L252&lt;&gt;"",W252=""),"خطای فرمت تاریخ ایجاد",IF(AND(H252&lt;&gt;"",AA252=""),"خطای فرمت مهلت",IF(AND(H252&lt;&gt;"",AD252&lt;&gt;"",TODAY()&gt;AD252),"تاخیر",IF(L252&lt;&gt;"","در حال انجام",""))))))</f>
        <v/>
      </c>
      <c r="V252" s="7" t="n">
        <f aca="true">IF(U252="تاخیر",TODAY()-AD252,IF(AND(U252="بسته",AH252&lt;&gt;"",AD252&lt;&gt;"",AH252&gt;AD252),AH252-AD252,0))</f>
        <v>0</v>
      </c>
      <c r="W252" s="7" t="str">
        <f aca="false">IF(L252="","",VALUE(LEFT(L252,FIND("/",L252)-1)))</f>
        <v/>
      </c>
      <c r="X252" s="7" t="str">
        <f aca="false">IF(L252="","",VALUE(MID(L252,FIND("/",L252)+1,FIND("/",L252,FIND("/",L252)+1)-FIND("/",L252)-1)))</f>
        <v/>
      </c>
      <c r="Y252" s="7" t="str">
        <f aca="false">IF(L252="","",VALUE(MID(L252,FIND("/",L252,FIND("/",L252)+1)+1,LEN(L252)-FIND("/",L252,FIND("/",L252)+1))))</f>
        <v/>
      </c>
      <c r="Z252" s="7" t="str">
        <f aca="false">IF(OR(L252="",W252=""),"",IFERROR(INDEX('لیست‌ها'!$Q$3:$Q$53,MATCH(W252,'لیست‌ها'!$P$3:$P$53,0))+IF(X252&lt;=6,(X252-1)*31+Y252,IF(X252&lt;=11,186+(X252-7)*30+Y252,336+Y252))-1,""))</f>
        <v/>
      </c>
      <c r="AA252" s="7" t="str">
        <f aca="false">IF(H252="","",VALUE(LEFT(H252,FIND("/",H252)-1)))</f>
        <v/>
      </c>
      <c r="AB252" s="7" t="str">
        <f aca="false">IF(H252="","",VALUE(MID(H252,FIND("/",H252)+1,FIND("/",H252,FIND("/",H252)+1)-FIND("/",H252)-1)))</f>
        <v/>
      </c>
      <c r="AC252" s="7" t="str">
        <f aca="false">IF(H252="","",VALUE(MID(H252,FIND("/",H252,FIND("/",H252)+1)+1,LEN(H252)-FIND("/",H252,FIND("/",H252)+1))))</f>
        <v/>
      </c>
      <c r="AD252" s="7" t="str">
        <f aca="false">IF(OR(H252="",AA252=""),"",IFERROR(INDEX('لیست‌ها'!$Q$3:$Q$53,MATCH(AA252,'لیست‌ها'!$P$3:$P$53,0))+IF(AB252&lt;=6,(AB252-1)*31+AC252,IF(AB252&lt;=11,186+(AB252-7)*30+AC252,336+AC252))-1,""))</f>
        <v/>
      </c>
      <c r="AE252" s="7" t="str">
        <f aca="false">IF(P252="","",VALUE(LEFT(P252,FIND("/",P252)-1)))</f>
        <v/>
      </c>
      <c r="AF252" s="7" t="str">
        <f aca="false">IF(P252="","",VALUE(MID(P252,FIND("/",P252)+1,FIND("/",P252,FIND("/",P252)+1)-FIND("/",P252)-1)))</f>
        <v/>
      </c>
      <c r="AG252" s="7" t="str">
        <f aca="false">IF(P252="","",VALUE(MID(P252,FIND("/",P252,FIND("/",P252)+1)+1,LEN(P252)-FIND("/",P252,FIND("/",P252)+1))))</f>
        <v/>
      </c>
      <c r="AH252" s="7" t="str">
        <f aca="false">IF(OR(P252="",AE252=""),"",IFERROR(INDEX('لیست‌ها'!$Q$3:$Q$53,MATCH(AE252,'لیست‌ها'!$P$3:$P$53,0))+IF(AF252&lt;=6,(AF252-1)*31+AG252,IF(AF252&lt;=11,186+(AF252-7)*30+AG252,336+AG252))-1,""))</f>
        <v/>
      </c>
      <c r="AI252" s="7" t="str">
        <f aca="false">IF(W252="","",W252&amp;"-"&amp;TEXT(X252,"00"))</f>
        <v/>
      </c>
      <c r="AJ252" s="7" t="str">
        <f aca="false">IF(W252="","",W252*12+X252)</f>
        <v/>
      </c>
      <c r="AK252" s="7" t="str">
        <f aca="false">IF(U252="تاخیر",V252+ROW()/100000,"")</f>
        <v/>
      </c>
    </row>
    <row r="253" customFormat="false" ht="15" hidden="false" customHeight="false" outlineLevel="0" collapsed="false">
      <c r="A253" s="7" t="str">
        <f aca="false">IF(B253="","",ROW()-3)</f>
        <v/>
      </c>
      <c r="B253" s="8"/>
      <c r="C253" s="8"/>
      <c r="D253" s="8"/>
      <c r="E253" s="9"/>
      <c r="F253" s="9"/>
      <c r="G253" s="8"/>
      <c r="H253" s="8"/>
      <c r="I253" s="8"/>
      <c r="J253" s="9"/>
      <c r="K253" s="8"/>
      <c r="L253" s="8"/>
      <c r="M253" s="8"/>
      <c r="N253" s="8"/>
      <c r="O253" s="8"/>
      <c r="P253" s="8"/>
      <c r="Q253" s="8"/>
      <c r="R253" s="9"/>
      <c r="S253" s="8"/>
      <c r="T253" s="9"/>
      <c r="U253" s="10" t="str">
        <f aca="true">IF(B253="","",IF(OR(P253&lt;&gt;"",I253="می‌باشد"),"بسته",IF(AND(L253&lt;&gt;"",W253=""),"خطای فرمت تاریخ ایجاد",IF(AND(H253&lt;&gt;"",AA253=""),"خطای فرمت مهلت",IF(AND(H253&lt;&gt;"",AD253&lt;&gt;"",TODAY()&gt;AD253),"تاخیر",IF(L253&lt;&gt;"","در حال انجام",""))))))</f>
        <v/>
      </c>
      <c r="V253" s="7" t="n">
        <f aca="true">IF(U253="تاخیر",TODAY()-AD253,IF(AND(U253="بسته",AH253&lt;&gt;"",AD253&lt;&gt;"",AH253&gt;AD253),AH253-AD253,0))</f>
        <v>0</v>
      </c>
      <c r="W253" s="7" t="str">
        <f aca="false">IF(L253="","",VALUE(LEFT(L253,FIND("/",L253)-1)))</f>
        <v/>
      </c>
      <c r="X253" s="7" t="str">
        <f aca="false">IF(L253="","",VALUE(MID(L253,FIND("/",L253)+1,FIND("/",L253,FIND("/",L253)+1)-FIND("/",L253)-1)))</f>
        <v/>
      </c>
      <c r="Y253" s="7" t="str">
        <f aca="false">IF(L253="","",VALUE(MID(L253,FIND("/",L253,FIND("/",L253)+1)+1,LEN(L253)-FIND("/",L253,FIND("/",L253)+1))))</f>
        <v/>
      </c>
      <c r="Z253" s="7" t="str">
        <f aca="false">IF(OR(L253="",W253=""),"",IFERROR(INDEX('لیست‌ها'!$Q$3:$Q$53,MATCH(W253,'لیست‌ها'!$P$3:$P$53,0))+IF(X253&lt;=6,(X253-1)*31+Y253,IF(X253&lt;=11,186+(X253-7)*30+Y253,336+Y253))-1,""))</f>
        <v/>
      </c>
      <c r="AA253" s="7" t="str">
        <f aca="false">IF(H253="","",VALUE(LEFT(H253,FIND("/",H253)-1)))</f>
        <v/>
      </c>
      <c r="AB253" s="7" t="str">
        <f aca="false">IF(H253="","",VALUE(MID(H253,FIND("/",H253)+1,FIND("/",H253,FIND("/",H253)+1)-FIND("/",H253)-1)))</f>
        <v/>
      </c>
      <c r="AC253" s="7" t="str">
        <f aca="false">IF(H253="","",VALUE(MID(H253,FIND("/",H253,FIND("/",H253)+1)+1,LEN(H253)-FIND("/",H253,FIND("/",H253)+1))))</f>
        <v/>
      </c>
      <c r="AD253" s="7" t="str">
        <f aca="false">IF(OR(H253="",AA253=""),"",IFERROR(INDEX('لیست‌ها'!$Q$3:$Q$53,MATCH(AA253,'لیست‌ها'!$P$3:$P$53,0))+IF(AB253&lt;=6,(AB253-1)*31+AC253,IF(AB253&lt;=11,186+(AB253-7)*30+AC253,336+AC253))-1,""))</f>
        <v/>
      </c>
      <c r="AE253" s="7" t="str">
        <f aca="false">IF(P253="","",VALUE(LEFT(P253,FIND("/",P253)-1)))</f>
        <v/>
      </c>
      <c r="AF253" s="7" t="str">
        <f aca="false">IF(P253="","",VALUE(MID(P253,FIND("/",P253)+1,FIND("/",P253,FIND("/",P253)+1)-FIND("/",P253)-1)))</f>
        <v/>
      </c>
      <c r="AG253" s="7" t="str">
        <f aca="false">IF(P253="","",VALUE(MID(P253,FIND("/",P253,FIND("/",P253)+1)+1,LEN(P253)-FIND("/",P253,FIND("/",P253)+1))))</f>
        <v/>
      </c>
      <c r="AH253" s="7" t="str">
        <f aca="false">IF(OR(P253="",AE253=""),"",IFERROR(INDEX('لیست‌ها'!$Q$3:$Q$53,MATCH(AE253,'لیست‌ها'!$P$3:$P$53,0))+IF(AF253&lt;=6,(AF253-1)*31+AG253,IF(AF253&lt;=11,186+(AF253-7)*30+AG253,336+AG253))-1,""))</f>
        <v/>
      </c>
      <c r="AI253" s="7" t="str">
        <f aca="false">IF(W253="","",W253&amp;"-"&amp;TEXT(X253,"00"))</f>
        <v/>
      </c>
      <c r="AJ253" s="7" t="str">
        <f aca="false">IF(W253="","",W253*12+X253)</f>
        <v/>
      </c>
      <c r="AK253" s="7" t="str">
        <f aca="false">IF(U253="تاخیر",V253+ROW()/100000,"")</f>
        <v/>
      </c>
    </row>
    <row r="254" customFormat="false" ht="15" hidden="false" customHeight="false" outlineLevel="0" collapsed="false">
      <c r="A254" s="7" t="str">
        <f aca="false">IF(B254="","",ROW()-3)</f>
        <v/>
      </c>
      <c r="B254" s="8"/>
      <c r="C254" s="8"/>
      <c r="D254" s="8"/>
      <c r="E254" s="9"/>
      <c r="F254" s="9"/>
      <c r="G254" s="8"/>
      <c r="H254" s="8"/>
      <c r="I254" s="8"/>
      <c r="J254" s="9"/>
      <c r="K254" s="8"/>
      <c r="L254" s="8"/>
      <c r="M254" s="8"/>
      <c r="N254" s="8"/>
      <c r="O254" s="8"/>
      <c r="P254" s="8"/>
      <c r="Q254" s="8"/>
      <c r="R254" s="9"/>
      <c r="S254" s="8"/>
      <c r="T254" s="9"/>
      <c r="U254" s="10" t="str">
        <f aca="true">IF(B254="","",IF(OR(P254&lt;&gt;"",I254="می‌باشد"),"بسته",IF(AND(L254&lt;&gt;"",W254=""),"خطای فرمت تاریخ ایجاد",IF(AND(H254&lt;&gt;"",AA254=""),"خطای فرمت مهلت",IF(AND(H254&lt;&gt;"",AD254&lt;&gt;"",TODAY()&gt;AD254),"تاخیر",IF(L254&lt;&gt;"","در حال انجام",""))))))</f>
        <v/>
      </c>
      <c r="V254" s="7" t="n">
        <f aca="true">IF(U254="تاخیر",TODAY()-AD254,IF(AND(U254="بسته",AH254&lt;&gt;"",AD254&lt;&gt;"",AH254&gt;AD254),AH254-AD254,0))</f>
        <v>0</v>
      </c>
      <c r="W254" s="7" t="str">
        <f aca="false">IF(L254="","",VALUE(LEFT(L254,FIND("/",L254)-1)))</f>
        <v/>
      </c>
      <c r="X254" s="7" t="str">
        <f aca="false">IF(L254="","",VALUE(MID(L254,FIND("/",L254)+1,FIND("/",L254,FIND("/",L254)+1)-FIND("/",L254)-1)))</f>
        <v/>
      </c>
      <c r="Y254" s="7" t="str">
        <f aca="false">IF(L254="","",VALUE(MID(L254,FIND("/",L254,FIND("/",L254)+1)+1,LEN(L254)-FIND("/",L254,FIND("/",L254)+1))))</f>
        <v/>
      </c>
      <c r="Z254" s="7" t="str">
        <f aca="false">IF(OR(L254="",W254=""),"",IFERROR(INDEX('لیست‌ها'!$Q$3:$Q$53,MATCH(W254,'لیست‌ها'!$P$3:$P$53,0))+IF(X254&lt;=6,(X254-1)*31+Y254,IF(X254&lt;=11,186+(X254-7)*30+Y254,336+Y254))-1,""))</f>
        <v/>
      </c>
      <c r="AA254" s="7" t="str">
        <f aca="false">IF(H254="","",VALUE(LEFT(H254,FIND("/",H254)-1)))</f>
        <v/>
      </c>
      <c r="AB254" s="7" t="str">
        <f aca="false">IF(H254="","",VALUE(MID(H254,FIND("/",H254)+1,FIND("/",H254,FIND("/",H254)+1)-FIND("/",H254)-1)))</f>
        <v/>
      </c>
      <c r="AC254" s="7" t="str">
        <f aca="false">IF(H254="","",VALUE(MID(H254,FIND("/",H254,FIND("/",H254)+1)+1,LEN(H254)-FIND("/",H254,FIND("/",H254)+1))))</f>
        <v/>
      </c>
      <c r="AD254" s="7" t="str">
        <f aca="false">IF(OR(H254="",AA254=""),"",IFERROR(INDEX('لیست‌ها'!$Q$3:$Q$53,MATCH(AA254,'لیست‌ها'!$P$3:$P$53,0))+IF(AB254&lt;=6,(AB254-1)*31+AC254,IF(AB254&lt;=11,186+(AB254-7)*30+AC254,336+AC254))-1,""))</f>
        <v/>
      </c>
      <c r="AE254" s="7" t="str">
        <f aca="false">IF(P254="","",VALUE(LEFT(P254,FIND("/",P254)-1)))</f>
        <v/>
      </c>
      <c r="AF254" s="7" t="str">
        <f aca="false">IF(P254="","",VALUE(MID(P254,FIND("/",P254)+1,FIND("/",P254,FIND("/",P254)+1)-FIND("/",P254)-1)))</f>
        <v/>
      </c>
      <c r="AG254" s="7" t="str">
        <f aca="false">IF(P254="","",VALUE(MID(P254,FIND("/",P254,FIND("/",P254)+1)+1,LEN(P254)-FIND("/",P254,FIND("/",P254)+1))))</f>
        <v/>
      </c>
      <c r="AH254" s="7" t="str">
        <f aca="false">IF(OR(P254="",AE254=""),"",IFERROR(INDEX('لیست‌ها'!$Q$3:$Q$53,MATCH(AE254,'لیست‌ها'!$P$3:$P$53,0))+IF(AF254&lt;=6,(AF254-1)*31+AG254,IF(AF254&lt;=11,186+(AF254-7)*30+AG254,336+AG254))-1,""))</f>
        <v/>
      </c>
      <c r="AI254" s="7" t="str">
        <f aca="false">IF(W254="","",W254&amp;"-"&amp;TEXT(X254,"00"))</f>
        <v/>
      </c>
      <c r="AJ254" s="7" t="str">
        <f aca="false">IF(W254="","",W254*12+X254)</f>
        <v/>
      </c>
      <c r="AK254" s="7" t="str">
        <f aca="false">IF(U254="تاخیر",V254+ROW()/100000,"")</f>
        <v/>
      </c>
    </row>
    <row r="255" customFormat="false" ht="15" hidden="false" customHeight="false" outlineLevel="0" collapsed="false">
      <c r="A255" s="7" t="str">
        <f aca="false">IF(B255="","",ROW()-3)</f>
        <v/>
      </c>
      <c r="B255" s="8"/>
      <c r="C255" s="8"/>
      <c r="D255" s="8"/>
      <c r="E255" s="9"/>
      <c r="F255" s="9"/>
      <c r="G255" s="8"/>
      <c r="H255" s="8"/>
      <c r="I255" s="8"/>
      <c r="J255" s="9"/>
      <c r="K255" s="8"/>
      <c r="L255" s="8"/>
      <c r="M255" s="8"/>
      <c r="N255" s="8"/>
      <c r="O255" s="8"/>
      <c r="P255" s="8"/>
      <c r="Q255" s="8"/>
      <c r="R255" s="9"/>
      <c r="S255" s="8"/>
      <c r="T255" s="9"/>
      <c r="U255" s="10" t="str">
        <f aca="true">IF(B255="","",IF(OR(P255&lt;&gt;"",I255="می‌باشد"),"بسته",IF(AND(L255&lt;&gt;"",W255=""),"خطای فرمت تاریخ ایجاد",IF(AND(H255&lt;&gt;"",AA255=""),"خطای فرمت مهلت",IF(AND(H255&lt;&gt;"",AD255&lt;&gt;"",TODAY()&gt;AD255),"تاخیر",IF(L255&lt;&gt;"","در حال انجام",""))))))</f>
        <v/>
      </c>
      <c r="V255" s="7" t="n">
        <f aca="true">IF(U255="تاخیر",TODAY()-AD255,IF(AND(U255="بسته",AH255&lt;&gt;"",AD255&lt;&gt;"",AH255&gt;AD255),AH255-AD255,0))</f>
        <v>0</v>
      </c>
      <c r="W255" s="7" t="str">
        <f aca="false">IF(L255="","",VALUE(LEFT(L255,FIND("/",L255)-1)))</f>
        <v/>
      </c>
      <c r="X255" s="7" t="str">
        <f aca="false">IF(L255="","",VALUE(MID(L255,FIND("/",L255)+1,FIND("/",L255,FIND("/",L255)+1)-FIND("/",L255)-1)))</f>
        <v/>
      </c>
      <c r="Y255" s="7" t="str">
        <f aca="false">IF(L255="","",VALUE(MID(L255,FIND("/",L255,FIND("/",L255)+1)+1,LEN(L255)-FIND("/",L255,FIND("/",L255)+1))))</f>
        <v/>
      </c>
      <c r="Z255" s="7" t="str">
        <f aca="false">IF(OR(L255="",W255=""),"",IFERROR(INDEX('لیست‌ها'!$Q$3:$Q$53,MATCH(W255,'لیست‌ها'!$P$3:$P$53,0))+IF(X255&lt;=6,(X255-1)*31+Y255,IF(X255&lt;=11,186+(X255-7)*30+Y255,336+Y255))-1,""))</f>
        <v/>
      </c>
      <c r="AA255" s="7" t="str">
        <f aca="false">IF(H255="","",VALUE(LEFT(H255,FIND("/",H255)-1)))</f>
        <v/>
      </c>
      <c r="AB255" s="7" t="str">
        <f aca="false">IF(H255="","",VALUE(MID(H255,FIND("/",H255)+1,FIND("/",H255,FIND("/",H255)+1)-FIND("/",H255)-1)))</f>
        <v/>
      </c>
      <c r="AC255" s="7" t="str">
        <f aca="false">IF(H255="","",VALUE(MID(H255,FIND("/",H255,FIND("/",H255)+1)+1,LEN(H255)-FIND("/",H255,FIND("/",H255)+1))))</f>
        <v/>
      </c>
      <c r="AD255" s="7" t="str">
        <f aca="false">IF(OR(H255="",AA255=""),"",IFERROR(INDEX('لیست‌ها'!$Q$3:$Q$53,MATCH(AA255,'لیست‌ها'!$P$3:$P$53,0))+IF(AB255&lt;=6,(AB255-1)*31+AC255,IF(AB255&lt;=11,186+(AB255-7)*30+AC255,336+AC255))-1,""))</f>
        <v/>
      </c>
      <c r="AE255" s="7" t="str">
        <f aca="false">IF(P255="","",VALUE(LEFT(P255,FIND("/",P255)-1)))</f>
        <v/>
      </c>
      <c r="AF255" s="7" t="str">
        <f aca="false">IF(P255="","",VALUE(MID(P255,FIND("/",P255)+1,FIND("/",P255,FIND("/",P255)+1)-FIND("/",P255)-1)))</f>
        <v/>
      </c>
      <c r="AG255" s="7" t="str">
        <f aca="false">IF(P255="","",VALUE(MID(P255,FIND("/",P255,FIND("/",P255)+1)+1,LEN(P255)-FIND("/",P255,FIND("/",P255)+1))))</f>
        <v/>
      </c>
      <c r="AH255" s="7" t="str">
        <f aca="false">IF(OR(P255="",AE255=""),"",IFERROR(INDEX('لیست‌ها'!$Q$3:$Q$53,MATCH(AE255,'لیست‌ها'!$P$3:$P$53,0))+IF(AF255&lt;=6,(AF255-1)*31+AG255,IF(AF255&lt;=11,186+(AF255-7)*30+AG255,336+AG255))-1,""))</f>
        <v/>
      </c>
      <c r="AI255" s="7" t="str">
        <f aca="false">IF(W255="","",W255&amp;"-"&amp;TEXT(X255,"00"))</f>
        <v/>
      </c>
      <c r="AJ255" s="7" t="str">
        <f aca="false">IF(W255="","",W255*12+X255)</f>
        <v/>
      </c>
      <c r="AK255" s="7" t="str">
        <f aca="false">IF(U255="تاخیر",V255+ROW()/100000,"")</f>
        <v/>
      </c>
    </row>
    <row r="256" customFormat="false" ht="15" hidden="false" customHeight="false" outlineLevel="0" collapsed="false">
      <c r="A256" s="7" t="str">
        <f aca="false">IF(B256="","",ROW()-3)</f>
        <v/>
      </c>
      <c r="B256" s="8"/>
      <c r="C256" s="8"/>
      <c r="D256" s="8"/>
      <c r="E256" s="9"/>
      <c r="F256" s="9"/>
      <c r="G256" s="8"/>
      <c r="H256" s="8"/>
      <c r="I256" s="8"/>
      <c r="J256" s="9"/>
      <c r="K256" s="8"/>
      <c r="L256" s="8"/>
      <c r="M256" s="8"/>
      <c r="N256" s="8"/>
      <c r="O256" s="8"/>
      <c r="P256" s="8"/>
      <c r="Q256" s="8"/>
      <c r="R256" s="9"/>
      <c r="S256" s="8"/>
      <c r="T256" s="9"/>
      <c r="U256" s="10" t="str">
        <f aca="true">IF(B256="","",IF(OR(P256&lt;&gt;"",I256="می‌باشد"),"بسته",IF(AND(L256&lt;&gt;"",W256=""),"خطای فرمت تاریخ ایجاد",IF(AND(H256&lt;&gt;"",AA256=""),"خطای فرمت مهلت",IF(AND(H256&lt;&gt;"",AD256&lt;&gt;"",TODAY()&gt;AD256),"تاخیر",IF(L256&lt;&gt;"","در حال انجام",""))))))</f>
        <v/>
      </c>
      <c r="V256" s="7" t="n">
        <f aca="true">IF(U256="تاخیر",TODAY()-AD256,IF(AND(U256="بسته",AH256&lt;&gt;"",AD256&lt;&gt;"",AH256&gt;AD256),AH256-AD256,0))</f>
        <v>0</v>
      </c>
      <c r="W256" s="7" t="str">
        <f aca="false">IF(L256="","",VALUE(LEFT(L256,FIND("/",L256)-1)))</f>
        <v/>
      </c>
      <c r="X256" s="7" t="str">
        <f aca="false">IF(L256="","",VALUE(MID(L256,FIND("/",L256)+1,FIND("/",L256,FIND("/",L256)+1)-FIND("/",L256)-1)))</f>
        <v/>
      </c>
      <c r="Y256" s="7" t="str">
        <f aca="false">IF(L256="","",VALUE(MID(L256,FIND("/",L256,FIND("/",L256)+1)+1,LEN(L256)-FIND("/",L256,FIND("/",L256)+1))))</f>
        <v/>
      </c>
      <c r="Z256" s="7" t="str">
        <f aca="false">IF(OR(L256="",W256=""),"",IFERROR(INDEX('لیست‌ها'!$Q$3:$Q$53,MATCH(W256,'لیست‌ها'!$P$3:$P$53,0))+IF(X256&lt;=6,(X256-1)*31+Y256,IF(X256&lt;=11,186+(X256-7)*30+Y256,336+Y256))-1,""))</f>
        <v/>
      </c>
      <c r="AA256" s="7" t="str">
        <f aca="false">IF(H256="","",VALUE(LEFT(H256,FIND("/",H256)-1)))</f>
        <v/>
      </c>
      <c r="AB256" s="7" t="str">
        <f aca="false">IF(H256="","",VALUE(MID(H256,FIND("/",H256)+1,FIND("/",H256,FIND("/",H256)+1)-FIND("/",H256)-1)))</f>
        <v/>
      </c>
      <c r="AC256" s="7" t="str">
        <f aca="false">IF(H256="","",VALUE(MID(H256,FIND("/",H256,FIND("/",H256)+1)+1,LEN(H256)-FIND("/",H256,FIND("/",H256)+1))))</f>
        <v/>
      </c>
      <c r="AD256" s="7" t="str">
        <f aca="false">IF(OR(H256="",AA256=""),"",IFERROR(INDEX('لیست‌ها'!$Q$3:$Q$53,MATCH(AA256,'لیست‌ها'!$P$3:$P$53,0))+IF(AB256&lt;=6,(AB256-1)*31+AC256,IF(AB256&lt;=11,186+(AB256-7)*30+AC256,336+AC256))-1,""))</f>
        <v/>
      </c>
      <c r="AE256" s="7" t="str">
        <f aca="false">IF(P256="","",VALUE(LEFT(P256,FIND("/",P256)-1)))</f>
        <v/>
      </c>
      <c r="AF256" s="7" t="str">
        <f aca="false">IF(P256="","",VALUE(MID(P256,FIND("/",P256)+1,FIND("/",P256,FIND("/",P256)+1)-FIND("/",P256)-1)))</f>
        <v/>
      </c>
      <c r="AG256" s="7" t="str">
        <f aca="false">IF(P256="","",VALUE(MID(P256,FIND("/",P256,FIND("/",P256)+1)+1,LEN(P256)-FIND("/",P256,FIND("/",P256)+1))))</f>
        <v/>
      </c>
      <c r="AH256" s="7" t="str">
        <f aca="false">IF(OR(P256="",AE256=""),"",IFERROR(INDEX('لیست‌ها'!$Q$3:$Q$53,MATCH(AE256,'لیست‌ها'!$P$3:$P$53,0))+IF(AF256&lt;=6,(AF256-1)*31+AG256,IF(AF256&lt;=11,186+(AF256-7)*30+AG256,336+AG256))-1,""))</f>
        <v/>
      </c>
      <c r="AI256" s="7" t="str">
        <f aca="false">IF(W256="","",W256&amp;"-"&amp;TEXT(X256,"00"))</f>
        <v/>
      </c>
      <c r="AJ256" s="7" t="str">
        <f aca="false">IF(W256="","",W256*12+X256)</f>
        <v/>
      </c>
      <c r="AK256" s="7" t="str">
        <f aca="false">IF(U256="تاخیر",V256+ROW()/100000,"")</f>
        <v/>
      </c>
    </row>
    <row r="257" customFormat="false" ht="15" hidden="false" customHeight="false" outlineLevel="0" collapsed="false">
      <c r="A257" s="7" t="str">
        <f aca="false">IF(B257="","",ROW()-3)</f>
        <v/>
      </c>
      <c r="B257" s="8"/>
      <c r="C257" s="8"/>
      <c r="D257" s="8"/>
      <c r="E257" s="9"/>
      <c r="F257" s="9"/>
      <c r="G257" s="8"/>
      <c r="H257" s="8"/>
      <c r="I257" s="8"/>
      <c r="J257" s="9"/>
      <c r="K257" s="8"/>
      <c r="L257" s="8"/>
      <c r="M257" s="8"/>
      <c r="N257" s="8"/>
      <c r="O257" s="8"/>
      <c r="P257" s="8"/>
      <c r="Q257" s="8"/>
      <c r="R257" s="9"/>
      <c r="S257" s="8"/>
      <c r="T257" s="9"/>
      <c r="U257" s="10" t="str">
        <f aca="true">IF(B257="","",IF(OR(P257&lt;&gt;"",I257="می‌باشد"),"بسته",IF(AND(L257&lt;&gt;"",W257=""),"خطای فرمت تاریخ ایجاد",IF(AND(H257&lt;&gt;"",AA257=""),"خطای فرمت مهلت",IF(AND(H257&lt;&gt;"",AD257&lt;&gt;"",TODAY()&gt;AD257),"تاخیر",IF(L257&lt;&gt;"","در حال انجام",""))))))</f>
        <v/>
      </c>
      <c r="V257" s="7" t="n">
        <f aca="true">IF(U257="تاخیر",TODAY()-AD257,IF(AND(U257="بسته",AH257&lt;&gt;"",AD257&lt;&gt;"",AH257&gt;AD257),AH257-AD257,0))</f>
        <v>0</v>
      </c>
      <c r="W257" s="7" t="str">
        <f aca="false">IF(L257="","",VALUE(LEFT(L257,FIND("/",L257)-1)))</f>
        <v/>
      </c>
      <c r="X257" s="7" t="str">
        <f aca="false">IF(L257="","",VALUE(MID(L257,FIND("/",L257)+1,FIND("/",L257,FIND("/",L257)+1)-FIND("/",L257)-1)))</f>
        <v/>
      </c>
      <c r="Y257" s="7" t="str">
        <f aca="false">IF(L257="","",VALUE(MID(L257,FIND("/",L257,FIND("/",L257)+1)+1,LEN(L257)-FIND("/",L257,FIND("/",L257)+1))))</f>
        <v/>
      </c>
      <c r="Z257" s="7" t="str">
        <f aca="false">IF(OR(L257="",W257=""),"",IFERROR(INDEX('لیست‌ها'!$Q$3:$Q$53,MATCH(W257,'لیست‌ها'!$P$3:$P$53,0))+IF(X257&lt;=6,(X257-1)*31+Y257,IF(X257&lt;=11,186+(X257-7)*30+Y257,336+Y257))-1,""))</f>
        <v/>
      </c>
      <c r="AA257" s="7" t="str">
        <f aca="false">IF(H257="","",VALUE(LEFT(H257,FIND("/",H257)-1)))</f>
        <v/>
      </c>
      <c r="AB257" s="7" t="str">
        <f aca="false">IF(H257="","",VALUE(MID(H257,FIND("/",H257)+1,FIND("/",H257,FIND("/",H257)+1)-FIND("/",H257)-1)))</f>
        <v/>
      </c>
      <c r="AC257" s="7" t="str">
        <f aca="false">IF(H257="","",VALUE(MID(H257,FIND("/",H257,FIND("/",H257)+1)+1,LEN(H257)-FIND("/",H257,FIND("/",H257)+1))))</f>
        <v/>
      </c>
      <c r="AD257" s="7" t="str">
        <f aca="false">IF(OR(H257="",AA257=""),"",IFERROR(INDEX('لیست‌ها'!$Q$3:$Q$53,MATCH(AA257,'لیست‌ها'!$P$3:$P$53,0))+IF(AB257&lt;=6,(AB257-1)*31+AC257,IF(AB257&lt;=11,186+(AB257-7)*30+AC257,336+AC257))-1,""))</f>
        <v/>
      </c>
      <c r="AE257" s="7" t="str">
        <f aca="false">IF(P257="","",VALUE(LEFT(P257,FIND("/",P257)-1)))</f>
        <v/>
      </c>
      <c r="AF257" s="7" t="str">
        <f aca="false">IF(P257="","",VALUE(MID(P257,FIND("/",P257)+1,FIND("/",P257,FIND("/",P257)+1)-FIND("/",P257)-1)))</f>
        <v/>
      </c>
      <c r="AG257" s="7" t="str">
        <f aca="false">IF(P257="","",VALUE(MID(P257,FIND("/",P257,FIND("/",P257)+1)+1,LEN(P257)-FIND("/",P257,FIND("/",P257)+1))))</f>
        <v/>
      </c>
      <c r="AH257" s="7" t="str">
        <f aca="false">IF(OR(P257="",AE257=""),"",IFERROR(INDEX('لیست‌ها'!$Q$3:$Q$53,MATCH(AE257,'لیست‌ها'!$P$3:$P$53,0))+IF(AF257&lt;=6,(AF257-1)*31+AG257,IF(AF257&lt;=11,186+(AF257-7)*30+AG257,336+AG257))-1,""))</f>
        <v/>
      </c>
      <c r="AI257" s="7" t="str">
        <f aca="false">IF(W257="","",W257&amp;"-"&amp;TEXT(X257,"00"))</f>
        <v/>
      </c>
      <c r="AJ257" s="7" t="str">
        <f aca="false">IF(W257="","",W257*12+X257)</f>
        <v/>
      </c>
      <c r="AK257" s="7" t="str">
        <f aca="false">IF(U257="تاخیر",V257+ROW()/100000,"")</f>
        <v/>
      </c>
    </row>
    <row r="258" customFormat="false" ht="15" hidden="false" customHeight="false" outlineLevel="0" collapsed="false">
      <c r="A258" s="7" t="str">
        <f aca="false">IF(B258="","",ROW()-3)</f>
        <v/>
      </c>
      <c r="B258" s="8"/>
      <c r="C258" s="8"/>
      <c r="D258" s="8"/>
      <c r="E258" s="9"/>
      <c r="F258" s="9"/>
      <c r="G258" s="8"/>
      <c r="H258" s="8"/>
      <c r="I258" s="8"/>
      <c r="J258" s="9"/>
      <c r="K258" s="8"/>
      <c r="L258" s="8"/>
      <c r="M258" s="8"/>
      <c r="N258" s="8"/>
      <c r="O258" s="8"/>
      <c r="P258" s="8"/>
      <c r="Q258" s="8"/>
      <c r="R258" s="9"/>
      <c r="S258" s="8"/>
      <c r="T258" s="9"/>
      <c r="U258" s="10" t="str">
        <f aca="true">IF(B258="","",IF(OR(P258&lt;&gt;"",I258="می‌باشد"),"بسته",IF(AND(L258&lt;&gt;"",W258=""),"خطای فرمت تاریخ ایجاد",IF(AND(H258&lt;&gt;"",AA258=""),"خطای فرمت مهلت",IF(AND(H258&lt;&gt;"",AD258&lt;&gt;"",TODAY()&gt;AD258),"تاخیر",IF(L258&lt;&gt;"","در حال انجام",""))))))</f>
        <v/>
      </c>
      <c r="V258" s="7" t="n">
        <f aca="true">IF(U258="تاخیر",TODAY()-AD258,IF(AND(U258="بسته",AH258&lt;&gt;"",AD258&lt;&gt;"",AH258&gt;AD258),AH258-AD258,0))</f>
        <v>0</v>
      </c>
      <c r="W258" s="7" t="str">
        <f aca="false">IF(L258="","",VALUE(LEFT(L258,FIND("/",L258)-1)))</f>
        <v/>
      </c>
      <c r="X258" s="7" t="str">
        <f aca="false">IF(L258="","",VALUE(MID(L258,FIND("/",L258)+1,FIND("/",L258,FIND("/",L258)+1)-FIND("/",L258)-1)))</f>
        <v/>
      </c>
      <c r="Y258" s="7" t="str">
        <f aca="false">IF(L258="","",VALUE(MID(L258,FIND("/",L258,FIND("/",L258)+1)+1,LEN(L258)-FIND("/",L258,FIND("/",L258)+1))))</f>
        <v/>
      </c>
      <c r="Z258" s="7" t="str">
        <f aca="false">IF(OR(L258="",W258=""),"",IFERROR(INDEX('لیست‌ها'!$Q$3:$Q$53,MATCH(W258,'لیست‌ها'!$P$3:$P$53,0))+IF(X258&lt;=6,(X258-1)*31+Y258,IF(X258&lt;=11,186+(X258-7)*30+Y258,336+Y258))-1,""))</f>
        <v/>
      </c>
      <c r="AA258" s="7" t="str">
        <f aca="false">IF(H258="","",VALUE(LEFT(H258,FIND("/",H258)-1)))</f>
        <v/>
      </c>
      <c r="AB258" s="7" t="str">
        <f aca="false">IF(H258="","",VALUE(MID(H258,FIND("/",H258)+1,FIND("/",H258,FIND("/",H258)+1)-FIND("/",H258)-1)))</f>
        <v/>
      </c>
      <c r="AC258" s="7" t="str">
        <f aca="false">IF(H258="","",VALUE(MID(H258,FIND("/",H258,FIND("/",H258)+1)+1,LEN(H258)-FIND("/",H258,FIND("/",H258)+1))))</f>
        <v/>
      </c>
      <c r="AD258" s="7" t="str">
        <f aca="false">IF(OR(H258="",AA258=""),"",IFERROR(INDEX('لیست‌ها'!$Q$3:$Q$53,MATCH(AA258,'لیست‌ها'!$P$3:$P$53,0))+IF(AB258&lt;=6,(AB258-1)*31+AC258,IF(AB258&lt;=11,186+(AB258-7)*30+AC258,336+AC258))-1,""))</f>
        <v/>
      </c>
      <c r="AE258" s="7" t="str">
        <f aca="false">IF(P258="","",VALUE(LEFT(P258,FIND("/",P258)-1)))</f>
        <v/>
      </c>
      <c r="AF258" s="7" t="str">
        <f aca="false">IF(P258="","",VALUE(MID(P258,FIND("/",P258)+1,FIND("/",P258,FIND("/",P258)+1)-FIND("/",P258)-1)))</f>
        <v/>
      </c>
      <c r="AG258" s="7" t="str">
        <f aca="false">IF(P258="","",VALUE(MID(P258,FIND("/",P258,FIND("/",P258)+1)+1,LEN(P258)-FIND("/",P258,FIND("/",P258)+1))))</f>
        <v/>
      </c>
      <c r="AH258" s="7" t="str">
        <f aca="false">IF(OR(P258="",AE258=""),"",IFERROR(INDEX('لیست‌ها'!$Q$3:$Q$53,MATCH(AE258,'لیست‌ها'!$P$3:$P$53,0))+IF(AF258&lt;=6,(AF258-1)*31+AG258,IF(AF258&lt;=11,186+(AF258-7)*30+AG258,336+AG258))-1,""))</f>
        <v/>
      </c>
      <c r="AI258" s="7" t="str">
        <f aca="false">IF(W258="","",W258&amp;"-"&amp;TEXT(X258,"00"))</f>
        <v/>
      </c>
      <c r="AJ258" s="7" t="str">
        <f aca="false">IF(W258="","",W258*12+X258)</f>
        <v/>
      </c>
      <c r="AK258" s="7" t="str">
        <f aca="false">IF(U258="تاخیر",V258+ROW()/100000,"")</f>
        <v/>
      </c>
    </row>
    <row r="259" customFormat="false" ht="15" hidden="false" customHeight="false" outlineLevel="0" collapsed="false">
      <c r="A259" s="7" t="str">
        <f aca="false">IF(B259="","",ROW()-3)</f>
        <v/>
      </c>
      <c r="B259" s="8"/>
      <c r="C259" s="8"/>
      <c r="D259" s="8"/>
      <c r="E259" s="9"/>
      <c r="F259" s="9"/>
      <c r="G259" s="8"/>
      <c r="H259" s="8"/>
      <c r="I259" s="8"/>
      <c r="J259" s="9"/>
      <c r="K259" s="8"/>
      <c r="L259" s="8"/>
      <c r="M259" s="8"/>
      <c r="N259" s="8"/>
      <c r="O259" s="8"/>
      <c r="P259" s="8"/>
      <c r="Q259" s="8"/>
      <c r="R259" s="9"/>
      <c r="S259" s="8"/>
      <c r="T259" s="9"/>
      <c r="U259" s="10" t="str">
        <f aca="true">IF(B259="","",IF(OR(P259&lt;&gt;"",I259="می‌باشد"),"بسته",IF(AND(L259&lt;&gt;"",W259=""),"خطای فرمت تاریخ ایجاد",IF(AND(H259&lt;&gt;"",AA259=""),"خطای فرمت مهلت",IF(AND(H259&lt;&gt;"",AD259&lt;&gt;"",TODAY()&gt;AD259),"تاخیر",IF(L259&lt;&gt;"","در حال انجام",""))))))</f>
        <v/>
      </c>
      <c r="V259" s="7" t="n">
        <f aca="true">IF(U259="تاخیر",TODAY()-AD259,IF(AND(U259="بسته",AH259&lt;&gt;"",AD259&lt;&gt;"",AH259&gt;AD259),AH259-AD259,0))</f>
        <v>0</v>
      </c>
      <c r="W259" s="7" t="str">
        <f aca="false">IF(L259="","",VALUE(LEFT(L259,FIND("/",L259)-1)))</f>
        <v/>
      </c>
      <c r="X259" s="7" t="str">
        <f aca="false">IF(L259="","",VALUE(MID(L259,FIND("/",L259)+1,FIND("/",L259,FIND("/",L259)+1)-FIND("/",L259)-1)))</f>
        <v/>
      </c>
      <c r="Y259" s="7" t="str">
        <f aca="false">IF(L259="","",VALUE(MID(L259,FIND("/",L259,FIND("/",L259)+1)+1,LEN(L259)-FIND("/",L259,FIND("/",L259)+1))))</f>
        <v/>
      </c>
      <c r="Z259" s="7" t="str">
        <f aca="false">IF(OR(L259="",W259=""),"",IFERROR(INDEX('لیست‌ها'!$Q$3:$Q$53,MATCH(W259,'لیست‌ها'!$P$3:$P$53,0))+IF(X259&lt;=6,(X259-1)*31+Y259,IF(X259&lt;=11,186+(X259-7)*30+Y259,336+Y259))-1,""))</f>
        <v/>
      </c>
      <c r="AA259" s="7" t="str">
        <f aca="false">IF(H259="","",VALUE(LEFT(H259,FIND("/",H259)-1)))</f>
        <v/>
      </c>
      <c r="AB259" s="7" t="str">
        <f aca="false">IF(H259="","",VALUE(MID(H259,FIND("/",H259)+1,FIND("/",H259,FIND("/",H259)+1)-FIND("/",H259)-1)))</f>
        <v/>
      </c>
      <c r="AC259" s="7" t="str">
        <f aca="false">IF(H259="","",VALUE(MID(H259,FIND("/",H259,FIND("/",H259)+1)+1,LEN(H259)-FIND("/",H259,FIND("/",H259)+1))))</f>
        <v/>
      </c>
      <c r="AD259" s="7" t="str">
        <f aca="false">IF(OR(H259="",AA259=""),"",IFERROR(INDEX('لیست‌ها'!$Q$3:$Q$53,MATCH(AA259,'لیست‌ها'!$P$3:$P$53,0))+IF(AB259&lt;=6,(AB259-1)*31+AC259,IF(AB259&lt;=11,186+(AB259-7)*30+AC259,336+AC259))-1,""))</f>
        <v/>
      </c>
      <c r="AE259" s="7" t="str">
        <f aca="false">IF(P259="","",VALUE(LEFT(P259,FIND("/",P259)-1)))</f>
        <v/>
      </c>
      <c r="AF259" s="7" t="str">
        <f aca="false">IF(P259="","",VALUE(MID(P259,FIND("/",P259)+1,FIND("/",P259,FIND("/",P259)+1)-FIND("/",P259)-1)))</f>
        <v/>
      </c>
      <c r="AG259" s="7" t="str">
        <f aca="false">IF(P259="","",VALUE(MID(P259,FIND("/",P259,FIND("/",P259)+1)+1,LEN(P259)-FIND("/",P259,FIND("/",P259)+1))))</f>
        <v/>
      </c>
      <c r="AH259" s="7" t="str">
        <f aca="false">IF(OR(P259="",AE259=""),"",IFERROR(INDEX('لیست‌ها'!$Q$3:$Q$53,MATCH(AE259,'لیست‌ها'!$P$3:$P$53,0))+IF(AF259&lt;=6,(AF259-1)*31+AG259,IF(AF259&lt;=11,186+(AF259-7)*30+AG259,336+AG259))-1,""))</f>
        <v/>
      </c>
      <c r="AI259" s="7" t="str">
        <f aca="false">IF(W259="","",W259&amp;"-"&amp;TEXT(X259,"00"))</f>
        <v/>
      </c>
      <c r="AJ259" s="7" t="str">
        <f aca="false">IF(W259="","",W259*12+X259)</f>
        <v/>
      </c>
      <c r="AK259" s="7" t="str">
        <f aca="false">IF(U259="تاخیر",V259+ROW()/100000,"")</f>
        <v/>
      </c>
    </row>
    <row r="260" customFormat="false" ht="15" hidden="false" customHeight="false" outlineLevel="0" collapsed="false">
      <c r="A260" s="7" t="str">
        <f aca="false">IF(B260="","",ROW()-3)</f>
        <v/>
      </c>
      <c r="B260" s="8"/>
      <c r="C260" s="8"/>
      <c r="D260" s="8"/>
      <c r="E260" s="9"/>
      <c r="F260" s="9"/>
      <c r="G260" s="8"/>
      <c r="H260" s="8"/>
      <c r="I260" s="8"/>
      <c r="J260" s="9"/>
      <c r="K260" s="8"/>
      <c r="L260" s="8"/>
      <c r="M260" s="8"/>
      <c r="N260" s="8"/>
      <c r="O260" s="8"/>
      <c r="P260" s="8"/>
      <c r="Q260" s="8"/>
      <c r="R260" s="9"/>
      <c r="S260" s="8"/>
      <c r="T260" s="9"/>
      <c r="U260" s="10" t="str">
        <f aca="true">IF(B260="","",IF(OR(P260&lt;&gt;"",I260="می‌باشد"),"بسته",IF(AND(L260&lt;&gt;"",W260=""),"خطای فرمت تاریخ ایجاد",IF(AND(H260&lt;&gt;"",AA260=""),"خطای فرمت مهلت",IF(AND(H260&lt;&gt;"",AD260&lt;&gt;"",TODAY()&gt;AD260),"تاخیر",IF(L260&lt;&gt;"","در حال انجام",""))))))</f>
        <v/>
      </c>
      <c r="V260" s="7" t="n">
        <f aca="true">IF(U260="تاخیر",TODAY()-AD260,IF(AND(U260="بسته",AH260&lt;&gt;"",AD260&lt;&gt;"",AH260&gt;AD260),AH260-AD260,0))</f>
        <v>0</v>
      </c>
      <c r="W260" s="7" t="str">
        <f aca="false">IF(L260="","",VALUE(LEFT(L260,FIND("/",L260)-1)))</f>
        <v/>
      </c>
      <c r="X260" s="7" t="str">
        <f aca="false">IF(L260="","",VALUE(MID(L260,FIND("/",L260)+1,FIND("/",L260,FIND("/",L260)+1)-FIND("/",L260)-1)))</f>
        <v/>
      </c>
      <c r="Y260" s="7" t="str">
        <f aca="false">IF(L260="","",VALUE(MID(L260,FIND("/",L260,FIND("/",L260)+1)+1,LEN(L260)-FIND("/",L260,FIND("/",L260)+1))))</f>
        <v/>
      </c>
      <c r="Z260" s="7" t="str">
        <f aca="false">IF(OR(L260="",W260=""),"",IFERROR(INDEX('لیست‌ها'!$Q$3:$Q$53,MATCH(W260,'لیست‌ها'!$P$3:$P$53,0))+IF(X260&lt;=6,(X260-1)*31+Y260,IF(X260&lt;=11,186+(X260-7)*30+Y260,336+Y260))-1,""))</f>
        <v/>
      </c>
      <c r="AA260" s="7" t="str">
        <f aca="false">IF(H260="","",VALUE(LEFT(H260,FIND("/",H260)-1)))</f>
        <v/>
      </c>
      <c r="AB260" s="7" t="str">
        <f aca="false">IF(H260="","",VALUE(MID(H260,FIND("/",H260)+1,FIND("/",H260,FIND("/",H260)+1)-FIND("/",H260)-1)))</f>
        <v/>
      </c>
      <c r="AC260" s="7" t="str">
        <f aca="false">IF(H260="","",VALUE(MID(H260,FIND("/",H260,FIND("/",H260)+1)+1,LEN(H260)-FIND("/",H260,FIND("/",H260)+1))))</f>
        <v/>
      </c>
      <c r="AD260" s="7" t="str">
        <f aca="false">IF(OR(H260="",AA260=""),"",IFERROR(INDEX('لیست‌ها'!$Q$3:$Q$53,MATCH(AA260,'لیست‌ها'!$P$3:$P$53,0))+IF(AB260&lt;=6,(AB260-1)*31+AC260,IF(AB260&lt;=11,186+(AB260-7)*30+AC260,336+AC260))-1,""))</f>
        <v/>
      </c>
      <c r="AE260" s="7" t="str">
        <f aca="false">IF(P260="","",VALUE(LEFT(P260,FIND("/",P260)-1)))</f>
        <v/>
      </c>
      <c r="AF260" s="7" t="str">
        <f aca="false">IF(P260="","",VALUE(MID(P260,FIND("/",P260)+1,FIND("/",P260,FIND("/",P260)+1)-FIND("/",P260)-1)))</f>
        <v/>
      </c>
      <c r="AG260" s="7" t="str">
        <f aca="false">IF(P260="","",VALUE(MID(P260,FIND("/",P260,FIND("/",P260)+1)+1,LEN(P260)-FIND("/",P260,FIND("/",P260)+1))))</f>
        <v/>
      </c>
      <c r="AH260" s="7" t="str">
        <f aca="false">IF(OR(P260="",AE260=""),"",IFERROR(INDEX('لیست‌ها'!$Q$3:$Q$53,MATCH(AE260,'لیست‌ها'!$P$3:$P$53,0))+IF(AF260&lt;=6,(AF260-1)*31+AG260,IF(AF260&lt;=11,186+(AF260-7)*30+AG260,336+AG260))-1,""))</f>
        <v/>
      </c>
      <c r="AI260" s="7" t="str">
        <f aca="false">IF(W260="","",W260&amp;"-"&amp;TEXT(X260,"00"))</f>
        <v/>
      </c>
      <c r="AJ260" s="7" t="str">
        <f aca="false">IF(W260="","",W260*12+X260)</f>
        <v/>
      </c>
      <c r="AK260" s="7" t="str">
        <f aca="false">IF(U260="تاخیر",V260+ROW()/100000,"")</f>
        <v/>
      </c>
    </row>
    <row r="261" customFormat="false" ht="15" hidden="false" customHeight="false" outlineLevel="0" collapsed="false">
      <c r="A261" s="7" t="str">
        <f aca="false">IF(B261="","",ROW()-3)</f>
        <v/>
      </c>
      <c r="B261" s="8"/>
      <c r="C261" s="8"/>
      <c r="D261" s="8"/>
      <c r="E261" s="9"/>
      <c r="F261" s="9"/>
      <c r="G261" s="8"/>
      <c r="H261" s="8"/>
      <c r="I261" s="8"/>
      <c r="J261" s="9"/>
      <c r="K261" s="8"/>
      <c r="L261" s="8"/>
      <c r="M261" s="8"/>
      <c r="N261" s="8"/>
      <c r="O261" s="8"/>
      <c r="P261" s="8"/>
      <c r="Q261" s="8"/>
      <c r="R261" s="9"/>
      <c r="S261" s="8"/>
      <c r="T261" s="9"/>
      <c r="U261" s="10" t="str">
        <f aca="true">IF(B261="","",IF(OR(P261&lt;&gt;"",I261="می‌باشد"),"بسته",IF(AND(L261&lt;&gt;"",W261=""),"خطای فرمت تاریخ ایجاد",IF(AND(H261&lt;&gt;"",AA261=""),"خطای فرمت مهلت",IF(AND(H261&lt;&gt;"",AD261&lt;&gt;"",TODAY()&gt;AD261),"تاخیر",IF(L261&lt;&gt;"","در حال انجام",""))))))</f>
        <v/>
      </c>
      <c r="V261" s="7" t="n">
        <f aca="true">IF(U261="تاخیر",TODAY()-AD261,IF(AND(U261="بسته",AH261&lt;&gt;"",AD261&lt;&gt;"",AH261&gt;AD261),AH261-AD261,0))</f>
        <v>0</v>
      </c>
      <c r="W261" s="7" t="str">
        <f aca="false">IF(L261="","",VALUE(LEFT(L261,FIND("/",L261)-1)))</f>
        <v/>
      </c>
      <c r="X261" s="7" t="str">
        <f aca="false">IF(L261="","",VALUE(MID(L261,FIND("/",L261)+1,FIND("/",L261,FIND("/",L261)+1)-FIND("/",L261)-1)))</f>
        <v/>
      </c>
      <c r="Y261" s="7" t="str">
        <f aca="false">IF(L261="","",VALUE(MID(L261,FIND("/",L261,FIND("/",L261)+1)+1,LEN(L261)-FIND("/",L261,FIND("/",L261)+1))))</f>
        <v/>
      </c>
      <c r="Z261" s="7" t="str">
        <f aca="false">IF(OR(L261="",W261=""),"",IFERROR(INDEX('لیست‌ها'!$Q$3:$Q$53,MATCH(W261,'لیست‌ها'!$P$3:$P$53,0))+IF(X261&lt;=6,(X261-1)*31+Y261,IF(X261&lt;=11,186+(X261-7)*30+Y261,336+Y261))-1,""))</f>
        <v/>
      </c>
      <c r="AA261" s="7" t="str">
        <f aca="false">IF(H261="","",VALUE(LEFT(H261,FIND("/",H261)-1)))</f>
        <v/>
      </c>
      <c r="AB261" s="7" t="str">
        <f aca="false">IF(H261="","",VALUE(MID(H261,FIND("/",H261)+1,FIND("/",H261,FIND("/",H261)+1)-FIND("/",H261)-1)))</f>
        <v/>
      </c>
      <c r="AC261" s="7" t="str">
        <f aca="false">IF(H261="","",VALUE(MID(H261,FIND("/",H261,FIND("/",H261)+1)+1,LEN(H261)-FIND("/",H261,FIND("/",H261)+1))))</f>
        <v/>
      </c>
      <c r="AD261" s="7" t="str">
        <f aca="false">IF(OR(H261="",AA261=""),"",IFERROR(INDEX('لیست‌ها'!$Q$3:$Q$53,MATCH(AA261,'لیست‌ها'!$P$3:$P$53,0))+IF(AB261&lt;=6,(AB261-1)*31+AC261,IF(AB261&lt;=11,186+(AB261-7)*30+AC261,336+AC261))-1,""))</f>
        <v/>
      </c>
      <c r="AE261" s="7" t="str">
        <f aca="false">IF(P261="","",VALUE(LEFT(P261,FIND("/",P261)-1)))</f>
        <v/>
      </c>
      <c r="AF261" s="7" t="str">
        <f aca="false">IF(P261="","",VALUE(MID(P261,FIND("/",P261)+1,FIND("/",P261,FIND("/",P261)+1)-FIND("/",P261)-1)))</f>
        <v/>
      </c>
      <c r="AG261" s="7" t="str">
        <f aca="false">IF(P261="","",VALUE(MID(P261,FIND("/",P261,FIND("/",P261)+1)+1,LEN(P261)-FIND("/",P261,FIND("/",P261)+1))))</f>
        <v/>
      </c>
      <c r="AH261" s="7" t="str">
        <f aca="false">IF(OR(P261="",AE261=""),"",IFERROR(INDEX('لیست‌ها'!$Q$3:$Q$53,MATCH(AE261,'لیست‌ها'!$P$3:$P$53,0))+IF(AF261&lt;=6,(AF261-1)*31+AG261,IF(AF261&lt;=11,186+(AF261-7)*30+AG261,336+AG261))-1,""))</f>
        <v/>
      </c>
      <c r="AI261" s="7" t="str">
        <f aca="false">IF(W261="","",W261&amp;"-"&amp;TEXT(X261,"00"))</f>
        <v/>
      </c>
      <c r="AJ261" s="7" t="str">
        <f aca="false">IF(W261="","",W261*12+X261)</f>
        <v/>
      </c>
      <c r="AK261" s="7" t="str">
        <f aca="false">IF(U261="تاخیر",V261+ROW()/100000,"")</f>
        <v/>
      </c>
    </row>
    <row r="262" customFormat="false" ht="15" hidden="false" customHeight="false" outlineLevel="0" collapsed="false">
      <c r="A262" s="7" t="str">
        <f aca="false">IF(B262="","",ROW()-3)</f>
        <v/>
      </c>
      <c r="B262" s="8"/>
      <c r="C262" s="8"/>
      <c r="D262" s="8"/>
      <c r="E262" s="9"/>
      <c r="F262" s="9"/>
      <c r="G262" s="8"/>
      <c r="H262" s="8"/>
      <c r="I262" s="8"/>
      <c r="J262" s="9"/>
      <c r="K262" s="8"/>
      <c r="L262" s="8"/>
      <c r="M262" s="8"/>
      <c r="N262" s="8"/>
      <c r="O262" s="8"/>
      <c r="P262" s="8"/>
      <c r="Q262" s="8"/>
      <c r="R262" s="9"/>
      <c r="S262" s="8"/>
      <c r="T262" s="9"/>
      <c r="U262" s="10" t="str">
        <f aca="true">IF(B262="","",IF(OR(P262&lt;&gt;"",I262="می‌باشد"),"بسته",IF(AND(L262&lt;&gt;"",W262=""),"خطای فرمت تاریخ ایجاد",IF(AND(H262&lt;&gt;"",AA262=""),"خطای فرمت مهلت",IF(AND(H262&lt;&gt;"",AD262&lt;&gt;"",TODAY()&gt;AD262),"تاخیر",IF(L262&lt;&gt;"","در حال انجام",""))))))</f>
        <v/>
      </c>
      <c r="V262" s="7" t="n">
        <f aca="true">IF(U262="تاخیر",TODAY()-AD262,IF(AND(U262="بسته",AH262&lt;&gt;"",AD262&lt;&gt;"",AH262&gt;AD262),AH262-AD262,0))</f>
        <v>0</v>
      </c>
      <c r="W262" s="7" t="str">
        <f aca="false">IF(L262="","",VALUE(LEFT(L262,FIND("/",L262)-1)))</f>
        <v/>
      </c>
      <c r="X262" s="7" t="str">
        <f aca="false">IF(L262="","",VALUE(MID(L262,FIND("/",L262)+1,FIND("/",L262,FIND("/",L262)+1)-FIND("/",L262)-1)))</f>
        <v/>
      </c>
      <c r="Y262" s="7" t="str">
        <f aca="false">IF(L262="","",VALUE(MID(L262,FIND("/",L262,FIND("/",L262)+1)+1,LEN(L262)-FIND("/",L262,FIND("/",L262)+1))))</f>
        <v/>
      </c>
      <c r="Z262" s="7" t="str">
        <f aca="false">IF(OR(L262="",W262=""),"",IFERROR(INDEX('لیست‌ها'!$Q$3:$Q$53,MATCH(W262,'لیست‌ها'!$P$3:$P$53,0))+IF(X262&lt;=6,(X262-1)*31+Y262,IF(X262&lt;=11,186+(X262-7)*30+Y262,336+Y262))-1,""))</f>
        <v/>
      </c>
      <c r="AA262" s="7" t="str">
        <f aca="false">IF(H262="","",VALUE(LEFT(H262,FIND("/",H262)-1)))</f>
        <v/>
      </c>
      <c r="AB262" s="7" t="str">
        <f aca="false">IF(H262="","",VALUE(MID(H262,FIND("/",H262)+1,FIND("/",H262,FIND("/",H262)+1)-FIND("/",H262)-1)))</f>
        <v/>
      </c>
      <c r="AC262" s="7" t="str">
        <f aca="false">IF(H262="","",VALUE(MID(H262,FIND("/",H262,FIND("/",H262)+1)+1,LEN(H262)-FIND("/",H262,FIND("/",H262)+1))))</f>
        <v/>
      </c>
      <c r="AD262" s="7" t="str">
        <f aca="false">IF(OR(H262="",AA262=""),"",IFERROR(INDEX('لیست‌ها'!$Q$3:$Q$53,MATCH(AA262,'لیست‌ها'!$P$3:$P$53,0))+IF(AB262&lt;=6,(AB262-1)*31+AC262,IF(AB262&lt;=11,186+(AB262-7)*30+AC262,336+AC262))-1,""))</f>
        <v/>
      </c>
      <c r="AE262" s="7" t="str">
        <f aca="false">IF(P262="","",VALUE(LEFT(P262,FIND("/",P262)-1)))</f>
        <v/>
      </c>
      <c r="AF262" s="7" t="str">
        <f aca="false">IF(P262="","",VALUE(MID(P262,FIND("/",P262)+1,FIND("/",P262,FIND("/",P262)+1)-FIND("/",P262)-1)))</f>
        <v/>
      </c>
      <c r="AG262" s="7" t="str">
        <f aca="false">IF(P262="","",VALUE(MID(P262,FIND("/",P262,FIND("/",P262)+1)+1,LEN(P262)-FIND("/",P262,FIND("/",P262)+1))))</f>
        <v/>
      </c>
      <c r="AH262" s="7" t="str">
        <f aca="false">IF(OR(P262="",AE262=""),"",IFERROR(INDEX('لیست‌ها'!$Q$3:$Q$53,MATCH(AE262,'لیست‌ها'!$P$3:$P$53,0))+IF(AF262&lt;=6,(AF262-1)*31+AG262,IF(AF262&lt;=11,186+(AF262-7)*30+AG262,336+AG262))-1,""))</f>
        <v/>
      </c>
      <c r="AI262" s="7" t="str">
        <f aca="false">IF(W262="","",W262&amp;"-"&amp;TEXT(X262,"00"))</f>
        <v/>
      </c>
      <c r="AJ262" s="7" t="str">
        <f aca="false">IF(W262="","",W262*12+X262)</f>
        <v/>
      </c>
      <c r="AK262" s="7" t="str">
        <f aca="false">IF(U262="تاخیر",V262+ROW()/100000,"")</f>
        <v/>
      </c>
    </row>
    <row r="263" customFormat="false" ht="15" hidden="false" customHeight="false" outlineLevel="0" collapsed="false">
      <c r="A263" s="7" t="str">
        <f aca="false">IF(B263="","",ROW()-3)</f>
        <v/>
      </c>
      <c r="B263" s="8"/>
      <c r="C263" s="8"/>
      <c r="D263" s="8"/>
      <c r="E263" s="9"/>
      <c r="F263" s="9"/>
      <c r="G263" s="8"/>
      <c r="H263" s="8"/>
      <c r="I263" s="8"/>
      <c r="J263" s="9"/>
      <c r="K263" s="8"/>
      <c r="L263" s="8"/>
      <c r="M263" s="8"/>
      <c r="N263" s="8"/>
      <c r="O263" s="8"/>
      <c r="P263" s="8"/>
      <c r="Q263" s="8"/>
      <c r="R263" s="9"/>
      <c r="S263" s="8"/>
      <c r="T263" s="9"/>
      <c r="U263" s="10" t="str">
        <f aca="true">IF(B263="","",IF(OR(P263&lt;&gt;"",I263="می‌باشد"),"بسته",IF(AND(L263&lt;&gt;"",W263=""),"خطای فرمت تاریخ ایجاد",IF(AND(H263&lt;&gt;"",AA263=""),"خطای فرمت مهلت",IF(AND(H263&lt;&gt;"",AD263&lt;&gt;"",TODAY()&gt;AD263),"تاخیر",IF(L263&lt;&gt;"","در حال انجام",""))))))</f>
        <v/>
      </c>
      <c r="V263" s="7" t="n">
        <f aca="true">IF(U263="تاخیر",TODAY()-AD263,IF(AND(U263="بسته",AH263&lt;&gt;"",AD263&lt;&gt;"",AH263&gt;AD263),AH263-AD263,0))</f>
        <v>0</v>
      </c>
      <c r="W263" s="7" t="str">
        <f aca="false">IF(L263="","",VALUE(LEFT(L263,FIND("/",L263)-1)))</f>
        <v/>
      </c>
      <c r="X263" s="7" t="str">
        <f aca="false">IF(L263="","",VALUE(MID(L263,FIND("/",L263)+1,FIND("/",L263,FIND("/",L263)+1)-FIND("/",L263)-1)))</f>
        <v/>
      </c>
      <c r="Y263" s="7" t="str">
        <f aca="false">IF(L263="","",VALUE(MID(L263,FIND("/",L263,FIND("/",L263)+1)+1,LEN(L263)-FIND("/",L263,FIND("/",L263)+1))))</f>
        <v/>
      </c>
      <c r="Z263" s="7" t="str">
        <f aca="false">IF(OR(L263="",W263=""),"",IFERROR(INDEX('لیست‌ها'!$Q$3:$Q$53,MATCH(W263,'لیست‌ها'!$P$3:$P$53,0))+IF(X263&lt;=6,(X263-1)*31+Y263,IF(X263&lt;=11,186+(X263-7)*30+Y263,336+Y263))-1,""))</f>
        <v/>
      </c>
      <c r="AA263" s="7" t="str">
        <f aca="false">IF(H263="","",VALUE(LEFT(H263,FIND("/",H263)-1)))</f>
        <v/>
      </c>
      <c r="AB263" s="7" t="str">
        <f aca="false">IF(H263="","",VALUE(MID(H263,FIND("/",H263)+1,FIND("/",H263,FIND("/",H263)+1)-FIND("/",H263)-1)))</f>
        <v/>
      </c>
      <c r="AC263" s="7" t="str">
        <f aca="false">IF(H263="","",VALUE(MID(H263,FIND("/",H263,FIND("/",H263)+1)+1,LEN(H263)-FIND("/",H263,FIND("/",H263)+1))))</f>
        <v/>
      </c>
      <c r="AD263" s="7" t="str">
        <f aca="false">IF(OR(H263="",AA263=""),"",IFERROR(INDEX('لیست‌ها'!$Q$3:$Q$53,MATCH(AA263,'لیست‌ها'!$P$3:$P$53,0))+IF(AB263&lt;=6,(AB263-1)*31+AC263,IF(AB263&lt;=11,186+(AB263-7)*30+AC263,336+AC263))-1,""))</f>
        <v/>
      </c>
      <c r="AE263" s="7" t="str">
        <f aca="false">IF(P263="","",VALUE(LEFT(P263,FIND("/",P263)-1)))</f>
        <v/>
      </c>
      <c r="AF263" s="7" t="str">
        <f aca="false">IF(P263="","",VALUE(MID(P263,FIND("/",P263)+1,FIND("/",P263,FIND("/",P263)+1)-FIND("/",P263)-1)))</f>
        <v/>
      </c>
      <c r="AG263" s="7" t="str">
        <f aca="false">IF(P263="","",VALUE(MID(P263,FIND("/",P263,FIND("/",P263)+1)+1,LEN(P263)-FIND("/",P263,FIND("/",P263)+1))))</f>
        <v/>
      </c>
      <c r="AH263" s="7" t="str">
        <f aca="false">IF(OR(P263="",AE263=""),"",IFERROR(INDEX('لیست‌ها'!$Q$3:$Q$53,MATCH(AE263,'لیست‌ها'!$P$3:$P$53,0))+IF(AF263&lt;=6,(AF263-1)*31+AG263,IF(AF263&lt;=11,186+(AF263-7)*30+AG263,336+AG263))-1,""))</f>
        <v/>
      </c>
      <c r="AI263" s="7" t="str">
        <f aca="false">IF(W263="","",W263&amp;"-"&amp;TEXT(X263,"00"))</f>
        <v/>
      </c>
      <c r="AJ263" s="7" t="str">
        <f aca="false">IF(W263="","",W263*12+X263)</f>
        <v/>
      </c>
      <c r="AK263" s="7" t="str">
        <f aca="false">IF(U263="تاخیر",V263+ROW()/100000,"")</f>
        <v/>
      </c>
    </row>
    <row r="264" customFormat="false" ht="15" hidden="false" customHeight="false" outlineLevel="0" collapsed="false">
      <c r="A264" s="7" t="str">
        <f aca="false">IF(B264="","",ROW()-3)</f>
        <v/>
      </c>
      <c r="B264" s="8"/>
      <c r="C264" s="8"/>
      <c r="D264" s="8"/>
      <c r="E264" s="9"/>
      <c r="F264" s="9"/>
      <c r="G264" s="8"/>
      <c r="H264" s="8"/>
      <c r="I264" s="8"/>
      <c r="J264" s="9"/>
      <c r="K264" s="8"/>
      <c r="L264" s="8"/>
      <c r="M264" s="8"/>
      <c r="N264" s="8"/>
      <c r="O264" s="8"/>
      <c r="P264" s="8"/>
      <c r="Q264" s="8"/>
      <c r="R264" s="9"/>
      <c r="S264" s="8"/>
      <c r="T264" s="9"/>
      <c r="U264" s="10" t="str">
        <f aca="true">IF(B264="","",IF(OR(P264&lt;&gt;"",I264="می‌باشد"),"بسته",IF(AND(L264&lt;&gt;"",W264=""),"خطای فرمت تاریخ ایجاد",IF(AND(H264&lt;&gt;"",AA264=""),"خطای فرمت مهلت",IF(AND(H264&lt;&gt;"",AD264&lt;&gt;"",TODAY()&gt;AD264),"تاخیر",IF(L264&lt;&gt;"","در حال انجام",""))))))</f>
        <v/>
      </c>
      <c r="V264" s="7" t="n">
        <f aca="true">IF(U264="تاخیر",TODAY()-AD264,IF(AND(U264="بسته",AH264&lt;&gt;"",AD264&lt;&gt;"",AH264&gt;AD264),AH264-AD264,0))</f>
        <v>0</v>
      </c>
      <c r="W264" s="7" t="str">
        <f aca="false">IF(L264="","",VALUE(LEFT(L264,FIND("/",L264)-1)))</f>
        <v/>
      </c>
      <c r="X264" s="7" t="str">
        <f aca="false">IF(L264="","",VALUE(MID(L264,FIND("/",L264)+1,FIND("/",L264,FIND("/",L264)+1)-FIND("/",L264)-1)))</f>
        <v/>
      </c>
      <c r="Y264" s="7" t="str">
        <f aca="false">IF(L264="","",VALUE(MID(L264,FIND("/",L264,FIND("/",L264)+1)+1,LEN(L264)-FIND("/",L264,FIND("/",L264)+1))))</f>
        <v/>
      </c>
      <c r="Z264" s="7" t="str">
        <f aca="false">IF(OR(L264="",W264=""),"",IFERROR(INDEX('لیست‌ها'!$Q$3:$Q$53,MATCH(W264,'لیست‌ها'!$P$3:$P$53,0))+IF(X264&lt;=6,(X264-1)*31+Y264,IF(X264&lt;=11,186+(X264-7)*30+Y264,336+Y264))-1,""))</f>
        <v/>
      </c>
      <c r="AA264" s="7" t="str">
        <f aca="false">IF(H264="","",VALUE(LEFT(H264,FIND("/",H264)-1)))</f>
        <v/>
      </c>
      <c r="AB264" s="7" t="str">
        <f aca="false">IF(H264="","",VALUE(MID(H264,FIND("/",H264)+1,FIND("/",H264,FIND("/",H264)+1)-FIND("/",H264)-1)))</f>
        <v/>
      </c>
      <c r="AC264" s="7" t="str">
        <f aca="false">IF(H264="","",VALUE(MID(H264,FIND("/",H264,FIND("/",H264)+1)+1,LEN(H264)-FIND("/",H264,FIND("/",H264)+1))))</f>
        <v/>
      </c>
      <c r="AD264" s="7" t="str">
        <f aca="false">IF(OR(H264="",AA264=""),"",IFERROR(INDEX('لیست‌ها'!$Q$3:$Q$53,MATCH(AA264,'لیست‌ها'!$P$3:$P$53,0))+IF(AB264&lt;=6,(AB264-1)*31+AC264,IF(AB264&lt;=11,186+(AB264-7)*30+AC264,336+AC264))-1,""))</f>
        <v/>
      </c>
      <c r="AE264" s="7" t="str">
        <f aca="false">IF(P264="","",VALUE(LEFT(P264,FIND("/",P264)-1)))</f>
        <v/>
      </c>
      <c r="AF264" s="7" t="str">
        <f aca="false">IF(P264="","",VALUE(MID(P264,FIND("/",P264)+1,FIND("/",P264,FIND("/",P264)+1)-FIND("/",P264)-1)))</f>
        <v/>
      </c>
      <c r="AG264" s="7" t="str">
        <f aca="false">IF(P264="","",VALUE(MID(P264,FIND("/",P264,FIND("/",P264)+1)+1,LEN(P264)-FIND("/",P264,FIND("/",P264)+1))))</f>
        <v/>
      </c>
      <c r="AH264" s="7" t="str">
        <f aca="false">IF(OR(P264="",AE264=""),"",IFERROR(INDEX('لیست‌ها'!$Q$3:$Q$53,MATCH(AE264,'لیست‌ها'!$P$3:$P$53,0))+IF(AF264&lt;=6,(AF264-1)*31+AG264,IF(AF264&lt;=11,186+(AF264-7)*30+AG264,336+AG264))-1,""))</f>
        <v/>
      </c>
      <c r="AI264" s="7" t="str">
        <f aca="false">IF(W264="","",W264&amp;"-"&amp;TEXT(X264,"00"))</f>
        <v/>
      </c>
      <c r="AJ264" s="7" t="str">
        <f aca="false">IF(W264="","",W264*12+X264)</f>
        <v/>
      </c>
      <c r="AK264" s="7" t="str">
        <f aca="false">IF(U264="تاخیر",V264+ROW()/100000,"")</f>
        <v/>
      </c>
    </row>
    <row r="265" customFormat="false" ht="15" hidden="false" customHeight="false" outlineLevel="0" collapsed="false">
      <c r="A265" s="7" t="str">
        <f aca="false">IF(B265="","",ROW()-3)</f>
        <v/>
      </c>
      <c r="B265" s="8"/>
      <c r="C265" s="8"/>
      <c r="D265" s="8"/>
      <c r="E265" s="9"/>
      <c r="F265" s="9"/>
      <c r="G265" s="8"/>
      <c r="H265" s="8"/>
      <c r="I265" s="8"/>
      <c r="J265" s="9"/>
      <c r="K265" s="8"/>
      <c r="L265" s="8"/>
      <c r="M265" s="8"/>
      <c r="N265" s="8"/>
      <c r="O265" s="8"/>
      <c r="P265" s="8"/>
      <c r="Q265" s="8"/>
      <c r="R265" s="9"/>
      <c r="S265" s="8"/>
      <c r="T265" s="9"/>
      <c r="U265" s="10" t="str">
        <f aca="true">IF(B265="","",IF(OR(P265&lt;&gt;"",I265="می‌باشد"),"بسته",IF(AND(L265&lt;&gt;"",W265=""),"خطای فرمت تاریخ ایجاد",IF(AND(H265&lt;&gt;"",AA265=""),"خطای فرمت مهلت",IF(AND(H265&lt;&gt;"",AD265&lt;&gt;"",TODAY()&gt;AD265),"تاخیر",IF(L265&lt;&gt;"","در حال انجام",""))))))</f>
        <v/>
      </c>
      <c r="V265" s="7" t="n">
        <f aca="true">IF(U265="تاخیر",TODAY()-AD265,IF(AND(U265="بسته",AH265&lt;&gt;"",AD265&lt;&gt;"",AH265&gt;AD265),AH265-AD265,0))</f>
        <v>0</v>
      </c>
      <c r="W265" s="7" t="str">
        <f aca="false">IF(L265="","",VALUE(LEFT(L265,FIND("/",L265)-1)))</f>
        <v/>
      </c>
      <c r="X265" s="7" t="str">
        <f aca="false">IF(L265="","",VALUE(MID(L265,FIND("/",L265)+1,FIND("/",L265,FIND("/",L265)+1)-FIND("/",L265)-1)))</f>
        <v/>
      </c>
      <c r="Y265" s="7" t="str">
        <f aca="false">IF(L265="","",VALUE(MID(L265,FIND("/",L265,FIND("/",L265)+1)+1,LEN(L265)-FIND("/",L265,FIND("/",L265)+1))))</f>
        <v/>
      </c>
      <c r="Z265" s="7" t="str">
        <f aca="false">IF(OR(L265="",W265=""),"",IFERROR(INDEX('لیست‌ها'!$Q$3:$Q$53,MATCH(W265,'لیست‌ها'!$P$3:$P$53,0))+IF(X265&lt;=6,(X265-1)*31+Y265,IF(X265&lt;=11,186+(X265-7)*30+Y265,336+Y265))-1,""))</f>
        <v/>
      </c>
      <c r="AA265" s="7" t="str">
        <f aca="false">IF(H265="","",VALUE(LEFT(H265,FIND("/",H265)-1)))</f>
        <v/>
      </c>
      <c r="AB265" s="7" t="str">
        <f aca="false">IF(H265="","",VALUE(MID(H265,FIND("/",H265)+1,FIND("/",H265,FIND("/",H265)+1)-FIND("/",H265)-1)))</f>
        <v/>
      </c>
      <c r="AC265" s="7" t="str">
        <f aca="false">IF(H265="","",VALUE(MID(H265,FIND("/",H265,FIND("/",H265)+1)+1,LEN(H265)-FIND("/",H265,FIND("/",H265)+1))))</f>
        <v/>
      </c>
      <c r="AD265" s="7" t="str">
        <f aca="false">IF(OR(H265="",AA265=""),"",IFERROR(INDEX('لیست‌ها'!$Q$3:$Q$53,MATCH(AA265,'لیست‌ها'!$P$3:$P$53,0))+IF(AB265&lt;=6,(AB265-1)*31+AC265,IF(AB265&lt;=11,186+(AB265-7)*30+AC265,336+AC265))-1,""))</f>
        <v/>
      </c>
      <c r="AE265" s="7" t="str">
        <f aca="false">IF(P265="","",VALUE(LEFT(P265,FIND("/",P265)-1)))</f>
        <v/>
      </c>
      <c r="AF265" s="7" t="str">
        <f aca="false">IF(P265="","",VALUE(MID(P265,FIND("/",P265)+1,FIND("/",P265,FIND("/",P265)+1)-FIND("/",P265)-1)))</f>
        <v/>
      </c>
      <c r="AG265" s="7" t="str">
        <f aca="false">IF(P265="","",VALUE(MID(P265,FIND("/",P265,FIND("/",P265)+1)+1,LEN(P265)-FIND("/",P265,FIND("/",P265)+1))))</f>
        <v/>
      </c>
      <c r="AH265" s="7" t="str">
        <f aca="false">IF(OR(P265="",AE265=""),"",IFERROR(INDEX('لیست‌ها'!$Q$3:$Q$53,MATCH(AE265,'لیست‌ها'!$P$3:$P$53,0))+IF(AF265&lt;=6,(AF265-1)*31+AG265,IF(AF265&lt;=11,186+(AF265-7)*30+AG265,336+AG265))-1,""))</f>
        <v/>
      </c>
      <c r="AI265" s="7" t="str">
        <f aca="false">IF(W265="","",W265&amp;"-"&amp;TEXT(X265,"00"))</f>
        <v/>
      </c>
      <c r="AJ265" s="7" t="str">
        <f aca="false">IF(W265="","",W265*12+X265)</f>
        <v/>
      </c>
      <c r="AK265" s="7" t="str">
        <f aca="false">IF(U265="تاخیر",V265+ROW()/100000,"")</f>
        <v/>
      </c>
    </row>
    <row r="266" customFormat="false" ht="15" hidden="false" customHeight="false" outlineLevel="0" collapsed="false">
      <c r="A266" s="7" t="str">
        <f aca="false">IF(B266="","",ROW()-3)</f>
        <v/>
      </c>
      <c r="B266" s="8"/>
      <c r="C266" s="8"/>
      <c r="D266" s="8"/>
      <c r="E266" s="9"/>
      <c r="F266" s="9"/>
      <c r="G266" s="8"/>
      <c r="H266" s="8"/>
      <c r="I266" s="8"/>
      <c r="J266" s="9"/>
      <c r="K266" s="8"/>
      <c r="L266" s="8"/>
      <c r="M266" s="8"/>
      <c r="N266" s="8"/>
      <c r="O266" s="8"/>
      <c r="P266" s="8"/>
      <c r="Q266" s="8"/>
      <c r="R266" s="9"/>
      <c r="S266" s="8"/>
      <c r="T266" s="9"/>
      <c r="U266" s="10" t="str">
        <f aca="true">IF(B266="","",IF(OR(P266&lt;&gt;"",I266="می‌باشد"),"بسته",IF(AND(L266&lt;&gt;"",W266=""),"خطای فرمت تاریخ ایجاد",IF(AND(H266&lt;&gt;"",AA266=""),"خطای فرمت مهلت",IF(AND(H266&lt;&gt;"",AD266&lt;&gt;"",TODAY()&gt;AD266),"تاخیر",IF(L266&lt;&gt;"","در حال انجام",""))))))</f>
        <v/>
      </c>
      <c r="V266" s="7" t="n">
        <f aca="true">IF(U266="تاخیر",TODAY()-AD266,IF(AND(U266="بسته",AH266&lt;&gt;"",AD266&lt;&gt;"",AH266&gt;AD266),AH266-AD266,0))</f>
        <v>0</v>
      </c>
      <c r="W266" s="7" t="str">
        <f aca="false">IF(L266="","",VALUE(LEFT(L266,FIND("/",L266)-1)))</f>
        <v/>
      </c>
      <c r="X266" s="7" t="str">
        <f aca="false">IF(L266="","",VALUE(MID(L266,FIND("/",L266)+1,FIND("/",L266,FIND("/",L266)+1)-FIND("/",L266)-1)))</f>
        <v/>
      </c>
      <c r="Y266" s="7" t="str">
        <f aca="false">IF(L266="","",VALUE(MID(L266,FIND("/",L266,FIND("/",L266)+1)+1,LEN(L266)-FIND("/",L266,FIND("/",L266)+1))))</f>
        <v/>
      </c>
      <c r="Z266" s="7" t="str">
        <f aca="false">IF(OR(L266="",W266=""),"",IFERROR(INDEX('لیست‌ها'!$Q$3:$Q$53,MATCH(W266,'لیست‌ها'!$P$3:$P$53,0))+IF(X266&lt;=6,(X266-1)*31+Y266,IF(X266&lt;=11,186+(X266-7)*30+Y266,336+Y266))-1,""))</f>
        <v/>
      </c>
      <c r="AA266" s="7" t="str">
        <f aca="false">IF(H266="","",VALUE(LEFT(H266,FIND("/",H266)-1)))</f>
        <v/>
      </c>
      <c r="AB266" s="7" t="str">
        <f aca="false">IF(H266="","",VALUE(MID(H266,FIND("/",H266)+1,FIND("/",H266,FIND("/",H266)+1)-FIND("/",H266)-1)))</f>
        <v/>
      </c>
      <c r="AC266" s="7" t="str">
        <f aca="false">IF(H266="","",VALUE(MID(H266,FIND("/",H266,FIND("/",H266)+1)+1,LEN(H266)-FIND("/",H266,FIND("/",H266)+1))))</f>
        <v/>
      </c>
      <c r="AD266" s="7" t="str">
        <f aca="false">IF(OR(H266="",AA266=""),"",IFERROR(INDEX('لیست‌ها'!$Q$3:$Q$53,MATCH(AA266,'لیست‌ها'!$P$3:$P$53,0))+IF(AB266&lt;=6,(AB266-1)*31+AC266,IF(AB266&lt;=11,186+(AB266-7)*30+AC266,336+AC266))-1,""))</f>
        <v/>
      </c>
      <c r="AE266" s="7" t="str">
        <f aca="false">IF(P266="","",VALUE(LEFT(P266,FIND("/",P266)-1)))</f>
        <v/>
      </c>
      <c r="AF266" s="7" t="str">
        <f aca="false">IF(P266="","",VALUE(MID(P266,FIND("/",P266)+1,FIND("/",P266,FIND("/",P266)+1)-FIND("/",P266)-1)))</f>
        <v/>
      </c>
      <c r="AG266" s="7" t="str">
        <f aca="false">IF(P266="","",VALUE(MID(P266,FIND("/",P266,FIND("/",P266)+1)+1,LEN(P266)-FIND("/",P266,FIND("/",P266)+1))))</f>
        <v/>
      </c>
      <c r="AH266" s="7" t="str">
        <f aca="false">IF(OR(P266="",AE266=""),"",IFERROR(INDEX('لیست‌ها'!$Q$3:$Q$53,MATCH(AE266,'لیست‌ها'!$P$3:$P$53,0))+IF(AF266&lt;=6,(AF266-1)*31+AG266,IF(AF266&lt;=11,186+(AF266-7)*30+AG266,336+AG266))-1,""))</f>
        <v/>
      </c>
      <c r="AI266" s="7" t="str">
        <f aca="false">IF(W266="","",W266&amp;"-"&amp;TEXT(X266,"00"))</f>
        <v/>
      </c>
      <c r="AJ266" s="7" t="str">
        <f aca="false">IF(W266="","",W266*12+X266)</f>
        <v/>
      </c>
      <c r="AK266" s="7" t="str">
        <f aca="false">IF(U266="تاخیر",V266+ROW()/100000,"")</f>
        <v/>
      </c>
    </row>
    <row r="267" customFormat="false" ht="15" hidden="false" customHeight="false" outlineLevel="0" collapsed="false">
      <c r="A267" s="7" t="str">
        <f aca="false">IF(B267="","",ROW()-3)</f>
        <v/>
      </c>
      <c r="B267" s="8"/>
      <c r="C267" s="8"/>
      <c r="D267" s="8"/>
      <c r="E267" s="9"/>
      <c r="F267" s="9"/>
      <c r="G267" s="8"/>
      <c r="H267" s="8"/>
      <c r="I267" s="8"/>
      <c r="J267" s="9"/>
      <c r="K267" s="8"/>
      <c r="L267" s="8"/>
      <c r="M267" s="8"/>
      <c r="N267" s="8"/>
      <c r="O267" s="8"/>
      <c r="P267" s="8"/>
      <c r="Q267" s="8"/>
      <c r="R267" s="9"/>
      <c r="S267" s="8"/>
      <c r="T267" s="9"/>
      <c r="U267" s="10" t="str">
        <f aca="true">IF(B267="","",IF(OR(P267&lt;&gt;"",I267="می‌باشد"),"بسته",IF(AND(L267&lt;&gt;"",W267=""),"خطای فرمت تاریخ ایجاد",IF(AND(H267&lt;&gt;"",AA267=""),"خطای فرمت مهلت",IF(AND(H267&lt;&gt;"",AD267&lt;&gt;"",TODAY()&gt;AD267),"تاخیر",IF(L267&lt;&gt;"","در حال انجام",""))))))</f>
        <v/>
      </c>
      <c r="V267" s="7" t="n">
        <f aca="true">IF(U267="تاخیر",TODAY()-AD267,IF(AND(U267="بسته",AH267&lt;&gt;"",AD267&lt;&gt;"",AH267&gt;AD267),AH267-AD267,0))</f>
        <v>0</v>
      </c>
      <c r="W267" s="7" t="str">
        <f aca="false">IF(L267="","",VALUE(LEFT(L267,FIND("/",L267)-1)))</f>
        <v/>
      </c>
      <c r="X267" s="7" t="str">
        <f aca="false">IF(L267="","",VALUE(MID(L267,FIND("/",L267)+1,FIND("/",L267,FIND("/",L267)+1)-FIND("/",L267)-1)))</f>
        <v/>
      </c>
      <c r="Y267" s="7" t="str">
        <f aca="false">IF(L267="","",VALUE(MID(L267,FIND("/",L267,FIND("/",L267)+1)+1,LEN(L267)-FIND("/",L267,FIND("/",L267)+1))))</f>
        <v/>
      </c>
      <c r="Z267" s="7" t="str">
        <f aca="false">IF(OR(L267="",W267=""),"",IFERROR(INDEX('لیست‌ها'!$Q$3:$Q$53,MATCH(W267,'لیست‌ها'!$P$3:$P$53,0))+IF(X267&lt;=6,(X267-1)*31+Y267,IF(X267&lt;=11,186+(X267-7)*30+Y267,336+Y267))-1,""))</f>
        <v/>
      </c>
      <c r="AA267" s="7" t="str">
        <f aca="false">IF(H267="","",VALUE(LEFT(H267,FIND("/",H267)-1)))</f>
        <v/>
      </c>
      <c r="AB267" s="7" t="str">
        <f aca="false">IF(H267="","",VALUE(MID(H267,FIND("/",H267)+1,FIND("/",H267,FIND("/",H267)+1)-FIND("/",H267)-1)))</f>
        <v/>
      </c>
      <c r="AC267" s="7" t="str">
        <f aca="false">IF(H267="","",VALUE(MID(H267,FIND("/",H267,FIND("/",H267)+1)+1,LEN(H267)-FIND("/",H267,FIND("/",H267)+1))))</f>
        <v/>
      </c>
      <c r="AD267" s="7" t="str">
        <f aca="false">IF(OR(H267="",AA267=""),"",IFERROR(INDEX('لیست‌ها'!$Q$3:$Q$53,MATCH(AA267,'لیست‌ها'!$P$3:$P$53,0))+IF(AB267&lt;=6,(AB267-1)*31+AC267,IF(AB267&lt;=11,186+(AB267-7)*30+AC267,336+AC267))-1,""))</f>
        <v/>
      </c>
      <c r="AE267" s="7" t="str">
        <f aca="false">IF(P267="","",VALUE(LEFT(P267,FIND("/",P267)-1)))</f>
        <v/>
      </c>
      <c r="AF267" s="7" t="str">
        <f aca="false">IF(P267="","",VALUE(MID(P267,FIND("/",P267)+1,FIND("/",P267,FIND("/",P267)+1)-FIND("/",P267)-1)))</f>
        <v/>
      </c>
      <c r="AG267" s="7" t="str">
        <f aca="false">IF(P267="","",VALUE(MID(P267,FIND("/",P267,FIND("/",P267)+1)+1,LEN(P267)-FIND("/",P267,FIND("/",P267)+1))))</f>
        <v/>
      </c>
      <c r="AH267" s="7" t="str">
        <f aca="false">IF(OR(P267="",AE267=""),"",IFERROR(INDEX('لیست‌ها'!$Q$3:$Q$53,MATCH(AE267,'لیست‌ها'!$P$3:$P$53,0))+IF(AF267&lt;=6,(AF267-1)*31+AG267,IF(AF267&lt;=11,186+(AF267-7)*30+AG267,336+AG267))-1,""))</f>
        <v/>
      </c>
      <c r="AI267" s="7" t="str">
        <f aca="false">IF(W267="","",W267&amp;"-"&amp;TEXT(X267,"00"))</f>
        <v/>
      </c>
      <c r="AJ267" s="7" t="str">
        <f aca="false">IF(W267="","",W267*12+X267)</f>
        <v/>
      </c>
      <c r="AK267" s="7" t="str">
        <f aca="false">IF(U267="تاخیر",V267+ROW()/100000,"")</f>
        <v/>
      </c>
    </row>
    <row r="268" customFormat="false" ht="15" hidden="false" customHeight="false" outlineLevel="0" collapsed="false">
      <c r="A268" s="7" t="str">
        <f aca="false">IF(B268="","",ROW()-3)</f>
        <v/>
      </c>
      <c r="B268" s="8"/>
      <c r="C268" s="8"/>
      <c r="D268" s="8"/>
      <c r="E268" s="9"/>
      <c r="F268" s="9"/>
      <c r="G268" s="8"/>
      <c r="H268" s="8"/>
      <c r="I268" s="8"/>
      <c r="J268" s="9"/>
      <c r="K268" s="8"/>
      <c r="L268" s="8"/>
      <c r="M268" s="8"/>
      <c r="N268" s="8"/>
      <c r="O268" s="8"/>
      <c r="P268" s="8"/>
      <c r="Q268" s="8"/>
      <c r="R268" s="9"/>
      <c r="S268" s="8"/>
      <c r="T268" s="9"/>
      <c r="U268" s="10" t="str">
        <f aca="true">IF(B268="","",IF(OR(P268&lt;&gt;"",I268="می‌باشد"),"بسته",IF(AND(L268&lt;&gt;"",W268=""),"خطای فرمت تاریخ ایجاد",IF(AND(H268&lt;&gt;"",AA268=""),"خطای فرمت مهلت",IF(AND(H268&lt;&gt;"",AD268&lt;&gt;"",TODAY()&gt;AD268),"تاخیر",IF(L268&lt;&gt;"","در حال انجام",""))))))</f>
        <v/>
      </c>
      <c r="V268" s="7" t="n">
        <f aca="true">IF(U268="تاخیر",TODAY()-AD268,IF(AND(U268="بسته",AH268&lt;&gt;"",AD268&lt;&gt;"",AH268&gt;AD268),AH268-AD268,0))</f>
        <v>0</v>
      </c>
      <c r="W268" s="7" t="str">
        <f aca="false">IF(L268="","",VALUE(LEFT(L268,FIND("/",L268)-1)))</f>
        <v/>
      </c>
      <c r="X268" s="7" t="str">
        <f aca="false">IF(L268="","",VALUE(MID(L268,FIND("/",L268)+1,FIND("/",L268,FIND("/",L268)+1)-FIND("/",L268)-1)))</f>
        <v/>
      </c>
      <c r="Y268" s="7" t="str">
        <f aca="false">IF(L268="","",VALUE(MID(L268,FIND("/",L268,FIND("/",L268)+1)+1,LEN(L268)-FIND("/",L268,FIND("/",L268)+1))))</f>
        <v/>
      </c>
      <c r="Z268" s="7" t="str">
        <f aca="false">IF(OR(L268="",W268=""),"",IFERROR(INDEX('لیست‌ها'!$Q$3:$Q$53,MATCH(W268,'لیست‌ها'!$P$3:$P$53,0))+IF(X268&lt;=6,(X268-1)*31+Y268,IF(X268&lt;=11,186+(X268-7)*30+Y268,336+Y268))-1,""))</f>
        <v/>
      </c>
      <c r="AA268" s="7" t="str">
        <f aca="false">IF(H268="","",VALUE(LEFT(H268,FIND("/",H268)-1)))</f>
        <v/>
      </c>
      <c r="AB268" s="7" t="str">
        <f aca="false">IF(H268="","",VALUE(MID(H268,FIND("/",H268)+1,FIND("/",H268,FIND("/",H268)+1)-FIND("/",H268)-1)))</f>
        <v/>
      </c>
      <c r="AC268" s="7" t="str">
        <f aca="false">IF(H268="","",VALUE(MID(H268,FIND("/",H268,FIND("/",H268)+1)+1,LEN(H268)-FIND("/",H268,FIND("/",H268)+1))))</f>
        <v/>
      </c>
      <c r="AD268" s="7" t="str">
        <f aca="false">IF(OR(H268="",AA268=""),"",IFERROR(INDEX('لیست‌ها'!$Q$3:$Q$53,MATCH(AA268,'لیست‌ها'!$P$3:$P$53,0))+IF(AB268&lt;=6,(AB268-1)*31+AC268,IF(AB268&lt;=11,186+(AB268-7)*30+AC268,336+AC268))-1,""))</f>
        <v/>
      </c>
      <c r="AE268" s="7" t="str">
        <f aca="false">IF(P268="","",VALUE(LEFT(P268,FIND("/",P268)-1)))</f>
        <v/>
      </c>
      <c r="AF268" s="7" t="str">
        <f aca="false">IF(P268="","",VALUE(MID(P268,FIND("/",P268)+1,FIND("/",P268,FIND("/",P268)+1)-FIND("/",P268)-1)))</f>
        <v/>
      </c>
      <c r="AG268" s="7" t="str">
        <f aca="false">IF(P268="","",VALUE(MID(P268,FIND("/",P268,FIND("/",P268)+1)+1,LEN(P268)-FIND("/",P268,FIND("/",P268)+1))))</f>
        <v/>
      </c>
      <c r="AH268" s="7" t="str">
        <f aca="false">IF(OR(P268="",AE268=""),"",IFERROR(INDEX('لیست‌ها'!$Q$3:$Q$53,MATCH(AE268,'لیست‌ها'!$P$3:$P$53,0))+IF(AF268&lt;=6,(AF268-1)*31+AG268,IF(AF268&lt;=11,186+(AF268-7)*30+AG268,336+AG268))-1,""))</f>
        <v/>
      </c>
      <c r="AI268" s="7" t="str">
        <f aca="false">IF(W268="","",W268&amp;"-"&amp;TEXT(X268,"00"))</f>
        <v/>
      </c>
      <c r="AJ268" s="7" t="str">
        <f aca="false">IF(W268="","",W268*12+X268)</f>
        <v/>
      </c>
      <c r="AK268" s="7" t="str">
        <f aca="false">IF(U268="تاخیر",V268+ROW()/100000,"")</f>
        <v/>
      </c>
    </row>
    <row r="269" customFormat="false" ht="15" hidden="false" customHeight="false" outlineLevel="0" collapsed="false">
      <c r="A269" s="7" t="str">
        <f aca="false">IF(B269="","",ROW()-3)</f>
        <v/>
      </c>
      <c r="B269" s="8"/>
      <c r="C269" s="8"/>
      <c r="D269" s="8"/>
      <c r="E269" s="9"/>
      <c r="F269" s="9"/>
      <c r="G269" s="8"/>
      <c r="H269" s="8"/>
      <c r="I269" s="8"/>
      <c r="J269" s="9"/>
      <c r="K269" s="8"/>
      <c r="L269" s="8"/>
      <c r="M269" s="8"/>
      <c r="N269" s="8"/>
      <c r="O269" s="8"/>
      <c r="P269" s="8"/>
      <c r="Q269" s="8"/>
      <c r="R269" s="9"/>
      <c r="S269" s="8"/>
      <c r="T269" s="9"/>
      <c r="U269" s="10" t="str">
        <f aca="true">IF(B269="","",IF(OR(P269&lt;&gt;"",I269="می‌باشد"),"بسته",IF(AND(L269&lt;&gt;"",W269=""),"خطای فرمت تاریخ ایجاد",IF(AND(H269&lt;&gt;"",AA269=""),"خطای فرمت مهلت",IF(AND(H269&lt;&gt;"",AD269&lt;&gt;"",TODAY()&gt;AD269),"تاخیر",IF(L269&lt;&gt;"","در حال انجام",""))))))</f>
        <v/>
      </c>
      <c r="V269" s="7" t="n">
        <f aca="true">IF(U269="تاخیر",TODAY()-AD269,IF(AND(U269="بسته",AH269&lt;&gt;"",AD269&lt;&gt;"",AH269&gt;AD269),AH269-AD269,0))</f>
        <v>0</v>
      </c>
      <c r="W269" s="7" t="str">
        <f aca="false">IF(L269="","",VALUE(LEFT(L269,FIND("/",L269)-1)))</f>
        <v/>
      </c>
      <c r="X269" s="7" t="str">
        <f aca="false">IF(L269="","",VALUE(MID(L269,FIND("/",L269)+1,FIND("/",L269,FIND("/",L269)+1)-FIND("/",L269)-1)))</f>
        <v/>
      </c>
      <c r="Y269" s="7" t="str">
        <f aca="false">IF(L269="","",VALUE(MID(L269,FIND("/",L269,FIND("/",L269)+1)+1,LEN(L269)-FIND("/",L269,FIND("/",L269)+1))))</f>
        <v/>
      </c>
      <c r="Z269" s="7" t="str">
        <f aca="false">IF(OR(L269="",W269=""),"",IFERROR(INDEX('لیست‌ها'!$Q$3:$Q$53,MATCH(W269,'لیست‌ها'!$P$3:$P$53,0))+IF(X269&lt;=6,(X269-1)*31+Y269,IF(X269&lt;=11,186+(X269-7)*30+Y269,336+Y269))-1,""))</f>
        <v/>
      </c>
      <c r="AA269" s="7" t="str">
        <f aca="false">IF(H269="","",VALUE(LEFT(H269,FIND("/",H269)-1)))</f>
        <v/>
      </c>
      <c r="AB269" s="7" t="str">
        <f aca="false">IF(H269="","",VALUE(MID(H269,FIND("/",H269)+1,FIND("/",H269,FIND("/",H269)+1)-FIND("/",H269)-1)))</f>
        <v/>
      </c>
      <c r="AC269" s="7" t="str">
        <f aca="false">IF(H269="","",VALUE(MID(H269,FIND("/",H269,FIND("/",H269)+1)+1,LEN(H269)-FIND("/",H269,FIND("/",H269)+1))))</f>
        <v/>
      </c>
      <c r="AD269" s="7" t="str">
        <f aca="false">IF(OR(H269="",AA269=""),"",IFERROR(INDEX('لیست‌ها'!$Q$3:$Q$53,MATCH(AA269,'لیست‌ها'!$P$3:$P$53,0))+IF(AB269&lt;=6,(AB269-1)*31+AC269,IF(AB269&lt;=11,186+(AB269-7)*30+AC269,336+AC269))-1,""))</f>
        <v/>
      </c>
      <c r="AE269" s="7" t="str">
        <f aca="false">IF(P269="","",VALUE(LEFT(P269,FIND("/",P269)-1)))</f>
        <v/>
      </c>
      <c r="AF269" s="7" t="str">
        <f aca="false">IF(P269="","",VALUE(MID(P269,FIND("/",P269)+1,FIND("/",P269,FIND("/",P269)+1)-FIND("/",P269)-1)))</f>
        <v/>
      </c>
      <c r="AG269" s="7" t="str">
        <f aca="false">IF(P269="","",VALUE(MID(P269,FIND("/",P269,FIND("/",P269)+1)+1,LEN(P269)-FIND("/",P269,FIND("/",P269)+1))))</f>
        <v/>
      </c>
      <c r="AH269" s="7" t="str">
        <f aca="false">IF(OR(P269="",AE269=""),"",IFERROR(INDEX('لیست‌ها'!$Q$3:$Q$53,MATCH(AE269,'لیست‌ها'!$P$3:$P$53,0))+IF(AF269&lt;=6,(AF269-1)*31+AG269,IF(AF269&lt;=11,186+(AF269-7)*30+AG269,336+AG269))-1,""))</f>
        <v/>
      </c>
      <c r="AI269" s="7" t="str">
        <f aca="false">IF(W269="","",W269&amp;"-"&amp;TEXT(X269,"00"))</f>
        <v/>
      </c>
      <c r="AJ269" s="7" t="str">
        <f aca="false">IF(W269="","",W269*12+X269)</f>
        <v/>
      </c>
      <c r="AK269" s="7" t="str">
        <f aca="false">IF(U269="تاخیر",V269+ROW()/100000,"")</f>
        <v/>
      </c>
    </row>
    <row r="270" customFormat="false" ht="15" hidden="false" customHeight="false" outlineLevel="0" collapsed="false">
      <c r="A270" s="7" t="str">
        <f aca="false">IF(B270="","",ROW()-3)</f>
        <v/>
      </c>
      <c r="B270" s="8"/>
      <c r="C270" s="8"/>
      <c r="D270" s="8"/>
      <c r="E270" s="9"/>
      <c r="F270" s="9"/>
      <c r="G270" s="8"/>
      <c r="H270" s="8"/>
      <c r="I270" s="8"/>
      <c r="J270" s="9"/>
      <c r="K270" s="8"/>
      <c r="L270" s="8"/>
      <c r="M270" s="8"/>
      <c r="N270" s="8"/>
      <c r="O270" s="8"/>
      <c r="P270" s="8"/>
      <c r="Q270" s="8"/>
      <c r="R270" s="9"/>
      <c r="S270" s="8"/>
      <c r="T270" s="9"/>
      <c r="U270" s="10" t="str">
        <f aca="true">IF(B270="","",IF(OR(P270&lt;&gt;"",I270="می‌باشد"),"بسته",IF(AND(L270&lt;&gt;"",W270=""),"خطای فرمت تاریخ ایجاد",IF(AND(H270&lt;&gt;"",AA270=""),"خطای فرمت مهلت",IF(AND(H270&lt;&gt;"",AD270&lt;&gt;"",TODAY()&gt;AD270),"تاخیر",IF(L270&lt;&gt;"","در حال انجام",""))))))</f>
        <v/>
      </c>
      <c r="V270" s="7" t="n">
        <f aca="true">IF(U270="تاخیر",TODAY()-AD270,IF(AND(U270="بسته",AH270&lt;&gt;"",AD270&lt;&gt;"",AH270&gt;AD270),AH270-AD270,0))</f>
        <v>0</v>
      </c>
      <c r="W270" s="7" t="str">
        <f aca="false">IF(L270="","",VALUE(LEFT(L270,FIND("/",L270)-1)))</f>
        <v/>
      </c>
      <c r="X270" s="7" t="str">
        <f aca="false">IF(L270="","",VALUE(MID(L270,FIND("/",L270)+1,FIND("/",L270,FIND("/",L270)+1)-FIND("/",L270)-1)))</f>
        <v/>
      </c>
      <c r="Y270" s="7" t="str">
        <f aca="false">IF(L270="","",VALUE(MID(L270,FIND("/",L270,FIND("/",L270)+1)+1,LEN(L270)-FIND("/",L270,FIND("/",L270)+1))))</f>
        <v/>
      </c>
      <c r="Z270" s="7" t="str">
        <f aca="false">IF(OR(L270="",W270=""),"",IFERROR(INDEX('لیست‌ها'!$Q$3:$Q$53,MATCH(W270,'لیست‌ها'!$P$3:$P$53,0))+IF(X270&lt;=6,(X270-1)*31+Y270,IF(X270&lt;=11,186+(X270-7)*30+Y270,336+Y270))-1,""))</f>
        <v/>
      </c>
      <c r="AA270" s="7" t="str">
        <f aca="false">IF(H270="","",VALUE(LEFT(H270,FIND("/",H270)-1)))</f>
        <v/>
      </c>
      <c r="AB270" s="7" t="str">
        <f aca="false">IF(H270="","",VALUE(MID(H270,FIND("/",H270)+1,FIND("/",H270,FIND("/",H270)+1)-FIND("/",H270)-1)))</f>
        <v/>
      </c>
      <c r="AC270" s="7" t="str">
        <f aca="false">IF(H270="","",VALUE(MID(H270,FIND("/",H270,FIND("/",H270)+1)+1,LEN(H270)-FIND("/",H270,FIND("/",H270)+1))))</f>
        <v/>
      </c>
      <c r="AD270" s="7" t="str">
        <f aca="false">IF(OR(H270="",AA270=""),"",IFERROR(INDEX('لیست‌ها'!$Q$3:$Q$53,MATCH(AA270,'لیست‌ها'!$P$3:$P$53,0))+IF(AB270&lt;=6,(AB270-1)*31+AC270,IF(AB270&lt;=11,186+(AB270-7)*30+AC270,336+AC270))-1,""))</f>
        <v/>
      </c>
      <c r="AE270" s="7" t="str">
        <f aca="false">IF(P270="","",VALUE(LEFT(P270,FIND("/",P270)-1)))</f>
        <v/>
      </c>
      <c r="AF270" s="7" t="str">
        <f aca="false">IF(P270="","",VALUE(MID(P270,FIND("/",P270)+1,FIND("/",P270,FIND("/",P270)+1)-FIND("/",P270)-1)))</f>
        <v/>
      </c>
      <c r="AG270" s="7" t="str">
        <f aca="false">IF(P270="","",VALUE(MID(P270,FIND("/",P270,FIND("/",P270)+1)+1,LEN(P270)-FIND("/",P270,FIND("/",P270)+1))))</f>
        <v/>
      </c>
      <c r="AH270" s="7" t="str">
        <f aca="false">IF(OR(P270="",AE270=""),"",IFERROR(INDEX('لیست‌ها'!$Q$3:$Q$53,MATCH(AE270,'لیست‌ها'!$P$3:$P$53,0))+IF(AF270&lt;=6,(AF270-1)*31+AG270,IF(AF270&lt;=11,186+(AF270-7)*30+AG270,336+AG270))-1,""))</f>
        <v/>
      </c>
      <c r="AI270" s="7" t="str">
        <f aca="false">IF(W270="","",W270&amp;"-"&amp;TEXT(X270,"00"))</f>
        <v/>
      </c>
      <c r="AJ270" s="7" t="str">
        <f aca="false">IF(W270="","",W270*12+X270)</f>
        <v/>
      </c>
      <c r="AK270" s="7" t="str">
        <f aca="false">IF(U270="تاخیر",V270+ROW()/100000,"")</f>
        <v/>
      </c>
    </row>
    <row r="271" customFormat="false" ht="15" hidden="false" customHeight="false" outlineLevel="0" collapsed="false">
      <c r="A271" s="7" t="str">
        <f aca="false">IF(B271="","",ROW()-3)</f>
        <v/>
      </c>
      <c r="B271" s="8"/>
      <c r="C271" s="8"/>
      <c r="D271" s="8"/>
      <c r="E271" s="9"/>
      <c r="F271" s="9"/>
      <c r="G271" s="8"/>
      <c r="H271" s="8"/>
      <c r="I271" s="8"/>
      <c r="J271" s="9"/>
      <c r="K271" s="8"/>
      <c r="L271" s="8"/>
      <c r="M271" s="8"/>
      <c r="N271" s="8"/>
      <c r="O271" s="8"/>
      <c r="P271" s="8"/>
      <c r="Q271" s="8"/>
      <c r="R271" s="9"/>
      <c r="S271" s="8"/>
      <c r="T271" s="9"/>
      <c r="U271" s="10" t="str">
        <f aca="true">IF(B271="","",IF(OR(P271&lt;&gt;"",I271="می‌باشد"),"بسته",IF(AND(L271&lt;&gt;"",W271=""),"خطای فرمت تاریخ ایجاد",IF(AND(H271&lt;&gt;"",AA271=""),"خطای فرمت مهلت",IF(AND(H271&lt;&gt;"",AD271&lt;&gt;"",TODAY()&gt;AD271),"تاخیر",IF(L271&lt;&gt;"","در حال انجام",""))))))</f>
        <v/>
      </c>
      <c r="V271" s="7" t="n">
        <f aca="true">IF(U271="تاخیر",TODAY()-AD271,IF(AND(U271="بسته",AH271&lt;&gt;"",AD271&lt;&gt;"",AH271&gt;AD271),AH271-AD271,0))</f>
        <v>0</v>
      </c>
      <c r="W271" s="7" t="str">
        <f aca="false">IF(L271="","",VALUE(LEFT(L271,FIND("/",L271)-1)))</f>
        <v/>
      </c>
      <c r="X271" s="7" t="str">
        <f aca="false">IF(L271="","",VALUE(MID(L271,FIND("/",L271)+1,FIND("/",L271,FIND("/",L271)+1)-FIND("/",L271)-1)))</f>
        <v/>
      </c>
      <c r="Y271" s="7" t="str">
        <f aca="false">IF(L271="","",VALUE(MID(L271,FIND("/",L271,FIND("/",L271)+1)+1,LEN(L271)-FIND("/",L271,FIND("/",L271)+1))))</f>
        <v/>
      </c>
      <c r="Z271" s="7" t="str">
        <f aca="false">IF(OR(L271="",W271=""),"",IFERROR(INDEX('لیست‌ها'!$Q$3:$Q$53,MATCH(W271,'لیست‌ها'!$P$3:$P$53,0))+IF(X271&lt;=6,(X271-1)*31+Y271,IF(X271&lt;=11,186+(X271-7)*30+Y271,336+Y271))-1,""))</f>
        <v/>
      </c>
      <c r="AA271" s="7" t="str">
        <f aca="false">IF(H271="","",VALUE(LEFT(H271,FIND("/",H271)-1)))</f>
        <v/>
      </c>
      <c r="AB271" s="7" t="str">
        <f aca="false">IF(H271="","",VALUE(MID(H271,FIND("/",H271)+1,FIND("/",H271,FIND("/",H271)+1)-FIND("/",H271)-1)))</f>
        <v/>
      </c>
      <c r="AC271" s="7" t="str">
        <f aca="false">IF(H271="","",VALUE(MID(H271,FIND("/",H271,FIND("/",H271)+1)+1,LEN(H271)-FIND("/",H271,FIND("/",H271)+1))))</f>
        <v/>
      </c>
      <c r="AD271" s="7" t="str">
        <f aca="false">IF(OR(H271="",AA271=""),"",IFERROR(INDEX('لیست‌ها'!$Q$3:$Q$53,MATCH(AA271,'لیست‌ها'!$P$3:$P$53,0))+IF(AB271&lt;=6,(AB271-1)*31+AC271,IF(AB271&lt;=11,186+(AB271-7)*30+AC271,336+AC271))-1,""))</f>
        <v/>
      </c>
      <c r="AE271" s="7" t="str">
        <f aca="false">IF(P271="","",VALUE(LEFT(P271,FIND("/",P271)-1)))</f>
        <v/>
      </c>
      <c r="AF271" s="7" t="str">
        <f aca="false">IF(P271="","",VALUE(MID(P271,FIND("/",P271)+1,FIND("/",P271,FIND("/",P271)+1)-FIND("/",P271)-1)))</f>
        <v/>
      </c>
      <c r="AG271" s="7" t="str">
        <f aca="false">IF(P271="","",VALUE(MID(P271,FIND("/",P271,FIND("/",P271)+1)+1,LEN(P271)-FIND("/",P271,FIND("/",P271)+1))))</f>
        <v/>
      </c>
      <c r="AH271" s="7" t="str">
        <f aca="false">IF(OR(P271="",AE271=""),"",IFERROR(INDEX('لیست‌ها'!$Q$3:$Q$53,MATCH(AE271,'لیست‌ها'!$P$3:$P$53,0))+IF(AF271&lt;=6,(AF271-1)*31+AG271,IF(AF271&lt;=11,186+(AF271-7)*30+AG271,336+AG271))-1,""))</f>
        <v/>
      </c>
      <c r="AI271" s="7" t="str">
        <f aca="false">IF(W271="","",W271&amp;"-"&amp;TEXT(X271,"00"))</f>
        <v/>
      </c>
      <c r="AJ271" s="7" t="str">
        <f aca="false">IF(W271="","",W271*12+X271)</f>
        <v/>
      </c>
      <c r="AK271" s="7" t="str">
        <f aca="false">IF(U271="تاخیر",V271+ROW()/100000,"")</f>
        <v/>
      </c>
    </row>
    <row r="272" customFormat="false" ht="15" hidden="false" customHeight="false" outlineLevel="0" collapsed="false">
      <c r="A272" s="7" t="str">
        <f aca="false">IF(B272="","",ROW()-3)</f>
        <v/>
      </c>
      <c r="B272" s="8"/>
      <c r="C272" s="8"/>
      <c r="D272" s="8"/>
      <c r="E272" s="9"/>
      <c r="F272" s="9"/>
      <c r="G272" s="8"/>
      <c r="H272" s="8"/>
      <c r="I272" s="8"/>
      <c r="J272" s="9"/>
      <c r="K272" s="8"/>
      <c r="L272" s="8"/>
      <c r="M272" s="8"/>
      <c r="N272" s="8"/>
      <c r="O272" s="8"/>
      <c r="P272" s="8"/>
      <c r="Q272" s="8"/>
      <c r="R272" s="9"/>
      <c r="S272" s="8"/>
      <c r="T272" s="9"/>
      <c r="U272" s="10" t="str">
        <f aca="true">IF(B272="","",IF(OR(P272&lt;&gt;"",I272="می‌باشد"),"بسته",IF(AND(L272&lt;&gt;"",W272=""),"خطای فرمت تاریخ ایجاد",IF(AND(H272&lt;&gt;"",AA272=""),"خطای فرمت مهلت",IF(AND(H272&lt;&gt;"",AD272&lt;&gt;"",TODAY()&gt;AD272),"تاخیر",IF(L272&lt;&gt;"","در حال انجام",""))))))</f>
        <v/>
      </c>
      <c r="V272" s="7" t="n">
        <f aca="true">IF(U272="تاخیر",TODAY()-AD272,IF(AND(U272="بسته",AH272&lt;&gt;"",AD272&lt;&gt;"",AH272&gt;AD272),AH272-AD272,0))</f>
        <v>0</v>
      </c>
      <c r="W272" s="7" t="str">
        <f aca="false">IF(L272="","",VALUE(LEFT(L272,FIND("/",L272)-1)))</f>
        <v/>
      </c>
      <c r="X272" s="7" t="str">
        <f aca="false">IF(L272="","",VALUE(MID(L272,FIND("/",L272)+1,FIND("/",L272,FIND("/",L272)+1)-FIND("/",L272)-1)))</f>
        <v/>
      </c>
      <c r="Y272" s="7" t="str">
        <f aca="false">IF(L272="","",VALUE(MID(L272,FIND("/",L272,FIND("/",L272)+1)+1,LEN(L272)-FIND("/",L272,FIND("/",L272)+1))))</f>
        <v/>
      </c>
      <c r="Z272" s="7" t="str">
        <f aca="false">IF(OR(L272="",W272=""),"",IFERROR(INDEX('لیست‌ها'!$Q$3:$Q$53,MATCH(W272,'لیست‌ها'!$P$3:$P$53,0))+IF(X272&lt;=6,(X272-1)*31+Y272,IF(X272&lt;=11,186+(X272-7)*30+Y272,336+Y272))-1,""))</f>
        <v/>
      </c>
      <c r="AA272" s="7" t="str">
        <f aca="false">IF(H272="","",VALUE(LEFT(H272,FIND("/",H272)-1)))</f>
        <v/>
      </c>
      <c r="AB272" s="7" t="str">
        <f aca="false">IF(H272="","",VALUE(MID(H272,FIND("/",H272)+1,FIND("/",H272,FIND("/",H272)+1)-FIND("/",H272)-1)))</f>
        <v/>
      </c>
      <c r="AC272" s="7" t="str">
        <f aca="false">IF(H272="","",VALUE(MID(H272,FIND("/",H272,FIND("/",H272)+1)+1,LEN(H272)-FIND("/",H272,FIND("/",H272)+1))))</f>
        <v/>
      </c>
      <c r="AD272" s="7" t="str">
        <f aca="false">IF(OR(H272="",AA272=""),"",IFERROR(INDEX('لیست‌ها'!$Q$3:$Q$53,MATCH(AA272,'لیست‌ها'!$P$3:$P$53,0))+IF(AB272&lt;=6,(AB272-1)*31+AC272,IF(AB272&lt;=11,186+(AB272-7)*30+AC272,336+AC272))-1,""))</f>
        <v/>
      </c>
      <c r="AE272" s="7" t="str">
        <f aca="false">IF(P272="","",VALUE(LEFT(P272,FIND("/",P272)-1)))</f>
        <v/>
      </c>
      <c r="AF272" s="7" t="str">
        <f aca="false">IF(P272="","",VALUE(MID(P272,FIND("/",P272)+1,FIND("/",P272,FIND("/",P272)+1)-FIND("/",P272)-1)))</f>
        <v/>
      </c>
      <c r="AG272" s="7" t="str">
        <f aca="false">IF(P272="","",VALUE(MID(P272,FIND("/",P272,FIND("/",P272)+1)+1,LEN(P272)-FIND("/",P272,FIND("/",P272)+1))))</f>
        <v/>
      </c>
      <c r="AH272" s="7" t="str">
        <f aca="false">IF(OR(P272="",AE272=""),"",IFERROR(INDEX('لیست‌ها'!$Q$3:$Q$53,MATCH(AE272,'لیست‌ها'!$P$3:$P$53,0))+IF(AF272&lt;=6,(AF272-1)*31+AG272,IF(AF272&lt;=11,186+(AF272-7)*30+AG272,336+AG272))-1,""))</f>
        <v/>
      </c>
      <c r="AI272" s="7" t="str">
        <f aca="false">IF(W272="","",W272&amp;"-"&amp;TEXT(X272,"00"))</f>
        <v/>
      </c>
      <c r="AJ272" s="7" t="str">
        <f aca="false">IF(W272="","",W272*12+X272)</f>
        <v/>
      </c>
      <c r="AK272" s="7" t="str">
        <f aca="false">IF(U272="تاخیر",V272+ROW()/100000,"")</f>
        <v/>
      </c>
    </row>
    <row r="273" customFormat="false" ht="15" hidden="false" customHeight="false" outlineLevel="0" collapsed="false">
      <c r="A273" s="7" t="str">
        <f aca="false">IF(B273="","",ROW()-3)</f>
        <v/>
      </c>
      <c r="B273" s="8"/>
      <c r="C273" s="8"/>
      <c r="D273" s="8"/>
      <c r="E273" s="9"/>
      <c r="F273" s="9"/>
      <c r="G273" s="8"/>
      <c r="H273" s="8"/>
      <c r="I273" s="8"/>
      <c r="J273" s="9"/>
      <c r="K273" s="8"/>
      <c r="L273" s="8"/>
      <c r="M273" s="8"/>
      <c r="N273" s="8"/>
      <c r="O273" s="8"/>
      <c r="P273" s="8"/>
      <c r="Q273" s="8"/>
      <c r="R273" s="9"/>
      <c r="S273" s="8"/>
      <c r="T273" s="9"/>
      <c r="U273" s="10" t="str">
        <f aca="true">IF(B273="","",IF(OR(P273&lt;&gt;"",I273="می‌باشد"),"بسته",IF(AND(L273&lt;&gt;"",W273=""),"خطای فرمت تاریخ ایجاد",IF(AND(H273&lt;&gt;"",AA273=""),"خطای فرمت مهلت",IF(AND(H273&lt;&gt;"",AD273&lt;&gt;"",TODAY()&gt;AD273),"تاخیر",IF(L273&lt;&gt;"","در حال انجام",""))))))</f>
        <v/>
      </c>
      <c r="V273" s="7" t="n">
        <f aca="true">IF(U273="تاخیر",TODAY()-AD273,IF(AND(U273="بسته",AH273&lt;&gt;"",AD273&lt;&gt;"",AH273&gt;AD273),AH273-AD273,0))</f>
        <v>0</v>
      </c>
      <c r="W273" s="7" t="str">
        <f aca="false">IF(L273="","",VALUE(LEFT(L273,FIND("/",L273)-1)))</f>
        <v/>
      </c>
      <c r="X273" s="7" t="str">
        <f aca="false">IF(L273="","",VALUE(MID(L273,FIND("/",L273)+1,FIND("/",L273,FIND("/",L273)+1)-FIND("/",L273)-1)))</f>
        <v/>
      </c>
      <c r="Y273" s="7" t="str">
        <f aca="false">IF(L273="","",VALUE(MID(L273,FIND("/",L273,FIND("/",L273)+1)+1,LEN(L273)-FIND("/",L273,FIND("/",L273)+1))))</f>
        <v/>
      </c>
      <c r="Z273" s="7" t="str">
        <f aca="false">IF(OR(L273="",W273=""),"",IFERROR(INDEX('لیست‌ها'!$Q$3:$Q$53,MATCH(W273,'لیست‌ها'!$P$3:$P$53,0))+IF(X273&lt;=6,(X273-1)*31+Y273,IF(X273&lt;=11,186+(X273-7)*30+Y273,336+Y273))-1,""))</f>
        <v/>
      </c>
      <c r="AA273" s="7" t="str">
        <f aca="false">IF(H273="","",VALUE(LEFT(H273,FIND("/",H273)-1)))</f>
        <v/>
      </c>
      <c r="AB273" s="7" t="str">
        <f aca="false">IF(H273="","",VALUE(MID(H273,FIND("/",H273)+1,FIND("/",H273,FIND("/",H273)+1)-FIND("/",H273)-1)))</f>
        <v/>
      </c>
      <c r="AC273" s="7" t="str">
        <f aca="false">IF(H273="","",VALUE(MID(H273,FIND("/",H273,FIND("/",H273)+1)+1,LEN(H273)-FIND("/",H273,FIND("/",H273)+1))))</f>
        <v/>
      </c>
      <c r="AD273" s="7" t="str">
        <f aca="false">IF(OR(H273="",AA273=""),"",IFERROR(INDEX('لیست‌ها'!$Q$3:$Q$53,MATCH(AA273,'لیست‌ها'!$P$3:$P$53,0))+IF(AB273&lt;=6,(AB273-1)*31+AC273,IF(AB273&lt;=11,186+(AB273-7)*30+AC273,336+AC273))-1,""))</f>
        <v/>
      </c>
      <c r="AE273" s="7" t="str">
        <f aca="false">IF(P273="","",VALUE(LEFT(P273,FIND("/",P273)-1)))</f>
        <v/>
      </c>
      <c r="AF273" s="7" t="str">
        <f aca="false">IF(P273="","",VALUE(MID(P273,FIND("/",P273)+1,FIND("/",P273,FIND("/",P273)+1)-FIND("/",P273)-1)))</f>
        <v/>
      </c>
      <c r="AG273" s="7" t="str">
        <f aca="false">IF(P273="","",VALUE(MID(P273,FIND("/",P273,FIND("/",P273)+1)+1,LEN(P273)-FIND("/",P273,FIND("/",P273)+1))))</f>
        <v/>
      </c>
      <c r="AH273" s="7" t="str">
        <f aca="false">IF(OR(P273="",AE273=""),"",IFERROR(INDEX('لیست‌ها'!$Q$3:$Q$53,MATCH(AE273,'لیست‌ها'!$P$3:$P$53,0))+IF(AF273&lt;=6,(AF273-1)*31+AG273,IF(AF273&lt;=11,186+(AF273-7)*30+AG273,336+AG273))-1,""))</f>
        <v/>
      </c>
      <c r="AI273" s="7" t="str">
        <f aca="false">IF(W273="","",W273&amp;"-"&amp;TEXT(X273,"00"))</f>
        <v/>
      </c>
      <c r="AJ273" s="7" t="str">
        <f aca="false">IF(W273="","",W273*12+X273)</f>
        <v/>
      </c>
      <c r="AK273" s="7" t="str">
        <f aca="false">IF(U273="تاخیر",V273+ROW()/100000,"")</f>
        <v/>
      </c>
    </row>
    <row r="274" customFormat="false" ht="15" hidden="false" customHeight="false" outlineLevel="0" collapsed="false">
      <c r="A274" s="7" t="str">
        <f aca="false">IF(B274="","",ROW()-3)</f>
        <v/>
      </c>
      <c r="B274" s="8"/>
      <c r="C274" s="8"/>
      <c r="D274" s="8"/>
      <c r="E274" s="9"/>
      <c r="F274" s="9"/>
      <c r="G274" s="8"/>
      <c r="H274" s="8"/>
      <c r="I274" s="8"/>
      <c r="J274" s="9"/>
      <c r="K274" s="8"/>
      <c r="L274" s="8"/>
      <c r="M274" s="8"/>
      <c r="N274" s="8"/>
      <c r="O274" s="8"/>
      <c r="P274" s="8"/>
      <c r="Q274" s="8"/>
      <c r="R274" s="9"/>
      <c r="S274" s="8"/>
      <c r="T274" s="9"/>
      <c r="U274" s="10" t="str">
        <f aca="true">IF(B274="","",IF(OR(P274&lt;&gt;"",I274="می‌باشد"),"بسته",IF(AND(L274&lt;&gt;"",W274=""),"خطای فرمت تاریخ ایجاد",IF(AND(H274&lt;&gt;"",AA274=""),"خطای فرمت مهلت",IF(AND(H274&lt;&gt;"",AD274&lt;&gt;"",TODAY()&gt;AD274),"تاخیر",IF(L274&lt;&gt;"","در حال انجام",""))))))</f>
        <v/>
      </c>
      <c r="V274" s="7" t="n">
        <f aca="true">IF(U274="تاخیر",TODAY()-AD274,IF(AND(U274="بسته",AH274&lt;&gt;"",AD274&lt;&gt;"",AH274&gt;AD274),AH274-AD274,0))</f>
        <v>0</v>
      </c>
      <c r="W274" s="7" t="str">
        <f aca="false">IF(L274="","",VALUE(LEFT(L274,FIND("/",L274)-1)))</f>
        <v/>
      </c>
      <c r="X274" s="7" t="str">
        <f aca="false">IF(L274="","",VALUE(MID(L274,FIND("/",L274)+1,FIND("/",L274,FIND("/",L274)+1)-FIND("/",L274)-1)))</f>
        <v/>
      </c>
      <c r="Y274" s="7" t="str">
        <f aca="false">IF(L274="","",VALUE(MID(L274,FIND("/",L274,FIND("/",L274)+1)+1,LEN(L274)-FIND("/",L274,FIND("/",L274)+1))))</f>
        <v/>
      </c>
      <c r="Z274" s="7" t="str">
        <f aca="false">IF(OR(L274="",W274=""),"",IFERROR(INDEX('لیست‌ها'!$Q$3:$Q$53,MATCH(W274,'لیست‌ها'!$P$3:$P$53,0))+IF(X274&lt;=6,(X274-1)*31+Y274,IF(X274&lt;=11,186+(X274-7)*30+Y274,336+Y274))-1,""))</f>
        <v/>
      </c>
      <c r="AA274" s="7" t="str">
        <f aca="false">IF(H274="","",VALUE(LEFT(H274,FIND("/",H274)-1)))</f>
        <v/>
      </c>
      <c r="AB274" s="7" t="str">
        <f aca="false">IF(H274="","",VALUE(MID(H274,FIND("/",H274)+1,FIND("/",H274,FIND("/",H274)+1)-FIND("/",H274)-1)))</f>
        <v/>
      </c>
      <c r="AC274" s="7" t="str">
        <f aca="false">IF(H274="","",VALUE(MID(H274,FIND("/",H274,FIND("/",H274)+1)+1,LEN(H274)-FIND("/",H274,FIND("/",H274)+1))))</f>
        <v/>
      </c>
      <c r="AD274" s="7" t="str">
        <f aca="false">IF(OR(H274="",AA274=""),"",IFERROR(INDEX('لیست‌ها'!$Q$3:$Q$53,MATCH(AA274,'لیست‌ها'!$P$3:$P$53,0))+IF(AB274&lt;=6,(AB274-1)*31+AC274,IF(AB274&lt;=11,186+(AB274-7)*30+AC274,336+AC274))-1,""))</f>
        <v/>
      </c>
      <c r="AE274" s="7" t="str">
        <f aca="false">IF(P274="","",VALUE(LEFT(P274,FIND("/",P274)-1)))</f>
        <v/>
      </c>
      <c r="AF274" s="7" t="str">
        <f aca="false">IF(P274="","",VALUE(MID(P274,FIND("/",P274)+1,FIND("/",P274,FIND("/",P274)+1)-FIND("/",P274)-1)))</f>
        <v/>
      </c>
      <c r="AG274" s="7" t="str">
        <f aca="false">IF(P274="","",VALUE(MID(P274,FIND("/",P274,FIND("/",P274)+1)+1,LEN(P274)-FIND("/",P274,FIND("/",P274)+1))))</f>
        <v/>
      </c>
      <c r="AH274" s="7" t="str">
        <f aca="false">IF(OR(P274="",AE274=""),"",IFERROR(INDEX('لیست‌ها'!$Q$3:$Q$53,MATCH(AE274,'لیست‌ها'!$P$3:$P$53,0))+IF(AF274&lt;=6,(AF274-1)*31+AG274,IF(AF274&lt;=11,186+(AF274-7)*30+AG274,336+AG274))-1,""))</f>
        <v/>
      </c>
      <c r="AI274" s="7" t="str">
        <f aca="false">IF(W274="","",W274&amp;"-"&amp;TEXT(X274,"00"))</f>
        <v/>
      </c>
      <c r="AJ274" s="7" t="str">
        <f aca="false">IF(W274="","",W274*12+X274)</f>
        <v/>
      </c>
      <c r="AK274" s="7" t="str">
        <f aca="false">IF(U274="تاخیر",V274+ROW()/100000,"")</f>
        <v/>
      </c>
    </row>
    <row r="275" customFormat="false" ht="15" hidden="false" customHeight="false" outlineLevel="0" collapsed="false">
      <c r="A275" s="7" t="str">
        <f aca="false">IF(B275="","",ROW()-3)</f>
        <v/>
      </c>
      <c r="B275" s="8"/>
      <c r="C275" s="8"/>
      <c r="D275" s="8"/>
      <c r="E275" s="9"/>
      <c r="F275" s="9"/>
      <c r="G275" s="8"/>
      <c r="H275" s="8"/>
      <c r="I275" s="8"/>
      <c r="J275" s="9"/>
      <c r="K275" s="8"/>
      <c r="L275" s="8"/>
      <c r="M275" s="8"/>
      <c r="N275" s="8"/>
      <c r="O275" s="8"/>
      <c r="P275" s="8"/>
      <c r="Q275" s="8"/>
      <c r="R275" s="9"/>
      <c r="S275" s="8"/>
      <c r="T275" s="9"/>
      <c r="U275" s="10" t="str">
        <f aca="true">IF(B275="","",IF(OR(P275&lt;&gt;"",I275="می‌باشد"),"بسته",IF(AND(L275&lt;&gt;"",W275=""),"خطای فرمت تاریخ ایجاد",IF(AND(H275&lt;&gt;"",AA275=""),"خطای فرمت مهلت",IF(AND(H275&lt;&gt;"",AD275&lt;&gt;"",TODAY()&gt;AD275),"تاخیر",IF(L275&lt;&gt;"","در حال انجام",""))))))</f>
        <v/>
      </c>
      <c r="V275" s="7" t="n">
        <f aca="true">IF(U275="تاخیر",TODAY()-AD275,IF(AND(U275="بسته",AH275&lt;&gt;"",AD275&lt;&gt;"",AH275&gt;AD275),AH275-AD275,0))</f>
        <v>0</v>
      </c>
      <c r="W275" s="7" t="str">
        <f aca="false">IF(L275="","",VALUE(LEFT(L275,FIND("/",L275)-1)))</f>
        <v/>
      </c>
      <c r="X275" s="7" t="str">
        <f aca="false">IF(L275="","",VALUE(MID(L275,FIND("/",L275)+1,FIND("/",L275,FIND("/",L275)+1)-FIND("/",L275)-1)))</f>
        <v/>
      </c>
      <c r="Y275" s="7" t="str">
        <f aca="false">IF(L275="","",VALUE(MID(L275,FIND("/",L275,FIND("/",L275)+1)+1,LEN(L275)-FIND("/",L275,FIND("/",L275)+1))))</f>
        <v/>
      </c>
      <c r="Z275" s="7" t="str">
        <f aca="false">IF(OR(L275="",W275=""),"",IFERROR(INDEX('لیست‌ها'!$Q$3:$Q$53,MATCH(W275,'لیست‌ها'!$P$3:$P$53,0))+IF(X275&lt;=6,(X275-1)*31+Y275,IF(X275&lt;=11,186+(X275-7)*30+Y275,336+Y275))-1,""))</f>
        <v/>
      </c>
      <c r="AA275" s="7" t="str">
        <f aca="false">IF(H275="","",VALUE(LEFT(H275,FIND("/",H275)-1)))</f>
        <v/>
      </c>
      <c r="AB275" s="7" t="str">
        <f aca="false">IF(H275="","",VALUE(MID(H275,FIND("/",H275)+1,FIND("/",H275,FIND("/",H275)+1)-FIND("/",H275)-1)))</f>
        <v/>
      </c>
      <c r="AC275" s="7" t="str">
        <f aca="false">IF(H275="","",VALUE(MID(H275,FIND("/",H275,FIND("/",H275)+1)+1,LEN(H275)-FIND("/",H275,FIND("/",H275)+1))))</f>
        <v/>
      </c>
      <c r="AD275" s="7" t="str">
        <f aca="false">IF(OR(H275="",AA275=""),"",IFERROR(INDEX('لیست‌ها'!$Q$3:$Q$53,MATCH(AA275,'لیست‌ها'!$P$3:$P$53,0))+IF(AB275&lt;=6,(AB275-1)*31+AC275,IF(AB275&lt;=11,186+(AB275-7)*30+AC275,336+AC275))-1,""))</f>
        <v/>
      </c>
      <c r="AE275" s="7" t="str">
        <f aca="false">IF(P275="","",VALUE(LEFT(P275,FIND("/",P275)-1)))</f>
        <v/>
      </c>
      <c r="AF275" s="7" t="str">
        <f aca="false">IF(P275="","",VALUE(MID(P275,FIND("/",P275)+1,FIND("/",P275,FIND("/",P275)+1)-FIND("/",P275)-1)))</f>
        <v/>
      </c>
      <c r="AG275" s="7" t="str">
        <f aca="false">IF(P275="","",VALUE(MID(P275,FIND("/",P275,FIND("/",P275)+1)+1,LEN(P275)-FIND("/",P275,FIND("/",P275)+1))))</f>
        <v/>
      </c>
      <c r="AH275" s="7" t="str">
        <f aca="false">IF(OR(P275="",AE275=""),"",IFERROR(INDEX('لیست‌ها'!$Q$3:$Q$53,MATCH(AE275,'لیست‌ها'!$P$3:$P$53,0))+IF(AF275&lt;=6,(AF275-1)*31+AG275,IF(AF275&lt;=11,186+(AF275-7)*30+AG275,336+AG275))-1,""))</f>
        <v/>
      </c>
      <c r="AI275" s="7" t="str">
        <f aca="false">IF(W275="","",W275&amp;"-"&amp;TEXT(X275,"00"))</f>
        <v/>
      </c>
      <c r="AJ275" s="7" t="str">
        <f aca="false">IF(W275="","",W275*12+X275)</f>
        <v/>
      </c>
      <c r="AK275" s="7" t="str">
        <f aca="false">IF(U275="تاخیر",V275+ROW()/100000,"")</f>
        <v/>
      </c>
    </row>
    <row r="276" customFormat="false" ht="15" hidden="false" customHeight="false" outlineLevel="0" collapsed="false">
      <c r="A276" s="7" t="str">
        <f aca="false">IF(B276="","",ROW()-3)</f>
        <v/>
      </c>
      <c r="B276" s="8"/>
      <c r="C276" s="8"/>
      <c r="D276" s="8"/>
      <c r="E276" s="9"/>
      <c r="F276" s="9"/>
      <c r="G276" s="8"/>
      <c r="H276" s="8"/>
      <c r="I276" s="8"/>
      <c r="J276" s="9"/>
      <c r="K276" s="8"/>
      <c r="L276" s="8"/>
      <c r="M276" s="8"/>
      <c r="N276" s="8"/>
      <c r="O276" s="8"/>
      <c r="P276" s="8"/>
      <c r="Q276" s="8"/>
      <c r="R276" s="9"/>
      <c r="S276" s="8"/>
      <c r="T276" s="9"/>
      <c r="U276" s="10" t="str">
        <f aca="true">IF(B276="","",IF(OR(P276&lt;&gt;"",I276="می‌باشد"),"بسته",IF(AND(L276&lt;&gt;"",W276=""),"خطای فرمت تاریخ ایجاد",IF(AND(H276&lt;&gt;"",AA276=""),"خطای فرمت مهلت",IF(AND(H276&lt;&gt;"",AD276&lt;&gt;"",TODAY()&gt;AD276),"تاخیر",IF(L276&lt;&gt;"","در حال انجام",""))))))</f>
        <v/>
      </c>
      <c r="V276" s="7" t="n">
        <f aca="true">IF(U276="تاخیر",TODAY()-AD276,IF(AND(U276="بسته",AH276&lt;&gt;"",AD276&lt;&gt;"",AH276&gt;AD276),AH276-AD276,0))</f>
        <v>0</v>
      </c>
      <c r="W276" s="7" t="str">
        <f aca="false">IF(L276="","",VALUE(LEFT(L276,FIND("/",L276)-1)))</f>
        <v/>
      </c>
      <c r="X276" s="7" t="str">
        <f aca="false">IF(L276="","",VALUE(MID(L276,FIND("/",L276)+1,FIND("/",L276,FIND("/",L276)+1)-FIND("/",L276)-1)))</f>
        <v/>
      </c>
      <c r="Y276" s="7" t="str">
        <f aca="false">IF(L276="","",VALUE(MID(L276,FIND("/",L276,FIND("/",L276)+1)+1,LEN(L276)-FIND("/",L276,FIND("/",L276)+1))))</f>
        <v/>
      </c>
      <c r="Z276" s="7" t="str">
        <f aca="false">IF(OR(L276="",W276=""),"",IFERROR(INDEX('لیست‌ها'!$Q$3:$Q$53,MATCH(W276,'لیست‌ها'!$P$3:$P$53,0))+IF(X276&lt;=6,(X276-1)*31+Y276,IF(X276&lt;=11,186+(X276-7)*30+Y276,336+Y276))-1,""))</f>
        <v/>
      </c>
      <c r="AA276" s="7" t="str">
        <f aca="false">IF(H276="","",VALUE(LEFT(H276,FIND("/",H276)-1)))</f>
        <v/>
      </c>
      <c r="AB276" s="7" t="str">
        <f aca="false">IF(H276="","",VALUE(MID(H276,FIND("/",H276)+1,FIND("/",H276,FIND("/",H276)+1)-FIND("/",H276)-1)))</f>
        <v/>
      </c>
      <c r="AC276" s="7" t="str">
        <f aca="false">IF(H276="","",VALUE(MID(H276,FIND("/",H276,FIND("/",H276)+1)+1,LEN(H276)-FIND("/",H276,FIND("/",H276)+1))))</f>
        <v/>
      </c>
      <c r="AD276" s="7" t="str">
        <f aca="false">IF(OR(H276="",AA276=""),"",IFERROR(INDEX('لیست‌ها'!$Q$3:$Q$53,MATCH(AA276,'لیست‌ها'!$P$3:$P$53,0))+IF(AB276&lt;=6,(AB276-1)*31+AC276,IF(AB276&lt;=11,186+(AB276-7)*30+AC276,336+AC276))-1,""))</f>
        <v/>
      </c>
      <c r="AE276" s="7" t="str">
        <f aca="false">IF(P276="","",VALUE(LEFT(P276,FIND("/",P276)-1)))</f>
        <v/>
      </c>
      <c r="AF276" s="7" t="str">
        <f aca="false">IF(P276="","",VALUE(MID(P276,FIND("/",P276)+1,FIND("/",P276,FIND("/",P276)+1)-FIND("/",P276)-1)))</f>
        <v/>
      </c>
      <c r="AG276" s="7" t="str">
        <f aca="false">IF(P276="","",VALUE(MID(P276,FIND("/",P276,FIND("/",P276)+1)+1,LEN(P276)-FIND("/",P276,FIND("/",P276)+1))))</f>
        <v/>
      </c>
      <c r="AH276" s="7" t="str">
        <f aca="false">IF(OR(P276="",AE276=""),"",IFERROR(INDEX('لیست‌ها'!$Q$3:$Q$53,MATCH(AE276,'لیست‌ها'!$P$3:$P$53,0))+IF(AF276&lt;=6,(AF276-1)*31+AG276,IF(AF276&lt;=11,186+(AF276-7)*30+AG276,336+AG276))-1,""))</f>
        <v/>
      </c>
      <c r="AI276" s="7" t="str">
        <f aca="false">IF(W276="","",W276&amp;"-"&amp;TEXT(X276,"00"))</f>
        <v/>
      </c>
      <c r="AJ276" s="7" t="str">
        <f aca="false">IF(W276="","",W276*12+X276)</f>
        <v/>
      </c>
      <c r="AK276" s="7" t="str">
        <f aca="false">IF(U276="تاخیر",V276+ROW()/100000,"")</f>
        <v/>
      </c>
    </row>
    <row r="277" customFormat="false" ht="15" hidden="false" customHeight="false" outlineLevel="0" collapsed="false">
      <c r="A277" s="7" t="str">
        <f aca="false">IF(B277="","",ROW()-3)</f>
        <v/>
      </c>
      <c r="B277" s="8"/>
      <c r="C277" s="8"/>
      <c r="D277" s="8"/>
      <c r="E277" s="9"/>
      <c r="F277" s="9"/>
      <c r="G277" s="8"/>
      <c r="H277" s="8"/>
      <c r="I277" s="8"/>
      <c r="J277" s="9"/>
      <c r="K277" s="8"/>
      <c r="L277" s="8"/>
      <c r="M277" s="8"/>
      <c r="N277" s="8"/>
      <c r="O277" s="8"/>
      <c r="P277" s="8"/>
      <c r="Q277" s="8"/>
      <c r="R277" s="9"/>
      <c r="S277" s="8"/>
      <c r="T277" s="9"/>
      <c r="U277" s="10" t="str">
        <f aca="true">IF(B277="","",IF(OR(P277&lt;&gt;"",I277="می‌باشد"),"بسته",IF(AND(L277&lt;&gt;"",W277=""),"خطای فرمت تاریخ ایجاد",IF(AND(H277&lt;&gt;"",AA277=""),"خطای فرمت مهلت",IF(AND(H277&lt;&gt;"",AD277&lt;&gt;"",TODAY()&gt;AD277),"تاخیر",IF(L277&lt;&gt;"","در حال انجام",""))))))</f>
        <v/>
      </c>
      <c r="V277" s="7" t="n">
        <f aca="true">IF(U277="تاخیر",TODAY()-AD277,IF(AND(U277="بسته",AH277&lt;&gt;"",AD277&lt;&gt;"",AH277&gt;AD277),AH277-AD277,0))</f>
        <v>0</v>
      </c>
      <c r="W277" s="7" t="str">
        <f aca="false">IF(L277="","",VALUE(LEFT(L277,FIND("/",L277)-1)))</f>
        <v/>
      </c>
      <c r="X277" s="7" t="str">
        <f aca="false">IF(L277="","",VALUE(MID(L277,FIND("/",L277)+1,FIND("/",L277,FIND("/",L277)+1)-FIND("/",L277)-1)))</f>
        <v/>
      </c>
      <c r="Y277" s="7" t="str">
        <f aca="false">IF(L277="","",VALUE(MID(L277,FIND("/",L277,FIND("/",L277)+1)+1,LEN(L277)-FIND("/",L277,FIND("/",L277)+1))))</f>
        <v/>
      </c>
      <c r="Z277" s="7" t="str">
        <f aca="false">IF(OR(L277="",W277=""),"",IFERROR(INDEX('لیست‌ها'!$Q$3:$Q$53,MATCH(W277,'لیست‌ها'!$P$3:$P$53,0))+IF(X277&lt;=6,(X277-1)*31+Y277,IF(X277&lt;=11,186+(X277-7)*30+Y277,336+Y277))-1,""))</f>
        <v/>
      </c>
      <c r="AA277" s="7" t="str">
        <f aca="false">IF(H277="","",VALUE(LEFT(H277,FIND("/",H277)-1)))</f>
        <v/>
      </c>
      <c r="AB277" s="7" t="str">
        <f aca="false">IF(H277="","",VALUE(MID(H277,FIND("/",H277)+1,FIND("/",H277,FIND("/",H277)+1)-FIND("/",H277)-1)))</f>
        <v/>
      </c>
      <c r="AC277" s="7" t="str">
        <f aca="false">IF(H277="","",VALUE(MID(H277,FIND("/",H277,FIND("/",H277)+1)+1,LEN(H277)-FIND("/",H277,FIND("/",H277)+1))))</f>
        <v/>
      </c>
      <c r="AD277" s="7" t="str">
        <f aca="false">IF(OR(H277="",AA277=""),"",IFERROR(INDEX('لیست‌ها'!$Q$3:$Q$53,MATCH(AA277,'لیست‌ها'!$P$3:$P$53,0))+IF(AB277&lt;=6,(AB277-1)*31+AC277,IF(AB277&lt;=11,186+(AB277-7)*30+AC277,336+AC277))-1,""))</f>
        <v/>
      </c>
      <c r="AE277" s="7" t="str">
        <f aca="false">IF(P277="","",VALUE(LEFT(P277,FIND("/",P277)-1)))</f>
        <v/>
      </c>
      <c r="AF277" s="7" t="str">
        <f aca="false">IF(P277="","",VALUE(MID(P277,FIND("/",P277)+1,FIND("/",P277,FIND("/",P277)+1)-FIND("/",P277)-1)))</f>
        <v/>
      </c>
      <c r="AG277" s="7" t="str">
        <f aca="false">IF(P277="","",VALUE(MID(P277,FIND("/",P277,FIND("/",P277)+1)+1,LEN(P277)-FIND("/",P277,FIND("/",P277)+1))))</f>
        <v/>
      </c>
      <c r="AH277" s="7" t="str">
        <f aca="false">IF(OR(P277="",AE277=""),"",IFERROR(INDEX('لیست‌ها'!$Q$3:$Q$53,MATCH(AE277,'لیست‌ها'!$P$3:$P$53,0))+IF(AF277&lt;=6,(AF277-1)*31+AG277,IF(AF277&lt;=11,186+(AF277-7)*30+AG277,336+AG277))-1,""))</f>
        <v/>
      </c>
      <c r="AI277" s="7" t="str">
        <f aca="false">IF(W277="","",W277&amp;"-"&amp;TEXT(X277,"00"))</f>
        <v/>
      </c>
      <c r="AJ277" s="7" t="str">
        <f aca="false">IF(W277="","",W277*12+X277)</f>
        <v/>
      </c>
      <c r="AK277" s="7" t="str">
        <f aca="false">IF(U277="تاخیر",V277+ROW()/100000,"")</f>
        <v/>
      </c>
    </row>
    <row r="278" customFormat="false" ht="15" hidden="false" customHeight="false" outlineLevel="0" collapsed="false">
      <c r="A278" s="7" t="str">
        <f aca="false">IF(B278="","",ROW()-3)</f>
        <v/>
      </c>
      <c r="B278" s="8"/>
      <c r="C278" s="8"/>
      <c r="D278" s="8"/>
      <c r="E278" s="9"/>
      <c r="F278" s="9"/>
      <c r="G278" s="8"/>
      <c r="H278" s="8"/>
      <c r="I278" s="8"/>
      <c r="J278" s="9"/>
      <c r="K278" s="8"/>
      <c r="L278" s="8"/>
      <c r="M278" s="8"/>
      <c r="N278" s="8"/>
      <c r="O278" s="8"/>
      <c r="P278" s="8"/>
      <c r="Q278" s="8"/>
      <c r="R278" s="9"/>
      <c r="S278" s="8"/>
      <c r="T278" s="9"/>
      <c r="U278" s="10" t="str">
        <f aca="true">IF(B278="","",IF(OR(P278&lt;&gt;"",I278="می‌باشد"),"بسته",IF(AND(L278&lt;&gt;"",W278=""),"خطای فرمت تاریخ ایجاد",IF(AND(H278&lt;&gt;"",AA278=""),"خطای فرمت مهلت",IF(AND(H278&lt;&gt;"",AD278&lt;&gt;"",TODAY()&gt;AD278),"تاخیر",IF(L278&lt;&gt;"","در حال انجام",""))))))</f>
        <v/>
      </c>
      <c r="V278" s="7" t="n">
        <f aca="true">IF(U278="تاخیر",TODAY()-AD278,IF(AND(U278="بسته",AH278&lt;&gt;"",AD278&lt;&gt;"",AH278&gt;AD278),AH278-AD278,0))</f>
        <v>0</v>
      </c>
      <c r="W278" s="7" t="str">
        <f aca="false">IF(L278="","",VALUE(LEFT(L278,FIND("/",L278)-1)))</f>
        <v/>
      </c>
      <c r="X278" s="7" t="str">
        <f aca="false">IF(L278="","",VALUE(MID(L278,FIND("/",L278)+1,FIND("/",L278,FIND("/",L278)+1)-FIND("/",L278)-1)))</f>
        <v/>
      </c>
      <c r="Y278" s="7" t="str">
        <f aca="false">IF(L278="","",VALUE(MID(L278,FIND("/",L278,FIND("/",L278)+1)+1,LEN(L278)-FIND("/",L278,FIND("/",L278)+1))))</f>
        <v/>
      </c>
      <c r="Z278" s="7" t="str">
        <f aca="false">IF(OR(L278="",W278=""),"",IFERROR(INDEX('لیست‌ها'!$Q$3:$Q$53,MATCH(W278,'لیست‌ها'!$P$3:$P$53,0))+IF(X278&lt;=6,(X278-1)*31+Y278,IF(X278&lt;=11,186+(X278-7)*30+Y278,336+Y278))-1,""))</f>
        <v/>
      </c>
      <c r="AA278" s="7" t="str">
        <f aca="false">IF(H278="","",VALUE(LEFT(H278,FIND("/",H278)-1)))</f>
        <v/>
      </c>
      <c r="AB278" s="7" t="str">
        <f aca="false">IF(H278="","",VALUE(MID(H278,FIND("/",H278)+1,FIND("/",H278,FIND("/",H278)+1)-FIND("/",H278)-1)))</f>
        <v/>
      </c>
      <c r="AC278" s="7" t="str">
        <f aca="false">IF(H278="","",VALUE(MID(H278,FIND("/",H278,FIND("/",H278)+1)+1,LEN(H278)-FIND("/",H278,FIND("/",H278)+1))))</f>
        <v/>
      </c>
      <c r="AD278" s="7" t="str">
        <f aca="false">IF(OR(H278="",AA278=""),"",IFERROR(INDEX('لیست‌ها'!$Q$3:$Q$53,MATCH(AA278,'لیست‌ها'!$P$3:$P$53,0))+IF(AB278&lt;=6,(AB278-1)*31+AC278,IF(AB278&lt;=11,186+(AB278-7)*30+AC278,336+AC278))-1,""))</f>
        <v/>
      </c>
      <c r="AE278" s="7" t="str">
        <f aca="false">IF(P278="","",VALUE(LEFT(P278,FIND("/",P278)-1)))</f>
        <v/>
      </c>
      <c r="AF278" s="7" t="str">
        <f aca="false">IF(P278="","",VALUE(MID(P278,FIND("/",P278)+1,FIND("/",P278,FIND("/",P278)+1)-FIND("/",P278)-1)))</f>
        <v/>
      </c>
      <c r="AG278" s="7" t="str">
        <f aca="false">IF(P278="","",VALUE(MID(P278,FIND("/",P278,FIND("/",P278)+1)+1,LEN(P278)-FIND("/",P278,FIND("/",P278)+1))))</f>
        <v/>
      </c>
      <c r="AH278" s="7" t="str">
        <f aca="false">IF(OR(P278="",AE278=""),"",IFERROR(INDEX('لیست‌ها'!$Q$3:$Q$53,MATCH(AE278,'لیست‌ها'!$P$3:$P$53,0))+IF(AF278&lt;=6,(AF278-1)*31+AG278,IF(AF278&lt;=11,186+(AF278-7)*30+AG278,336+AG278))-1,""))</f>
        <v/>
      </c>
      <c r="AI278" s="7" t="str">
        <f aca="false">IF(W278="","",W278&amp;"-"&amp;TEXT(X278,"00"))</f>
        <v/>
      </c>
      <c r="AJ278" s="7" t="str">
        <f aca="false">IF(W278="","",W278*12+X278)</f>
        <v/>
      </c>
      <c r="AK278" s="7" t="str">
        <f aca="false">IF(U278="تاخیر",V278+ROW()/100000,"")</f>
        <v/>
      </c>
    </row>
    <row r="279" customFormat="false" ht="15" hidden="false" customHeight="false" outlineLevel="0" collapsed="false">
      <c r="A279" s="7" t="str">
        <f aca="false">IF(B279="","",ROW()-3)</f>
        <v/>
      </c>
      <c r="B279" s="8"/>
      <c r="C279" s="8"/>
      <c r="D279" s="8"/>
      <c r="E279" s="9"/>
      <c r="F279" s="9"/>
      <c r="G279" s="8"/>
      <c r="H279" s="8"/>
      <c r="I279" s="8"/>
      <c r="J279" s="9"/>
      <c r="K279" s="8"/>
      <c r="L279" s="8"/>
      <c r="M279" s="8"/>
      <c r="N279" s="8"/>
      <c r="O279" s="8"/>
      <c r="P279" s="8"/>
      <c r="Q279" s="8"/>
      <c r="R279" s="9"/>
      <c r="S279" s="8"/>
      <c r="T279" s="9"/>
      <c r="U279" s="10" t="str">
        <f aca="true">IF(B279="","",IF(OR(P279&lt;&gt;"",I279="می‌باشد"),"بسته",IF(AND(L279&lt;&gt;"",W279=""),"خطای فرمت تاریخ ایجاد",IF(AND(H279&lt;&gt;"",AA279=""),"خطای فرمت مهلت",IF(AND(H279&lt;&gt;"",AD279&lt;&gt;"",TODAY()&gt;AD279),"تاخیر",IF(L279&lt;&gt;"","در حال انجام",""))))))</f>
        <v/>
      </c>
      <c r="V279" s="7" t="n">
        <f aca="true">IF(U279="تاخیر",TODAY()-AD279,IF(AND(U279="بسته",AH279&lt;&gt;"",AD279&lt;&gt;"",AH279&gt;AD279),AH279-AD279,0))</f>
        <v>0</v>
      </c>
      <c r="W279" s="7" t="str">
        <f aca="false">IF(L279="","",VALUE(LEFT(L279,FIND("/",L279)-1)))</f>
        <v/>
      </c>
      <c r="X279" s="7" t="str">
        <f aca="false">IF(L279="","",VALUE(MID(L279,FIND("/",L279)+1,FIND("/",L279,FIND("/",L279)+1)-FIND("/",L279)-1)))</f>
        <v/>
      </c>
      <c r="Y279" s="7" t="str">
        <f aca="false">IF(L279="","",VALUE(MID(L279,FIND("/",L279,FIND("/",L279)+1)+1,LEN(L279)-FIND("/",L279,FIND("/",L279)+1))))</f>
        <v/>
      </c>
      <c r="Z279" s="7" t="str">
        <f aca="false">IF(OR(L279="",W279=""),"",IFERROR(INDEX('لیست‌ها'!$Q$3:$Q$53,MATCH(W279,'لیست‌ها'!$P$3:$P$53,0))+IF(X279&lt;=6,(X279-1)*31+Y279,IF(X279&lt;=11,186+(X279-7)*30+Y279,336+Y279))-1,""))</f>
        <v/>
      </c>
      <c r="AA279" s="7" t="str">
        <f aca="false">IF(H279="","",VALUE(LEFT(H279,FIND("/",H279)-1)))</f>
        <v/>
      </c>
      <c r="AB279" s="7" t="str">
        <f aca="false">IF(H279="","",VALUE(MID(H279,FIND("/",H279)+1,FIND("/",H279,FIND("/",H279)+1)-FIND("/",H279)-1)))</f>
        <v/>
      </c>
      <c r="AC279" s="7" t="str">
        <f aca="false">IF(H279="","",VALUE(MID(H279,FIND("/",H279,FIND("/",H279)+1)+1,LEN(H279)-FIND("/",H279,FIND("/",H279)+1))))</f>
        <v/>
      </c>
      <c r="AD279" s="7" t="str">
        <f aca="false">IF(OR(H279="",AA279=""),"",IFERROR(INDEX('لیست‌ها'!$Q$3:$Q$53,MATCH(AA279,'لیست‌ها'!$P$3:$P$53,0))+IF(AB279&lt;=6,(AB279-1)*31+AC279,IF(AB279&lt;=11,186+(AB279-7)*30+AC279,336+AC279))-1,""))</f>
        <v/>
      </c>
      <c r="AE279" s="7" t="str">
        <f aca="false">IF(P279="","",VALUE(LEFT(P279,FIND("/",P279)-1)))</f>
        <v/>
      </c>
      <c r="AF279" s="7" t="str">
        <f aca="false">IF(P279="","",VALUE(MID(P279,FIND("/",P279)+1,FIND("/",P279,FIND("/",P279)+1)-FIND("/",P279)-1)))</f>
        <v/>
      </c>
      <c r="AG279" s="7" t="str">
        <f aca="false">IF(P279="","",VALUE(MID(P279,FIND("/",P279,FIND("/",P279)+1)+1,LEN(P279)-FIND("/",P279,FIND("/",P279)+1))))</f>
        <v/>
      </c>
      <c r="AH279" s="7" t="str">
        <f aca="false">IF(OR(P279="",AE279=""),"",IFERROR(INDEX('لیست‌ها'!$Q$3:$Q$53,MATCH(AE279,'لیست‌ها'!$P$3:$P$53,0))+IF(AF279&lt;=6,(AF279-1)*31+AG279,IF(AF279&lt;=11,186+(AF279-7)*30+AG279,336+AG279))-1,""))</f>
        <v/>
      </c>
      <c r="AI279" s="7" t="str">
        <f aca="false">IF(W279="","",W279&amp;"-"&amp;TEXT(X279,"00"))</f>
        <v/>
      </c>
      <c r="AJ279" s="7" t="str">
        <f aca="false">IF(W279="","",W279*12+X279)</f>
        <v/>
      </c>
      <c r="AK279" s="7" t="str">
        <f aca="false">IF(U279="تاخیر",V279+ROW()/100000,"")</f>
        <v/>
      </c>
    </row>
    <row r="280" customFormat="false" ht="15" hidden="false" customHeight="false" outlineLevel="0" collapsed="false">
      <c r="A280" s="7" t="str">
        <f aca="false">IF(B280="","",ROW()-3)</f>
        <v/>
      </c>
      <c r="B280" s="8"/>
      <c r="C280" s="8"/>
      <c r="D280" s="8"/>
      <c r="E280" s="9"/>
      <c r="F280" s="9"/>
      <c r="G280" s="8"/>
      <c r="H280" s="8"/>
      <c r="I280" s="8"/>
      <c r="J280" s="9"/>
      <c r="K280" s="8"/>
      <c r="L280" s="8"/>
      <c r="M280" s="8"/>
      <c r="N280" s="8"/>
      <c r="O280" s="8"/>
      <c r="P280" s="8"/>
      <c r="Q280" s="8"/>
      <c r="R280" s="9"/>
      <c r="S280" s="8"/>
      <c r="T280" s="9"/>
      <c r="U280" s="10" t="str">
        <f aca="true">IF(B280="","",IF(OR(P280&lt;&gt;"",I280="می‌باشد"),"بسته",IF(AND(L280&lt;&gt;"",W280=""),"خطای فرمت تاریخ ایجاد",IF(AND(H280&lt;&gt;"",AA280=""),"خطای فرمت مهلت",IF(AND(H280&lt;&gt;"",AD280&lt;&gt;"",TODAY()&gt;AD280),"تاخیر",IF(L280&lt;&gt;"","در حال انجام",""))))))</f>
        <v/>
      </c>
      <c r="V280" s="7" t="n">
        <f aca="true">IF(U280="تاخیر",TODAY()-AD280,IF(AND(U280="بسته",AH280&lt;&gt;"",AD280&lt;&gt;"",AH280&gt;AD280),AH280-AD280,0))</f>
        <v>0</v>
      </c>
      <c r="W280" s="7" t="str">
        <f aca="false">IF(L280="","",VALUE(LEFT(L280,FIND("/",L280)-1)))</f>
        <v/>
      </c>
      <c r="X280" s="7" t="str">
        <f aca="false">IF(L280="","",VALUE(MID(L280,FIND("/",L280)+1,FIND("/",L280,FIND("/",L280)+1)-FIND("/",L280)-1)))</f>
        <v/>
      </c>
      <c r="Y280" s="7" t="str">
        <f aca="false">IF(L280="","",VALUE(MID(L280,FIND("/",L280,FIND("/",L280)+1)+1,LEN(L280)-FIND("/",L280,FIND("/",L280)+1))))</f>
        <v/>
      </c>
      <c r="Z280" s="7" t="str">
        <f aca="false">IF(OR(L280="",W280=""),"",IFERROR(INDEX('لیست‌ها'!$Q$3:$Q$53,MATCH(W280,'لیست‌ها'!$P$3:$P$53,0))+IF(X280&lt;=6,(X280-1)*31+Y280,IF(X280&lt;=11,186+(X280-7)*30+Y280,336+Y280))-1,""))</f>
        <v/>
      </c>
      <c r="AA280" s="7" t="str">
        <f aca="false">IF(H280="","",VALUE(LEFT(H280,FIND("/",H280)-1)))</f>
        <v/>
      </c>
      <c r="AB280" s="7" t="str">
        <f aca="false">IF(H280="","",VALUE(MID(H280,FIND("/",H280)+1,FIND("/",H280,FIND("/",H280)+1)-FIND("/",H280)-1)))</f>
        <v/>
      </c>
      <c r="AC280" s="7" t="str">
        <f aca="false">IF(H280="","",VALUE(MID(H280,FIND("/",H280,FIND("/",H280)+1)+1,LEN(H280)-FIND("/",H280,FIND("/",H280)+1))))</f>
        <v/>
      </c>
      <c r="AD280" s="7" t="str">
        <f aca="false">IF(OR(H280="",AA280=""),"",IFERROR(INDEX('لیست‌ها'!$Q$3:$Q$53,MATCH(AA280,'لیست‌ها'!$P$3:$P$53,0))+IF(AB280&lt;=6,(AB280-1)*31+AC280,IF(AB280&lt;=11,186+(AB280-7)*30+AC280,336+AC280))-1,""))</f>
        <v/>
      </c>
      <c r="AE280" s="7" t="str">
        <f aca="false">IF(P280="","",VALUE(LEFT(P280,FIND("/",P280)-1)))</f>
        <v/>
      </c>
      <c r="AF280" s="7" t="str">
        <f aca="false">IF(P280="","",VALUE(MID(P280,FIND("/",P280)+1,FIND("/",P280,FIND("/",P280)+1)-FIND("/",P280)-1)))</f>
        <v/>
      </c>
      <c r="AG280" s="7" t="str">
        <f aca="false">IF(P280="","",VALUE(MID(P280,FIND("/",P280,FIND("/",P280)+1)+1,LEN(P280)-FIND("/",P280,FIND("/",P280)+1))))</f>
        <v/>
      </c>
      <c r="AH280" s="7" t="str">
        <f aca="false">IF(OR(P280="",AE280=""),"",IFERROR(INDEX('لیست‌ها'!$Q$3:$Q$53,MATCH(AE280,'لیست‌ها'!$P$3:$P$53,0))+IF(AF280&lt;=6,(AF280-1)*31+AG280,IF(AF280&lt;=11,186+(AF280-7)*30+AG280,336+AG280))-1,""))</f>
        <v/>
      </c>
      <c r="AI280" s="7" t="str">
        <f aca="false">IF(W280="","",W280&amp;"-"&amp;TEXT(X280,"00"))</f>
        <v/>
      </c>
      <c r="AJ280" s="7" t="str">
        <f aca="false">IF(W280="","",W280*12+X280)</f>
        <v/>
      </c>
      <c r="AK280" s="7" t="str">
        <f aca="false">IF(U280="تاخیر",V280+ROW()/100000,"")</f>
        <v/>
      </c>
    </row>
    <row r="281" customFormat="false" ht="15" hidden="false" customHeight="false" outlineLevel="0" collapsed="false">
      <c r="A281" s="7" t="str">
        <f aca="false">IF(B281="","",ROW()-3)</f>
        <v/>
      </c>
      <c r="B281" s="8"/>
      <c r="C281" s="8"/>
      <c r="D281" s="8"/>
      <c r="E281" s="9"/>
      <c r="F281" s="9"/>
      <c r="G281" s="8"/>
      <c r="H281" s="8"/>
      <c r="I281" s="8"/>
      <c r="J281" s="9"/>
      <c r="K281" s="8"/>
      <c r="L281" s="8"/>
      <c r="M281" s="8"/>
      <c r="N281" s="8"/>
      <c r="O281" s="8"/>
      <c r="P281" s="8"/>
      <c r="Q281" s="8"/>
      <c r="R281" s="9"/>
      <c r="S281" s="8"/>
      <c r="T281" s="9"/>
      <c r="U281" s="10" t="str">
        <f aca="true">IF(B281="","",IF(OR(P281&lt;&gt;"",I281="می‌باشد"),"بسته",IF(AND(L281&lt;&gt;"",W281=""),"خطای فرمت تاریخ ایجاد",IF(AND(H281&lt;&gt;"",AA281=""),"خطای فرمت مهلت",IF(AND(H281&lt;&gt;"",AD281&lt;&gt;"",TODAY()&gt;AD281),"تاخیر",IF(L281&lt;&gt;"","در حال انجام",""))))))</f>
        <v/>
      </c>
      <c r="V281" s="7" t="n">
        <f aca="true">IF(U281="تاخیر",TODAY()-AD281,IF(AND(U281="بسته",AH281&lt;&gt;"",AD281&lt;&gt;"",AH281&gt;AD281),AH281-AD281,0))</f>
        <v>0</v>
      </c>
      <c r="W281" s="7" t="str">
        <f aca="false">IF(L281="","",VALUE(LEFT(L281,FIND("/",L281)-1)))</f>
        <v/>
      </c>
      <c r="X281" s="7" t="str">
        <f aca="false">IF(L281="","",VALUE(MID(L281,FIND("/",L281)+1,FIND("/",L281,FIND("/",L281)+1)-FIND("/",L281)-1)))</f>
        <v/>
      </c>
      <c r="Y281" s="7" t="str">
        <f aca="false">IF(L281="","",VALUE(MID(L281,FIND("/",L281,FIND("/",L281)+1)+1,LEN(L281)-FIND("/",L281,FIND("/",L281)+1))))</f>
        <v/>
      </c>
      <c r="Z281" s="7" t="str">
        <f aca="false">IF(OR(L281="",W281=""),"",IFERROR(INDEX('لیست‌ها'!$Q$3:$Q$53,MATCH(W281,'لیست‌ها'!$P$3:$P$53,0))+IF(X281&lt;=6,(X281-1)*31+Y281,IF(X281&lt;=11,186+(X281-7)*30+Y281,336+Y281))-1,""))</f>
        <v/>
      </c>
      <c r="AA281" s="7" t="str">
        <f aca="false">IF(H281="","",VALUE(LEFT(H281,FIND("/",H281)-1)))</f>
        <v/>
      </c>
      <c r="AB281" s="7" t="str">
        <f aca="false">IF(H281="","",VALUE(MID(H281,FIND("/",H281)+1,FIND("/",H281,FIND("/",H281)+1)-FIND("/",H281)-1)))</f>
        <v/>
      </c>
      <c r="AC281" s="7" t="str">
        <f aca="false">IF(H281="","",VALUE(MID(H281,FIND("/",H281,FIND("/",H281)+1)+1,LEN(H281)-FIND("/",H281,FIND("/",H281)+1))))</f>
        <v/>
      </c>
      <c r="AD281" s="7" t="str">
        <f aca="false">IF(OR(H281="",AA281=""),"",IFERROR(INDEX('لیست‌ها'!$Q$3:$Q$53,MATCH(AA281,'لیست‌ها'!$P$3:$P$53,0))+IF(AB281&lt;=6,(AB281-1)*31+AC281,IF(AB281&lt;=11,186+(AB281-7)*30+AC281,336+AC281))-1,""))</f>
        <v/>
      </c>
      <c r="AE281" s="7" t="str">
        <f aca="false">IF(P281="","",VALUE(LEFT(P281,FIND("/",P281)-1)))</f>
        <v/>
      </c>
      <c r="AF281" s="7" t="str">
        <f aca="false">IF(P281="","",VALUE(MID(P281,FIND("/",P281)+1,FIND("/",P281,FIND("/",P281)+1)-FIND("/",P281)-1)))</f>
        <v/>
      </c>
      <c r="AG281" s="7" t="str">
        <f aca="false">IF(P281="","",VALUE(MID(P281,FIND("/",P281,FIND("/",P281)+1)+1,LEN(P281)-FIND("/",P281,FIND("/",P281)+1))))</f>
        <v/>
      </c>
      <c r="AH281" s="7" t="str">
        <f aca="false">IF(OR(P281="",AE281=""),"",IFERROR(INDEX('لیست‌ها'!$Q$3:$Q$53,MATCH(AE281,'لیست‌ها'!$P$3:$P$53,0))+IF(AF281&lt;=6,(AF281-1)*31+AG281,IF(AF281&lt;=11,186+(AF281-7)*30+AG281,336+AG281))-1,""))</f>
        <v/>
      </c>
      <c r="AI281" s="7" t="str">
        <f aca="false">IF(W281="","",W281&amp;"-"&amp;TEXT(X281,"00"))</f>
        <v/>
      </c>
      <c r="AJ281" s="7" t="str">
        <f aca="false">IF(W281="","",W281*12+X281)</f>
        <v/>
      </c>
      <c r="AK281" s="7" t="str">
        <f aca="false">IF(U281="تاخیر",V281+ROW()/100000,"")</f>
        <v/>
      </c>
    </row>
    <row r="282" customFormat="false" ht="15" hidden="false" customHeight="false" outlineLevel="0" collapsed="false">
      <c r="A282" s="7" t="str">
        <f aca="false">IF(B282="","",ROW()-3)</f>
        <v/>
      </c>
      <c r="B282" s="8"/>
      <c r="C282" s="8"/>
      <c r="D282" s="8"/>
      <c r="E282" s="9"/>
      <c r="F282" s="9"/>
      <c r="G282" s="8"/>
      <c r="H282" s="8"/>
      <c r="I282" s="8"/>
      <c r="J282" s="9"/>
      <c r="K282" s="8"/>
      <c r="L282" s="8"/>
      <c r="M282" s="8"/>
      <c r="N282" s="8"/>
      <c r="O282" s="8"/>
      <c r="P282" s="8"/>
      <c r="Q282" s="8"/>
      <c r="R282" s="9"/>
      <c r="S282" s="8"/>
      <c r="T282" s="9"/>
      <c r="U282" s="10" t="str">
        <f aca="true">IF(B282="","",IF(OR(P282&lt;&gt;"",I282="می‌باشد"),"بسته",IF(AND(L282&lt;&gt;"",W282=""),"خطای فرمت تاریخ ایجاد",IF(AND(H282&lt;&gt;"",AA282=""),"خطای فرمت مهلت",IF(AND(H282&lt;&gt;"",AD282&lt;&gt;"",TODAY()&gt;AD282),"تاخیر",IF(L282&lt;&gt;"","در حال انجام",""))))))</f>
        <v/>
      </c>
      <c r="V282" s="7" t="n">
        <f aca="true">IF(U282="تاخیر",TODAY()-AD282,IF(AND(U282="بسته",AH282&lt;&gt;"",AD282&lt;&gt;"",AH282&gt;AD282),AH282-AD282,0))</f>
        <v>0</v>
      </c>
      <c r="W282" s="7" t="str">
        <f aca="false">IF(L282="","",VALUE(LEFT(L282,FIND("/",L282)-1)))</f>
        <v/>
      </c>
      <c r="X282" s="7" t="str">
        <f aca="false">IF(L282="","",VALUE(MID(L282,FIND("/",L282)+1,FIND("/",L282,FIND("/",L282)+1)-FIND("/",L282)-1)))</f>
        <v/>
      </c>
      <c r="Y282" s="7" t="str">
        <f aca="false">IF(L282="","",VALUE(MID(L282,FIND("/",L282,FIND("/",L282)+1)+1,LEN(L282)-FIND("/",L282,FIND("/",L282)+1))))</f>
        <v/>
      </c>
      <c r="Z282" s="7" t="str">
        <f aca="false">IF(OR(L282="",W282=""),"",IFERROR(INDEX('لیست‌ها'!$Q$3:$Q$53,MATCH(W282,'لیست‌ها'!$P$3:$P$53,0))+IF(X282&lt;=6,(X282-1)*31+Y282,IF(X282&lt;=11,186+(X282-7)*30+Y282,336+Y282))-1,""))</f>
        <v/>
      </c>
      <c r="AA282" s="7" t="str">
        <f aca="false">IF(H282="","",VALUE(LEFT(H282,FIND("/",H282)-1)))</f>
        <v/>
      </c>
      <c r="AB282" s="7" t="str">
        <f aca="false">IF(H282="","",VALUE(MID(H282,FIND("/",H282)+1,FIND("/",H282,FIND("/",H282)+1)-FIND("/",H282)-1)))</f>
        <v/>
      </c>
      <c r="AC282" s="7" t="str">
        <f aca="false">IF(H282="","",VALUE(MID(H282,FIND("/",H282,FIND("/",H282)+1)+1,LEN(H282)-FIND("/",H282,FIND("/",H282)+1))))</f>
        <v/>
      </c>
      <c r="AD282" s="7" t="str">
        <f aca="false">IF(OR(H282="",AA282=""),"",IFERROR(INDEX('لیست‌ها'!$Q$3:$Q$53,MATCH(AA282,'لیست‌ها'!$P$3:$P$53,0))+IF(AB282&lt;=6,(AB282-1)*31+AC282,IF(AB282&lt;=11,186+(AB282-7)*30+AC282,336+AC282))-1,""))</f>
        <v/>
      </c>
      <c r="AE282" s="7" t="str">
        <f aca="false">IF(P282="","",VALUE(LEFT(P282,FIND("/",P282)-1)))</f>
        <v/>
      </c>
      <c r="AF282" s="7" t="str">
        <f aca="false">IF(P282="","",VALUE(MID(P282,FIND("/",P282)+1,FIND("/",P282,FIND("/",P282)+1)-FIND("/",P282)-1)))</f>
        <v/>
      </c>
      <c r="AG282" s="7" t="str">
        <f aca="false">IF(P282="","",VALUE(MID(P282,FIND("/",P282,FIND("/",P282)+1)+1,LEN(P282)-FIND("/",P282,FIND("/",P282)+1))))</f>
        <v/>
      </c>
      <c r="AH282" s="7" t="str">
        <f aca="false">IF(OR(P282="",AE282=""),"",IFERROR(INDEX('لیست‌ها'!$Q$3:$Q$53,MATCH(AE282,'لیست‌ها'!$P$3:$P$53,0))+IF(AF282&lt;=6,(AF282-1)*31+AG282,IF(AF282&lt;=11,186+(AF282-7)*30+AG282,336+AG282))-1,""))</f>
        <v/>
      </c>
      <c r="AI282" s="7" t="str">
        <f aca="false">IF(W282="","",W282&amp;"-"&amp;TEXT(X282,"00"))</f>
        <v/>
      </c>
      <c r="AJ282" s="7" t="str">
        <f aca="false">IF(W282="","",W282*12+X282)</f>
        <v/>
      </c>
      <c r="AK282" s="7" t="str">
        <f aca="false">IF(U282="تاخیر",V282+ROW()/100000,"")</f>
        <v/>
      </c>
    </row>
    <row r="283" customFormat="false" ht="15" hidden="false" customHeight="false" outlineLevel="0" collapsed="false">
      <c r="A283" s="7" t="str">
        <f aca="false">IF(B283="","",ROW()-3)</f>
        <v/>
      </c>
      <c r="B283" s="8"/>
      <c r="C283" s="8"/>
      <c r="D283" s="8"/>
      <c r="E283" s="9"/>
      <c r="F283" s="9"/>
      <c r="G283" s="8"/>
      <c r="H283" s="8"/>
      <c r="I283" s="8"/>
      <c r="J283" s="9"/>
      <c r="K283" s="8"/>
      <c r="L283" s="8"/>
      <c r="M283" s="8"/>
      <c r="N283" s="8"/>
      <c r="O283" s="8"/>
      <c r="P283" s="8"/>
      <c r="Q283" s="8"/>
      <c r="R283" s="9"/>
      <c r="S283" s="8"/>
      <c r="T283" s="9"/>
      <c r="U283" s="10" t="str">
        <f aca="true">IF(B283="","",IF(OR(P283&lt;&gt;"",I283="می‌باشد"),"بسته",IF(AND(L283&lt;&gt;"",W283=""),"خطای فرمت تاریخ ایجاد",IF(AND(H283&lt;&gt;"",AA283=""),"خطای فرمت مهلت",IF(AND(H283&lt;&gt;"",AD283&lt;&gt;"",TODAY()&gt;AD283),"تاخیر",IF(L283&lt;&gt;"","در حال انجام",""))))))</f>
        <v/>
      </c>
      <c r="V283" s="7" t="n">
        <f aca="true">IF(U283="تاخیر",TODAY()-AD283,IF(AND(U283="بسته",AH283&lt;&gt;"",AD283&lt;&gt;"",AH283&gt;AD283),AH283-AD283,0))</f>
        <v>0</v>
      </c>
      <c r="W283" s="7" t="str">
        <f aca="false">IF(L283="","",VALUE(LEFT(L283,FIND("/",L283)-1)))</f>
        <v/>
      </c>
      <c r="X283" s="7" t="str">
        <f aca="false">IF(L283="","",VALUE(MID(L283,FIND("/",L283)+1,FIND("/",L283,FIND("/",L283)+1)-FIND("/",L283)-1)))</f>
        <v/>
      </c>
      <c r="Y283" s="7" t="str">
        <f aca="false">IF(L283="","",VALUE(MID(L283,FIND("/",L283,FIND("/",L283)+1)+1,LEN(L283)-FIND("/",L283,FIND("/",L283)+1))))</f>
        <v/>
      </c>
      <c r="Z283" s="7" t="str">
        <f aca="false">IF(OR(L283="",W283=""),"",IFERROR(INDEX('لیست‌ها'!$Q$3:$Q$53,MATCH(W283,'لیست‌ها'!$P$3:$P$53,0))+IF(X283&lt;=6,(X283-1)*31+Y283,IF(X283&lt;=11,186+(X283-7)*30+Y283,336+Y283))-1,""))</f>
        <v/>
      </c>
      <c r="AA283" s="7" t="str">
        <f aca="false">IF(H283="","",VALUE(LEFT(H283,FIND("/",H283)-1)))</f>
        <v/>
      </c>
      <c r="AB283" s="7" t="str">
        <f aca="false">IF(H283="","",VALUE(MID(H283,FIND("/",H283)+1,FIND("/",H283,FIND("/",H283)+1)-FIND("/",H283)-1)))</f>
        <v/>
      </c>
      <c r="AC283" s="7" t="str">
        <f aca="false">IF(H283="","",VALUE(MID(H283,FIND("/",H283,FIND("/",H283)+1)+1,LEN(H283)-FIND("/",H283,FIND("/",H283)+1))))</f>
        <v/>
      </c>
      <c r="AD283" s="7" t="str">
        <f aca="false">IF(OR(H283="",AA283=""),"",IFERROR(INDEX('لیست‌ها'!$Q$3:$Q$53,MATCH(AA283,'لیست‌ها'!$P$3:$P$53,0))+IF(AB283&lt;=6,(AB283-1)*31+AC283,IF(AB283&lt;=11,186+(AB283-7)*30+AC283,336+AC283))-1,""))</f>
        <v/>
      </c>
      <c r="AE283" s="7" t="str">
        <f aca="false">IF(P283="","",VALUE(LEFT(P283,FIND("/",P283)-1)))</f>
        <v/>
      </c>
      <c r="AF283" s="7" t="str">
        <f aca="false">IF(P283="","",VALUE(MID(P283,FIND("/",P283)+1,FIND("/",P283,FIND("/",P283)+1)-FIND("/",P283)-1)))</f>
        <v/>
      </c>
      <c r="AG283" s="7" t="str">
        <f aca="false">IF(P283="","",VALUE(MID(P283,FIND("/",P283,FIND("/",P283)+1)+1,LEN(P283)-FIND("/",P283,FIND("/",P283)+1))))</f>
        <v/>
      </c>
      <c r="AH283" s="7" t="str">
        <f aca="false">IF(OR(P283="",AE283=""),"",IFERROR(INDEX('لیست‌ها'!$Q$3:$Q$53,MATCH(AE283,'لیست‌ها'!$P$3:$P$53,0))+IF(AF283&lt;=6,(AF283-1)*31+AG283,IF(AF283&lt;=11,186+(AF283-7)*30+AG283,336+AG283))-1,""))</f>
        <v/>
      </c>
      <c r="AI283" s="7" t="str">
        <f aca="false">IF(W283="","",W283&amp;"-"&amp;TEXT(X283,"00"))</f>
        <v/>
      </c>
      <c r="AJ283" s="7" t="str">
        <f aca="false">IF(W283="","",W283*12+X283)</f>
        <v/>
      </c>
      <c r="AK283" s="7" t="str">
        <f aca="false">IF(U283="تاخیر",V283+ROW()/100000,"")</f>
        <v/>
      </c>
    </row>
    <row r="284" customFormat="false" ht="15" hidden="false" customHeight="false" outlineLevel="0" collapsed="false">
      <c r="A284" s="7" t="str">
        <f aca="false">IF(B284="","",ROW()-3)</f>
        <v/>
      </c>
      <c r="B284" s="8"/>
      <c r="C284" s="8"/>
      <c r="D284" s="8"/>
      <c r="E284" s="9"/>
      <c r="F284" s="9"/>
      <c r="G284" s="8"/>
      <c r="H284" s="8"/>
      <c r="I284" s="8"/>
      <c r="J284" s="9"/>
      <c r="K284" s="8"/>
      <c r="L284" s="8"/>
      <c r="M284" s="8"/>
      <c r="N284" s="8"/>
      <c r="O284" s="8"/>
      <c r="P284" s="8"/>
      <c r="Q284" s="8"/>
      <c r="R284" s="9"/>
      <c r="S284" s="8"/>
      <c r="T284" s="9"/>
      <c r="U284" s="10" t="str">
        <f aca="true">IF(B284="","",IF(OR(P284&lt;&gt;"",I284="می‌باشد"),"بسته",IF(AND(L284&lt;&gt;"",W284=""),"خطای فرمت تاریخ ایجاد",IF(AND(H284&lt;&gt;"",AA284=""),"خطای فرمت مهلت",IF(AND(H284&lt;&gt;"",AD284&lt;&gt;"",TODAY()&gt;AD284),"تاخیر",IF(L284&lt;&gt;"","در حال انجام",""))))))</f>
        <v/>
      </c>
      <c r="V284" s="7" t="n">
        <f aca="true">IF(U284="تاخیر",TODAY()-AD284,IF(AND(U284="بسته",AH284&lt;&gt;"",AD284&lt;&gt;"",AH284&gt;AD284),AH284-AD284,0))</f>
        <v>0</v>
      </c>
      <c r="W284" s="7" t="str">
        <f aca="false">IF(L284="","",VALUE(LEFT(L284,FIND("/",L284)-1)))</f>
        <v/>
      </c>
      <c r="X284" s="7" t="str">
        <f aca="false">IF(L284="","",VALUE(MID(L284,FIND("/",L284)+1,FIND("/",L284,FIND("/",L284)+1)-FIND("/",L284)-1)))</f>
        <v/>
      </c>
      <c r="Y284" s="7" t="str">
        <f aca="false">IF(L284="","",VALUE(MID(L284,FIND("/",L284,FIND("/",L284)+1)+1,LEN(L284)-FIND("/",L284,FIND("/",L284)+1))))</f>
        <v/>
      </c>
      <c r="Z284" s="7" t="str">
        <f aca="false">IF(OR(L284="",W284=""),"",IFERROR(INDEX('لیست‌ها'!$Q$3:$Q$53,MATCH(W284,'لیست‌ها'!$P$3:$P$53,0))+IF(X284&lt;=6,(X284-1)*31+Y284,IF(X284&lt;=11,186+(X284-7)*30+Y284,336+Y284))-1,""))</f>
        <v/>
      </c>
      <c r="AA284" s="7" t="str">
        <f aca="false">IF(H284="","",VALUE(LEFT(H284,FIND("/",H284)-1)))</f>
        <v/>
      </c>
      <c r="AB284" s="7" t="str">
        <f aca="false">IF(H284="","",VALUE(MID(H284,FIND("/",H284)+1,FIND("/",H284,FIND("/",H284)+1)-FIND("/",H284)-1)))</f>
        <v/>
      </c>
      <c r="AC284" s="7" t="str">
        <f aca="false">IF(H284="","",VALUE(MID(H284,FIND("/",H284,FIND("/",H284)+1)+1,LEN(H284)-FIND("/",H284,FIND("/",H284)+1))))</f>
        <v/>
      </c>
      <c r="AD284" s="7" t="str">
        <f aca="false">IF(OR(H284="",AA284=""),"",IFERROR(INDEX('لیست‌ها'!$Q$3:$Q$53,MATCH(AA284,'لیست‌ها'!$P$3:$P$53,0))+IF(AB284&lt;=6,(AB284-1)*31+AC284,IF(AB284&lt;=11,186+(AB284-7)*30+AC284,336+AC284))-1,""))</f>
        <v/>
      </c>
      <c r="AE284" s="7" t="str">
        <f aca="false">IF(P284="","",VALUE(LEFT(P284,FIND("/",P284)-1)))</f>
        <v/>
      </c>
      <c r="AF284" s="7" t="str">
        <f aca="false">IF(P284="","",VALUE(MID(P284,FIND("/",P284)+1,FIND("/",P284,FIND("/",P284)+1)-FIND("/",P284)-1)))</f>
        <v/>
      </c>
      <c r="AG284" s="7" t="str">
        <f aca="false">IF(P284="","",VALUE(MID(P284,FIND("/",P284,FIND("/",P284)+1)+1,LEN(P284)-FIND("/",P284,FIND("/",P284)+1))))</f>
        <v/>
      </c>
      <c r="AH284" s="7" t="str">
        <f aca="false">IF(OR(P284="",AE284=""),"",IFERROR(INDEX('لیست‌ها'!$Q$3:$Q$53,MATCH(AE284,'لیست‌ها'!$P$3:$P$53,0))+IF(AF284&lt;=6,(AF284-1)*31+AG284,IF(AF284&lt;=11,186+(AF284-7)*30+AG284,336+AG284))-1,""))</f>
        <v/>
      </c>
      <c r="AI284" s="7" t="str">
        <f aca="false">IF(W284="","",W284&amp;"-"&amp;TEXT(X284,"00"))</f>
        <v/>
      </c>
      <c r="AJ284" s="7" t="str">
        <f aca="false">IF(W284="","",W284*12+X284)</f>
        <v/>
      </c>
      <c r="AK284" s="7" t="str">
        <f aca="false">IF(U284="تاخیر",V284+ROW()/100000,"")</f>
        <v/>
      </c>
    </row>
    <row r="285" customFormat="false" ht="15" hidden="false" customHeight="false" outlineLevel="0" collapsed="false">
      <c r="A285" s="7" t="str">
        <f aca="false">IF(B285="","",ROW()-3)</f>
        <v/>
      </c>
      <c r="B285" s="8"/>
      <c r="C285" s="8"/>
      <c r="D285" s="8"/>
      <c r="E285" s="9"/>
      <c r="F285" s="9"/>
      <c r="G285" s="8"/>
      <c r="H285" s="8"/>
      <c r="I285" s="8"/>
      <c r="J285" s="9"/>
      <c r="K285" s="8"/>
      <c r="L285" s="8"/>
      <c r="M285" s="8"/>
      <c r="N285" s="8"/>
      <c r="O285" s="8"/>
      <c r="P285" s="8"/>
      <c r="Q285" s="8"/>
      <c r="R285" s="9"/>
      <c r="S285" s="8"/>
      <c r="T285" s="9"/>
      <c r="U285" s="10" t="str">
        <f aca="true">IF(B285="","",IF(OR(P285&lt;&gt;"",I285="می‌باشد"),"بسته",IF(AND(L285&lt;&gt;"",W285=""),"خطای فرمت تاریخ ایجاد",IF(AND(H285&lt;&gt;"",AA285=""),"خطای فرمت مهلت",IF(AND(H285&lt;&gt;"",AD285&lt;&gt;"",TODAY()&gt;AD285),"تاخیر",IF(L285&lt;&gt;"","در حال انجام",""))))))</f>
        <v/>
      </c>
      <c r="V285" s="7" t="n">
        <f aca="true">IF(U285="تاخیر",TODAY()-AD285,IF(AND(U285="بسته",AH285&lt;&gt;"",AD285&lt;&gt;"",AH285&gt;AD285),AH285-AD285,0))</f>
        <v>0</v>
      </c>
      <c r="W285" s="7" t="str">
        <f aca="false">IF(L285="","",VALUE(LEFT(L285,FIND("/",L285)-1)))</f>
        <v/>
      </c>
      <c r="X285" s="7" t="str">
        <f aca="false">IF(L285="","",VALUE(MID(L285,FIND("/",L285)+1,FIND("/",L285,FIND("/",L285)+1)-FIND("/",L285)-1)))</f>
        <v/>
      </c>
      <c r="Y285" s="7" t="str">
        <f aca="false">IF(L285="","",VALUE(MID(L285,FIND("/",L285,FIND("/",L285)+1)+1,LEN(L285)-FIND("/",L285,FIND("/",L285)+1))))</f>
        <v/>
      </c>
      <c r="Z285" s="7" t="str">
        <f aca="false">IF(OR(L285="",W285=""),"",IFERROR(INDEX('لیست‌ها'!$Q$3:$Q$53,MATCH(W285,'لیست‌ها'!$P$3:$P$53,0))+IF(X285&lt;=6,(X285-1)*31+Y285,IF(X285&lt;=11,186+(X285-7)*30+Y285,336+Y285))-1,""))</f>
        <v/>
      </c>
      <c r="AA285" s="7" t="str">
        <f aca="false">IF(H285="","",VALUE(LEFT(H285,FIND("/",H285)-1)))</f>
        <v/>
      </c>
      <c r="AB285" s="7" t="str">
        <f aca="false">IF(H285="","",VALUE(MID(H285,FIND("/",H285)+1,FIND("/",H285,FIND("/",H285)+1)-FIND("/",H285)-1)))</f>
        <v/>
      </c>
      <c r="AC285" s="7" t="str">
        <f aca="false">IF(H285="","",VALUE(MID(H285,FIND("/",H285,FIND("/",H285)+1)+1,LEN(H285)-FIND("/",H285,FIND("/",H285)+1))))</f>
        <v/>
      </c>
      <c r="AD285" s="7" t="str">
        <f aca="false">IF(OR(H285="",AA285=""),"",IFERROR(INDEX('لیست‌ها'!$Q$3:$Q$53,MATCH(AA285,'لیست‌ها'!$P$3:$P$53,0))+IF(AB285&lt;=6,(AB285-1)*31+AC285,IF(AB285&lt;=11,186+(AB285-7)*30+AC285,336+AC285))-1,""))</f>
        <v/>
      </c>
      <c r="AE285" s="7" t="str">
        <f aca="false">IF(P285="","",VALUE(LEFT(P285,FIND("/",P285)-1)))</f>
        <v/>
      </c>
      <c r="AF285" s="7" t="str">
        <f aca="false">IF(P285="","",VALUE(MID(P285,FIND("/",P285)+1,FIND("/",P285,FIND("/",P285)+1)-FIND("/",P285)-1)))</f>
        <v/>
      </c>
      <c r="AG285" s="7" t="str">
        <f aca="false">IF(P285="","",VALUE(MID(P285,FIND("/",P285,FIND("/",P285)+1)+1,LEN(P285)-FIND("/",P285,FIND("/",P285)+1))))</f>
        <v/>
      </c>
      <c r="AH285" s="7" t="str">
        <f aca="false">IF(OR(P285="",AE285=""),"",IFERROR(INDEX('لیست‌ها'!$Q$3:$Q$53,MATCH(AE285,'لیست‌ها'!$P$3:$P$53,0))+IF(AF285&lt;=6,(AF285-1)*31+AG285,IF(AF285&lt;=11,186+(AF285-7)*30+AG285,336+AG285))-1,""))</f>
        <v/>
      </c>
      <c r="AI285" s="7" t="str">
        <f aca="false">IF(W285="","",W285&amp;"-"&amp;TEXT(X285,"00"))</f>
        <v/>
      </c>
      <c r="AJ285" s="7" t="str">
        <f aca="false">IF(W285="","",W285*12+X285)</f>
        <v/>
      </c>
      <c r="AK285" s="7" t="str">
        <f aca="false">IF(U285="تاخیر",V285+ROW()/100000,"")</f>
        <v/>
      </c>
    </row>
    <row r="286" customFormat="false" ht="15" hidden="false" customHeight="false" outlineLevel="0" collapsed="false">
      <c r="A286" s="7" t="str">
        <f aca="false">IF(B286="","",ROW()-3)</f>
        <v/>
      </c>
      <c r="B286" s="8"/>
      <c r="C286" s="8"/>
      <c r="D286" s="8"/>
      <c r="E286" s="9"/>
      <c r="F286" s="9"/>
      <c r="G286" s="8"/>
      <c r="H286" s="8"/>
      <c r="I286" s="8"/>
      <c r="J286" s="9"/>
      <c r="K286" s="8"/>
      <c r="L286" s="8"/>
      <c r="M286" s="8"/>
      <c r="N286" s="8"/>
      <c r="O286" s="8"/>
      <c r="P286" s="8"/>
      <c r="Q286" s="8"/>
      <c r="R286" s="9"/>
      <c r="S286" s="8"/>
      <c r="T286" s="9"/>
      <c r="U286" s="10" t="str">
        <f aca="true">IF(B286="","",IF(OR(P286&lt;&gt;"",I286="می‌باشد"),"بسته",IF(AND(L286&lt;&gt;"",W286=""),"خطای فرمت تاریخ ایجاد",IF(AND(H286&lt;&gt;"",AA286=""),"خطای فرمت مهلت",IF(AND(H286&lt;&gt;"",AD286&lt;&gt;"",TODAY()&gt;AD286),"تاخیر",IF(L286&lt;&gt;"","در حال انجام",""))))))</f>
        <v/>
      </c>
      <c r="V286" s="7" t="n">
        <f aca="true">IF(U286="تاخیر",TODAY()-AD286,IF(AND(U286="بسته",AH286&lt;&gt;"",AD286&lt;&gt;"",AH286&gt;AD286),AH286-AD286,0))</f>
        <v>0</v>
      </c>
      <c r="W286" s="7" t="str">
        <f aca="false">IF(L286="","",VALUE(LEFT(L286,FIND("/",L286)-1)))</f>
        <v/>
      </c>
      <c r="X286" s="7" t="str">
        <f aca="false">IF(L286="","",VALUE(MID(L286,FIND("/",L286)+1,FIND("/",L286,FIND("/",L286)+1)-FIND("/",L286)-1)))</f>
        <v/>
      </c>
      <c r="Y286" s="7" t="str">
        <f aca="false">IF(L286="","",VALUE(MID(L286,FIND("/",L286,FIND("/",L286)+1)+1,LEN(L286)-FIND("/",L286,FIND("/",L286)+1))))</f>
        <v/>
      </c>
      <c r="Z286" s="7" t="str">
        <f aca="false">IF(OR(L286="",W286=""),"",IFERROR(INDEX('لیست‌ها'!$Q$3:$Q$53,MATCH(W286,'لیست‌ها'!$P$3:$P$53,0))+IF(X286&lt;=6,(X286-1)*31+Y286,IF(X286&lt;=11,186+(X286-7)*30+Y286,336+Y286))-1,""))</f>
        <v/>
      </c>
      <c r="AA286" s="7" t="str">
        <f aca="false">IF(H286="","",VALUE(LEFT(H286,FIND("/",H286)-1)))</f>
        <v/>
      </c>
      <c r="AB286" s="7" t="str">
        <f aca="false">IF(H286="","",VALUE(MID(H286,FIND("/",H286)+1,FIND("/",H286,FIND("/",H286)+1)-FIND("/",H286)-1)))</f>
        <v/>
      </c>
      <c r="AC286" s="7" t="str">
        <f aca="false">IF(H286="","",VALUE(MID(H286,FIND("/",H286,FIND("/",H286)+1)+1,LEN(H286)-FIND("/",H286,FIND("/",H286)+1))))</f>
        <v/>
      </c>
      <c r="AD286" s="7" t="str">
        <f aca="false">IF(OR(H286="",AA286=""),"",IFERROR(INDEX('لیست‌ها'!$Q$3:$Q$53,MATCH(AA286,'لیست‌ها'!$P$3:$P$53,0))+IF(AB286&lt;=6,(AB286-1)*31+AC286,IF(AB286&lt;=11,186+(AB286-7)*30+AC286,336+AC286))-1,""))</f>
        <v/>
      </c>
      <c r="AE286" s="7" t="str">
        <f aca="false">IF(P286="","",VALUE(LEFT(P286,FIND("/",P286)-1)))</f>
        <v/>
      </c>
      <c r="AF286" s="7" t="str">
        <f aca="false">IF(P286="","",VALUE(MID(P286,FIND("/",P286)+1,FIND("/",P286,FIND("/",P286)+1)-FIND("/",P286)-1)))</f>
        <v/>
      </c>
      <c r="AG286" s="7" t="str">
        <f aca="false">IF(P286="","",VALUE(MID(P286,FIND("/",P286,FIND("/",P286)+1)+1,LEN(P286)-FIND("/",P286,FIND("/",P286)+1))))</f>
        <v/>
      </c>
      <c r="AH286" s="7" t="str">
        <f aca="false">IF(OR(P286="",AE286=""),"",IFERROR(INDEX('لیست‌ها'!$Q$3:$Q$53,MATCH(AE286,'لیست‌ها'!$P$3:$P$53,0))+IF(AF286&lt;=6,(AF286-1)*31+AG286,IF(AF286&lt;=11,186+(AF286-7)*30+AG286,336+AG286))-1,""))</f>
        <v/>
      </c>
      <c r="AI286" s="7" t="str">
        <f aca="false">IF(W286="","",W286&amp;"-"&amp;TEXT(X286,"00"))</f>
        <v/>
      </c>
      <c r="AJ286" s="7" t="str">
        <f aca="false">IF(W286="","",W286*12+X286)</f>
        <v/>
      </c>
      <c r="AK286" s="7" t="str">
        <f aca="false">IF(U286="تاخیر",V286+ROW()/100000,"")</f>
        <v/>
      </c>
    </row>
    <row r="287" customFormat="false" ht="15" hidden="false" customHeight="false" outlineLevel="0" collapsed="false">
      <c r="A287" s="7" t="str">
        <f aca="false">IF(B287="","",ROW()-3)</f>
        <v/>
      </c>
      <c r="B287" s="8"/>
      <c r="C287" s="8"/>
      <c r="D287" s="8"/>
      <c r="E287" s="9"/>
      <c r="F287" s="9"/>
      <c r="G287" s="8"/>
      <c r="H287" s="8"/>
      <c r="I287" s="8"/>
      <c r="J287" s="9"/>
      <c r="K287" s="8"/>
      <c r="L287" s="8"/>
      <c r="M287" s="8"/>
      <c r="N287" s="8"/>
      <c r="O287" s="8"/>
      <c r="P287" s="8"/>
      <c r="Q287" s="8"/>
      <c r="R287" s="9"/>
      <c r="S287" s="8"/>
      <c r="T287" s="9"/>
      <c r="U287" s="10" t="str">
        <f aca="true">IF(B287="","",IF(OR(P287&lt;&gt;"",I287="می‌باشد"),"بسته",IF(AND(L287&lt;&gt;"",W287=""),"خطای فرمت تاریخ ایجاد",IF(AND(H287&lt;&gt;"",AA287=""),"خطای فرمت مهلت",IF(AND(H287&lt;&gt;"",AD287&lt;&gt;"",TODAY()&gt;AD287),"تاخیر",IF(L287&lt;&gt;"","در حال انجام",""))))))</f>
        <v/>
      </c>
      <c r="V287" s="7" t="n">
        <f aca="true">IF(U287="تاخیر",TODAY()-AD287,IF(AND(U287="بسته",AH287&lt;&gt;"",AD287&lt;&gt;"",AH287&gt;AD287),AH287-AD287,0))</f>
        <v>0</v>
      </c>
      <c r="W287" s="7" t="str">
        <f aca="false">IF(L287="","",VALUE(LEFT(L287,FIND("/",L287)-1)))</f>
        <v/>
      </c>
      <c r="X287" s="7" t="str">
        <f aca="false">IF(L287="","",VALUE(MID(L287,FIND("/",L287)+1,FIND("/",L287,FIND("/",L287)+1)-FIND("/",L287)-1)))</f>
        <v/>
      </c>
      <c r="Y287" s="7" t="str">
        <f aca="false">IF(L287="","",VALUE(MID(L287,FIND("/",L287,FIND("/",L287)+1)+1,LEN(L287)-FIND("/",L287,FIND("/",L287)+1))))</f>
        <v/>
      </c>
      <c r="Z287" s="7" t="str">
        <f aca="false">IF(OR(L287="",W287=""),"",IFERROR(INDEX('لیست‌ها'!$Q$3:$Q$53,MATCH(W287,'لیست‌ها'!$P$3:$P$53,0))+IF(X287&lt;=6,(X287-1)*31+Y287,IF(X287&lt;=11,186+(X287-7)*30+Y287,336+Y287))-1,""))</f>
        <v/>
      </c>
      <c r="AA287" s="7" t="str">
        <f aca="false">IF(H287="","",VALUE(LEFT(H287,FIND("/",H287)-1)))</f>
        <v/>
      </c>
      <c r="AB287" s="7" t="str">
        <f aca="false">IF(H287="","",VALUE(MID(H287,FIND("/",H287)+1,FIND("/",H287,FIND("/",H287)+1)-FIND("/",H287)-1)))</f>
        <v/>
      </c>
      <c r="AC287" s="7" t="str">
        <f aca="false">IF(H287="","",VALUE(MID(H287,FIND("/",H287,FIND("/",H287)+1)+1,LEN(H287)-FIND("/",H287,FIND("/",H287)+1))))</f>
        <v/>
      </c>
      <c r="AD287" s="7" t="str">
        <f aca="false">IF(OR(H287="",AA287=""),"",IFERROR(INDEX('لیست‌ها'!$Q$3:$Q$53,MATCH(AA287,'لیست‌ها'!$P$3:$P$53,0))+IF(AB287&lt;=6,(AB287-1)*31+AC287,IF(AB287&lt;=11,186+(AB287-7)*30+AC287,336+AC287))-1,""))</f>
        <v/>
      </c>
      <c r="AE287" s="7" t="str">
        <f aca="false">IF(P287="","",VALUE(LEFT(P287,FIND("/",P287)-1)))</f>
        <v/>
      </c>
      <c r="AF287" s="7" t="str">
        <f aca="false">IF(P287="","",VALUE(MID(P287,FIND("/",P287)+1,FIND("/",P287,FIND("/",P287)+1)-FIND("/",P287)-1)))</f>
        <v/>
      </c>
      <c r="AG287" s="7" t="str">
        <f aca="false">IF(P287="","",VALUE(MID(P287,FIND("/",P287,FIND("/",P287)+1)+1,LEN(P287)-FIND("/",P287,FIND("/",P287)+1))))</f>
        <v/>
      </c>
      <c r="AH287" s="7" t="str">
        <f aca="false">IF(OR(P287="",AE287=""),"",IFERROR(INDEX('لیست‌ها'!$Q$3:$Q$53,MATCH(AE287,'لیست‌ها'!$P$3:$P$53,0))+IF(AF287&lt;=6,(AF287-1)*31+AG287,IF(AF287&lt;=11,186+(AF287-7)*30+AG287,336+AG287))-1,""))</f>
        <v/>
      </c>
      <c r="AI287" s="7" t="str">
        <f aca="false">IF(W287="","",W287&amp;"-"&amp;TEXT(X287,"00"))</f>
        <v/>
      </c>
      <c r="AJ287" s="7" t="str">
        <f aca="false">IF(W287="","",W287*12+X287)</f>
        <v/>
      </c>
      <c r="AK287" s="7" t="str">
        <f aca="false">IF(U287="تاخیر",V287+ROW()/100000,"")</f>
        <v/>
      </c>
    </row>
    <row r="288" customFormat="false" ht="15" hidden="false" customHeight="false" outlineLevel="0" collapsed="false">
      <c r="A288" s="7" t="str">
        <f aca="false">IF(B288="","",ROW()-3)</f>
        <v/>
      </c>
      <c r="B288" s="8"/>
      <c r="C288" s="8"/>
      <c r="D288" s="8"/>
      <c r="E288" s="9"/>
      <c r="F288" s="9"/>
      <c r="G288" s="8"/>
      <c r="H288" s="8"/>
      <c r="I288" s="8"/>
      <c r="J288" s="9"/>
      <c r="K288" s="8"/>
      <c r="L288" s="8"/>
      <c r="M288" s="8"/>
      <c r="N288" s="8"/>
      <c r="O288" s="8"/>
      <c r="P288" s="8"/>
      <c r="Q288" s="8"/>
      <c r="R288" s="9"/>
      <c r="S288" s="8"/>
      <c r="T288" s="9"/>
      <c r="U288" s="10" t="str">
        <f aca="true">IF(B288="","",IF(OR(P288&lt;&gt;"",I288="می‌باشد"),"بسته",IF(AND(L288&lt;&gt;"",W288=""),"خطای فرمت تاریخ ایجاد",IF(AND(H288&lt;&gt;"",AA288=""),"خطای فرمت مهلت",IF(AND(H288&lt;&gt;"",AD288&lt;&gt;"",TODAY()&gt;AD288),"تاخیر",IF(L288&lt;&gt;"","در حال انجام",""))))))</f>
        <v/>
      </c>
      <c r="V288" s="7" t="n">
        <f aca="true">IF(U288="تاخیر",TODAY()-AD288,IF(AND(U288="بسته",AH288&lt;&gt;"",AD288&lt;&gt;"",AH288&gt;AD288),AH288-AD288,0))</f>
        <v>0</v>
      </c>
      <c r="W288" s="7" t="str">
        <f aca="false">IF(L288="","",VALUE(LEFT(L288,FIND("/",L288)-1)))</f>
        <v/>
      </c>
      <c r="X288" s="7" t="str">
        <f aca="false">IF(L288="","",VALUE(MID(L288,FIND("/",L288)+1,FIND("/",L288,FIND("/",L288)+1)-FIND("/",L288)-1)))</f>
        <v/>
      </c>
      <c r="Y288" s="7" t="str">
        <f aca="false">IF(L288="","",VALUE(MID(L288,FIND("/",L288,FIND("/",L288)+1)+1,LEN(L288)-FIND("/",L288,FIND("/",L288)+1))))</f>
        <v/>
      </c>
      <c r="Z288" s="7" t="str">
        <f aca="false">IF(OR(L288="",W288=""),"",IFERROR(INDEX('لیست‌ها'!$Q$3:$Q$53,MATCH(W288,'لیست‌ها'!$P$3:$P$53,0))+IF(X288&lt;=6,(X288-1)*31+Y288,IF(X288&lt;=11,186+(X288-7)*30+Y288,336+Y288))-1,""))</f>
        <v/>
      </c>
      <c r="AA288" s="7" t="str">
        <f aca="false">IF(H288="","",VALUE(LEFT(H288,FIND("/",H288)-1)))</f>
        <v/>
      </c>
      <c r="AB288" s="7" t="str">
        <f aca="false">IF(H288="","",VALUE(MID(H288,FIND("/",H288)+1,FIND("/",H288,FIND("/",H288)+1)-FIND("/",H288)-1)))</f>
        <v/>
      </c>
      <c r="AC288" s="7" t="str">
        <f aca="false">IF(H288="","",VALUE(MID(H288,FIND("/",H288,FIND("/",H288)+1)+1,LEN(H288)-FIND("/",H288,FIND("/",H288)+1))))</f>
        <v/>
      </c>
      <c r="AD288" s="7" t="str">
        <f aca="false">IF(OR(H288="",AA288=""),"",IFERROR(INDEX('لیست‌ها'!$Q$3:$Q$53,MATCH(AA288,'لیست‌ها'!$P$3:$P$53,0))+IF(AB288&lt;=6,(AB288-1)*31+AC288,IF(AB288&lt;=11,186+(AB288-7)*30+AC288,336+AC288))-1,""))</f>
        <v/>
      </c>
      <c r="AE288" s="7" t="str">
        <f aca="false">IF(P288="","",VALUE(LEFT(P288,FIND("/",P288)-1)))</f>
        <v/>
      </c>
      <c r="AF288" s="7" t="str">
        <f aca="false">IF(P288="","",VALUE(MID(P288,FIND("/",P288)+1,FIND("/",P288,FIND("/",P288)+1)-FIND("/",P288)-1)))</f>
        <v/>
      </c>
      <c r="AG288" s="7" t="str">
        <f aca="false">IF(P288="","",VALUE(MID(P288,FIND("/",P288,FIND("/",P288)+1)+1,LEN(P288)-FIND("/",P288,FIND("/",P288)+1))))</f>
        <v/>
      </c>
      <c r="AH288" s="7" t="str">
        <f aca="false">IF(OR(P288="",AE288=""),"",IFERROR(INDEX('لیست‌ها'!$Q$3:$Q$53,MATCH(AE288,'لیست‌ها'!$P$3:$P$53,0))+IF(AF288&lt;=6,(AF288-1)*31+AG288,IF(AF288&lt;=11,186+(AF288-7)*30+AG288,336+AG288))-1,""))</f>
        <v/>
      </c>
      <c r="AI288" s="7" t="str">
        <f aca="false">IF(W288="","",W288&amp;"-"&amp;TEXT(X288,"00"))</f>
        <v/>
      </c>
      <c r="AJ288" s="7" t="str">
        <f aca="false">IF(W288="","",W288*12+X288)</f>
        <v/>
      </c>
      <c r="AK288" s="7" t="str">
        <f aca="false">IF(U288="تاخیر",V288+ROW()/100000,"")</f>
        <v/>
      </c>
    </row>
    <row r="289" customFormat="false" ht="15" hidden="false" customHeight="false" outlineLevel="0" collapsed="false">
      <c r="A289" s="7" t="str">
        <f aca="false">IF(B289="","",ROW()-3)</f>
        <v/>
      </c>
      <c r="B289" s="8"/>
      <c r="C289" s="8"/>
      <c r="D289" s="8"/>
      <c r="E289" s="9"/>
      <c r="F289" s="9"/>
      <c r="G289" s="8"/>
      <c r="H289" s="8"/>
      <c r="I289" s="8"/>
      <c r="J289" s="9"/>
      <c r="K289" s="8"/>
      <c r="L289" s="8"/>
      <c r="M289" s="8"/>
      <c r="N289" s="8"/>
      <c r="O289" s="8"/>
      <c r="P289" s="8"/>
      <c r="Q289" s="8"/>
      <c r="R289" s="9"/>
      <c r="S289" s="8"/>
      <c r="T289" s="9"/>
      <c r="U289" s="10" t="str">
        <f aca="true">IF(B289="","",IF(OR(P289&lt;&gt;"",I289="می‌باشد"),"بسته",IF(AND(L289&lt;&gt;"",W289=""),"خطای فرمت تاریخ ایجاد",IF(AND(H289&lt;&gt;"",AA289=""),"خطای فرمت مهلت",IF(AND(H289&lt;&gt;"",AD289&lt;&gt;"",TODAY()&gt;AD289),"تاخیر",IF(L289&lt;&gt;"","در حال انجام",""))))))</f>
        <v/>
      </c>
      <c r="V289" s="7" t="n">
        <f aca="true">IF(U289="تاخیر",TODAY()-AD289,IF(AND(U289="بسته",AH289&lt;&gt;"",AD289&lt;&gt;"",AH289&gt;AD289),AH289-AD289,0))</f>
        <v>0</v>
      </c>
      <c r="W289" s="7" t="str">
        <f aca="false">IF(L289="","",VALUE(LEFT(L289,FIND("/",L289)-1)))</f>
        <v/>
      </c>
      <c r="X289" s="7" t="str">
        <f aca="false">IF(L289="","",VALUE(MID(L289,FIND("/",L289)+1,FIND("/",L289,FIND("/",L289)+1)-FIND("/",L289)-1)))</f>
        <v/>
      </c>
      <c r="Y289" s="7" t="str">
        <f aca="false">IF(L289="","",VALUE(MID(L289,FIND("/",L289,FIND("/",L289)+1)+1,LEN(L289)-FIND("/",L289,FIND("/",L289)+1))))</f>
        <v/>
      </c>
      <c r="Z289" s="7" t="str">
        <f aca="false">IF(OR(L289="",W289=""),"",IFERROR(INDEX('لیست‌ها'!$Q$3:$Q$53,MATCH(W289,'لیست‌ها'!$P$3:$P$53,0))+IF(X289&lt;=6,(X289-1)*31+Y289,IF(X289&lt;=11,186+(X289-7)*30+Y289,336+Y289))-1,""))</f>
        <v/>
      </c>
      <c r="AA289" s="7" t="str">
        <f aca="false">IF(H289="","",VALUE(LEFT(H289,FIND("/",H289)-1)))</f>
        <v/>
      </c>
      <c r="AB289" s="7" t="str">
        <f aca="false">IF(H289="","",VALUE(MID(H289,FIND("/",H289)+1,FIND("/",H289,FIND("/",H289)+1)-FIND("/",H289)-1)))</f>
        <v/>
      </c>
      <c r="AC289" s="7" t="str">
        <f aca="false">IF(H289="","",VALUE(MID(H289,FIND("/",H289,FIND("/",H289)+1)+1,LEN(H289)-FIND("/",H289,FIND("/",H289)+1))))</f>
        <v/>
      </c>
      <c r="AD289" s="7" t="str">
        <f aca="false">IF(OR(H289="",AA289=""),"",IFERROR(INDEX('لیست‌ها'!$Q$3:$Q$53,MATCH(AA289,'لیست‌ها'!$P$3:$P$53,0))+IF(AB289&lt;=6,(AB289-1)*31+AC289,IF(AB289&lt;=11,186+(AB289-7)*30+AC289,336+AC289))-1,""))</f>
        <v/>
      </c>
      <c r="AE289" s="7" t="str">
        <f aca="false">IF(P289="","",VALUE(LEFT(P289,FIND("/",P289)-1)))</f>
        <v/>
      </c>
      <c r="AF289" s="7" t="str">
        <f aca="false">IF(P289="","",VALUE(MID(P289,FIND("/",P289)+1,FIND("/",P289,FIND("/",P289)+1)-FIND("/",P289)-1)))</f>
        <v/>
      </c>
      <c r="AG289" s="7" t="str">
        <f aca="false">IF(P289="","",VALUE(MID(P289,FIND("/",P289,FIND("/",P289)+1)+1,LEN(P289)-FIND("/",P289,FIND("/",P289)+1))))</f>
        <v/>
      </c>
      <c r="AH289" s="7" t="str">
        <f aca="false">IF(OR(P289="",AE289=""),"",IFERROR(INDEX('لیست‌ها'!$Q$3:$Q$53,MATCH(AE289,'لیست‌ها'!$P$3:$P$53,0))+IF(AF289&lt;=6,(AF289-1)*31+AG289,IF(AF289&lt;=11,186+(AF289-7)*30+AG289,336+AG289))-1,""))</f>
        <v/>
      </c>
      <c r="AI289" s="7" t="str">
        <f aca="false">IF(W289="","",W289&amp;"-"&amp;TEXT(X289,"00"))</f>
        <v/>
      </c>
      <c r="AJ289" s="7" t="str">
        <f aca="false">IF(W289="","",W289*12+X289)</f>
        <v/>
      </c>
      <c r="AK289" s="7" t="str">
        <f aca="false">IF(U289="تاخیر",V289+ROW()/100000,"")</f>
        <v/>
      </c>
    </row>
    <row r="290" customFormat="false" ht="15" hidden="false" customHeight="false" outlineLevel="0" collapsed="false">
      <c r="A290" s="7" t="str">
        <f aca="false">IF(B290="","",ROW()-3)</f>
        <v/>
      </c>
      <c r="B290" s="8"/>
      <c r="C290" s="8"/>
      <c r="D290" s="8"/>
      <c r="E290" s="9"/>
      <c r="F290" s="9"/>
      <c r="G290" s="8"/>
      <c r="H290" s="8"/>
      <c r="I290" s="8"/>
      <c r="J290" s="9"/>
      <c r="K290" s="8"/>
      <c r="L290" s="8"/>
      <c r="M290" s="8"/>
      <c r="N290" s="8"/>
      <c r="O290" s="8"/>
      <c r="P290" s="8"/>
      <c r="Q290" s="8"/>
      <c r="R290" s="9"/>
      <c r="S290" s="8"/>
      <c r="T290" s="9"/>
      <c r="U290" s="10" t="str">
        <f aca="true">IF(B290="","",IF(OR(P290&lt;&gt;"",I290="می‌باشد"),"بسته",IF(AND(L290&lt;&gt;"",W290=""),"خطای فرمت تاریخ ایجاد",IF(AND(H290&lt;&gt;"",AA290=""),"خطای فرمت مهلت",IF(AND(H290&lt;&gt;"",AD290&lt;&gt;"",TODAY()&gt;AD290),"تاخیر",IF(L290&lt;&gt;"","در حال انجام",""))))))</f>
        <v/>
      </c>
      <c r="V290" s="7" t="n">
        <f aca="true">IF(U290="تاخیر",TODAY()-AD290,IF(AND(U290="بسته",AH290&lt;&gt;"",AD290&lt;&gt;"",AH290&gt;AD290),AH290-AD290,0))</f>
        <v>0</v>
      </c>
      <c r="W290" s="7" t="str">
        <f aca="false">IF(L290="","",VALUE(LEFT(L290,FIND("/",L290)-1)))</f>
        <v/>
      </c>
      <c r="X290" s="7" t="str">
        <f aca="false">IF(L290="","",VALUE(MID(L290,FIND("/",L290)+1,FIND("/",L290,FIND("/",L290)+1)-FIND("/",L290)-1)))</f>
        <v/>
      </c>
      <c r="Y290" s="7" t="str">
        <f aca="false">IF(L290="","",VALUE(MID(L290,FIND("/",L290,FIND("/",L290)+1)+1,LEN(L290)-FIND("/",L290,FIND("/",L290)+1))))</f>
        <v/>
      </c>
      <c r="Z290" s="7" t="str">
        <f aca="false">IF(OR(L290="",W290=""),"",IFERROR(INDEX('لیست‌ها'!$Q$3:$Q$53,MATCH(W290,'لیست‌ها'!$P$3:$P$53,0))+IF(X290&lt;=6,(X290-1)*31+Y290,IF(X290&lt;=11,186+(X290-7)*30+Y290,336+Y290))-1,""))</f>
        <v/>
      </c>
      <c r="AA290" s="7" t="str">
        <f aca="false">IF(H290="","",VALUE(LEFT(H290,FIND("/",H290)-1)))</f>
        <v/>
      </c>
      <c r="AB290" s="7" t="str">
        <f aca="false">IF(H290="","",VALUE(MID(H290,FIND("/",H290)+1,FIND("/",H290,FIND("/",H290)+1)-FIND("/",H290)-1)))</f>
        <v/>
      </c>
      <c r="AC290" s="7" t="str">
        <f aca="false">IF(H290="","",VALUE(MID(H290,FIND("/",H290,FIND("/",H290)+1)+1,LEN(H290)-FIND("/",H290,FIND("/",H290)+1))))</f>
        <v/>
      </c>
      <c r="AD290" s="7" t="str">
        <f aca="false">IF(OR(H290="",AA290=""),"",IFERROR(INDEX('لیست‌ها'!$Q$3:$Q$53,MATCH(AA290,'لیست‌ها'!$P$3:$P$53,0))+IF(AB290&lt;=6,(AB290-1)*31+AC290,IF(AB290&lt;=11,186+(AB290-7)*30+AC290,336+AC290))-1,""))</f>
        <v/>
      </c>
      <c r="AE290" s="7" t="str">
        <f aca="false">IF(P290="","",VALUE(LEFT(P290,FIND("/",P290)-1)))</f>
        <v/>
      </c>
      <c r="AF290" s="7" t="str">
        <f aca="false">IF(P290="","",VALUE(MID(P290,FIND("/",P290)+1,FIND("/",P290,FIND("/",P290)+1)-FIND("/",P290)-1)))</f>
        <v/>
      </c>
      <c r="AG290" s="7" t="str">
        <f aca="false">IF(P290="","",VALUE(MID(P290,FIND("/",P290,FIND("/",P290)+1)+1,LEN(P290)-FIND("/",P290,FIND("/",P290)+1))))</f>
        <v/>
      </c>
      <c r="AH290" s="7" t="str">
        <f aca="false">IF(OR(P290="",AE290=""),"",IFERROR(INDEX('لیست‌ها'!$Q$3:$Q$53,MATCH(AE290,'لیست‌ها'!$P$3:$P$53,0))+IF(AF290&lt;=6,(AF290-1)*31+AG290,IF(AF290&lt;=11,186+(AF290-7)*30+AG290,336+AG290))-1,""))</f>
        <v/>
      </c>
      <c r="AI290" s="7" t="str">
        <f aca="false">IF(W290="","",W290&amp;"-"&amp;TEXT(X290,"00"))</f>
        <v/>
      </c>
      <c r="AJ290" s="7" t="str">
        <f aca="false">IF(W290="","",W290*12+X290)</f>
        <v/>
      </c>
      <c r="AK290" s="7" t="str">
        <f aca="false">IF(U290="تاخیر",V290+ROW()/100000,"")</f>
        <v/>
      </c>
    </row>
    <row r="291" customFormat="false" ht="15" hidden="false" customHeight="false" outlineLevel="0" collapsed="false">
      <c r="A291" s="7" t="str">
        <f aca="false">IF(B291="","",ROW()-3)</f>
        <v/>
      </c>
      <c r="B291" s="8"/>
      <c r="C291" s="8"/>
      <c r="D291" s="8"/>
      <c r="E291" s="9"/>
      <c r="F291" s="9"/>
      <c r="G291" s="8"/>
      <c r="H291" s="8"/>
      <c r="I291" s="8"/>
      <c r="J291" s="9"/>
      <c r="K291" s="8"/>
      <c r="L291" s="8"/>
      <c r="M291" s="8"/>
      <c r="N291" s="8"/>
      <c r="O291" s="8"/>
      <c r="P291" s="8"/>
      <c r="Q291" s="8"/>
      <c r="R291" s="9"/>
      <c r="S291" s="8"/>
      <c r="T291" s="9"/>
      <c r="U291" s="10" t="str">
        <f aca="true">IF(B291="","",IF(OR(P291&lt;&gt;"",I291="می‌باشد"),"بسته",IF(AND(L291&lt;&gt;"",W291=""),"خطای فرمت تاریخ ایجاد",IF(AND(H291&lt;&gt;"",AA291=""),"خطای فرمت مهلت",IF(AND(H291&lt;&gt;"",AD291&lt;&gt;"",TODAY()&gt;AD291),"تاخیر",IF(L291&lt;&gt;"","در حال انجام",""))))))</f>
        <v/>
      </c>
      <c r="V291" s="7" t="n">
        <f aca="true">IF(U291="تاخیر",TODAY()-AD291,IF(AND(U291="بسته",AH291&lt;&gt;"",AD291&lt;&gt;"",AH291&gt;AD291),AH291-AD291,0))</f>
        <v>0</v>
      </c>
      <c r="W291" s="7" t="str">
        <f aca="false">IF(L291="","",VALUE(LEFT(L291,FIND("/",L291)-1)))</f>
        <v/>
      </c>
      <c r="X291" s="7" t="str">
        <f aca="false">IF(L291="","",VALUE(MID(L291,FIND("/",L291)+1,FIND("/",L291,FIND("/",L291)+1)-FIND("/",L291)-1)))</f>
        <v/>
      </c>
      <c r="Y291" s="7" t="str">
        <f aca="false">IF(L291="","",VALUE(MID(L291,FIND("/",L291,FIND("/",L291)+1)+1,LEN(L291)-FIND("/",L291,FIND("/",L291)+1))))</f>
        <v/>
      </c>
      <c r="Z291" s="7" t="str">
        <f aca="false">IF(OR(L291="",W291=""),"",IFERROR(INDEX('لیست‌ها'!$Q$3:$Q$53,MATCH(W291,'لیست‌ها'!$P$3:$P$53,0))+IF(X291&lt;=6,(X291-1)*31+Y291,IF(X291&lt;=11,186+(X291-7)*30+Y291,336+Y291))-1,""))</f>
        <v/>
      </c>
      <c r="AA291" s="7" t="str">
        <f aca="false">IF(H291="","",VALUE(LEFT(H291,FIND("/",H291)-1)))</f>
        <v/>
      </c>
      <c r="AB291" s="7" t="str">
        <f aca="false">IF(H291="","",VALUE(MID(H291,FIND("/",H291)+1,FIND("/",H291,FIND("/",H291)+1)-FIND("/",H291)-1)))</f>
        <v/>
      </c>
      <c r="AC291" s="7" t="str">
        <f aca="false">IF(H291="","",VALUE(MID(H291,FIND("/",H291,FIND("/",H291)+1)+1,LEN(H291)-FIND("/",H291,FIND("/",H291)+1))))</f>
        <v/>
      </c>
      <c r="AD291" s="7" t="str">
        <f aca="false">IF(OR(H291="",AA291=""),"",IFERROR(INDEX('لیست‌ها'!$Q$3:$Q$53,MATCH(AA291,'لیست‌ها'!$P$3:$P$53,0))+IF(AB291&lt;=6,(AB291-1)*31+AC291,IF(AB291&lt;=11,186+(AB291-7)*30+AC291,336+AC291))-1,""))</f>
        <v/>
      </c>
      <c r="AE291" s="7" t="str">
        <f aca="false">IF(P291="","",VALUE(LEFT(P291,FIND("/",P291)-1)))</f>
        <v/>
      </c>
      <c r="AF291" s="7" t="str">
        <f aca="false">IF(P291="","",VALUE(MID(P291,FIND("/",P291)+1,FIND("/",P291,FIND("/",P291)+1)-FIND("/",P291)-1)))</f>
        <v/>
      </c>
      <c r="AG291" s="7" t="str">
        <f aca="false">IF(P291="","",VALUE(MID(P291,FIND("/",P291,FIND("/",P291)+1)+1,LEN(P291)-FIND("/",P291,FIND("/",P291)+1))))</f>
        <v/>
      </c>
      <c r="AH291" s="7" t="str">
        <f aca="false">IF(OR(P291="",AE291=""),"",IFERROR(INDEX('لیست‌ها'!$Q$3:$Q$53,MATCH(AE291,'لیست‌ها'!$P$3:$P$53,0))+IF(AF291&lt;=6,(AF291-1)*31+AG291,IF(AF291&lt;=11,186+(AF291-7)*30+AG291,336+AG291))-1,""))</f>
        <v/>
      </c>
      <c r="AI291" s="7" t="str">
        <f aca="false">IF(W291="","",W291&amp;"-"&amp;TEXT(X291,"00"))</f>
        <v/>
      </c>
      <c r="AJ291" s="7" t="str">
        <f aca="false">IF(W291="","",W291*12+X291)</f>
        <v/>
      </c>
      <c r="AK291" s="7" t="str">
        <f aca="false">IF(U291="تاخیر",V291+ROW()/100000,"")</f>
        <v/>
      </c>
    </row>
    <row r="292" customFormat="false" ht="15" hidden="false" customHeight="false" outlineLevel="0" collapsed="false">
      <c r="A292" s="7" t="str">
        <f aca="false">IF(B292="","",ROW()-3)</f>
        <v/>
      </c>
      <c r="B292" s="8"/>
      <c r="C292" s="8"/>
      <c r="D292" s="8"/>
      <c r="E292" s="9"/>
      <c r="F292" s="9"/>
      <c r="G292" s="8"/>
      <c r="H292" s="8"/>
      <c r="I292" s="8"/>
      <c r="J292" s="9"/>
      <c r="K292" s="8"/>
      <c r="L292" s="8"/>
      <c r="M292" s="8"/>
      <c r="N292" s="8"/>
      <c r="O292" s="8"/>
      <c r="P292" s="8"/>
      <c r="Q292" s="8"/>
      <c r="R292" s="9"/>
      <c r="S292" s="8"/>
      <c r="T292" s="9"/>
      <c r="U292" s="10" t="str">
        <f aca="true">IF(B292="","",IF(OR(P292&lt;&gt;"",I292="می‌باشد"),"بسته",IF(AND(L292&lt;&gt;"",W292=""),"خطای فرمت تاریخ ایجاد",IF(AND(H292&lt;&gt;"",AA292=""),"خطای فرمت مهلت",IF(AND(H292&lt;&gt;"",AD292&lt;&gt;"",TODAY()&gt;AD292),"تاخیر",IF(L292&lt;&gt;"","در حال انجام",""))))))</f>
        <v/>
      </c>
      <c r="V292" s="7" t="n">
        <f aca="true">IF(U292="تاخیر",TODAY()-AD292,IF(AND(U292="بسته",AH292&lt;&gt;"",AD292&lt;&gt;"",AH292&gt;AD292),AH292-AD292,0))</f>
        <v>0</v>
      </c>
      <c r="W292" s="7" t="str">
        <f aca="false">IF(L292="","",VALUE(LEFT(L292,FIND("/",L292)-1)))</f>
        <v/>
      </c>
      <c r="X292" s="7" t="str">
        <f aca="false">IF(L292="","",VALUE(MID(L292,FIND("/",L292)+1,FIND("/",L292,FIND("/",L292)+1)-FIND("/",L292)-1)))</f>
        <v/>
      </c>
      <c r="Y292" s="7" t="str">
        <f aca="false">IF(L292="","",VALUE(MID(L292,FIND("/",L292,FIND("/",L292)+1)+1,LEN(L292)-FIND("/",L292,FIND("/",L292)+1))))</f>
        <v/>
      </c>
      <c r="Z292" s="7" t="str">
        <f aca="false">IF(OR(L292="",W292=""),"",IFERROR(INDEX('لیست‌ها'!$Q$3:$Q$53,MATCH(W292,'لیست‌ها'!$P$3:$P$53,0))+IF(X292&lt;=6,(X292-1)*31+Y292,IF(X292&lt;=11,186+(X292-7)*30+Y292,336+Y292))-1,""))</f>
        <v/>
      </c>
      <c r="AA292" s="7" t="str">
        <f aca="false">IF(H292="","",VALUE(LEFT(H292,FIND("/",H292)-1)))</f>
        <v/>
      </c>
      <c r="AB292" s="7" t="str">
        <f aca="false">IF(H292="","",VALUE(MID(H292,FIND("/",H292)+1,FIND("/",H292,FIND("/",H292)+1)-FIND("/",H292)-1)))</f>
        <v/>
      </c>
      <c r="AC292" s="7" t="str">
        <f aca="false">IF(H292="","",VALUE(MID(H292,FIND("/",H292,FIND("/",H292)+1)+1,LEN(H292)-FIND("/",H292,FIND("/",H292)+1))))</f>
        <v/>
      </c>
      <c r="AD292" s="7" t="str">
        <f aca="false">IF(OR(H292="",AA292=""),"",IFERROR(INDEX('لیست‌ها'!$Q$3:$Q$53,MATCH(AA292,'لیست‌ها'!$P$3:$P$53,0))+IF(AB292&lt;=6,(AB292-1)*31+AC292,IF(AB292&lt;=11,186+(AB292-7)*30+AC292,336+AC292))-1,""))</f>
        <v/>
      </c>
      <c r="AE292" s="7" t="str">
        <f aca="false">IF(P292="","",VALUE(LEFT(P292,FIND("/",P292)-1)))</f>
        <v/>
      </c>
      <c r="AF292" s="7" t="str">
        <f aca="false">IF(P292="","",VALUE(MID(P292,FIND("/",P292)+1,FIND("/",P292,FIND("/",P292)+1)-FIND("/",P292)-1)))</f>
        <v/>
      </c>
      <c r="AG292" s="7" t="str">
        <f aca="false">IF(P292="","",VALUE(MID(P292,FIND("/",P292,FIND("/",P292)+1)+1,LEN(P292)-FIND("/",P292,FIND("/",P292)+1))))</f>
        <v/>
      </c>
      <c r="AH292" s="7" t="str">
        <f aca="false">IF(OR(P292="",AE292=""),"",IFERROR(INDEX('لیست‌ها'!$Q$3:$Q$53,MATCH(AE292,'لیست‌ها'!$P$3:$P$53,0))+IF(AF292&lt;=6,(AF292-1)*31+AG292,IF(AF292&lt;=11,186+(AF292-7)*30+AG292,336+AG292))-1,""))</f>
        <v/>
      </c>
      <c r="AI292" s="7" t="str">
        <f aca="false">IF(W292="","",W292&amp;"-"&amp;TEXT(X292,"00"))</f>
        <v/>
      </c>
      <c r="AJ292" s="7" t="str">
        <f aca="false">IF(W292="","",W292*12+X292)</f>
        <v/>
      </c>
      <c r="AK292" s="7" t="str">
        <f aca="false">IF(U292="تاخیر",V292+ROW()/100000,"")</f>
        <v/>
      </c>
    </row>
    <row r="293" customFormat="false" ht="15" hidden="false" customHeight="false" outlineLevel="0" collapsed="false">
      <c r="A293" s="7" t="str">
        <f aca="false">IF(B293="","",ROW()-3)</f>
        <v/>
      </c>
      <c r="B293" s="8"/>
      <c r="C293" s="8"/>
      <c r="D293" s="8"/>
      <c r="E293" s="9"/>
      <c r="F293" s="9"/>
      <c r="G293" s="8"/>
      <c r="H293" s="8"/>
      <c r="I293" s="8"/>
      <c r="J293" s="9"/>
      <c r="K293" s="8"/>
      <c r="L293" s="8"/>
      <c r="M293" s="8"/>
      <c r="N293" s="8"/>
      <c r="O293" s="8"/>
      <c r="P293" s="8"/>
      <c r="Q293" s="8"/>
      <c r="R293" s="9"/>
      <c r="S293" s="8"/>
      <c r="T293" s="9"/>
      <c r="U293" s="10" t="str">
        <f aca="true">IF(B293="","",IF(OR(P293&lt;&gt;"",I293="می‌باشد"),"بسته",IF(AND(L293&lt;&gt;"",W293=""),"خطای فرمت تاریخ ایجاد",IF(AND(H293&lt;&gt;"",AA293=""),"خطای فرمت مهلت",IF(AND(H293&lt;&gt;"",AD293&lt;&gt;"",TODAY()&gt;AD293),"تاخیر",IF(L293&lt;&gt;"","در حال انجام",""))))))</f>
        <v/>
      </c>
      <c r="V293" s="7" t="n">
        <f aca="true">IF(U293="تاخیر",TODAY()-AD293,IF(AND(U293="بسته",AH293&lt;&gt;"",AD293&lt;&gt;"",AH293&gt;AD293),AH293-AD293,0))</f>
        <v>0</v>
      </c>
      <c r="W293" s="7" t="str">
        <f aca="false">IF(L293="","",VALUE(LEFT(L293,FIND("/",L293)-1)))</f>
        <v/>
      </c>
      <c r="X293" s="7" t="str">
        <f aca="false">IF(L293="","",VALUE(MID(L293,FIND("/",L293)+1,FIND("/",L293,FIND("/",L293)+1)-FIND("/",L293)-1)))</f>
        <v/>
      </c>
      <c r="Y293" s="7" t="str">
        <f aca="false">IF(L293="","",VALUE(MID(L293,FIND("/",L293,FIND("/",L293)+1)+1,LEN(L293)-FIND("/",L293,FIND("/",L293)+1))))</f>
        <v/>
      </c>
      <c r="Z293" s="7" t="str">
        <f aca="false">IF(OR(L293="",W293=""),"",IFERROR(INDEX('لیست‌ها'!$Q$3:$Q$53,MATCH(W293,'لیست‌ها'!$P$3:$P$53,0))+IF(X293&lt;=6,(X293-1)*31+Y293,IF(X293&lt;=11,186+(X293-7)*30+Y293,336+Y293))-1,""))</f>
        <v/>
      </c>
      <c r="AA293" s="7" t="str">
        <f aca="false">IF(H293="","",VALUE(LEFT(H293,FIND("/",H293)-1)))</f>
        <v/>
      </c>
      <c r="AB293" s="7" t="str">
        <f aca="false">IF(H293="","",VALUE(MID(H293,FIND("/",H293)+1,FIND("/",H293,FIND("/",H293)+1)-FIND("/",H293)-1)))</f>
        <v/>
      </c>
      <c r="AC293" s="7" t="str">
        <f aca="false">IF(H293="","",VALUE(MID(H293,FIND("/",H293,FIND("/",H293)+1)+1,LEN(H293)-FIND("/",H293,FIND("/",H293)+1))))</f>
        <v/>
      </c>
      <c r="AD293" s="7" t="str">
        <f aca="false">IF(OR(H293="",AA293=""),"",IFERROR(INDEX('لیست‌ها'!$Q$3:$Q$53,MATCH(AA293,'لیست‌ها'!$P$3:$P$53,0))+IF(AB293&lt;=6,(AB293-1)*31+AC293,IF(AB293&lt;=11,186+(AB293-7)*30+AC293,336+AC293))-1,""))</f>
        <v/>
      </c>
      <c r="AE293" s="7" t="str">
        <f aca="false">IF(P293="","",VALUE(LEFT(P293,FIND("/",P293)-1)))</f>
        <v/>
      </c>
      <c r="AF293" s="7" t="str">
        <f aca="false">IF(P293="","",VALUE(MID(P293,FIND("/",P293)+1,FIND("/",P293,FIND("/",P293)+1)-FIND("/",P293)-1)))</f>
        <v/>
      </c>
      <c r="AG293" s="7" t="str">
        <f aca="false">IF(P293="","",VALUE(MID(P293,FIND("/",P293,FIND("/",P293)+1)+1,LEN(P293)-FIND("/",P293,FIND("/",P293)+1))))</f>
        <v/>
      </c>
      <c r="AH293" s="7" t="str">
        <f aca="false">IF(OR(P293="",AE293=""),"",IFERROR(INDEX('لیست‌ها'!$Q$3:$Q$53,MATCH(AE293,'لیست‌ها'!$P$3:$P$53,0))+IF(AF293&lt;=6,(AF293-1)*31+AG293,IF(AF293&lt;=11,186+(AF293-7)*30+AG293,336+AG293))-1,""))</f>
        <v/>
      </c>
      <c r="AI293" s="7" t="str">
        <f aca="false">IF(W293="","",W293&amp;"-"&amp;TEXT(X293,"00"))</f>
        <v/>
      </c>
      <c r="AJ293" s="7" t="str">
        <f aca="false">IF(W293="","",W293*12+X293)</f>
        <v/>
      </c>
      <c r="AK293" s="7" t="str">
        <f aca="false">IF(U293="تاخیر",V293+ROW()/100000,"")</f>
        <v/>
      </c>
    </row>
    <row r="294" customFormat="false" ht="15" hidden="false" customHeight="false" outlineLevel="0" collapsed="false">
      <c r="A294" s="7" t="str">
        <f aca="false">IF(B294="","",ROW()-3)</f>
        <v/>
      </c>
      <c r="B294" s="8"/>
      <c r="C294" s="8"/>
      <c r="D294" s="8"/>
      <c r="E294" s="9"/>
      <c r="F294" s="9"/>
      <c r="G294" s="8"/>
      <c r="H294" s="8"/>
      <c r="I294" s="8"/>
      <c r="J294" s="9"/>
      <c r="K294" s="8"/>
      <c r="L294" s="8"/>
      <c r="M294" s="8"/>
      <c r="N294" s="8"/>
      <c r="O294" s="8"/>
      <c r="P294" s="8"/>
      <c r="Q294" s="8"/>
      <c r="R294" s="9"/>
      <c r="S294" s="8"/>
      <c r="T294" s="9"/>
      <c r="U294" s="10" t="str">
        <f aca="true">IF(B294="","",IF(OR(P294&lt;&gt;"",I294="می‌باشد"),"بسته",IF(AND(L294&lt;&gt;"",W294=""),"خطای فرمت تاریخ ایجاد",IF(AND(H294&lt;&gt;"",AA294=""),"خطای فرمت مهلت",IF(AND(H294&lt;&gt;"",AD294&lt;&gt;"",TODAY()&gt;AD294),"تاخیر",IF(L294&lt;&gt;"","در حال انجام",""))))))</f>
        <v/>
      </c>
      <c r="V294" s="7" t="n">
        <f aca="true">IF(U294="تاخیر",TODAY()-AD294,IF(AND(U294="بسته",AH294&lt;&gt;"",AD294&lt;&gt;"",AH294&gt;AD294),AH294-AD294,0))</f>
        <v>0</v>
      </c>
      <c r="W294" s="7" t="str">
        <f aca="false">IF(L294="","",VALUE(LEFT(L294,FIND("/",L294)-1)))</f>
        <v/>
      </c>
      <c r="X294" s="7" t="str">
        <f aca="false">IF(L294="","",VALUE(MID(L294,FIND("/",L294)+1,FIND("/",L294,FIND("/",L294)+1)-FIND("/",L294)-1)))</f>
        <v/>
      </c>
      <c r="Y294" s="7" t="str">
        <f aca="false">IF(L294="","",VALUE(MID(L294,FIND("/",L294,FIND("/",L294)+1)+1,LEN(L294)-FIND("/",L294,FIND("/",L294)+1))))</f>
        <v/>
      </c>
      <c r="Z294" s="7" t="str">
        <f aca="false">IF(OR(L294="",W294=""),"",IFERROR(INDEX('لیست‌ها'!$Q$3:$Q$53,MATCH(W294,'لیست‌ها'!$P$3:$P$53,0))+IF(X294&lt;=6,(X294-1)*31+Y294,IF(X294&lt;=11,186+(X294-7)*30+Y294,336+Y294))-1,""))</f>
        <v/>
      </c>
      <c r="AA294" s="7" t="str">
        <f aca="false">IF(H294="","",VALUE(LEFT(H294,FIND("/",H294)-1)))</f>
        <v/>
      </c>
      <c r="AB294" s="7" t="str">
        <f aca="false">IF(H294="","",VALUE(MID(H294,FIND("/",H294)+1,FIND("/",H294,FIND("/",H294)+1)-FIND("/",H294)-1)))</f>
        <v/>
      </c>
      <c r="AC294" s="7" t="str">
        <f aca="false">IF(H294="","",VALUE(MID(H294,FIND("/",H294,FIND("/",H294)+1)+1,LEN(H294)-FIND("/",H294,FIND("/",H294)+1))))</f>
        <v/>
      </c>
      <c r="AD294" s="7" t="str">
        <f aca="false">IF(OR(H294="",AA294=""),"",IFERROR(INDEX('لیست‌ها'!$Q$3:$Q$53,MATCH(AA294,'لیست‌ها'!$P$3:$P$53,0))+IF(AB294&lt;=6,(AB294-1)*31+AC294,IF(AB294&lt;=11,186+(AB294-7)*30+AC294,336+AC294))-1,""))</f>
        <v/>
      </c>
      <c r="AE294" s="7" t="str">
        <f aca="false">IF(P294="","",VALUE(LEFT(P294,FIND("/",P294)-1)))</f>
        <v/>
      </c>
      <c r="AF294" s="7" t="str">
        <f aca="false">IF(P294="","",VALUE(MID(P294,FIND("/",P294)+1,FIND("/",P294,FIND("/",P294)+1)-FIND("/",P294)-1)))</f>
        <v/>
      </c>
      <c r="AG294" s="7" t="str">
        <f aca="false">IF(P294="","",VALUE(MID(P294,FIND("/",P294,FIND("/",P294)+1)+1,LEN(P294)-FIND("/",P294,FIND("/",P294)+1))))</f>
        <v/>
      </c>
      <c r="AH294" s="7" t="str">
        <f aca="false">IF(OR(P294="",AE294=""),"",IFERROR(INDEX('لیست‌ها'!$Q$3:$Q$53,MATCH(AE294,'لیست‌ها'!$P$3:$P$53,0))+IF(AF294&lt;=6,(AF294-1)*31+AG294,IF(AF294&lt;=11,186+(AF294-7)*30+AG294,336+AG294))-1,""))</f>
        <v/>
      </c>
      <c r="AI294" s="7" t="str">
        <f aca="false">IF(W294="","",W294&amp;"-"&amp;TEXT(X294,"00"))</f>
        <v/>
      </c>
      <c r="AJ294" s="7" t="str">
        <f aca="false">IF(W294="","",W294*12+X294)</f>
        <v/>
      </c>
      <c r="AK294" s="7" t="str">
        <f aca="false">IF(U294="تاخیر",V294+ROW()/100000,"")</f>
        <v/>
      </c>
    </row>
    <row r="295" customFormat="false" ht="15" hidden="false" customHeight="false" outlineLevel="0" collapsed="false">
      <c r="A295" s="7" t="str">
        <f aca="false">IF(B295="","",ROW()-3)</f>
        <v/>
      </c>
      <c r="B295" s="8"/>
      <c r="C295" s="8"/>
      <c r="D295" s="8"/>
      <c r="E295" s="9"/>
      <c r="F295" s="9"/>
      <c r="G295" s="8"/>
      <c r="H295" s="8"/>
      <c r="I295" s="8"/>
      <c r="J295" s="9"/>
      <c r="K295" s="8"/>
      <c r="L295" s="8"/>
      <c r="M295" s="8"/>
      <c r="N295" s="8"/>
      <c r="O295" s="8"/>
      <c r="P295" s="8"/>
      <c r="Q295" s="8"/>
      <c r="R295" s="9"/>
      <c r="S295" s="8"/>
      <c r="T295" s="9"/>
      <c r="U295" s="10" t="str">
        <f aca="true">IF(B295="","",IF(OR(P295&lt;&gt;"",I295="می‌باشد"),"بسته",IF(AND(L295&lt;&gt;"",W295=""),"خطای فرمت تاریخ ایجاد",IF(AND(H295&lt;&gt;"",AA295=""),"خطای فرمت مهلت",IF(AND(H295&lt;&gt;"",AD295&lt;&gt;"",TODAY()&gt;AD295),"تاخیر",IF(L295&lt;&gt;"","در حال انجام",""))))))</f>
        <v/>
      </c>
      <c r="V295" s="7" t="n">
        <f aca="true">IF(U295="تاخیر",TODAY()-AD295,IF(AND(U295="بسته",AH295&lt;&gt;"",AD295&lt;&gt;"",AH295&gt;AD295),AH295-AD295,0))</f>
        <v>0</v>
      </c>
      <c r="W295" s="7" t="str">
        <f aca="false">IF(L295="","",VALUE(LEFT(L295,FIND("/",L295)-1)))</f>
        <v/>
      </c>
      <c r="X295" s="7" t="str">
        <f aca="false">IF(L295="","",VALUE(MID(L295,FIND("/",L295)+1,FIND("/",L295,FIND("/",L295)+1)-FIND("/",L295)-1)))</f>
        <v/>
      </c>
      <c r="Y295" s="7" t="str">
        <f aca="false">IF(L295="","",VALUE(MID(L295,FIND("/",L295,FIND("/",L295)+1)+1,LEN(L295)-FIND("/",L295,FIND("/",L295)+1))))</f>
        <v/>
      </c>
      <c r="Z295" s="7" t="str">
        <f aca="false">IF(OR(L295="",W295=""),"",IFERROR(INDEX('لیست‌ها'!$Q$3:$Q$53,MATCH(W295,'لیست‌ها'!$P$3:$P$53,0))+IF(X295&lt;=6,(X295-1)*31+Y295,IF(X295&lt;=11,186+(X295-7)*30+Y295,336+Y295))-1,""))</f>
        <v/>
      </c>
      <c r="AA295" s="7" t="str">
        <f aca="false">IF(H295="","",VALUE(LEFT(H295,FIND("/",H295)-1)))</f>
        <v/>
      </c>
      <c r="AB295" s="7" t="str">
        <f aca="false">IF(H295="","",VALUE(MID(H295,FIND("/",H295)+1,FIND("/",H295,FIND("/",H295)+1)-FIND("/",H295)-1)))</f>
        <v/>
      </c>
      <c r="AC295" s="7" t="str">
        <f aca="false">IF(H295="","",VALUE(MID(H295,FIND("/",H295,FIND("/",H295)+1)+1,LEN(H295)-FIND("/",H295,FIND("/",H295)+1))))</f>
        <v/>
      </c>
      <c r="AD295" s="7" t="str">
        <f aca="false">IF(OR(H295="",AA295=""),"",IFERROR(INDEX('لیست‌ها'!$Q$3:$Q$53,MATCH(AA295,'لیست‌ها'!$P$3:$P$53,0))+IF(AB295&lt;=6,(AB295-1)*31+AC295,IF(AB295&lt;=11,186+(AB295-7)*30+AC295,336+AC295))-1,""))</f>
        <v/>
      </c>
      <c r="AE295" s="7" t="str">
        <f aca="false">IF(P295="","",VALUE(LEFT(P295,FIND("/",P295)-1)))</f>
        <v/>
      </c>
      <c r="AF295" s="7" t="str">
        <f aca="false">IF(P295="","",VALUE(MID(P295,FIND("/",P295)+1,FIND("/",P295,FIND("/",P295)+1)-FIND("/",P295)-1)))</f>
        <v/>
      </c>
      <c r="AG295" s="7" t="str">
        <f aca="false">IF(P295="","",VALUE(MID(P295,FIND("/",P295,FIND("/",P295)+1)+1,LEN(P295)-FIND("/",P295,FIND("/",P295)+1))))</f>
        <v/>
      </c>
      <c r="AH295" s="7" t="str">
        <f aca="false">IF(OR(P295="",AE295=""),"",IFERROR(INDEX('لیست‌ها'!$Q$3:$Q$53,MATCH(AE295,'لیست‌ها'!$P$3:$P$53,0))+IF(AF295&lt;=6,(AF295-1)*31+AG295,IF(AF295&lt;=11,186+(AF295-7)*30+AG295,336+AG295))-1,""))</f>
        <v/>
      </c>
      <c r="AI295" s="7" t="str">
        <f aca="false">IF(W295="","",W295&amp;"-"&amp;TEXT(X295,"00"))</f>
        <v/>
      </c>
      <c r="AJ295" s="7" t="str">
        <f aca="false">IF(W295="","",W295*12+X295)</f>
        <v/>
      </c>
      <c r="AK295" s="7" t="str">
        <f aca="false">IF(U295="تاخیر",V295+ROW()/100000,"")</f>
        <v/>
      </c>
    </row>
    <row r="296" customFormat="false" ht="15" hidden="false" customHeight="false" outlineLevel="0" collapsed="false">
      <c r="A296" s="7" t="str">
        <f aca="false">IF(B296="","",ROW()-3)</f>
        <v/>
      </c>
      <c r="B296" s="8"/>
      <c r="C296" s="8"/>
      <c r="D296" s="8"/>
      <c r="E296" s="9"/>
      <c r="F296" s="9"/>
      <c r="G296" s="8"/>
      <c r="H296" s="8"/>
      <c r="I296" s="8"/>
      <c r="J296" s="9"/>
      <c r="K296" s="8"/>
      <c r="L296" s="8"/>
      <c r="M296" s="8"/>
      <c r="N296" s="8"/>
      <c r="O296" s="8"/>
      <c r="P296" s="8"/>
      <c r="Q296" s="8"/>
      <c r="R296" s="9"/>
      <c r="S296" s="8"/>
      <c r="T296" s="9"/>
      <c r="U296" s="10" t="str">
        <f aca="true">IF(B296="","",IF(OR(P296&lt;&gt;"",I296="می‌باشد"),"بسته",IF(AND(L296&lt;&gt;"",W296=""),"خطای فرمت تاریخ ایجاد",IF(AND(H296&lt;&gt;"",AA296=""),"خطای فرمت مهلت",IF(AND(H296&lt;&gt;"",AD296&lt;&gt;"",TODAY()&gt;AD296),"تاخیر",IF(L296&lt;&gt;"","در حال انجام",""))))))</f>
        <v/>
      </c>
      <c r="V296" s="7" t="n">
        <f aca="true">IF(U296="تاخیر",TODAY()-AD296,IF(AND(U296="بسته",AH296&lt;&gt;"",AD296&lt;&gt;"",AH296&gt;AD296),AH296-AD296,0))</f>
        <v>0</v>
      </c>
      <c r="W296" s="7" t="str">
        <f aca="false">IF(L296="","",VALUE(LEFT(L296,FIND("/",L296)-1)))</f>
        <v/>
      </c>
      <c r="X296" s="7" t="str">
        <f aca="false">IF(L296="","",VALUE(MID(L296,FIND("/",L296)+1,FIND("/",L296,FIND("/",L296)+1)-FIND("/",L296)-1)))</f>
        <v/>
      </c>
      <c r="Y296" s="7" t="str">
        <f aca="false">IF(L296="","",VALUE(MID(L296,FIND("/",L296,FIND("/",L296)+1)+1,LEN(L296)-FIND("/",L296,FIND("/",L296)+1))))</f>
        <v/>
      </c>
      <c r="Z296" s="7" t="str">
        <f aca="false">IF(OR(L296="",W296=""),"",IFERROR(INDEX('لیست‌ها'!$Q$3:$Q$53,MATCH(W296,'لیست‌ها'!$P$3:$P$53,0))+IF(X296&lt;=6,(X296-1)*31+Y296,IF(X296&lt;=11,186+(X296-7)*30+Y296,336+Y296))-1,""))</f>
        <v/>
      </c>
      <c r="AA296" s="7" t="str">
        <f aca="false">IF(H296="","",VALUE(LEFT(H296,FIND("/",H296)-1)))</f>
        <v/>
      </c>
      <c r="AB296" s="7" t="str">
        <f aca="false">IF(H296="","",VALUE(MID(H296,FIND("/",H296)+1,FIND("/",H296,FIND("/",H296)+1)-FIND("/",H296)-1)))</f>
        <v/>
      </c>
      <c r="AC296" s="7" t="str">
        <f aca="false">IF(H296="","",VALUE(MID(H296,FIND("/",H296,FIND("/",H296)+1)+1,LEN(H296)-FIND("/",H296,FIND("/",H296)+1))))</f>
        <v/>
      </c>
      <c r="AD296" s="7" t="str">
        <f aca="false">IF(OR(H296="",AA296=""),"",IFERROR(INDEX('لیست‌ها'!$Q$3:$Q$53,MATCH(AA296,'لیست‌ها'!$P$3:$P$53,0))+IF(AB296&lt;=6,(AB296-1)*31+AC296,IF(AB296&lt;=11,186+(AB296-7)*30+AC296,336+AC296))-1,""))</f>
        <v/>
      </c>
      <c r="AE296" s="7" t="str">
        <f aca="false">IF(P296="","",VALUE(LEFT(P296,FIND("/",P296)-1)))</f>
        <v/>
      </c>
      <c r="AF296" s="7" t="str">
        <f aca="false">IF(P296="","",VALUE(MID(P296,FIND("/",P296)+1,FIND("/",P296,FIND("/",P296)+1)-FIND("/",P296)-1)))</f>
        <v/>
      </c>
      <c r="AG296" s="7" t="str">
        <f aca="false">IF(P296="","",VALUE(MID(P296,FIND("/",P296,FIND("/",P296)+1)+1,LEN(P296)-FIND("/",P296,FIND("/",P296)+1))))</f>
        <v/>
      </c>
      <c r="AH296" s="7" t="str">
        <f aca="false">IF(OR(P296="",AE296=""),"",IFERROR(INDEX('لیست‌ها'!$Q$3:$Q$53,MATCH(AE296,'لیست‌ها'!$P$3:$P$53,0))+IF(AF296&lt;=6,(AF296-1)*31+AG296,IF(AF296&lt;=11,186+(AF296-7)*30+AG296,336+AG296))-1,""))</f>
        <v/>
      </c>
      <c r="AI296" s="7" t="str">
        <f aca="false">IF(W296="","",W296&amp;"-"&amp;TEXT(X296,"00"))</f>
        <v/>
      </c>
      <c r="AJ296" s="7" t="str">
        <f aca="false">IF(W296="","",W296*12+X296)</f>
        <v/>
      </c>
      <c r="AK296" s="7" t="str">
        <f aca="false">IF(U296="تاخیر",V296+ROW()/100000,"")</f>
        <v/>
      </c>
    </row>
    <row r="297" customFormat="false" ht="15" hidden="false" customHeight="false" outlineLevel="0" collapsed="false">
      <c r="A297" s="7" t="str">
        <f aca="false">IF(B297="","",ROW()-3)</f>
        <v/>
      </c>
      <c r="B297" s="8"/>
      <c r="C297" s="8"/>
      <c r="D297" s="8"/>
      <c r="E297" s="9"/>
      <c r="F297" s="9"/>
      <c r="G297" s="8"/>
      <c r="H297" s="8"/>
      <c r="I297" s="8"/>
      <c r="J297" s="9"/>
      <c r="K297" s="8"/>
      <c r="L297" s="8"/>
      <c r="M297" s="8"/>
      <c r="N297" s="8"/>
      <c r="O297" s="8"/>
      <c r="P297" s="8"/>
      <c r="Q297" s="8"/>
      <c r="R297" s="9"/>
      <c r="S297" s="8"/>
      <c r="T297" s="9"/>
      <c r="U297" s="10" t="str">
        <f aca="true">IF(B297="","",IF(OR(P297&lt;&gt;"",I297="می‌باشد"),"بسته",IF(AND(L297&lt;&gt;"",W297=""),"خطای فرمت تاریخ ایجاد",IF(AND(H297&lt;&gt;"",AA297=""),"خطای فرمت مهلت",IF(AND(H297&lt;&gt;"",AD297&lt;&gt;"",TODAY()&gt;AD297),"تاخیر",IF(L297&lt;&gt;"","در حال انجام",""))))))</f>
        <v/>
      </c>
      <c r="V297" s="7" t="n">
        <f aca="true">IF(U297="تاخیر",TODAY()-AD297,IF(AND(U297="بسته",AH297&lt;&gt;"",AD297&lt;&gt;"",AH297&gt;AD297),AH297-AD297,0))</f>
        <v>0</v>
      </c>
      <c r="W297" s="7" t="str">
        <f aca="false">IF(L297="","",VALUE(LEFT(L297,FIND("/",L297)-1)))</f>
        <v/>
      </c>
      <c r="X297" s="7" t="str">
        <f aca="false">IF(L297="","",VALUE(MID(L297,FIND("/",L297)+1,FIND("/",L297,FIND("/",L297)+1)-FIND("/",L297)-1)))</f>
        <v/>
      </c>
      <c r="Y297" s="7" t="str">
        <f aca="false">IF(L297="","",VALUE(MID(L297,FIND("/",L297,FIND("/",L297)+1)+1,LEN(L297)-FIND("/",L297,FIND("/",L297)+1))))</f>
        <v/>
      </c>
      <c r="Z297" s="7" t="str">
        <f aca="false">IF(OR(L297="",W297=""),"",IFERROR(INDEX('لیست‌ها'!$Q$3:$Q$53,MATCH(W297,'لیست‌ها'!$P$3:$P$53,0))+IF(X297&lt;=6,(X297-1)*31+Y297,IF(X297&lt;=11,186+(X297-7)*30+Y297,336+Y297))-1,""))</f>
        <v/>
      </c>
      <c r="AA297" s="7" t="str">
        <f aca="false">IF(H297="","",VALUE(LEFT(H297,FIND("/",H297)-1)))</f>
        <v/>
      </c>
      <c r="AB297" s="7" t="str">
        <f aca="false">IF(H297="","",VALUE(MID(H297,FIND("/",H297)+1,FIND("/",H297,FIND("/",H297)+1)-FIND("/",H297)-1)))</f>
        <v/>
      </c>
      <c r="AC297" s="7" t="str">
        <f aca="false">IF(H297="","",VALUE(MID(H297,FIND("/",H297,FIND("/",H297)+1)+1,LEN(H297)-FIND("/",H297,FIND("/",H297)+1))))</f>
        <v/>
      </c>
      <c r="AD297" s="7" t="str">
        <f aca="false">IF(OR(H297="",AA297=""),"",IFERROR(INDEX('لیست‌ها'!$Q$3:$Q$53,MATCH(AA297,'لیست‌ها'!$P$3:$P$53,0))+IF(AB297&lt;=6,(AB297-1)*31+AC297,IF(AB297&lt;=11,186+(AB297-7)*30+AC297,336+AC297))-1,""))</f>
        <v/>
      </c>
      <c r="AE297" s="7" t="str">
        <f aca="false">IF(P297="","",VALUE(LEFT(P297,FIND("/",P297)-1)))</f>
        <v/>
      </c>
      <c r="AF297" s="7" t="str">
        <f aca="false">IF(P297="","",VALUE(MID(P297,FIND("/",P297)+1,FIND("/",P297,FIND("/",P297)+1)-FIND("/",P297)-1)))</f>
        <v/>
      </c>
      <c r="AG297" s="7" t="str">
        <f aca="false">IF(P297="","",VALUE(MID(P297,FIND("/",P297,FIND("/",P297)+1)+1,LEN(P297)-FIND("/",P297,FIND("/",P297)+1))))</f>
        <v/>
      </c>
      <c r="AH297" s="7" t="str">
        <f aca="false">IF(OR(P297="",AE297=""),"",IFERROR(INDEX('لیست‌ها'!$Q$3:$Q$53,MATCH(AE297,'لیست‌ها'!$P$3:$P$53,0))+IF(AF297&lt;=6,(AF297-1)*31+AG297,IF(AF297&lt;=11,186+(AF297-7)*30+AG297,336+AG297))-1,""))</f>
        <v/>
      </c>
      <c r="AI297" s="7" t="str">
        <f aca="false">IF(W297="","",W297&amp;"-"&amp;TEXT(X297,"00"))</f>
        <v/>
      </c>
      <c r="AJ297" s="7" t="str">
        <f aca="false">IF(W297="","",W297*12+X297)</f>
        <v/>
      </c>
      <c r="AK297" s="7" t="str">
        <f aca="false">IF(U297="تاخیر",V297+ROW()/100000,"")</f>
        <v/>
      </c>
    </row>
    <row r="298" customFormat="false" ht="15" hidden="false" customHeight="false" outlineLevel="0" collapsed="false">
      <c r="A298" s="7" t="str">
        <f aca="false">IF(B298="","",ROW()-3)</f>
        <v/>
      </c>
      <c r="B298" s="8"/>
      <c r="C298" s="8"/>
      <c r="D298" s="8"/>
      <c r="E298" s="9"/>
      <c r="F298" s="9"/>
      <c r="G298" s="8"/>
      <c r="H298" s="8"/>
      <c r="I298" s="8"/>
      <c r="J298" s="9"/>
      <c r="K298" s="8"/>
      <c r="L298" s="8"/>
      <c r="M298" s="8"/>
      <c r="N298" s="8"/>
      <c r="O298" s="8"/>
      <c r="P298" s="8"/>
      <c r="Q298" s="8"/>
      <c r="R298" s="9"/>
      <c r="S298" s="8"/>
      <c r="T298" s="9"/>
      <c r="U298" s="10" t="str">
        <f aca="true">IF(B298="","",IF(OR(P298&lt;&gt;"",I298="می‌باشد"),"بسته",IF(AND(L298&lt;&gt;"",W298=""),"خطای فرمت تاریخ ایجاد",IF(AND(H298&lt;&gt;"",AA298=""),"خطای فرمت مهلت",IF(AND(H298&lt;&gt;"",AD298&lt;&gt;"",TODAY()&gt;AD298),"تاخیر",IF(L298&lt;&gt;"","در حال انجام",""))))))</f>
        <v/>
      </c>
      <c r="V298" s="7" t="n">
        <f aca="true">IF(U298="تاخیر",TODAY()-AD298,IF(AND(U298="بسته",AH298&lt;&gt;"",AD298&lt;&gt;"",AH298&gt;AD298),AH298-AD298,0))</f>
        <v>0</v>
      </c>
      <c r="W298" s="7" t="str">
        <f aca="false">IF(L298="","",VALUE(LEFT(L298,FIND("/",L298)-1)))</f>
        <v/>
      </c>
      <c r="X298" s="7" t="str">
        <f aca="false">IF(L298="","",VALUE(MID(L298,FIND("/",L298)+1,FIND("/",L298,FIND("/",L298)+1)-FIND("/",L298)-1)))</f>
        <v/>
      </c>
      <c r="Y298" s="7" t="str">
        <f aca="false">IF(L298="","",VALUE(MID(L298,FIND("/",L298,FIND("/",L298)+1)+1,LEN(L298)-FIND("/",L298,FIND("/",L298)+1))))</f>
        <v/>
      </c>
      <c r="Z298" s="7" t="str">
        <f aca="false">IF(OR(L298="",W298=""),"",IFERROR(INDEX('لیست‌ها'!$Q$3:$Q$53,MATCH(W298,'لیست‌ها'!$P$3:$P$53,0))+IF(X298&lt;=6,(X298-1)*31+Y298,IF(X298&lt;=11,186+(X298-7)*30+Y298,336+Y298))-1,""))</f>
        <v/>
      </c>
      <c r="AA298" s="7" t="str">
        <f aca="false">IF(H298="","",VALUE(LEFT(H298,FIND("/",H298)-1)))</f>
        <v/>
      </c>
      <c r="AB298" s="7" t="str">
        <f aca="false">IF(H298="","",VALUE(MID(H298,FIND("/",H298)+1,FIND("/",H298,FIND("/",H298)+1)-FIND("/",H298)-1)))</f>
        <v/>
      </c>
      <c r="AC298" s="7" t="str">
        <f aca="false">IF(H298="","",VALUE(MID(H298,FIND("/",H298,FIND("/",H298)+1)+1,LEN(H298)-FIND("/",H298,FIND("/",H298)+1))))</f>
        <v/>
      </c>
      <c r="AD298" s="7" t="str">
        <f aca="false">IF(OR(H298="",AA298=""),"",IFERROR(INDEX('لیست‌ها'!$Q$3:$Q$53,MATCH(AA298,'لیست‌ها'!$P$3:$P$53,0))+IF(AB298&lt;=6,(AB298-1)*31+AC298,IF(AB298&lt;=11,186+(AB298-7)*30+AC298,336+AC298))-1,""))</f>
        <v/>
      </c>
      <c r="AE298" s="7" t="str">
        <f aca="false">IF(P298="","",VALUE(LEFT(P298,FIND("/",P298)-1)))</f>
        <v/>
      </c>
      <c r="AF298" s="7" t="str">
        <f aca="false">IF(P298="","",VALUE(MID(P298,FIND("/",P298)+1,FIND("/",P298,FIND("/",P298)+1)-FIND("/",P298)-1)))</f>
        <v/>
      </c>
      <c r="AG298" s="7" t="str">
        <f aca="false">IF(P298="","",VALUE(MID(P298,FIND("/",P298,FIND("/",P298)+1)+1,LEN(P298)-FIND("/",P298,FIND("/",P298)+1))))</f>
        <v/>
      </c>
      <c r="AH298" s="7" t="str">
        <f aca="false">IF(OR(P298="",AE298=""),"",IFERROR(INDEX('لیست‌ها'!$Q$3:$Q$53,MATCH(AE298,'لیست‌ها'!$P$3:$P$53,0))+IF(AF298&lt;=6,(AF298-1)*31+AG298,IF(AF298&lt;=11,186+(AF298-7)*30+AG298,336+AG298))-1,""))</f>
        <v/>
      </c>
      <c r="AI298" s="7" t="str">
        <f aca="false">IF(W298="","",W298&amp;"-"&amp;TEXT(X298,"00"))</f>
        <v/>
      </c>
      <c r="AJ298" s="7" t="str">
        <f aca="false">IF(W298="","",W298*12+X298)</f>
        <v/>
      </c>
      <c r="AK298" s="7" t="str">
        <f aca="false">IF(U298="تاخیر",V298+ROW()/100000,"")</f>
        <v/>
      </c>
    </row>
    <row r="299" customFormat="false" ht="15" hidden="false" customHeight="false" outlineLevel="0" collapsed="false">
      <c r="A299" s="7" t="str">
        <f aca="false">IF(B299="","",ROW()-3)</f>
        <v/>
      </c>
      <c r="B299" s="8"/>
      <c r="C299" s="8"/>
      <c r="D299" s="8"/>
      <c r="E299" s="9"/>
      <c r="F299" s="9"/>
      <c r="G299" s="8"/>
      <c r="H299" s="8"/>
      <c r="I299" s="8"/>
      <c r="J299" s="9"/>
      <c r="K299" s="8"/>
      <c r="L299" s="8"/>
      <c r="M299" s="8"/>
      <c r="N299" s="8"/>
      <c r="O299" s="8"/>
      <c r="P299" s="8"/>
      <c r="Q299" s="8"/>
      <c r="R299" s="9"/>
      <c r="S299" s="8"/>
      <c r="T299" s="9"/>
      <c r="U299" s="10" t="str">
        <f aca="true">IF(B299="","",IF(OR(P299&lt;&gt;"",I299="می‌باشد"),"بسته",IF(AND(L299&lt;&gt;"",W299=""),"خطای فرمت تاریخ ایجاد",IF(AND(H299&lt;&gt;"",AA299=""),"خطای فرمت مهلت",IF(AND(H299&lt;&gt;"",AD299&lt;&gt;"",TODAY()&gt;AD299),"تاخیر",IF(L299&lt;&gt;"","در حال انجام",""))))))</f>
        <v/>
      </c>
      <c r="V299" s="7" t="n">
        <f aca="true">IF(U299="تاخیر",TODAY()-AD299,IF(AND(U299="بسته",AH299&lt;&gt;"",AD299&lt;&gt;"",AH299&gt;AD299),AH299-AD299,0))</f>
        <v>0</v>
      </c>
      <c r="W299" s="7" t="str">
        <f aca="false">IF(L299="","",VALUE(LEFT(L299,FIND("/",L299)-1)))</f>
        <v/>
      </c>
      <c r="X299" s="7" t="str">
        <f aca="false">IF(L299="","",VALUE(MID(L299,FIND("/",L299)+1,FIND("/",L299,FIND("/",L299)+1)-FIND("/",L299)-1)))</f>
        <v/>
      </c>
      <c r="Y299" s="7" t="str">
        <f aca="false">IF(L299="","",VALUE(MID(L299,FIND("/",L299,FIND("/",L299)+1)+1,LEN(L299)-FIND("/",L299,FIND("/",L299)+1))))</f>
        <v/>
      </c>
      <c r="Z299" s="7" t="str">
        <f aca="false">IF(OR(L299="",W299=""),"",IFERROR(INDEX('لیست‌ها'!$Q$3:$Q$53,MATCH(W299,'لیست‌ها'!$P$3:$P$53,0))+IF(X299&lt;=6,(X299-1)*31+Y299,IF(X299&lt;=11,186+(X299-7)*30+Y299,336+Y299))-1,""))</f>
        <v/>
      </c>
      <c r="AA299" s="7" t="str">
        <f aca="false">IF(H299="","",VALUE(LEFT(H299,FIND("/",H299)-1)))</f>
        <v/>
      </c>
      <c r="AB299" s="7" t="str">
        <f aca="false">IF(H299="","",VALUE(MID(H299,FIND("/",H299)+1,FIND("/",H299,FIND("/",H299)+1)-FIND("/",H299)-1)))</f>
        <v/>
      </c>
      <c r="AC299" s="7" t="str">
        <f aca="false">IF(H299="","",VALUE(MID(H299,FIND("/",H299,FIND("/",H299)+1)+1,LEN(H299)-FIND("/",H299,FIND("/",H299)+1))))</f>
        <v/>
      </c>
      <c r="AD299" s="7" t="str">
        <f aca="false">IF(OR(H299="",AA299=""),"",IFERROR(INDEX('لیست‌ها'!$Q$3:$Q$53,MATCH(AA299,'لیست‌ها'!$P$3:$P$53,0))+IF(AB299&lt;=6,(AB299-1)*31+AC299,IF(AB299&lt;=11,186+(AB299-7)*30+AC299,336+AC299))-1,""))</f>
        <v/>
      </c>
      <c r="AE299" s="7" t="str">
        <f aca="false">IF(P299="","",VALUE(LEFT(P299,FIND("/",P299)-1)))</f>
        <v/>
      </c>
      <c r="AF299" s="7" t="str">
        <f aca="false">IF(P299="","",VALUE(MID(P299,FIND("/",P299)+1,FIND("/",P299,FIND("/",P299)+1)-FIND("/",P299)-1)))</f>
        <v/>
      </c>
      <c r="AG299" s="7" t="str">
        <f aca="false">IF(P299="","",VALUE(MID(P299,FIND("/",P299,FIND("/",P299)+1)+1,LEN(P299)-FIND("/",P299,FIND("/",P299)+1))))</f>
        <v/>
      </c>
      <c r="AH299" s="7" t="str">
        <f aca="false">IF(OR(P299="",AE299=""),"",IFERROR(INDEX('لیست‌ها'!$Q$3:$Q$53,MATCH(AE299,'لیست‌ها'!$P$3:$P$53,0))+IF(AF299&lt;=6,(AF299-1)*31+AG299,IF(AF299&lt;=11,186+(AF299-7)*30+AG299,336+AG299))-1,""))</f>
        <v/>
      </c>
      <c r="AI299" s="7" t="str">
        <f aca="false">IF(W299="","",W299&amp;"-"&amp;TEXT(X299,"00"))</f>
        <v/>
      </c>
      <c r="AJ299" s="7" t="str">
        <f aca="false">IF(W299="","",W299*12+X299)</f>
        <v/>
      </c>
      <c r="AK299" s="7" t="str">
        <f aca="false">IF(U299="تاخیر",V299+ROW()/100000,"")</f>
        <v/>
      </c>
    </row>
    <row r="300" customFormat="false" ht="15" hidden="false" customHeight="false" outlineLevel="0" collapsed="false">
      <c r="A300" s="7" t="str">
        <f aca="false">IF(B300="","",ROW()-3)</f>
        <v/>
      </c>
      <c r="B300" s="8"/>
      <c r="C300" s="8"/>
      <c r="D300" s="8"/>
      <c r="E300" s="9"/>
      <c r="F300" s="9"/>
      <c r="G300" s="8"/>
      <c r="H300" s="8"/>
      <c r="I300" s="8"/>
      <c r="J300" s="9"/>
      <c r="K300" s="8"/>
      <c r="L300" s="8"/>
      <c r="M300" s="8"/>
      <c r="N300" s="8"/>
      <c r="O300" s="8"/>
      <c r="P300" s="8"/>
      <c r="Q300" s="8"/>
      <c r="R300" s="9"/>
      <c r="S300" s="8"/>
      <c r="T300" s="9"/>
      <c r="U300" s="10" t="str">
        <f aca="true">IF(B300="","",IF(OR(P300&lt;&gt;"",I300="می‌باشد"),"بسته",IF(AND(L300&lt;&gt;"",W300=""),"خطای فرمت تاریخ ایجاد",IF(AND(H300&lt;&gt;"",AA300=""),"خطای فرمت مهلت",IF(AND(H300&lt;&gt;"",AD300&lt;&gt;"",TODAY()&gt;AD300),"تاخیر",IF(L300&lt;&gt;"","در حال انجام",""))))))</f>
        <v/>
      </c>
      <c r="V300" s="7" t="n">
        <f aca="true">IF(U300="تاخیر",TODAY()-AD300,IF(AND(U300="بسته",AH300&lt;&gt;"",AD300&lt;&gt;"",AH300&gt;AD300),AH300-AD300,0))</f>
        <v>0</v>
      </c>
      <c r="W300" s="7" t="str">
        <f aca="false">IF(L300="","",VALUE(LEFT(L300,FIND("/",L300)-1)))</f>
        <v/>
      </c>
      <c r="X300" s="7" t="str">
        <f aca="false">IF(L300="","",VALUE(MID(L300,FIND("/",L300)+1,FIND("/",L300,FIND("/",L300)+1)-FIND("/",L300)-1)))</f>
        <v/>
      </c>
      <c r="Y300" s="7" t="str">
        <f aca="false">IF(L300="","",VALUE(MID(L300,FIND("/",L300,FIND("/",L300)+1)+1,LEN(L300)-FIND("/",L300,FIND("/",L300)+1))))</f>
        <v/>
      </c>
      <c r="Z300" s="7" t="str">
        <f aca="false">IF(OR(L300="",W300=""),"",IFERROR(INDEX('لیست‌ها'!$Q$3:$Q$53,MATCH(W300,'لیست‌ها'!$P$3:$P$53,0))+IF(X300&lt;=6,(X300-1)*31+Y300,IF(X300&lt;=11,186+(X300-7)*30+Y300,336+Y300))-1,""))</f>
        <v/>
      </c>
      <c r="AA300" s="7" t="str">
        <f aca="false">IF(H300="","",VALUE(LEFT(H300,FIND("/",H300)-1)))</f>
        <v/>
      </c>
      <c r="AB300" s="7" t="str">
        <f aca="false">IF(H300="","",VALUE(MID(H300,FIND("/",H300)+1,FIND("/",H300,FIND("/",H300)+1)-FIND("/",H300)-1)))</f>
        <v/>
      </c>
      <c r="AC300" s="7" t="str">
        <f aca="false">IF(H300="","",VALUE(MID(H300,FIND("/",H300,FIND("/",H300)+1)+1,LEN(H300)-FIND("/",H300,FIND("/",H300)+1))))</f>
        <v/>
      </c>
      <c r="AD300" s="7" t="str">
        <f aca="false">IF(OR(H300="",AA300=""),"",IFERROR(INDEX('لیست‌ها'!$Q$3:$Q$53,MATCH(AA300,'لیست‌ها'!$P$3:$P$53,0))+IF(AB300&lt;=6,(AB300-1)*31+AC300,IF(AB300&lt;=11,186+(AB300-7)*30+AC300,336+AC300))-1,""))</f>
        <v/>
      </c>
      <c r="AE300" s="7" t="str">
        <f aca="false">IF(P300="","",VALUE(LEFT(P300,FIND("/",P300)-1)))</f>
        <v/>
      </c>
      <c r="AF300" s="7" t="str">
        <f aca="false">IF(P300="","",VALUE(MID(P300,FIND("/",P300)+1,FIND("/",P300,FIND("/",P300)+1)-FIND("/",P300)-1)))</f>
        <v/>
      </c>
      <c r="AG300" s="7" t="str">
        <f aca="false">IF(P300="","",VALUE(MID(P300,FIND("/",P300,FIND("/",P300)+1)+1,LEN(P300)-FIND("/",P300,FIND("/",P300)+1))))</f>
        <v/>
      </c>
      <c r="AH300" s="7" t="str">
        <f aca="false">IF(OR(P300="",AE300=""),"",IFERROR(INDEX('لیست‌ها'!$Q$3:$Q$53,MATCH(AE300,'لیست‌ها'!$P$3:$P$53,0))+IF(AF300&lt;=6,(AF300-1)*31+AG300,IF(AF300&lt;=11,186+(AF300-7)*30+AG300,336+AG300))-1,""))</f>
        <v/>
      </c>
      <c r="AI300" s="7" t="str">
        <f aca="false">IF(W300="","",W300&amp;"-"&amp;TEXT(X300,"00"))</f>
        <v/>
      </c>
      <c r="AJ300" s="7" t="str">
        <f aca="false">IF(W300="","",W300*12+X300)</f>
        <v/>
      </c>
      <c r="AK300" s="7" t="str">
        <f aca="false">IF(U300="تاخیر",V300+ROW()/100000,"")</f>
        <v/>
      </c>
    </row>
    <row r="301" customFormat="false" ht="15" hidden="false" customHeight="false" outlineLevel="0" collapsed="false">
      <c r="A301" s="7" t="str">
        <f aca="false">IF(B301="","",ROW()-3)</f>
        <v/>
      </c>
      <c r="B301" s="8"/>
      <c r="C301" s="8"/>
      <c r="D301" s="8"/>
      <c r="E301" s="9"/>
      <c r="F301" s="9"/>
      <c r="G301" s="8"/>
      <c r="H301" s="8"/>
      <c r="I301" s="8"/>
      <c r="J301" s="9"/>
      <c r="K301" s="8"/>
      <c r="L301" s="8"/>
      <c r="M301" s="8"/>
      <c r="N301" s="8"/>
      <c r="O301" s="8"/>
      <c r="P301" s="8"/>
      <c r="Q301" s="8"/>
      <c r="R301" s="9"/>
      <c r="S301" s="8"/>
      <c r="T301" s="9"/>
      <c r="U301" s="10" t="str">
        <f aca="true">IF(B301="","",IF(OR(P301&lt;&gt;"",I301="می‌باشد"),"بسته",IF(AND(L301&lt;&gt;"",W301=""),"خطای فرمت تاریخ ایجاد",IF(AND(H301&lt;&gt;"",AA301=""),"خطای فرمت مهلت",IF(AND(H301&lt;&gt;"",AD301&lt;&gt;"",TODAY()&gt;AD301),"تاخیر",IF(L301&lt;&gt;"","در حال انجام",""))))))</f>
        <v/>
      </c>
      <c r="V301" s="7" t="n">
        <f aca="true">IF(U301="تاخیر",TODAY()-AD301,IF(AND(U301="بسته",AH301&lt;&gt;"",AD301&lt;&gt;"",AH301&gt;AD301),AH301-AD301,0))</f>
        <v>0</v>
      </c>
      <c r="W301" s="7" t="str">
        <f aca="false">IF(L301="","",VALUE(LEFT(L301,FIND("/",L301)-1)))</f>
        <v/>
      </c>
      <c r="X301" s="7" t="str">
        <f aca="false">IF(L301="","",VALUE(MID(L301,FIND("/",L301)+1,FIND("/",L301,FIND("/",L301)+1)-FIND("/",L301)-1)))</f>
        <v/>
      </c>
      <c r="Y301" s="7" t="str">
        <f aca="false">IF(L301="","",VALUE(MID(L301,FIND("/",L301,FIND("/",L301)+1)+1,LEN(L301)-FIND("/",L301,FIND("/",L301)+1))))</f>
        <v/>
      </c>
      <c r="Z301" s="7" t="str">
        <f aca="false">IF(OR(L301="",W301=""),"",IFERROR(INDEX('لیست‌ها'!$Q$3:$Q$53,MATCH(W301,'لیست‌ها'!$P$3:$P$53,0))+IF(X301&lt;=6,(X301-1)*31+Y301,IF(X301&lt;=11,186+(X301-7)*30+Y301,336+Y301))-1,""))</f>
        <v/>
      </c>
      <c r="AA301" s="7" t="str">
        <f aca="false">IF(H301="","",VALUE(LEFT(H301,FIND("/",H301)-1)))</f>
        <v/>
      </c>
      <c r="AB301" s="7" t="str">
        <f aca="false">IF(H301="","",VALUE(MID(H301,FIND("/",H301)+1,FIND("/",H301,FIND("/",H301)+1)-FIND("/",H301)-1)))</f>
        <v/>
      </c>
      <c r="AC301" s="7" t="str">
        <f aca="false">IF(H301="","",VALUE(MID(H301,FIND("/",H301,FIND("/",H301)+1)+1,LEN(H301)-FIND("/",H301,FIND("/",H301)+1))))</f>
        <v/>
      </c>
      <c r="AD301" s="7" t="str">
        <f aca="false">IF(OR(H301="",AA301=""),"",IFERROR(INDEX('لیست‌ها'!$Q$3:$Q$53,MATCH(AA301,'لیست‌ها'!$P$3:$P$53,0))+IF(AB301&lt;=6,(AB301-1)*31+AC301,IF(AB301&lt;=11,186+(AB301-7)*30+AC301,336+AC301))-1,""))</f>
        <v/>
      </c>
      <c r="AE301" s="7" t="str">
        <f aca="false">IF(P301="","",VALUE(LEFT(P301,FIND("/",P301)-1)))</f>
        <v/>
      </c>
      <c r="AF301" s="7" t="str">
        <f aca="false">IF(P301="","",VALUE(MID(P301,FIND("/",P301)+1,FIND("/",P301,FIND("/",P301)+1)-FIND("/",P301)-1)))</f>
        <v/>
      </c>
      <c r="AG301" s="7" t="str">
        <f aca="false">IF(P301="","",VALUE(MID(P301,FIND("/",P301,FIND("/",P301)+1)+1,LEN(P301)-FIND("/",P301,FIND("/",P301)+1))))</f>
        <v/>
      </c>
      <c r="AH301" s="7" t="str">
        <f aca="false">IF(OR(P301="",AE301=""),"",IFERROR(INDEX('لیست‌ها'!$Q$3:$Q$53,MATCH(AE301,'لیست‌ها'!$P$3:$P$53,0))+IF(AF301&lt;=6,(AF301-1)*31+AG301,IF(AF301&lt;=11,186+(AF301-7)*30+AG301,336+AG301))-1,""))</f>
        <v/>
      </c>
      <c r="AI301" s="7" t="str">
        <f aca="false">IF(W301="","",W301&amp;"-"&amp;TEXT(X301,"00"))</f>
        <v/>
      </c>
      <c r="AJ301" s="7" t="str">
        <f aca="false">IF(W301="","",W301*12+X301)</f>
        <v/>
      </c>
      <c r="AK301" s="7" t="str">
        <f aca="false">IF(U301="تاخیر",V301+ROW()/100000,"")</f>
        <v/>
      </c>
    </row>
    <row r="302" customFormat="false" ht="15" hidden="false" customHeight="false" outlineLevel="0" collapsed="false">
      <c r="A302" s="7" t="str">
        <f aca="false">IF(B302="","",ROW()-3)</f>
        <v/>
      </c>
      <c r="B302" s="8"/>
      <c r="C302" s="8"/>
      <c r="D302" s="8"/>
      <c r="E302" s="9"/>
      <c r="F302" s="9"/>
      <c r="G302" s="8"/>
      <c r="H302" s="8"/>
      <c r="I302" s="8"/>
      <c r="J302" s="9"/>
      <c r="K302" s="8"/>
      <c r="L302" s="8"/>
      <c r="M302" s="8"/>
      <c r="N302" s="8"/>
      <c r="O302" s="8"/>
      <c r="P302" s="8"/>
      <c r="Q302" s="8"/>
      <c r="R302" s="9"/>
      <c r="S302" s="8"/>
      <c r="T302" s="9"/>
      <c r="U302" s="10" t="str">
        <f aca="true">IF(B302="","",IF(OR(P302&lt;&gt;"",I302="می‌باشد"),"بسته",IF(AND(L302&lt;&gt;"",W302=""),"خطای فرمت تاریخ ایجاد",IF(AND(H302&lt;&gt;"",AA302=""),"خطای فرمت مهلت",IF(AND(H302&lt;&gt;"",AD302&lt;&gt;"",TODAY()&gt;AD302),"تاخیر",IF(L302&lt;&gt;"","در حال انجام",""))))))</f>
        <v/>
      </c>
      <c r="V302" s="7" t="n">
        <f aca="true">IF(U302="تاخیر",TODAY()-AD302,IF(AND(U302="بسته",AH302&lt;&gt;"",AD302&lt;&gt;"",AH302&gt;AD302),AH302-AD302,0))</f>
        <v>0</v>
      </c>
      <c r="W302" s="7" t="str">
        <f aca="false">IF(L302="","",VALUE(LEFT(L302,FIND("/",L302)-1)))</f>
        <v/>
      </c>
      <c r="X302" s="7" t="str">
        <f aca="false">IF(L302="","",VALUE(MID(L302,FIND("/",L302)+1,FIND("/",L302,FIND("/",L302)+1)-FIND("/",L302)-1)))</f>
        <v/>
      </c>
      <c r="Y302" s="7" t="str">
        <f aca="false">IF(L302="","",VALUE(MID(L302,FIND("/",L302,FIND("/",L302)+1)+1,LEN(L302)-FIND("/",L302,FIND("/",L302)+1))))</f>
        <v/>
      </c>
      <c r="Z302" s="7" t="str">
        <f aca="false">IF(OR(L302="",W302=""),"",IFERROR(INDEX('لیست‌ها'!$Q$3:$Q$53,MATCH(W302,'لیست‌ها'!$P$3:$P$53,0))+IF(X302&lt;=6,(X302-1)*31+Y302,IF(X302&lt;=11,186+(X302-7)*30+Y302,336+Y302))-1,""))</f>
        <v/>
      </c>
      <c r="AA302" s="7" t="str">
        <f aca="false">IF(H302="","",VALUE(LEFT(H302,FIND("/",H302)-1)))</f>
        <v/>
      </c>
      <c r="AB302" s="7" t="str">
        <f aca="false">IF(H302="","",VALUE(MID(H302,FIND("/",H302)+1,FIND("/",H302,FIND("/",H302)+1)-FIND("/",H302)-1)))</f>
        <v/>
      </c>
      <c r="AC302" s="7" t="str">
        <f aca="false">IF(H302="","",VALUE(MID(H302,FIND("/",H302,FIND("/",H302)+1)+1,LEN(H302)-FIND("/",H302,FIND("/",H302)+1))))</f>
        <v/>
      </c>
      <c r="AD302" s="7" t="str">
        <f aca="false">IF(OR(H302="",AA302=""),"",IFERROR(INDEX('لیست‌ها'!$Q$3:$Q$53,MATCH(AA302,'لیست‌ها'!$P$3:$P$53,0))+IF(AB302&lt;=6,(AB302-1)*31+AC302,IF(AB302&lt;=11,186+(AB302-7)*30+AC302,336+AC302))-1,""))</f>
        <v/>
      </c>
      <c r="AE302" s="7" t="str">
        <f aca="false">IF(P302="","",VALUE(LEFT(P302,FIND("/",P302)-1)))</f>
        <v/>
      </c>
      <c r="AF302" s="7" t="str">
        <f aca="false">IF(P302="","",VALUE(MID(P302,FIND("/",P302)+1,FIND("/",P302,FIND("/",P302)+1)-FIND("/",P302)-1)))</f>
        <v/>
      </c>
      <c r="AG302" s="7" t="str">
        <f aca="false">IF(P302="","",VALUE(MID(P302,FIND("/",P302,FIND("/",P302)+1)+1,LEN(P302)-FIND("/",P302,FIND("/",P302)+1))))</f>
        <v/>
      </c>
      <c r="AH302" s="7" t="str">
        <f aca="false">IF(OR(P302="",AE302=""),"",IFERROR(INDEX('لیست‌ها'!$Q$3:$Q$53,MATCH(AE302,'لیست‌ها'!$P$3:$P$53,0))+IF(AF302&lt;=6,(AF302-1)*31+AG302,IF(AF302&lt;=11,186+(AF302-7)*30+AG302,336+AG302))-1,""))</f>
        <v/>
      </c>
      <c r="AI302" s="7" t="str">
        <f aca="false">IF(W302="","",W302&amp;"-"&amp;TEXT(X302,"00"))</f>
        <v/>
      </c>
      <c r="AJ302" s="7" t="str">
        <f aca="false">IF(W302="","",W302*12+X302)</f>
        <v/>
      </c>
      <c r="AK302" s="7" t="str">
        <f aca="false">IF(U302="تاخیر",V302+ROW()/100000,"")</f>
        <v/>
      </c>
    </row>
    <row r="303" customFormat="false" ht="15" hidden="false" customHeight="false" outlineLevel="0" collapsed="false">
      <c r="A303" s="7" t="str">
        <f aca="false">IF(B303="","",ROW()-3)</f>
        <v/>
      </c>
      <c r="B303" s="8"/>
      <c r="C303" s="8"/>
      <c r="D303" s="8"/>
      <c r="E303" s="9"/>
      <c r="F303" s="9"/>
      <c r="G303" s="8"/>
      <c r="H303" s="8"/>
      <c r="I303" s="8"/>
      <c r="J303" s="9"/>
      <c r="K303" s="8"/>
      <c r="L303" s="8"/>
      <c r="M303" s="8"/>
      <c r="N303" s="8"/>
      <c r="O303" s="8"/>
      <c r="P303" s="8"/>
      <c r="Q303" s="8"/>
      <c r="R303" s="9"/>
      <c r="S303" s="8"/>
      <c r="T303" s="9"/>
      <c r="U303" s="10" t="str">
        <f aca="true">IF(B303="","",IF(OR(P303&lt;&gt;"",I303="می‌باشد"),"بسته",IF(AND(L303&lt;&gt;"",W303=""),"خطای فرمت تاریخ ایجاد",IF(AND(H303&lt;&gt;"",AA303=""),"خطای فرمت مهلت",IF(AND(H303&lt;&gt;"",AD303&lt;&gt;"",TODAY()&gt;AD303),"تاخیر",IF(L303&lt;&gt;"","در حال انجام",""))))))</f>
        <v/>
      </c>
      <c r="V303" s="7" t="n">
        <f aca="true">IF(U303="تاخیر",TODAY()-AD303,IF(AND(U303="بسته",AH303&lt;&gt;"",AD303&lt;&gt;"",AH303&gt;AD303),AH303-AD303,0))</f>
        <v>0</v>
      </c>
      <c r="W303" s="7" t="str">
        <f aca="false">IF(L303="","",VALUE(LEFT(L303,FIND("/",L303)-1)))</f>
        <v/>
      </c>
      <c r="X303" s="7" t="str">
        <f aca="false">IF(L303="","",VALUE(MID(L303,FIND("/",L303)+1,FIND("/",L303,FIND("/",L303)+1)-FIND("/",L303)-1)))</f>
        <v/>
      </c>
      <c r="Y303" s="7" t="str">
        <f aca="false">IF(L303="","",VALUE(MID(L303,FIND("/",L303,FIND("/",L303)+1)+1,LEN(L303)-FIND("/",L303,FIND("/",L303)+1))))</f>
        <v/>
      </c>
      <c r="Z303" s="7" t="str">
        <f aca="false">IF(OR(L303="",W303=""),"",IFERROR(INDEX('لیست‌ها'!$Q$3:$Q$53,MATCH(W303,'لیست‌ها'!$P$3:$P$53,0))+IF(X303&lt;=6,(X303-1)*31+Y303,IF(X303&lt;=11,186+(X303-7)*30+Y303,336+Y303))-1,""))</f>
        <v/>
      </c>
      <c r="AA303" s="7" t="str">
        <f aca="false">IF(H303="","",VALUE(LEFT(H303,FIND("/",H303)-1)))</f>
        <v/>
      </c>
      <c r="AB303" s="7" t="str">
        <f aca="false">IF(H303="","",VALUE(MID(H303,FIND("/",H303)+1,FIND("/",H303,FIND("/",H303)+1)-FIND("/",H303)-1)))</f>
        <v/>
      </c>
      <c r="AC303" s="7" t="str">
        <f aca="false">IF(H303="","",VALUE(MID(H303,FIND("/",H303,FIND("/",H303)+1)+1,LEN(H303)-FIND("/",H303,FIND("/",H303)+1))))</f>
        <v/>
      </c>
      <c r="AD303" s="7" t="str">
        <f aca="false">IF(OR(H303="",AA303=""),"",IFERROR(INDEX('لیست‌ها'!$Q$3:$Q$53,MATCH(AA303,'لیست‌ها'!$P$3:$P$53,0))+IF(AB303&lt;=6,(AB303-1)*31+AC303,IF(AB303&lt;=11,186+(AB303-7)*30+AC303,336+AC303))-1,""))</f>
        <v/>
      </c>
      <c r="AE303" s="7" t="str">
        <f aca="false">IF(P303="","",VALUE(LEFT(P303,FIND("/",P303)-1)))</f>
        <v/>
      </c>
      <c r="AF303" s="7" t="str">
        <f aca="false">IF(P303="","",VALUE(MID(P303,FIND("/",P303)+1,FIND("/",P303,FIND("/",P303)+1)-FIND("/",P303)-1)))</f>
        <v/>
      </c>
      <c r="AG303" s="7" t="str">
        <f aca="false">IF(P303="","",VALUE(MID(P303,FIND("/",P303,FIND("/",P303)+1)+1,LEN(P303)-FIND("/",P303,FIND("/",P303)+1))))</f>
        <v/>
      </c>
      <c r="AH303" s="7" t="str">
        <f aca="false">IF(OR(P303="",AE303=""),"",IFERROR(INDEX('لیست‌ها'!$Q$3:$Q$53,MATCH(AE303,'لیست‌ها'!$P$3:$P$53,0))+IF(AF303&lt;=6,(AF303-1)*31+AG303,IF(AF303&lt;=11,186+(AF303-7)*30+AG303,336+AG303))-1,""))</f>
        <v/>
      </c>
      <c r="AI303" s="7" t="str">
        <f aca="false">IF(W303="","",W303&amp;"-"&amp;TEXT(X303,"00"))</f>
        <v/>
      </c>
      <c r="AJ303" s="7" t="str">
        <f aca="false">IF(W303="","",W303*12+X303)</f>
        <v/>
      </c>
      <c r="AK303" s="7" t="str">
        <f aca="false">IF(U303="تاخیر",V303+ROW()/100000,"")</f>
        <v/>
      </c>
    </row>
    <row r="304" customFormat="false" ht="15" hidden="false" customHeight="false" outlineLevel="0" collapsed="false">
      <c r="A304" s="7" t="str">
        <f aca="false">IF(B304="","",ROW()-3)</f>
        <v/>
      </c>
      <c r="B304" s="8"/>
      <c r="C304" s="8"/>
      <c r="D304" s="8"/>
      <c r="E304" s="9"/>
      <c r="F304" s="9"/>
      <c r="G304" s="8"/>
      <c r="H304" s="8"/>
      <c r="I304" s="8"/>
      <c r="J304" s="9"/>
      <c r="K304" s="8"/>
      <c r="L304" s="8"/>
      <c r="M304" s="8"/>
      <c r="N304" s="8"/>
      <c r="O304" s="8"/>
      <c r="P304" s="8"/>
      <c r="Q304" s="8"/>
      <c r="R304" s="9"/>
      <c r="S304" s="8"/>
      <c r="T304" s="9"/>
      <c r="U304" s="10" t="str">
        <f aca="true">IF(B304="","",IF(OR(P304&lt;&gt;"",I304="می‌باشد"),"بسته",IF(AND(L304&lt;&gt;"",W304=""),"خطای فرمت تاریخ ایجاد",IF(AND(H304&lt;&gt;"",AA304=""),"خطای فرمت مهلت",IF(AND(H304&lt;&gt;"",AD304&lt;&gt;"",TODAY()&gt;AD304),"تاخیر",IF(L304&lt;&gt;"","در حال انجام",""))))))</f>
        <v/>
      </c>
      <c r="V304" s="7" t="n">
        <f aca="true">IF(U304="تاخیر",TODAY()-AD304,IF(AND(U304="بسته",AH304&lt;&gt;"",AD304&lt;&gt;"",AH304&gt;AD304),AH304-AD304,0))</f>
        <v>0</v>
      </c>
      <c r="W304" s="7" t="str">
        <f aca="false">IF(L304="","",VALUE(LEFT(L304,FIND("/",L304)-1)))</f>
        <v/>
      </c>
      <c r="X304" s="7" t="str">
        <f aca="false">IF(L304="","",VALUE(MID(L304,FIND("/",L304)+1,FIND("/",L304,FIND("/",L304)+1)-FIND("/",L304)-1)))</f>
        <v/>
      </c>
      <c r="Y304" s="7" t="str">
        <f aca="false">IF(L304="","",VALUE(MID(L304,FIND("/",L304,FIND("/",L304)+1)+1,LEN(L304)-FIND("/",L304,FIND("/",L304)+1))))</f>
        <v/>
      </c>
      <c r="Z304" s="7" t="str">
        <f aca="false">IF(OR(L304="",W304=""),"",IFERROR(INDEX('لیست‌ها'!$Q$3:$Q$53,MATCH(W304,'لیست‌ها'!$P$3:$P$53,0))+IF(X304&lt;=6,(X304-1)*31+Y304,IF(X304&lt;=11,186+(X304-7)*30+Y304,336+Y304))-1,""))</f>
        <v/>
      </c>
      <c r="AA304" s="7" t="str">
        <f aca="false">IF(H304="","",VALUE(LEFT(H304,FIND("/",H304)-1)))</f>
        <v/>
      </c>
      <c r="AB304" s="7" t="str">
        <f aca="false">IF(H304="","",VALUE(MID(H304,FIND("/",H304)+1,FIND("/",H304,FIND("/",H304)+1)-FIND("/",H304)-1)))</f>
        <v/>
      </c>
      <c r="AC304" s="7" t="str">
        <f aca="false">IF(H304="","",VALUE(MID(H304,FIND("/",H304,FIND("/",H304)+1)+1,LEN(H304)-FIND("/",H304,FIND("/",H304)+1))))</f>
        <v/>
      </c>
      <c r="AD304" s="7" t="str">
        <f aca="false">IF(OR(H304="",AA304=""),"",IFERROR(INDEX('لیست‌ها'!$Q$3:$Q$53,MATCH(AA304,'لیست‌ها'!$P$3:$P$53,0))+IF(AB304&lt;=6,(AB304-1)*31+AC304,IF(AB304&lt;=11,186+(AB304-7)*30+AC304,336+AC304))-1,""))</f>
        <v/>
      </c>
      <c r="AE304" s="7" t="str">
        <f aca="false">IF(P304="","",VALUE(LEFT(P304,FIND("/",P304)-1)))</f>
        <v/>
      </c>
      <c r="AF304" s="7" t="str">
        <f aca="false">IF(P304="","",VALUE(MID(P304,FIND("/",P304)+1,FIND("/",P304,FIND("/",P304)+1)-FIND("/",P304)-1)))</f>
        <v/>
      </c>
      <c r="AG304" s="7" t="str">
        <f aca="false">IF(P304="","",VALUE(MID(P304,FIND("/",P304,FIND("/",P304)+1)+1,LEN(P304)-FIND("/",P304,FIND("/",P304)+1))))</f>
        <v/>
      </c>
      <c r="AH304" s="7" t="str">
        <f aca="false">IF(OR(P304="",AE304=""),"",IFERROR(INDEX('لیست‌ها'!$Q$3:$Q$53,MATCH(AE304,'لیست‌ها'!$P$3:$P$53,0))+IF(AF304&lt;=6,(AF304-1)*31+AG304,IF(AF304&lt;=11,186+(AF304-7)*30+AG304,336+AG304))-1,""))</f>
        <v/>
      </c>
      <c r="AI304" s="7" t="str">
        <f aca="false">IF(W304="","",W304&amp;"-"&amp;TEXT(X304,"00"))</f>
        <v/>
      </c>
      <c r="AJ304" s="7" t="str">
        <f aca="false">IF(W304="","",W304*12+X304)</f>
        <v/>
      </c>
      <c r="AK304" s="7" t="str">
        <f aca="false">IF(U304="تاخیر",V304+ROW()/100000,"")</f>
        <v/>
      </c>
    </row>
    <row r="305" customFormat="false" ht="15" hidden="false" customHeight="false" outlineLevel="0" collapsed="false">
      <c r="A305" s="7" t="str">
        <f aca="false">IF(B305="","",ROW()-3)</f>
        <v/>
      </c>
      <c r="B305" s="8"/>
      <c r="C305" s="8"/>
      <c r="D305" s="8"/>
      <c r="E305" s="9"/>
      <c r="F305" s="9"/>
      <c r="G305" s="8"/>
      <c r="H305" s="8"/>
      <c r="I305" s="8"/>
      <c r="J305" s="9"/>
      <c r="K305" s="8"/>
      <c r="L305" s="8"/>
      <c r="M305" s="8"/>
      <c r="N305" s="8"/>
      <c r="O305" s="8"/>
      <c r="P305" s="8"/>
      <c r="Q305" s="8"/>
      <c r="R305" s="9"/>
      <c r="S305" s="8"/>
      <c r="T305" s="9"/>
      <c r="U305" s="10" t="str">
        <f aca="true">IF(B305="","",IF(OR(P305&lt;&gt;"",I305="می‌باشد"),"بسته",IF(AND(L305&lt;&gt;"",W305=""),"خطای فرمت تاریخ ایجاد",IF(AND(H305&lt;&gt;"",AA305=""),"خطای فرمت مهلت",IF(AND(H305&lt;&gt;"",AD305&lt;&gt;"",TODAY()&gt;AD305),"تاخیر",IF(L305&lt;&gt;"","در حال انجام",""))))))</f>
        <v/>
      </c>
      <c r="V305" s="7" t="n">
        <f aca="true">IF(U305="تاخیر",TODAY()-AD305,IF(AND(U305="بسته",AH305&lt;&gt;"",AD305&lt;&gt;"",AH305&gt;AD305),AH305-AD305,0))</f>
        <v>0</v>
      </c>
      <c r="W305" s="7" t="str">
        <f aca="false">IF(L305="","",VALUE(LEFT(L305,FIND("/",L305)-1)))</f>
        <v/>
      </c>
      <c r="X305" s="7" t="str">
        <f aca="false">IF(L305="","",VALUE(MID(L305,FIND("/",L305)+1,FIND("/",L305,FIND("/",L305)+1)-FIND("/",L305)-1)))</f>
        <v/>
      </c>
      <c r="Y305" s="7" t="str">
        <f aca="false">IF(L305="","",VALUE(MID(L305,FIND("/",L305,FIND("/",L305)+1)+1,LEN(L305)-FIND("/",L305,FIND("/",L305)+1))))</f>
        <v/>
      </c>
      <c r="Z305" s="7" t="str">
        <f aca="false">IF(OR(L305="",W305=""),"",IFERROR(INDEX('لیست‌ها'!$Q$3:$Q$53,MATCH(W305,'لیست‌ها'!$P$3:$P$53,0))+IF(X305&lt;=6,(X305-1)*31+Y305,IF(X305&lt;=11,186+(X305-7)*30+Y305,336+Y305))-1,""))</f>
        <v/>
      </c>
      <c r="AA305" s="7" t="str">
        <f aca="false">IF(H305="","",VALUE(LEFT(H305,FIND("/",H305)-1)))</f>
        <v/>
      </c>
      <c r="AB305" s="7" t="str">
        <f aca="false">IF(H305="","",VALUE(MID(H305,FIND("/",H305)+1,FIND("/",H305,FIND("/",H305)+1)-FIND("/",H305)-1)))</f>
        <v/>
      </c>
      <c r="AC305" s="7" t="str">
        <f aca="false">IF(H305="","",VALUE(MID(H305,FIND("/",H305,FIND("/",H305)+1)+1,LEN(H305)-FIND("/",H305,FIND("/",H305)+1))))</f>
        <v/>
      </c>
      <c r="AD305" s="7" t="str">
        <f aca="false">IF(OR(H305="",AA305=""),"",IFERROR(INDEX('لیست‌ها'!$Q$3:$Q$53,MATCH(AA305,'لیست‌ها'!$P$3:$P$53,0))+IF(AB305&lt;=6,(AB305-1)*31+AC305,IF(AB305&lt;=11,186+(AB305-7)*30+AC305,336+AC305))-1,""))</f>
        <v/>
      </c>
      <c r="AE305" s="7" t="str">
        <f aca="false">IF(P305="","",VALUE(LEFT(P305,FIND("/",P305)-1)))</f>
        <v/>
      </c>
      <c r="AF305" s="7" t="str">
        <f aca="false">IF(P305="","",VALUE(MID(P305,FIND("/",P305)+1,FIND("/",P305,FIND("/",P305)+1)-FIND("/",P305)-1)))</f>
        <v/>
      </c>
      <c r="AG305" s="7" t="str">
        <f aca="false">IF(P305="","",VALUE(MID(P305,FIND("/",P305,FIND("/",P305)+1)+1,LEN(P305)-FIND("/",P305,FIND("/",P305)+1))))</f>
        <v/>
      </c>
      <c r="AH305" s="7" t="str">
        <f aca="false">IF(OR(P305="",AE305=""),"",IFERROR(INDEX('لیست‌ها'!$Q$3:$Q$53,MATCH(AE305,'لیست‌ها'!$P$3:$P$53,0))+IF(AF305&lt;=6,(AF305-1)*31+AG305,IF(AF305&lt;=11,186+(AF305-7)*30+AG305,336+AG305))-1,""))</f>
        <v/>
      </c>
      <c r="AI305" s="7" t="str">
        <f aca="false">IF(W305="","",W305&amp;"-"&amp;TEXT(X305,"00"))</f>
        <v/>
      </c>
      <c r="AJ305" s="7" t="str">
        <f aca="false">IF(W305="","",W305*12+X305)</f>
        <v/>
      </c>
      <c r="AK305" s="7" t="str">
        <f aca="false">IF(U305="تاخیر",V305+ROW()/100000,"")</f>
        <v/>
      </c>
    </row>
    <row r="306" customFormat="false" ht="15" hidden="false" customHeight="false" outlineLevel="0" collapsed="false">
      <c r="A306" s="7" t="str">
        <f aca="false">IF(B306="","",ROW()-3)</f>
        <v/>
      </c>
      <c r="B306" s="8"/>
      <c r="C306" s="8"/>
      <c r="D306" s="8"/>
      <c r="E306" s="9"/>
      <c r="F306" s="9"/>
      <c r="G306" s="8"/>
      <c r="H306" s="8"/>
      <c r="I306" s="8"/>
      <c r="J306" s="9"/>
      <c r="K306" s="8"/>
      <c r="L306" s="8"/>
      <c r="M306" s="8"/>
      <c r="N306" s="8"/>
      <c r="O306" s="8"/>
      <c r="P306" s="8"/>
      <c r="Q306" s="8"/>
      <c r="R306" s="9"/>
      <c r="S306" s="8"/>
      <c r="T306" s="9"/>
      <c r="U306" s="10" t="str">
        <f aca="true">IF(B306="","",IF(OR(P306&lt;&gt;"",I306="می‌باشد"),"بسته",IF(AND(L306&lt;&gt;"",W306=""),"خطای فرمت تاریخ ایجاد",IF(AND(H306&lt;&gt;"",AA306=""),"خطای فرمت مهلت",IF(AND(H306&lt;&gt;"",AD306&lt;&gt;"",TODAY()&gt;AD306),"تاخیر",IF(L306&lt;&gt;"","در حال انجام",""))))))</f>
        <v/>
      </c>
      <c r="V306" s="7" t="n">
        <f aca="true">IF(U306="تاخیر",TODAY()-AD306,IF(AND(U306="بسته",AH306&lt;&gt;"",AD306&lt;&gt;"",AH306&gt;AD306),AH306-AD306,0))</f>
        <v>0</v>
      </c>
      <c r="W306" s="7" t="str">
        <f aca="false">IF(L306="","",VALUE(LEFT(L306,FIND("/",L306)-1)))</f>
        <v/>
      </c>
      <c r="X306" s="7" t="str">
        <f aca="false">IF(L306="","",VALUE(MID(L306,FIND("/",L306)+1,FIND("/",L306,FIND("/",L306)+1)-FIND("/",L306)-1)))</f>
        <v/>
      </c>
      <c r="Y306" s="7" t="str">
        <f aca="false">IF(L306="","",VALUE(MID(L306,FIND("/",L306,FIND("/",L306)+1)+1,LEN(L306)-FIND("/",L306,FIND("/",L306)+1))))</f>
        <v/>
      </c>
      <c r="Z306" s="7" t="str">
        <f aca="false">IF(OR(L306="",W306=""),"",IFERROR(INDEX('لیست‌ها'!$Q$3:$Q$53,MATCH(W306,'لیست‌ها'!$P$3:$P$53,0))+IF(X306&lt;=6,(X306-1)*31+Y306,IF(X306&lt;=11,186+(X306-7)*30+Y306,336+Y306))-1,""))</f>
        <v/>
      </c>
      <c r="AA306" s="7" t="str">
        <f aca="false">IF(H306="","",VALUE(LEFT(H306,FIND("/",H306)-1)))</f>
        <v/>
      </c>
      <c r="AB306" s="7" t="str">
        <f aca="false">IF(H306="","",VALUE(MID(H306,FIND("/",H306)+1,FIND("/",H306,FIND("/",H306)+1)-FIND("/",H306)-1)))</f>
        <v/>
      </c>
      <c r="AC306" s="7" t="str">
        <f aca="false">IF(H306="","",VALUE(MID(H306,FIND("/",H306,FIND("/",H306)+1)+1,LEN(H306)-FIND("/",H306,FIND("/",H306)+1))))</f>
        <v/>
      </c>
      <c r="AD306" s="7" t="str">
        <f aca="false">IF(OR(H306="",AA306=""),"",IFERROR(INDEX('لیست‌ها'!$Q$3:$Q$53,MATCH(AA306,'لیست‌ها'!$P$3:$P$53,0))+IF(AB306&lt;=6,(AB306-1)*31+AC306,IF(AB306&lt;=11,186+(AB306-7)*30+AC306,336+AC306))-1,""))</f>
        <v/>
      </c>
      <c r="AE306" s="7" t="str">
        <f aca="false">IF(P306="","",VALUE(LEFT(P306,FIND("/",P306)-1)))</f>
        <v/>
      </c>
      <c r="AF306" s="7" t="str">
        <f aca="false">IF(P306="","",VALUE(MID(P306,FIND("/",P306)+1,FIND("/",P306,FIND("/",P306)+1)-FIND("/",P306)-1)))</f>
        <v/>
      </c>
      <c r="AG306" s="7" t="str">
        <f aca="false">IF(P306="","",VALUE(MID(P306,FIND("/",P306,FIND("/",P306)+1)+1,LEN(P306)-FIND("/",P306,FIND("/",P306)+1))))</f>
        <v/>
      </c>
      <c r="AH306" s="7" t="str">
        <f aca="false">IF(OR(P306="",AE306=""),"",IFERROR(INDEX('لیست‌ها'!$Q$3:$Q$53,MATCH(AE306,'لیست‌ها'!$P$3:$P$53,0))+IF(AF306&lt;=6,(AF306-1)*31+AG306,IF(AF306&lt;=11,186+(AF306-7)*30+AG306,336+AG306))-1,""))</f>
        <v/>
      </c>
      <c r="AI306" s="7" t="str">
        <f aca="false">IF(W306="","",W306&amp;"-"&amp;TEXT(X306,"00"))</f>
        <v/>
      </c>
      <c r="AJ306" s="7" t="str">
        <f aca="false">IF(W306="","",W306*12+X306)</f>
        <v/>
      </c>
      <c r="AK306" s="7" t="str">
        <f aca="false">IF(U306="تاخیر",V306+ROW()/100000,"")</f>
        <v/>
      </c>
    </row>
    <row r="307" customFormat="false" ht="15" hidden="false" customHeight="false" outlineLevel="0" collapsed="false">
      <c r="A307" s="7" t="str">
        <f aca="false">IF(B307="","",ROW()-3)</f>
        <v/>
      </c>
      <c r="B307" s="8"/>
      <c r="C307" s="8"/>
      <c r="D307" s="8"/>
      <c r="E307" s="9"/>
      <c r="F307" s="9"/>
      <c r="G307" s="8"/>
      <c r="H307" s="8"/>
      <c r="I307" s="8"/>
      <c r="J307" s="9"/>
      <c r="K307" s="8"/>
      <c r="L307" s="8"/>
      <c r="M307" s="8"/>
      <c r="N307" s="8"/>
      <c r="O307" s="8"/>
      <c r="P307" s="8"/>
      <c r="Q307" s="8"/>
      <c r="R307" s="9"/>
      <c r="S307" s="8"/>
      <c r="T307" s="9"/>
      <c r="U307" s="10" t="str">
        <f aca="true">IF(B307="","",IF(OR(P307&lt;&gt;"",I307="می‌باشد"),"بسته",IF(AND(L307&lt;&gt;"",W307=""),"خطای فرمت تاریخ ایجاد",IF(AND(H307&lt;&gt;"",AA307=""),"خطای فرمت مهلت",IF(AND(H307&lt;&gt;"",AD307&lt;&gt;"",TODAY()&gt;AD307),"تاخیر",IF(L307&lt;&gt;"","در حال انجام",""))))))</f>
        <v/>
      </c>
      <c r="V307" s="7" t="n">
        <f aca="true">IF(U307="تاخیر",TODAY()-AD307,IF(AND(U307="بسته",AH307&lt;&gt;"",AD307&lt;&gt;"",AH307&gt;AD307),AH307-AD307,0))</f>
        <v>0</v>
      </c>
      <c r="W307" s="7" t="str">
        <f aca="false">IF(L307="","",VALUE(LEFT(L307,FIND("/",L307)-1)))</f>
        <v/>
      </c>
      <c r="X307" s="7" t="str">
        <f aca="false">IF(L307="","",VALUE(MID(L307,FIND("/",L307)+1,FIND("/",L307,FIND("/",L307)+1)-FIND("/",L307)-1)))</f>
        <v/>
      </c>
      <c r="Y307" s="7" t="str">
        <f aca="false">IF(L307="","",VALUE(MID(L307,FIND("/",L307,FIND("/",L307)+1)+1,LEN(L307)-FIND("/",L307,FIND("/",L307)+1))))</f>
        <v/>
      </c>
      <c r="Z307" s="7" t="str">
        <f aca="false">IF(OR(L307="",W307=""),"",IFERROR(INDEX('لیست‌ها'!$Q$3:$Q$53,MATCH(W307,'لیست‌ها'!$P$3:$P$53,0))+IF(X307&lt;=6,(X307-1)*31+Y307,IF(X307&lt;=11,186+(X307-7)*30+Y307,336+Y307))-1,""))</f>
        <v/>
      </c>
      <c r="AA307" s="7" t="str">
        <f aca="false">IF(H307="","",VALUE(LEFT(H307,FIND("/",H307)-1)))</f>
        <v/>
      </c>
      <c r="AB307" s="7" t="str">
        <f aca="false">IF(H307="","",VALUE(MID(H307,FIND("/",H307)+1,FIND("/",H307,FIND("/",H307)+1)-FIND("/",H307)-1)))</f>
        <v/>
      </c>
      <c r="AC307" s="7" t="str">
        <f aca="false">IF(H307="","",VALUE(MID(H307,FIND("/",H307,FIND("/",H307)+1)+1,LEN(H307)-FIND("/",H307,FIND("/",H307)+1))))</f>
        <v/>
      </c>
      <c r="AD307" s="7" t="str">
        <f aca="false">IF(OR(H307="",AA307=""),"",IFERROR(INDEX('لیست‌ها'!$Q$3:$Q$53,MATCH(AA307,'لیست‌ها'!$P$3:$P$53,0))+IF(AB307&lt;=6,(AB307-1)*31+AC307,IF(AB307&lt;=11,186+(AB307-7)*30+AC307,336+AC307))-1,""))</f>
        <v/>
      </c>
      <c r="AE307" s="7" t="str">
        <f aca="false">IF(P307="","",VALUE(LEFT(P307,FIND("/",P307)-1)))</f>
        <v/>
      </c>
      <c r="AF307" s="7" t="str">
        <f aca="false">IF(P307="","",VALUE(MID(P307,FIND("/",P307)+1,FIND("/",P307,FIND("/",P307)+1)-FIND("/",P307)-1)))</f>
        <v/>
      </c>
      <c r="AG307" s="7" t="str">
        <f aca="false">IF(P307="","",VALUE(MID(P307,FIND("/",P307,FIND("/",P307)+1)+1,LEN(P307)-FIND("/",P307,FIND("/",P307)+1))))</f>
        <v/>
      </c>
      <c r="AH307" s="7" t="str">
        <f aca="false">IF(OR(P307="",AE307=""),"",IFERROR(INDEX('لیست‌ها'!$Q$3:$Q$53,MATCH(AE307,'لیست‌ها'!$P$3:$P$53,0))+IF(AF307&lt;=6,(AF307-1)*31+AG307,IF(AF307&lt;=11,186+(AF307-7)*30+AG307,336+AG307))-1,""))</f>
        <v/>
      </c>
      <c r="AI307" s="7" t="str">
        <f aca="false">IF(W307="","",W307&amp;"-"&amp;TEXT(X307,"00"))</f>
        <v/>
      </c>
      <c r="AJ307" s="7" t="str">
        <f aca="false">IF(W307="","",W307*12+X307)</f>
        <v/>
      </c>
      <c r="AK307" s="7" t="str">
        <f aca="false">IF(U307="تاخیر",V307+ROW()/100000,"")</f>
        <v/>
      </c>
    </row>
    <row r="308" customFormat="false" ht="15" hidden="false" customHeight="false" outlineLevel="0" collapsed="false">
      <c r="A308" s="7" t="str">
        <f aca="false">IF(B308="","",ROW()-3)</f>
        <v/>
      </c>
      <c r="B308" s="8"/>
      <c r="C308" s="8"/>
      <c r="D308" s="8"/>
      <c r="E308" s="9"/>
      <c r="F308" s="9"/>
      <c r="G308" s="8"/>
      <c r="H308" s="8"/>
      <c r="I308" s="8"/>
      <c r="J308" s="9"/>
      <c r="K308" s="8"/>
      <c r="L308" s="8"/>
      <c r="M308" s="8"/>
      <c r="N308" s="8"/>
      <c r="O308" s="8"/>
      <c r="P308" s="8"/>
      <c r="Q308" s="8"/>
      <c r="R308" s="9"/>
      <c r="S308" s="8"/>
      <c r="T308" s="9"/>
      <c r="U308" s="10" t="str">
        <f aca="true">IF(B308="","",IF(OR(P308&lt;&gt;"",I308="می‌باشد"),"بسته",IF(AND(L308&lt;&gt;"",W308=""),"خطای فرمت تاریخ ایجاد",IF(AND(H308&lt;&gt;"",AA308=""),"خطای فرمت مهلت",IF(AND(H308&lt;&gt;"",AD308&lt;&gt;"",TODAY()&gt;AD308),"تاخیر",IF(L308&lt;&gt;"","در حال انجام",""))))))</f>
        <v/>
      </c>
      <c r="V308" s="7" t="n">
        <f aca="true">IF(U308="تاخیر",TODAY()-AD308,IF(AND(U308="بسته",AH308&lt;&gt;"",AD308&lt;&gt;"",AH308&gt;AD308),AH308-AD308,0))</f>
        <v>0</v>
      </c>
      <c r="W308" s="7" t="str">
        <f aca="false">IF(L308="","",VALUE(LEFT(L308,FIND("/",L308)-1)))</f>
        <v/>
      </c>
      <c r="X308" s="7" t="str">
        <f aca="false">IF(L308="","",VALUE(MID(L308,FIND("/",L308)+1,FIND("/",L308,FIND("/",L308)+1)-FIND("/",L308)-1)))</f>
        <v/>
      </c>
      <c r="Y308" s="7" t="str">
        <f aca="false">IF(L308="","",VALUE(MID(L308,FIND("/",L308,FIND("/",L308)+1)+1,LEN(L308)-FIND("/",L308,FIND("/",L308)+1))))</f>
        <v/>
      </c>
      <c r="Z308" s="7" t="str">
        <f aca="false">IF(OR(L308="",W308=""),"",IFERROR(INDEX('لیست‌ها'!$Q$3:$Q$53,MATCH(W308,'لیست‌ها'!$P$3:$P$53,0))+IF(X308&lt;=6,(X308-1)*31+Y308,IF(X308&lt;=11,186+(X308-7)*30+Y308,336+Y308))-1,""))</f>
        <v/>
      </c>
      <c r="AA308" s="7" t="str">
        <f aca="false">IF(H308="","",VALUE(LEFT(H308,FIND("/",H308)-1)))</f>
        <v/>
      </c>
      <c r="AB308" s="7" t="str">
        <f aca="false">IF(H308="","",VALUE(MID(H308,FIND("/",H308)+1,FIND("/",H308,FIND("/",H308)+1)-FIND("/",H308)-1)))</f>
        <v/>
      </c>
      <c r="AC308" s="7" t="str">
        <f aca="false">IF(H308="","",VALUE(MID(H308,FIND("/",H308,FIND("/",H308)+1)+1,LEN(H308)-FIND("/",H308,FIND("/",H308)+1))))</f>
        <v/>
      </c>
      <c r="AD308" s="7" t="str">
        <f aca="false">IF(OR(H308="",AA308=""),"",IFERROR(INDEX('لیست‌ها'!$Q$3:$Q$53,MATCH(AA308,'لیست‌ها'!$P$3:$P$53,0))+IF(AB308&lt;=6,(AB308-1)*31+AC308,IF(AB308&lt;=11,186+(AB308-7)*30+AC308,336+AC308))-1,""))</f>
        <v/>
      </c>
      <c r="AE308" s="7" t="str">
        <f aca="false">IF(P308="","",VALUE(LEFT(P308,FIND("/",P308)-1)))</f>
        <v/>
      </c>
      <c r="AF308" s="7" t="str">
        <f aca="false">IF(P308="","",VALUE(MID(P308,FIND("/",P308)+1,FIND("/",P308,FIND("/",P308)+1)-FIND("/",P308)-1)))</f>
        <v/>
      </c>
      <c r="AG308" s="7" t="str">
        <f aca="false">IF(P308="","",VALUE(MID(P308,FIND("/",P308,FIND("/",P308)+1)+1,LEN(P308)-FIND("/",P308,FIND("/",P308)+1))))</f>
        <v/>
      </c>
      <c r="AH308" s="7" t="str">
        <f aca="false">IF(OR(P308="",AE308=""),"",IFERROR(INDEX('لیست‌ها'!$Q$3:$Q$53,MATCH(AE308,'لیست‌ها'!$P$3:$P$53,0))+IF(AF308&lt;=6,(AF308-1)*31+AG308,IF(AF308&lt;=11,186+(AF308-7)*30+AG308,336+AG308))-1,""))</f>
        <v/>
      </c>
      <c r="AI308" s="7" t="str">
        <f aca="false">IF(W308="","",W308&amp;"-"&amp;TEXT(X308,"00"))</f>
        <v/>
      </c>
      <c r="AJ308" s="7" t="str">
        <f aca="false">IF(W308="","",W308*12+X308)</f>
        <v/>
      </c>
      <c r="AK308" s="7" t="str">
        <f aca="false">IF(U308="تاخیر",V308+ROW()/100000,"")</f>
        <v/>
      </c>
    </row>
    <row r="309" customFormat="false" ht="15" hidden="false" customHeight="false" outlineLevel="0" collapsed="false">
      <c r="A309" s="7" t="str">
        <f aca="false">IF(B309="","",ROW()-3)</f>
        <v/>
      </c>
      <c r="B309" s="8"/>
      <c r="C309" s="8"/>
      <c r="D309" s="8"/>
      <c r="E309" s="9"/>
      <c r="F309" s="9"/>
      <c r="G309" s="8"/>
      <c r="H309" s="8"/>
      <c r="I309" s="8"/>
      <c r="J309" s="9"/>
      <c r="K309" s="8"/>
      <c r="L309" s="8"/>
      <c r="M309" s="8"/>
      <c r="N309" s="8"/>
      <c r="O309" s="8"/>
      <c r="P309" s="8"/>
      <c r="Q309" s="8"/>
      <c r="R309" s="9"/>
      <c r="S309" s="8"/>
      <c r="T309" s="9"/>
      <c r="U309" s="10" t="str">
        <f aca="true">IF(B309="","",IF(OR(P309&lt;&gt;"",I309="می‌باشد"),"بسته",IF(AND(L309&lt;&gt;"",W309=""),"خطای فرمت تاریخ ایجاد",IF(AND(H309&lt;&gt;"",AA309=""),"خطای فرمت مهلت",IF(AND(H309&lt;&gt;"",AD309&lt;&gt;"",TODAY()&gt;AD309),"تاخیر",IF(L309&lt;&gt;"","در حال انجام",""))))))</f>
        <v/>
      </c>
      <c r="V309" s="7" t="n">
        <f aca="true">IF(U309="تاخیر",TODAY()-AD309,IF(AND(U309="بسته",AH309&lt;&gt;"",AD309&lt;&gt;"",AH309&gt;AD309),AH309-AD309,0))</f>
        <v>0</v>
      </c>
      <c r="W309" s="7" t="str">
        <f aca="false">IF(L309="","",VALUE(LEFT(L309,FIND("/",L309)-1)))</f>
        <v/>
      </c>
      <c r="X309" s="7" t="str">
        <f aca="false">IF(L309="","",VALUE(MID(L309,FIND("/",L309)+1,FIND("/",L309,FIND("/",L309)+1)-FIND("/",L309)-1)))</f>
        <v/>
      </c>
      <c r="Y309" s="7" t="str">
        <f aca="false">IF(L309="","",VALUE(MID(L309,FIND("/",L309,FIND("/",L309)+1)+1,LEN(L309)-FIND("/",L309,FIND("/",L309)+1))))</f>
        <v/>
      </c>
      <c r="Z309" s="7" t="str">
        <f aca="false">IF(OR(L309="",W309=""),"",IFERROR(INDEX('لیست‌ها'!$Q$3:$Q$53,MATCH(W309,'لیست‌ها'!$P$3:$P$53,0))+IF(X309&lt;=6,(X309-1)*31+Y309,IF(X309&lt;=11,186+(X309-7)*30+Y309,336+Y309))-1,""))</f>
        <v/>
      </c>
      <c r="AA309" s="7" t="str">
        <f aca="false">IF(H309="","",VALUE(LEFT(H309,FIND("/",H309)-1)))</f>
        <v/>
      </c>
      <c r="AB309" s="7" t="str">
        <f aca="false">IF(H309="","",VALUE(MID(H309,FIND("/",H309)+1,FIND("/",H309,FIND("/",H309)+1)-FIND("/",H309)-1)))</f>
        <v/>
      </c>
      <c r="AC309" s="7" t="str">
        <f aca="false">IF(H309="","",VALUE(MID(H309,FIND("/",H309,FIND("/",H309)+1)+1,LEN(H309)-FIND("/",H309,FIND("/",H309)+1))))</f>
        <v/>
      </c>
      <c r="AD309" s="7" t="str">
        <f aca="false">IF(OR(H309="",AA309=""),"",IFERROR(INDEX('لیست‌ها'!$Q$3:$Q$53,MATCH(AA309,'لیست‌ها'!$P$3:$P$53,0))+IF(AB309&lt;=6,(AB309-1)*31+AC309,IF(AB309&lt;=11,186+(AB309-7)*30+AC309,336+AC309))-1,""))</f>
        <v/>
      </c>
      <c r="AE309" s="7" t="str">
        <f aca="false">IF(P309="","",VALUE(LEFT(P309,FIND("/",P309)-1)))</f>
        <v/>
      </c>
      <c r="AF309" s="7" t="str">
        <f aca="false">IF(P309="","",VALUE(MID(P309,FIND("/",P309)+1,FIND("/",P309,FIND("/",P309)+1)-FIND("/",P309)-1)))</f>
        <v/>
      </c>
      <c r="AG309" s="7" t="str">
        <f aca="false">IF(P309="","",VALUE(MID(P309,FIND("/",P309,FIND("/",P309)+1)+1,LEN(P309)-FIND("/",P309,FIND("/",P309)+1))))</f>
        <v/>
      </c>
      <c r="AH309" s="7" t="str">
        <f aca="false">IF(OR(P309="",AE309=""),"",IFERROR(INDEX('لیست‌ها'!$Q$3:$Q$53,MATCH(AE309,'لیست‌ها'!$P$3:$P$53,0))+IF(AF309&lt;=6,(AF309-1)*31+AG309,IF(AF309&lt;=11,186+(AF309-7)*30+AG309,336+AG309))-1,""))</f>
        <v/>
      </c>
      <c r="AI309" s="7" t="str">
        <f aca="false">IF(W309="","",W309&amp;"-"&amp;TEXT(X309,"00"))</f>
        <v/>
      </c>
      <c r="AJ309" s="7" t="str">
        <f aca="false">IF(W309="","",W309*12+X309)</f>
        <v/>
      </c>
      <c r="AK309" s="7" t="str">
        <f aca="false">IF(U309="تاخیر",V309+ROW()/100000,"")</f>
        <v/>
      </c>
    </row>
    <row r="310" customFormat="false" ht="15" hidden="false" customHeight="false" outlineLevel="0" collapsed="false">
      <c r="A310" s="7" t="str">
        <f aca="false">IF(B310="","",ROW()-3)</f>
        <v/>
      </c>
      <c r="B310" s="8"/>
      <c r="C310" s="8"/>
      <c r="D310" s="8"/>
      <c r="E310" s="9"/>
      <c r="F310" s="9"/>
      <c r="G310" s="8"/>
      <c r="H310" s="8"/>
      <c r="I310" s="8"/>
      <c r="J310" s="9"/>
      <c r="K310" s="8"/>
      <c r="L310" s="8"/>
      <c r="M310" s="8"/>
      <c r="N310" s="8"/>
      <c r="O310" s="8"/>
      <c r="P310" s="8"/>
      <c r="Q310" s="8"/>
      <c r="R310" s="9"/>
      <c r="S310" s="8"/>
      <c r="T310" s="9"/>
      <c r="U310" s="10" t="str">
        <f aca="true">IF(B310="","",IF(OR(P310&lt;&gt;"",I310="می‌باشد"),"بسته",IF(AND(L310&lt;&gt;"",W310=""),"خطای فرمت تاریخ ایجاد",IF(AND(H310&lt;&gt;"",AA310=""),"خطای فرمت مهلت",IF(AND(H310&lt;&gt;"",AD310&lt;&gt;"",TODAY()&gt;AD310),"تاخیر",IF(L310&lt;&gt;"","در حال انجام",""))))))</f>
        <v/>
      </c>
      <c r="V310" s="7" t="n">
        <f aca="true">IF(U310="تاخیر",TODAY()-AD310,IF(AND(U310="بسته",AH310&lt;&gt;"",AD310&lt;&gt;"",AH310&gt;AD310),AH310-AD310,0))</f>
        <v>0</v>
      </c>
      <c r="W310" s="7" t="str">
        <f aca="false">IF(L310="","",VALUE(LEFT(L310,FIND("/",L310)-1)))</f>
        <v/>
      </c>
      <c r="X310" s="7" t="str">
        <f aca="false">IF(L310="","",VALUE(MID(L310,FIND("/",L310)+1,FIND("/",L310,FIND("/",L310)+1)-FIND("/",L310)-1)))</f>
        <v/>
      </c>
      <c r="Y310" s="7" t="str">
        <f aca="false">IF(L310="","",VALUE(MID(L310,FIND("/",L310,FIND("/",L310)+1)+1,LEN(L310)-FIND("/",L310,FIND("/",L310)+1))))</f>
        <v/>
      </c>
      <c r="Z310" s="7" t="str">
        <f aca="false">IF(OR(L310="",W310=""),"",IFERROR(INDEX('لیست‌ها'!$Q$3:$Q$53,MATCH(W310,'لیست‌ها'!$P$3:$P$53,0))+IF(X310&lt;=6,(X310-1)*31+Y310,IF(X310&lt;=11,186+(X310-7)*30+Y310,336+Y310))-1,""))</f>
        <v/>
      </c>
      <c r="AA310" s="7" t="str">
        <f aca="false">IF(H310="","",VALUE(LEFT(H310,FIND("/",H310)-1)))</f>
        <v/>
      </c>
      <c r="AB310" s="7" t="str">
        <f aca="false">IF(H310="","",VALUE(MID(H310,FIND("/",H310)+1,FIND("/",H310,FIND("/",H310)+1)-FIND("/",H310)-1)))</f>
        <v/>
      </c>
      <c r="AC310" s="7" t="str">
        <f aca="false">IF(H310="","",VALUE(MID(H310,FIND("/",H310,FIND("/",H310)+1)+1,LEN(H310)-FIND("/",H310,FIND("/",H310)+1))))</f>
        <v/>
      </c>
      <c r="AD310" s="7" t="str">
        <f aca="false">IF(OR(H310="",AA310=""),"",IFERROR(INDEX('لیست‌ها'!$Q$3:$Q$53,MATCH(AA310,'لیست‌ها'!$P$3:$P$53,0))+IF(AB310&lt;=6,(AB310-1)*31+AC310,IF(AB310&lt;=11,186+(AB310-7)*30+AC310,336+AC310))-1,""))</f>
        <v/>
      </c>
      <c r="AE310" s="7" t="str">
        <f aca="false">IF(P310="","",VALUE(LEFT(P310,FIND("/",P310)-1)))</f>
        <v/>
      </c>
      <c r="AF310" s="7" t="str">
        <f aca="false">IF(P310="","",VALUE(MID(P310,FIND("/",P310)+1,FIND("/",P310,FIND("/",P310)+1)-FIND("/",P310)-1)))</f>
        <v/>
      </c>
      <c r="AG310" s="7" t="str">
        <f aca="false">IF(P310="","",VALUE(MID(P310,FIND("/",P310,FIND("/",P310)+1)+1,LEN(P310)-FIND("/",P310,FIND("/",P310)+1))))</f>
        <v/>
      </c>
      <c r="AH310" s="7" t="str">
        <f aca="false">IF(OR(P310="",AE310=""),"",IFERROR(INDEX('لیست‌ها'!$Q$3:$Q$53,MATCH(AE310,'لیست‌ها'!$P$3:$P$53,0))+IF(AF310&lt;=6,(AF310-1)*31+AG310,IF(AF310&lt;=11,186+(AF310-7)*30+AG310,336+AG310))-1,""))</f>
        <v/>
      </c>
      <c r="AI310" s="7" t="str">
        <f aca="false">IF(W310="","",W310&amp;"-"&amp;TEXT(X310,"00"))</f>
        <v/>
      </c>
      <c r="AJ310" s="7" t="str">
        <f aca="false">IF(W310="","",W310*12+X310)</f>
        <v/>
      </c>
      <c r="AK310" s="7" t="str">
        <f aca="false">IF(U310="تاخیر",V310+ROW()/100000,"")</f>
        <v/>
      </c>
    </row>
    <row r="311" customFormat="false" ht="15" hidden="false" customHeight="false" outlineLevel="0" collapsed="false">
      <c r="A311" s="7" t="str">
        <f aca="false">IF(B311="","",ROW()-3)</f>
        <v/>
      </c>
      <c r="B311" s="8"/>
      <c r="C311" s="8"/>
      <c r="D311" s="8"/>
      <c r="E311" s="9"/>
      <c r="F311" s="9"/>
      <c r="G311" s="8"/>
      <c r="H311" s="8"/>
      <c r="I311" s="8"/>
      <c r="J311" s="9"/>
      <c r="K311" s="8"/>
      <c r="L311" s="8"/>
      <c r="M311" s="8"/>
      <c r="N311" s="8"/>
      <c r="O311" s="8"/>
      <c r="P311" s="8"/>
      <c r="Q311" s="8"/>
      <c r="R311" s="9"/>
      <c r="S311" s="8"/>
      <c r="T311" s="9"/>
      <c r="U311" s="10" t="str">
        <f aca="true">IF(B311="","",IF(OR(P311&lt;&gt;"",I311="می‌باشد"),"بسته",IF(AND(L311&lt;&gt;"",W311=""),"خطای فرمت تاریخ ایجاد",IF(AND(H311&lt;&gt;"",AA311=""),"خطای فرمت مهلت",IF(AND(H311&lt;&gt;"",AD311&lt;&gt;"",TODAY()&gt;AD311),"تاخیر",IF(L311&lt;&gt;"","در حال انجام",""))))))</f>
        <v/>
      </c>
      <c r="V311" s="7" t="n">
        <f aca="true">IF(U311="تاخیر",TODAY()-AD311,IF(AND(U311="بسته",AH311&lt;&gt;"",AD311&lt;&gt;"",AH311&gt;AD311),AH311-AD311,0))</f>
        <v>0</v>
      </c>
      <c r="W311" s="7" t="str">
        <f aca="false">IF(L311="","",VALUE(LEFT(L311,FIND("/",L311)-1)))</f>
        <v/>
      </c>
      <c r="X311" s="7" t="str">
        <f aca="false">IF(L311="","",VALUE(MID(L311,FIND("/",L311)+1,FIND("/",L311,FIND("/",L311)+1)-FIND("/",L311)-1)))</f>
        <v/>
      </c>
      <c r="Y311" s="7" t="str">
        <f aca="false">IF(L311="","",VALUE(MID(L311,FIND("/",L311,FIND("/",L311)+1)+1,LEN(L311)-FIND("/",L311,FIND("/",L311)+1))))</f>
        <v/>
      </c>
      <c r="Z311" s="7" t="str">
        <f aca="false">IF(OR(L311="",W311=""),"",IFERROR(INDEX('لیست‌ها'!$Q$3:$Q$53,MATCH(W311,'لیست‌ها'!$P$3:$P$53,0))+IF(X311&lt;=6,(X311-1)*31+Y311,IF(X311&lt;=11,186+(X311-7)*30+Y311,336+Y311))-1,""))</f>
        <v/>
      </c>
      <c r="AA311" s="7" t="str">
        <f aca="false">IF(H311="","",VALUE(LEFT(H311,FIND("/",H311)-1)))</f>
        <v/>
      </c>
      <c r="AB311" s="7" t="str">
        <f aca="false">IF(H311="","",VALUE(MID(H311,FIND("/",H311)+1,FIND("/",H311,FIND("/",H311)+1)-FIND("/",H311)-1)))</f>
        <v/>
      </c>
      <c r="AC311" s="7" t="str">
        <f aca="false">IF(H311="","",VALUE(MID(H311,FIND("/",H311,FIND("/",H311)+1)+1,LEN(H311)-FIND("/",H311,FIND("/",H311)+1))))</f>
        <v/>
      </c>
      <c r="AD311" s="7" t="str">
        <f aca="false">IF(OR(H311="",AA311=""),"",IFERROR(INDEX('لیست‌ها'!$Q$3:$Q$53,MATCH(AA311,'لیست‌ها'!$P$3:$P$53,0))+IF(AB311&lt;=6,(AB311-1)*31+AC311,IF(AB311&lt;=11,186+(AB311-7)*30+AC311,336+AC311))-1,""))</f>
        <v/>
      </c>
      <c r="AE311" s="7" t="str">
        <f aca="false">IF(P311="","",VALUE(LEFT(P311,FIND("/",P311)-1)))</f>
        <v/>
      </c>
      <c r="AF311" s="7" t="str">
        <f aca="false">IF(P311="","",VALUE(MID(P311,FIND("/",P311)+1,FIND("/",P311,FIND("/",P311)+1)-FIND("/",P311)-1)))</f>
        <v/>
      </c>
      <c r="AG311" s="7" t="str">
        <f aca="false">IF(P311="","",VALUE(MID(P311,FIND("/",P311,FIND("/",P311)+1)+1,LEN(P311)-FIND("/",P311,FIND("/",P311)+1))))</f>
        <v/>
      </c>
      <c r="AH311" s="7" t="str">
        <f aca="false">IF(OR(P311="",AE311=""),"",IFERROR(INDEX('لیست‌ها'!$Q$3:$Q$53,MATCH(AE311,'لیست‌ها'!$P$3:$P$53,0))+IF(AF311&lt;=6,(AF311-1)*31+AG311,IF(AF311&lt;=11,186+(AF311-7)*30+AG311,336+AG311))-1,""))</f>
        <v/>
      </c>
      <c r="AI311" s="7" t="str">
        <f aca="false">IF(W311="","",W311&amp;"-"&amp;TEXT(X311,"00"))</f>
        <v/>
      </c>
      <c r="AJ311" s="7" t="str">
        <f aca="false">IF(W311="","",W311*12+X311)</f>
        <v/>
      </c>
      <c r="AK311" s="7" t="str">
        <f aca="false">IF(U311="تاخیر",V311+ROW()/100000,"")</f>
        <v/>
      </c>
    </row>
    <row r="312" customFormat="false" ht="15" hidden="false" customHeight="false" outlineLevel="0" collapsed="false">
      <c r="A312" s="7" t="str">
        <f aca="false">IF(B312="","",ROW()-3)</f>
        <v/>
      </c>
      <c r="B312" s="8"/>
      <c r="C312" s="8"/>
      <c r="D312" s="8"/>
      <c r="E312" s="9"/>
      <c r="F312" s="9"/>
      <c r="G312" s="8"/>
      <c r="H312" s="8"/>
      <c r="I312" s="8"/>
      <c r="J312" s="9"/>
      <c r="K312" s="8"/>
      <c r="L312" s="8"/>
      <c r="M312" s="8"/>
      <c r="N312" s="8"/>
      <c r="O312" s="8"/>
      <c r="P312" s="8"/>
      <c r="Q312" s="8"/>
      <c r="R312" s="9"/>
      <c r="S312" s="8"/>
      <c r="T312" s="9"/>
      <c r="U312" s="10" t="str">
        <f aca="true">IF(B312="","",IF(OR(P312&lt;&gt;"",I312="می‌باشد"),"بسته",IF(AND(L312&lt;&gt;"",W312=""),"خطای فرمت تاریخ ایجاد",IF(AND(H312&lt;&gt;"",AA312=""),"خطای فرمت مهلت",IF(AND(H312&lt;&gt;"",AD312&lt;&gt;"",TODAY()&gt;AD312),"تاخیر",IF(L312&lt;&gt;"","در حال انجام",""))))))</f>
        <v/>
      </c>
      <c r="V312" s="7" t="n">
        <f aca="true">IF(U312="تاخیر",TODAY()-AD312,IF(AND(U312="بسته",AH312&lt;&gt;"",AD312&lt;&gt;"",AH312&gt;AD312),AH312-AD312,0))</f>
        <v>0</v>
      </c>
      <c r="W312" s="7" t="str">
        <f aca="false">IF(L312="","",VALUE(LEFT(L312,FIND("/",L312)-1)))</f>
        <v/>
      </c>
      <c r="X312" s="7" t="str">
        <f aca="false">IF(L312="","",VALUE(MID(L312,FIND("/",L312)+1,FIND("/",L312,FIND("/",L312)+1)-FIND("/",L312)-1)))</f>
        <v/>
      </c>
      <c r="Y312" s="7" t="str">
        <f aca="false">IF(L312="","",VALUE(MID(L312,FIND("/",L312,FIND("/",L312)+1)+1,LEN(L312)-FIND("/",L312,FIND("/",L312)+1))))</f>
        <v/>
      </c>
      <c r="Z312" s="7" t="str">
        <f aca="false">IF(OR(L312="",W312=""),"",IFERROR(INDEX('لیست‌ها'!$Q$3:$Q$53,MATCH(W312,'لیست‌ها'!$P$3:$P$53,0))+IF(X312&lt;=6,(X312-1)*31+Y312,IF(X312&lt;=11,186+(X312-7)*30+Y312,336+Y312))-1,""))</f>
        <v/>
      </c>
      <c r="AA312" s="7" t="str">
        <f aca="false">IF(H312="","",VALUE(LEFT(H312,FIND("/",H312)-1)))</f>
        <v/>
      </c>
      <c r="AB312" s="7" t="str">
        <f aca="false">IF(H312="","",VALUE(MID(H312,FIND("/",H312)+1,FIND("/",H312,FIND("/",H312)+1)-FIND("/",H312)-1)))</f>
        <v/>
      </c>
      <c r="AC312" s="7" t="str">
        <f aca="false">IF(H312="","",VALUE(MID(H312,FIND("/",H312,FIND("/",H312)+1)+1,LEN(H312)-FIND("/",H312,FIND("/",H312)+1))))</f>
        <v/>
      </c>
      <c r="AD312" s="7" t="str">
        <f aca="false">IF(OR(H312="",AA312=""),"",IFERROR(INDEX('لیست‌ها'!$Q$3:$Q$53,MATCH(AA312,'لیست‌ها'!$P$3:$P$53,0))+IF(AB312&lt;=6,(AB312-1)*31+AC312,IF(AB312&lt;=11,186+(AB312-7)*30+AC312,336+AC312))-1,""))</f>
        <v/>
      </c>
      <c r="AE312" s="7" t="str">
        <f aca="false">IF(P312="","",VALUE(LEFT(P312,FIND("/",P312)-1)))</f>
        <v/>
      </c>
      <c r="AF312" s="7" t="str">
        <f aca="false">IF(P312="","",VALUE(MID(P312,FIND("/",P312)+1,FIND("/",P312,FIND("/",P312)+1)-FIND("/",P312)-1)))</f>
        <v/>
      </c>
      <c r="AG312" s="7" t="str">
        <f aca="false">IF(P312="","",VALUE(MID(P312,FIND("/",P312,FIND("/",P312)+1)+1,LEN(P312)-FIND("/",P312,FIND("/",P312)+1))))</f>
        <v/>
      </c>
      <c r="AH312" s="7" t="str">
        <f aca="false">IF(OR(P312="",AE312=""),"",IFERROR(INDEX('لیست‌ها'!$Q$3:$Q$53,MATCH(AE312,'لیست‌ها'!$P$3:$P$53,0))+IF(AF312&lt;=6,(AF312-1)*31+AG312,IF(AF312&lt;=11,186+(AF312-7)*30+AG312,336+AG312))-1,""))</f>
        <v/>
      </c>
      <c r="AI312" s="7" t="str">
        <f aca="false">IF(W312="","",W312&amp;"-"&amp;TEXT(X312,"00"))</f>
        <v/>
      </c>
      <c r="AJ312" s="7" t="str">
        <f aca="false">IF(W312="","",W312*12+X312)</f>
        <v/>
      </c>
      <c r="AK312" s="7" t="str">
        <f aca="false">IF(U312="تاخیر",V312+ROW()/100000,"")</f>
        <v/>
      </c>
    </row>
    <row r="313" customFormat="false" ht="15" hidden="false" customHeight="false" outlineLevel="0" collapsed="false">
      <c r="A313" s="7" t="str">
        <f aca="false">IF(B313="","",ROW()-3)</f>
        <v/>
      </c>
      <c r="B313" s="8"/>
      <c r="C313" s="8"/>
      <c r="D313" s="8"/>
      <c r="E313" s="9"/>
      <c r="F313" s="9"/>
      <c r="G313" s="8"/>
      <c r="H313" s="8"/>
      <c r="I313" s="8"/>
      <c r="J313" s="9"/>
      <c r="K313" s="8"/>
      <c r="L313" s="8"/>
      <c r="M313" s="8"/>
      <c r="N313" s="8"/>
      <c r="O313" s="8"/>
      <c r="P313" s="8"/>
      <c r="Q313" s="8"/>
      <c r="R313" s="9"/>
      <c r="S313" s="8"/>
      <c r="T313" s="9"/>
      <c r="U313" s="10" t="str">
        <f aca="true">IF(B313="","",IF(OR(P313&lt;&gt;"",I313="می‌باشد"),"بسته",IF(AND(L313&lt;&gt;"",W313=""),"خطای فرمت تاریخ ایجاد",IF(AND(H313&lt;&gt;"",AA313=""),"خطای فرمت مهلت",IF(AND(H313&lt;&gt;"",AD313&lt;&gt;"",TODAY()&gt;AD313),"تاخیر",IF(L313&lt;&gt;"","در حال انجام",""))))))</f>
        <v/>
      </c>
      <c r="V313" s="7" t="n">
        <f aca="true">IF(U313="تاخیر",TODAY()-AD313,IF(AND(U313="بسته",AH313&lt;&gt;"",AD313&lt;&gt;"",AH313&gt;AD313),AH313-AD313,0))</f>
        <v>0</v>
      </c>
      <c r="W313" s="7" t="str">
        <f aca="false">IF(L313="","",VALUE(LEFT(L313,FIND("/",L313)-1)))</f>
        <v/>
      </c>
      <c r="X313" s="7" t="str">
        <f aca="false">IF(L313="","",VALUE(MID(L313,FIND("/",L313)+1,FIND("/",L313,FIND("/",L313)+1)-FIND("/",L313)-1)))</f>
        <v/>
      </c>
      <c r="Y313" s="7" t="str">
        <f aca="false">IF(L313="","",VALUE(MID(L313,FIND("/",L313,FIND("/",L313)+1)+1,LEN(L313)-FIND("/",L313,FIND("/",L313)+1))))</f>
        <v/>
      </c>
      <c r="Z313" s="7" t="str">
        <f aca="false">IF(OR(L313="",W313=""),"",IFERROR(INDEX('لیست‌ها'!$Q$3:$Q$53,MATCH(W313,'لیست‌ها'!$P$3:$P$53,0))+IF(X313&lt;=6,(X313-1)*31+Y313,IF(X313&lt;=11,186+(X313-7)*30+Y313,336+Y313))-1,""))</f>
        <v/>
      </c>
      <c r="AA313" s="7" t="str">
        <f aca="false">IF(H313="","",VALUE(LEFT(H313,FIND("/",H313)-1)))</f>
        <v/>
      </c>
      <c r="AB313" s="7" t="str">
        <f aca="false">IF(H313="","",VALUE(MID(H313,FIND("/",H313)+1,FIND("/",H313,FIND("/",H313)+1)-FIND("/",H313)-1)))</f>
        <v/>
      </c>
      <c r="AC313" s="7" t="str">
        <f aca="false">IF(H313="","",VALUE(MID(H313,FIND("/",H313,FIND("/",H313)+1)+1,LEN(H313)-FIND("/",H313,FIND("/",H313)+1))))</f>
        <v/>
      </c>
      <c r="AD313" s="7" t="str">
        <f aca="false">IF(OR(H313="",AA313=""),"",IFERROR(INDEX('لیست‌ها'!$Q$3:$Q$53,MATCH(AA313,'لیست‌ها'!$P$3:$P$53,0))+IF(AB313&lt;=6,(AB313-1)*31+AC313,IF(AB313&lt;=11,186+(AB313-7)*30+AC313,336+AC313))-1,""))</f>
        <v/>
      </c>
      <c r="AE313" s="7" t="str">
        <f aca="false">IF(P313="","",VALUE(LEFT(P313,FIND("/",P313)-1)))</f>
        <v/>
      </c>
      <c r="AF313" s="7" t="str">
        <f aca="false">IF(P313="","",VALUE(MID(P313,FIND("/",P313)+1,FIND("/",P313,FIND("/",P313)+1)-FIND("/",P313)-1)))</f>
        <v/>
      </c>
      <c r="AG313" s="7" t="str">
        <f aca="false">IF(P313="","",VALUE(MID(P313,FIND("/",P313,FIND("/",P313)+1)+1,LEN(P313)-FIND("/",P313,FIND("/",P313)+1))))</f>
        <v/>
      </c>
      <c r="AH313" s="7" t="str">
        <f aca="false">IF(OR(P313="",AE313=""),"",IFERROR(INDEX('لیست‌ها'!$Q$3:$Q$53,MATCH(AE313,'لیست‌ها'!$P$3:$P$53,0))+IF(AF313&lt;=6,(AF313-1)*31+AG313,IF(AF313&lt;=11,186+(AF313-7)*30+AG313,336+AG313))-1,""))</f>
        <v/>
      </c>
      <c r="AI313" s="7" t="str">
        <f aca="false">IF(W313="","",W313&amp;"-"&amp;TEXT(X313,"00"))</f>
        <v/>
      </c>
      <c r="AJ313" s="7" t="str">
        <f aca="false">IF(W313="","",W313*12+X313)</f>
        <v/>
      </c>
      <c r="AK313" s="7" t="str">
        <f aca="false">IF(U313="تاخیر",V313+ROW()/100000,"")</f>
        <v/>
      </c>
    </row>
    <row r="314" customFormat="false" ht="15" hidden="false" customHeight="false" outlineLevel="0" collapsed="false">
      <c r="A314" s="7" t="str">
        <f aca="false">IF(B314="","",ROW()-3)</f>
        <v/>
      </c>
      <c r="B314" s="8"/>
      <c r="C314" s="8"/>
      <c r="D314" s="8"/>
      <c r="E314" s="9"/>
      <c r="F314" s="9"/>
      <c r="G314" s="8"/>
      <c r="H314" s="8"/>
      <c r="I314" s="8"/>
      <c r="J314" s="9"/>
      <c r="K314" s="8"/>
      <c r="L314" s="8"/>
      <c r="M314" s="8"/>
      <c r="N314" s="8"/>
      <c r="O314" s="8"/>
      <c r="P314" s="8"/>
      <c r="Q314" s="8"/>
      <c r="R314" s="9"/>
      <c r="S314" s="8"/>
      <c r="T314" s="9"/>
      <c r="U314" s="10" t="str">
        <f aca="true">IF(B314="","",IF(OR(P314&lt;&gt;"",I314="می‌باشد"),"بسته",IF(AND(L314&lt;&gt;"",W314=""),"خطای فرمت تاریخ ایجاد",IF(AND(H314&lt;&gt;"",AA314=""),"خطای فرمت مهلت",IF(AND(H314&lt;&gt;"",AD314&lt;&gt;"",TODAY()&gt;AD314),"تاخیر",IF(L314&lt;&gt;"","در حال انجام",""))))))</f>
        <v/>
      </c>
      <c r="V314" s="7" t="n">
        <f aca="true">IF(U314="تاخیر",TODAY()-AD314,IF(AND(U314="بسته",AH314&lt;&gt;"",AD314&lt;&gt;"",AH314&gt;AD314),AH314-AD314,0))</f>
        <v>0</v>
      </c>
      <c r="W314" s="7" t="str">
        <f aca="false">IF(L314="","",VALUE(LEFT(L314,FIND("/",L314)-1)))</f>
        <v/>
      </c>
      <c r="X314" s="7" t="str">
        <f aca="false">IF(L314="","",VALUE(MID(L314,FIND("/",L314)+1,FIND("/",L314,FIND("/",L314)+1)-FIND("/",L314)-1)))</f>
        <v/>
      </c>
      <c r="Y314" s="7" t="str">
        <f aca="false">IF(L314="","",VALUE(MID(L314,FIND("/",L314,FIND("/",L314)+1)+1,LEN(L314)-FIND("/",L314,FIND("/",L314)+1))))</f>
        <v/>
      </c>
      <c r="Z314" s="7" t="str">
        <f aca="false">IF(OR(L314="",W314=""),"",IFERROR(INDEX('لیست‌ها'!$Q$3:$Q$53,MATCH(W314,'لیست‌ها'!$P$3:$P$53,0))+IF(X314&lt;=6,(X314-1)*31+Y314,IF(X314&lt;=11,186+(X314-7)*30+Y314,336+Y314))-1,""))</f>
        <v/>
      </c>
      <c r="AA314" s="7" t="str">
        <f aca="false">IF(H314="","",VALUE(LEFT(H314,FIND("/",H314)-1)))</f>
        <v/>
      </c>
      <c r="AB314" s="7" t="str">
        <f aca="false">IF(H314="","",VALUE(MID(H314,FIND("/",H314)+1,FIND("/",H314,FIND("/",H314)+1)-FIND("/",H314)-1)))</f>
        <v/>
      </c>
      <c r="AC314" s="7" t="str">
        <f aca="false">IF(H314="","",VALUE(MID(H314,FIND("/",H314,FIND("/",H314)+1)+1,LEN(H314)-FIND("/",H314,FIND("/",H314)+1))))</f>
        <v/>
      </c>
      <c r="AD314" s="7" t="str">
        <f aca="false">IF(OR(H314="",AA314=""),"",IFERROR(INDEX('لیست‌ها'!$Q$3:$Q$53,MATCH(AA314,'لیست‌ها'!$P$3:$P$53,0))+IF(AB314&lt;=6,(AB314-1)*31+AC314,IF(AB314&lt;=11,186+(AB314-7)*30+AC314,336+AC314))-1,""))</f>
        <v/>
      </c>
      <c r="AE314" s="7" t="str">
        <f aca="false">IF(P314="","",VALUE(LEFT(P314,FIND("/",P314)-1)))</f>
        <v/>
      </c>
      <c r="AF314" s="7" t="str">
        <f aca="false">IF(P314="","",VALUE(MID(P314,FIND("/",P314)+1,FIND("/",P314,FIND("/",P314)+1)-FIND("/",P314)-1)))</f>
        <v/>
      </c>
      <c r="AG314" s="7" t="str">
        <f aca="false">IF(P314="","",VALUE(MID(P314,FIND("/",P314,FIND("/",P314)+1)+1,LEN(P314)-FIND("/",P314,FIND("/",P314)+1))))</f>
        <v/>
      </c>
      <c r="AH314" s="7" t="str">
        <f aca="false">IF(OR(P314="",AE314=""),"",IFERROR(INDEX('لیست‌ها'!$Q$3:$Q$53,MATCH(AE314,'لیست‌ها'!$P$3:$P$53,0))+IF(AF314&lt;=6,(AF314-1)*31+AG314,IF(AF314&lt;=11,186+(AF314-7)*30+AG314,336+AG314))-1,""))</f>
        <v/>
      </c>
      <c r="AI314" s="7" t="str">
        <f aca="false">IF(W314="","",W314&amp;"-"&amp;TEXT(X314,"00"))</f>
        <v/>
      </c>
      <c r="AJ314" s="7" t="str">
        <f aca="false">IF(W314="","",W314*12+X314)</f>
        <v/>
      </c>
      <c r="AK314" s="7" t="str">
        <f aca="false">IF(U314="تاخیر",V314+ROW()/100000,"")</f>
        <v/>
      </c>
    </row>
    <row r="315" customFormat="false" ht="15" hidden="false" customHeight="false" outlineLevel="0" collapsed="false">
      <c r="A315" s="7" t="str">
        <f aca="false">IF(B315="","",ROW()-3)</f>
        <v/>
      </c>
      <c r="B315" s="8"/>
      <c r="C315" s="8"/>
      <c r="D315" s="8"/>
      <c r="E315" s="9"/>
      <c r="F315" s="9"/>
      <c r="G315" s="8"/>
      <c r="H315" s="8"/>
      <c r="I315" s="8"/>
      <c r="J315" s="9"/>
      <c r="K315" s="8"/>
      <c r="L315" s="8"/>
      <c r="M315" s="8"/>
      <c r="N315" s="8"/>
      <c r="O315" s="8"/>
      <c r="P315" s="8"/>
      <c r="Q315" s="8"/>
      <c r="R315" s="9"/>
      <c r="S315" s="8"/>
      <c r="T315" s="9"/>
      <c r="U315" s="10" t="str">
        <f aca="true">IF(B315="","",IF(OR(P315&lt;&gt;"",I315="می‌باشد"),"بسته",IF(AND(L315&lt;&gt;"",W315=""),"خطای فرمت تاریخ ایجاد",IF(AND(H315&lt;&gt;"",AA315=""),"خطای فرمت مهلت",IF(AND(H315&lt;&gt;"",AD315&lt;&gt;"",TODAY()&gt;AD315),"تاخیر",IF(L315&lt;&gt;"","در حال انجام",""))))))</f>
        <v/>
      </c>
      <c r="V315" s="7" t="n">
        <f aca="true">IF(U315="تاخیر",TODAY()-AD315,IF(AND(U315="بسته",AH315&lt;&gt;"",AD315&lt;&gt;"",AH315&gt;AD315),AH315-AD315,0))</f>
        <v>0</v>
      </c>
      <c r="W315" s="7" t="str">
        <f aca="false">IF(L315="","",VALUE(LEFT(L315,FIND("/",L315)-1)))</f>
        <v/>
      </c>
      <c r="X315" s="7" t="str">
        <f aca="false">IF(L315="","",VALUE(MID(L315,FIND("/",L315)+1,FIND("/",L315,FIND("/",L315)+1)-FIND("/",L315)-1)))</f>
        <v/>
      </c>
      <c r="Y315" s="7" t="str">
        <f aca="false">IF(L315="","",VALUE(MID(L315,FIND("/",L315,FIND("/",L315)+1)+1,LEN(L315)-FIND("/",L315,FIND("/",L315)+1))))</f>
        <v/>
      </c>
      <c r="Z315" s="7" t="str">
        <f aca="false">IF(OR(L315="",W315=""),"",IFERROR(INDEX('لیست‌ها'!$Q$3:$Q$53,MATCH(W315,'لیست‌ها'!$P$3:$P$53,0))+IF(X315&lt;=6,(X315-1)*31+Y315,IF(X315&lt;=11,186+(X315-7)*30+Y315,336+Y315))-1,""))</f>
        <v/>
      </c>
      <c r="AA315" s="7" t="str">
        <f aca="false">IF(H315="","",VALUE(LEFT(H315,FIND("/",H315)-1)))</f>
        <v/>
      </c>
      <c r="AB315" s="7" t="str">
        <f aca="false">IF(H315="","",VALUE(MID(H315,FIND("/",H315)+1,FIND("/",H315,FIND("/",H315)+1)-FIND("/",H315)-1)))</f>
        <v/>
      </c>
      <c r="AC315" s="7" t="str">
        <f aca="false">IF(H315="","",VALUE(MID(H315,FIND("/",H315,FIND("/",H315)+1)+1,LEN(H315)-FIND("/",H315,FIND("/",H315)+1))))</f>
        <v/>
      </c>
      <c r="AD315" s="7" t="str">
        <f aca="false">IF(OR(H315="",AA315=""),"",IFERROR(INDEX('لیست‌ها'!$Q$3:$Q$53,MATCH(AA315,'لیست‌ها'!$P$3:$P$53,0))+IF(AB315&lt;=6,(AB315-1)*31+AC315,IF(AB315&lt;=11,186+(AB315-7)*30+AC315,336+AC315))-1,""))</f>
        <v/>
      </c>
      <c r="AE315" s="7" t="str">
        <f aca="false">IF(P315="","",VALUE(LEFT(P315,FIND("/",P315)-1)))</f>
        <v/>
      </c>
      <c r="AF315" s="7" t="str">
        <f aca="false">IF(P315="","",VALUE(MID(P315,FIND("/",P315)+1,FIND("/",P315,FIND("/",P315)+1)-FIND("/",P315)-1)))</f>
        <v/>
      </c>
      <c r="AG315" s="7" t="str">
        <f aca="false">IF(P315="","",VALUE(MID(P315,FIND("/",P315,FIND("/",P315)+1)+1,LEN(P315)-FIND("/",P315,FIND("/",P315)+1))))</f>
        <v/>
      </c>
      <c r="AH315" s="7" t="str">
        <f aca="false">IF(OR(P315="",AE315=""),"",IFERROR(INDEX('لیست‌ها'!$Q$3:$Q$53,MATCH(AE315,'لیست‌ها'!$P$3:$P$53,0))+IF(AF315&lt;=6,(AF315-1)*31+AG315,IF(AF315&lt;=11,186+(AF315-7)*30+AG315,336+AG315))-1,""))</f>
        <v/>
      </c>
      <c r="AI315" s="7" t="str">
        <f aca="false">IF(W315="","",W315&amp;"-"&amp;TEXT(X315,"00"))</f>
        <v/>
      </c>
      <c r="AJ315" s="7" t="str">
        <f aca="false">IF(W315="","",W315*12+X315)</f>
        <v/>
      </c>
      <c r="AK315" s="7" t="str">
        <f aca="false">IF(U315="تاخیر",V315+ROW()/100000,"")</f>
        <v/>
      </c>
    </row>
    <row r="316" customFormat="false" ht="15" hidden="false" customHeight="false" outlineLevel="0" collapsed="false">
      <c r="A316" s="7" t="str">
        <f aca="false">IF(B316="","",ROW()-3)</f>
        <v/>
      </c>
      <c r="B316" s="8"/>
      <c r="C316" s="8"/>
      <c r="D316" s="8"/>
      <c r="E316" s="9"/>
      <c r="F316" s="9"/>
      <c r="G316" s="8"/>
      <c r="H316" s="8"/>
      <c r="I316" s="8"/>
      <c r="J316" s="9"/>
      <c r="K316" s="8"/>
      <c r="L316" s="8"/>
      <c r="M316" s="8"/>
      <c r="N316" s="8"/>
      <c r="O316" s="8"/>
      <c r="P316" s="8"/>
      <c r="Q316" s="8"/>
      <c r="R316" s="9"/>
      <c r="S316" s="8"/>
      <c r="T316" s="9"/>
      <c r="U316" s="10" t="str">
        <f aca="true">IF(B316="","",IF(OR(P316&lt;&gt;"",I316="می‌باشد"),"بسته",IF(AND(L316&lt;&gt;"",W316=""),"خطای فرمت تاریخ ایجاد",IF(AND(H316&lt;&gt;"",AA316=""),"خطای فرمت مهلت",IF(AND(H316&lt;&gt;"",AD316&lt;&gt;"",TODAY()&gt;AD316),"تاخیر",IF(L316&lt;&gt;"","در حال انجام",""))))))</f>
        <v/>
      </c>
      <c r="V316" s="7" t="n">
        <f aca="true">IF(U316="تاخیر",TODAY()-AD316,IF(AND(U316="بسته",AH316&lt;&gt;"",AD316&lt;&gt;"",AH316&gt;AD316),AH316-AD316,0))</f>
        <v>0</v>
      </c>
      <c r="W316" s="7" t="str">
        <f aca="false">IF(L316="","",VALUE(LEFT(L316,FIND("/",L316)-1)))</f>
        <v/>
      </c>
      <c r="X316" s="7" t="str">
        <f aca="false">IF(L316="","",VALUE(MID(L316,FIND("/",L316)+1,FIND("/",L316,FIND("/",L316)+1)-FIND("/",L316)-1)))</f>
        <v/>
      </c>
      <c r="Y316" s="7" t="str">
        <f aca="false">IF(L316="","",VALUE(MID(L316,FIND("/",L316,FIND("/",L316)+1)+1,LEN(L316)-FIND("/",L316,FIND("/",L316)+1))))</f>
        <v/>
      </c>
      <c r="Z316" s="7" t="str">
        <f aca="false">IF(OR(L316="",W316=""),"",IFERROR(INDEX('لیست‌ها'!$Q$3:$Q$53,MATCH(W316,'لیست‌ها'!$P$3:$P$53,0))+IF(X316&lt;=6,(X316-1)*31+Y316,IF(X316&lt;=11,186+(X316-7)*30+Y316,336+Y316))-1,""))</f>
        <v/>
      </c>
      <c r="AA316" s="7" t="str">
        <f aca="false">IF(H316="","",VALUE(LEFT(H316,FIND("/",H316)-1)))</f>
        <v/>
      </c>
      <c r="AB316" s="7" t="str">
        <f aca="false">IF(H316="","",VALUE(MID(H316,FIND("/",H316)+1,FIND("/",H316,FIND("/",H316)+1)-FIND("/",H316)-1)))</f>
        <v/>
      </c>
      <c r="AC316" s="7" t="str">
        <f aca="false">IF(H316="","",VALUE(MID(H316,FIND("/",H316,FIND("/",H316)+1)+1,LEN(H316)-FIND("/",H316,FIND("/",H316)+1))))</f>
        <v/>
      </c>
      <c r="AD316" s="7" t="str">
        <f aca="false">IF(OR(H316="",AA316=""),"",IFERROR(INDEX('لیست‌ها'!$Q$3:$Q$53,MATCH(AA316,'لیست‌ها'!$P$3:$P$53,0))+IF(AB316&lt;=6,(AB316-1)*31+AC316,IF(AB316&lt;=11,186+(AB316-7)*30+AC316,336+AC316))-1,""))</f>
        <v/>
      </c>
      <c r="AE316" s="7" t="str">
        <f aca="false">IF(P316="","",VALUE(LEFT(P316,FIND("/",P316)-1)))</f>
        <v/>
      </c>
      <c r="AF316" s="7" t="str">
        <f aca="false">IF(P316="","",VALUE(MID(P316,FIND("/",P316)+1,FIND("/",P316,FIND("/",P316)+1)-FIND("/",P316)-1)))</f>
        <v/>
      </c>
      <c r="AG316" s="7" t="str">
        <f aca="false">IF(P316="","",VALUE(MID(P316,FIND("/",P316,FIND("/",P316)+1)+1,LEN(P316)-FIND("/",P316,FIND("/",P316)+1))))</f>
        <v/>
      </c>
      <c r="AH316" s="7" t="str">
        <f aca="false">IF(OR(P316="",AE316=""),"",IFERROR(INDEX('لیست‌ها'!$Q$3:$Q$53,MATCH(AE316,'لیست‌ها'!$P$3:$P$53,0))+IF(AF316&lt;=6,(AF316-1)*31+AG316,IF(AF316&lt;=11,186+(AF316-7)*30+AG316,336+AG316))-1,""))</f>
        <v/>
      </c>
      <c r="AI316" s="7" t="str">
        <f aca="false">IF(W316="","",W316&amp;"-"&amp;TEXT(X316,"00"))</f>
        <v/>
      </c>
      <c r="AJ316" s="7" t="str">
        <f aca="false">IF(W316="","",W316*12+X316)</f>
        <v/>
      </c>
      <c r="AK316" s="7" t="str">
        <f aca="false">IF(U316="تاخیر",V316+ROW()/100000,"")</f>
        <v/>
      </c>
    </row>
    <row r="317" customFormat="false" ht="15" hidden="false" customHeight="false" outlineLevel="0" collapsed="false">
      <c r="A317" s="7" t="str">
        <f aca="false">IF(B317="","",ROW()-3)</f>
        <v/>
      </c>
      <c r="B317" s="8"/>
      <c r="C317" s="8"/>
      <c r="D317" s="8"/>
      <c r="E317" s="9"/>
      <c r="F317" s="9"/>
      <c r="G317" s="8"/>
      <c r="H317" s="8"/>
      <c r="I317" s="8"/>
      <c r="J317" s="9"/>
      <c r="K317" s="8"/>
      <c r="L317" s="8"/>
      <c r="M317" s="8"/>
      <c r="N317" s="8"/>
      <c r="O317" s="8"/>
      <c r="P317" s="8"/>
      <c r="Q317" s="8"/>
      <c r="R317" s="9"/>
      <c r="S317" s="8"/>
      <c r="T317" s="9"/>
      <c r="U317" s="10" t="str">
        <f aca="true">IF(B317="","",IF(OR(P317&lt;&gt;"",I317="می‌باشد"),"بسته",IF(AND(L317&lt;&gt;"",W317=""),"خطای فرمت تاریخ ایجاد",IF(AND(H317&lt;&gt;"",AA317=""),"خطای فرمت مهلت",IF(AND(H317&lt;&gt;"",AD317&lt;&gt;"",TODAY()&gt;AD317),"تاخیر",IF(L317&lt;&gt;"","در حال انجام",""))))))</f>
        <v/>
      </c>
      <c r="V317" s="7" t="n">
        <f aca="true">IF(U317="تاخیر",TODAY()-AD317,IF(AND(U317="بسته",AH317&lt;&gt;"",AD317&lt;&gt;"",AH317&gt;AD317),AH317-AD317,0))</f>
        <v>0</v>
      </c>
      <c r="W317" s="7" t="str">
        <f aca="false">IF(L317="","",VALUE(LEFT(L317,FIND("/",L317)-1)))</f>
        <v/>
      </c>
      <c r="X317" s="7" t="str">
        <f aca="false">IF(L317="","",VALUE(MID(L317,FIND("/",L317)+1,FIND("/",L317,FIND("/",L317)+1)-FIND("/",L317)-1)))</f>
        <v/>
      </c>
      <c r="Y317" s="7" t="str">
        <f aca="false">IF(L317="","",VALUE(MID(L317,FIND("/",L317,FIND("/",L317)+1)+1,LEN(L317)-FIND("/",L317,FIND("/",L317)+1))))</f>
        <v/>
      </c>
      <c r="Z317" s="7" t="str">
        <f aca="false">IF(OR(L317="",W317=""),"",IFERROR(INDEX('لیست‌ها'!$Q$3:$Q$53,MATCH(W317,'لیست‌ها'!$P$3:$P$53,0))+IF(X317&lt;=6,(X317-1)*31+Y317,IF(X317&lt;=11,186+(X317-7)*30+Y317,336+Y317))-1,""))</f>
        <v/>
      </c>
      <c r="AA317" s="7" t="str">
        <f aca="false">IF(H317="","",VALUE(LEFT(H317,FIND("/",H317)-1)))</f>
        <v/>
      </c>
      <c r="AB317" s="7" t="str">
        <f aca="false">IF(H317="","",VALUE(MID(H317,FIND("/",H317)+1,FIND("/",H317,FIND("/",H317)+1)-FIND("/",H317)-1)))</f>
        <v/>
      </c>
      <c r="AC317" s="7" t="str">
        <f aca="false">IF(H317="","",VALUE(MID(H317,FIND("/",H317,FIND("/",H317)+1)+1,LEN(H317)-FIND("/",H317,FIND("/",H317)+1))))</f>
        <v/>
      </c>
      <c r="AD317" s="7" t="str">
        <f aca="false">IF(OR(H317="",AA317=""),"",IFERROR(INDEX('لیست‌ها'!$Q$3:$Q$53,MATCH(AA317,'لیست‌ها'!$P$3:$P$53,0))+IF(AB317&lt;=6,(AB317-1)*31+AC317,IF(AB317&lt;=11,186+(AB317-7)*30+AC317,336+AC317))-1,""))</f>
        <v/>
      </c>
      <c r="AE317" s="7" t="str">
        <f aca="false">IF(P317="","",VALUE(LEFT(P317,FIND("/",P317)-1)))</f>
        <v/>
      </c>
      <c r="AF317" s="7" t="str">
        <f aca="false">IF(P317="","",VALUE(MID(P317,FIND("/",P317)+1,FIND("/",P317,FIND("/",P317)+1)-FIND("/",P317)-1)))</f>
        <v/>
      </c>
      <c r="AG317" s="7" t="str">
        <f aca="false">IF(P317="","",VALUE(MID(P317,FIND("/",P317,FIND("/",P317)+1)+1,LEN(P317)-FIND("/",P317,FIND("/",P317)+1))))</f>
        <v/>
      </c>
      <c r="AH317" s="7" t="str">
        <f aca="false">IF(OR(P317="",AE317=""),"",IFERROR(INDEX('لیست‌ها'!$Q$3:$Q$53,MATCH(AE317,'لیست‌ها'!$P$3:$P$53,0))+IF(AF317&lt;=6,(AF317-1)*31+AG317,IF(AF317&lt;=11,186+(AF317-7)*30+AG317,336+AG317))-1,""))</f>
        <v/>
      </c>
      <c r="AI317" s="7" t="str">
        <f aca="false">IF(W317="","",W317&amp;"-"&amp;TEXT(X317,"00"))</f>
        <v/>
      </c>
      <c r="AJ317" s="7" t="str">
        <f aca="false">IF(W317="","",W317*12+X317)</f>
        <v/>
      </c>
      <c r="AK317" s="7" t="str">
        <f aca="false">IF(U317="تاخیر",V317+ROW()/100000,"")</f>
        <v/>
      </c>
    </row>
    <row r="318" customFormat="false" ht="15" hidden="false" customHeight="false" outlineLevel="0" collapsed="false">
      <c r="A318" s="7" t="str">
        <f aca="false">IF(B318="","",ROW()-3)</f>
        <v/>
      </c>
      <c r="B318" s="8"/>
      <c r="C318" s="8"/>
      <c r="D318" s="8"/>
      <c r="E318" s="9"/>
      <c r="F318" s="9"/>
      <c r="G318" s="8"/>
      <c r="H318" s="8"/>
      <c r="I318" s="8"/>
      <c r="J318" s="9"/>
      <c r="K318" s="8"/>
      <c r="L318" s="8"/>
      <c r="M318" s="8"/>
      <c r="N318" s="8"/>
      <c r="O318" s="8"/>
      <c r="P318" s="8"/>
      <c r="Q318" s="8"/>
      <c r="R318" s="9"/>
      <c r="S318" s="8"/>
      <c r="T318" s="9"/>
      <c r="U318" s="10" t="str">
        <f aca="true">IF(B318="","",IF(OR(P318&lt;&gt;"",I318="می‌باشد"),"بسته",IF(AND(L318&lt;&gt;"",W318=""),"خطای فرمت تاریخ ایجاد",IF(AND(H318&lt;&gt;"",AA318=""),"خطای فرمت مهلت",IF(AND(H318&lt;&gt;"",AD318&lt;&gt;"",TODAY()&gt;AD318),"تاخیر",IF(L318&lt;&gt;"","در حال انجام",""))))))</f>
        <v/>
      </c>
      <c r="V318" s="7" t="n">
        <f aca="true">IF(U318="تاخیر",TODAY()-AD318,IF(AND(U318="بسته",AH318&lt;&gt;"",AD318&lt;&gt;"",AH318&gt;AD318),AH318-AD318,0))</f>
        <v>0</v>
      </c>
      <c r="W318" s="7" t="str">
        <f aca="false">IF(L318="","",VALUE(LEFT(L318,FIND("/",L318)-1)))</f>
        <v/>
      </c>
      <c r="X318" s="7" t="str">
        <f aca="false">IF(L318="","",VALUE(MID(L318,FIND("/",L318)+1,FIND("/",L318,FIND("/",L318)+1)-FIND("/",L318)-1)))</f>
        <v/>
      </c>
      <c r="Y318" s="7" t="str">
        <f aca="false">IF(L318="","",VALUE(MID(L318,FIND("/",L318,FIND("/",L318)+1)+1,LEN(L318)-FIND("/",L318,FIND("/",L318)+1))))</f>
        <v/>
      </c>
      <c r="Z318" s="7" t="str">
        <f aca="false">IF(OR(L318="",W318=""),"",IFERROR(INDEX('لیست‌ها'!$Q$3:$Q$53,MATCH(W318,'لیست‌ها'!$P$3:$P$53,0))+IF(X318&lt;=6,(X318-1)*31+Y318,IF(X318&lt;=11,186+(X318-7)*30+Y318,336+Y318))-1,""))</f>
        <v/>
      </c>
      <c r="AA318" s="7" t="str">
        <f aca="false">IF(H318="","",VALUE(LEFT(H318,FIND("/",H318)-1)))</f>
        <v/>
      </c>
      <c r="AB318" s="7" t="str">
        <f aca="false">IF(H318="","",VALUE(MID(H318,FIND("/",H318)+1,FIND("/",H318,FIND("/",H318)+1)-FIND("/",H318)-1)))</f>
        <v/>
      </c>
      <c r="AC318" s="7" t="str">
        <f aca="false">IF(H318="","",VALUE(MID(H318,FIND("/",H318,FIND("/",H318)+1)+1,LEN(H318)-FIND("/",H318,FIND("/",H318)+1))))</f>
        <v/>
      </c>
      <c r="AD318" s="7" t="str">
        <f aca="false">IF(OR(H318="",AA318=""),"",IFERROR(INDEX('لیست‌ها'!$Q$3:$Q$53,MATCH(AA318,'لیست‌ها'!$P$3:$P$53,0))+IF(AB318&lt;=6,(AB318-1)*31+AC318,IF(AB318&lt;=11,186+(AB318-7)*30+AC318,336+AC318))-1,""))</f>
        <v/>
      </c>
      <c r="AE318" s="7" t="str">
        <f aca="false">IF(P318="","",VALUE(LEFT(P318,FIND("/",P318)-1)))</f>
        <v/>
      </c>
      <c r="AF318" s="7" t="str">
        <f aca="false">IF(P318="","",VALUE(MID(P318,FIND("/",P318)+1,FIND("/",P318,FIND("/",P318)+1)-FIND("/",P318)-1)))</f>
        <v/>
      </c>
      <c r="AG318" s="7" t="str">
        <f aca="false">IF(P318="","",VALUE(MID(P318,FIND("/",P318,FIND("/",P318)+1)+1,LEN(P318)-FIND("/",P318,FIND("/",P318)+1))))</f>
        <v/>
      </c>
      <c r="AH318" s="7" t="str">
        <f aca="false">IF(OR(P318="",AE318=""),"",IFERROR(INDEX('لیست‌ها'!$Q$3:$Q$53,MATCH(AE318,'لیست‌ها'!$P$3:$P$53,0))+IF(AF318&lt;=6,(AF318-1)*31+AG318,IF(AF318&lt;=11,186+(AF318-7)*30+AG318,336+AG318))-1,""))</f>
        <v/>
      </c>
      <c r="AI318" s="7" t="str">
        <f aca="false">IF(W318="","",W318&amp;"-"&amp;TEXT(X318,"00"))</f>
        <v/>
      </c>
      <c r="AJ318" s="7" t="str">
        <f aca="false">IF(W318="","",W318*12+X318)</f>
        <v/>
      </c>
      <c r="AK318" s="7" t="str">
        <f aca="false">IF(U318="تاخیر",V318+ROW()/100000,"")</f>
        <v/>
      </c>
    </row>
    <row r="319" customFormat="false" ht="15" hidden="false" customHeight="false" outlineLevel="0" collapsed="false">
      <c r="A319" s="7" t="str">
        <f aca="false">IF(B319="","",ROW()-3)</f>
        <v/>
      </c>
      <c r="B319" s="8"/>
      <c r="C319" s="8"/>
      <c r="D319" s="8"/>
      <c r="E319" s="9"/>
      <c r="F319" s="9"/>
      <c r="G319" s="8"/>
      <c r="H319" s="8"/>
      <c r="I319" s="8"/>
      <c r="J319" s="9"/>
      <c r="K319" s="8"/>
      <c r="L319" s="8"/>
      <c r="M319" s="8"/>
      <c r="N319" s="8"/>
      <c r="O319" s="8"/>
      <c r="P319" s="8"/>
      <c r="Q319" s="8"/>
      <c r="R319" s="9"/>
      <c r="S319" s="8"/>
      <c r="T319" s="9"/>
      <c r="U319" s="10" t="str">
        <f aca="true">IF(B319="","",IF(OR(P319&lt;&gt;"",I319="می‌باشد"),"بسته",IF(AND(L319&lt;&gt;"",W319=""),"خطای فرمت تاریخ ایجاد",IF(AND(H319&lt;&gt;"",AA319=""),"خطای فرمت مهلت",IF(AND(H319&lt;&gt;"",AD319&lt;&gt;"",TODAY()&gt;AD319),"تاخیر",IF(L319&lt;&gt;"","در حال انجام",""))))))</f>
        <v/>
      </c>
      <c r="V319" s="7" t="n">
        <f aca="true">IF(U319="تاخیر",TODAY()-AD319,IF(AND(U319="بسته",AH319&lt;&gt;"",AD319&lt;&gt;"",AH319&gt;AD319),AH319-AD319,0))</f>
        <v>0</v>
      </c>
      <c r="W319" s="7" t="str">
        <f aca="false">IF(L319="","",VALUE(LEFT(L319,FIND("/",L319)-1)))</f>
        <v/>
      </c>
      <c r="X319" s="7" t="str">
        <f aca="false">IF(L319="","",VALUE(MID(L319,FIND("/",L319)+1,FIND("/",L319,FIND("/",L319)+1)-FIND("/",L319)-1)))</f>
        <v/>
      </c>
      <c r="Y319" s="7" t="str">
        <f aca="false">IF(L319="","",VALUE(MID(L319,FIND("/",L319,FIND("/",L319)+1)+1,LEN(L319)-FIND("/",L319,FIND("/",L319)+1))))</f>
        <v/>
      </c>
      <c r="Z319" s="7" t="str">
        <f aca="false">IF(OR(L319="",W319=""),"",IFERROR(INDEX('لیست‌ها'!$Q$3:$Q$53,MATCH(W319,'لیست‌ها'!$P$3:$P$53,0))+IF(X319&lt;=6,(X319-1)*31+Y319,IF(X319&lt;=11,186+(X319-7)*30+Y319,336+Y319))-1,""))</f>
        <v/>
      </c>
      <c r="AA319" s="7" t="str">
        <f aca="false">IF(H319="","",VALUE(LEFT(H319,FIND("/",H319)-1)))</f>
        <v/>
      </c>
      <c r="AB319" s="7" t="str">
        <f aca="false">IF(H319="","",VALUE(MID(H319,FIND("/",H319)+1,FIND("/",H319,FIND("/",H319)+1)-FIND("/",H319)-1)))</f>
        <v/>
      </c>
      <c r="AC319" s="7" t="str">
        <f aca="false">IF(H319="","",VALUE(MID(H319,FIND("/",H319,FIND("/",H319)+1)+1,LEN(H319)-FIND("/",H319,FIND("/",H319)+1))))</f>
        <v/>
      </c>
      <c r="AD319" s="7" t="str">
        <f aca="false">IF(OR(H319="",AA319=""),"",IFERROR(INDEX('لیست‌ها'!$Q$3:$Q$53,MATCH(AA319,'لیست‌ها'!$P$3:$P$53,0))+IF(AB319&lt;=6,(AB319-1)*31+AC319,IF(AB319&lt;=11,186+(AB319-7)*30+AC319,336+AC319))-1,""))</f>
        <v/>
      </c>
      <c r="AE319" s="7" t="str">
        <f aca="false">IF(P319="","",VALUE(LEFT(P319,FIND("/",P319)-1)))</f>
        <v/>
      </c>
      <c r="AF319" s="7" t="str">
        <f aca="false">IF(P319="","",VALUE(MID(P319,FIND("/",P319)+1,FIND("/",P319,FIND("/",P319)+1)-FIND("/",P319)-1)))</f>
        <v/>
      </c>
      <c r="AG319" s="7" t="str">
        <f aca="false">IF(P319="","",VALUE(MID(P319,FIND("/",P319,FIND("/",P319)+1)+1,LEN(P319)-FIND("/",P319,FIND("/",P319)+1))))</f>
        <v/>
      </c>
      <c r="AH319" s="7" t="str">
        <f aca="false">IF(OR(P319="",AE319=""),"",IFERROR(INDEX('لیست‌ها'!$Q$3:$Q$53,MATCH(AE319,'لیست‌ها'!$P$3:$P$53,0))+IF(AF319&lt;=6,(AF319-1)*31+AG319,IF(AF319&lt;=11,186+(AF319-7)*30+AG319,336+AG319))-1,""))</f>
        <v/>
      </c>
      <c r="AI319" s="7" t="str">
        <f aca="false">IF(W319="","",W319&amp;"-"&amp;TEXT(X319,"00"))</f>
        <v/>
      </c>
      <c r="AJ319" s="7" t="str">
        <f aca="false">IF(W319="","",W319*12+X319)</f>
        <v/>
      </c>
      <c r="AK319" s="7" t="str">
        <f aca="false">IF(U319="تاخیر",V319+ROW()/100000,"")</f>
        <v/>
      </c>
    </row>
    <row r="320" customFormat="false" ht="15" hidden="false" customHeight="false" outlineLevel="0" collapsed="false">
      <c r="A320" s="7" t="str">
        <f aca="false">IF(B320="","",ROW()-3)</f>
        <v/>
      </c>
      <c r="B320" s="8"/>
      <c r="C320" s="8"/>
      <c r="D320" s="8"/>
      <c r="E320" s="9"/>
      <c r="F320" s="9"/>
      <c r="G320" s="8"/>
      <c r="H320" s="8"/>
      <c r="I320" s="8"/>
      <c r="J320" s="9"/>
      <c r="K320" s="8"/>
      <c r="L320" s="8"/>
      <c r="M320" s="8"/>
      <c r="N320" s="8"/>
      <c r="O320" s="8"/>
      <c r="P320" s="8"/>
      <c r="Q320" s="8"/>
      <c r="R320" s="9"/>
      <c r="S320" s="8"/>
      <c r="T320" s="9"/>
      <c r="U320" s="10" t="str">
        <f aca="true">IF(B320="","",IF(OR(P320&lt;&gt;"",I320="می‌باشد"),"بسته",IF(AND(L320&lt;&gt;"",W320=""),"خطای فرمت تاریخ ایجاد",IF(AND(H320&lt;&gt;"",AA320=""),"خطای فرمت مهلت",IF(AND(H320&lt;&gt;"",AD320&lt;&gt;"",TODAY()&gt;AD320),"تاخیر",IF(L320&lt;&gt;"","در حال انجام",""))))))</f>
        <v/>
      </c>
      <c r="V320" s="7" t="n">
        <f aca="true">IF(U320="تاخیر",TODAY()-AD320,IF(AND(U320="بسته",AH320&lt;&gt;"",AD320&lt;&gt;"",AH320&gt;AD320),AH320-AD320,0))</f>
        <v>0</v>
      </c>
      <c r="W320" s="7" t="str">
        <f aca="false">IF(L320="","",VALUE(LEFT(L320,FIND("/",L320)-1)))</f>
        <v/>
      </c>
      <c r="X320" s="7" t="str">
        <f aca="false">IF(L320="","",VALUE(MID(L320,FIND("/",L320)+1,FIND("/",L320,FIND("/",L320)+1)-FIND("/",L320)-1)))</f>
        <v/>
      </c>
      <c r="Y320" s="7" t="str">
        <f aca="false">IF(L320="","",VALUE(MID(L320,FIND("/",L320,FIND("/",L320)+1)+1,LEN(L320)-FIND("/",L320,FIND("/",L320)+1))))</f>
        <v/>
      </c>
      <c r="Z320" s="7" t="str">
        <f aca="false">IF(OR(L320="",W320=""),"",IFERROR(INDEX('لیست‌ها'!$Q$3:$Q$53,MATCH(W320,'لیست‌ها'!$P$3:$P$53,0))+IF(X320&lt;=6,(X320-1)*31+Y320,IF(X320&lt;=11,186+(X320-7)*30+Y320,336+Y320))-1,""))</f>
        <v/>
      </c>
      <c r="AA320" s="7" t="str">
        <f aca="false">IF(H320="","",VALUE(LEFT(H320,FIND("/",H320)-1)))</f>
        <v/>
      </c>
      <c r="AB320" s="7" t="str">
        <f aca="false">IF(H320="","",VALUE(MID(H320,FIND("/",H320)+1,FIND("/",H320,FIND("/",H320)+1)-FIND("/",H320)-1)))</f>
        <v/>
      </c>
      <c r="AC320" s="7" t="str">
        <f aca="false">IF(H320="","",VALUE(MID(H320,FIND("/",H320,FIND("/",H320)+1)+1,LEN(H320)-FIND("/",H320,FIND("/",H320)+1))))</f>
        <v/>
      </c>
      <c r="AD320" s="7" t="str">
        <f aca="false">IF(OR(H320="",AA320=""),"",IFERROR(INDEX('لیست‌ها'!$Q$3:$Q$53,MATCH(AA320,'لیست‌ها'!$P$3:$P$53,0))+IF(AB320&lt;=6,(AB320-1)*31+AC320,IF(AB320&lt;=11,186+(AB320-7)*30+AC320,336+AC320))-1,""))</f>
        <v/>
      </c>
      <c r="AE320" s="7" t="str">
        <f aca="false">IF(P320="","",VALUE(LEFT(P320,FIND("/",P320)-1)))</f>
        <v/>
      </c>
      <c r="AF320" s="7" t="str">
        <f aca="false">IF(P320="","",VALUE(MID(P320,FIND("/",P320)+1,FIND("/",P320,FIND("/",P320)+1)-FIND("/",P320)-1)))</f>
        <v/>
      </c>
      <c r="AG320" s="7" t="str">
        <f aca="false">IF(P320="","",VALUE(MID(P320,FIND("/",P320,FIND("/",P320)+1)+1,LEN(P320)-FIND("/",P320,FIND("/",P320)+1))))</f>
        <v/>
      </c>
      <c r="AH320" s="7" t="str">
        <f aca="false">IF(OR(P320="",AE320=""),"",IFERROR(INDEX('لیست‌ها'!$Q$3:$Q$53,MATCH(AE320,'لیست‌ها'!$P$3:$P$53,0))+IF(AF320&lt;=6,(AF320-1)*31+AG320,IF(AF320&lt;=11,186+(AF320-7)*30+AG320,336+AG320))-1,""))</f>
        <v/>
      </c>
      <c r="AI320" s="7" t="str">
        <f aca="false">IF(W320="","",W320&amp;"-"&amp;TEXT(X320,"00"))</f>
        <v/>
      </c>
      <c r="AJ320" s="7" t="str">
        <f aca="false">IF(W320="","",W320*12+X320)</f>
        <v/>
      </c>
      <c r="AK320" s="7" t="str">
        <f aca="false">IF(U320="تاخیر",V320+ROW()/100000,"")</f>
        <v/>
      </c>
    </row>
    <row r="321" customFormat="false" ht="15" hidden="false" customHeight="false" outlineLevel="0" collapsed="false">
      <c r="A321" s="7" t="str">
        <f aca="false">IF(B321="","",ROW()-3)</f>
        <v/>
      </c>
      <c r="B321" s="8"/>
      <c r="C321" s="8"/>
      <c r="D321" s="8"/>
      <c r="E321" s="9"/>
      <c r="F321" s="9"/>
      <c r="G321" s="8"/>
      <c r="H321" s="8"/>
      <c r="I321" s="8"/>
      <c r="J321" s="9"/>
      <c r="K321" s="8"/>
      <c r="L321" s="8"/>
      <c r="M321" s="8"/>
      <c r="N321" s="8"/>
      <c r="O321" s="8"/>
      <c r="P321" s="8"/>
      <c r="Q321" s="8"/>
      <c r="R321" s="9"/>
      <c r="S321" s="8"/>
      <c r="T321" s="9"/>
      <c r="U321" s="10" t="str">
        <f aca="true">IF(B321="","",IF(OR(P321&lt;&gt;"",I321="می‌باشد"),"بسته",IF(AND(L321&lt;&gt;"",W321=""),"خطای فرمت تاریخ ایجاد",IF(AND(H321&lt;&gt;"",AA321=""),"خطای فرمت مهلت",IF(AND(H321&lt;&gt;"",AD321&lt;&gt;"",TODAY()&gt;AD321),"تاخیر",IF(L321&lt;&gt;"","در حال انجام",""))))))</f>
        <v/>
      </c>
      <c r="V321" s="7" t="n">
        <f aca="true">IF(U321="تاخیر",TODAY()-AD321,IF(AND(U321="بسته",AH321&lt;&gt;"",AD321&lt;&gt;"",AH321&gt;AD321),AH321-AD321,0))</f>
        <v>0</v>
      </c>
      <c r="W321" s="7" t="str">
        <f aca="false">IF(L321="","",VALUE(LEFT(L321,FIND("/",L321)-1)))</f>
        <v/>
      </c>
      <c r="X321" s="7" t="str">
        <f aca="false">IF(L321="","",VALUE(MID(L321,FIND("/",L321)+1,FIND("/",L321,FIND("/",L321)+1)-FIND("/",L321)-1)))</f>
        <v/>
      </c>
      <c r="Y321" s="7" t="str">
        <f aca="false">IF(L321="","",VALUE(MID(L321,FIND("/",L321,FIND("/",L321)+1)+1,LEN(L321)-FIND("/",L321,FIND("/",L321)+1))))</f>
        <v/>
      </c>
      <c r="Z321" s="7" t="str">
        <f aca="false">IF(OR(L321="",W321=""),"",IFERROR(INDEX('لیست‌ها'!$Q$3:$Q$53,MATCH(W321,'لیست‌ها'!$P$3:$P$53,0))+IF(X321&lt;=6,(X321-1)*31+Y321,IF(X321&lt;=11,186+(X321-7)*30+Y321,336+Y321))-1,""))</f>
        <v/>
      </c>
      <c r="AA321" s="7" t="str">
        <f aca="false">IF(H321="","",VALUE(LEFT(H321,FIND("/",H321)-1)))</f>
        <v/>
      </c>
      <c r="AB321" s="7" t="str">
        <f aca="false">IF(H321="","",VALUE(MID(H321,FIND("/",H321)+1,FIND("/",H321,FIND("/",H321)+1)-FIND("/",H321)-1)))</f>
        <v/>
      </c>
      <c r="AC321" s="7" t="str">
        <f aca="false">IF(H321="","",VALUE(MID(H321,FIND("/",H321,FIND("/",H321)+1)+1,LEN(H321)-FIND("/",H321,FIND("/",H321)+1))))</f>
        <v/>
      </c>
      <c r="AD321" s="7" t="str">
        <f aca="false">IF(OR(H321="",AA321=""),"",IFERROR(INDEX('لیست‌ها'!$Q$3:$Q$53,MATCH(AA321,'لیست‌ها'!$P$3:$P$53,0))+IF(AB321&lt;=6,(AB321-1)*31+AC321,IF(AB321&lt;=11,186+(AB321-7)*30+AC321,336+AC321))-1,""))</f>
        <v/>
      </c>
      <c r="AE321" s="7" t="str">
        <f aca="false">IF(P321="","",VALUE(LEFT(P321,FIND("/",P321)-1)))</f>
        <v/>
      </c>
      <c r="AF321" s="7" t="str">
        <f aca="false">IF(P321="","",VALUE(MID(P321,FIND("/",P321)+1,FIND("/",P321,FIND("/",P321)+1)-FIND("/",P321)-1)))</f>
        <v/>
      </c>
      <c r="AG321" s="7" t="str">
        <f aca="false">IF(P321="","",VALUE(MID(P321,FIND("/",P321,FIND("/",P321)+1)+1,LEN(P321)-FIND("/",P321,FIND("/",P321)+1))))</f>
        <v/>
      </c>
      <c r="AH321" s="7" t="str">
        <f aca="false">IF(OR(P321="",AE321=""),"",IFERROR(INDEX('لیست‌ها'!$Q$3:$Q$53,MATCH(AE321,'لیست‌ها'!$P$3:$P$53,0))+IF(AF321&lt;=6,(AF321-1)*31+AG321,IF(AF321&lt;=11,186+(AF321-7)*30+AG321,336+AG321))-1,""))</f>
        <v/>
      </c>
      <c r="AI321" s="7" t="str">
        <f aca="false">IF(W321="","",W321&amp;"-"&amp;TEXT(X321,"00"))</f>
        <v/>
      </c>
      <c r="AJ321" s="7" t="str">
        <f aca="false">IF(W321="","",W321*12+X321)</f>
        <v/>
      </c>
      <c r="AK321" s="7" t="str">
        <f aca="false">IF(U321="تاخیر",V321+ROW()/100000,"")</f>
        <v/>
      </c>
    </row>
    <row r="322" customFormat="false" ht="15" hidden="false" customHeight="false" outlineLevel="0" collapsed="false">
      <c r="A322" s="7" t="str">
        <f aca="false">IF(B322="","",ROW()-3)</f>
        <v/>
      </c>
      <c r="B322" s="8"/>
      <c r="C322" s="8"/>
      <c r="D322" s="8"/>
      <c r="E322" s="9"/>
      <c r="F322" s="9"/>
      <c r="G322" s="8"/>
      <c r="H322" s="8"/>
      <c r="I322" s="8"/>
      <c r="J322" s="9"/>
      <c r="K322" s="8"/>
      <c r="L322" s="8"/>
      <c r="M322" s="8"/>
      <c r="N322" s="8"/>
      <c r="O322" s="8"/>
      <c r="P322" s="8"/>
      <c r="Q322" s="8"/>
      <c r="R322" s="9"/>
      <c r="S322" s="8"/>
      <c r="T322" s="9"/>
      <c r="U322" s="10" t="str">
        <f aca="true">IF(B322="","",IF(OR(P322&lt;&gt;"",I322="می‌باشد"),"بسته",IF(AND(L322&lt;&gt;"",W322=""),"خطای فرمت تاریخ ایجاد",IF(AND(H322&lt;&gt;"",AA322=""),"خطای فرمت مهلت",IF(AND(H322&lt;&gt;"",AD322&lt;&gt;"",TODAY()&gt;AD322),"تاخیر",IF(L322&lt;&gt;"","در حال انجام",""))))))</f>
        <v/>
      </c>
      <c r="V322" s="7" t="n">
        <f aca="true">IF(U322="تاخیر",TODAY()-AD322,IF(AND(U322="بسته",AH322&lt;&gt;"",AD322&lt;&gt;"",AH322&gt;AD322),AH322-AD322,0))</f>
        <v>0</v>
      </c>
      <c r="W322" s="7" t="str">
        <f aca="false">IF(L322="","",VALUE(LEFT(L322,FIND("/",L322)-1)))</f>
        <v/>
      </c>
      <c r="X322" s="7" t="str">
        <f aca="false">IF(L322="","",VALUE(MID(L322,FIND("/",L322)+1,FIND("/",L322,FIND("/",L322)+1)-FIND("/",L322)-1)))</f>
        <v/>
      </c>
      <c r="Y322" s="7" t="str">
        <f aca="false">IF(L322="","",VALUE(MID(L322,FIND("/",L322,FIND("/",L322)+1)+1,LEN(L322)-FIND("/",L322,FIND("/",L322)+1))))</f>
        <v/>
      </c>
      <c r="Z322" s="7" t="str">
        <f aca="false">IF(OR(L322="",W322=""),"",IFERROR(INDEX('لیست‌ها'!$Q$3:$Q$53,MATCH(W322,'لیست‌ها'!$P$3:$P$53,0))+IF(X322&lt;=6,(X322-1)*31+Y322,IF(X322&lt;=11,186+(X322-7)*30+Y322,336+Y322))-1,""))</f>
        <v/>
      </c>
      <c r="AA322" s="7" t="str">
        <f aca="false">IF(H322="","",VALUE(LEFT(H322,FIND("/",H322)-1)))</f>
        <v/>
      </c>
      <c r="AB322" s="7" t="str">
        <f aca="false">IF(H322="","",VALUE(MID(H322,FIND("/",H322)+1,FIND("/",H322,FIND("/",H322)+1)-FIND("/",H322)-1)))</f>
        <v/>
      </c>
      <c r="AC322" s="7" t="str">
        <f aca="false">IF(H322="","",VALUE(MID(H322,FIND("/",H322,FIND("/",H322)+1)+1,LEN(H322)-FIND("/",H322,FIND("/",H322)+1))))</f>
        <v/>
      </c>
      <c r="AD322" s="7" t="str">
        <f aca="false">IF(OR(H322="",AA322=""),"",IFERROR(INDEX('لیست‌ها'!$Q$3:$Q$53,MATCH(AA322,'لیست‌ها'!$P$3:$P$53,0))+IF(AB322&lt;=6,(AB322-1)*31+AC322,IF(AB322&lt;=11,186+(AB322-7)*30+AC322,336+AC322))-1,""))</f>
        <v/>
      </c>
      <c r="AE322" s="7" t="str">
        <f aca="false">IF(P322="","",VALUE(LEFT(P322,FIND("/",P322)-1)))</f>
        <v/>
      </c>
      <c r="AF322" s="7" t="str">
        <f aca="false">IF(P322="","",VALUE(MID(P322,FIND("/",P322)+1,FIND("/",P322,FIND("/",P322)+1)-FIND("/",P322)-1)))</f>
        <v/>
      </c>
      <c r="AG322" s="7" t="str">
        <f aca="false">IF(P322="","",VALUE(MID(P322,FIND("/",P322,FIND("/",P322)+1)+1,LEN(P322)-FIND("/",P322,FIND("/",P322)+1))))</f>
        <v/>
      </c>
      <c r="AH322" s="7" t="str">
        <f aca="false">IF(OR(P322="",AE322=""),"",IFERROR(INDEX('لیست‌ها'!$Q$3:$Q$53,MATCH(AE322,'لیست‌ها'!$P$3:$P$53,0))+IF(AF322&lt;=6,(AF322-1)*31+AG322,IF(AF322&lt;=11,186+(AF322-7)*30+AG322,336+AG322))-1,""))</f>
        <v/>
      </c>
      <c r="AI322" s="7" t="str">
        <f aca="false">IF(W322="","",W322&amp;"-"&amp;TEXT(X322,"00"))</f>
        <v/>
      </c>
      <c r="AJ322" s="7" t="str">
        <f aca="false">IF(W322="","",W322*12+X322)</f>
        <v/>
      </c>
      <c r="AK322" s="7" t="str">
        <f aca="false">IF(U322="تاخیر",V322+ROW()/100000,"")</f>
        <v/>
      </c>
    </row>
    <row r="323" customFormat="false" ht="15" hidden="false" customHeight="false" outlineLevel="0" collapsed="false">
      <c r="A323" s="7" t="str">
        <f aca="false">IF(B323="","",ROW()-3)</f>
        <v/>
      </c>
      <c r="B323" s="8"/>
      <c r="C323" s="8"/>
      <c r="D323" s="8"/>
      <c r="E323" s="9"/>
      <c r="F323" s="9"/>
      <c r="G323" s="8"/>
      <c r="H323" s="8"/>
      <c r="I323" s="8"/>
      <c r="J323" s="9"/>
      <c r="K323" s="8"/>
      <c r="L323" s="8"/>
      <c r="M323" s="8"/>
      <c r="N323" s="8"/>
      <c r="O323" s="8"/>
      <c r="P323" s="8"/>
      <c r="Q323" s="8"/>
      <c r="R323" s="9"/>
      <c r="S323" s="8"/>
      <c r="T323" s="9"/>
      <c r="U323" s="10" t="str">
        <f aca="true">IF(B323="","",IF(OR(P323&lt;&gt;"",I323="می‌باشد"),"بسته",IF(AND(L323&lt;&gt;"",W323=""),"خطای فرمت تاریخ ایجاد",IF(AND(H323&lt;&gt;"",AA323=""),"خطای فرمت مهلت",IF(AND(H323&lt;&gt;"",AD323&lt;&gt;"",TODAY()&gt;AD323),"تاخیر",IF(L323&lt;&gt;"","در حال انجام",""))))))</f>
        <v/>
      </c>
      <c r="V323" s="7" t="n">
        <f aca="true">IF(U323="تاخیر",TODAY()-AD323,IF(AND(U323="بسته",AH323&lt;&gt;"",AD323&lt;&gt;"",AH323&gt;AD323),AH323-AD323,0))</f>
        <v>0</v>
      </c>
      <c r="W323" s="7" t="str">
        <f aca="false">IF(L323="","",VALUE(LEFT(L323,FIND("/",L323)-1)))</f>
        <v/>
      </c>
      <c r="X323" s="7" t="str">
        <f aca="false">IF(L323="","",VALUE(MID(L323,FIND("/",L323)+1,FIND("/",L323,FIND("/",L323)+1)-FIND("/",L323)-1)))</f>
        <v/>
      </c>
      <c r="Y323" s="7" t="str">
        <f aca="false">IF(L323="","",VALUE(MID(L323,FIND("/",L323,FIND("/",L323)+1)+1,LEN(L323)-FIND("/",L323,FIND("/",L323)+1))))</f>
        <v/>
      </c>
      <c r="Z323" s="7" t="str">
        <f aca="false">IF(OR(L323="",W323=""),"",IFERROR(INDEX('لیست‌ها'!$Q$3:$Q$53,MATCH(W323,'لیست‌ها'!$P$3:$P$53,0))+IF(X323&lt;=6,(X323-1)*31+Y323,IF(X323&lt;=11,186+(X323-7)*30+Y323,336+Y323))-1,""))</f>
        <v/>
      </c>
      <c r="AA323" s="7" t="str">
        <f aca="false">IF(H323="","",VALUE(LEFT(H323,FIND("/",H323)-1)))</f>
        <v/>
      </c>
      <c r="AB323" s="7" t="str">
        <f aca="false">IF(H323="","",VALUE(MID(H323,FIND("/",H323)+1,FIND("/",H323,FIND("/",H323)+1)-FIND("/",H323)-1)))</f>
        <v/>
      </c>
      <c r="AC323" s="7" t="str">
        <f aca="false">IF(H323="","",VALUE(MID(H323,FIND("/",H323,FIND("/",H323)+1)+1,LEN(H323)-FIND("/",H323,FIND("/",H323)+1))))</f>
        <v/>
      </c>
      <c r="AD323" s="7" t="str">
        <f aca="false">IF(OR(H323="",AA323=""),"",IFERROR(INDEX('لیست‌ها'!$Q$3:$Q$53,MATCH(AA323,'لیست‌ها'!$P$3:$P$53,0))+IF(AB323&lt;=6,(AB323-1)*31+AC323,IF(AB323&lt;=11,186+(AB323-7)*30+AC323,336+AC323))-1,""))</f>
        <v/>
      </c>
      <c r="AE323" s="7" t="str">
        <f aca="false">IF(P323="","",VALUE(LEFT(P323,FIND("/",P323)-1)))</f>
        <v/>
      </c>
      <c r="AF323" s="7" t="str">
        <f aca="false">IF(P323="","",VALUE(MID(P323,FIND("/",P323)+1,FIND("/",P323,FIND("/",P323)+1)-FIND("/",P323)-1)))</f>
        <v/>
      </c>
      <c r="AG323" s="7" t="str">
        <f aca="false">IF(P323="","",VALUE(MID(P323,FIND("/",P323,FIND("/",P323)+1)+1,LEN(P323)-FIND("/",P323,FIND("/",P323)+1))))</f>
        <v/>
      </c>
      <c r="AH323" s="7" t="str">
        <f aca="false">IF(OR(P323="",AE323=""),"",IFERROR(INDEX('لیست‌ها'!$Q$3:$Q$53,MATCH(AE323,'لیست‌ها'!$P$3:$P$53,0))+IF(AF323&lt;=6,(AF323-1)*31+AG323,IF(AF323&lt;=11,186+(AF323-7)*30+AG323,336+AG323))-1,""))</f>
        <v/>
      </c>
      <c r="AI323" s="7" t="str">
        <f aca="false">IF(W323="","",W323&amp;"-"&amp;TEXT(X323,"00"))</f>
        <v/>
      </c>
      <c r="AJ323" s="7" t="str">
        <f aca="false">IF(W323="","",W323*12+X323)</f>
        <v/>
      </c>
      <c r="AK323" s="7" t="str">
        <f aca="false">IF(U323="تاخیر",V323+ROW()/100000,"")</f>
        <v/>
      </c>
    </row>
    <row r="324" customFormat="false" ht="15" hidden="false" customHeight="false" outlineLevel="0" collapsed="false">
      <c r="A324" s="7" t="str">
        <f aca="false">IF(B324="","",ROW()-3)</f>
        <v/>
      </c>
      <c r="B324" s="8"/>
      <c r="C324" s="8"/>
      <c r="D324" s="8"/>
      <c r="E324" s="9"/>
      <c r="F324" s="9"/>
      <c r="G324" s="8"/>
      <c r="H324" s="8"/>
      <c r="I324" s="8"/>
      <c r="J324" s="9"/>
      <c r="K324" s="8"/>
      <c r="L324" s="8"/>
      <c r="M324" s="8"/>
      <c r="N324" s="8"/>
      <c r="O324" s="8"/>
      <c r="P324" s="8"/>
      <c r="Q324" s="8"/>
      <c r="R324" s="9"/>
      <c r="S324" s="8"/>
      <c r="T324" s="9"/>
      <c r="U324" s="10" t="str">
        <f aca="true">IF(B324="","",IF(OR(P324&lt;&gt;"",I324="می‌باشد"),"بسته",IF(AND(L324&lt;&gt;"",W324=""),"خطای فرمت تاریخ ایجاد",IF(AND(H324&lt;&gt;"",AA324=""),"خطای فرمت مهلت",IF(AND(H324&lt;&gt;"",AD324&lt;&gt;"",TODAY()&gt;AD324),"تاخیر",IF(L324&lt;&gt;"","در حال انجام",""))))))</f>
        <v/>
      </c>
      <c r="V324" s="7" t="n">
        <f aca="true">IF(U324="تاخیر",TODAY()-AD324,IF(AND(U324="بسته",AH324&lt;&gt;"",AD324&lt;&gt;"",AH324&gt;AD324),AH324-AD324,0))</f>
        <v>0</v>
      </c>
      <c r="W324" s="7" t="str">
        <f aca="false">IF(L324="","",VALUE(LEFT(L324,FIND("/",L324)-1)))</f>
        <v/>
      </c>
      <c r="X324" s="7" t="str">
        <f aca="false">IF(L324="","",VALUE(MID(L324,FIND("/",L324)+1,FIND("/",L324,FIND("/",L324)+1)-FIND("/",L324)-1)))</f>
        <v/>
      </c>
      <c r="Y324" s="7" t="str">
        <f aca="false">IF(L324="","",VALUE(MID(L324,FIND("/",L324,FIND("/",L324)+1)+1,LEN(L324)-FIND("/",L324,FIND("/",L324)+1))))</f>
        <v/>
      </c>
      <c r="Z324" s="7" t="str">
        <f aca="false">IF(OR(L324="",W324=""),"",IFERROR(INDEX('لیست‌ها'!$Q$3:$Q$53,MATCH(W324,'لیست‌ها'!$P$3:$P$53,0))+IF(X324&lt;=6,(X324-1)*31+Y324,IF(X324&lt;=11,186+(X324-7)*30+Y324,336+Y324))-1,""))</f>
        <v/>
      </c>
      <c r="AA324" s="7" t="str">
        <f aca="false">IF(H324="","",VALUE(LEFT(H324,FIND("/",H324)-1)))</f>
        <v/>
      </c>
      <c r="AB324" s="7" t="str">
        <f aca="false">IF(H324="","",VALUE(MID(H324,FIND("/",H324)+1,FIND("/",H324,FIND("/",H324)+1)-FIND("/",H324)-1)))</f>
        <v/>
      </c>
      <c r="AC324" s="7" t="str">
        <f aca="false">IF(H324="","",VALUE(MID(H324,FIND("/",H324,FIND("/",H324)+1)+1,LEN(H324)-FIND("/",H324,FIND("/",H324)+1))))</f>
        <v/>
      </c>
      <c r="AD324" s="7" t="str">
        <f aca="false">IF(OR(H324="",AA324=""),"",IFERROR(INDEX('لیست‌ها'!$Q$3:$Q$53,MATCH(AA324,'لیست‌ها'!$P$3:$P$53,0))+IF(AB324&lt;=6,(AB324-1)*31+AC324,IF(AB324&lt;=11,186+(AB324-7)*30+AC324,336+AC324))-1,""))</f>
        <v/>
      </c>
      <c r="AE324" s="7" t="str">
        <f aca="false">IF(P324="","",VALUE(LEFT(P324,FIND("/",P324)-1)))</f>
        <v/>
      </c>
      <c r="AF324" s="7" t="str">
        <f aca="false">IF(P324="","",VALUE(MID(P324,FIND("/",P324)+1,FIND("/",P324,FIND("/",P324)+1)-FIND("/",P324)-1)))</f>
        <v/>
      </c>
      <c r="AG324" s="7" t="str">
        <f aca="false">IF(P324="","",VALUE(MID(P324,FIND("/",P324,FIND("/",P324)+1)+1,LEN(P324)-FIND("/",P324,FIND("/",P324)+1))))</f>
        <v/>
      </c>
      <c r="AH324" s="7" t="str">
        <f aca="false">IF(OR(P324="",AE324=""),"",IFERROR(INDEX('لیست‌ها'!$Q$3:$Q$53,MATCH(AE324,'لیست‌ها'!$P$3:$P$53,0))+IF(AF324&lt;=6,(AF324-1)*31+AG324,IF(AF324&lt;=11,186+(AF324-7)*30+AG324,336+AG324))-1,""))</f>
        <v/>
      </c>
      <c r="AI324" s="7" t="str">
        <f aca="false">IF(W324="","",W324&amp;"-"&amp;TEXT(X324,"00"))</f>
        <v/>
      </c>
      <c r="AJ324" s="7" t="str">
        <f aca="false">IF(W324="","",W324*12+X324)</f>
        <v/>
      </c>
      <c r="AK324" s="7" t="str">
        <f aca="false">IF(U324="تاخیر",V324+ROW()/100000,"")</f>
        <v/>
      </c>
    </row>
    <row r="325" customFormat="false" ht="15" hidden="false" customHeight="false" outlineLevel="0" collapsed="false">
      <c r="A325" s="7" t="str">
        <f aca="false">IF(B325="","",ROW()-3)</f>
        <v/>
      </c>
      <c r="B325" s="8"/>
      <c r="C325" s="8"/>
      <c r="D325" s="8"/>
      <c r="E325" s="9"/>
      <c r="F325" s="9"/>
      <c r="G325" s="8"/>
      <c r="H325" s="8"/>
      <c r="I325" s="8"/>
      <c r="J325" s="9"/>
      <c r="K325" s="8"/>
      <c r="L325" s="8"/>
      <c r="M325" s="8"/>
      <c r="N325" s="8"/>
      <c r="O325" s="8"/>
      <c r="P325" s="8"/>
      <c r="Q325" s="8"/>
      <c r="R325" s="9"/>
      <c r="S325" s="8"/>
      <c r="T325" s="9"/>
      <c r="U325" s="10" t="str">
        <f aca="true">IF(B325="","",IF(OR(P325&lt;&gt;"",I325="می‌باشد"),"بسته",IF(AND(L325&lt;&gt;"",W325=""),"خطای فرمت تاریخ ایجاد",IF(AND(H325&lt;&gt;"",AA325=""),"خطای فرمت مهلت",IF(AND(H325&lt;&gt;"",AD325&lt;&gt;"",TODAY()&gt;AD325),"تاخیر",IF(L325&lt;&gt;"","در حال انجام",""))))))</f>
        <v/>
      </c>
      <c r="V325" s="7" t="n">
        <f aca="true">IF(U325="تاخیر",TODAY()-AD325,IF(AND(U325="بسته",AH325&lt;&gt;"",AD325&lt;&gt;"",AH325&gt;AD325),AH325-AD325,0))</f>
        <v>0</v>
      </c>
      <c r="W325" s="7" t="str">
        <f aca="false">IF(L325="","",VALUE(LEFT(L325,FIND("/",L325)-1)))</f>
        <v/>
      </c>
      <c r="X325" s="7" t="str">
        <f aca="false">IF(L325="","",VALUE(MID(L325,FIND("/",L325)+1,FIND("/",L325,FIND("/",L325)+1)-FIND("/",L325)-1)))</f>
        <v/>
      </c>
      <c r="Y325" s="7" t="str">
        <f aca="false">IF(L325="","",VALUE(MID(L325,FIND("/",L325,FIND("/",L325)+1)+1,LEN(L325)-FIND("/",L325,FIND("/",L325)+1))))</f>
        <v/>
      </c>
      <c r="Z325" s="7" t="str">
        <f aca="false">IF(OR(L325="",W325=""),"",IFERROR(INDEX('لیست‌ها'!$Q$3:$Q$53,MATCH(W325,'لیست‌ها'!$P$3:$P$53,0))+IF(X325&lt;=6,(X325-1)*31+Y325,IF(X325&lt;=11,186+(X325-7)*30+Y325,336+Y325))-1,""))</f>
        <v/>
      </c>
      <c r="AA325" s="7" t="str">
        <f aca="false">IF(H325="","",VALUE(LEFT(H325,FIND("/",H325)-1)))</f>
        <v/>
      </c>
      <c r="AB325" s="7" t="str">
        <f aca="false">IF(H325="","",VALUE(MID(H325,FIND("/",H325)+1,FIND("/",H325,FIND("/",H325)+1)-FIND("/",H325)-1)))</f>
        <v/>
      </c>
      <c r="AC325" s="7" t="str">
        <f aca="false">IF(H325="","",VALUE(MID(H325,FIND("/",H325,FIND("/",H325)+1)+1,LEN(H325)-FIND("/",H325,FIND("/",H325)+1))))</f>
        <v/>
      </c>
      <c r="AD325" s="7" t="str">
        <f aca="false">IF(OR(H325="",AA325=""),"",IFERROR(INDEX('لیست‌ها'!$Q$3:$Q$53,MATCH(AA325,'لیست‌ها'!$P$3:$P$53,0))+IF(AB325&lt;=6,(AB325-1)*31+AC325,IF(AB325&lt;=11,186+(AB325-7)*30+AC325,336+AC325))-1,""))</f>
        <v/>
      </c>
      <c r="AE325" s="7" t="str">
        <f aca="false">IF(P325="","",VALUE(LEFT(P325,FIND("/",P325)-1)))</f>
        <v/>
      </c>
      <c r="AF325" s="7" t="str">
        <f aca="false">IF(P325="","",VALUE(MID(P325,FIND("/",P325)+1,FIND("/",P325,FIND("/",P325)+1)-FIND("/",P325)-1)))</f>
        <v/>
      </c>
      <c r="AG325" s="7" t="str">
        <f aca="false">IF(P325="","",VALUE(MID(P325,FIND("/",P325,FIND("/",P325)+1)+1,LEN(P325)-FIND("/",P325,FIND("/",P325)+1))))</f>
        <v/>
      </c>
      <c r="AH325" s="7" t="str">
        <f aca="false">IF(OR(P325="",AE325=""),"",IFERROR(INDEX('لیست‌ها'!$Q$3:$Q$53,MATCH(AE325,'لیست‌ها'!$P$3:$P$53,0))+IF(AF325&lt;=6,(AF325-1)*31+AG325,IF(AF325&lt;=11,186+(AF325-7)*30+AG325,336+AG325))-1,""))</f>
        <v/>
      </c>
      <c r="AI325" s="7" t="str">
        <f aca="false">IF(W325="","",W325&amp;"-"&amp;TEXT(X325,"00"))</f>
        <v/>
      </c>
      <c r="AJ325" s="7" t="str">
        <f aca="false">IF(W325="","",W325*12+X325)</f>
        <v/>
      </c>
      <c r="AK325" s="7" t="str">
        <f aca="false">IF(U325="تاخیر",V325+ROW()/100000,"")</f>
        <v/>
      </c>
    </row>
    <row r="326" customFormat="false" ht="15" hidden="false" customHeight="false" outlineLevel="0" collapsed="false">
      <c r="A326" s="7" t="str">
        <f aca="false">IF(B326="","",ROW()-3)</f>
        <v/>
      </c>
      <c r="B326" s="8"/>
      <c r="C326" s="8"/>
      <c r="D326" s="8"/>
      <c r="E326" s="9"/>
      <c r="F326" s="9"/>
      <c r="G326" s="8"/>
      <c r="H326" s="8"/>
      <c r="I326" s="8"/>
      <c r="J326" s="9"/>
      <c r="K326" s="8"/>
      <c r="L326" s="8"/>
      <c r="M326" s="8"/>
      <c r="N326" s="8"/>
      <c r="O326" s="8"/>
      <c r="P326" s="8"/>
      <c r="Q326" s="8"/>
      <c r="R326" s="9"/>
      <c r="S326" s="8"/>
      <c r="T326" s="9"/>
      <c r="U326" s="10" t="str">
        <f aca="true">IF(B326="","",IF(OR(P326&lt;&gt;"",I326="می‌باشد"),"بسته",IF(AND(L326&lt;&gt;"",W326=""),"خطای فرمت تاریخ ایجاد",IF(AND(H326&lt;&gt;"",AA326=""),"خطای فرمت مهلت",IF(AND(H326&lt;&gt;"",AD326&lt;&gt;"",TODAY()&gt;AD326),"تاخیر",IF(L326&lt;&gt;"","در حال انجام",""))))))</f>
        <v/>
      </c>
      <c r="V326" s="7" t="n">
        <f aca="true">IF(U326="تاخیر",TODAY()-AD326,IF(AND(U326="بسته",AH326&lt;&gt;"",AD326&lt;&gt;"",AH326&gt;AD326),AH326-AD326,0))</f>
        <v>0</v>
      </c>
      <c r="W326" s="7" t="str">
        <f aca="false">IF(L326="","",VALUE(LEFT(L326,FIND("/",L326)-1)))</f>
        <v/>
      </c>
      <c r="X326" s="7" t="str">
        <f aca="false">IF(L326="","",VALUE(MID(L326,FIND("/",L326)+1,FIND("/",L326,FIND("/",L326)+1)-FIND("/",L326)-1)))</f>
        <v/>
      </c>
      <c r="Y326" s="7" t="str">
        <f aca="false">IF(L326="","",VALUE(MID(L326,FIND("/",L326,FIND("/",L326)+1)+1,LEN(L326)-FIND("/",L326,FIND("/",L326)+1))))</f>
        <v/>
      </c>
      <c r="Z326" s="7" t="str">
        <f aca="false">IF(OR(L326="",W326=""),"",IFERROR(INDEX('لیست‌ها'!$Q$3:$Q$53,MATCH(W326,'لیست‌ها'!$P$3:$P$53,0))+IF(X326&lt;=6,(X326-1)*31+Y326,IF(X326&lt;=11,186+(X326-7)*30+Y326,336+Y326))-1,""))</f>
        <v/>
      </c>
      <c r="AA326" s="7" t="str">
        <f aca="false">IF(H326="","",VALUE(LEFT(H326,FIND("/",H326)-1)))</f>
        <v/>
      </c>
      <c r="AB326" s="7" t="str">
        <f aca="false">IF(H326="","",VALUE(MID(H326,FIND("/",H326)+1,FIND("/",H326,FIND("/",H326)+1)-FIND("/",H326)-1)))</f>
        <v/>
      </c>
      <c r="AC326" s="7" t="str">
        <f aca="false">IF(H326="","",VALUE(MID(H326,FIND("/",H326,FIND("/",H326)+1)+1,LEN(H326)-FIND("/",H326,FIND("/",H326)+1))))</f>
        <v/>
      </c>
      <c r="AD326" s="7" t="str">
        <f aca="false">IF(OR(H326="",AA326=""),"",IFERROR(INDEX('لیست‌ها'!$Q$3:$Q$53,MATCH(AA326,'لیست‌ها'!$P$3:$P$53,0))+IF(AB326&lt;=6,(AB326-1)*31+AC326,IF(AB326&lt;=11,186+(AB326-7)*30+AC326,336+AC326))-1,""))</f>
        <v/>
      </c>
      <c r="AE326" s="7" t="str">
        <f aca="false">IF(P326="","",VALUE(LEFT(P326,FIND("/",P326)-1)))</f>
        <v/>
      </c>
      <c r="AF326" s="7" t="str">
        <f aca="false">IF(P326="","",VALUE(MID(P326,FIND("/",P326)+1,FIND("/",P326,FIND("/",P326)+1)-FIND("/",P326)-1)))</f>
        <v/>
      </c>
      <c r="AG326" s="7" t="str">
        <f aca="false">IF(P326="","",VALUE(MID(P326,FIND("/",P326,FIND("/",P326)+1)+1,LEN(P326)-FIND("/",P326,FIND("/",P326)+1))))</f>
        <v/>
      </c>
      <c r="AH326" s="7" t="str">
        <f aca="false">IF(OR(P326="",AE326=""),"",IFERROR(INDEX('لیست‌ها'!$Q$3:$Q$53,MATCH(AE326,'لیست‌ها'!$P$3:$P$53,0))+IF(AF326&lt;=6,(AF326-1)*31+AG326,IF(AF326&lt;=11,186+(AF326-7)*30+AG326,336+AG326))-1,""))</f>
        <v/>
      </c>
      <c r="AI326" s="7" t="str">
        <f aca="false">IF(W326="","",W326&amp;"-"&amp;TEXT(X326,"00"))</f>
        <v/>
      </c>
      <c r="AJ326" s="7" t="str">
        <f aca="false">IF(W326="","",W326*12+X326)</f>
        <v/>
      </c>
      <c r="AK326" s="7" t="str">
        <f aca="false">IF(U326="تاخیر",V326+ROW()/100000,"")</f>
        <v/>
      </c>
    </row>
    <row r="327" customFormat="false" ht="15" hidden="false" customHeight="false" outlineLevel="0" collapsed="false">
      <c r="A327" s="7" t="str">
        <f aca="false">IF(B327="","",ROW()-3)</f>
        <v/>
      </c>
      <c r="B327" s="8"/>
      <c r="C327" s="8"/>
      <c r="D327" s="8"/>
      <c r="E327" s="9"/>
      <c r="F327" s="9"/>
      <c r="G327" s="8"/>
      <c r="H327" s="8"/>
      <c r="I327" s="8"/>
      <c r="J327" s="9"/>
      <c r="K327" s="8"/>
      <c r="L327" s="8"/>
      <c r="M327" s="8"/>
      <c r="N327" s="8"/>
      <c r="O327" s="8"/>
      <c r="P327" s="8"/>
      <c r="Q327" s="8"/>
      <c r="R327" s="9"/>
      <c r="S327" s="8"/>
      <c r="T327" s="9"/>
      <c r="U327" s="10" t="str">
        <f aca="true">IF(B327="","",IF(OR(P327&lt;&gt;"",I327="می‌باشد"),"بسته",IF(AND(L327&lt;&gt;"",W327=""),"خطای فرمت تاریخ ایجاد",IF(AND(H327&lt;&gt;"",AA327=""),"خطای فرمت مهلت",IF(AND(H327&lt;&gt;"",AD327&lt;&gt;"",TODAY()&gt;AD327),"تاخیر",IF(L327&lt;&gt;"","در حال انجام",""))))))</f>
        <v/>
      </c>
      <c r="V327" s="7" t="n">
        <f aca="true">IF(U327="تاخیر",TODAY()-AD327,IF(AND(U327="بسته",AH327&lt;&gt;"",AD327&lt;&gt;"",AH327&gt;AD327),AH327-AD327,0))</f>
        <v>0</v>
      </c>
      <c r="W327" s="7" t="str">
        <f aca="false">IF(L327="","",VALUE(LEFT(L327,FIND("/",L327)-1)))</f>
        <v/>
      </c>
      <c r="X327" s="7" t="str">
        <f aca="false">IF(L327="","",VALUE(MID(L327,FIND("/",L327)+1,FIND("/",L327,FIND("/",L327)+1)-FIND("/",L327)-1)))</f>
        <v/>
      </c>
      <c r="Y327" s="7" t="str">
        <f aca="false">IF(L327="","",VALUE(MID(L327,FIND("/",L327,FIND("/",L327)+1)+1,LEN(L327)-FIND("/",L327,FIND("/",L327)+1))))</f>
        <v/>
      </c>
      <c r="Z327" s="7" t="str">
        <f aca="false">IF(OR(L327="",W327=""),"",IFERROR(INDEX('لیست‌ها'!$Q$3:$Q$53,MATCH(W327,'لیست‌ها'!$P$3:$P$53,0))+IF(X327&lt;=6,(X327-1)*31+Y327,IF(X327&lt;=11,186+(X327-7)*30+Y327,336+Y327))-1,""))</f>
        <v/>
      </c>
      <c r="AA327" s="7" t="str">
        <f aca="false">IF(H327="","",VALUE(LEFT(H327,FIND("/",H327)-1)))</f>
        <v/>
      </c>
      <c r="AB327" s="7" t="str">
        <f aca="false">IF(H327="","",VALUE(MID(H327,FIND("/",H327)+1,FIND("/",H327,FIND("/",H327)+1)-FIND("/",H327)-1)))</f>
        <v/>
      </c>
      <c r="AC327" s="7" t="str">
        <f aca="false">IF(H327="","",VALUE(MID(H327,FIND("/",H327,FIND("/",H327)+1)+1,LEN(H327)-FIND("/",H327,FIND("/",H327)+1))))</f>
        <v/>
      </c>
      <c r="AD327" s="7" t="str">
        <f aca="false">IF(OR(H327="",AA327=""),"",IFERROR(INDEX('لیست‌ها'!$Q$3:$Q$53,MATCH(AA327,'لیست‌ها'!$P$3:$P$53,0))+IF(AB327&lt;=6,(AB327-1)*31+AC327,IF(AB327&lt;=11,186+(AB327-7)*30+AC327,336+AC327))-1,""))</f>
        <v/>
      </c>
      <c r="AE327" s="7" t="str">
        <f aca="false">IF(P327="","",VALUE(LEFT(P327,FIND("/",P327)-1)))</f>
        <v/>
      </c>
      <c r="AF327" s="7" t="str">
        <f aca="false">IF(P327="","",VALUE(MID(P327,FIND("/",P327)+1,FIND("/",P327,FIND("/",P327)+1)-FIND("/",P327)-1)))</f>
        <v/>
      </c>
      <c r="AG327" s="7" t="str">
        <f aca="false">IF(P327="","",VALUE(MID(P327,FIND("/",P327,FIND("/",P327)+1)+1,LEN(P327)-FIND("/",P327,FIND("/",P327)+1))))</f>
        <v/>
      </c>
      <c r="AH327" s="7" t="str">
        <f aca="false">IF(OR(P327="",AE327=""),"",IFERROR(INDEX('لیست‌ها'!$Q$3:$Q$53,MATCH(AE327,'لیست‌ها'!$P$3:$P$53,0))+IF(AF327&lt;=6,(AF327-1)*31+AG327,IF(AF327&lt;=11,186+(AF327-7)*30+AG327,336+AG327))-1,""))</f>
        <v/>
      </c>
      <c r="AI327" s="7" t="str">
        <f aca="false">IF(W327="","",W327&amp;"-"&amp;TEXT(X327,"00"))</f>
        <v/>
      </c>
      <c r="AJ327" s="7" t="str">
        <f aca="false">IF(W327="","",W327*12+X327)</f>
        <v/>
      </c>
      <c r="AK327" s="7" t="str">
        <f aca="false">IF(U327="تاخیر",V327+ROW()/100000,"")</f>
        <v/>
      </c>
    </row>
    <row r="328" customFormat="false" ht="15" hidden="false" customHeight="false" outlineLevel="0" collapsed="false">
      <c r="A328" s="7" t="str">
        <f aca="false">IF(B328="","",ROW()-3)</f>
        <v/>
      </c>
      <c r="B328" s="8"/>
      <c r="C328" s="8"/>
      <c r="D328" s="8"/>
      <c r="E328" s="9"/>
      <c r="F328" s="9"/>
      <c r="G328" s="8"/>
      <c r="H328" s="8"/>
      <c r="I328" s="8"/>
      <c r="J328" s="9"/>
      <c r="K328" s="8"/>
      <c r="L328" s="8"/>
      <c r="M328" s="8"/>
      <c r="N328" s="8"/>
      <c r="O328" s="8"/>
      <c r="P328" s="8"/>
      <c r="Q328" s="8"/>
      <c r="R328" s="9"/>
      <c r="S328" s="8"/>
      <c r="T328" s="9"/>
      <c r="U328" s="10" t="str">
        <f aca="true">IF(B328="","",IF(OR(P328&lt;&gt;"",I328="می‌باشد"),"بسته",IF(AND(L328&lt;&gt;"",W328=""),"خطای فرمت تاریخ ایجاد",IF(AND(H328&lt;&gt;"",AA328=""),"خطای فرمت مهلت",IF(AND(H328&lt;&gt;"",AD328&lt;&gt;"",TODAY()&gt;AD328),"تاخیر",IF(L328&lt;&gt;"","در حال انجام",""))))))</f>
        <v/>
      </c>
      <c r="V328" s="7" t="n">
        <f aca="true">IF(U328="تاخیر",TODAY()-AD328,IF(AND(U328="بسته",AH328&lt;&gt;"",AD328&lt;&gt;"",AH328&gt;AD328),AH328-AD328,0))</f>
        <v>0</v>
      </c>
      <c r="W328" s="7" t="str">
        <f aca="false">IF(L328="","",VALUE(LEFT(L328,FIND("/",L328)-1)))</f>
        <v/>
      </c>
      <c r="X328" s="7" t="str">
        <f aca="false">IF(L328="","",VALUE(MID(L328,FIND("/",L328)+1,FIND("/",L328,FIND("/",L328)+1)-FIND("/",L328)-1)))</f>
        <v/>
      </c>
      <c r="Y328" s="7" t="str">
        <f aca="false">IF(L328="","",VALUE(MID(L328,FIND("/",L328,FIND("/",L328)+1)+1,LEN(L328)-FIND("/",L328,FIND("/",L328)+1))))</f>
        <v/>
      </c>
      <c r="Z328" s="7" t="str">
        <f aca="false">IF(OR(L328="",W328=""),"",IFERROR(INDEX('لیست‌ها'!$Q$3:$Q$53,MATCH(W328,'لیست‌ها'!$P$3:$P$53,0))+IF(X328&lt;=6,(X328-1)*31+Y328,IF(X328&lt;=11,186+(X328-7)*30+Y328,336+Y328))-1,""))</f>
        <v/>
      </c>
      <c r="AA328" s="7" t="str">
        <f aca="false">IF(H328="","",VALUE(LEFT(H328,FIND("/",H328)-1)))</f>
        <v/>
      </c>
      <c r="AB328" s="7" t="str">
        <f aca="false">IF(H328="","",VALUE(MID(H328,FIND("/",H328)+1,FIND("/",H328,FIND("/",H328)+1)-FIND("/",H328)-1)))</f>
        <v/>
      </c>
      <c r="AC328" s="7" t="str">
        <f aca="false">IF(H328="","",VALUE(MID(H328,FIND("/",H328,FIND("/",H328)+1)+1,LEN(H328)-FIND("/",H328,FIND("/",H328)+1))))</f>
        <v/>
      </c>
      <c r="AD328" s="7" t="str">
        <f aca="false">IF(OR(H328="",AA328=""),"",IFERROR(INDEX('لیست‌ها'!$Q$3:$Q$53,MATCH(AA328,'لیست‌ها'!$P$3:$P$53,0))+IF(AB328&lt;=6,(AB328-1)*31+AC328,IF(AB328&lt;=11,186+(AB328-7)*30+AC328,336+AC328))-1,""))</f>
        <v/>
      </c>
      <c r="AE328" s="7" t="str">
        <f aca="false">IF(P328="","",VALUE(LEFT(P328,FIND("/",P328)-1)))</f>
        <v/>
      </c>
      <c r="AF328" s="7" t="str">
        <f aca="false">IF(P328="","",VALUE(MID(P328,FIND("/",P328)+1,FIND("/",P328,FIND("/",P328)+1)-FIND("/",P328)-1)))</f>
        <v/>
      </c>
      <c r="AG328" s="7" t="str">
        <f aca="false">IF(P328="","",VALUE(MID(P328,FIND("/",P328,FIND("/",P328)+1)+1,LEN(P328)-FIND("/",P328,FIND("/",P328)+1))))</f>
        <v/>
      </c>
      <c r="AH328" s="7" t="str">
        <f aca="false">IF(OR(P328="",AE328=""),"",IFERROR(INDEX('لیست‌ها'!$Q$3:$Q$53,MATCH(AE328,'لیست‌ها'!$P$3:$P$53,0))+IF(AF328&lt;=6,(AF328-1)*31+AG328,IF(AF328&lt;=11,186+(AF328-7)*30+AG328,336+AG328))-1,""))</f>
        <v/>
      </c>
      <c r="AI328" s="7" t="str">
        <f aca="false">IF(W328="","",W328&amp;"-"&amp;TEXT(X328,"00"))</f>
        <v/>
      </c>
      <c r="AJ328" s="7" t="str">
        <f aca="false">IF(W328="","",W328*12+X328)</f>
        <v/>
      </c>
      <c r="AK328" s="7" t="str">
        <f aca="false">IF(U328="تاخیر",V328+ROW()/100000,"")</f>
        <v/>
      </c>
    </row>
    <row r="329" customFormat="false" ht="15" hidden="false" customHeight="false" outlineLevel="0" collapsed="false">
      <c r="A329" s="7" t="str">
        <f aca="false">IF(B329="","",ROW()-3)</f>
        <v/>
      </c>
      <c r="B329" s="8"/>
      <c r="C329" s="8"/>
      <c r="D329" s="8"/>
      <c r="E329" s="9"/>
      <c r="F329" s="9"/>
      <c r="G329" s="8"/>
      <c r="H329" s="8"/>
      <c r="I329" s="8"/>
      <c r="J329" s="9"/>
      <c r="K329" s="8"/>
      <c r="L329" s="8"/>
      <c r="M329" s="8"/>
      <c r="N329" s="8"/>
      <c r="O329" s="8"/>
      <c r="P329" s="8"/>
      <c r="Q329" s="8"/>
      <c r="R329" s="9"/>
      <c r="S329" s="8"/>
      <c r="T329" s="9"/>
      <c r="U329" s="10" t="str">
        <f aca="true">IF(B329="","",IF(OR(P329&lt;&gt;"",I329="می‌باشد"),"بسته",IF(AND(L329&lt;&gt;"",W329=""),"خطای فرمت تاریخ ایجاد",IF(AND(H329&lt;&gt;"",AA329=""),"خطای فرمت مهلت",IF(AND(H329&lt;&gt;"",AD329&lt;&gt;"",TODAY()&gt;AD329),"تاخیر",IF(L329&lt;&gt;"","در حال انجام",""))))))</f>
        <v/>
      </c>
      <c r="V329" s="7" t="n">
        <f aca="true">IF(U329="تاخیر",TODAY()-AD329,IF(AND(U329="بسته",AH329&lt;&gt;"",AD329&lt;&gt;"",AH329&gt;AD329),AH329-AD329,0))</f>
        <v>0</v>
      </c>
      <c r="W329" s="7" t="str">
        <f aca="false">IF(L329="","",VALUE(LEFT(L329,FIND("/",L329)-1)))</f>
        <v/>
      </c>
      <c r="X329" s="7" t="str">
        <f aca="false">IF(L329="","",VALUE(MID(L329,FIND("/",L329)+1,FIND("/",L329,FIND("/",L329)+1)-FIND("/",L329)-1)))</f>
        <v/>
      </c>
      <c r="Y329" s="7" t="str">
        <f aca="false">IF(L329="","",VALUE(MID(L329,FIND("/",L329,FIND("/",L329)+1)+1,LEN(L329)-FIND("/",L329,FIND("/",L329)+1))))</f>
        <v/>
      </c>
      <c r="Z329" s="7" t="str">
        <f aca="false">IF(OR(L329="",W329=""),"",IFERROR(INDEX('لیست‌ها'!$Q$3:$Q$53,MATCH(W329,'لیست‌ها'!$P$3:$P$53,0))+IF(X329&lt;=6,(X329-1)*31+Y329,IF(X329&lt;=11,186+(X329-7)*30+Y329,336+Y329))-1,""))</f>
        <v/>
      </c>
      <c r="AA329" s="7" t="str">
        <f aca="false">IF(H329="","",VALUE(LEFT(H329,FIND("/",H329)-1)))</f>
        <v/>
      </c>
      <c r="AB329" s="7" t="str">
        <f aca="false">IF(H329="","",VALUE(MID(H329,FIND("/",H329)+1,FIND("/",H329,FIND("/",H329)+1)-FIND("/",H329)-1)))</f>
        <v/>
      </c>
      <c r="AC329" s="7" t="str">
        <f aca="false">IF(H329="","",VALUE(MID(H329,FIND("/",H329,FIND("/",H329)+1)+1,LEN(H329)-FIND("/",H329,FIND("/",H329)+1))))</f>
        <v/>
      </c>
      <c r="AD329" s="7" t="str">
        <f aca="false">IF(OR(H329="",AA329=""),"",IFERROR(INDEX('لیست‌ها'!$Q$3:$Q$53,MATCH(AA329,'لیست‌ها'!$P$3:$P$53,0))+IF(AB329&lt;=6,(AB329-1)*31+AC329,IF(AB329&lt;=11,186+(AB329-7)*30+AC329,336+AC329))-1,""))</f>
        <v/>
      </c>
      <c r="AE329" s="7" t="str">
        <f aca="false">IF(P329="","",VALUE(LEFT(P329,FIND("/",P329)-1)))</f>
        <v/>
      </c>
      <c r="AF329" s="7" t="str">
        <f aca="false">IF(P329="","",VALUE(MID(P329,FIND("/",P329)+1,FIND("/",P329,FIND("/",P329)+1)-FIND("/",P329)-1)))</f>
        <v/>
      </c>
      <c r="AG329" s="7" t="str">
        <f aca="false">IF(P329="","",VALUE(MID(P329,FIND("/",P329,FIND("/",P329)+1)+1,LEN(P329)-FIND("/",P329,FIND("/",P329)+1))))</f>
        <v/>
      </c>
      <c r="AH329" s="7" t="str">
        <f aca="false">IF(OR(P329="",AE329=""),"",IFERROR(INDEX('لیست‌ها'!$Q$3:$Q$53,MATCH(AE329,'لیست‌ها'!$P$3:$P$53,0))+IF(AF329&lt;=6,(AF329-1)*31+AG329,IF(AF329&lt;=11,186+(AF329-7)*30+AG329,336+AG329))-1,""))</f>
        <v/>
      </c>
      <c r="AI329" s="7" t="str">
        <f aca="false">IF(W329="","",W329&amp;"-"&amp;TEXT(X329,"00"))</f>
        <v/>
      </c>
      <c r="AJ329" s="7" t="str">
        <f aca="false">IF(W329="","",W329*12+X329)</f>
        <v/>
      </c>
      <c r="AK329" s="7" t="str">
        <f aca="false">IF(U329="تاخیر",V329+ROW()/100000,"")</f>
        <v/>
      </c>
    </row>
    <row r="330" customFormat="false" ht="15" hidden="false" customHeight="false" outlineLevel="0" collapsed="false">
      <c r="A330" s="7" t="str">
        <f aca="false">IF(B330="","",ROW()-3)</f>
        <v/>
      </c>
      <c r="B330" s="8"/>
      <c r="C330" s="8"/>
      <c r="D330" s="8"/>
      <c r="E330" s="9"/>
      <c r="F330" s="9"/>
      <c r="G330" s="8"/>
      <c r="H330" s="8"/>
      <c r="I330" s="8"/>
      <c r="J330" s="9"/>
      <c r="K330" s="8"/>
      <c r="L330" s="8"/>
      <c r="M330" s="8"/>
      <c r="N330" s="8"/>
      <c r="O330" s="8"/>
      <c r="P330" s="8"/>
      <c r="Q330" s="8"/>
      <c r="R330" s="9"/>
      <c r="S330" s="8"/>
      <c r="T330" s="9"/>
      <c r="U330" s="10" t="str">
        <f aca="true">IF(B330="","",IF(OR(P330&lt;&gt;"",I330="می‌باشد"),"بسته",IF(AND(L330&lt;&gt;"",W330=""),"خطای فرمت تاریخ ایجاد",IF(AND(H330&lt;&gt;"",AA330=""),"خطای فرمت مهلت",IF(AND(H330&lt;&gt;"",AD330&lt;&gt;"",TODAY()&gt;AD330),"تاخیر",IF(L330&lt;&gt;"","در حال انجام",""))))))</f>
        <v/>
      </c>
      <c r="V330" s="7" t="n">
        <f aca="true">IF(U330="تاخیر",TODAY()-AD330,IF(AND(U330="بسته",AH330&lt;&gt;"",AD330&lt;&gt;"",AH330&gt;AD330),AH330-AD330,0))</f>
        <v>0</v>
      </c>
      <c r="W330" s="7" t="str">
        <f aca="false">IF(L330="","",VALUE(LEFT(L330,FIND("/",L330)-1)))</f>
        <v/>
      </c>
      <c r="X330" s="7" t="str">
        <f aca="false">IF(L330="","",VALUE(MID(L330,FIND("/",L330)+1,FIND("/",L330,FIND("/",L330)+1)-FIND("/",L330)-1)))</f>
        <v/>
      </c>
      <c r="Y330" s="7" t="str">
        <f aca="false">IF(L330="","",VALUE(MID(L330,FIND("/",L330,FIND("/",L330)+1)+1,LEN(L330)-FIND("/",L330,FIND("/",L330)+1))))</f>
        <v/>
      </c>
      <c r="Z330" s="7" t="str">
        <f aca="false">IF(OR(L330="",W330=""),"",IFERROR(INDEX('لیست‌ها'!$Q$3:$Q$53,MATCH(W330,'لیست‌ها'!$P$3:$P$53,0))+IF(X330&lt;=6,(X330-1)*31+Y330,IF(X330&lt;=11,186+(X330-7)*30+Y330,336+Y330))-1,""))</f>
        <v/>
      </c>
      <c r="AA330" s="7" t="str">
        <f aca="false">IF(H330="","",VALUE(LEFT(H330,FIND("/",H330)-1)))</f>
        <v/>
      </c>
      <c r="AB330" s="7" t="str">
        <f aca="false">IF(H330="","",VALUE(MID(H330,FIND("/",H330)+1,FIND("/",H330,FIND("/",H330)+1)-FIND("/",H330)-1)))</f>
        <v/>
      </c>
      <c r="AC330" s="7" t="str">
        <f aca="false">IF(H330="","",VALUE(MID(H330,FIND("/",H330,FIND("/",H330)+1)+1,LEN(H330)-FIND("/",H330,FIND("/",H330)+1))))</f>
        <v/>
      </c>
      <c r="AD330" s="7" t="str">
        <f aca="false">IF(OR(H330="",AA330=""),"",IFERROR(INDEX('لیست‌ها'!$Q$3:$Q$53,MATCH(AA330,'لیست‌ها'!$P$3:$P$53,0))+IF(AB330&lt;=6,(AB330-1)*31+AC330,IF(AB330&lt;=11,186+(AB330-7)*30+AC330,336+AC330))-1,""))</f>
        <v/>
      </c>
      <c r="AE330" s="7" t="str">
        <f aca="false">IF(P330="","",VALUE(LEFT(P330,FIND("/",P330)-1)))</f>
        <v/>
      </c>
      <c r="AF330" s="7" t="str">
        <f aca="false">IF(P330="","",VALUE(MID(P330,FIND("/",P330)+1,FIND("/",P330,FIND("/",P330)+1)-FIND("/",P330)-1)))</f>
        <v/>
      </c>
      <c r="AG330" s="7" t="str">
        <f aca="false">IF(P330="","",VALUE(MID(P330,FIND("/",P330,FIND("/",P330)+1)+1,LEN(P330)-FIND("/",P330,FIND("/",P330)+1))))</f>
        <v/>
      </c>
      <c r="AH330" s="7" t="str">
        <f aca="false">IF(OR(P330="",AE330=""),"",IFERROR(INDEX('لیست‌ها'!$Q$3:$Q$53,MATCH(AE330,'لیست‌ها'!$P$3:$P$53,0))+IF(AF330&lt;=6,(AF330-1)*31+AG330,IF(AF330&lt;=11,186+(AF330-7)*30+AG330,336+AG330))-1,""))</f>
        <v/>
      </c>
      <c r="AI330" s="7" t="str">
        <f aca="false">IF(W330="","",W330&amp;"-"&amp;TEXT(X330,"00"))</f>
        <v/>
      </c>
      <c r="AJ330" s="7" t="str">
        <f aca="false">IF(W330="","",W330*12+X330)</f>
        <v/>
      </c>
      <c r="AK330" s="7" t="str">
        <f aca="false">IF(U330="تاخیر",V330+ROW()/100000,"")</f>
        <v/>
      </c>
    </row>
    <row r="331" customFormat="false" ht="15" hidden="false" customHeight="false" outlineLevel="0" collapsed="false">
      <c r="A331" s="7" t="str">
        <f aca="false">IF(B331="","",ROW()-3)</f>
        <v/>
      </c>
      <c r="B331" s="8"/>
      <c r="C331" s="8"/>
      <c r="D331" s="8"/>
      <c r="E331" s="9"/>
      <c r="F331" s="9"/>
      <c r="G331" s="8"/>
      <c r="H331" s="8"/>
      <c r="I331" s="8"/>
      <c r="J331" s="9"/>
      <c r="K331" s="8"/>
      <c r="L331" s="8"/>
      <c r="M331" s="8"/>
      <c r="N331" s="8"/>
      <c r="O331" s="8"/>
      <c r="P331" s="8"/>
      <c r="Q331" s="8"/>
      <c r="R331" s="9"/>
      <c r="S331" s="8"/>
      <c r="T331" s="9"/>
      <c r="U331" s="10" t="str">
        <f aca="true">IF(B331="","",IF(OR(P331&lt;&gt;"",I331="می‌باشد"),"بسته",IF(AND(L331&lt;&gt;"",W331=""),"خطای فرمت تاریخ ایجاد",IF(AND(H331&lt;&gt;"",AA331=""),"خطای فرمت مهلت",IF(AND(H331&lt;&gt;"",AD331&lt;&gt;"",TODAY()&gt;AD331),"تاخیر",IF(L331&lt;&gt;"","در حال انجام",""))))))</f>
        <v/>
      </c>
      <c r="V331" s="7" t="n">
        <f aca="true">IF(U331="تاخیر",TODAY()-AD331,IF(AND(U331="بسته",AH331&lt;&gt;"",AD331&lt;&gt;"",AH331&gt;AD331),AH331-AD331,0))</f>
        <v>0</v>
      </c>
      <c r="W331" s="7" t="str">
        <f aca="false">IF(L331="","",VALUE(LEFT(L331,FIND("/",L331)-1)))</f>
        <v/>
      </c>
      <c r="X331" s="7" t="str">
        <f aca="false">IF(L331="","",VALUE(MID(L331,FIND("/",L331)+1,FIND("/",L331,FIND("/",L331)+1)-FIND("/",L331)-1)))</f>
        <v/>
      </c>
      <c r="Y331" s="7" t="str">
        <f aca="false">IF(L331="","",VALUE(MID(L331,FIND("/",L331,FIND("/",L331)+1)+1,LEN(L331)-FIND("/",L331,FIND("/",L331)+1))))</f>
        <v/>
      </c>
      <c r="Z331" s="7" t="str">
        <f aca="false">IF(OR(L331="",W331=""),"",IFERROR(INDEX('لیست‌ها'!$Q$3:$Q$53,MATCH(W331,'لیست‌ها'!$P$3:$P$53,0))+IF(X331&lt;=6,(X331-1)*31+Y331,IF(X331&lt;=11,186+(X331-7)*30+Y331,336+Y331))-1,""))</f>
        <v/>
      </c>
      <c r="AA331" s="7" t="str">
        <f aca="false">IF(H331="","",VALUE(LEFT(H331,FIND("/",H331)-1)))</f>
        <v/>
      </c>
      <c r="AB331" s="7" t="str">
        <f aca="false">IF(H331="","",VALUE(MID(H331,FIND("/",H331)+1,FIND("/",H331,FIND("/",H331)+1)-FIND("/",H331)-1)))</f>
        <v/>
      </c>
      <c r="AC331" s="7" t="str">
        <f aca="false">IF(H331="","",VALUE(MID(H331,FIND("/",H331,FIND("/",H331)+1)+1,LEN(H331)-FIND("/",H331,FIND("/",H331)+1))))</f>
        <v/>
      </c>
      <c r="AD331" s="7" t="str">
        <f aca="false">IF(OR(H331="",AA331=""),"",IFERROR(INDEX('لیست‌ها'!$Q$3:$Q$53,MATCH(AA331,'لیست‌ها'!$P$3:$P$53,0))+IF(AB331&lt;=6,(AB331-1)*31+AC331,IF(AB331&lt;=11,186+(AB331-7)*30+AC331,336+AC331))-1,""))</f>
        <v/>
      </c>
      <c r="AE331" s="7" t="str">
        <f aca="false">IF(P331="","",VALUE(LEFT(P331,FIND("/",P331)-1)))</f>
        <v/>
      </c>
      <c r="AF331" s="7" t="str">
        <f aca="false">IF(P331="","",VALUE(MID(P331,FIND("/",P331)+1,FIND("/",P331,FIND("/",P331)+1)-FIND("/",P331)-1)))</f>
        <v/>
      </c>
      <c r="AG331" s="7" t="str">
        <f aca="false">IF(P331="","",VALUE(MID(P331,FIND("/",P331,FIND("/",P331)+1)+1,LEN(P331)-FIND("/",P331,FIND("/",P331)+1))))</f>
        <v/>
      </c>
      <c r="AH331" s="7" t="str">
        <f aca="false">IF(OR(P331="",AE331=""),"",IFERROR(INDEX('لیست‌ها'!$Q$3:$Q$53,MATCH(AE331,'لیست‌ها'!$P$3:$P$53,0))+IF(AF331&lt;=6,(AF331-1)*31+AG331,IF(AF331&lt;=11,186+(AF331-7)*30+AG331,336+AG331))-1,""))</f>
        <v/>
      </c>
      <c r="AI331" s="7" t="str">
        <f aca="false">IF(W331="","",W331&amp;"-"&amp;TEXT(X331,"00"))</f>
        <v/>
      </c>
      <c r="AJ331" s="7" t="str">
        <f aca="false">IF(W331="","",W331*12+X331)</f>
        <v/>
      </c>
      <c r="AK331" s="7" t="str">
        <f aca="false">IF(U331="تاخیر",V331+ROW()/100000,"")</f>
        <v/>
      </c>
    </row>
    <row r="332" customFormat="false" ht="15" hidden="false" customHeight="false" outlineLevel="0" collapsed="false">
      <c r="A332" s="7" t="str">
        <f aca="false">IF(B332="","",ROW()-3)</f>
        <v/>
      </c>
      <c r="B332" s="8"/>
      <c r="C332" s="8"/>
      <c r="D332" s="8"/>
      <c r="E332" s="9"/>
      <c r="F332" s="9"/>
      <c r="G332" s="8"/>
      <c r="H332" s="8"/>
      <c r="I332" s="8"/>
      <c r="J332" s="9"/>
      <c r="K332" s="8"/>
      <c r="L332" s="8"/>
      <c r="M332" s="8"/>
      <c r="N332" s="8"/>
      <c r="O332" s="8"/>
      <c r="P332" s="8"/>
      <c r="Q332" s="8"/>
      <c r="R332" s="9"/>
      <c r="S332" s="8"/>
      <c r="T332" s="9"/>
      <c r="U332" s="10" t="str">
        <f aca="true">IF(B332="","",IF(OR(P332&lt;&gt;"",I332="می‌باشد"),"بسته",IF(AND(L332&lt;&gt;"",W332=""),"خطای فرمت تاریخ ایجاد",IF(AND(H332&lt;&gt;"",AA332=""),"خطای فرمت مهلت",IF(AND(H332&lt;&gt;"",AD332&lt;&gt;"",TODAY()&gt;AD332),"تاخیر",IF(L332&lt;&gt;"","در حال انجام",""))))))</f>
        <v/>
      </c>
      <c r="V332" s="7" t="n">
        <f aca="true">IF(U332="تاخیر",TODAY()-AD332,IF(AND(U332="بسته",AH332&lt;&gt;"",AD332&lt;&gt;"",AH332&gt;AD332),AH332-AD332,0))</f>
        <v>0</v>
      </c>
      <c r="W332" s="7" t="str">
        <f aca="false">IF(L332="","",VALUE(LEFT(L332,FIND("/",L332)-1)))</f>
        <v/>
      </c>
      <c r="X332" s="7" t="str">
        <f aca="false">IF(L332="","",VALUE(MID(L332,FIND("/",L332)+1,FIND("/",L332,FIND("/",L332)+1)-FIND("/",L332)-1)))</f>
        <v/>
      </c>
      <c r="Y332" s="7" t="str">
        <f aca="false">IF(L332="","",VALUE(MID(L332,FIND("/",L332,FIND("/",L332)+1)+1,LEN(L332)-FIND("/",L332,FIND("/",L332)+1))))</f>
        <v/>
      </c>
      <c r="Z332" s="7" t="str">
        <f aca="false">IF(OR(L332="",W332=""),"",IFERROR(INDEX('لیست‌ها'!$Q$3:$Q$53,MATCH(W332,'لیست‌ها'!$P$3:$P$53,0))+IF(X332&lt;=6,(X332-1)*31+Y332,IF(X332&lt;=11,186+(X332-7)*30+Y332,336+Y332))-1,""))</f>
        <v/>
      </c>
      <c r="AA332" s="7" t="str">
        <f aca="false">IF(H332="","",VALUE(LEFT(H332,FIND("/",H332)-1)))</f>
        <v/>
      </c>
      <c r="AB332" s="7" t="str">
        <f aca="false">IF(H332="","",VALUE(MID(H332,FIND("/",H332)+1,FIND("/",H332,FIND("/",H332)+1)-FIND("/",H332)-1)))</f>
        <v/>
      </c>
      <c r="AC332" s="7" t="str">
        <f aca="false">IF(H332="","",VALUE(MID(H332,FIND("/",H332,FIND("/",H332)+1)+1,LEN(H332)-FIND("/",H332,FIND("/",H332)+1))))</f>
        <v/>
      </c>
      <c r="AD332" s="7" t="str">
        <f aca="false">IF(OR(H332="",AA332=""),"",IFERROR(INDEX('لیست‌ها'!$Q$3:$Q$53,MATCH(AA332,'لیست‌ها'!$P$3:$P$53,0))+IF(AB332&lt;=6,(AB332-1)*31+AC332,IF(AB332&lt;=11,186+(AB332-7)*30+AC332,336+AC332))-1,""))</f>
        <v/>
      </c>
      <c r="AE332" s="7" t="str">
        <f aca="false">IF(P332="","",VALUE(LEFT(P332,FIND("/",P332)-1)))</f>
        <v/>
      </c>
      <c r="AF332" s="7" t="str">
        <f aca="false">IF(P332="","",VALUE(MID(P332,FIND("/",P332)+1,FIND("/",P332,FIND("/",P332)+1)-FIND("/",P332)-1)))</f>
        <v/>
      </c>
      <c r="AG332" s="7" t="str">
        <f aca="false">IF(P332="","",VALUE(MID(P332,FIND("/",P332,FIND("/",P332)+1)+1,LEN(P332)-FIND("/",P332,FIND("/",P332)+1))))</f>
        <v/>
      </c>
      <c r="AH332" s="7" t="str">
        <f aca="false">IF(OR(P332="",AE332=""),"",IFERROR(INDEX('لیست‌ها'!$Q$3:$Q$53,MATCH(AE332,'لیست‌ها'!$P$3:$P$53,0))+IF(AF332&lt;=6,(AF332-1)*31+AG332,IF(AF332&lt;=11,186+(AF332-7)*30+AG332,336+AG332))-1,""))</f>
        <v/>
      </c>
      <c r="AI332" s="7" t="str">
        <f aca="false">IF(W332="","",W332&amp;"-"&amp;TEXT(X332,"00"))</f>
        <v/>
      </c>
      <c r="AJ332" s="7" t="str">
        <f aca="false">IF(W332="","",W332*12+X332)</f>
        <v/>
      </c>
      <c r="AK332" s="7" t="str">
        <f aca="false">IF(U332="تاخیر",V332+ROW()/100000,"")</f>
        <v/>
      </c>
    </row>
    <row r="333" customFormat="false" ht="15" hidden="false" customHeight="false" outlineLevel="0" collapsed="false">
      <c r="A333" s="7" t="str">
        <f aca="false">IF(B333="","",ROW()-3)</f>
        <v/>
      </c>
      <c r="B333" s="8"/>
      <c r="C333" s="8"/>
      <c r="D333" s="8"/>
      <c r="E333" s="9"/>
      <c r="F333" s="9"/>
      <c r="G333" s="8"/>
      <c r="H333" s="8"/>
      <c r="I333" s="8"/>
      <c r="J333" s="9"/>
      <c r="K333" s="8"/>
      <c r="L333" s="8"/>
      <c r="M333" s="8"/>
      <c r="N333" s="8"/>
      <c r="O333" s="8"/>
      <c r="P333" s="8"/>
      <c r="Q333" s="8"/>
      <c r="R333" s="9"/>
      <c r="S333" s="8"/>
      <c r="T333" s="9"/>
      <c r="U333" s="10" t="str">
        <f aca="true">IF(B333="","",IF(OR(P333&lt;&gt;"",I333="می‌باشد"),"بسته",IF(AND(L333&lt;&gt;"",W333=""),"خطای فرمت تاریخ ایجاد",IF(AND(H333&lt;&gt;"",AA333=""),"خطای فرمت مهلت",IF(AND(H333&lt;&gt;"",AD333&lt;&gt;"",TODAY()&gt;AD333),"تاخیر",IF(L333&lt;&gt;"","در حال انجام",""))))))</f>
        <v/>
      </c>
      <c r="V333" s="7" t="n">
        <f aca="true">IF(U333="تاخیر",TODAY()-AD333,IF(AND(U333="بسته",AH333&lt;&gt;"",AD333&lt;&gt;"",AH333&gt;AD333),AH333-AD333,0))</f>
        <v>0</v>
      </c>
      <c r="W333" s="7" t="str">
        <f aca="false">IF(L333="","",VALUE(LEFT(L333,FIND("/",L333)-1)))</f>
        <v/>
      </c>
      <c r="X333" s="7" t="str">
        <f aca="false">IF(L333="","",VALUE(MID(L333,FIND("/",L333)+1,FIND("/",L333,FIND("/",L333)+1)-FIND("/",L333)-1)))</f>
        <v/>
      </c>
      <c r="Y333" s="7" t="str">
        <f aca="false">IF(L333="","",VALUE(MID(L333,FIND("/",L333,FIND("/",L333)+1)+1,LEN(L333)-FIND("/",L333,FIND("/",L333)+1))))</f>
        <v/>
      </c>
      <c r="Z333" s="7" t="str">
        <f aca="false">IF(OR(L333="",W333=""),"",IFERROR(INDEX('لیست‌ها'!$Q$3:$Q$53,MATCH(W333,'لیست‌ها'!$P$3:$P$53,0))+IF(X333&lt;=6,(X333-1)*31+Y333,IF(X333&lt;=11,186+(X333-7)*30+Y333,336+Y333))-1,""))</f>
        <v/>
      </c>
      <c r="AA333" s="7" t="str">
        <f aca="false">IF(H333="","",VALUE(LEFT(H333,FIND("/",H333)-1)))</f>
        <v/>
      </c>
      <c r="AB333" s="7" t="str">
        <f aca="false">IF(H333="","",VALUE(MID(H333,FIND("/",H333)+1,FIND("/",H333,FIND("/",H333)+1)-FIND("/",H333)-1)))</f>
        <v/>
      </c>
      <c r="AC333" s="7" t="str">
        <f aca="false">IF(H333="","",VALUE(MID(H333,FIND("/",H333,FIND("/",H333)+1)+1,LEN(H333)-FIND("/",H333,FIND("/",H333)+1))))</f>
        <v/>
      </c>
      <c r="AD333" s="7" t="str">
        <f aca="false">IF(OR(H333="",AA333=""),"",IFERROR(INDEX('لیست‌ها'!$Q$3:$Q$53,MATCH(AA333,'لیست‌ها'!$P$3:$P$53,0))+IF(AB333&lt;=6,(AB333-1)*31+AC333,IF(AB333&lt;=11,186+(AB333-7)*30+AC333,336+AC333))-1,""))</f>
        <v/>
      </c>
      <c r="AE333" s="7" t="str">
        <f aca="false">IF(P333="","",VALUE(LEFT(P333,FIND("/",P333)-1)))</f>
        <v/>
      </c>
      <c r="AF333" s="7" t="str">
        <f aca="false">IF(P333="","",VALUE(MID(P333,FIND("/",P333)+1,FIND("/",P333,FIND("/",P333)+1)-FIND("/",P333)-1)))</f>
        <v/>
      </c>
      <c r="AG333" s="7" t="str">
        <f aca="false">IF(P333="","",VALUE(MID(P333,FIND("/",P333,FIND("/",P333)+1)+1,LEN(P333)-FIND("/",P333,FIND("/",P333)+1))))</f>
        <v/>
      </c>
      <c r="AH333" s="7" t="str">
        <f aca="false">IF(OR(P333="",AE333=""),"",IFERROR(INDEX('لیست‌ها'!$Q$3:$Q$53,MATCH(AE333,'لیست‌ها'!$P$3:$P$53,0))+IF(AF333&lt;=6,(AF333-1)*31+AG333,IF(AF333&lt;=11,186+(AF333-7)*30+AG333,336+AG333))-1,""))</f>
        <v/>
      </c>
      <c r="AI333" s="7" t="str">
        <f aca="false">IF(W333="","",W333&amp;"-"&amp;TEXT(X333,"00"))</f>
        <v/>
      </c>
      <c r="AJ333" s="7" t="str">
        <f aca="false">IF(W333="","",W333*12+X333)</f>
        <v/>
      </c>
      <c r="AK333" s="7" t="str">
        <f aca="false">IF(U333="تاخیر",V333+ROW()/100000,"")</f>
        <v/>
      </c>
    </row>
    <row r="334" customFormat="false" ht="15" hidden="false" customHeight="false" outlineLevel="0" collapsed="false">
      <c r="A334" s="7" t="str">
        <f aca="false">IF(B334="","",ROW()-3)</f>
        <v/>
      </c>
      <c r="B334" s="8"/>
      <c r="C334" s="8"/>
      <c r="D334" s="8"/>
      <c r="E334" s="9"/>
      <c r="F334" s="9"/>
      <c r="G334" s="8"/>
      <c r="H334" s="8"/>
      <c r="I334" s="8"/>
      <c r="J334" s="9"/>
      <c r="K334" s="8"/>
      <c r="L334" s="8"/>
      <c r="M334" s="8"/>
      <c r="N334" s="8"/>
      <c r="O334" s="8"/>
      <c r="P334" s="8"/>
      <c r="Q334" s="8"/>
      <c r="R334" s="9"/>
      <c r="S334" s="8"/>
      <c r="T334" s="9"/>
      <c r="U334" s="10" t="str">
        <f aca="true">IF(B334="","",IF(OR(P334&lt;&gt;"",I334="می‌باشد"),"بسته",IF(AND(L334&lt;&gt;"",W334=""),"خطای فرمت تاریخ ایجاد",IF(AND(H334&lt;&gt;"",AA334=""),"خطای فرمت مهلت",IF(AND(H334&lt;&gt;"",AD334&lt;&gt;"",TODAY()&gt;AD334),"تاخیر",IF(L334&lt;&gt;"","در حال انجام",""))))))</f>
        <v/>
      </c>
      <c r="V334" s="7" t="n">
        <f aca="true">IF(U334="تاخیر",TODAY()-AD334,IF(AND(U334="بسته",AH334&lt;&gt;"",AD334&lt;&gt;"",AH334&gt;AD334),AH334-AD334,0))</f>
        <v>0</v>
      </c>
      <c r="W334" s="7" t="str">
        <f aca="false">IF(L334="","",VALUE(LEFT(L334,FIND("/",L334)-1)))</f>
        <v/>
      </c>
      <c r="X334" s="7" t="str">
        <f aca="false">IF(L334="","",VALUE(MID(L334,FIND("/",L334)+1,FIND("/",L334,FIND("/",L334)+1)-FIND("/",L334)-1)))</f>
        <v/>
      </c>
      <c r="Y334" s="7" t="str">
        <f aca="false">IF(L334="","",VALUE(MID(L334,FIND("/",L334,FIND("/",L334)+1)+1,LEN(L334)-FIND("/",L334,FIND("/",L334)+1))))</f>
        <v/>
      </c>
      <c r="Z334" s="7" t="str">
        <f aca="false">IF(OR(L334="",W334=""),"",IFERROR(INDEX('لیست‌ها'!$Q$3:$Q$53,MATCH(W334,'لیست‌ها'!$P$3:$P$53,0))+IF(X334&lt;=6,(X334-1)*31+Y334,IF(X334&lt;=11,186+(X334-7)*30+Y334,336+Y334))-1,""))</f>
        <v/>
      </c>
      <c r="AA334" s="7" t="str">
        <f aca="false">IF(H334="","",VALUE(LEFT(H334,FIND("/",H334)-1)))</f>
        <v/>
      </c>
      <c r="AB334" s="7" t="str">
        <f aca="false">IF(H334="","",VALUE(MID(H334,FIND("/",H334)+1,FIND("/",H334,FIND("/",H334)+1)-FIND("/",H334)-1)))</f>
        <v/>
      </c>
      <c r="AC334" s="7" t="str">
        <f aca="false">IF(H334="","",VALUE(MID(H334,FIND("/",H334,FIND("/",H334)+1)+1,LEN(H334)-FIND("/",H334,FIND("/",H334)+1))))</f>
        <v/>
      </c>
      <c r="AD334" s="7" t="str">
        <f aca="false">IF(OR(H334="",AA334=""),"",IFERROR(INDEX('لیست‌ها'!$Q$3:$Q$53,MATCH(AA334,'لیست‌ها'!$P$3:$P$53,0))+IF(AB334&lt;=6,(AB334-1)*31+AC334,IF(AB334&lt;=11,186+(AB334-7)*30+AC334,336+AC334))-1,""))</f>
        <v/>
      </c>
      <c r="AE334" s="7" t="str">
        <f aca="false">IF(P334="","",VALUE(LEFT(P334,FIND("/",P334)-1)))</f>
        <v/>
      </c>
      <c r="AF334" s="7" t="str">
        <f aca="false">IF(P334="","",VALUE(MID(P334,FIND("/",P334)+1,FIND("/",P334,FIND("/",P334)+1)-FIND("/",P334)-1)))</f>
        <v/>
      </c>
      <c r="AG334" s="7" t="str">
        <f aca="false">IF(P334="","",VALUE(MID(P334,FIND("/",P334,FIND("/",P334)+1)+1,LEN(P334)-FIND("/",P334,FIND("/",P334)+1))))</f>
        <v/>
      </c>
      <c r="AH334" s="7" t="str">
        <f aca="false">IF(OR(P334="",AE334=""),"",IFERROR(INDEX('لیست‌ها'!$Q$3:$Q$53,MATCH(AE334,'لیست‌ها'!$P$3:$P$53,0))+IF(AF334&lt;=6,(AF334-1)*31+AG334,IF(AF334&lt;=11,186+(AF334-7)*30+AG334,336+AG334))-1,""))</f>
        <v/>
      </c>
      <c r="AI334" s="7" t="str">
        <f aca="false">IF(W334="","",W334&amp;"-"&amp;TEXT(X334,"00"))</f>
        <v/>
      </c>
      <c r="AJ334" s="7" t="str">
        <f aca="false">IF(W334="","",W334*12+X334)</f>
        <v/>
      </c>
      <c r="AK334" s="7" t="str">
        <f aca="false">IF(U334="تاخیر",V334+ROW()/100000,"")</f>
        <v/>
      </c>
    </row>
    <row r="335" customFormat="false" ht="15" hidden="false" customHeight="false" outlineLevel="0" collapsed="false">
      <c r="A335" s="7" t="str">
        <f aca="false">IF(B335="","",ROW()-3)</f>
        <v/>
      </c>
      <c r="B335" s="8"/>
      <c r="C335" s="8"/>
      <c r="D335" s="8"/>
      <c r="E335" s="9"/>
      <c r="F335" s="9"/>
      <c r="G335" s="8"/>
      <c r="H335" s="8"/>
      <c r="I335" s="8"/>
      <c r="J335" s="9"/>
      <c r="K335" s="8"/>
      <c r="L335" s="8"/>
      <c r="M335" s="8"/>
      <c r="N335" s="8"/>
      <c r="O335" s="8"/>
      <c r="P335" s="8"/>
      <c r="Q335" s="8"/>
      <c r="R335" s="9"/>
      <c r="S335" s="8"/>
      <c r="T335" s="9"/>
      <c r="U335" s="10" t="str">
        <f aca="true">IF(B335="","",IF(OR(P335&lt;&gt;"",I335="می‌باشد"),"بسته",IF(AND(L335&lt;&gt;"",W335=""),"خطای فرمت تاریخ ایجاد",IF(AND(H335&lt;&gt;"",AA335=""),"خطای فرمت مهلت",IF(AND(H335&lt;&gt;"",AD335&lt;&gt;"",TODAY()&gt;AD335),"تاخیر",IF(L335&lt;&gt;"","در حال انجام",""))))))</f>
        <v/>
      </c>
      <c r="V335" s="7" t="n">
        <f aca="true">IF(U335="تاخیر",TODAY()-AD335,IF(AND(U335="بسته",AH335&lt;&gt;"",AD335&lt;&gt;"",AH335&gt;AD335),AH335-AD335,0))</f>
        <v>0</v>
      </c>
      <c r="W335" s="7" t="str">
        <f aca="false">IF(L335="","",VALUE(LEFT(L335,FIND("/",L335)-1)))</f>
        <v/>
      </c>
      <c r="X335" s="7" t="str">
        <f aca="false">IF(L335="","",VALUE(MID(L335,FIND("/",L335)+1,FIND("/",L335,FIND("/",L335)+1)-FIND("/",L335)-1)))</f>
        <v/>
      </c>
      <c r="Y335" s="7" t="str">
        <f aca="false">IF(L335="","",VALUE(MID(L335,FIND("/",L335,FIND("/",L335)+1)+1,LEN(L335)-FIND("/",L335,FIND("/",L335)+1))))</f>
        <v/>
      </c>
      <c r="Z335" s="7" t="str">
        <f aca="false">IF(OR(L335="",W335=""),"",IFERROR(INDEX('لیست‌ها'!$Q$3:$Q$53,MATCH(W335,'لیست‌ها'!$P$3:$P$53,0))+IF(X335&lt;=6,(X335-1)*31+Y335,IF(X335&lt;=11,186+(X335-7)*30+Y335,336+Y335))-1,""))</f>
        <v/>
      </c>
      <c r="AA335" s="7" t="str">
        <f aca="false">IF(H335="","",VALUE(LEFT(H335,FIND("/",H335)-1)))</f>
        <v/>
      </c>
      <c r="AB335" s="7" t="str">
        <f aca="false">IF(H335="","",VALUE(MID(H335,FIND("/",H335)+1,FIND("/",H335,FIND("/",H335)+1)-FIND("/",H335)-1)))</f>
        <v/>
      </c>
      <c r="AC335" s="7" t="str">
        <f aca="false">IF(H335="","",VALUE(MID(H335,FIND("/",H335,FIND("/",H335)+1)+1,LEN(H335)-FIND("/",H335,FIND("/",H335)+1))))</f>
        <v/>
      </c>
      <c r="AD335" s="7" t="str">
        <f aca="false">IF(OR(H335="",AA335=""),"",IFERROR(INDEX('لیست‌ها'!$Q$3:$Q$53,MATCH(AA335,'لیست‌ها'!$P$3:$P$53,0))+IF(AB335&lt;=6,(AB335-1)*31+AC335,IF(AB335&lt;=11,186+(AB335-7)*30+AC335,336+AC335))-1,""))</f>
        <v/>
      </c>
      <c r="AE335" s="7" t="str">
        <f aca="false">IF(P335="","",VALUE(LEFT(P335,FIND("/",P335)-1)))</f>
        <v/>
      </c>
      <c r="AF335" s="7" t="str">
        <f aca="false">IF(P335="","",VALUE(MID(P335,FIND("/",P335)+1,FIND("/",P335,FIND("/",P335)+1)-FIND("/",P335)-1)))</f>
        <v/>
      </c>
      <c r="AG335" s="7" t="str">
        <f aca="false">IF(P335="","",VALUE(MID(P335,FIND("/",P335,FIND("/",P335)+1)+1,LEN(P335)-FIND("/",P335,FIND("/",P335)+1))))</f>
        <v/>
      </c>
      <c r="AH335" s="7" t="str">
        <f aca="false">IF(OR(P335="",AE335=""),"",IFERROR(INDEX('لیست‌ها'!$Q$3:$Q$53,MATCH(AE335,'لیست‌ها'!$P$3:$P$53,0))+IF(AF335&lt;=6,(AF335-1)*31+AG335,IF(AF335&lt;=11,186+(AF335-7)*30+AG335,336+AG335))-1,""))</f>
        <v/>
      </c>
      <c r="AI335" s="7" t="str">
        <f aca="false">IF(W335="","",W335&amp;"-"&amp;TEXT(X335,"00"))</f>
        <v/>
      </c>
      <c r="AJ335" s="7" t="str">
        <f aca="false">IF(W335="","",W335*12+X335)</f>
        <v/>
      </c>
      <c r="AK335" s="7" t="str">
        <f aca="false">IF(U335="تاخیر",V335+ROW()/100000,"")</f>
        <v/>
      </c>
    </row>
    <row r="336" customFormat="false" ht="15" hidden="false" customHeight="false" outlineLevel="0" collapsed="false">
      <c r="A336" s="7" t="str">
        <f aca="false">IF(B336="","",ROW()-3)</f>
        <v/>
      </c>
      <c r="B336" s="8"/>
      <c r="C336" s="8"/>
      <c r="D336" s="8"/>
      <c r="E336" s="9"/>
      <c r="F336" s="9"/>
      <c r="G336" s="8"/>
      <c r="H336" s="8"/>
      <c r="I336" s="8"/>
      <c r="J336" s="9"/>
      <c r="K336" s="8"/>
      <c r="L336" s="8"/>
      <c r="M336" s="8"/>
      <c r="N336" s="8"/>
      <c r="O336" s="8"/>
      <c r="P336" s="8"/>
      <c r="Q336" s="8"/>
      <c r="R336" s="9"/>
      <c r="S336" s="8"/>
      <c r="T336" s="9"/>
      <c r="U336" s="10" t="str">
        <f aca="true">IF(B336="","",IF(OR(P336&lt;&gt;"",I336="می‌باشد"),"بسته",IF(AND(L336&lt;&gt;"",W336=""),"خطای فرمت تاریخ ایجاد",IF(AND(H336&lt;&gt;"",AA336=""),"خطای فرمت مهلت",IF(AND(H336&lt;&gt;"",AD336&lt;&gt;"",TODAY()&gt;AD336),"تاخیر",IF(L336&lt;&gt;"","در حال انجام",""))))))</f>
        <v/>
      </c>
      <c r="V336" s="7" t="n">
        <f aca="true">IF(U336="تاخیر",TODAY()-AD336,IF(AND(U336="بسته",AH336&lt;&gt;"",AD336&lt;&gt;"",AH336&gt;AD336),AH336-AD336,0))</f>
        <v>0</v>
      </c>
      <c r="W336" s="7" t="str">
        <f aca="false">IF(L336="","",VALUE(LEFT(L336,FIND("/",L336)-1)))</f>
        <v/>
      </c>
      <c r="X336" s="7" t="str">
        <f aca="false">IF(L336="","",VALUE(MID(L336,FIND("/",L336)+1,FIND("/",L336,FIND("/",L336)+1)-FIND("/",L336)-1)))</f>
        <v/>
      </c>
      <c r="Y336" s="7" t="str">
        <f aca="false">IF(L336="","",VALUE(MID(L336,FIND("/",L336,FIND("/",L336)+1)+1,LEN(L336)-FIND("/",L336,FIND("/",L336)+1))))</f>
        <v/>
      </c>
      <c r="Z336" s="7" t="str">
        <f aca="false">IF(OR(L336="",W336=""),"",IFERROR(INDEX('لیست‌ها'!$Q$3:$Q$53,MATCH(W336,'لیست‌ها'!$P$3:$P$53,0))+IF(X336&lt;=6,(X336-1)*31+Y336,IF(X336&lt;=11,186+(X336-7)*30+Y336,336+Y336))-1,""))</f>
        <v/>
      </c>
      <c r="AA336" s="7" t="str">
        <f aca="false">IF(H336="","",VALUE(LEFT(H336,FIND("/",H336)-1)))</f>
        <v/>
      </c>
      <c r="AB336" s="7" t="str">
        <f aca="false">IF(H336="","",VALUE(MID(H336,FIND("/",H336)+1,FIND("/",H336,FIND("/",H336)+1)-FIND("/",H336)-1)))</f>
        <v/>
      </c>
      <c r="AC336" s="7" t="str">
        <f aca="false">IF(H336="","",VALUE(MID(H336,FIND("/",H336,FIND("/",H336)+1)+1,LEN(H336)-FIND("/",H336,FIND("/",H336)+1))))</f>
        <v/>
      </c>
      <c r="AD336" s="7" t="str">
        <f aca="false">IF(OR(H336="",AA336=""),"",IFERROR(INDEX('لیست‌ها'!$Q$3:$Q$53,MATCH(AA336,'لیست‌ها'!$P$3:$P$53,0))+IF(AB336&lt;=6,(AB336-1)*31+AC336,IF(AB336&lt;=11,186+(AB336-7)*30+AC336,336+AC336))-1,""))</f>
        <v/>
      </c>
      <c r="AE336" s="7" t="str">
        <f aca="false">IF(P336="","",VALUE(LEFT(P336,FIND("/",P336)-1)))</f>
        <v/>
      </c>
      <c r="AF336" s="7" t="str">
        <f aca="false">IF(P336="","",VALUE(MID(P336,FIND("/",P336)+1,FIND("/",P336,FIND("/",P336)+1)-FIND("/",P336)-1)))</f>
        <v/>
      </c>
      <c r="AG336" s="7" t="str">
        <f aca="false">IF(P336="","",VALUE(MID(P336,FIND("/",P336,FIND("/",P336)+1)+1,LEN(P336)-FIND("/",P336,FIND("/",P336)+1))))</f>
        <v/>
      </c>
      <c r="AH336" s="7" t="str">
        <f aca="false">IF(OR(P336="",AE336=""),"",IFERROR(INDEX('لیست‌ها'!$Q$3:$Q$53,MATCH(AE336,'لیست‌ها'!$P$3:$P$53,0))+IF(AF336&lt;=6,(AF336-1)*31+AG336,IF(AF336&lt;=11,186+(AF336-7)*30+AG336,336+AG336))-1,""))</f>
        <v/>
      </c>
      <c r="AI336" s="7" t="str">
        <f aca="false">IF(W336="","",W336&amp;"-"&amp;TEXT(X336,"00"))</f>
        <v/>
      </c>
      <c r="AJ336" s="7" t="str">
        <f aca="false">IF(W336="","",W336*12+X336)</f>
        <v/>
      </c>
      <c r="AK336" s="7" t="str">
        <f aca="false">IF(U336="تاخیر",V336+ROW()/100000,"")</f>
        <v/>
      </c>
    </row>
    <row r="337" customFormat="false" ht="15" hidden="false" customHeight="false" outlineLevel="0" collapsed="false">
      <c r="A337" s="7" t="str">
        <f aca="false">IF(B337="","",ROW()-3)</f>
        <v/>
      </c>
      <c r="B337" s="8"/>
      <c r="C337" s="8"/>
      <c r="D337" s="8"/>
      <c r="E337" s="9"/>
      <c r="F337" s="9"/>
      <c r="G337" s="8"/>
      <c r="H337" s="8"/>
      <c r="I337" s="8"/>
      <c r="J337" s="9"/>
      <c r="K337" s="8"/>
      <c r="L337" s="8"/>
      <c r="M337" s="8"/>
      <c r="N337" s="8"/>
      <c r="O337" s="8"/>
      <c r="P337" s="8"/>
      <c r="Q337" s="8"/>
      <c r="R337" s="9"/>
      <c r="S337" s="8"/>
      <c r="T337" s="9"/>
      <c r="U337" s="10" t="str">
        <f aca="true">IF(B337="","",IF(OR(P337&lt;&gt;"",I337="می‌باشد"),"بسته",IF(AND(L337&lt;&gt;"",W337=""),"خطای فرمت تاریخ ایجاد",IF(AND(H337&lt;&gt;"",AA337=""),"خطای فرمت مهلت",IF(AND(H337&lt;&gt;"",AD337&lt;&gt;"",TODAY()&gt;AD337),"تاخیر",IF(L337&lt;&gt;"","در حال انجام",""))))))</f>
        <v/>
      </c>
      <c r="V337" s="7" t="n">
        <f aca="true">IF(U337="تاخیر",TODAY()-AD337,IF(AND(U337="بسته",AH337&lt;&gt;"",AD337&lt;&gt;"",AH337&gt;AD337),AH337-AD337,0))</f>
        <v>0</v>
      </c>
      <c r="W337" s="7" t="str">
        <f aca="false">IF(L337="","",VALUE(LEFT(L337,FIND("/",L337)-1)))</f>
        <v/>
      </c>
      <c r="X337" s="7" t="str">
        <f aca="false">IF(L337="","",VALUE(MID(L337,FIND("/",L337)+1,FIND("/",L337,FIND("/",L337)+1)-FIND("/",L337)-1)))</f>
        <v/>
      </c>
      <c r="Y337" s="7" t="str">
        <f aca="false">IF(L337="","",VALUE(MID(L337,FIND("/",L337,FIND("/",L337)+1)+1,LEN(L337)-FIND("/",L337,FIND("/",L337)+1))))</f>
        <v/>
      </c>
      <c r="Z337" s="7" t="str">
        <f aca="false">IF(OR(L337="",W337=""),"",IFERROR(INDEX('لیست‌ها'!$Q$3:$Q$53,MATCH(W337,'لیست‌ها'!$P$3:$P$53,0))+IF(X337&lt;=6,(X337-1)*31+Y337,IF(X337&lt;=11,186+(X337-7)*30+Y337,336+Y337))-1,""))</f>
        <v/>
      </c>
      <c r="AA337" s="7" t="str">
        <f aca="false">IF(H337="","",VALUE(LEFT(H337,FIND("/",H337)-1)))</f>
        <v/>
      </c>
      <c r="AB337" s="7" t="str">
        <f aca="false">IF(H337="","",VALUE(MID(H337,FIND("/",H337)+1,FIND("/",H337,FIND("/",H337)+1)-FIND("/",H337)-1)))</f>
        <v/>
      </c>
      <c r="AC337" s="7" t="str">
        <f aca="false">IF(H337="","",VALUE(MID(H337,FIND("/",H337,FIND("/",H337)+1)+1,LEN(H337)-FIND("/",H337,FIND("/",H337)+1))))</f>
        <v/>
      </c>
      <c r="AD337" s="7" t="str">
        <f aca="false">IF(OR(H337="",AA337=""),"",IFERROR(INDEX('لیست‌ها'!$Q$3:$Q$53,MATCH(AA337,'لیست‌ها'!$P$3:$P$53,0))+IF(AB337&lt;=6,(AB337-1)*31+AC337,IF(AB337&lt;=11,186+(AB337-7)*30+AC337,336+AC337))-1,""))</f>
        <v/>
      </c>
      <c r="AE337" s="7" t="str">
        <f aca="false">IF(P337="","",VALUE(LEFT(P337,FIND("/",P337)-1)))</f>
        <v/>
      </c>
      <c r="AF337" s="7" t="str">
        <f aca="false">IF(P337="","",VALUE(MID(P337,FIND("/",P337)+1,FIND("/",P337,FIND("/",P337)+1)-FIND("/",P337)-1)))</f>
        <v/>
      </c>
      <c r="AG337" s="7" t="str">
        <f aca="false">IF(P337="","",VALUE(MID(P337,FIND("/",P337,FIND("/",P337)+1)+1,LEN(P337)-FIND("/",P337,FIND("/",P337)+1))))</f>
        <v/>
      </c>
      <c r="AH337" s="7" t="str">
        <f aca="false">IF(OR(P337="",AE337=""),"",IFERROR(INDEX('لیست‌ها'!$Q$3:$Q$53,MATCH(AE337,'لیست‌ها'!$P$3:$P$53,0))+IF(AF337&lt;=6,(AF337-1)*31+AG337,IF(AF337&lt;=11,186+(AF337-7)*30+AG337,336+AG337))-1,""))</f>
        <v/>
      </c>
      <c r="AI337" s="7" t="str">
        <f aca="false">IF(W337="","",W337&amp;"-"&amp;TEXT(X337,"00"))</f>
        <v/>
      </c>
      <c r="AJ337" s="7" t="str">
        <f aca="false">IF(W337="","",W337*12+X337)</f>
        <v/>
      </c>
      <c r="AK337" s="7" t="str">
        <f aca="false">IF(U337="تاخیر",V337+ROW()/100000,"")</f>
        <v/>
      </c>
    </row>
    <row r="338" customFormat="false" ht="15" hidden="false" customHeight="false" outlineLevel="0" collapsed="false">
      <c r="A338" s="7" t="str">
        <f aca="false">IF(B338="","",ROW()-3)</f>
        <v/>
      </c>
      <c r="B338" s="8"/>
      <c r="C338" s="8"/>
      <c r="D338" s="8"/>
      <c r="E338" s="9"/>
      <c r="F338" s="9"/>
      <c r="G338" s="8"/>
      <c r="H338" s="8"/>
      <c r="I338" s="8"/>
      <c r="J338" s="9"/>
      <c r="K338" s="8"/>
      <c r="L338" s="8"/>
      <c r="M338" s="8"/>
      <c r="N338" s="8"/>
      <c r="O338" s="8"/>
      <c r="P338" s="8"/>
      <c r="Q338" s="8"/>
      <c r="R338" s="9"/>
      <c r="S338" s="8"/>
      <c r="T338" s="9"/>
      <c r="U338" s="10" t="str">
        <f aca="true">IF(B338="","",IF(OR(P338&lt;&gt;"",I338="می‌باشد"),"بسته",IF(AND(L338&lt;&gt;"",W338=""),"خطای فرمت تاریخ ایجاد",IF(AND(H338&lt;&gt;"",AA338=""),"خطای فرمت مهلت",IF(AND(H338&lt;&gt;"",AD338&lt;&gt;"",TODAY()&gt;AD338),"تاخیر",IF(L338&lt;&gt;"","در حال انجام",""))))))</f>
        <v/>
      </c>
      <c r="V338" s="7" t="n">
        <f aca="true">IF(U338="تاخیر",TODAY()-AD338,IF(AND(U338="بسته",AH338&lt;&gt;"",AD338&lt;&gt;"",AH338&gt;AD338),AH338-AD338,0))</f>
        <v>0</v>
      </c>
      <c r="W338" s="7" t="str">
        <f aca="false">IF(L338="","",VALUE(LEFT(L338,FIND("/",L338)-1)))</f>
        <v/>
      </c>
      <c r="X338" s="7" t="str">
        <f aca="false">IF(L338="","",VALUE(MID(L338,FIND("/",L338)+1,FIND("/",L338,FIND("/",L338)+1)-FIND("/",L338)-1)))</f>
        <v/>
      </c>
      <c r="Y338" s="7" t="str">
        <f aca="false">IF(L338="","",VALUE(MID(L338,FIND("/",L338,FIND("/",L338)+1)+1,LEN(L338)-FIND("/",L338,FIND("/",L338)+1))))</f>
        <v/>
      </c>
      <c r="Z338" s="7" t="str">
        <f aca="false">IF(OR(L338="",W338=""),"",IFERROR(INDEX('لیست‌ها'!$Q$3:$Q$53,MATCH(W338,'لیست‌ها'!$P$3:$P$53,0))+IF(X338&lt;=6,(X338-1)*31+Y338,IF(X338&lt;=11,186+(X338-7)*30+Y338,336+Y338))-1,""))</f>
        <v/>
      </c>
      <c r="AA338" s="7" t="str">
        <f aca="false">IF(H338="","",VALUE(LEFT(H338,FIND("/",H338)-1)))</f>
        <v/>
      </c>
      <c r="AB338" s="7" t="str">
        <f aca="false">IF(H338="","",VALUE(MID(H338,FIND("/",H338)+1,FIND("/",H338,FIND("/",H338)+1)-FIND("/",H338)-1)))</f>
        <v/>
      </c>
      <c r="AC338" s="7" t="str">
        <f aca="false">IF(H338="","",VALUE(MID(H338,FIND("/",H338,FIND("/",H338)+1)+1,LEN(H338)-FIND("/",H338,FIND("/",H338)+1))))</f>
        <v/>
      </c>
      <c r="AD338" s="7" t="str">
        <f aca="false">IF(OR(H338="",AA338=""),"",IFERROR(INDEX('لیست‌ها'!$Q$3:$Q$53,MATCH(AA338,'لیست‌ها'!$P$3:$P$53,0))+IF(AB338&lt;=6,(AB338-1)*31+AC338,IF(AB338&lt;=11,186+(AB338-7)*30+AC338,336+AC338))-1,""))</f>
        <v/>
      </c>
      <c r="AE338" s="7" t="str">
        <f aca="false">IF(P338="","",VALUE(LEFT(P338,FIND("/",P338)-1)))</f>
        <v/>
      </c>
      <c r="AF338" s="7" t="str">
        <f aca="false">IF(P338="","",VALUE(MID(P338,FIND("/",P338)+1,FIND("/",P338,FIND("/",P338)+1)-FIND("/",P338)-1)))</f>
        <v/>
      </c>
      <c r="AG338" s="7" t="str">
        <f aca="false">IF(P338="","",VALUE(MID(P338,FIND("/",P338,FIND("/",P338)+1)+1,LEN(P338)-FIND("/",P338,FIND("/",P338)+1))))</f>
        <v/>
      </c>
      <c r="AH338" s="7" t="str">
        <f aca="false">IF(OR(P338="",AE338=""),"",IFERROR(INDEX('لیست‌ها'!$Q$3:$Q$53,MATCH(AE338,'لیست‌ها'!$P$3:$P$53,0))+IF(AF338&lt;=6,(AF338-1)*31+AG338,IF(AF338&lt;=11,186+(AF338-7)*30+AG338,336+AG338))-1,""))</f>
        <v/>
      </c>
      <c r="AI338" s="7" t="str">
        <f aca="false">IF(W338="","",W338&amp;"-"&amp;TEXT(X338,"00"))</f>
        <v/>
      </c>
      <c r="AJ338" s="7" t="str">
        <f aca="false">IF(W338="","",W338*12+X338)</f>
        <v/>
      </c>
      <c r="AK338" s="7" t="str">
        <f aca="false">IF(U338="تاخیر",V338+ROW()/100000,"")</f>
        <v/>
      </c>
    </row>
    <row r="339" customFormat="false" ht="15" hidden="false" customHeight="false" outlineLevel="0" collapsed="false">
      <c r="A339" s="7" t="str">
        <f aca="false">IF(B339="","",ROW()-3)</f>
        <v/>
      </c>
      <c r="B339" s="8"/>
      <c r="C339" s="8"/>
      <c r="D339" s="8"/>
      <c r="E339" s="9"/>
      <c r="F339" s="9"/>
      <c r="G339" s="8"/>
      <c r="H339" s="8"/>
      <c r="I339" s="8"/>
      <c r="J339" s="9"/>
      <c r="K339" s="8"/>
      <c r="L339" s="8"/>
      <c r="M339" s="8"/>
      <c r="N339" s="8"/>
      <c r="O339" s="8"/>
      <c r="P339" s="8"/>
      <c r="Q339" s="8"/>
      <c r="R339" s="9"/>
      <c r="S339" s="8"/>
      <c r="T339" s="9"/>
      <c r="U339" s="10" t="str">
        <f aca="true">IF(B339="","",IF(OR(P339&lt;&gt;"",I339="می‌باشد"),"بسته",IF(AND(L339&lt;&gt;"",W339=""),"خطای فرمت تاریخ ایجاد",IF(AND(H339&lt;&gt;"",AA339=""),"خطای فرمت مهلت",IF(AND(H339&lt;&gt;"",AD339&lt;&gt;"",TODAY()&gt;AD339),"تاخیر",IF(L339&lt;&gt;"","در حال انجام",""))))))</f>
        <v/>
      </c>
      <c r="V339" s="7" t="n">
        <f aca="true">IF(U339="تاخیر",TODAY()-AD339,IF(AND(U339="بسته",AH339&lt;&gt;"",AD339&lt;&gt;"",AH339&gt;AD339),AH339-AD339,0))</f>
        <v>0</v>
      </c>
      <c r="W339" s="7" t="str">
        <f aca="false">IF(L339="","",VALUE(LEFT(L339,FIND("/",L339)-1)))</f>
        <v/>
      </c>
      <c r="X339" s="7" t="str">
        <f aca="false">IF(L339="","",VALUE(MID(L339,FIND("/",L339)+1,FIND("/",L339,FIND("/",L339)+1)-FIND("/",L339)-1)))</f>
        <v/>
      </c>
      <c r="Y339" s="7" t="str">
        <f aca="false">IF(L339="","",VALUE(MID(L339,FIND("/",L339,FIND("/",L339)+1)+1,LEN(L339)-FIND("/",L339,FIND("/",L339)+1))))</f>
        <v/>
      </c>
      <c r="Z339" s="7" t="str">
        <f aca="false">IF(OR(L339="",W339=""),"",IFERROR(INDEX('لیست‌ها'!$Q$3:$Q$53,MATCH(W339,'لیست‌ها'!$P$3:$P$53,0))+IF(X339&lt;=6,(X339-1)*31+Y339,IF(X339&lt;=11,186+(X339-7)*30+Y339,336+Y339))-1,""))</f>
        <v/>
      </c>
      <c r="AA339" s="7" t="str">
        <f aca="false">IF(H339="","",VALUE(LEFT(H339,FIND("/",H339)-1)))</f>
        <v/>
      </c>
      <c r="AB339" s="7" t="str">
        <f aca="false">IF(H339="","",VALUE(MID(H339,FIND("/",H339)+1,FIND("/",H339,FIND("/",H339)+1)-FIND("/",H339)-1)))</f>
        <v/>
      </c>
      <c r="AC339" s="7" t="str">
        <f aca="false">IF(H339="","",VALUE(MID(H339,FIND("/",H339,FIND("/",H339)+1)+1,LEN(H339)-FIND("/",H339,FIND("/",H339)+1))))</f>
        <v/>
      </c>
      <c r="AD339" s="7" t="str">
        <f aca="false">IF(OR(H339="",AA339=""),"",IFERROR(INDEX('لیست‌ها'!$Q$3:$Q$53,MATCH(AA339,'لیست‌ها'!$P$3:$P$53,0))+IF(AB339&lt;=6,(AB339-1)*31+AC339,IF(AB339&lt;=11,186+(AB339-7)*30+AC339,336+AC339))-1,""))</f>
        <v/>
      </c>
      <c r="AE339" s="7" t="str">
        <f aca="false">IF(P339="","",VALUE(LEFT(P339,FIND("/",P339)-1)))</f>
        <v/>
      </c>
      <c r="AF339" s="7" t="str">
        <f aca="false">IF(P339="","",VALUE(MID(P339,FIND("/",P339)+1,FIND("/",P339,FIND("/",P339)+1)-FIND("/",P339)-1)))</f>
        <v/>
      </c>
      <c r="AG339" s="7" t="str">
        <f aca="false">IF(P339="","",VALUE(MID(P339,FIND("/",P339,FIND("/",P339)+1)+1,LEN(P339)-FIND("/",P339,FIND("/",P339)+1))))</f>
        <v/>
      </c>
      <c r="AH339" s="7" t="str">
        <f aca="false">IF(OR(P339="",AE339=""),"",IFERROR(INDEX('لیست‌ها'!$Q$3:$Q$53,MATCH(AE339,'لیست‌ها'!$P$3:$P$53,0))+IF(AF339&lt;=6,(AF339-1)*31+AG339,IF(AF339&lt;=11,186+(AF339-7)*30+AG339,336+AG339))-1,""))</f>
        <v/>
      </c>
      <c r="AI339" s="7" t="str">
        <f aca="false">IF(W339="","",W339&amp;"-"&amp;TEXT(X339,"00"))</f>
        <v/>
      </c>
      <c r="AJ339" s="7" t="str">
        <f aca="false">IF(W339="","",W339*12+X339)</f>
        <v/>
      </c>
      <c r="AK339" s="7" t="str">
        <f aca="false">IF(U339="تاخیر",V339+ROW()/100000,"")</f>
        <v/>
      </c>
    </row>
    <row r="340" customFormat="false" ht="15" hidden="false" customHeight="false" outlineLevel="0" collapsed="false">
      <c r="A340" s="7" t="str">
        <f aca="false">IF(B340="","",ROW()-3)</f>
        <v/>
      </c>
      <c r="B340" s="8"/>
      <c r="C340" s="8"/>
      <c r="D340" s="8"/>
      <c r="E340" s="9"/>
      <c r="F340" s="9"/>
      <c r="G340" s="8"/>
      <c r="H340" s="8"/>
      <c r="I340" s="8"/>
      <c r="J340" s="9"/>
      <c r="K340" s="8"/>
      <c r="L340" s="8"/>
      <c r="M340" s="8"/>
      <c r="N340" s="8"/>
      <c r="O340" s="8"/>
      <c r="P340" s="8"/>
      <c r="Q340" s="8"/>
      <c r="R340" s="9"/>
      <c r="S340" s="8"/>
      <c r="T340" s="9"/>
      <c r="U340" s="10" t="str">
        <f aca="true">IF(B340="","",IF(OR(P340&lt;&gt;"",I340="می‌باشد"),"بسته",IF(AND(L340&lt;&gt;"",W340=""),"خطای فرمت تاریخ ایجاد",IF(AND(H340&lt;&gt;"",AA340=""),"خطای فرمت مهلت",IF(AND(H340&lt;&gt;"",AD340&lt;&gt;"",TODAY()&gt;AD340),"تاخیر",IF(L340&lt;&gt;"","در حال انجام",""))))))</f>
        <v/>
      </c>
      <c r="V340" s="7" t="n">
        <f aca="true">IF(U340="تاخیر",TODAY()-AD340,IF(AND(U340="بسته",AH340&lt;&gt;"",AD340&lt;&gt;"",AH340&gt;AD340),AH340-AD340,0))</f>
        <v>0</v>
      </c>
      <c r="W340" s="7" t="str">
        <f aca="false">IF(L340="","",VALUE(LEFT(L340,FIND("/",L340)-1)))</f>
        <v/>
      </c>
      <c r="X340" s="7" t="str">
        <f aca="false">IF(L340="","",VALUE(MID(L340,FIND("/",L340)+1,FIND("/",L340,FIND("/",L340)+1)-FIND("/",L340)-1)))</f>
        <v/>
      </c>
      <c r="Y340" s="7" t="str">
        <f aca="false">IF(L340="","",VALUE(MID(L340,FIND("/",L340,FIND("/",L340)+1)+1,LEN(L340)-FIND("/",L340,FIND("/",L340)+1))))</f>
        <v/>
      </c>
      <c r="Z340" s="7" t="str">
        <f aca="false">IF(OR(L340="",W340=""),"",IFERROR(INDEX('لیست‌ها'!$Q$3:$Q$53,MATCH(W340,'لیست‌ها'!$P$3:$P$53,0))+IF(X340&lt;=6,(X340-1)*31+Y340,IF(X340&lt;=11,186+(X340-7)*30+Y340,336+Y340))-1,""))</f>
        <v/>
      </c>
      <c r="AA340" s="7" t="str">
        <f aca="false">IF(H340="","",VALUE(LEFT(H340,FIND("/",H340)-1)))</f>
        <v/>
      </c>
      <c r="AB340" s="7" t="str">
        <f aca="false">IF(H340="","",VALUE(MID(H340,FIND("/",H340)+1,FIND("/",H340,FIND("/",H340)+1)-FIND("/",H340)-1)))</f>
        <v/>
      </c>
      <c r="AC340" s="7" t="str">
        <f aca="false">IF(H340="","",VALUE(MID(H340,FIND("/",H340,FIND("/",H340)+1)+1,LEN(H340)-FIND("/",H340,FIND("/",H340)+1))))</f>
        <v/>
      </c>
      <c r="AD340" s="7" t="str">
        <f aca="false">IF(OR(H340="",AA340=""),"",IFERROR(INDEX('لیست‌ها'!$Q$3:$Q$53,MATCH(AA340,'لیست‌ها'!$P$3:$P$53,0))+IF(AB340&lt;=6,(AB340-1)*31+AC340,IF(AB340&lt;=11,186+(AB340-7)*30+AC340,336+AC340))-1,""))</f>
        <v/>
      </c>
      <c r="AE340" s="7" t="str">
        <f aca="false">IF(P340="","",VALUE(LEFT(P340,FIND("/",P340)-1)))</f>
        <v/>
      </c>
      <c r="AF340" s="7" t="str">
        <f aca="false">IF(P340="","",VALUE(MID(P340,FIND("/",P340)+1,FIND("/",P340,FIND("/",P340)+1)-FIND("/",P340)-1)))</f>
        <v/>
      </c>
      <c r="AG340" s="7" t="str">
        <f aca="false">IF(P340="","",VALUE(MID(P340,FIND("/",P340,FIND("/",P340)+1)+1,LEN(P340)-FIND("/",P340,FIND("/",P340)+1))))</f>
        <v/>
      </c>
      <c r="AH340" s="7" t="str">
        <f aca="false">IF(OR(P340="",AE340=""),"",IFERROR(INDEX('لیست‌ها'!$Q$3:$Q$53,MATCH(AE340,'لیست‌ها'!$P$3:$P$53,0))+IF(AF340&lt;=6,(AF340-1)*31+AG340,IF(AF340&lt;=11,186+(AF340-7)*30+AG340,336+AG340))-1,""))</f>
        <v/>
      </c>
      <c r="AI340" s="7" t="str">
        <f aca="false">IF(W340="","",W340&amp;"-"&amp;TEXT(X340,"00"))</f>
        <v/>
      </c>
      <c r="AJ340" s="7" t="str">
        <f aca="false">IF(W340="","",W340*12+X340)</f>
        <v/>
      </c>
      <c r="AK340" s="7" t="str">
        <f aca="false">IF(U340="تاخیر",V340+ROW()/100000,"")</f>
        <v/>
      </c>
    </row>
    <row r="341" customFormat="false" ht="15" hidden="false" customHeight="false" outlineLevel="0" collapsed="false">
      <c r="A341" s="7" t="str">
        <f aca="false">IF(B341="","",ROW()-3)</f>
        <v/>
      </c>
      <c r="B341" s="8"/>
      <c r="C341" s="8"/>
      <c r="D341" s="8"/>
      <c r="E341" s="9"/>
      <c r="F341" s="9"/>
      <c r="G341" s="8"/>
      <c r="H341" s="8"/>
      <c r="I341" s="8"/>
      <c r="J341" s="9"/>
      <c r="K341" s="8"/>
      <c r="L341" s="8"/>
      <c r="M341" s="8"/>
      <c r="N341" s="8"/>
      <c r="O341" s="8"/>
      <c r="P341" s="8"/>
      <c r="Q341" s="8"/>
      <c r="R341" s="9"/>
      <c r="S341" s="8"/>
      <c r="T341" s="9"/>
      <c r="U341" s="10" t="str">
        <f aca="true">IF(B341="","",IF(OR(P341&lt;&gt;"",I341="می‌باشد"),"بسته",IF(AND(L341&lt;&gt;"",W341=""),"خطای فرمت تاریخ ایجاد",IF(AND(H341&lt;&gt;"",AA341=""),"خطای فرمت مهلت",IF(AND(H341&lt;&gt;"",AD341&lt;&gt;"",TODAY()&gt;AD341),"تاخیر",IF(L341&lt;&gt;"","در حال انجام",""))))))</f>
        <v/>
      </c>
      <c r="V341" s="7" t="n">
        <f aca="true">IF(U341="تاخیر",TODAY()-AD341,IF(AND(U341="بسته",AH341&lt;&gt;"",AD341&lt;&gt;"",AH341&gt;AD341),AH341-AD341,0))</f>
        <v>0</v>
      </c>
      <c r="W341" s="7" t="str">
        <f aca="false">IF(L341="","",VALUE(LEFT(L341,FIND("/",L341)-1)))</f>
        <v/>
      </c>
      <c r="X341" s="7" t="str">
        <f aca="false">IF(L341="","",VALUE(MID(L341,FIND("/",L341)+1,FIND("/",L341,FIND("/",L341)+1)-FIND("/",L341)-1)))</f>
        <v/>
      </c>
      <c r="Y341" s="7" t="str">
        <f aca="false">IF(L341="","",VALUE(MID(L341,FIND("/",L341,FIND("/",L341)+1)+1,LEN(L341)-FIND("/",L341,FIND("/",L341)+1))))</f>
        <v/>
      </c>
      <c r="Z341" s="7" t="str">
        <f aca="false">IF(OR(L341="",W341=""),"",IFERROR(INDEX('لیست‌ها'!$Q$3:$Q$53,MATCH(W341,'لیست‌ها'!$P$3:$P$53,0))+IF(X341&lt;=6,(X341-1)*31+Y341,IF(X341&lt;=11,186+(X341-7)*30+Y341,336+Y341))-1,""))</f>
        <v/>
      </c>
      <c r="AA341" s="7" t="str">
        <f aca="false">IF(H341="","",VALUE(LEFT(H341,FIND("/",H341)-1)))</f>
        <v/>
      </c>
      <c r="AB341" s="7" t="str">
        <f aca="false">IF(H341="","",VALUE(MID(H341,FIND("/",H341)+1,FIND("/",H341,FIND("/",H341)+1)-FIND("/",H341)-1)))</f>
        <v/>
      </c>
      <c r="AC341" s="7" t="str">
        <f aca="false">IF(H341="","",VALUE(MID(H341,FIND("/",H341,FIND("/",H341)+1)+1,LEN(H341)-FIND("/",H341,FIND("/",H341)+1))))</f>
        <v/>
      </c>
      <c r="AD341" s="7" t="str">
        <f aca="false">IF(OR(H341="",AA341=""),"",IFERROR(INDEX('لیست‌ها'!$Q$3:$Q$53,MATCH(AA341,'لیست‌ها'!$P$3:$P$53,0))+IF(AB341&lt;=6,(AB341-1)*31+AC341,IF(AB341&lt;=11,186+(AB341-7)*30+AC341,336+AC341))-1,""))</f>
        <v/>
      </c>
      <c r="AE341" s="7" t="str">
        <f aca="false">IF(P341="","",VALUE(LEFT(P341,FIND("/",P341)-1)))</f>
        <v/>
      </c>
      <c r="AF341" s="7" t="str">
        <f aca="false">IF(P341="","",VALUE(MID(P341,FIND("/",P341)+1,FIND("/",P341,FIND("/",P341)+1)-FIND("/",P341)-1)))</f>
        <v/>
      </c>
      <c r="AG341" s="7" t="str">
        <f aca="false">IF(P341="","",VALUE(MID(P341,FIND("/",P341,FIND("/",P341)+1)+1,LEN(P341)-FIND("/",P341,FIND("/",P341)+1))))</f>
        <v/>
      </c>
      <c r="AH341" s="7" t="str">
        <f aca="false">IF(OR(P341="",AE341=""),"",IFERROR(INDEX('لیست‌ها'!$Q$3:$Q$53,MATCH(AE341,'لیست‌ها'!$P$3:$P$53,0))+IF(AF341&lt;=6,(AF341-1)*31+AG341,IF(AF341&lt;=11,186+(AF341-7)*30+AG341,336+AG341))-1,""))</f>
        <v/>
      </c>
      <c r="AI341" s="7" t="str">
        <f aca="false">IF(W341="","",W341&amp;"-"&amp;TEXT(X341,"00"))</f>
        <v/>
      </c>
      <c r="AJ341" s="7" t="str">
        <f aca="false">IF(W341="","",W341*12+X341)</f>
        <v/>
      </c>
      <c r="AK341" s="7" t="str">
        <f aca="false">IF(U341="تاخیر",V341+ROW()/100000,"")</f>
        <v/>
      </c>
    </row>
    <row r="342" customFormat="false" ht="15" hidden="false" customHeight="false" outlineLevel="0" collapsed="false">
      <c r="A342" s="7" t="str">
        <f aca="false">IF(B342="","",ROW()-3)</f>
        <v/>
      </c>
      <c r="B342" s="8"/>
      <c r="C342" s="8"/>
      <c r="D342" s="8"/>
      <c r="E342" s="9"/>
      <c r="F342" s="9"/>
      <c r="G342" s="8"/>
      <c r="H342" s="8"/>
      <c r="I342" s="8"/>
      <c r="J342" s="9"/>
      <c r="K342" s="8"/>
      <c r="L342" s="8"/>
      <c r="M342" s="8"/>
      <c r="N342" s="8"/>
      <c r="O342" s="8"/>
      <c r="P342" s="8"/>
      <c r="Q342" s="8"/>
      <c r="R342" s="9"/>
      <c r="S342" s="8"/>
      <c r="T342" s="9"/>
      <c r="U342" s="10" t="str">
        <f aca="true">IF(B342="","",IF(OR(P342&lt;&gt;"",I342="می‌باشد"),"بسته",IF(AND(L342&lt;&gt;"",W342=""),"خطای فرمت تاریخ ایجاد",IF(AND(H342&lt;&gt;"",AA342=""),"خطای فرمت مهلت",IF(AND(H342&lt;&gt;"",AD342&lt;&gt;"",TODAY()&gt;AD342),"تاخیر",IF(L342&lt;&gt;"","در حال انجام",""))))))</f>
        <v/>
      </c>
      <c r="V342" s="7" t="n">
        <f aca="true">IF(U342="تاخیر",TODAY()-AD342,IF(AND(U342="بسته",AH342&lt;&gt;"",AD342&lt;&gt;"",AH342&gt;AD342),AH342-AD342,0))</f>
        <v>0</v>
      </c>
      <c r="W342" s="7" t="str">
        <f aca="false">IF(L342="","",VALUE(LEFT(L342,FIND("/",L342)-1)))</f>
        <v/>
      </c>
      <c r="X342" s="7" t="str">
        <f aca="false">IF(L342="","",VALUE(MID(L342,FIND("/",L342)+1,FIND("/",L342,FIND("/",L342)+1)-FIND("/",L342)-1)))</f>
        <v/>
      </c>
      <c r="Y342" s="7" t="str">
        <f aca="false">IF(L342="","",VALUE(MID(L342,FIND("/",L342,FIND("/",L342)+1)+1,LEN(L342)-FIND("/",L342,FIND("/",L342)+1))))</f>
        <v/>
      </c>
      <c r="Z342" s="7" t="str">
        <f aca="false">IF(OR(L342="",W342=""),"",IFERROR(INDEX('لیست‌ها'!$Q$3:$Q$53,MATCH(W342,'لیست‌ها'!$P$3:$P$53,0))+IF(X342&lt;=6,(X342-1)*31+Y342,IF(X342&lt;=11,186+(X342-7)*30+Y342,336+Y342))-1,""))</f>
        <v/>
      </c>
      <c r="AA342" s="7" t="str">
        <f aca="false">IF(H342="","",VALUE(LEFT(H342,FIND("/",H342)-1)))</f>
        <v/>
      </c>
      <c r="AB342" s="7" t="str">
        <f aca="false">IF(H342="","",VALUE(MID(H342,FIND("/",H342)+1,FIND("/",H342,FIND("/",H342)+1)-FIND("/",H342)-1)))</f>
        <v/>
      </c>
      <c r="AC342" s="7" t="str">
        <f aca="false">IF(H342="","",VALUE(MID(H342,FIND("/",H342,FIND("/",H342)+1)+1,LEN(H342)-FIND("/",H342,FIND("/",H342)+1))))</f>
        <v/>
      </c>
      <c r="AD342" s="7" t="str">
        <f aca="false">IF(OR(H342="",AA342=""),"",IFERROR(INDEX('لیست‌ها'!$Q$3:$Q$53,MATCH(AA342,'لیست‌ها'!$P$3:$P$53,0))+IF(AB342&lt;=6,(AB342-1)*31+AC342,IF(AB342&lt;=11,186+(AB342-7)*30+AC342,336+AC342))-1,""))</f>
        <v/>
      </c>
      <c r="AE342" s="7" t="str">
        <f aca="false">IF(P342="","",VALUE(LEFT(P342,FIND("/",P342)-1)))</f>
        <v/>
      </c>
      <c r="AF342" s="7" t="str">
        <f aca="false">IF(P342="","",VALUE(MID(P342,FIND("/",P342)+1,FIND("/",P342,FIND("/",P342)+1)-FIND("/",P342)-1)))</f>
        <v/>
      </c>
      <c r="AG342" s="7" t="str">
        <f aca="false">IF(P342="","",VALUE(MID(P342,FIND("/",P342,FIND("/",P342)+1)+1,LEN(P342)-FIND("/",P342,FIND("/",P342)+1))))</f>
        <v/>
      </c>
      <c r="AH342" s="7" t="str">
        <f aca="false">IF(OR(P342="",AE342=""),"",IFERROR(INDEX('لیست‌ها'!$Q$3:$Q$53,MATCH(AE342,'لیست‌ها'!$P$3:$P$53,0))+IF(AF342&lt;=6,(AF342-1)*31+AG342,IF(AF342&lt;=11,186+(AF342-7)*30+AG342,336+AG342))-1,""))</f>
        <v/>
      </c>
      <c r="AI342" s="7" t="str">
        <f aca="false">IF(W342="","",W342&amp;"-"&amp;TEXT(X342,"00"))</f>
        <v/>
      </c>
      <c r="AJ342" s="7" t="str">
        <f aca="false">IF(W342="","",W342*12+X342)</f>
        <v/>
      </c>
      <c r="AK342" s="7" t="str">
        <f aca="false">IF(U342="تاخیر",V342+ROW()/100000,"")</f>
        <v/>
      </c>
    </row>
    <row r="343" customFormat="false" ht="15" hidden="false" customHeight="false" outlineLevel="0" collapsed="false">
      <c r="A343" s="7" t="str">
        <f aca="false">IF(B343="","",ROW()-3)</f>
        <v/>
      </c>
      <c r="B343" s="8"/>
      <c r="C343" s="8"/>
      <c r="D343" s="8"/>
      <c r="E343" s="9"/>
      <c r="F343" s="9"/>
      <c r="G343" s="8"/>
      <c r="H343" s="8"/>
      <c r="I343" s="8"/>
      <c r="J343" s="9"/>
      <c r="K343" s="8"/>
      <c r="L343" s="8"/>
      <c r="M343" s="8"/>
      <c r="N343" s="8"/>
      <c r="O343" s="8"/>
      <c r="P343" s="8"/>
      <c r="Q343" s="8"/>
      <c r="R343" s="9"/>
      <c r="S343" s="8"/>
      <c r="T343" s="9"/>
      <c r="U343" s="10" t="str">
        <f aca="true">IF(B343="","",IF(OR(P343&lt;&gt;"",I343="می‌باشد"),"بسته",IF(AND(L343&lt;&gt;"",W343=""),"خطای فرمت تاریخ ایجاد",IF(AND(H343&lt;&gt;"",AA343=""),"خطای فرمت مهلت",IF(AND(H343&lt;&gt;"",AD343&lt;&gt;"",TODAY()&gt;AD343),"تاخیر",IF(L343&lt;&gt;"","در حال انجام",""))))))</f>
        <v/>
      </c>
      <c r="V343" s="7" t="n">
        <f aca="true">IF(U343="تاخیر",TODAY()-AD343,IF(AND(U343="بسته",AH343&lt;&gt;"",AD343&lt;&gt;"",AH343&gt;AD343),AH343-AD343,0))</f>
        <v>0</v>
      </c>
      <c r="W343" s="7" t="str">
        <f aca="false">IF(L343="","",VALUE(LEFT(L343,FIND("/",L343)-1)))</f>
        <v/>
      </c>
      <c r="X343" s="7" t="str">
        <f aca="false">IF(L343="","",VALUE(MID(L343,FIND("/",L343)+1,FIND("/",L343,FIND("/",L343)+1)-FIND("/",L343)-1)))</f>
        <v/>
      </c>
      <c r="Y343" s="7" t="str">
        <f aca="false">IF(L343="","",VALUE(MID(L343,FIND("/",L343,FIND("/",L343)+1)+1,LEN(L343)-FIND("/",L343,FIND("/",L343)+1))))</f>
        <v/>
      </c>
      <c r="Z343" s="7" t="str">
        <f aca="false">IF(OR(L343="",W343=""),"",IFERROR(INDEX('لیست‌ها'!$Q$3:$Q$53,MATCH(W343,'لیست‌ها'!$P$3:$P$53,0))+IF(X343&lt;=6,(X343-1)*31+Y343,IF(X343&lt;=11,186+(X343-7)*30+Y343,336+Y343))-1,""))</f>
        <v/>
      </c>
      <c r="AA343" s="7" t="str">
        <f aca="false">IF(H343="","",VALUE(LEFT(H343,FIND("/",H343)-1)))</f>
        <v/>
      </c>
      <c r="AB343" s="7" t="str">
        <f aca="false">IF(H343="","",VALUE(MID(H343,FIND("/",H343)+1,FIND("/",H343,FIND("/",H343)+1)-FIND("/",H343)-1)))</f>
        <v/>
      </c>
      <c r="AC343" s="7" t="str">
        <f aca="false">IF(H343="","",VALUE(MID(H343,FIND("/",H343,FIND("/",H343)+1)+1,LEN(H343)-FIND("/",H343,FIND("/",H343)+1))))</f>
        <v/>
      </c>
      <c r="AD343" s="7" t="str">
        <f aca="false">IF(OR(H343="",AA343=""),"",IFERROR(INDEX('لیست‌ها'!$Q$3:$Q$53,MATCH(AA343,'لیست‌ها'!$P$3:$P$53,0))+IF(AB343&lt;=6,(AB343-1)*31+AC343,IF(AB343&lt;=11,186+(AB343-7)*30+AC343,336+AC343))-1,""))</f>
        <v/>
      </c>
      <c r="AE343" s="7" t="str">
        <f aca="false">IF(P343="","",VALUE(LEFT(P343,FIND("/",P343)-1)))</f>
        <v/>
      </c>
      <c r="AF343" s="7" t="str">
        <f aca="false">IF(P343="","",VALUE(MID(P343,FIND("/",P343)+1,FIND("/",P343,FIND("/",P343)+1)-FIND("/",P343)-1)))</f>
        <v/>
      </c>
      <c r="AG343" s="7" t="str">
        <f aca="false">IF(P343="","",VALUE(MID(P343,FIND("/",P343,FIND("/",P343)+1)+1,LEN(P343)-FIND("/",P343,FIND("/",P343)+1))))</f>
        <v/>
      </c>
      <c r="AH343" s="7" t="str">
        <f aca="false">IF(OR(P343="",AE343=""),"",IFERROR(INDEX('لیست‌ها'!$Q$3:$Q$53,MATCH(AE343,'لیست‌ها'!$P$3:$P$53,0))+IF(AF343&lt;=6,(AF343-1)*31+AG343,IF(AF343&lt;=11,186+(AF343-7)*30+AG343,336+AG343))-1,""))</f>
        <v/>
      </c>
      <c r="AI343" s="7" t="str">
        <f aca="false">IF(W343="","",W343&amp;"-"&amp;TEXT(X343,"00"))</f>
        <v/>
      </c>
      <c r="AJ343" s="7" t="str">
        <f aca="false">IF(W343="","",W343*12+X343)</f>
        <v/>
      </c>
      <c r="AK343" s="7" t="str">
        <f aca="false">IF(U343="تاخیر",V343+ROW()/100000,"")</f>
        <v/>
      </c>
    </row>
    <row r="344" customFormat="false" ht="15" hidden="false" customHeight="false" outlineLevel="0" collapsed="false">
      <c r="A344" s="7" t="str">
        <f aca="false">IF(B344="","",ROW()-3)</f>
        <v/>
      </c>
      <c r="B344" s="8"/>
      <c r="C344" s="8"/>
      <c r="D344" s="8"/>
      <c r="E344" s="9"/>
      <c r="F344" s="9"/>
      <c r="G344" s="8"/>
      <c r="H344" s="8"/>
      <c r="I344" s="8"/>
      <c r="J344" s="9"/>
      <c r="K344" s="8"/>
      <c r="L344" s="8"/>
      <c r="M344" s="8"/>
      <c r="N344" s="8"/>
      <c r="O344" s="8"/>
      <c r="P344" s="8"/>
      <c r="Q344" s="8"/>
      <c r="R344" s="9"/>
      <c r="S344" s="8"/>
      <c r="T344" s="9"/>
      <c r="U344" s="10" t="str">
        <f aca="true">IF(B344="","",IF(OR(P344&lt;&gt;"",I344="می‌باشد"),"بسته",IF(AND(L344&lt;&gt;"",W344=""),"خطای فرمت تاریخ ایجاد",IF(AND(H344&lt;&gt;"",AA344=""),"خطای فرمت مهلت",IF(AND(H344&lt;&gt;"",AD344&lt;&gt;"",TODAY()&gt;AD344),"تاخیر",IF(L344&lt;&gt;"","در حال انجام",""))))))</f>
        <v/>
      </c>
      <c r="V344" s="7" t="n">
        <f aca="true">IF(U344="تاخیر",TODAY()-AD344,IF(AND(U344="بسته",AH344&lt;&gt;"",AD344&lt;&gt;"",AH344&gt;AD344),AH344-AD344,0))</f>
        <v>0</v>
      </c>
      <c r="W344" s="7" t="str">
        <f aca="false">IF(L344="","",VALUE(LEFT(L344,FIND("/",L344)-1)))</f>
        <v/>
      </c>
      <c r="X344" s="7" t="str">
        <f aca="false">IF(L344="","",VALUE(MID(L344,FIND("/",L344)+1,FIND("/",L344,FIND("/",L344)+1)-FIND("/",L344)-1)))</f>
        <v/>
      </c>
      <c r="Y344" s="7" t="str">
        <f aca="false">IF(L344="","",VALUE(MID(L344,FIND("/",L344,FIND("/",L344)+1)+1,LEN(L344)-FIND("/",L344,FIND("/",L344)+1))))</f>
        <v/>
      </c>
      <c r="Z344" s="7" t="str">
        <f aca="false">IF(OR(L344="",W344=""),"",IFERROR(INDEX('لیست‌ها'!$Q$3:$Q$53,MATCH(W344,'لیست‌ها'!$P$3:$P$53,0))+IF(X344&lt;=6,(X344-1)*31+Y344,IF(X344&lt;=11,186+(X344-7)*30+Y344,336+Y344))-1,""))</f>
        <v/>
      </c>
      <c r="AA344" s="7" t="str">
        <f aca="false">IF(H344="","",VALUE(LEFT(H344,FIND("/",H344)-1)))</f>
        <v/>
      </c>
      <c r="AB344" s="7" t="str">
        <f aca="false">IF(H344="","",VALUE(MID(H344,FIND("/",H344)+1,FIND("/",H344,FIND("/",H344)+1)-FIND("/",H344)-1)))</f>
        <v/>
      </c>
      <c r="AC344" s="7" t="str">
        <f aca="false">IF(H344="","",VALUE(MID(H344,FIND("/",H344,FIND("/",H344)+1)+1,LEN(H344)-FIND("/",H344,FIND("/",H344)+1))))</f>
        <v/>
      </c>
      <c r="AD344" s="7" t="str">
        <f aca="false">IF(OR(H344="",AA344=""),"",IFERROR(INDEX('لیست‌ها'!$Q$3:$Q$53,MATCH(AA344,'لیست‌ها'!$P$3:$P$53,0))+IF(AB344&lt;=6,(AB344-1)*31+AC344,IF(AB344&lt;=11,186+(AB344-7)*30+AC344,336+AC344))-1,""))</f>
        <v/>
      </c>
      <c r="AE344" s="7" t="str">
        <f aca="false">IF(P344="","",VALUE(LEFT(P344,FIND("/",P344)-1)))</f>
        <v/>
      </c>
      <c r="AF344" s="7" t="str">
        <f aca="false">IF(P344="","",VALUE(MID(P344,FIND("/",P344)+1,FIND("/",P344,FIND("/",P344)+1)-FIND("/",P344)-1)))</f>
        <v/>
      </c>
      <c r="AG344" s="7" t="str">
        <f aca="false">IF(P344="","",VALUE(MID(P344,FIND("/",P344,FIND("/",P344)+1)+1,LEN(P344)-FIND("/",P344,FIND("/",P344)+1))))</f>
        <v/>
      </c>
      <c r="AH344" s="7" t="str">
        <f aca="false">IF(OR(P344="",AE344=""),"",IFERROR(INDEX('لیست‌ها'!$Q$3:$Q$53,MATCH(AE344,'لیست‌ها'!$P$3:$P$53,0))+IF(AF344&lt;=6,(AF344-1)*31+AG344,IF(AF344&lt;=11,186+(AF344-7)*30+AG344,336+AG344))-1,""))</f>
        <v/>
      </c>
      <c r="AI344" s="7" t="str">
        <f aca="false">IF(W344="","",W344&amp;"-"&amp;TEXT(X344,"00"))</f>
        <v/>
      </c>
      <c r="AJ344" s="7" t="str">
        <f aca="false">IF(W344="","",W344*12+X344)</f>
        <v/>
      </c>
      <c r="AK344" s="7" t="str">
        <f aca="false">IF(U344="تاخیر",V344+ROW()/100000,"")</f>
        <v/>
      </c>
    </row>
    <row r="345" customFormat="false" ht="15" hidden="false" customHeight="false" outlineLevel="0" collapsed="false">
      <c r="A345" s="7" t="str">
        <f aca="false">IF(B345="","",ROW()-3)</f>
        <v/>
      </c>
      <c r="B345" s="8"/>
      <c r="C345" s="8"/>
      <c r="D345" s="8"/>
      <c r="E345" s="9"/>
      <c r="F345" s="9"/>
      <c r="G345" s="8"/>
      <c r="H345" s="8"/>
      <c r="I345" s="8"/>
      <c r="J345" s="9"/>
      <c r="K345" s="8"/>
      <c r="L345" s="8"/>
      <c r="M345" s="8"/>
      <c r="N345" s="8"/>
      <c r="O345" s="8"/>
      <c r="P345" s="8"/>
      <c r="Q345" s="8"/>
      <c r="R345" s="9"/>
      <c r="S345" s="8"/>
      <c r="T345" s="9"/>
      <c r="U345" s="10" t="str">
        <f aca="true">IF(B345="","",IF(OR(P345&lt;&gt;"",I345="می‌باشد"),"بسته",IF(AND(L345&lt;&gt;"",W345=""),"خطای فرمت تاریخ ایجاد",IF(AND(H345&lt;&gt;"",AA345=""),"خطای فرمت مهلت",IF(AND(H345&lt;&gt;"",AD345&lt;&gt;"",TODAY()&gt;AD345),"تاخیر",IF(L345&lt;&gt;"","در حال انجام",""))))))</f>
        <v/>
      </c>
      <c r="V345" s="7" t="n">
        <f aca="true">IF(U345="تاخیر",TODAY()-AD345,IF(AND(U345="بسته",AH345&lt;&gt;"",AD345&lt;&gt;"",AH345&gt;AD345),AH345-AD345,0))</f>
        <v>0</v>
      </c>
      <c r="W345" s="7" t="str">
        <f aca="false">IF(L345="","",VALUE(LEFT(L345,FIND("/",L345)-1)))</f>
        <v/>
      </c>
      <c r="X345" s="7" t="str">
        <f aca="false">IF(L345="","",VALUE(MID(L345,FIND("/",L345)+1,FIND("/",L345,FIND("/",L345)+1)-FIND("/",L345)-1)))</f>
        <v/>
      </c>
      <c r="Y345" s="7" t="str">
        <f aca="false">IF(L345="","",VALUE(MID(L345,FIND("/",L345,FIND("/",L345)+1)+1,LEN(L345)-FIND("/",L345,FIND("/",L345)+1))))</f>
        <v/>
      </c>
      <c r="Z345" s="7" t="str">
        <f aca="false">IF(OR(L345="",W345=""),"",IFERROR(INDEX('لیست‌ها'!$Q$3:$Q$53,MATCH(W345,'لیست‌ها'!$P$3:$P$53,0))+IF(X345&lt;=6,(X345-1)*31+Y345,IF(X345&lt;=11,186+(X345-7)*30+Y345,336+Y345))-1,""))</f>
        <v/>
      </c>
      <c r="AA345" s="7" t="str">
        <f aca="false">IF(H345="","",VALUE(LEFT(H345,FIND("/",H345)-1)))</f>
        <v/>
      </c>
      <c r="AB345" s="7" t="str">
        <f aca="false">IF(H345="","",VALUE(MID(H345,FIND("/",H345)+1,FIND("/",H345,FIND("/",H345)+1)-FIND("/",H345)-1)))</f>
        <v/>
      </c>
      <c r="AC345" s="7" t="str">
        <f aca="false">IF(H345="","",VALUE(MID(H345,FIND("/",H345,FIND("/",H345)+1)+1,LEN(H345)-FIND("/",H345,FIND("/",H345)+1))))</f>
        <v/>
      </c>
      <c r="AD345" s="7" t="str">
        <f aca="false">IF(OR(H345="",AA345=""),"",IFERROR(INDEX('لیست‌ها'!$Q$3:$Q$53,MATCH(AA345,'لیست‌ها'!$P$3:$P$53,0))+IF(AB345&lt;=6,(AB345-1)*31+AC345,IF(AB345&lt;=11,186+(AB345-7)*30+AC345,336+AC345))-1,""))</f>
        <v/>
      </c>
      <c r="AE345" s="7" t="str">
        <f aca="false">IF(P345="","",VALUE(LEFT(P345,FIND("/",P345)-1)))</f>
        <v/>
      </c>
      <c r="AF345" s="7" t="str">
        <f aca="false">IF(P345="","",VALUE(MID(P345,FIND("/",P345)+1,FIND("/",P345,FIND("/",P345)+1)-FIND("/",P345)-1)))</f>
        <v/>
      </c>
      <c r="AG345" s="7" t="str">
        <f aca="false">IF(P345="","",VALUE(MID(P345,FIND("/",P345,FIND("/",P345)+1)+1,LEN(P345)-FIND("/",P345,FIND("/",P345)+1))))</f>
        <v/>
      </c>
      <c r="AH345" s="7" t="str">
        <f aca="false">IF(OR(P345="",AE345=""),"",IFERROR(INDEX('لیست‌ها'!$Q$3:$Q$53,MATCH(AE345,'لیست‌ها'!$P$3:$P$53,0))+IF(AF345&lt;=6,(AF345-1)*31+AG345,IF(AF345&lt;=11,186+(AF345-7)*30+AG345,336+AG345))-1,""))</f>
        <v/>
      </c>
      <c r="AI345" s="7" t="str">
        <f aca="false">IF(W345="","",W345&amp;"-"&amp;TEXT(X345,"00"))</f>
        <v/>
      </c>
      <c r="AJ345" s="7" t="str">
        <f aca="false">IF(W345="","",W345*12+X345)</f>
        <v/>
      </c>
      <c r="AK345" s="7" t="str">
        <f aca="false">IF(U345="تاخیر",V345+ROW()/100000,"")</f>
        <v/>
      </c>
    </row>
    <row r="346" customFormat="false" ht="15" hidden="false" customHeight="false" outlineLevel="0" collapsed="false">
      <c r="A346" s="7" t="str">
        <f aca="false">IF(B346="","",ROW()-3)</f>
        <v/>
      </c>
      <c r="B346" s="8"/>
      <c r="C346" s="8"/>
      <c r="D346" s="8"/>
      <c r="E346" s="9"/>
      <c r="F346" s="9"/>
      <c r="G346" s="8"/>
      <c r="H346" s="8"/>
      <c r="I346" s="8"/>
      <c r="J346" s="9"/>
      <c r="K346" s="8"/>
      <c r="L346" s="8"/>
      <c r="M346" s="8"/>
      <c r="N346" s="8"/>
      <c r="O346" s="8"/>
      <c r="P346" s="8"/>
      <c r="Q346" s="8"/>
      <c r="R346" s="9"/>
      <c r="S346" s="8"/>
      <c r="T346" s="9"/>
      <c r="U346" s="10" t="str">
        <f aca="true">IF(B346="","",IF(OR(P346&lt;&gt;"",I346="می‌باشد"),"بسته",IF(AND(L346&lt;&gt;"",W346=""),"خطای فرمت تاریخ ایجاد",IF(AND(H346&lt;&gt;"",AA346=""),"خطای فرمت مهلت",IF(AND(H346&lt;&gt;"",AD346&lt;&gt;"",TODAY()&gt;AD346),"تاخیر",IF(L346&lt;&gt;"","در حال انجام",""))))))</f>
        <v/>
      </c>
      <c r="V346" s="7" t="n">
        <f aca="true">IF(U346="تاخیر",TODAY()-AD346,IF(AND(U346="بسته",AH346&lt;&gt;"",AD346&lt;&gt;"",AH346&gt;AD346),AH346-AD346,0))</f>
        <v>0</v>
      </c>
      <c r="W346" s="7" t="str">
        <f aca="false">IF(L346="","",VALUE(LEFT(L346,FIND("/",L346)-1)))</f>
        <v/>
      </c>
      <c r="X346" s="7" t="str">
        <f aca="false">IF(L346="","",VALUE(MID(L346,FIND("/",L346)+1,FIND("/",L346,FIND("/",L346)+1)-FIND("/",L346)-1)))</f>
        <v/>
      </c>
      <c r="Y346" s="7" t="str">
        <f aca="false">IF(L346="","",VALUE(MID(L346,FIND("/",L346,FIND("/",L346)+1)+1,LEN(L346)-FIND("/",L346,FIND("/",L346)+1))))</f>
        <v/>
      </c>
      <c r="Z346" s="7" t="str">
        <f aca="false">IF(OR(L346="",W346=""),"",IFERROR(INDEX('لیست‌ها'!$Q$3:$Q$53,MATCH(W346,'لیست‌ها'!$P$3:$P$53,0))+IF(X346&lt;=6,(X346-1)*31+Y346,IF(X346&lt;=11,186+(X346-7)*30+Y346,336+Y346))-1,""))</f>
        <v/>
      </c>
      <c r="AA346" s="7" t="str">
        <f aca="false">IF(H346="","",VALUE(LEFT(H346,FIND("/",H346)-1)))</f>
        <v/>
      </c>
      <c r="AB346" s="7" t="str">
        <f aca="false">IF(H346="","",VALUE(MID(H346,FIND("/",H346)+1,FIND("/",H346,FIND("/",H346)+1)-FIND("/",H346)-1)))</f>
        <v/>
      </c>
      <c r="AC346" s="7" t="str">
        <f aca="false">IF(H346="","",VALUE(MID(H346,FIND("/",H346,FIND("/",H346)+1)+1,LEN(H346)-FIND("/",H346,FIND("/",H346)+1))))</f>
        <v/>
      </c>
      <c r="AD346" s="7" t="str">
        <f aca="false">IF(OR(H346="",AA346=""),"",IFERROR(INDEX('لیست‌ها'!$Q$3:$Q$53,MATCH(AA346,'لیست‌ها'!$P$3:$P$53,0))+IF(AB346&lt;=6,(AB346-1)*31+AC346,IF(AB346&lt;=11,186+(AB346-7)*30+AC346,336+AC346))-1,""))</f>
        <v/>
      </c>
      <c r="AE346" s="7" t="str">
        <f aca="false">IF(P346="","",VALUE(LEFT(P346,FIND("/",P346)-1)))</f>
        <v/>
      </c>
      <c r="AF346" s="7" t="str">
        <f aca="false">IF(P346="","",VALUE(MID(P346,FIND("/",P346)+1,FIND("/",P346,FIND("/",P346)+1)-FIND("/",P346)-1)))</f>
        <v/>
      </c>
      <c r="AG346" s="7" t="str">
        <f aca="false">IF(P346="","",VALUE(MID(P346,FIND("/",P346,FIND("/",P346)+1)+1,LEN(P346)-FIND("/",P346,FIND("/",P346)+1))))</f>
        <v/>
      </c>
      <c r="AH346" s="7" t="str">
        <f aca="false">IF(OR(P346="",AE346=""),"",IFERROR(INDEX('لیست‌ها'!$Q$3:$Q$53,MATCH(AE346,'لیست‌ها'!$P$3:$P$53,0))+IF(AF346&lt;=6,(AF346-1)*31+AG346,IF(AF346&lt;=11,186+(AF346-7)*30+AG346,336+AG346))-1,""))</f>
        <v/>
      </c>
      <c r="AI346" s="7" t="str">
        <f aca="false">IF(W346="","",W346&amp;"-"&amp;TEXT(X346,"00"))</f>
        <v/>
      </c>
      <c r="AJ346" s="7" t="str">
        <f aca="false">IF(W346="","",W346*12+X346)</f>
        <v/>
      </c>
      <c r="AK346" s="7" t="str">
        <f aca="false">IF(U346="تاخیر",V346+ROW()/100000,"")</f>
        <v/>
      </c>
    </row>
    <row r="347" customFormat="false" ht="15" hidden="false" customHeight="false" outlineLevel="0" collapsed="false">
      <c r="A347" s="7" t="str">
        <f aca="false">IF(B347="","",ROW()-3)</f>
        <v/>
      </c>
      <c r="B347" s="8"/>
      <c r="C347" s="8"/>
      <c r="D347" s="8"/>
      <c r="E347" s="9"/>
      <c r="F347" s="9"/>
      <c r="G347" s="8"/>
      <c r="H347" s="8"/>
      <c r="I347" s="8"/>
      <c r="J347" s="9"/>
      <c r="K347" s="8"/>
      <c r="L347" s="8"/>
      <c r="M347" s="8"/>
      <c r="N347" s="8"/>
      <c r="O347" s="8"/>
      <c r="P347" s="8"/>
      <c r="Q347" s="8"/>
      <c r="R347" s="9"/>
      <c r="S347" s="8"/>
      <c r="T347" s="9"/>
      <c r="U347" s="10" t="str">
        <f aca="true">IF(B347="","",IF(OR(P347&lt;&gt;"",I347="می‌باشد"),"بسته",IF(AND(L347&lt;&gt;"",W347=""),"خطای فرمت تاریخ ایجاد",IF(AND(H347&lt;&gt;"",AA347=""),"خطای فرمت مهلت",IF(AND(H347&lt;&gt;"",AD347&lt;&gt;"",TODAY()&gt;AD347),"تاخیر",IF(L347&lt;&gt;"","در حال انجام",""))))))</f>
        <v/>
      </c>
      <c r="V347" s="7" t="n">
        <f aca="true">IF(U347="تاخیر",TODAY()-AD347,IF(AND(U347="بسته",AH347&lt;&gt;"",AD347&lt;&gt;"",AH347&gt;AD347),AH347-AD347,0))</f>
        <v>0</v>
      </c>
      <c r="W347" s="7" t="str">
        <f aca="false">IF(L347="","",VALUE(LEFT(L347,FIND("/",L347)-1)))</f>
        <v/>
      </c>
      <c r="X347" s="7" t="str">
        <f aca="false">IF(L347="","",VALUE(MID(L347,FIND("/",L347)+1,FIND("/",L347,FIND("/",L347)+1)-FIND("/",L347)-1)))</f>
        <v/>
      </c>
      <c r="Y347" s="7" t="str">
        <f aca="false">IF(L347="","",VALUE(MID(L347,FIND("/",L347,FIND("/",L347)+1)+1,LEN(L347)-FIND("/",L347,FIND("/",L347)+1))))</f>
        <v/>
      </c>
      <c r="Z347" s="7" t="str">
        <f aca="false">IF(OR(L347="",W347=""),"",IFERROR(INDEX('لیست‌ها'!$Q$3:$Q$53,MATCH(W347,'لیست‌ها'!$P$3:$P$53,0))+IF(X347&lt;=6,(X347-1)*31+Y347,IF(X347&lt;=11,186+(X347-7)*30+Y347,336+Y347))-1,""))</f>
        <v/>
      </c>
      <c r="AA347" s="7" t="str">
        <f aca="false">IF(H347="","",VALUE(LEFT(H347,FIND("/",H347)-1)))</f>
        <v/>
      </c>
      <c r="AB347" s="7" t="str">
        <f aca="false">IF(H347="","",VALUE(MID(H347,FIND("/",H347)+1,FIND("/",H347,FIND("/",H347)+1)-FIND("/",H347)-1)))</f>
        <v/>
      </c>
      <c r="AC347" s="7" t="str">
        <f aca="false">IF(H347="","",VALUE(MID(H347,FIND("/",H347,FIND("/",H347)+1)+1,LEN(H347)-FIND("/",H347,FIND("/",H347)+1))))</f>
        <v/>
      </c>
      <c r="AD347" s="7" t="str">
        <f aca="false">IF(OR(H347="",AA347=""),"",IFERROR(INDEX('لیست‌ها'!$Q$3:$Q$53,MATCH(AA347,'لیست‌ها'!$P$3:$P$53,0))+IF(AB347&lt;=6,(AB347-1)*31+AC347,IF(AB347&lt;=11,186+(AB347-7)*30+AC347,336+AC347))-1,""))</f>
        <v/>
      </c>
      <c r="AE347" s="7" t="str">
        <f aca="false">IF(P347="","",VALUE(LEFT(P347,FIND("/",P347)-1)))</f>
        <v/>
      </c>
      <c r="AF347" s="7" t="str">
        <f aca="false">IF(P347="","",VALUE(MID(P347,FIND("/",P347)+1,FIND("/",P347,FIND("/",P347)+1)-FIND("/",P347)-1)))</f>
        <v/>
      </c>
      <c r="AG347" s="7" t="str">
        <f aca="false">IF(P347="","",VALUE(MID(P347,FIND("/",P347,FIND("/",P347)+1)+1,LEN(P347)-FIND("/",P347,FIND("/",P347)+1))))</f>
        <v/>
      </c>
      <c r="AH347" s="7" t="str">
        <f aca="false">IF(OR(P347="",AE347=""),"",IFERROR(INDEX('لیست‌ها'!$Q$3:$Q$53,MATCH(AE347,'لیست‌ها'!$P$3:$P$53,0))+IF(AF347&lt;=6,(AF347-1)*31+AG347,IF(AF347&lt;=11,186+(AF347-7)*30+AG347,336+AG347))-1,""))</f>
        <v/>
      </c>
      <c r="AI347" s="7" t="str">
        <f aca="false">IF(W347="","",W347&amp;"-"&amp;TEXT(X347,"00"))</f>
        <v/>
      </c>
      <c r="AJ347" s="7" t="str">
        <f aca="false">IF(W347="","",W347*12+X347)</f>
        <v/>
      </c>
      <c r="AK347" s="7" t="str">
        <f aca="false">IF(U347="تاخیر",V347+ROW()/100000,"")</f>
        <v/>
      </c>
    </row>
    <row r="348" customFormat="false" ht="15" hidden="false" customHeight="false" outlineLevel="0" collapsed="false">
      <c r="A348" s="7" t="str">
        <f aca="false">IF(B348="","",ROW()-3)</f>
        <v/>
      </c>
      <c r="B348" s="8"/>
      <c r="C348" s="8"/>
      <c r="D348" s="8"/>
      <c r="E348" s="9"/>
      <c r="F348" s="9"/>
      <c r="G348" s="8"/>
      <c r="H348" s="8"/>
      <c r="I348" s="8"/>
      <c r="J348" s="9"/>
      <c r="K348" s="8"/>
      <c r="L348" s="8"/>
      <c r="M348" s="8"/>
      <c r="N348" s="8"/>
      <c r="O348" s="8"/>
      <c r="P348" s="8"/>
      <c r="Q348" s="8"/>
      <c r="R348" s="9"/>
      <c r="S348" s="8"/>
      <c r="T348" s="9"/>
      <c r="U348" s="10" t="str">
        <f aca="true">IF(B348="","",IF(OR(P348&lt;&gt;"",I348="می‌باشد"),"بسته",IF(AND(L348&lt;&gt;"",W348=""),"خطای فرمت تاریخ ایجاد",IF(AND(H348&lt;&gt;"",AA348=""),"خطای فرمت مهلت",IF(AND(H348&lt;&gt;"",AD348&lt;&gt;"",TODAY()&gt;AD348),"تاخیر",IF(L348&lt;&gt;"","در حال انجام",""))))))</f>
        <v/>
      </c>
      <c r="V348" s="7" t="n">
        <f aca="true">IF(U348="تاخیر",TODAY()-AD348,IF(AND(U348="بسته",AH348&lt;&gt;"",AD348&lt;&gt;"",AH348&gt;AD348),AH348-AD348,0))</f>
        <v>0</v>
      </c>
      <c r="W348" s="7" t="str">
        <f aca="false">IF(L348="","",VALUE(LEFT(L348,FIND("/",L348)-1)))</f>
        <v/>
      </c>
      <c r="X348" s="7" t="str">
        <f aca="false">IF(L348="","",VALUE(MID(L348,FIND("/",L348)+1,FIND("/",L348,FIND("/",L348)+1)-FIND("/",L348)-1)))</f>
        <v/>
      </c>
      <c r="Y348" s="7" t="str">
        <f aca="false">IF(L348="","",VALUE(MID(L348,FIND("/",L348,FIND("/",L348)+1)+1,LEN(L348)-FIND("/",L348,FIND("/",L348)+1))))</f>
        <v/>
      </c>
      <c r="Z348" s="7" t="str">
        <f aca="false">IF(OR(L348="",W348=""),"",IFERROR(INDEX('لیست‌ها'!$Q$3:$Q$53,MATCH(W348,'لیست‌ها'!$P$3:$P$53,0))+IF(X348&lt;=6,(X348-1)*31+Y348,IF(X348&lt;=11,186+(X348-7)*30+Y348,336+Y348))-1,""))</f>
        <v/>
      </c>
      <c r="AA348" s="7" t="str">
        <f aca="false">IF(H348="","",VALUE(LEFT(H348,FIND("/",H348)-1)))</f>
        <v/>
      </c>
      <c r="AB348" s="7" t="str">
        <f aca="false">IF(H348="","",VALUE(MID(H348,FIND("/",H348)+1,FIND("/",H348,FIND("/",H348)+1)-FIND("/",H348)-1)))</f>
        <v/>
      </c>
      <c r="AC348" s="7" t="str">
        <f aca="false">IF(H348="","",VALUE(MID(H348,FIND("/",H348,FIND("/",H348)+1)+1,LEN(H348)-FIND("/",H348,FIND("/",H348)+1))))</f>
        <v/>
      </c>
      <c r="AD348" s="7" t="str">
        <f aca="false">IF(OR(H348="",AA348=""),"",IFERROR(INDEX('لیست‌ها'!$Q$3:$Q$53,MATCH(AA348,'لیست‌ها'!$P$3:$P$53,0))+IF(AB348&lt;=6,(AB348-1)*31+AC348,IF(AB348&lt;=11,186+(AB348-7)*30+AC348,336+AC348))-1,""))</f>
        <v/>
      </c>
      <c r="AE348" s="7" t="str">
        <f aca="false">IF(P348="","",VALUE(LEFT(P348,FIND("/",P348)-1)))</f>
        <v/>
      </c>
      <c r="AF348" s="7" t="str">
        <f aca="false">IF(P348="","",VALUE(MID(P348,FIND("/",P348)+1,FIND("/",P348,FIND("/",P348)+1)-FIND("/",P348)-1)))</f>
        <v/>
      </c>
      <c r="AG348" s="7" t="str">
        <f aca="false">IF(P348="","",VALUE(MID(P348,FIND("/",P348,FIND("/",P348)+1)+1,LEN(P348)-FIND("/",P348,FIND("/",P348)+1))))</f>
        <v/>
      </c>
      <c r="AH348" s="7" t="str">
        <f aca="false">IF(OR(P348="",AE348=""),"",IFERROR(INDEX('لیست‌ها'!$Q$3:$Q$53,MATCH(AE348,'لیست‌ها'!$P$3:$P$53,0))+IF(AF348&lt;=6,(AF348-1)*31+AG348,IF(AF348&lt;=11,186+(AF348-7)*30+AG348,336+AG348))-1,""))</f>
        <v/>
      </c>
      <c r="AI348" s="7" t="str">
        <f aca="false">IF(W348="","",W348&amp;"-"&amp;TEXT(X348,"00"))</f>
        <v/>
      </c>
      <c r="AJ348" s="7" t="str">
        <f aca="false">IF(W348="","",W348*12+X348)</f>
        <v/>
      </c>
      <c r="AK348" s="7" t="str">
        <f aca="false">IF(U348="تاخیر",V348+ROW()/100000,"")</f>
        <v/>
      </c>
    </row>
    <row r="349" customFormat="false" ht="15" hidden="false" customHeight="false" outlineLevel="0" collapsed="false">
      <c r="A349" s="7" t="str">
        <f aca="false">IF(B349="","",ROW()-3)</f>
        <v/>
      </c>
      <c r="B349" s="8"/>
      <c r="C349" s="8"/>
      <c r="D349" s="8"/>
      <c r="E349" s="9"/>
      <c r="F349" s="9"/>
      <c r="G349" s="8"/>
      <c r="H349" s="8"/>
      <c r="I349" s="8"/>
      <c r="J349" s="9"/>
      <c r="K349" s="8"/>
      <c r="L349" s="8"/>
      <c r="M349" s="8"/>
      <c r="N349" s="8"/>
      <c r="O349" s="8"/>
      <c r="P349" s="8"/>
      <c r="Q349" s="8"/>
      <c r="R349" s="9"/>
      <c r="S349" s="8"/>
      <c r="T349" s="9"/>
      <c r="U349" s="10" t="str">
        <f aca="true">IF(B349="","",IF(OR(P349&lt;&gt;"",I349="می‌باشد"),"بسته",IF(AND(L349&lt;&gt;"",W349=""),"خطای فرمت تاریخ ایجاد",IF(AND(H349&lt;&gt;"",AA349=""),"خطای فرمت مهلت",IF(AND(H349&lt;&gt;"",AD349&lt;&gt;"",TODAY()&gt;AD349),"تاخیر",IF(L349&lt;&gt;"","در حال انجام",""))))))</f>
        <v/>
      </c>
      <c r="V349" s="7" t="n">
        <f aca="true">IF(U349="تاخیر",TODAY()-AD349,IF(AND(U349="بسته",AH349&lt;&gt;"",AD349&lt;&gt;"",AH349&gt;AD349),AH349-AD349,0))</f>
        <v>0</v>
      </c>
      <c r="W349" s="7" t="str">
        <f aca="false">IF(L349="","",VALUE(LEFT(L349,FIND("/",L349)-1)))</f>
        <v/>
      </c>
      <c r="X349" s="7" t="str">
        <f aca="false">IF(L349="","",VALUE(MID(L349,FIND("/",L349)+1,FIND("/",L349,FIND("/",L349)+1)-FIND("/",L349)-1)))</f>
        <v/>
      </c>
      <c r="Y349" s="7" t="str">
        <f aca="false">IF(L349="","",VALUE(MID(L349,FIND("/",L349,FIND("/",L349)+1)+1,LEN(L349)-FIND("/",L349,FIND("/",L349)+1))))</f>
        <v/>
      </c>
      <c r="Z349" s="7" t="str">
        <f aca="false">IF(OR(L349="",W349=""),"",IFERROR(INDEX('لیست‌ها'!$Q$3:$Q$53,MATCH(W349,'لیست‌ها'!$P$3:$P$53,0))+IF(X349&lt;=6,(X349-1)*31+Y349,IF(X349&lt;=11,186+(X349-7)*30+Y349,336+Y349))-1,""))</f>
        <v/>
      </c>
      <c r="AA349" s="7" t="str">
        <f aca="false">IF(H349="","",VALUE(LEFT(H349,FIND("/",H349)-1)))</f>
        <v/>
      </c>
      <c r="AB349" s="7" t="str">
        <f aca="false">IF(H349="","",VALUE(MID(H349,FIND("/",H349)+1,FIND("/",H349,FIND("/",H349)+1)-FIND("/",H349)-1)))</f>
        <v/>
      </c>
      <c r="AC349" s="7" t="str">
        <f aca="false">IF(H349="","",VALUE(MID(H349,FIND("/",H349,FIND("/",H349)+1)+1,LEN(H349)-FIND("/",H349,FIND("/",H349)+1))))</f>
        <v/>
      </c>
      <c r="AD349" s="7" t="str">
        <f aca="false">IF(OR(H349="",AA349=""),"",IFERROR(INDEX('لیست‌ها'!$Q$3:$Q$53,MATCH(AA349,'لیست‌ها'!$P$3:$P$53,0))+IF(AB349&lt;=6,(AB349-1)*31+AC349,IF(AB349&lt;=11,186+(AB349-7)*30+AC349,336+AC349))-1,""))</f>
        <v/>
      </c>
      <c r="AE349" s="7" t="str">
        <f aca="false">IF(P349="","",VALUE(LEFT(P349,FIND("/",P349)-1)))</f>
        <v/>
      </c>
      <c r="AF349" s="7" t="str">
        <f aca="false">IF(P349="","",VALUE(MID(P349,FIND("/",P349)+1,FIND("/",P349,FIND("/",P349)+1)-FIND("/",P349)-1)))</f>
        <v/>
      </c>
      <c r="AG349" s="7" t="str">
        <f aca="false">IF(P349="","",VALUE(MID(P349,FIND("/",P349,FIND("/",P349)+1)+1,LEN(P349)-FIND("/",P349,FIND("/",P349)+1))))</f>
        <v/>
      </c>
      <c r="AH349" s="7" t="str">
        <f aca="false">IF(OR(P349="",AE349=""),"",IFERROR(INDEX('لیست‌ها'!$Q$3:$Q$53,MATCH(AE349,'لیست‌ها'!$P$3:$P$53,0))+IF(AF349&lt;=6,(AF349-1)*31+AG349,IF(AF349&lt;=11,186+(AF349-7)*30+AG349,336+AG349))-1,""))</f>
        <v/>
      </c>
      <c r="AI349" s="7" t="str">
        <f aca="false">IF(W349="","",W349&amp;"-"&amp;TEXT(X349,"00"))</f>
        <v/>
      </c>
      <c r="AJ349" s="7" t="str">
        <f aca="false">IF(W349="","",W349*12+X349)</f>
        <v/>
      </c>
      <c r="AK349" s="7" t="str">
        <f aca="false">IF(U349="تاخیر",V349+ROW()/100000,"")</f>
        <v/>
      </c>
    </row>
    <row r="350" customFormat="false" ht="15" hidden="false" customHeight="false" outlineLevel="0" collapsed="false">
      <c r="A350" s="7" t="str">
        <f aca="false">IF(B350="","",ROW()-3)</f>
        <v/>
      </c>
      <c r="B350" s="8"/>
      <c r="C350" s="8"/>
      <c r="D350" s="8"/>
      <c r="E350" s="9"/>
      <c r="F350" s="9"/>
      <c r="G350" s="8"/>
      <c r="H350" s="8"/>
      <c r="I350" s="8"/>
      <c r="J350" s="9"/>
      <c r="K350" s="8"/>
      <c r="L350" s="8"/>
      <c r="M350" s="8"/>
      <c r="N350" s="8"/>
      <c r="O350" s="8"/>
      <c r="P350" s="8"/>
      <c r="Q350" s="8"/>
      <c r="R350" s="9"/>
      <c r="S350" s="8"/>
      <c r="T350" s="9"/>
      <c r="U350" s="10" t="str">
        <f aca="true">IF(B350="","",IF(OR(P350&lt;&gt;"",I350="می‌باشد"),"بسته",IF(AND(L350&lt;&gt;"",W350=""),"خطای فرمت تاریخ ایجاد",IF(AND(H350&lt;&gt;"",AA350=""),"خطای فرمت مهلت",IF(AND(H350&lt;&gt;"",AD350&lt;&gt;"",TODAY()&gt;AD350),"تاخیر",IF(L350&lt;&gt;"","در حال انجام",""))))))</f>
        <v/>
      </c>
      <c r="V350" s="7" t="n">
        <f aca="true">IF(U350="تاخیر",TODAY()-AD350,IF(AND(U350="بسته",AH350&lt;&gt;"",AD350&lt;&gt;"",AH350&gt;AD350),AH350-AD350,0))</f>
        <v>0</v>
      </c>
      <c r="W350" s="7" t="str">
        <f aca="false">IF(L350="","",VALUE(LEFT(L350,FIND("/",L350)-1)))</f>
        <v/>
      </c>
      <c r="X350" s="7" t="str">
        <f aca="false">IF(L350="","",VALUE(MID(L350,FIND("/",L350)+1,FIND("/",L350,FIND("/",L350)+1)-FIND("/",L350)-1)))</f>
        <v/>
      </c>
      <c r="Y350" s="7" t="str">
        <f aca="false">IF(L350="","",VALUE(MID(L350,FIND("/",L350,FIND("/",L350)+1)+1,LEN(L350)-FIND("/",L350,FIND("/",L350)+1))))</f>
        <v/>
      </c>
      <c r="Z350" s="7" t="str">
        <f aca="false">IF(OR(L350="",W350=""),"",IFERROR(INDEX('لیست‌ها'!$Q$3:$Q$53,MATCH(W350,'لیست‌ها'!$P$3:$P$53,0))+IF(X350&lt;=6,(X350-1)*31+Y350,IF(X350&lt;=11,186+(X350-7)*30+Y350,336+Y350))-1,""))</f>
        <v/>
      </c>
      <c r="AA350" s="7" t="str">
        <f aca="false">IF(H350="","",VALUE(LEFT(H350,FIND("/",H350)-1)))</f>
        <v/>
      </c>
      <c r="AB350" s="7" t="str">
        <f aca="false">IF(H350="","",VALUE(MID(H350,FIND("/",H350)+1,FIND("/",H350,FIND("/",H350)+1)-FIND("/",H350)-1)))</f>
        <v/>
      </c>
      <c r="AC350" s="7" t="str">
        <f aca="false">IF(H350="","",VALUE(MID(H350,FIND("/",H350,FIND("/",H350)+1)+1,LEN(H350)-FIND("/",H350,FIND("/",H350)+1))))</f>
        <v/>
      </c>
      <c r="AD350" s="7" t="str">
        <f aca="false">IF(OR(H350="",AA350=""),"",IFERROR(INDEX('لیست‌ها'!$Q$3:$Q$53,MATCH(AA350,'لیست‌ها'!$P$3:$P$53,0))+IF(AB350&lt;=6,(AB350-1)*31+AC350,IF(AB350&lt;=11,186+(AB350-7)*30+AC350,336+AC350))-1,""))</f>
        <v/>
      </c>
      <c r="AE350" s="7" t="str">
        <f aca="false">IF(P350="","",VALUE(LEFT(P350,FIND("/",P350)-1)))</f>
        <v/>
      </c>
      <c r="AF350" s="7" t="str">
        <f aca="false">IF(P350="","",VALUE(MID(P350,FIND("/",P350)+1,FIND("/",P350,FIND("/",P350)+1)-FIND("/",P350)-1)))</f>
        <v/>
      </c>
      <c r="AG350" s="7" t="str">
        <f aca="false">IF(P350="","",VALUE(MID(P350,FIND("/",P350,FIND("/",P350)+1)+1,LEN(P350)-FIND("/",P350,FIND("/",P350)+1))))</f>
        <v/>
      </c>
      <c r="AH350" s="7" t="str">
        <f aca="false">IF(OR(P350="",AE350=""),"",IFERROR(INDEX('لیست‌ها'!$Q$3:$Q$53,MATCH(AE350,'لیست‌ها'!$P$3:$P$53,0))+IF(AF350&lt;=6,(AF350-1)*31+AG350,IF(AF350&lt;=11,186+(AF350-7)*30+AG350,336+AG350))-1,""))</f>
        <v/>
      </c>
      <c r="AI350" s="7" t="str">
        <f aca="false">IF(W350="","",W350&amp;"-"&amp;TEXT(X350,"00"))</f>
        <v/>
      </c>
      <c r="AJ350" s="7" t="str">
        <f aca="false">IF(W350="","",W350*12+X350)</f>
        <v/>
      </c>
      <c r="AK350" s="7" t="str">
        <f aca="false">IF(U350="تاخیر",V350+ROW()/100000,"")</f>
        <v/>
      </c>
    </row>
    <row r="351" customFormat="false" ht="15" hidden="false" customHeight="false" outlineLevel="0" collapsed="false">
      <c r="A351" s="7" t="str">
        <f aca="false">IF(B351="","",ROW()-3)</f>
        <v/>
      </c>
      <c r="B351" s="8"/>
      <c r="C351" s="8"/>
      <c r="D351" s="8"/>
      <c r="E351" s="9"/>
      <c r="F351" s="9"/>
      <c r="G351" s="8"/>
      <c r="H351" s="8"/>
      <c r="I351" s="8"/>
      <c r="J351" s="9"/>
      <c r="K351" s="8"/>
      <c r="L351" s="8"/>
      <c r="M351" s="8"/>
      <c r="N351" s="8"/>
      <c r="O351" s="8"/>
      <c r="P351" s="8"/>
      <c r="Q351" s="8"/>
      <c r="R351" s="9"/>
      <c r="S351" s="8"/>
      <c r="T351" s="9"/>
      <c r="U351" s="10" t="str">
        <f aca="true">IF(B351="","",IF(OR(P351&lt;&gt;"",I351="می‌باشد"),"بسته",IF(AND(L351&lt;&gt;"",W351=""),"خطای فرمت تاریخ ایجاد",IF(AND(H351&lt;&gt;"",AA351=""),"خطای فرمت مهلت",IF(AND(H351&lt;&gt;"",AD351&lt;&gt;"",TODAY()&gt;AD351),"تاخیر",IF(L351&lt;&gt;"","در حال انجام",""))))))</f>
        <v/>
      </c>
      <c r="V351" s="7" t="n">
        <f aca="true">IF(U351="تاخیر",TODAY()-AD351,IF(AND(U351="بسته",AH351&lt;&gt;"",AD351&lt;&gt;"",AH351&gt;AD351),AH351-AD351,0))</f>
        <v>0</v>
      </c>
      <c r="W351" s="7" t="str">
        <f aca="false">IF(L351="","",VALUE(LEFT(L351,FIND("/",L351)-1)))</f>
        <v/>
      </c>
      <c r="X351" s="7" t="str">
        <f aca="false">IF(L351="","",VALUE(MID(L351,FIND("/",L351)+1,FIND("/",L351,FIND("/",L351)+1)-FIND("/",L351)-1)))</f>
        <v/>
      </c>
      <c r="Y351" s="7" t="str">
        <f aca="false">IF(L351="","",VALUE(MID(L351,FIND("/",L351,FIND("/",L351)+1)+1,LEN(L351)-FIND("/",L351,FIND("/",L351)+1))))</f>
        <v/>
      </c>
      <c r="Z351" s="7" t="str">
        <f aca="false">IF(OR(L351="",W351=""),"",IFERROR(INDEX('لیست‌ها'!$Q$3:$Q$53,MATCH(W351,'لیست‌ها'!$P$3:$P$53,0))+IF(X351&lt;=6,(X351-1)*31+Y351,IF(X351&lt;=11,186+(X351-7)*30+Y351,336+Y351))-1,""))</f>
        <v/>
      </c>
      <c r="AA351" s="7" t="str">
        <f aca="false">IF(H351="","",VALUE(LEFT(H351,FIND("/",H351)-1)))</f>
        <v/>
      </c>
      <c r="AB351" s="7" t="str">
        <f aca="false">IF(H351="","",VALUE(MID(H351,FIND("/",H351)+1,FIND("/",H351,FIND("/",H351)+1)-FIND("/",H351)-1)))</f>
        <v/>
      </c>
      <c r="AC351" s="7" t="str">
        <f aca="false">IF(H351="","",VALUE(MID(H351,FIND("/",H351,FIND("/",H351)+1)+1,LEN(H351)-FIND("/",H351,FIND("/",H351)+1))))</f>
        <v/>
      </c>
      <c r="AD351" s="7" t="str">
        <f aca="false">IF(OR(H351="",AA351=""),"",IFERROR(INDEX('لیست‌ها'!$Q$3:$Q$53,MATCH(AA351,'لیست‌ها'!$P$3:$P$53,0))+IF(AB351&lt;=6,(AB351-1)*31+AC351,IF(AB351&lt;=11,186+(AB351-7)*30+AC351,336+AC351))-1,""))</f>
        <v/>
      </c>
      <c r="AE351" s="7" t="str">
        <f aca="false">IF(P351="","",VALUE(LEFT(P351,FIND("/",P351)-1)))</f>
        <v/>
      </c>
      <c r="AF351" s="7" t="str">
        <f aca="false">IF(P351="","",VALUE(MID(P351,FIND("/",P351)+1,FIND("/",P351,FIND("/",P351)+1)-FIND("/",P351)-1)))</f>
        <v/>
      </c>
      <c r="AG351" s="7" t="str">
        <f aca="false">IF(P351="","",VALUE(MID(P351,FIND("/",P351,FIND("/",P351)+1)+1,LEN(P351)-FIND("/",P351,FIND("/",P351)+1))))</f>
        <v/>
      </c>
      <c r="AH351" s="7" t="str">
        <f aca="false">IF(OR(P351="",AE351=""),"",IFERROR(INDEX('لیست‌ها'!$Q$3:$Q$53,MATCH(AE351,'لیست‌ها'!$P$3:$P$53,0))+IF(AF351&lt;=6,(AF351-1)*31+AG351,IF(AF351&lt;=11,186+(AF351-7)*30+AG351,336+AG351))-1,""))</f>
        <v/>
      </c>
      <c r="AI351" s="7" t="str">
        <f aca="false">IF(W351="","",W351&amp;"-"&amp;TEXT(X351,"00"))</f>
        <v/>
      </c>
      <c r="AJ351" s="7" t="str">
        <f aca="false">IF(W351="","",W351*12+X351)</f>
        <v/>
      </c>
      <c r="AK351" s="7" t="str">
        <f aca="false">IF(U351="تاخیر",V351+ROW()/100000,"")</f>
        <v/>
      </c>
    </row>
    <row r="352" customFormat="false" ht="15" hidden="false" customHeight="false" outlineLevel="0" collapsed="false">
      <c r="A352" s="7" t="str">
        <f aca="false">IF(B352="","",ROW()-3)</f>
        <v/>
      </c>
      <c r="B352" s="8"/>
      <c r="C352" s="8"/>
      <c r="D352" s="8"/>
      <c r="E352" s="9"/>
      <c r="F352" s="9"/>
      <c r="G352" s="8"/>
      <c r="H352" s="8"/>
      <c r="I352" s="8"/>
      <c r="J352" s="9"/>
      <c r="K352" s="8"/>
      <c r="L352" s="8"/>
      <c r="M352" s="8"/>
      <c r="N352" s="8"/>
      <c r="O352" s="8"/>
      <c r="P352" s="8"/>
      <c r="Q352" s="8"/>
      <c r="R352" s="9"/>
      <c r="S352" s="8"/>
      <c r="T352" s="9"/>
      <c r="U352" s="10" t="str">
        <f aca="true">IF(B352="","",IF(OR(P352&lt;&gt;"",I352="می‌باشد"),"بسته",IF(AND(L352&lt;&gt;"",W352=""),"خطای فرمت تاریخ ایجاد",IF(AND(H352&lt;&gt;"",AA352=""),"خطای فرمت مهلت",IF(AND(H352&lt;&gt;"",AD352&lt;&gt;"",TODAY()&gt;AD352),"تاخیر",IF(L352&lt;&gt;"","در حال انجام",""))))))</f>
        <v/>
      </c>
      <c r="V352" s="7" t="n">
        <f aca="true">IF(U352="تاخیر",TODAY()-AD352,IF(AND(U352="بسته",AH352&lt;&gt;"",AD352&lt;&gt;"",AH352&gt;AD352),AH352-AD352,0))</f>
        <v>0</v>
      </c>
      <c r="W352" s="7" t="str">
        <f aca="false">IF(L352="","",VALUE(LEFT(L352,FIND("/",L352)-1)))</f>
        <v/>
      </c>
      <c r="X352" s="7" t="str">
        <f aca="false">IF(L352="","",VALUE(MID(L352,FIND("/",L352)+1,FIND("/",L352,FIND("/",L352)+1)-FIND("/",L352)-1)))</f>
        <v/>
      </c>
      <c r="Y352" s="7" t="str">
        <f aca="false">IF(L352="","",VALUE(MID(L352,FIND("/",L352,FIND("/",L352)+1)+1,LEN(L352)-FIND("/",L352,FIND("/",L352)+1))))</f>
        <v/>
      </c>
      <c r="Z352" s="7" t="str">
        <f aca="false">IF(OR(L352="",W352=""),"",IFERROR(INDEX('لیست‌ها'!$Q$3:$Q$53,MATCH(W352,'لیست‌ها'!$P$3:$P$53,0))+IF(X352&lt;=6,(X352-1)*31+Y352,IF(X352&lt;=11,186+(X352-7)*30+Y352,336+Y352))-1,""))</f>
        <v/>
      </c>
      <c r="AA352" s="7" t="str">
        <f aca="false">IF(H352="","",VALUE(LEFT(H352,FIND("/",H352)-1)))</f>
        <v/>
      </c>
      <c r="AB352" s="7" t="str">
        <f aca="false">IF(H352="","",VALUE(MID(H352,FIND("/",H352)+1,FIND("/",H352,FIND("/",H352)+1)-FIND("/",H352)-1)))</f>
        <v/>
      </c>
      <c r="AC352" s="7" t="str">
        <f aca="false">IF(H352="","",VALUE(MID(H352,FIND("/",H352,FIND("/",H352)+1)+1,LEN(H352)-FIND("/",H352,FIND("/",H352)+1))))</f>
        <v/>
      </c>
      <c r="AD352" s="7" t="str">
        <f aca="false">IF(OR(H352="",AA352=""),"",IFERROR(INDEX('لیست‌ها'!$Q$3:$Q$53,MATCH(AA352,'لیست‌ها'!$P$3:$P$53,0))+IF(AB352&lt;=6,(AB352-1)*31+AC352,IF(AB352&lt;=11,186+(AB352-7)*30+AC352,336+AC352))-1,""))</f>
        <v/>
      </c>
      <c r="AE352" s="7" t="str">
        <f aca="false">IF(P352="","",VALUE(LEFT(P352,FIND("/",P352)-1)))</f>
        <v/>
      </c>
      <c r="AF352" s="7" t="str">
        <f aca="false">IF(P352="","",VALUE(MID(P352,FIND("/",P352)+1,FIND("/",P352,FIND("/",P352)+1)-FIND("/",P352)-1)))</f>
        <v/>
      </c>
      <c r="AG352" s="7" t="str">
        <f aca="false">IF(P352="","",VALUE(MID(P352,FIND("/",P352,FIND("/",P352)+1)+1,LEN(P352)-FIND("/",P352,FIND("/",P352)+1))))</f>
        <v/>
      </c>
      <c r="AH352" s="7" t="str">
        <f aca="false">IF(OR(P352="",AE352=""),"",IFERROR(INDEX('لیست‌ها'!$Q$3:$Q$53,MATCH(AE352,'لیست‌ها'!$P$3:$P$53,0))+IF(AF352&lt;=6,(AF352-1)*31+AG352,IF(AF352&lt;=11,186+(AF352-7)*30+AG352,336+AG352))-1,""))</f>
        <v/>
      </c>
      <c r="AI352" s="7" t="str">
        <f aca="false">IF(W352="","",W352&amp;"-"&amp;TEXT(X352,"00"))</f>
        <v/>
      </c>
      <c r="AJ352" s="7" t="str">
        <f aca="false">IF(W352="","",W352*12+X352)</f>
        <v/>
      </c>
      <c r="AK352" s="7" t="str">
        <f aca="false">IF(U352="تاخیر",V352+ROW()/100000,"")</f>
        <v/>
      </c>
    </row>
    <row r="353" customFormat="false" ht="15" hidden="false" customHeight="false" outlineLevel="0" collapsed="false">
      <c r="A353" s="7" t="str">
        <f aca="false">IF(B353="","",ROW()-3)</f>
        <v/>
      </c>
      <c r="B353" s="8"/>
      <c r="C353" s="8"/>
      <c r="D353" s="8"/>
      <c r="E353" s="9"/>
      <c r="F353" s="9"/>
      <c r="G353" s="8"/>
      <c r="H353" s="8"/>
      <c r="I353" s="8"/>
      <c r="J353" s="9"/>
      <c r="K353" s="8"/>
      <c r="L353" s="8"/>
      <c r="M353" s="8"/>
      <c r="N353" s="8"/>
      <c r="O353" s="8"/>
      <c r="P353" s="8"/>
      <c r="Q353" s="8"/>
      <c r="R353" s="9"/>
      <c r="S353" s="8"/>
      <c r="T353" s="9"/>
      <c r="U353" s="10" t="str">
        <f aca="true">IF(B353="","",IF(OR(P353&lt;&gt;"",I353="می‌باشد"),"بسته",IF(AND(L353&lt;&gt;"",W353=""),"خطای فرمت تاریخ ایجاد",IF(AND(H353&lt;&gt;"",AA353=""),"خطای فرمت مهلت",IF(AND(H353&lt;&gt;"",AD353&lt;&gt;"",TODAY()&gt;AD353),"تاخیر",IF(L353&lt;&gt;"","در حال انجام",""))))))</f>
        <v/>
      </c>
      <c r="V353" s="7" t="n">
        <f aca="true">IF(U353="تاخیر",TODAY()-AD353,IF(AND(U353="بسته",AH353&lt;&gt;"",AD353&lt;&gt;"",AH353&gt;AD353),AH353-AD353,0))</f>
        <v>0</v>
      </c>
      <c r="W353" s="7" t="str">
        <f aca="false">IF(L353="","",VALUE(LEFT(L353,FIND("/",L353)-1)))</f>
        <v/>
      </c>
      <c r="X353" s="7" t="str">
        <f aca="false">IF(L353="","",VALUE(MID(L353,FIND("/",L353)+1,FIND("/",L353,FIND("/",L353)+1)-FIND("/",L353)-1)))</f>
        <v/>
      </c>
      <c r="Y353" s="7" t="str">
        <f aca="false">IF(L353="","",VALUE(MID(L353,FIND("/",L353,FIND("/",L353)+1)+1,LEN(L353)-FIND("/",L353,FIND("/",L353)+1))))</f>
        <v/>
      </c>
      <c r="Z353" s="7" t="str">
        <f aca="false">IF(OR(L353="",W353=""),"",IFERROR(INDEX('لیست‌ها'!$Q$3:$Q$53,MATCH(W353,'لیست‌ها'!$P$3:$P$53,0))+IF(X353&lt;=6,(X353-1)*31+Y353,IF(X353&lt;=11,186+(X353-7)*30+Y353,336+Y353))-1,""))</f>
        <v/>
      </c>
      <c r="AA353" s="7" t="str">
        <f aca="false">IF(H353="","",VALUE(LEFT(H353,FIND("/",H353)-1)))</f>
        <v/>
      </c>
      <c r="AB353" s="7" t="str">
        <f aca="false">IF(H353="","",VALUE(MID(H353,FIND("/",H353)+1,FIND("/",H353,FIND("/",H353)+1)-FIND("/",H353)-1)))</f>
        <v/>
      </c>
      <c r="AC353" s="7" t="str">
        <f aca="false">IF(H353="","",VALUE(MID(H353,FIND("/",H353,FIND("/",H353)+1)+1,LEN(H353)-FIND("/",H353,FIND("/",H353)+1))))</f>
        <v/>
      </c>
      <c r="AD353" s="7" t="str">
        <f aca="false">IF(OR(H353="",AA353=""),"",IFERROR(INDEX('لیست‌ها'!$Q$3:$Q$53,MATCH(AA353,'لیست‌ها'!$P$3:$P$53,0))+IF(AB353&lt;=6,(AB353-1)*31+AC353,IF(AB353&lt;=11,186+(AB353-7)*30+AC353,336+AC353))-1,""))</f>
        <v/>
      </c>
      <c r="AE353" s="7" t="str">
        <f aca="false">IF(P353="","",VALUE(LEFT(P353,FIND("/",P353)-1)))</f>
        <v/>
      </c>
      <c r="AF353" s="7" t="str">
        <f aca="false">IF(P353="","",VALUE(MID(P353,FIND("/",P353)+1,FIND("/",P353,FIND("/",P353)+1)-FIND("/",P353)-1)))</f>
        <v/>
      </c>
      <c r="AG353" s="7" t="str">
        <f aca="false">IF(P353="","",VALUE(MID(P353,FIND("/",P353,FIND("/",P353)+1)+1,LEN(P353)-FIND("/",P353,FIND("/",P353)+1))))</f>
        <v/>
      </c>
      <c r="AH353" s="7" t="str">
        <f aca="false">IF(OR(P353="",AE353=""),"",IFERROR(INDEX('لیست‌ها'!$Q$3:$Q$53,MATCH(AE353,'لیست‌ها'!$P$3:$P$53,0))+IF(AF353&lt;=6,(AF353-1)*31+AG353,IF(AF353&lt;=11,186+(AF353-7)*30+AG353,336+AG353))-1,""))</f>
        <v/>
      </c>
      <c r="AI353" s="7" t="str">
        <f aca="false">IF(W353="","",W353&amp;"-"&amp;TEXT(X353,"00"))</f>
        <v/>
      </c>
      <c r="AJ353" s="7" t="str">
        <f aca="false">IF(W353="","",W353*12+X353)</f>
        <v/>
      </c>
      <c r="AK353" s="7" t="str">
        <f aca="false">IF(U353="تاخیر",V353+ROW()/100000,"")</f>
        <v/>
      </c>
    </row>
    <row r="354" customFormat="false" ht="15" hidden="false" customHeight="false" outlineLevel="0" collapsed="false">
      <c r="A354" s="7" t="str">
        <f aca="false">IF(B354="","",ROW()-3)</f>
        <v/>
      </c>
      <c r="B354" s="8"/>
      <c r="C354" s="8"/>
      <c r="D354" s="8"/>
      <c r="E354" s="9"/>
      <c r="F354" s="9"/>
      <c r="G354" s="8"/>
      <c r="H354" s="8"/>
      <c r="I354" s="8"/>
      <c r="J354" s="9"/>
      <c r="K354" s="8"/>
      <c r="L354" s="8"/>
      <c r="M354" s="8"/>
      <c r="N354" s="8"/>
      <c r="O354" s="8"/>
      <c r="P354" s="8"/>
      <c r="Q354" s="8"/>
      <c r="R354" s="9"/>
      <c r="S354" s="8"/>
      <c r="T354" s="9"/>
      <c r="U354" s="10" t="str">
        <f aca="true">IF(B354="","",IF(OR(P354&lt;&gt;"",I354="می‌باشد"),"بسته",IF(AND(L354&lt;&gt;"",W354=""),"خطای فرمت تاریخ ایجاد",IF(AND(H354&lt;&gt;"",AA354=""),"خطای فرمت مهلت",IF(AND(H354&lt;&gt;"",AD354&lt;&gt;"",TODAY()&gt;AD354),"تاخیر",IF(L354&lt;&gt;"","در حال انجام",""))))))</f>
        <v/>
      </c>
      <c r="V354" s="7" t="n">
        <f aca="true">IF(U354="تاخیر",TODAY()-AD354,IF(AND(U354="بسته",AH354&lt;&gt;"",AD354&lt;&gt;"",AH354&gt;AD354),AH354-AD354,0))</f>
        <v>0</v>
      </c>
      <c r="W354" s="7" t="str">
        <f aca="false">IF(L354="","",VALUE(LEFT(L354,FIND("/",L354)-1)))</f>
        <v/>
      </c>
      <c r="X354" s="7" t="str">
        <f aca="false">IF(L354="","",VALUE(MID(L354,FIND("/",L354)+1,FIND("/",L354,FIND("/",L354)+1)-FIND("/",L354)-1)))</f>
        <v/>
      </c>
      <c r="Y354" s="7" t="str">
        <f aca="false">IF(L354="","",VALUE(MID(L354,FIND("/",L354,FIND("/",L354)+1)+1,LEN(L354)-FIND("/",L354,FIND("/",L354)+1))))</f>
        <v/>
      </c>
      <c r="Z354" s="7" t="str">
        <f aca="false">IF(OR(L354="",W354=""),"",IFERROR(INDEX('لیست‌ها'!$Q$3:$Q$53,MATCH(W354,'لیست‌ها'!$P$3:$P$53,0))+IF(X354&lt;=6,(X354-1)*31+Y354,IF(X354&lt;=11,186+(X354-7)*30+Y354,336+Y354))-1,""))</f>
        <v/>
      </c>
      <c r="AA354" s="7" t="str">
        <f aca="false">IF(H354="","",VALUE(LEFT(H354,FIND("/",H354)-1)))</f>
        <v/>
      </c>
      <c r="AB354" s="7" t="str">
        <f aca="false">IF(H354="","",VALUE(MID(H354,FIND("/",H354)+1,FIND("/",H354,FIND("/",H354)+1)-FIND("/",H354)-1)))</f>
        <v/>
      </c>
      <c r="AC354" s="7" t="str">
        <f aca="false">IF(H354="","",VALUE(MID(H354,FIND("/",H354,FIND("/",H354)+1)+1,LEN(H354)-FIND("/",H354,FIND("/",H354)+1))))</f>
        <v/>
      </c>
      <c r="AD354" s="7" t="str">
        <f aca="false">IF(OR(H354="",AA354=""),"",IFERROR(INDEX('لیست‌ها'!$Q$3:$Q$53,MATCH(AA354,'لیست‌ها'!$P$3:$P$53,0))+IF(AB354&lt;=6,(AB354-1)*31+AC354,IF(AB354&lt;=11,186+(AB354-7)*30+AC354,336+AC354))-1,""))</f>
        <v/>
      </c>
      <c r="AE354" s="7" t="str">
        <f aca="false">IF(P354="","",VALUE(LEFT(P354,FIND("/",P354)-1)))</f>
        <v/>
      </c>
      <c r="AF354" s="7" t="str">
        <f aca="false">IF(P354="","",VALUE(MID(P354,FIND("/",P354)+1,FIND("/",P354,FIND("/",P354)+1)-FIND("/",P354)-1)))</f>
        <v/>
      </c>
      <c r="AG354" s="7" t="str">
        <f aca="false">IF(P354="","",VALUE(MID(P354,FIND("/",P354,FIND("/",P354)+1)+1,LEN(P354)-FIND("/",P354,FIND("/",P354)+1))))</f>
        <v/>
      </c>
      <c r="AH354" s="7" t="str">
        <f aca="false">IF(OR(P354="",AE354=""),"",IFERROR(INDEX('لیست‌ها'!$Q$3:$Q$53,MATCH(AE354,'لیست‌ها'!$P$3:$P$53,0))+IF(AF354&lt;=6,(AF354-1)*31+AG354,IF(AF354&lt;=11,186+(AF354-7)*30+AG354,336+AG354))-1,""))</f>
        <v/>
      </c>
      <c r="AI354" s="7" t="str">
        <f aca="false">IF(W354="","",W354&amp;"-"&amp;TEXT(X354,"00"))</f>
        <v/>
      </c>
      <c r="AJ354" s="7" t="str">
        <f aca="false">IF(W354="","",W354*12+X354)</f>
        <v/>
      </c>
      <c r="AK354" s="7" t="str">
        <f aca="false">IF(U354="تاخیر",V354+ROW()/100000,"")</f>
        <v/>
      </c>
    </row>
    <row r="355" customFormat="false" ht="15" hidden="false" customHeight="false" outlineLevel="0" collapsed="false">
      <c r="A355" s="7" t="str">
        <f aca="false">IF(B355="","",ROW()-3)</f>
        <v/>
      </c>
      <c r="B355" s="8"/>
      <c r="C355" s="8"/>
      <c r="D355" s="8"/>
      <c r="E355" s="9"/>
      <c r="F355" s="9"/>
      <c r="G355" s="8"/>
      <c r="H355" s="8"/>
      <c r="I355" s="8"/>
      <c r="J355" s="9"/>
      <c r="K355" s="8"/>
      <c r="L355" s="8"/>
      <c r="M355" s="8"/>
      <c r="N355" s="8"/>
      <c r="O355" s="8"/>
      <c r="P355" s="8"/>
      <c r="Q355" s="8"/>
      <c r="R355" s="9"/>
      <c r="S355" s="8"/>
      <c r="T355" s="9"/>
      <c r="U355" s="10" t="str">
        <f aca="true">IF(B355="","",IF(OR(P355&lt;&gt;"",I355="می‌باشد"),"بسته",IF(AND(L355&lt;&gt;"",W355=""),"خطای فرمت تاریخ ایجاد",IF(AND(H355&lt;&gt;"",AA355=""),"خطای فرمت مهلت",IF(AND(H355&lt;&gt;"",AD355&lt;&gt;"",TODAY()&gt;AD355),"تاخیر",IF(L355&lt;&gt;"","در حال انجام",""))))))</f>
        <v/>
      </c>
      <c r="V355" s="7" t="n">
        <f aca="true">IF(U355="تاخیر",TODAY()-AD355,IF(AND(U355="بسته",AH355&lt;&gt;"",AD355&lt;&gt;"",AH355&gt;AD355),AH355-AD355,0))</f>
        <v>0</v>
      </c>
      <c r="W355" s="7" t="str">
        <f aca="false">IF(L355="","",VALUE(LEFT(L355,FIND("/",L355)-1)))</f>
        <v/>
      </c>
      <c r="X355" s="7" t="str">
        <f aca="false">IF(L355="","",VALUE(MID(L355,FIND("/",L355)+1,FIND("/",L355,FIND("/",L355)+1)-FIND("/",L355)-1)))</f>
        <v/>
      </c>
      <c r="Y355" s="7" t="str">
        <f aca="false">IF(L355="","",VALUE(MID(L355,FIND("/",L355,FIND("/",L355)+1)+1,LEN(L355)-FIND("/",L355,FIND("/",L355)+1))))</f>
        <v/>
      </c>
      <c r="Z355" s="7" t="str">
        <f aca="false">IF(OR(L355="",W355=""),"",IFERROR(INDEX('لیست‌ها'!$Q$3:$Q$53,MATCH(W355,'لیست‌ها'!$P$3:$P$53,0))+IF(X355&lt;=6,(X355-1)*31+Y355,IF(X355&lt;=11,186+(X355-7)*30+Y355,336+Y355))-1,""))</f>
        <v/>
      </c>
      <c r="AA355" s="7" t="str">
        <f aca="false">IF(H355="","",VALUE(LEFT(H355,FIND("/",H355)-1)))</f>
        <v/>
      </c>
      <c r="AB355" s="7" t="str">
        <f aca="false">IF(H355="","",VALUE(MID(H355,FIND("/",H355)+1,FIND("/",H355,FIND("/",H355)+1)-FIND("/",H355)-1)))</f>
        <v/>
      </c>
      <c r="AC355" s="7" t="str">
        <f aca="false">IF(H355="","",VALUE(MID(H355,FIND("/",H355,FIND("/",H355)+1)+1,LEN(H355)-FIND("/",H355,FIND("/",H355)+1))))</f>
        <v/>
      </c>
      <c r="AD355" s="7" t="str">
        <f aca="false">IF(OR(H355="",AA355=""),"",IFERROR(INDEX('لیست‌ها'!$Q$3:$Q$53,MATCH(AA355,'لیست‌ها'!$P$3:$P$53,0))+IF(AB355&lt;=6,(AB355-1)*31+AC355,IF(AB355&lt;=11,186+(AB355-7)*30+AC355,336+AC355))-1,""))</f>
        <v/>
      </c>
      <c r="AE355" s="7" t="str">
        <f aca="false">IF(P355="","",VALUE(LEFT(P355,FIND("/",P355)-1)))</f>
        <v/>
      </c>
      <c r="AF355" s="7" t="str">
        <f aca="false">IF(P355="","",VALUE(MID(P355,FIND("/",P355)+1,FIND("/",P355,FIND("/",P355)+1)-FIND("/",P355)-1)))</f>
        <v/>
      </c>
      <c r="AG355" s="7" t="str">
        <f aca="false">IF(P355="","",VALUE(MID(P355,FIND("/",P355,FIND("/",P355)+1)+1,LEN(P355)-FIND("/",P355,FIND("/",P355)+1))))</f>
        <v/>
      </c>
      <c r="AH355" s="7" t="str">
        <f aca="false">IF(OR(P355="",AE355=""),"",IFERROR(INDEX('لیست‌ها'!$Q$3:$Q$53,MATCH(AE355,'لیست‌ها'!$P$3:$P$53,0))+IF(AF355&lt;=6,(AF355-1)*31+AG355,IF(AF355&lt;=11,186+(AF355-7)*30+AG355,336+AG355))-1,""))</f>
        <v/>
      </c>
      <c r="AI355" s="7" t="str">
        <f aca="false">IF(W355="","",W355&amp;"-"&amp;TEXT(X355,"00"))</f>
        <v/>
      </c>
      <c r="AJ355" s="7" t="str">
        <f aca="false">IF(W355="","",W355*12+X355)</f>
        <v/>
      </c>
      <c r="AK355" s="7" t="str">
        <f aca="false">IF(U355="تاخیر",V355+ROW()/100000,"")</f>
        <v/>
      </c>
    </row>
    <row r="356" customFormat="false" ht="15" hidden="false" customHeight="false" outlineLevel="0" collapsed="false">
      <c r="A356" s="7" t="str">
        <f aca="false">IF(B356="","",ROW()-3)</f>
        <v/>
      </c>
      <c r="B356" s="8"/>
      <c r="C356" s="8"/>
      <c r="D356" s="8"/>
      <c r="E356" s="9"/>
      <c r="F356" s="9"/>
      <c r="G356" s="8"/>
      <c r="H356" s="8"/>
      <c r="I356" s="8"/>
      <c r="J356" s="9"/>
      <c r="K356" s="8"/>
      <c r="L356" s="8"/>
      <c r="M356" s="8"/>
      <c r="N356" s="8"/>
      <c r="O356" s="8"/>
      <c r="P356" s="8"/>
      <c r="Q356" s="8"/>
      <c r="R356" s="9"/>
      <c r="S356" s="8"/>
      <c r="T356" s="9"/>
      <c r="U356" s="10" t="str">
        <f aca="true">IF(B356="","",IF(OR(P356&lt;&gt;"",I356="می‌باشد"),"بسته",IF(AND(L356&lt;&gt;"",W356=""),"خطای فرمت تاریخ ایجاد",IF(AND(H356&lt;&gt;"",AA356=""),"خطای فرمت مهلت",IF(AND(H356&lt;&gt;"",AD356&lt;&gt;"",TODAY()&gt;AD356),"تاخیر",IF(L356&lt;&gt;"","در حال انجام",""))))))</f>
        <v/>
      </c>
      <c r="V356" s="7" t="n">
        <f aca="true">IF(U356="تاخیر",TODAY()-AD356,IF(AND(U356="بسته",AH356&lt;&gt;"",AD356&lt;&gt;"",AH356&gt;AD356),AH356-AD356,0))</f>
        <v>0</v>
      </c>
      <c r="W356" s="7" t="str">
        <f aca="false">IF(L356="","",VALUE(LEFT(L356,FIND("/",L356)-1)))</f>
        <v/>
      </c>
      <c r="X356" s="7" t="str">
        <f aca="false">IF(L356="","",VALUE(MID(L356,FIND("/",L356)+1,FIND("/",L356,FIND("/",L356)+1)-FIND("/",L356)-1)))</f>
        <v/>
      </c>
      <c r="Y356" s="7" t="str">
        <f aca="false">IF(L356="","",VALUE(MID(L356,FIND("/",L356,FIND("/",L356)+1)+1,LEN(L356)-FIND("/",L356,FIND("/",L356)+1))))</f>
        <v/>
      </c>
      <c r="Z356" s="7" t="str">
        <f aca="false">IF(OR(L356="",W356=""),"",IFERROR(INDEX('لیست‌ها'!$Q$3:$Q$53,MATCH(W356,'لیست‌ها'!$P$3:$P$53,0))+IF(X356&lt;=6,(X356-1)*31+Y356,IF(X356&lt;=11,186+(X356-7)*30+Y356,336+Y356))-1,""))</f>
        <v/>
      </c>
      <c r="AA356" s="7" t="str">
        <f aca="false">IF(H356="","",VALUE(LEFT(H356,FIND("/",H356)-1)))</f>
        <v/>
      </c>
      <c r="AB356" s="7" t="str">
        <f aca="false">IF(H356="","",VALUE(MID(H356,FIND("/",H356)+1,FIND("/",H356,FIND("/",H356)+1)-FIND("/",H356)-1)))</f>
        <v/>
      </c>
      <c r="AC356" s="7" t="str">
        <f aca="false">IF(H356="","",VALUE(MID(H356,FIND("/",H356,FIND("/",H356)+1)+1,LEN(H356)-FIND("/",H356,FIND("/",H356)+1))))</f>
        <v/>
      </c>
      <c r="AD356" s="7" t="str">
        <f aca="false">IF(OR(H356="",AA356=""),"",IFERROR(INDEX('لیست‌ها'!$Q$3:$Q$53,MATCH(AA356,'لیست‌ها'!$P$3:$P$53,0))+IF(AB356&lt;=6,(AB356-1)*31+AC356,IF(AB356&lt;=11,186+(AB356-7)*30+AC356,336+AC356))-1,""))</f>
        <v/>
      </c>
      <c r="AE356" s="7" t="str">
        <f aca="false">IF(P356="","",VALUE(LEFT(P356,FIND("/",P356)-1)))</f>
        <v/>
      </c>
      <c r="AF356" s="7" t="str">
        <f aca="false">IF(P356="","",VALUE(MID(P356,FIND("/",P356)+1,FIND("/",P356,FIND("/",P356)+1)-FIND("/",P356)-1)))</f>
        <v/>
      </c>
      <c r="AG356" s="7" t="str">
        <f aca="false">IF(P356="","",VALUE(MID(P356,FIND("/",P356,FIND("/",P356)+1)+1,LEN(P356)-FIND("/",P356,FIND("/",P356)+1))))</f>
        <v/>
      </c>
      <c r="AH356" s="7" t="str">
        <f aca="false">IF(OR(P356="",AE356=""),"",IFERROR(INDEX('لیست‌ها'!$Q$3:$Q$53,MATCH(AE356,'لیست‌ها'!$P$3:$P$53,0))+IF(AF356&lt;=6,(AF356-1)*31+AG356,IF(AF356&lt;=11,186+(AF356-7)*30+AG356,336+AG356))-1,""))</f>
        <v/>
      </c>
      <c r="AI356" s="7" t="str">
        <f aca="false">IF(W356="","",W356&amp;"-"&amp;TEXT(X356,"00"))</f>
        <v/>
      </c>
      <c r="AJ356" s="7" t="str">
        <f aca="false">IF(W356="","",W356*12+X356)</f>
        <v/>
      </c>
      <c r="AK356" s="7" t="str">
        <f aca="false">IF(U356="تاخیر",V356+ROW()/100000,"")</f>
        <v/>
      </c>
    </row>
    <row r="357" customFormat="false" ht="15" hidden="false" customHeight="false" outlineLevel="0" collapsed="false">
      <c r="A357" s="7" t="str">
        <f aca="false">IF(B357="","",ROW()-3)</f>
        <v/>
      </c>
      <c r="B357" s="8"/>
      <c r="C357" s="8"/>
      <c r="D357" s="8"/>
      <c r="E357" s="9"/>
      <c r="F357" s="9"/>
      <c r="G357" s="8"/>
      <c r="H357" s="8"/>
      <c r="I357" s="8"/>
      <c r="J357" s="9"/>
      <c r="K357" s="8"/>
      <c r="L357" s="8"/>
      <c r="M357" s="8"/>
      <c r="N357" s="8"/>
      <c r="O357" s="8"/>
      <c r="P357" s="8"/>
      <c r="Q357" s="8"/>
      <c r="R357" s="9"/>
      <c r="S357" s="8"/>
      <c r="T357" s="9"/>
      <c r="U357" s="10" t="str">
        <f aca="true">IF(B357="","",IF(OR(P357&lt;&gt;"",I357="می‌باشد"),"بسته",IF(AND(L357&lt;&gt;"",W357=""),"خطای فرمت تاریخ ایجاد",IF(AND(H357&lt;&gt;"",AA357=""),"خطای فرمت مهلت",IF(AND(H357&lt;&gt;"",AD357&lt;&gt;"",TODAY()&gt;AD357),"تاخیر",IF(L357&lt;&gt;"","در حال انجام",""))))))</f>
        <v/>
      </c>
      <c r="V357" s="7" t="n">
        <f aca="true">IF(U357="تاخیر",TODAY()-AD357,IF(AND(U357="بسته",AH357&lt;&gt;"",AD357&lt;&gt;"",AH357&gt;AD357),AH357-AD357,0))</f>
        <v>0</v>
      </c>
      <c r="W357" s="7" t="str">
        <f aca="false">IF(L357="","",VALUE(LEFT(L357,FIND("/",L357)-1)))</f>
        <v/>
      </c>
      <c r="X357" s="7" t="str">
        <f aca="false">IF(L357="","",VALUE(MID(L357,FIND("/",L357)+1,FIND("/",L357,FIND("/",L357)+1)-FIND("/",L357)-1)))</f>
        <v/>
      </c>
      <c r="Y357" s="7" t="str">
        <f aca="false">IF(L357="","",VALUE(MID(L357,FIND("/",L357,FIND("/",L357)+1)+1,LEN(L357)-FIND("/",L357,FIND("/",L357)+1))))</f>
        <v/>
      </c>
      <c r="Z357" s="7" t="str">
        <f aca="false">IF(OR(L357="",W357=""),"",IFERROR(INDEX('لیست‌ها'!$Q$3:$Q$53,MATCH(W357,'لیست‌ها'!$P$3:$P$53,0))+IF(X357&lt;=6,(X357-1)*31+Y357,IF(X357&lt;=11,186+(X357-7)*30+Y357,336+Y357))-1,""))</f>
        <v/>
      </c>
      <c r="AA357" s="7" t="str">
        <f aca="false">IF(H357="","",VALUE(LEFT(H357,FIND("/",H357)-1)))</f>
        <v/>
      </c>
      <c r="AB357" s="7" t="str">
        <f aca="false">IF(H357="","",VALUE(MID(H357,FIND("/",H357)+1,FIND("/",H357,FIND("/",H357)+1)-FIND("/",H357)-1)))</f>
        <v/>
      </c>
      <c r="AC357" s="7" t="str">
        <f aca="false">IF(H357="","",VALUE(MID(H357,FIND("/",H357,FIND("/",H357)+1)+1,LEN(H357)-FIND("/",H357,FIND("/",H357)+1))))</f>
        <v/>
      </c>
      <c r="AD357" s="7" t="str">
        <f aca="false">IF(OR(H357="",AA357=""),"",IFERROR(INDEX('لیست‌ها'!$Q$3:$Q$53,MATCH(AA357,'لیست‌ها'!$P$3:$P$53,0))+IF(AB357&lt;=6,(AB357-1)*31+AC357,IF(AB357&lt;=11,186+(AB357-7)*30+AC357,336+AC357))-1,""))</f>
        <v/>
      </c>
      <c r="AE357" s="7" t="str">
        <f aca="false">IF(P357="","",VALUE(LEFT(P357,FIND("/",P357)-1)))</f>
        <v/>
      </c>
      <c r="AF357" s="7" t="str">
        <f aca="false">IF(P357="","",VALUE(MID(P357,FIND("/",P357)+1,FIND("/",P357,FIND("/",P357)+1)-FIND("/",P357)-1)))</f>
        <v/>
      </c>
      <c r="AG357" s="7" t="str">
        <f aca="false">IF(P357="","",VALUE(MID(P357,FIND("/",P357,FIND("/",P357)+1)+1,LEN(P357)-FIND("/",P357,FIND("/",P357)+1))))</f>
        <v/>
      </c>
      <c r="AH357" s="7" t="str">
        <f aca="false">IF(OR(P357="",AE357=""),"",IFERROR(INDEX('لیست‌ها'!$Q$3:$Q$53,MATCH(AE357,'لیست‌ها'!$P$3:$P$53,0))+IF(AF357&lt;=6,(AF357-1)*31+AG357,IF(AF357&lt;=11,186+(AF357-7)*30+AG357,336+AG357))-1,""))</f>
        <v/>
      </c>
      <c r="AI357" s="7" t="str">
        <f aca="false">IF(W357="","",W357&amp;"-"&amp;TEXT(X357,"00"))</f>
        <v/>
      </c>
      <c r="AJ357" s="7" t="str">
        <f aca="false">IF(W357="","",W357*12+X357)</f>
        <v/>
      </c>
      <c r="AK357" s="7" t="str">
        <f aca="false">IF(U357="تاخیر",V357+ROW()/100000,"")</f>
        <v/>
      </c>
    </row>
    <row r="358" customFormat="false" ht="15" hidden="false" customHeight="false" outlineLevel="0" collapsed="false">
      <c r="A358" s="7" t="str">
        <f aca="false">IF(B358="","",ROW()-3)</f>
        <v/>
      </c>
      <c r="B358" s="8"/>
      <c r="C358" s="8"/>
      <c r="D358" s="8"/>
      <c r="E358" s="9"/>
      <c r="F358" s="9"/>
      <c r="G358" s="8"/>
      <c r="H358" s="8"/>
      <c r="I358" s="8"/>
      <c r="J358" s="9"/>
      <c r="K358" s="8"/>
      <c r="L358" s="8"/>
      <c r="M358" s="8"/>
      <c r="N358" s="8"/>
      <c r="O358" s="8"/>
      <c r="P358" s="8"/>
      <c r="Q358" s="8"/>
      <c r="R358" s="9"/>
      <c r="S358" s="8"/>
      <c r="T358" s="9"/>
      <c r="U358" s="10" t="str">
        <f aca="true">IF(B358="","",IF(OR(P358&lt;&gt;"",I358="می‌باشد"),"بسته",IF(AND(L358&lt;&gt;"",W358=""),"خطای فرمت تاریخ ایجاد",IF(AND(H358&lt;&gt;"",AA358=""),"خطای فرمت مهلت",IF(AND(H358&lt;&gt;"",AD358&lt;&gt;"",TODAY()&gt;AD358),"تاخیر",IF(L358&lt;&gt;"","در حال انجام",""))))))</f>
        <v/>
      </c>
      <c r="V358" s="7" t="n">
        <f aca="true">IF(U358="تاخیر",TODAY()-AD358,IF(AND(U358="بسته",AH358&lt;&gt;"",AD358&lt;&gt;"",AH358&gt;AD358),AH358-AD358,0))</f>
        <v>0</v>
      </c>
      <c r="W358" s="7" t="str">
        <f aca="false">IF(L358="","",VALUE(LEFT(L358,FIND("/",L358)-1)))</f>
        <v/>
      </c>
      <c r="X358" s="7" t="str">
        <f aca="false">IF(L358="","",VALUE(MID(L358,FIND("/",L358)+1,FIND("/",L358,FIND("/",L358)+1)-FIND("/",L358)-1)))</f>
        <v/>
      </c>
      <c r="Y358" s="7" t="str">
        <f aca="false">IF(L358="","",VALUE(MID(L358,FIND("/",L358,FIND("/",L358)+1)+1,LEN(L358)-FIND("/",L358,FIND("/",L358)+1))))</f>
        <v/>
      </c>
      <c r="Z358" s="7" t="str">
        <f aca="false">IF(OR(L358="",W358=""),"",IFERROR(INDEX('لیست‌ها'!$Q$3:$Q$53,MATCH(W358,'لیست‌ها'!$P$3:$P$53,0))+IF(X358&lt;=6,(X358-1)*31+Y358,IF(X358&lt;=11,186+(X358-7)*30+Y358,336+Y358))-1,""))</f>
        <v/>
      </c>
      <c r="AA358" s="7" t="str">
        <f aca="false">IF(H358="","",VALUE(LEFT(H358,FIND("/",H358)-1)))</f>
        <v/>
      </c>
      <c r="AB358" s="7" t="str">
        <f aca="false">IF(H358="","",VALUE(MID(H358,FIND("/",H358)+1,FIND("/",H358,FIND("/",H358)+1)-FIND("/",H358)-1)))</f>
        <v/>
      </c>
      <c r="AC358" s="7" t="str">
        <f aca="false">IF(H358="","",VALUE(MID(H358,FIND("/",H358,FIND("/",H358)+1)+1,LEN(H358)-FIND("/",H358,FIND("/",H358)+1))))</f>
        <v/>
      </c>
      <c r="AD358" s="7" t="str">
        <f aca="false">IF(OR(H358="",AA358=""),"",IFERROR(INDEX('لیست‌ها'!$Q$3:$Q$53,MATCH(AA358,'لیست‌ها'!$P$3:$P$53,0))+IF(AB358&lt;=6,(AB358-1)*31+AC358,IF(AB358&lt;=11,186+(AB358-7)*30+AC358,336+AC358))-1,""))</f>
        <v/>
      </c>
      <c r="AE358" s="7" t="str">
        <f aca="false">IF(P358="","",VALUE(LEFT(P358,FIND("/",P358)-1)))</f>
        <v/>
      </c>
      <c r="AF358" s="7" t="str">
        <f aca="false">IF(P358="","",VALUE(MID(P358,FIND("/",P358)+1,FIND("/",P358,FIND("/",P358)+1)-FIND("/",P358)-1)))</f>
        <v/>
      </c>
      <c r="AG358" s="7" t="str">
        <f aca="false">IF(P358="","",VALUE(MID(P358,FIND("/",P358,FIND("/",P358)+1)+1,LEN(P358)-FIND("/",P358,FIND("/",P358)+1))))</f>
        <v/>
      </c>
      <c r="AH358" s="7" t="str">
        <f aca="false">IF(OR(P358="",AE358=""),"",IFERROR(INDEX('لیست‌ها'!$Q$3:$Q$53,MATCH(AE358,'لیست‌ها'!$P$3:$P$53,0))+IF(AF358&lt;=6,(AF358-1)*31+AG358,IF(AF358&lt;=11,186+(AF358-7)*30+AG358,336+AG358))-1,""))</f>
        <v/>
      </c>
      <c r="AI358" s="7" t="str">
        <f aca="false">IF(W358="","",W358&amp;"-"&amp;TEXT(X358,"00"))</f>
        <v/>
      </c>
      <c r="AJ358" s="7" t="str">
        <f aca="false">IF(W358="","",W358*12+X358)</f>
        <v/>
      </c>
      <c r="AK358" s="7" t="str">
        <f aca="false">IF(U358="تاخیر",V358+ROW()/100000,"")</f>
        <v/>
      </c>
    </row>
    <row r="359" customFormat="false" ht="15" hidden="false" customHeight="false" outlineLevel="0" collapsed="false">
      <c r="A359" s="7" t="str">
        <f aca="false">IF(B359="","",ROW()-3)</f>
        <v/>
      </c>
      <c r="B359" s="8"/>
      <c r="C359" s="8"/>
      <c r="D359" s="8"/>
      <c r="E359" s="9"/>
      <c r="F359" s="9"/>
      <c r="G359" s="8"/>
      <c r="H359" s="8"/>
      <c r="I359" s="8"/>
      <c r="J359" s="9"/>
      <c r="K359" s="8"/>
      <c r="L359" s="8"/>
      <c r="M359" s="8"/>
      <c r="N359" s="8"/>
      <c r="O359" s="8"/>
      <c r="P359" s="8"/>
      <c r="Q359" s="8"/>
      <c r="R359" s="9"/>
      <c r="S359" s="8"/>
      <c r="T359" s="9"/>
      <c r="U359" s="10" t="str">
        <f aca="true">IF(B359="","",IF(OR(P359&lt;&gt;"",I359="می‌باشد"),"بسته",IF(AND(L359&lt;&gt;"",W359=""),"خطای فرمت تاریخ ایجاد",IF(AND(H359&lt;&gt;"",AA359=""),"خطای فرمت مهلت",IF(AND(H359&lt;&gt;"",AD359&lt;&gt;"",TODAY()&gt;AD359),"تاخیر",IF(L359&lt;&gt;"","در حال انجام",""))))))</f>
        <v/>
      </c>
      <c r="V359" s="7" t="n">
        <f aca="true">IF(U359="تاخیر",TODAY()-AD359,IF(AND(U359="بسته",AH359&lt;&gt;"",AD359&lt;&gt;"",AH359&gt;AD359),AH359-AD359,0))</f>
        <v>0</v>
      </c>
      <c r="W359" s="7" t="str">
        <f aca="false">IF(L359="","",VALUE(LEFT(L359,FIND("/",L359)-1)))</f>
        <v/>
      </c>
      <c r="X359" s="7" t="str">
        <f aca="false">IF(L359="","",VALUE(MID(L359,FIND("/",L359)+1,FIND("/",L359,FIND("/",L359)+1)-FIND("/",L359)-1)))</f>
        <v/>
      </c>
      <c r="Y359" s="7" t="str">
        <f aca="false">IF(L359="","",VALUE(MID(L359,FIND("/",L359,FIND("/",L359)+1)+1,LEN(L359)-FIND("/",L359,FIND("/",L359)+1))))</f>
        <v/>
      </c>
      <c r="Z359" s="7" t="str">
        <f aca="false">IF(OR(L359="",W359=""),"",IFERROR(INDEX('لیست‌ها'!$Q$3:$Q$53,MATCH(W359,'لیست‌ها'!$P$3:$P$53,0))+IF(X359&lt;=6,(X359-1)*31+Y359,IF(X359&lt;=11,186+(X359-7)*30+Y359,336+Y359))-1,""))</f>
        <v/>
      </c>
      <c r="AA359" s="7" t="str">
        <f aca="false">IF(H359="","",VALUE(LEFT(H359,FIND("/",H359)-1)))</f>
        <v/>
      </c>
      <c r="AB359" s="7" t="str">
        <f aca="false">IF(H359="","",VALUE(MID(H359,FIND("/",H359)+1,FIND("/",H359,FIND("/",H359)+1)-FIND("/",H359)-1)))</f>
        <v/>
      </c>
      <c r="AC359" s="7" t="str">
        <f aca="false">IF(H359="","",VALUE(MID(H359,FIND("/",H359,FIND("/",H359)+1)+1,LEN(H359)-FIND("/",H359,FIND("/",H359)+1))))</f>
        <v/>
      </c>
      <c r="AD359" s="7" t="str">
        <f aca="false">IF(OR(H359="",AA359=""),"",IFERROR(INDEX('لیست‌ها'!$Q$3:$Q$53,MATCH(AA359,'لیست‌ها'!$P$3:$P$53,0))+IF(AB359&lt;=6,(AB359-1)*31+AC359,IF(AB359&lt;=11,186+(AB359-7)*30+AC359,336+AC359))-1,""))</f>
        <v/>
      </c>
      <c r="AE359" s="7" t="str">
        <f aca="false">IF(P359="","",VALUE(LEFT(P359,FIND("/",P359)-1)))</f>
        <v/>
      </c>
      <c r="AF359" s="7" t="str">
        <f aca="false">IF(P359="","",VALUE(MID(P359,FIND("/",P359)+1,FIND("/",P359,FIND("/",P359)+1)-FIND("/",P359)-1)))</f>
        <v/>
      </c>
      <c r="AG359" s="7" t="str">
        <f aca="false">IF(P359="","",VALUE(MID(P359,FIND("/",P359,FIND("/",P359)+1)+1,LEN(P359)-FIND("/",P359,FIND("/",P359)+1))))</f>
        <v/>
      </c>
      <c r="AH359" s="7" t="str">
        <f aca="false">IF(OR(P359="",AE359=""),"",IFERROR(INDEX('لیست‌ها'!$Q$3:$Q$53,MATCH(AE359,'لیست‌ها'!$P$3:$P$53,0))+IF(AF359&lt;=6,(AF359-1)*31+AG359,IF(AF359&lt;=11,186+(AF359-7)*30+AG359,336+AG359))-1,""))</f>
        <v/>
      </c>
      <c r="AI359" s="7" t="str">
        <f aca="false">IF(W359="","",W359&amp;"-"&amp;TEXT(X359,"00"))</f>
        <v/>
      </c>
      <c r="AJ359" s="7" t="str">
        <f aca="false">IF(W359="","",W359*12+X359)</f>
        <v/>
      </c>
      <c r="AK359" s="7" t="str">
        <f aca="false">IF(U359="تاخیر",V359+ROW()/100000,"")</f>
        <v/>
      </c>
    </row>
    <row r="360" customFormat="false" ht="15" hidden="false" customHeight="false" outlineLevel="0" collapsed="false">
      <c r="A360" s="7" t="str">
        <f aca="false">IF(B360="","",ROW()-3)</f>
        <v/>
      </c>
      <c r="B360" s="8"/>
      <c r="C360" s="8"/>
      <c r="D360" s="8"/>
      <c r="E360" s="9"/>
      <c r="F360" s="9"/>
      <c r="G360" s="8"/>
      <c r="H360" s="8"/>
      <c r="I360" s="8"/>
      <c r="J360" s="9"/>
      <c r="K360" s="8"/>
      <c r="L360" s="8"/>
      <c r="M360" s="8"/>
      <c r="N360" s="8"/>
      <c r="O360" s="8"/>
      <c r="P360" s="8"/>
      <c r="Q360" s="8"/>
      <c r="R360" s="9"/>
      <c r="S360" s="8"/>
      <c r="T360" s="9"/>
      <c r="U360" s="10" t="str">
        <f aca="true">IF(B360="","",IF(OR(P360&lt;&gt;"",I360="می‌باشد"),"بسته",IF(AND(L360&lt;&gt;"",W360=""),"خطای فرمت تاریخ ایجاد",IF(AND(H360&lt;&gt;"",AA360=""),"خطای فرمت مهلت",IF(AND(H360&lt;&gt;"",AD360&lt;&gt;"",TODAY()&gt;AD360),"تاخیر",IF(L360&lt;&gt;"","در حال انجام",""))))))</f>
        <v/>
      </c>
      <c r="V360" s="7" t="n">
        <f aca="true">IF(U360="تاخیر",TODAY()-AD360,IF(AND(U360="بسته",AH360&lt;&gt;"",AD360&lt;&gt;"",AH360&gt;AD360),AH360-AD360,0))</f>
        <v>0</v>
      </c>
      <c r="W360" s="7" t="str">
        <f aca="false">IF(L360="","",VALUE(LEFT(L360,FIND("/",L360)-1)))</f>
        <v/>
      </c>
      <c r="X360" s="7" t="str">
        <f aca="false">IF(L360="","",VALUE(MID(L360,FIND("/",L360)+1,FIND("/",L360,FIND("/",L360)+1)-FIND("/",L360)-1)))</f>
        <v/>
      </c>
      <c r="Y360" s="7" t="str">
        <f aca="false">IF(L360="","",VALUE(MID(L360,FIND("/",L360,FIND("/",L360)+1)+1,LEN(L360)-FIND("/",L360,FIND("/",L360)+1))))</f>
        <v/>
      </c>
      <c r="Z360" s="7" t="str">
        <f aca="false">IF(OR(L360="",W360=""),"",IFERROR(INDEX('لیست‌ها'!$Q$3:$Q$53,MATCH(W360,'لیست‌ها'!$P$3:$P$53,0))+IF(X360&lt;=6,(X360-1)*31+Y360,IF(X360&lt;=11,186+(X360-7)*30+Y360,336+Y360))-1,""))</f>
        <v/>
      </c>
      <c r="AA360" s="7" t="str">
        <f aca="false">IF(H360="","",VALUE(LEFT(H360,FIND("/",H360)-1)))</f>
        <v/>
      </c>
      <c r="AB360" s="7" t="str">
        <f aca="false">IF(H360="","",VALUE(MID(H360,FIND("/",H360)+1,FIND("/",H360,FIND("/",H360)+1)-FIND("/",H360)-1)))</f>
        <v/>
      </c>
      <c r="AC360" s="7" t="str">
        <f aca="false">IF(H360="","",VALUE(MID(H360,FIND("/",H360,FIND("/",H360)+1)+1,LEN(H360)-FIND("/",H360,FIND("/",H360)+1))))</f>
        <v/>
      </c>
      <c r="AD360" s="7" t="str">
        <f aca="false">IF(OR(H360="",AA360=""),"",IFERROR(INDEX('لیست‌ها'!$Q$3:$Q$53,MATCH(AA360,'لیست‌ها'!$P$3:$P$53,0))+IF(AB360&lt;=6,(AB360-1)*31+AC360,IF(AB360&lt;=11,186+(AB360-7)*30+AC360,336+AC360))-1,""))</f>
        <v/>
      </c>
      <c r="AE360" s="7" t="str">
        <f aca="false">IF(P360="","",VALUE(LEFT(P360,FIND("/",P360)-1)))</f>
        <v/>
      </c>
      <c r="AF360" s="7" t="str">
        <f aca="false">IF(P360="","",VALUE(MID(P360,FIND("/",P360)+1,FIND("/",P360,FIND("/",P360)+1)-FIND("/",P360)-1)))</f>
        <v/>
      </c>
      <c r="AG360" s="7" t="str">
        <f aca="false">IF(P360="","",VALUE(MID(P360,FIND("/",P360,FIND("/",P360)+1)+1,LEN(P360)-FIND("/",P360,FIND("/",P360)+1))))</f>
        <v/>
      </c>
      <c r="AH360" s="7" t="str">
        <f aca="false">IF(OR(P360="",AE360=""),"",IFERROR(INDEX('لیست‌ها'!$Q$3:$Q$53,MATCH(AE360,'لیست‌ها'!$P$3:$P$53,0))+IF(AF360&lt;=6,(AF360-1)*31+AG360,IF(AF360&lt;=11,186+(AF360-7)*30+AG360,336+AG360))-1,""))</f>
        <v/>
      </c>
      <c r="AI360" s="7" t="str">
        <f aca="false">IF(W360="","",W360&amp;"-"&amp;TEXT(X360,"00"))</f>
        <v/>
      </c>
      <c r="AJ360" s="7" t="str">
        <f aca="false">IF(W360="","",W360*12+X360)</f>
        <v/>
      </c>
      <c r="AK360" s="7" t="str">
        <f aca="false">IF(U360="تاخیر",V360+ROW()/100000,"")</f>
        <v/>
      </c>
    </row>
    <row r="361" customFormat="false" ht="15" hidden="false" customHeight="false" outlineLevel="0" collapsed="false">
      <c r="A361" s="7" t="str">
        <f aca="false">IF(B361="","",ROW()-3)</f>
        <v/>
      </c>
      <c r="B361" s="8"/>
      <c r="C361" s="8"/>
      <c r="D361" s="8"/>
      <c r="E361" s="9"/>
      <c r="F361" s="9"/>
      <c r="G361" s="8"/>
      <c r="H361" s="8"/>
      <c r="I361" s="8"/>
      <c r="J361" s="9"/>
      <c r="K361" s="8"/>
      <c r="L361" s="8"/>
      <c r="M361" s="8"/>
      <c r="N361" s="8"/>
      <c r="O361" s="8"/>
      <c r="P361" s="8"/>
      <c r="Q361" s="8"/>
      <c r="R361" s="9"/>
      <c r="S361" s="8"/>
      <c r="T361" s="9"/>
      <c r="U361" s="10" t="str">
        <f aca="true">IF(B361="","",IF(OR(P361&lt;&gt;"",I361="می‌باشد"),"بسته",IF(AND(L361&lt;&gt;"",W361=""),"خطای فرمت تاریخ ایجاد",IF(AND(H361&lt;&gt;"",AA361=""),"خطای فرمت مهلت",IF(AND(H361&lt;&gt;"",AD361&lt;&gt;"",TODAY()&gt;AD361),"تاخیر",IF(L361&lt;&gt;"","در حال انجام",""))))))</f>
        <v/>
      </c>
      <c r="V361" s="7" t="n">
        <f aca="true">IF(U361="تاخیر",TODAY()-AD361,IF(AND(U361="بسته",AH361&lt;&gt;"",AD361&lt;&gt;"",AH361&gt;AD361),AH361-AD361,0))</f>
        <v>0</v>
      </c>
      <c r="W361" s="7" t="str">
        <f aca="false">IF(L361="","",VALUE(LEFT(L361,FIND("/",L361)-1)))</f>
        <v/>
      </c>
      <c r="X361" s="7" t="str">
        <f aca="false">IF(L361="","",VALUE(MID(L361,FIND("/",L361)+1,FIND("/",L361,FIND("/",L361)+1)-FIND("/",L361)-1)))</f>
        <v/>
      </c>
      <c r="Y361" s="7" t="str">
        <f aca="false">IF(L361="","",VALUE(MID(L361,FIND("/",L361,FIND("/",L361)+1)+1,LEN(L361)-FIND("/",L361,FIND("/",L361)+1))))</f>
        <v/>
      </c>
      <c r="Z361" s="7" t="str">
        <f aca="false">IF(OR(L361="",W361=""),"",IFERROR(INDEX('لیست‌ها'!$Q$3:$Q$53,MATCH(W361,'لیست‌ها'!$P$3:$P$53,0))+IF(X361&lt;=6,(X361-1)*31+Y361,IF(X361&lt;=11,186+(X361-7)*30+Y361,336+Y361))-1,""))</f>
        <v/>
      </c>
      <c r="AA361" s="7" t="str">
        <f aca="false">IF(H361="","",VALUE(LEFT(H361,FIND("/",H361)-1)))</f>
        <v/>
      </c>
      <c r="AB361" s="7" t="str">
        <f aca="false">IF(H361="","",VALUE(MID(H361,FIND("/",H361)+1,FIND("/",H361,FIND("/",H361)+1)-FIND("/",H361)-1)))</f>
        <v/>
      </c>
      <c r="AC361" s="7" t="str">
        <f aca="false">IF(H361="","",VALUE(MID(H361,FIND("/",H361,FIND("/",H361)+1)+1,LEN(H361)-FIND("/",H361,FIND("/",H361)+1))))</f>
        <v/>
      </c>
      <c r="AD361" s="7" t="str">
        <f aca="false">IF(OR(H361="",AA361=""),"",IFERROR(INDEX('لیست‌ها'!$Q$3:$Q$53,MATCH(AA361,'لیست‌ها'!$P$3:$P$53,0))+IF(AB361&lt;=6,(AB361-1)*31+AC361,IF(AB361&lt;=11,186+(AB361-7)*30+AC361,336+AC361))-1,""))</f>
        <v/>
      </c>
      <c r="AE361" s="7" t="str">
        <f aca="false">IF(P361="","",VALUE(LEFT(P361,FIND("/",P361)-1)))</f>
        <v/>
      </c>
      <c r="AF361" s="7" t="str">
        <f aca="false">IF(P361="","",VALUE(MID(P361,FIND("/",P361)+1,FIND("/",P361,FIND("/",P361)+1)-FIND("/",P361)-1)))</f>
        <v/>
      </c>
      <c r="AG361" s="7" t="str">
        <f aca="false">IF(P361="","",VALUE(MID(P361,FIND("/",P361,FIND("/",P361)+1)+1,LEN(P361)-FIND("/",P361,FIND("/",P361)+1))))</f>
        <v/>
      </c>
      <c r="AH361" s="7" t="str">
        <f aca="false">IF(OR(P361="",AE361=""),"",IFERROR(INDEX('لیست‌ها'!$Q$3:$Q$53,MATCH(AE361,'لیست‌ها'!$P$3:$P$53,0))+IF(AF361&lt;=6,(AF361-1)*31+AG361,IF(AF361&lt;=11,186+(AF361-7)*30+AG361,336+AG361))-1,""))</f>
        <v/>
      </c>
      <c r="AI361" s="7" t="str">
        <f aca="false">IF(W361="","",W361&amp;"-"&amp;TEXT(X361,"00"))</f>
        <v/>
      </c>
      <c r="AJ361" s="7" t="str">
        <f aca="false">IF(W361="","",W361*12+X361)</f>
        <v/>
      </c>
      <c r="AK361" s="7" t="str">
        <f aca="false">IF(U361="تاخیر",V361+ROW()/100000,"")</f>
        <v/>
      </c>
    </row>
    <row r="362" customFormat="false" ht="15" hidden="false" customHeight="false" outlineLevel="0" collapsed="false">
      <c r="A362" s="7" t="str">
        <f aca="false">IF(B362="","",ROW()-3)</f>
        <v/>
      </c>
      <c r="B362" s="8"/>
      <c r="C362" s="8"/>
      <c r="D362" s="8"/>
      <c r="E362" s="9"/>
      <c r="F362" s="9"/>
      <c r="G362" s="8"/>
      <c r="H362" s="8"/>
      <c r="I362" s="8"/>
      <c r="J362" s="9"/>
      <c r="K362" s="8"/>
      <c r="L362" s="8"/>
      <c r="M362" s="8"/>
      <c r="N362" s="8"/>
      <c r="O362" s="8"/>
      <c r="P362" s="8"/>
      <c r="Q362" s="8"/>
      <c r="R362" s="9"/>
      <c r="S362" s="8"/>
      <c r="T362" s="9"/>
      <c r="U362" s="10" t="str">
        <f aca="true">IF(B362="","",IF(OR(P362&lt;&gt;"",I362="می‌باشد"),"بسته",IF(AND(L362&lt;&gt;"",W362=""),"خطای فرمت تاریخ ایجاد",IF(AND(H362&lt;&gt;"",AA362=""),"خطای فرمت مهلت",IF(AND(H362&lt;&gt;"",AD362&lt;&gt;"",TODAY()&gt;AD362),"تاخیر",IF(L362&lt;&gt;"","در حال انجام",""))))))</f>
        <v/>
      </c>
      <c r="V362" s="7" t="n">
        <f aca="true">IF(U362="تاخیر",TODAY()-AD362,IF(AND(U362="بسته",AH362&lt;&gt;"",AD362&lt;&gt;"",AH362&gt;AD362),AH362-AD362,0))</f>
        <v>0</v>
      </c>
      <c r="W362" s="7" t="str">
        <f aca="false">IF(L362="","",VALUE(LEFT(L362,FIND("/",L362)-1)))</f>
        <v/>
      </c>
      <c r="X362" s="7" t="str">
        <f aca="false">IF(L362="","",VALUE(MID(L362,FIND("/",L362)+1,FIND("/",L362,FIND("/",L362)+1)-FIND("/",L362)-1)))</f>
        <v/>
      </c>
      <c r="Y362" s="7" t="str">
        <f aca="false">IF(L362="","",VALUE(MID(L362,FIND("/",L362,FIND("/",L362)+1)+1,LEN(L362)-FIND("/",L362,FIND("/",L362)+1))))</f>
        <v/>
      </c>
      <c r="Z362" s="7" t="str">
        <f aca="false">IF(OR(L362="",W362=""),"",IFERROR(INDEX('لیست‌ها'!$Q$3:$Q$53,MATCH(W362,'لیست‌ها'!$P$3:$P$53,0))+IF(X362&lt;=6,(X362-1)*31+Y362,IF(X362&lt;=11,186+(X362-7)*30+Y362,336+Y362))-1,""))</f>
        <v/>
      </c>
      <c r="AA362" s="7" t="str">
        <f aca="false">IF(H362="","",VALUE(LEFT(H362,FIND("/",H362)-1)))</f>
        <v/>
      </c>
      <c r="AB362" s="7" t="str">
        <f aca="false">IF(H362="","",VALUE(MID(H362,FIND("/",H362)+1,FIND("/",H362,FIND("/",H362)+1)-FIND("/",H362)-1)))</f>
        <v/>
      </c>
      <c r="AC362" s="7" t="str">
        <f aca="false">IF(H362="","",VALUE(MID(H362,FIND("/",H362,FIND("/",H362)+1)+1,LEN(H362)-FIND("/",H362,FIND("/",H362)+1))))</f>
        <v/>
      </c>
      <c r="AD362" s="7" t="str">
        <f aca="false">IF(OR(H362="",AA362=""),"",IFERROR(INDEX('لیست‌ها'!$Q$3:$Q$53,MATCH(AA362,'لیست‌ها'!$P$3:$P$53,0))+IF(AB362&lt;=6,(AB362-1)*31+AC362,IF(AB362&lt;=11,186+(AB362-7)*30+AC362,336+AC362))-1,""))</f>
        <v/>
      </c>
      <c r="AE362" s="7" t="str">
        <f aca="false">IF(P362="","",VALUE(LEFT(P362,FIND("/",P362)-1)))</f>
        <v/>
      </c>
      <c r="AF362" s="7" t="str">
        <f aca="false">IF(P362="","",VALUE(MID(P362,FIND("/",P362)+1,FIND("/",P362,FIND("/",P362)+1)-FIND("/",P362)-1)))</f>
        <v/>
      </c>
      <c r="AG362" s="7" t="str">
        <f aca="false">IF(P362="","",VALUE(MID(P362,FIND("/",P362,FIND("/",P362)+1)+1,LEN(P362)-FIND("/",P362,FIND("/",P362)+1))))</f>
        <v/>
      </c>
      <c r="AH362" s="7" t="str">
        <f aca="false">IF(OR(P362="",AE362=""),"",IFERROR(INDEX('لیست‌ها'!$Q$3:$Q$53,MATCH(AE362,'لیست‌ها'!$P$3:$P$53,0))+IF(AF362&lt;=6,(AF362-1)*31+AG362,IF(AF362&lt;=11,186+(AF362-7)*30+AG362,336+AG362))-1,""))</f>
        <v/>
      </c>
      <c r="AI362" s="7" t="str">
        <f aca="false">IF(W362="","",W362&amp;"-"&amp;TEXT(X362,"00"))</f>
        <v/>
      </c>
      <c r="AJ362" s="7" t="str">
        <f aca="false">IF(W362="","",W362*12+X362)</f>
        <v/>
      </c>
      <c r="AK362" s="7" t="str">
        <f aca="false">IF(U362="تاخیر",V362+ROW()/100000,"")</f>
        <v/>
      </c>
    </row>
    <row r="363" customFormat="false" ht="15" hidden="false" customHeight="false" outlineLevel="0" collapsed="false">
      <c r="A363" s="7" t="str">
        <f aca="false">IF(B363="","",ROW()-3)</f>
        <v/>
      </c>
      <c r="B363" s="8"/>
      <c r="C363" s="8"/>
      <c r="D363" s="8"/>
      <c r="E363" s="9"/>
      <c r="F363" s="9"/>
      <c r="G363" s="8"/>
      <c r="H363" s="8"/>
      <c r="I363" s="8"/>
      <c r="J363" s="9"/>
      <c r="K363" s="8"/>
      <c r="L363" s="8"/>
      <c r="M363" s="8"/>
      <c r="N363" s="8"/>
      <c r="O363" s="8"/>
      <c r="P363" s="8"/>
      <c r="Q363" s="8"/>
      <c r="R363" s="9"/>
      <c r="S363" s="8"/>
      <c r="T363" s="9"/>
      <c r="U363" s="10" t="str">
        <f aca="true">IF(B363="","",IF(OR(P363&lt;&gt;"",I363="می‌باشد"),"بسته",IF(AND(L363&lt;&gt;"",W363=""),"خطای فرمت تاریخ ایجاد",IF(AND(H363&lt;&gt;"",AA363=""),"خطای فرمت مهلت",IF(AND(H363&lt;&gt;"",AD363&lt;&gt;"",TODAY()&gt;AD363),"تاخیر",IF(L363&lt;&gt;"","در حال انجام",""))))))</f>
        <v/>
      </c>
      <c r="V363" s="7" t="n">
        <f aca="true">IF(U363="تاخیر",TODAY()-AD363,IF(AND(U363="بسته",AH363&lt;&gt;"",AD363&lt;&gt;"",AH363&gt;AD363),AH363-AD363,0))</f>
        <v>0</v>
      </c>
      <c r="W363" s="7" t="str">
        <f aca="false">IF(L363="","",VALUE(LEFT(L363,FIND("/",L363)-1)))</f>
        <v/>
      </c>
      <c r="X363" s="7" t="str">
        <f aca="false">IF(L363="","",VALUE(MID(L363,FIND("/",L363)+1,FIND("/",L363,FIND("/",L363)+1)-FIND("/",L363)-1)))</f>
        <v/>
      </c>
      <c r="Y363" s="7" t="str">
        <f aca="false">IF(L363="","",VALUE(MID(L363,FIND("/",L363,FIND("/",L363)+1)+1,LEN(L363)-FIND("/",L363,FIND("/",L363)+1))))</f>
        <v/>
      </c>
      <c r="Z363" s="7" t="str">
        <f aca="false">IF(OR(L363="",W363=""),"",IFERROR(INDEX('لیست‌ها'!$Q$3:$Q$53,MATCH(W363,'لیست‌ها'!$P$3:$P$53,0))+IF(X363&lt;=6,(X363-1)*31+Y363,IF(X363&lt;=11,186+(X363-7)*30+Y363,336+Y363))-1,""))</f>
        <v/>
      </c>
      <c r="AA363" s="7" t="str">
        <f aca="false">IF(H363="","",VALUE(LEFT(H363,FIND("/",H363)-1)))</f>
        <v/>
      </c>
      <c r="AB363" s="7" t="str">
        <f aca="false">IF(H363="","",VALUE(MID(H363,FIND("/",H363)+1,FIND("/",H363,FIND("/",H363)+1)-FIND("/",H363)-1)))</f>
        <v/>
      </c>
      <c r="AC363" s="7" t="str">
        <f aca="false">IF(H363="","",VALUE(MID(H363,FIND("/",H363,FIND("/",H363)+1)+1,LEN(H363)-FIND("/",H363,FIND("/",H363)+1))))</f>
        <v/>
      </c>
      <c r="AD363" s="7" t="str">
        <f aca="false">IF(OR(H363="",AA363=""),"",IFERROR(INDEX('لیست‌ها'!$Q$3:$Q$53,MATCH(AA363,'لیست‌ها'!$P$3:$P$53,0))+IF(AB363&lt;=6,(AB363-1)*31+AC363,IF(AB363&lt;=11,186+(AB363-7)*30+AC363,336+AC363))-1,""))</f>
        <v/>
      </c>
      <c r="AE363" s="7" t="str">
        <f aca="false">IF(P363="","",VALUE(LEFT(P363,FIND("/",P363)-1)))</f>
        <v/>
      </c>
      <c r="AF363" s="7" t="str">
        <f aca="false">IF(P363="","",VALUE(MID(P363,FIND("/",P363)+1,FIND("/",P363,FIND("/",P363)+1)-FIND("/",P363)-1)))</f>
        <v/>
      </c>
      <c r="AG363" s="7" t="str">
        <f aca="false">IF(P363="","",VALUE(MID(P363,FIND("/",P363,FIND("/",P363)+1)+1,LEN(P363)-FIND("/",P363,FIND("/",P363)+1))))</f>
        <v/>
      </c>
      <c r="AH363" s="7" t="str">
        <f aca="false">IF(OR(P363="",AE363=""),"",IFERROR(INDEX('لیست‌ها'!$Q$3:$Q$53,MATCH(AE363,'لیست‌ها'!$P$3:$P$53,0))+IF(AF363&lt;=6,(AF363-1)*31+AG363,IF(AF363&lt;=11,186+(AF363-7)*30+AG363,336+AG363))-1,""))</f>
        <v/>
      </c>
      <c r="AI363" s="7" t="str">
        <f aca="false">IF(W363="","",W363&amp;"-"&amp;TEXT(X363,"00"))</f>
        <v/>
      </c>
      <c r="AJ363" s="7" t="str">
        <f aca="false">IF(W363="","",W363*12+X363)</f>
        <v/>
      </c>
      <c r="AK363" s="7" t="str">
        <f aca="false">IF(U363="تاخیر",V363+ROW()/100000,"")</f>
        <v/>
      </c>
    </row>
    <row r="364" customFormat="false" ht="15" hidden="false" customHeight="false" outlineLevel="0" collapsed="false">
      <c r="A364" s="7" t="str">
        <f aca="false">IF(B364="","",ROW()-3)</f>
        <v/>
      </c>
      <c r="B364" s="8"/>
      <c r="C364" s="8"/>
      <c r="D364" s="8"/>
      <c r="E364" s="9"/>
      <c r="F364" s="9"/>
      <c r="G364" s="8"/>
      <c r="H364" s="8"/>
      <c r="I364" s="8"/>
      <c r="J364" s="9"/>
      <c r="K364" s="8"/>
      <c r="L364" s="8"/>
      <c r="M364" s="8"/>
      <c r="N364" s="8"/>
      <c r="O364" s="8"/>
      <c r="P364" s="8"/>
      <c r="Q364" s="8"/>
      <c r="R364" s="9"/>
      <c r="S364" s="8"/>
      <c r="T364" s="9"/>
      <c r="U364" s="10" t="str">
        <f aca="true">IF(B364="","",IF(OR(P364&lt;&gt;"",I364="می‌باشد"),"بسته",IF(AND(L364&lt;&gt;"",W364=""),"خطای فرمت تاریخ ایجاد",IF(AND(H364&lt;&gt;"",AA364=""),"خطای فرمت مهلت",IF(AND(H364&lt;&gt;"",AD364&lt;&gt;"",TODAY()&gt;AD364),"تاخیر",IF(L364&lt;&gt;"","در حال انجام",""))))))</f>
        <v/>
      </c>
      <c r="V364" s="7" t="n">
        <f aca="true">IF(U364="تاخیر",TODAY()-AD364,IF(AND(U364="بسته",AH364&lt;&gt;"",AD364&lt;&gt;"",AH364&gt;AD364),AH364-AD364,0))</f>
        <v>0</v>
      </c>
      <c r="W364" s="7" t="str">
        <f aca="false">IF(L364="","",VALUE(LEFT(L364,FIND("/",L364)-1)))</f>
        <v/>
      </c>
      <c r="X364" s="7" t="str">
        <f aca="false">IF(L364="","",VALUE(MID(L364,FIND("/",L364)+1,FIND("/",L364,FIND("/",L364)+1)-FIND("/",L364)-1)))</f>
        <v/>
      </c>
      <c r="Y364" s="7" t="str">
        <f aca="false">IF(L364="","",VALUE(MID(L364,FIND("/",L364,FIND("/",L364)+1)+1,LEN(L364)-FIND("/",L364,FIND("/",L364)+1))))</f>
        <v/>
      </c>
      <c r="Z364" s="7" t="str">
        <f aca="false">IF(OR(L364="",W364=""),"",IFERROR(INDEX('لیست‌ها'!$Q$3:$Q$53,MATCH(W364,'لیست‌ها'!$P$3:$P$53,0))+IF(X364&lt;=6,(X364-1)*31+Y364,IF(X364&lt;=11,186+(X364-7)*30+Y364,336+Y364))-1,""))</f>
        <v/>
      </c>
      <c r="AA364" s="7" t="str">
        <f aca="false">IF(H364="","",VALUE(LEFT(H364,FIND("/",H364)-1)))</f>
        <v/>
      </c>
      <c r="AB364" s="7" t="str">
        <f aca="false">IF(H364="","",VALUE(MID(H364,FIND("/",H364)+1,FIND("/",H364,FIND("/",H364)+1)-FIND("/",H364)-1)))</f>
        <v/>
      </c>
      <c r="AC364" s="7" t="str">
        <f aca="false">IF(H364="","",VALUE(MID(H364,FIND("/",H364,FIND("/",H364)+1)+1,LEN(H364)-FIND("/",H364,FIND("/",H364)+1))))</f>
        <v/>
      </c>
      <c r="AD364" s="7" t="str">
        <f aca="false">IF(OR(H364="",AA364=""),"",IFERROR(INDEX('لیست‌ها'!$Q$3:$Q$53,MATCH(AA364,'لیست‌ها'!$P$3:$P$53,0))+IF(AB364&lt;=6,(AB364-1)*31+AC364,IF(AB364&lt;=11,186+(AB364-7)*30+AC364,336+AC364))-1,""))</f>
        <v/>
      </c>
      <c r="AE364" s="7" t="str">
        <f aca="false">IF(P364="","",VALUE(LEFT(P364,FIND("/",P364)-1)))</f>
        <v/>
      </c>
      <c r="AF364" s="7" t="str">
        <f aca="false">IF(P364="","",VALUE(MID(P364,FIND("/",P364)+1,FIND("/",P364,FIND("/",P364)+1)-FIND("/",P364)-1)))</f>
        <v/>
      </c>
      <c r="AG364" s="7" t="str">
        <f aca="false">IF(P364="","",VALUE(MID(P364,FIND("/",P364,FIND("/",P364)+1)+1,LEN(P364)-FIND("/",P364,FIND("/",P364)+1))))</f>
        <v/>
      </c>
      <c r="AH364" s="7" t="str">
        <f aca="false">IF(OR(P364="",AE364=""),"",IFERROR(INDEX('لیست‌ها'!$Q$3:$Q$53,MATCH(AE364,'لیست‌ها'!$P$3:$P$53,0))+IF(AF364&lt;=6,(AF364-1)*31+AG364,IF(AF364&lt;=11,186+(AF364-7)*30+AG364,336+AG364))-1,""))</f>
        <v/>
      </c>
      <c r="AI364" s="7" t="str">
        <f aca="false">IF(W364="","",W364&amp;"-"&amp;TEXT(X364,"00"))</f>
        <v/>
      </c>
      <c r="AJ364" s="7" t="str">
        <f aca="false">IF(W364="","",W364*12+X364)</f>
        <v/>
      </c>
      <c r="AK364" s="7" t="str">
        <f aca="false">IF(U364="تاخیر",V364+ROW()/100000,"")</f>
        <v/>
      </c>
    </row>
    <row r="365" customFormat="false" ht="15" hidden="false" customHeight="false" outlineLevel="0" collapsed="false">
      <c r="A365" s="7" t="str">
        <f aca="false">IF(B365="","",ROW()-3)</f>
        <v/>
      </c>
      <c r="B365" s="8"/>
      <c r="C365" s="8"/>
      <c r="D365" s="8"/>
      <c r="E365" s="9"/>
      <c r="F365" s="9"/>
      <c r="G365" s="8"/>
      <c r="H365" s="8"/>
      <c r="I365" s="8"/>
      <c r="J365" s="9"/>
      <c r="K365" s="8"/>
      <c r="L365" s="8"/>
      <c r="M365" s="8"/>
      <c r="N365" s="8"/>
      <c r="O365" s="8"/>
      <c r="P365" s="8"/>
      <c r="Q365" s="8"/>
      <c r="R365" s="9"/>
      <c r="S365" s="8"/>
      <c r="T365" s="9"/>
      <c r="U365" s="10" t="str">
        <f aca="true">IF(B365="","",IF(OR(P365&lt;&gt;"",I365="می‌باشد"),"بسته",IF(AND(L365&lt;&gt;"",W365=""),"خطای فرمت تاریخ ایجاد",IF(AND(H365&lt;&gt;"",AA365=""),"خطای فرمت مهلت",IF(AND(H365&lt;&gt;"",AD365&lt;&gt;"",TODAY()&gt;AD365),"تاخیر",IF(L365&lt;&gt;"","در حال انجام",""))))))</f>
        <v/>
      </c>
      <c r="V365" s="7" t="n">
        <f aca="true">IF(U365="تاخیر",TODAY()-AD365,IF(AND(U365="بسته",AH365&lt;&gt;"",AD365&lt;&gt;"",AH365&gt;AD365),AH365-AD365,0))</f>
        <v>0</v>
      </c>
      <c r="W365" s="7" t="str">
        <f aca="false">IF(L365="","",VALUE(LEFT(L365,FIND("/",L365)-1)))</f>
        <v/>
      </c>
      <c r="X365" s="7" t="str">
        <f aca="false">IF(L365="","",VALUE(MID(L365,FIND("/",L365)+1,FIND("/",L365,FIND("/",L365)+1)-FIND("/",L365)-1)))</f>
        <v/>
      </c>
      <c r="Y365" s="7" t="str">
        <f aca="false">IF(L365="","",VALUE(MID(L365,FIND("/",L365,FIND("/",L365)+1)+1,LEN(L365)-FIND("/",L365,FIND("/",L365)+1))))</f>
        <v/>
      </c>
      <c r="Z365" s="7" t="str">
        <f aca="false">IF(OR(L365="",W365=""),"",IFERROR(INDEX('لیست‌ها'!$Q$3:$Q$53,MATCH(W365,'لیست‌ها'!$P$3:$P$53,0))+IF(X365&lt;=6,(X365-1)*31+Y365,IF(X365&lt;=11,186+(X365-7)*30+Y365,336+Y365))-1,""))</f>
        <v/>
      </c>
      <c r="AA365" s="7" t="str">
        <f aca="false">IF(H365="","",VALUE(LEFT(H365,FIND("/",H365)-1)))</f>
        <v/>
      </c>
      <c r="AB365" s="7" t="str">
        <f aca="false">IF(H365="","",VALUE(MID(H365,FIND("/",H365)+1,FIND("/",H365,FIND("/",H365)+1)-FIND("/",H365)-1)))</f>
        <v/>
      </c>
      <c r="AC365" s="7" t="str">
        <f aca="false">IF(H365="","",VALUE(MID(H365,FIND("/",H365,FIND("/",H365)+1)+1,LEN(H365)-FIND("/",H365,FIND("/",H365)+1))))</f>
        <v/>
      </c>
      <c r="AD365" s="7" t="str">
        <f aca="false">IF(OR(H365="",AA365=""),"",IFERROR(INDEX('لیست‌ها'!$Q$3:$Q$53,MATCH(AA365,'لیست‌ها'!$P$3:$P$53,0))+IF(AB365&lt;=6,(AB365-1)*31+AC365,IF(AB365&lt;=11,186+(AB365-7)*30+AC365,336+AC365))-1,""))</f>
        <v/>
      </c>
      <c r="AE365" s="7" t="str">
        <f aca="false">IF(P365="","",VALUE(LEFT(P365,FIND("/",P365)-1)))</f>
        <v/>
      </c>
      <c r="AF365" s="7" t="str">
        <f aca="false">IF(P365="","",VALUE(MID(P365,FIND("/",P365)+1,FIND("/",P365,FIND("/",P365)+1)-FIND("/",P365)-1)))</f>
        <v/>
      </c>
      <c r="AG365" s="7" t="str">
        <f aca="false">IF(P365="","",VALUE(MID(P365,FIND("/",P365,FIND("/",P365)+1)+1,LEN(P365)-FIND("/",P365,FIND("/",P365)+1))))</f>
        <v/>
      </c>
      <c r="AH365" s="7" t="str">
        <f aca="false">IF(OR(P365="",AE365=""),"",IFERROR(INDEX('لیست‌ها'!$Q$3:$Q$53,MATCH(AE365,'لیست‌ها'!$P$3:$P$53,0))+IF(AF365&lt;=6,(AF365-1)*31+AG365,IF(AF365&lt;=11,186+(AF365-7)*30+AG365,336+AG365))-1,""))</f>
        <v/>
      </c>
      <c r="AI365" s="7" t="str">
        <f aca="false">IF(W365="","",W365&amp;"-"&amp;TEXT(X365,"00"))</f>
        <v/>
      </c>
      <c r="AJ365" s="7" t="str">
        <f aca="false">IF(W365="","",W365*12+X365)</f>
        <v/>
      </c>
      <c r="AK365" s="7" t="str">
        <f aca="false">IF(U365="تاخیر",V365+ROW()/100000,"")</f>
        <v/>
      </c>
    </row>
    <row r="366" customFormat="false" ht="15" hidden="false" customHeight="false" outlineLevel="0" collapsed="false">
      <c r="A366" s="7" t="str">
        <f aca="false">IF(B366="","",ROW()-3)</f>
        <v/>
      </c>
      <c r="B366" s="8"/>
      <c r="C366" s="8"/>
      <c r="D366" s="8"/>
      <c r="E366" s="9"/>
      <c r="F366" s="9"/>
      <c r="G366" s="8"/>
      <c r="H366" s="8"/>
      <c r="I366" s="8"/>
      <c r="J366" s="9"/>
      <c r="K366" s="8"/>
      <c r="L366" s="8"/>
      <c r="M366" s="8"/>
      <c r="N366" s="8"/>
      <c r="O366" s="8"/>
      <c r="P366" s="8"/>
      <c r="Q366" s="8"/>
      <c r="R366" s="9"/>
      <c r="S366" s="8"/>
      <c r="T366" s="9"/>
      <c r="U366" s="10" t="str">
        <f aca="true">IF(B366="","",IF(OR(P366&lt;&gt;"",I366="می‌باشد"),"بسته",IF(AND(L366&lt;&gt;"",W366=""),"خطای فرمت تاریخ ایجاد",IF(AND(H366&lt;&gt;"",AA366=""),"خطای فرمت مهلت",IF(AND(H366&lt;&gt;"",AD366&lt;&gt;"",TODAY()&gt;AD366),"تاخیر",IF(L366&lt;&gt;"","در حال انجام",""))))))</f>
        <v/>
      </c>
      <c r="V366" s="7" t="n">
        <f aca="true">IF(U366="تاخیر",TODAY()-AD366,IF(AND(U366="بسته",AH366&lt;&gt;"",AD366&lt;&gt;"",AH366&gt;AD366),AH366-AD366,0))</f>
        <v>0</v>
      </c>
      <c r="W366" s="7" t="str">
        <f aca="false">IF(L366="","",VALUE(LEFT(L366,FIND("/",L366)-1)))</f>
        <v/>
      </c>
      <c r="X366" s="7" t="str">
        <f aca="false">IF(L366="","",VALUE(MID(L366,FIND("/",L366)+1,FIND("/",L366,FIND("/",L366)+1)-FIND("/",L366)-1)))</f>
        <v/>
      </c>
      <c r="Y366" s="7" t="str">
        <f aca="false">IF(L366="","",VALUE(MID(L366,FIND("/",L366,FIND("/",L366)+1)+1,LEN(L366)-FIND("/",L366,FIND("/",L366)+1))))</f>
        <v/>
      </c>
      <c r="Z366" s="7" t="str">
        <f aca="false">IF(OR(L366="",W366=""),"",IFERROR(INDEX('لیست‌ها'!$Q$3:$Q$53,MATCH(W366,'لیست‌ها'!$P$3:$P$53,0))+IF(X366&lt;=6,(X366-1)*31+Y366,IF(X366&lt;=11,186+(X366-7)*30+Y366,336+Y366))-1,""))</f>
        <v/>
      </c>
      <c r="AA366" s="7" t="str">
        <f aca="false">IF(H366="","",VALUE(LEFT(H366,FIND("/",H366)-1)))</f>
        <v/>
      </c>
      <c r="AB366" s="7" t="str">
        <f aca="false">IF(H366="","",VALUE(MID(H366,FIND("/",H366)+1,FIND("/",H366,FIND("/",H366)+1)-FIND("/",H366)-1)))</f>
        <v/>
      </c>
      <c r="AC366" s="7" t="str">
        <f aca="false">IF(H366="","",VALUE(MID(H366,FIND("/",H366,FIND("/",H366)+1)+1,LEN(H366)-FIND("/",H366,FIND("/",H366)+1))))</f>
        <v/>
      </c>
      <c r="AD366" s="7" t="str">
        <f aca="false">IF(OR(H366="",AA366=""),"",IFERROR(INDEX('لیست‌ها'!$Q$3:$Q$53,MATCH(AA366,'لیست‌ها'!$P$3:$P$53,0))+IF(AB366&lt;=6,(AB366-1)*31+AC366,IF(AB366&lt;=11,186+(AB366-7)*30+AC366,336+AC366))-1,""))</f>
        <v/>
      </c>
      <c r="AE366" s="7" t="str">
        <f aca="false">IF(P366="","",VALUE(LEFT(P366,FIND("/",P366)-1)))</f>
        <v/>
      </c>
      <c r="AF366" s="7" t="str">
        <f aca="false">IF(P366="","",VALUE(MID(P366,FIND("/",P366)+1,FIND("/",P366,FIND("/",P366)+1)-FIND("/",P366)-1)))</f>
        <v/>
      </c>
      <c r="AG366" s="7" t="str">
        <f aca="false">IF(P366="","",VALUE(MID(P366,FIND("/",P366,FIND("/",P366)+1)+1,LEN(P366)-FIND("/",P366,FIND("/",P366)+1))))</f>
        <v/>
      </c>
      <c r="AH366" s="7" t="str">
        <f aca="false">IF(OR(P366="",AE366=""),"",IFERROR(INDEX('لیست‌ها'!$Q$3:$Q$53,MATCH(AE366,'لیست‌ها'!$P$3:$P$53,0))+IF(AF366&lt;=6,(AF366-1)*31+AG366,IF(AF366&lt;=11,186+(AF366-7)*30+AG366,336+AG366))-1,""))</f>
        <v/>
      </c>
      <c r="AI366" s="7" t="str">
        <f aca="false">IF(W366="","",W366&amp;"-"&amp;TEXT(X366,"00"))</f>
        <v/>
      </c>
      <c r="AJ366" s="7" t="str">
        <f aca="false">IF(W366="","",W366*12+X366)</f>
        <v/>
      </c>
      <c r="AK366" s="7" t="str">
        <f aca="false">IF(U366="تاخیر",V366+ROW()/100000,"")</f>
        <v/>
      </c>
    </row>
    <row r="367" customFormat="false" ht="15" hidden="false" customHeight="false" outlineLevel="0" collapsed="false">
      <c r="A367" s="7" t="str">
        <f aca="false">IF(B367="","",ROW()-3)</f>
        <v/>
      </c>
      <c r="B367" s="8"/>
      <c r="C367" s="8"/>
      <c r="D367" s="8"/>
      <c r="E367" s="9"/>
      <c r="F367" s="9"/>
      <c r="G367" s="8"/>
      <c r="H367" s="8"/>
      <c r="I367" s="8"/>
      <c r="J367" s="9"/>
      <c r="K367" s="8"/>
      <c r="L367" s="8"/>
      <c r="M367" s="8"/>
      <c r="N367" s="8"/>
      <c r="O367" s="8"/>
      <c r="P367" s="8"/>
      <c r="Q367" s="8"/>
      <c r="R367" s="9"/>
      <c r="S367" s="8"/>
      <c r="T367" s="9"/>
      <c r="U367" s="10" t="str">
        <f aca="true">IF(B367="","",IF(OR(P367&lt;&gt;"",I367="می‌باشد"),"بسته",IF(AND(L367&lt;&gt;"",W367=""),"خطای فرمت تاریخ ایجاد",IF(AND(H367&lt;&gt;"",AA367=""),"خطای فرمت مهلت",IF(AND(H367&lt;&gt;"",AD367&lt;&gt;"",TODAY()&gt;AD367),"تاخیر",IF(L367&lt;&gt;"","در حال انجام",""))))))</f>
        <v/>
      </c>
      <c r="V367" s="7" t="n">
        <f aca="true">IF(U367="تاخیر",TODAY()-AD367,IF(AND(U367="بسته",AH367&lt;&gt;"",AD367&lt;&gt;"",AH367&gt;AD367),AH367-AD367,0))</f>
        <v>0</v>
      </c>
      <c r="W367" s="7" t="str">
        <f aca="false">IF(L367="","",VALUE(LEFT(L367,FIND("/",L367)-1)))</f>
        <v/>
      </c>
      <c r="X367" s="7" t="str">
        <f aca="false">IF(L367="","",VALUE(MID(L367,FIND("/",L367)+1,FIND("/",L367,FIND("/",L367)+1)-FIND("/",L367)-1)))</f>
        <v/>
      </c>
      <c r="Y367" s="7" t="str">
        <f aca="false">IF(L367="","",VALUE(MID(L367,FIND("/",L367,FIND("/",L367)+1)+1,LEN(L367)-FIND("/",L367,FIND("/",L367)+1))))</f>
        <v/>
      </c>
      <c r="Z367" s="7" t="str">
        <f aca="false">IF(OR(L367="",W367=""),"",IFERROR(INDEX('لیست‌ها'!$Q$3:$Q$53,MATCH(W367,'لیست‌ها'!$P$3:$P$53,0))+IF(X367&lt;=6,(X367-1)*31+Y367,IF(X367&lt;=11,186+(X367-7)*30+Y367,336+Y367))-1,""))</f>
        <v/>
      </c>
      <c r="AA367" s="7" t="str">
        <f aca="false">IF(H367="","",VALUE(LEFT(H367,FIND("/",H367)-1)))</f>
        <v/>
      </c>
      <c r="AB367" s="7" t="str">
        <f aca="false">IF(H367="","",VALUE(MID(H367,FIND("/",H367)+1,FIND("/",H367,FIND("/",H367)+1)-FIND("/",H367)-1)))</f>
        <v/>
      </c>
      <c r="AC367" s="7" t="str">
        <f aca="false">IF(H367="","",VALUE(MID(H367,FIND("/",H367,FIND("/",H367)+1)+1,LEN(H367)-FIND("/",H367,FIND("/",H367)+1))))</f>
        <v/>
      </c>
      <c r="AD367" s="7" t="str">
        <f aca="false">IF(OR(H367="",AA367=""),"",IFERROR(INDEX('لیست‌ها'!$Q$3:$Q$53,MATCH(AA367,'لیست‌ها'!$P$3:$P$53,0))+IF(AB367&lt;=6,(AB367-1)*31+AC367,IF(AB367&lt;=11,186+(AB367-7)*30+AC367,336+AC367))-1,""))</f>
        <v/>
      </c>
      <c r="AE367" s="7" t="str">
        <f aca="false">IF(P367="","",VALUE(LEFT(P367,FIND("/",P367)-1)))</f>
        <v/>
      </c>
      <c r="AF367" s="7" t="str">
        <f aca="false">IF(P367="","",VALUE(MID(P367,FIND("/",P367)+1,FIND("/",P367,FIND("/",P367)+1)-FIND("/",P367)-1)))</f>
        <v/>
      </c>
      <c r="AG367" s="7" t="str">
        <f aca="false">IF(P367="","",VALUE(MID(P367,FIND("/",P367,FIND("/",P367)+1)+1,LEN(P367)-FIND("/",P367,FIND("/",P367)+1))))</f>
        <v/>
      </c>
      <c r="AH367" s="7" t="str">
        <f aca="false">IF(OR(P367="",AE367=""),"",IFERROR(INDEX('لیست‌ها'!$Q$3:$Q$53,MATCH(AE367,'لیست‌ها'!$P$3:$P$53,0))+IF(AF367&lt;=6,(AF367-1)*31+AG367,IF(AF367&lt;=11,186+(AF367-7)*30+AG367,336+AG367))-1,""))</f>
        <v/>
      </c>
      <c r="AI367" s="7" t="str">
        <f aca="false">IF(W367="","",W367&amp;"-"&amp;TEXT(X367,"00"))</f>
        <v/>
      </c>
      <c r="AJ367" s="7" t="str">
        <f aca="false">IF(W367="","",W367*12+X367)</f>
        <v/>
      </c>
      <c r="AK367" s="7" t="str">
        <f aca="false">IF(U367="تاخیر",V367+ROW()/100000,"")</f>
        <v/>
      </c>
    </row>
    <row r="368" customFormat="false" ht="15" hidden="false" customHeight="false" outlineLevel="0" collapsed="false">
      <c r="A368" s="7" t="str">
        <f aca="false">IF(B368="","",ROW()-3)</f>
        <v/>
      </c>
      <c r="B368" s="8"/>
      <c r="C368" s="8"/>
      <c r="D368" s="8"/>
      <c r="E368" s="9"/>
      <c r="F368" s="9"/>
      <c r="G368" s="8"/>
      <c r="H368" s="8"/>
      <c r="I368" s="8"/>
      <c r="J368" s="9"/>
      <c r="K368" s="8"/>
      <c r="L368" s="8"/>
      <c r="M368" s="8"/>
      <c r="N368" s="8"/>
      <c r="O368" s="8"/>
      <c r="P368" s="8"/>
      <c r="Q368" s="8"/>
      <c r="R368" s="9"/>
      <c r="S368" s="8"/>
      <c r="T368" s="9"/>
      <c r="U368" s="10" t="str">
        <f aca="true">IF(B368="","",IF(OR(P368&lt;&gt;"",I368="می‌باشد"),"بسته",IF(AND(L368&lt;&gt;"",W368=""),"خطای فرمت تاریخ ایجاد",IF(AND(H368&lt;&gt;"",AA368=""),"خطای فرمت مهلت",IF(AND(H368&lt;&gt;"",AD368&lt;&gt;"",TODAY()&gt;AD368),"تاخیر",IF(L368&lt;&gt;"","در حال انجام",""))))))</f>
        <v/>
      </c>
      <c r="V368" s="7" t="n">
        <f aca="true">IF(U368="تاخیر",TODAY()-AD368,IF(AND(U368="بسته",AH368&lt;&gt;"",AD368&lt;&gt;"",AH368&gt;AD368),AH368-AD368,0))</f>
        <v>0</v>
      </c>
      <c r="W368" s="7" t="str">
        <f aca="false">IF(L368="","",VALUE(LEFT(L368,FIND("/",L368)-1)))</f>
        <v/>
      </c>
      <c r="X368" s="7" t="str">
        <f aca="false">IF(L368="","",VALUE(MID(L368,FIND("/",L368)+1,FIND("/",L368,FIND("/",L368)+1)-FIND("/",L368)-1)))</f>
        <v/>
      </c>
      <c r="Y368" s="7" t="str">
        <f aca="false">IF(L368="","",VALUE(MID(L368,FIND("/",L368,FIND("/",L368)+1)+1,LEN(L368)-FIND("/",L368,FIND("/",L368)+1))))</f>
        <v/>
      </c>
      <c r="Z368" s="7" t="str">
        <f aca="false">IF(OR(L368="",W368=""),"",IFERROR(INDEX('لیست‌ها'!$Q$3:$Q$53,MATCH(W368,'لیست‌ها'!$P$3:$P$53,0))+IF(X368&lt;=6,(X368-1)*31+Y368,IF(X368&lt;=11,186+(X368-7)*30+Y368,336+Y368))-1,""))</f>
        <v/>
      </c>
      <c r="AA368" s="7" t="str">
        <f aca="false">IF(H368="","",VALUE(LEFT(H368,FIND("/",H368)-1)))</f>
        <v/>
      </c>
      <c r="AB368" s="7" t="str">
        <f aca="false">IF(H368="","",VALUE(MID(H368,FIND("/",H368)+1,FIND("/",H368,FIND("/",H368)+1)-FIND("/",H368)-1)))</f>
        <v/>
      </c>
      <c r="AC368" s="7" t="str">
        <f aca="false">IF(H368="","",VALUE(MID(H368,FIND("/",H368,FIND("/",H368)+1)+1,LEN(H368)-FIND("/",H368,FIND("/",H368)+1))))</f>
        <v/>
      </c>
      <c r="AD368" s="7" t="str">
        <f aca="false">IF(OR(H368="",AA368=""),"",IFERROR(INDEX('لیست‌ها'!$Q$3:$Q$53,MATCH(AA368,'لیست‌ها'!$P$3:$P$53,0))+IF(AB368&lt;=6,(AB368-1)*31+AC368,IF(AB368&lt;=11,186+(AB368-7)*30+AC368,336+AC368))-1,""))</f>
        <v/>
      </c>
      <c r="AE368" s="7" t="str">
        <f aca="false">IF(P368="","",VALUE(LEFT(P368,FIND("/",P368)-1)))</f>
        <v/>
      </c>
      <c r="AF368" s="7" t="str">
        <f aca="false">IF(P368="","",VALUE(MID(P368,FIND("/",P368)+1,FIND("/",P368,FIND("/",P368)+1)-FIND("/",P368)-1)))</f>
        <v/>
      </c>
      <c r="AG368" s="7" t="str">
        <f aca="false">IF(P368="","",VALUE(MID(P368,FIND("/",P368,FIND("/",P368)+1)+1,LEN(P368)-FIND("/",P368,FIND("/",P368)+1))))</f>
        <v/>
      </c>
      <c r="AH368" s="7" t="str">
        <f aca="false">IF(OR(P368="",AE368=""),"",IFERROR(INDEX('لیست‌ها'!$Q$3:$Q$53,MATCH(AE368,'لیست‌ها'!$P$3:$P$53,0))+IF(AF368&lt;=6,(AF368-1)*31+AG368,IF(AF368&lt;=11,186+(AF368-7)*30+AG368,336+AG368))-1,""))</f>
        <v/>
      </c>
      <c r="AI368" s="7" t="str">
        <f aca="false">IF(W368="","",W368&amp;"-"&amp;TEXT(X368,"00"))</f>
        <v/>
      </c>
      <c r="AJ368" s="7" t="str">
        <f aca="false">IF(W368="","",W368*12+X368)</f>
        <v/>
      </c>
      <c r="AK368" s="7" t="str">
        <f aca="false">IF(U368="تاخیر",V368+ROW()/100000,"")</f>
        <v/>
      </c>
    </row>
    <row r="369" customFormat="false" ht="15" hidden="false" customHeight="false" outlineLevel="0" collapsed="false">
      <c r="A369" s="7" t="str">
        <f aca="false">IF(B369="","",ROW()-3)</f>
        <v/>
      </c>
      <c r="B369" s="8"/>
      <c r="C369" s="8"/>
      <c r="D369" s="8"/>
      <c r="E369" s="9"/>
      <c r="F369" s="9"/>
      <c r="G369" s="8"/>
      <c r="H369" s="8"/>
      <c r="I369" s="8"/>
      <c r="J369" s="9"/>
      <c r="K369" s="8"/>
      <c r="L369" s="8"/>
      <c r="M369" s="8"/>
      <c r="N369" s="8"/>
      <c r="O369" s="8"/>
      <c r="P369" s="8"/>
      <c r="Q369" s="8"/>
      <c r="R369" s="9"/>
      <c r="S369" s="8"/>
      <c r="T369" s="9"/>
      <c r="U369" s="10" t="str">
        <f aca="true">IF(B369="","",IF(OR(P369&lt;&gt;"",I369="می‌باشد"),"بسته",IF(AND(L369&lt;&gt;"",W369=""),"خطای فرمت تاریخ ایجاد",IF(AND(H369&lt;&gt;"",AA369=""),"خطای فرمت مهلت",IF(AND(H369&lt;&gt;"",AD369&lt;&gt;"",TODAY()&gt;AD369),"تاخیر",IF(L369&lt;&gt;"","در حال انجام",""))))))</f>
        <v/>
      </c>
      <c r="V369" s="7" t="n">
        <f aca="true">IF(U369="تاخیر",TODAY()-AD369,IF(AND(U369="بسته",AH369&lt;&gt;"",AD369&lt;&gt;"",AH369&gt;AD369),AH369-AD369,0))</f>
        <v>0</v>
      </c>
      <c r="W369" s="7" t="str">
        <f aca="false">IF(L369="","",VALUE(LEFT(L369,FIND("/",L369)-1)))</f>
        <v/>
      </c>
      <c r="X369" s="7" t="str">
        <f aca="false">IF(L369="","",VALUE(MID(L369,FIND("/",L369)+1,FIND("/",L369,FIND("/",L369)+1)-FIND("/",L369)-1)))</f>
        <v/>
      </c>
      <c r="Y369" s="7" t="str">
        <f aca="false">IF(L369="","",VALUE(MID(L369,FIND("/",L369,FIND("/",L369)+1)+1,LEN(L369)-FIND("/",L369,FIND("/",L369)+1))))</f>
        <v/>
      </c>
      <c r="Z369" s="7" t="str">
        <f aca="false">IF(OR(L369="",W369=""),"",IFERROR(INDEX('لیست‌ها'!$Q$3:$Q$53,MATCH(W369,'لیست‌ها'!$P$3:$P$53,0))+IF(X369&lt;=6,(X369-1)*31+Y369,IF(X369&lt;=11,186+(X369-7)*30+Y369,336+Y369))-1,""))</f>
        <v/>
      </c>
      <c r="AA369" s="7" t="str">
        <f aca="false">IF(H369="","",VALUE(LEFT(H369,FIND("/",H369)-1)))</f>
        <v/>
      </c>
      <c r="AB369" s="7" t="str">
        <f aca="false">IF(H369="","",VALUE(MID(H369,FIND("/",H369)+1,FIND("/",H369,FIND("/",H369)+1)-FIND("/",H369)-1)))</f>
        <v/>
      </c>
      <c r="AC369" s="7" t="str">
        <f aca="false">IF(H369="","",VALUE(MID(H369,FIND("/",H369,FIND("/",H369)+1)+1,LEN(H369)-FIND("/",H369,FIND("/",H369)+1))))</f>
        <v/>
      </c>
      <c r="AD369" s="7" t="str">
        <f aca="false">IF(OR(H369="",AA369=""),"",IFERROR(INDEX('لیست‌ها'!$Q$3:$Q$53,MATCH(AA369,'لیست‌ها'!$P$3:$P$53,0))+IF(AB369&lt;=6,(AB369-1)*31+AC369,IF(AB369&lt;=11,186+(AB369-7)*30+AC369,336+AC369))-1,""))</f>
        <v/>
      </c>
      <c r="AE369" s="7" t="str">
        <f aca="false">IF(P369="","",VALUE(LEFT(P369,FIND("/",P369)-1)))</f>
        <v/>
      </c>
      <c r="AF369" s="7" t="str">
        <f aca="false">IF(P369="","",VALUE(MID(P369,FIND("/",P369)+1,FIND("/",P369,FIND("/",P369)+1)-FIND("/",P369)-1)))</f>
        <v/>
      </c>
      <c r="AG369" s="7" t="str">
        <f aca="false">IF(P369="","",VALUE(MID(P369,FIND("/",P369,FIND("/",P369)+1)+1,LEN(P369)-FIND("/",P369,FIND("/",P369)+1))))</f>
        <v/>
      </c>
      <c r="AH369" s="7" t="str">
        <f aca="false">IF(OR(P369="",AE369=""),"",IFERROR(INDEX('لیست‌ها'!$Q$3:$Q$53,MATCH(AE369,'لیست‌ها'!$P$3:$P$53,0))+IF(AF369&lt;=6,(AF369-1)*31+AG369,IF(AF369&lt;=11,186+(AF369-7)*30+AG369,336+AG369))-1,""))</f>
        <v/>
      </c>
      <c r="AI369" s="7" t="str">
        <f aca="false">IF(W369="","",W369&amp;"-"&amp;TEXT(X369,"00"))</f>
        <v/>
      </c>
      <c r="AJ369" s="7" t="str">
        <f aca="false">IF(W369="","",W369*12+X369)</f>
        <v/>
      </c>
      <c r="AK369" s="7" t="str">
        <f aca="false">IF(U369="تاخیر",V369+ROW()/100000,"")</f>
        <v/>
      </c>
    </row>
    <row r="370" customFormat="false" ht="15" hidden="false" customHeight="false" outlineLevel="0" collapsed="false">
      <c r="A370" s="7" t="str">
        <f aca="false">IF(B370="","",ROW()-3)</f>
        <v/>
      </c>
      <c r="B370" s="8"/>
      <c r="C370" s="8"/>
      <c r="D370" s="8"/>
      <c r="E370" s="9"/>
      <c r="F370" s="9"/>
      <c r="G370" s="8"/>
      <c r="H370" s="8"/>
      <c r="I370" s="8"/>
      <c r="J370" s="9"/>
      <c r="K370" s="8"/>
      <c r="L370" s="8"/>
      <c r="M370" s="8"/>
      <c r="N370" s="8"/>
      <c r="O370" s="8"/>
      <c r="P370" s="8"/>
      <c r="Q370" s="8"/>
      <c r="R370" s="9"/>
      <c r="S370" s="8"/>
      <c r="T370" s="9"/>
      <c r="U370" s="10" t="str">
        <f aca="true">IF(B370="","",IF(OR(P370&lt;&gt;"",I370="می‌باشد"),"بسته",IF(AND(L370&lt;&gt;"",W370=""),"خطای فرمت تاریخ ایجاد",IF(AND(H370&lt;&gt;"",AA370=""),"خطای فرمت مهلت",IF(AND(H370&lt;&gt;"",AD370&lt;&gt;"",TODAY()&gt;AD370),"تاخیر",IF(L370&lt;&gt;"","در حال انجام",""))))))</f>
        <v/>
      </c>
      <c r="V370" s="7" t="n">
        <f aca="true">IF(U370="تاخیر",TODAY()-AD370,IF(AND(U370="بسته",AH370&lt;&gt;"",AD370&lt;&gt;"",AH370&gt;AD370),AH370-AD370,0))</f>
        <v>0</v>
      </c>
      <c r="W370" s="7" t="str">
        <f aca="false">IF(L370="","",VALUE(LEFT(L370,FIND("/",L370)-1)))</f>
        <v/>
      </c>
      <c r="X370" s="7" t="str">
        <f aca="false">IF(L370="","",VALUE(MID(L370,FIND("/",L370)+1,FIND("/",L370,FIND("/",L370)+1)-FIND("/",L370)-1)))</f>
        <v/>
      </c>
      <c r="Y370" s="7" t="str">
        <f aca="false">IF(L370="","",VALUE(MID(L370,FIND("/",L370,FIND("/",L370)+1)+1,LEN(L370)-FIND("/",L370,FIND("/",L370)+1))))</f>
        <v/>
      </c>
      <c r="Z370" s="7" t="str">
        <f aca="false">IF(OR(L370="",W370=""),"",IFERROR(INDEX('لیست‌ها'!$Q$3:$Q$53,MATCH(W370,'لیست‌ها'!$P$3:$P$53,0))+IF(X370&lt;=6,(X370-1)*31+Y370,IF(X370&lt;=11,186+(X370-7)*30+Y370,336+Y370))-1,""))</f>
        <v/>
      </c>
      <c r="AA370" s="7" t="str">
        <f aca="false">IF(H370="","",VALUE(LEFT(H370,FIND("/",H370)-1)))</f>
        <v/>
      </c>
      <c r="AB370" s="7" t="str">
        <f aca="false">IF(H370="","",VALUE(MID(H370,FIND("/",H370)+1,FIND("/",H370,FIND("/",H370)+1)-FIND("/",H370)-1)))</f>
        <v/>
      </c>
      <c r="AC370" s="7" t="str">
        <f aca="false">IF(H370="","",VALUE(MID(H370,FIND("/",H370,FIND("/",H370)+1)+1,LEN(H370)-FIND("/",H370,FIND("/",H370)+1))))</f>
        <v/>
      </c>
      <c r="AD370" s="7" t="str">
        <f aca="false">IF(OR(H370="",AA370=""),"",IFERROR(INDEX('لیست‌ها'!$Q$3:$Q$53,MATCH(AA370,'لیست‌ها'!$P$3:$P$53,0))+IF(AB370&lt;=6,(AB370-1)*31+AC370,IF(AB370&lt;=11,186+(AB370-7)*30+AC370,336+AC370))-1,""))</f>
        <v/>
      </c>
      <c r="AE370" s="7" t="str">
        <f aca="false">IF(P370="","",VALUE(LEFT(P370,FIND("/",P370)-1)))</f>
        <v/>
      </c>
      <c r="AF370" s="7" t="str">
        <f aca="false">IF(P370="","",VALUE(MID(P370,FIND("/",P370)+1,FIND("/",P370,FIND("/",P370)+1)-FIND("/",P370)-1)))</f>
        <v/>
      </c>
      <c r="AG370" s="7" t="str">
        <f aca="false">IF(P370="","",VALUE(MID(P370,FIND("/",P370,FIND("/",P370)+1)+1,LEN(P370)-FIND("/",P370,FIND("/",P370)+1))))</f>
        <v/>
      </c>
      <c r="AH370" s="7" t="str">
        <f aca="false">IF(OR(P370="",AE370=""),"",IFERROR(INDEX('لیست‌ها'!$Q$3:$Q$53,MATCH(AE370,'لیست‌ها'!$P$3:$P$53,0))+IF(AF370&lt;=6,(AF370-1)*31+AG370,IF(AF370&lt;=11,186+(AF370-7)*30+AG370,336+AG370))-1,""))</f>
        <v/>
      </c>
      <c r="AI370" s="7" t="str">
        <f aca="false">IF(W370="","",W370&amp;"-"&amp;TEXT(X370,"00"))</f>
        <v/>
      </c>
      <c r="AJ370" s="7" t="str">
        <f aca="false">IF(W370="","",W370*12+X370)</f>
        <v/>
      </c>
      <c r="AK370" s="7" t="str">
        <f aca="false">IF(U370="تاخیر",V370+ROW()/100000,"")</f>
        <v/>
      </c>
    </row>
    <row r="371" customFormat="false" ht="15" hidden="false" customHeight="false" outlineLevel="0" collapsed="false">
      <c r="A371" s="7" t="str">
        <f aca="false">IF(B371="","",ROW()-3)</f>
        <v/>
      </c>
      <c r="B371" s="8"/>
      <c r="C371" s="8"/>
      <c r="D371" s="8"/>
      <c r="E371" s="9"/>
      <c r="F371" s="9"/>
      <c r="G371" s="8"/>
      <c r="H371" s="8"/>
      <c r="I371" s="8"/>
      <c r="J371" s="9"/>
      <c r="K371" s="8"/>
      <c r="L371" s="8"/>
      <c r="M371" s="8"/>
      <c r="N371" s="8"/>
      <c r="O371" s="8"/>
      <c r="P371" s="8"/>
      <c r="Q371" s="8"/>
      <c r="R371" s="9"/>
      <c r="S371" s="8"/>
      <c r="T371" s="9"/>
      <c r="U371" s="10" t="str">
        <f aca="true">IF(B371="","",IF(OR(P371&lt;&gt;"",I371="می‌باشد"),"بسته",IF(AND(L371&lt;&gt;"",W371=""),"خطای فرمت تاریخ ایجاد",IF(AND(H371&lt;&gt;"",AA371=""),"خطای فرمت مهلت",IF(AND(H371&lt;&gt;"",AD371&lt;&gt;"",TODAY()&gt;AD371),"تاخیر",IF(L371&lt;&gt;"","در حال انجام",""))))))</f>
        <v/>
      </c>
      <c r="V371" s="7" t="n">
        <f aca="true">IF(U371="تاخیر",TODAY()-AD371,IF(AND(U371="بسته",AH371&lt;&gt;"",AD371&lt;&gt;"",AH371&gt;AD371),AH371-AD371,0))</f>
        <v>0</v>
      </c>
      <c r="W371" s="7" t="str">
        <f aca="false">IF(L371="","",VALUE(LEFT(L371,FIND("/",L371)-1)))</f>
        <v/>
      </c>
      <c r="X371" s="7" t="str">
        <f aca="false">IF(L371="","",VALUE(MID(L371,FIND("/",L371)+1,FIND("/",L371,FIND("/",L371)+1)-FIND("/",L371)-1)))</f>
        <v/>
      </c>
      <c r="Y371" s="7" t="str">
        <f aca="false">IF(L371="","",VALUE(MID(L371,FIND("/",L371,FIND("/",L371)+1)+1,LEN(L371)-FIND("/",L371,FIND("/",L371)+1))))</f>
        <v/>
      </c>
      <c r="Z371" s="7" t="str">
        <f aca="false">IF(OR(L371="",W371=""),"",IFERROR(INDEX('لیست‌ها'!$Q$3:$Q$53,MATCH(W371,'لیست‌ها'!$P$3:$P$53,0))+IF(X371&lt;=6,(X371-1)*31+Y371,IF(X371&lt;=11,186+(X371-7)*30+Y371,336+Y371))-1,""))</f>
        <v/>
      </c>
      <c r="AA371" s="7" t="str">
        <f aca="false">IF(H371="","",VALUE(LEFT(H371,FIND("/",H371)-1)))</f>
        <v/>
      </c>
      <c r="AB371" s="7" t="str">
        <f aca="false">IF(H371="","",VALUE(MID(H371,FIND("/",H371)+1,FIND("/",H371,FIND("/",H371)+1)-FIND("/",H371)-1)))</f>
        <v/>
      </c>
      <c r="AC371" s="7" t="str">
        <f aca="false">IF(H371="","",VALUE(MID(H371,FIND("/",H371,FIND("/",H371)+1)+1,LEN(H371)-FIND("/",H371,FIND("/",H371)+1))))</f>
        <v/>
      </c>
      <c r="AD371" s="7" t="str">
        <f aca="false">IF(OR(H371="",AA371=""),"",IFERROR(INDEX('لیست‌ها'!$Q$3:$Q$53,MATCH(AA371,'لیست‌ها'!$P$3:$P$53,0))+IF(AB371&lt;=6,(AB371-1)*31+AC371,IF(AB371&lt;=11,186+(AB371-7)*30+AC371,336+AC371))-1,""))</f>
        <v/>
      </c>
      <c r="AE371" s="7" t="str">
        <f aca="false">IF(P371="","",VALUE(LEFT(P371,FIND("/",P371)-1)))</f>
        <v/>
      </c>
      <c r="AF371" s="7" t="str">
        <f aca="false">IF(P371="","",VALUE(MID(P371,FIND("/",P371)+1,FIND("/",P371,FIND("/",P371)+1)-FIND("/",P371)-1)))</f>
        <v/>
      </c>
      <c r="AG371" s="7" t="str">
        <f aca="false">IF(P371="","",VALUE(MID(P371,FIND("/",P371,FIND("/",P371)+1)+1,LEN(P371)-FIND("/",P371,FIND("/",P371)+1))))</f>
        <v/>
      </c>
      <c r="AH371" s="7" t="str">
        <f aca="false">IF(OR(P371="",AE371=""),"",IFERROR(INDEX('لیست‌ها'!$Q$3:$Q$53,MATCH(AE371,'لیست‌ها'!$P$3:$P$53,0))+IF(AF371&lt;=6,(AF371-1)*31+AG371,IF(AF371&lt;=11,186+(AF371-7)*30+AG371,336+AG371))-1,""))</f>
        <v/>
      </c>
      <c r="AI371" s="7" t="str">
        <f aca="false">IF(W371="","",W371&amp;"-"&amp;TEXT(X371,"00"))</f>
        <v/>
      </c>
      <c r="AJ371" s="7" t="str">
        <f aca="false">IF(W371="","",W371*12+X371)</f>
        <v/>
      </c>
      <c r="AK371" s="7" t="str">
        <f aca="false">IF(U371="تاخیر",V371+ROW()/100000,"")</f>
        <v/>
      </c>
    </row>
    <row r="372" customFormat="false" ht="15" hidden="false" customHeight="false" outlineLevel="0" collapsed="false">
      <c r="A372" s="7" t="str">
        <f aca="false">IF(B372="","",ROW()-3)</f>
        <v/>
      </c>
      <c r="B372" s="8"/>
      <c r="C372" s="8"/>
      <c r="D372" s="8"/>
      <c r="E372" s="9"/>
      <c r="F372" s="9"/>
      <c r="G372" s="8"/>
      <c r="H372" s="8"/>
      <c r="I372" s="8"/>
      <c r="J372" s="9"/>
      <c r="K372" s="8"/>
      <c r="L372" s="8"/>
      <c r="M372" s="8"/>
      <c r="N372" s="8"/>
      <c r="O372" s="8"/>
      <c r="P372" s="8"/>
      <c r="Q372" s="8"/>
      <c r="R372" s="9"/>
      <c r="S372" s="8"/>
      <c r="T372" s="9"/>
      <c r="U372" s="10" t="str">
        <f aca="true">IF(B372="","",IF(OR(P372&lt;&gt;"",I372="می‌باشد"),"بسته",IF(AND(L372&lt;&gt;"",W372=""),"خطای فرمت تاریخ ایجاد",IF(AND(H372&lt;&gt;"",AA372=""),"خطای فرمت مهلت",IF(AND(H372&lt;&gt;"",AD372&lt;&gt;"",TODAY()&gt;AD372),"تاخیر",IF(L372&lt;&gt;"","در حال انجام",""))))))</f>
        <v/>
      </c>
      <c r="V372" s="7" t="n">
        <f aca="true">IF(U372="تاخیر",TODAY()-AD372,IF(AND(U372="بسته",AH372&lt;&gt;"",AD372&lt;&gt;"",AH372&gt;AD372),AH372-AD372,0))</f>
        <v>0</v>
      </c>
      <c r="W372" s="7" t="str">
        <f aca="false">IF(L372="","",VALUE(LEFT(L372,FIND("/",L372)-1)))</f>
        <v/>
      </c>
      <c r="X372" s="7" t="str">
        <f aca="false">IF(L372="","",VALUE(MID(L372,FIND("/",L372)+1,FIND("/",L372,FIND("/",L372)+1)-FIND("/",L372)-1)))</f>
        <v/>
      </c>
      <c r="Y372" s="7" t="str">
        <f aca="false">IF(L372="","",VALUE(MID(L372,FIND("/",L372,FIND("/",L372)+1)+1,LEN(L372)-FIND("/",L372,FIND("/",L372)+1))))</f>
        <v/>
      </c>
      <c r="Z372" s="7" t="str">
        <f aca="false">IF(OR(L372="",W372=""),"",IFERROR(INDEX('لیست‌ها'!$Q$3:$Q$53,MATCH(W372,'لیست‌ها'!$P$3:$P$53,0))+IF(X372&lt;=6,(X372-1)*31+Y372,IF(X372&lt;=11,186+(X372-7)*30+Y372,336+Y372))-1,""))</f>
        <v/>
      </c>
      <c r="AA372" s="7" t="str">
        <f aca="false">IF(H372="","",VALUE(LEFT(H372,FIND("/",H372)-1)))</f>
        <v/>
      </c>
      <c r="AB372" s="7" t="str">
        <f aca="false">IF(H372="","",VALUE(MID(H372,FIND("/",H372)+1,FIND("/",H372,FIND("/",H372)+1)-FIND("/",H372)-1)))</f>
        <v/>
      </c>
      <c r="AC372" s="7" t="str">
        <f aca="false">IF(H372="","",VALUE(MID(H372,FIND("/",H372,FIND("/",H372)+1)+1,LEN(H372)-FIND("/",H372,FIND("/",H372)+1))))</f>
        <v/>
      </c>
      <c r="AD372" s="7" t="str">
        <f aca="false">IF(OR(H372="",AA372=""),"",IFERROR(INDEX('لیست‌ها'!$Q$3:$Q$53,MATCH(AA372,'لیست‌ها'!$P$3:$P$53,0))+IF(AB372&lt;=6,(AB372-1)*31+AC372,IF(AB372&lt;=11,186+(AB372-7)*30+AC372,336+AC372))-1,""))</f>
        <v/>
      </c>
      <c r="AE372" s="7" t="str">
        <f aca="false">IF(P372="","",VALUE(LEFT(P372,FIND("/",P372)-1)))</f>
        <v/>
      </c>
      <c r="AF372" s="7" t="str">
        <f aca="false">IF(P372="","",VALUE(MID(P372,FIND("/",P372)+1,FIND("/",P372,FIND("/",P372)+1)-FIND("/",P372)-1)))</f>
        <v/>
      </c>
      <c r="AG372" s="7" t="str">
        <f aca="false">IF(P372="","",VALUE(MID(P372,FIND("/",P372,FIND("/",P372)+1)+1,LEN(P372)-FIND("/",P372,FIND("/",P372)+1))))</f>
        <v/>
      </c>
      <c r="AH372" s="7" t="str">
        <f aca="false">IF(OR(P372="",AE372=""),"",IFERROR(INDEX('لیست‌ها'!$Q$3:$Q$53,MATCH(AE372,'لیست‌ها'!$P$3:$P$53,0))+IF(AF372&lt;=6,(AF372-1)*31+AG372,IF(AF372&lt;=11,186+(AF372-7)*30+AG372,336+AG372))-1,""))</f>
        <v/>
      </c>
      <c r="AI372" s="7" t="str">
        <f aca="false">IF(W372="","",W372&amp;"-"&amp;TEXT(X372,"00"))</f>
        <v/>
      </c>
      <c r="AJ372" s="7" t="str">
        <f aca="false">IF(W372="","",W372*12+X372)</f>
        <v/>
      </c>
      <c r="AK372" s="7" t="str">
        <f aca="false">IF(U372="تاخیر",V372+ROW()/100000,"")</f>
        <v/>
      </c>
    </row>
    <row r="373" customFormat="false" ht="15" hidden="false" customHeight="false" outlineLevel="0" collapsed="false">
      <c r="A373" s="7" t="str">
        <f aca="false">IF(B373="","",ROW()-3)</f>
        <v/>
      </c>
      <c r="B373" s="8"/>
      <c r="C373" s="8"/>
      <c r="D373" s="8"/>
      <c r="E373" s="9"/>
      <c r="F373" s="9"/>
      <c r="G373" s="8"/>
      <c r="H373" s="8"/>
      <c r="I373" s="8"/>
      <c r="J373" s="9"/>
      <c r="K373" s="8"/>
      <c r="L373" s="8"/>
      <c r="M373" s="8"/>
      <c r="N373" s="8"/>
      <c r="O373" s="8"/>
      <c r="P373" s="8"/>
      <c r="Q373" s="8"/>
      <c r="R373" s="9"/>
      <c r="S373" s="8"/>
      <c r="T373" s="9"/>
      <c r="U373" s="10" t="str">
        <f aca="true">IF(B373="","",IF(OR(P373&lt;&gt;"",I373="می‌باشد"),"بسته",IF(AND(L373&lt;&gt;"",W373=""),"خطای فرمت تاریخ ایجاد",IF(AND(H373&lt;&gt;"",AA373=""),"خطای فرمت مهلت",IF(AND(H373&lt;&gt;"",AD373&lt;&gt;"",TODAY()&gt;AD373),"تاخیر",IF(L373&lt;&gt;"","در حال انجام",""))))))</f>
        <v/>
      </c>
      <c r="V373" s="7" t="n">
        <f aca="true">IF(U373="تاخیر",TODAY()-AD373,IF(AND(U373="بسته",AH373&lt;&gt;"",AD373&lt;&gt;"",AH373&gt;AD373),AH373-AD373,0))</f>
        <v>0</v>
      </c>
      <c r="W373" s="7" t="str">
        <f aca="false">IF(L373="","",VALUE(LEFT(L373,FIND("/",L373)-1)))</f>
        <v/>
      </c>
      <c r="X373" s="7" t="str">
        <f aca="false">IF(L373="","",VALUE(MID(L373,FIND("/",L373)+1,FIND("/",L373,FIND("/",L373)+1)-FIND("/",L373)-1)))</f>
        <v/>
      </c>
      <c r="Y373" s="7" t="str">
        <f aca="false">IF(L373="","",VALUE(MID(L373,FIND("/",L373,FIND("/",L373)+1)+1,LEN(L373)-FIND("/",L373,FIND("/",L373)+1))))</f>
        <v/>
      </c>
      <c r="Z373" s="7" t="str">
        <f aca="false">IF(OR(L373="",W373=""),"",IFERROR(INDEX('لیست‌ها'!$Q$3:$Q$53,MATCH(W373,'لیست‌ها'!$P$3:$P$53,0))+IF(X373&lt;=6,(X373-1)*31+Y373,IF(X373&lt;=11,186+(X373-7)*30+Y373,336+Y373))-1,""))</f>
        <v/>
      </c>
      <c r="AA373" s="7" t="str">
        <f aca="false">IF(H373="","",VALUE(LEFT(H373,FIND("/",H373)-1)))</f>
        <v/>
      </c>
      <c r="AB373" s="7" t="str">
        <f aca="false">IF(H373="","",VALUE(MID(H373,FIND("/",H373)+1,FIND("/",H373,FIND("/",H373)+1)-FIND("/",H373)-1)))</f>
        <v/>
      </c>
      <c r="AC373" s="7" t="str">
        <f aca="false">IF(H373="","",VALUE(MID(H373,FIND("/",H373,FIND("/",H373)+1)+1,LEN(H373)-FIND("/",H373,FIND("/",H373)+1))))</f>
        <v/>
      </c>
      <c r="AD373" s="7" t="str">
        <f aca="false">IF(OR(H373="",AA373=""),"",IFERROR(INDEX('لیست‌ها'!$Q$3:$Q$53,MATCH(AA373,'لیست‌ها'!$P$3:$P$53,0))+IF(AB373&lt;=6,(AB373-1)*31+AC373,IF(AB373&lt;=11,186+(AB373-7)*30+AC373,336+AC373))-1,""))</f>
        <v/>
      </c>
      <c r="AE373" s="7" t="str">
        <f aca="false">IF(P373="","",VALUE(LEFT(P373,FIND("/",P373)-1)))</f>
        <v/>
      </c>
      <c r="AF373" s="7" t="str">
        <f aca="false">IF(P373="","",VALUE(MID(P373,FIND("/",P373)+1,FIND("/",P373,FIND("/",P373)+1)-FIND("/",P373)-1)))</f>
        <v/>
      </c>
      <c r="AG373" s="7" t="str">
        <f aca="false">IF(P373="","",VALUE(MID(P373,FIND("/",P373,FIND("/",P373)+1)+1,LEN(P373)-FIND("/",P373,FIND("/",P373)+1))))</f>
        <v/>
      </c>
      <c r="AH373" s="7" t="str">
        <f aca="false">IF(OR(P373="",AE373=""),"",IFERROR(INDEX('لیست‌ها'!$Q$3:$Q$53,MATCH(AE373,'لیست‌ها'!$P$3:$P$53,0))+IF(AF373&lt;=6,(AF373-1)*31+AG373,IF(AF373&lt;=11,186+(AF373-7)*30+AG373,336+AG373))-1,""))</f>
        <v/>
      </c>
      <c r="AI373" s="7" t="str">
        <f aca="false">IF(W373="","",W373&amp;"-"&amp;TEXT(X373,"00"))</f>
        <v/>
      </c>
      <c r="AJ373" s="7" t="str">
        <f aca="false">IF(W373="","",W373*12+X373)</f>
        <v/>
      </c>
      <c r="AK373" s="7" t="str">
        <f aca="false">IF(U373="تاخیر",V373+ROW()/100000,"")</f>
        <v/>
      </c>
    </row>
    <row r="374" customFormat="false" ht="15" hidden="false" customHeight="false" outlineLevel="0" collapsed="false">
      <c r="A374" s="7" t="str">
        <f aca="false">IF(B374="","",ROW()-3)</f>
        <v/>
      </c>
      <c r="B374" s="8"/>
      <c r="C374" s="8"/>
      <c r="D374" s="8"/>
      <c r="E374" s="9"/>
      <c r="F374" s="9"/>
      <c r="G374" s="8"/>
      <c r="H374" s="8"/>
      <c r="I374" s="8"/>
      <c r="J374" s="9"/>
      <c r="K374" s="8"/>
      <c r="L374" s="8"/>
      <c r="M374" s="8"/>
      <c r="N374" s="8"/>
      <c r="O374" s="8"/>
      <c r="P374" s="8"/>
      <c r="Q374" s="8"/>
      <c r="R374" s="9"/>
      <c r="S374" s="8"/>
      <c r="T374" s="9"/>
      <c r="U374" s="10" t="str">
        <f aca="true">IF(B374="","",IF(OR(P374&lt;&gt;"",I374="می‌باشد"),"بسته",IF(AND(L374&lt;&gt;"",W374=""),"خطای فرمت تاریخ ایجاد",IF(AND(H374&lt;&gt;"",AA374=""),"خطای فرمت مهلت",IF(AND(H374&lt;&gt;"",AD374&lt;&gt;"",TODAY()&gt;AD374),"تاخیر",IF(L374&lt;&gt;"","در حال انجام",""))))))</f>
        <v/>
      </c>
      <c r="V374" s="7" t="n">
        <f aca="true">IF(U374="تاخیر",TODAY()-AD374,IF(AND(U374="بسته",AH374&lt;&gt;"",AD374&lt;&gt;"",AH374&gt;AD374),AH374-AD374,0))</f>
        <v>0</v>
      </c>
      <c r="W374" s="7" t="str">
        <f aca="false">IF(L374="","",VALUE(LEFT(L374,FIND("/",L374)-1)))</f>
        <v/>
      </c>
      <c r="X374" s="7" t="str">
        <f aca="false">IF(L374="","",VALUE(MID(L374,FIND("/",L374)+1,FIND("/",L374,FIND("/",L374)+1)-FIND("/",L374)-1)))</f>
        <v/>
      </c>
      <c r="Y374" s="7" t="str">
        <f aca="false">IF(L374="","",VALUE(MID(L374,FIND("/",L374,FIND("/",L374)+1)+1,LEN(L374)-FIND("/",L374,FIND("/",L374)+1))))</f>
        <v/>
      </c>
      <c r="Z374" s="7" t="str">
        <f aca="false">IF(OR(L374="",W374=""),"",IFERROR(INDEX('لیست‌ها'!$Q$3:$Q$53,MATCH(W374,'لیست‌ها'!$P$3:$P$53,0))+IF(X374&lt;=6,(X374-1)*31+Y374,IF(X374&lt;=11,186+(X374-7)*30+Y374,336+Y374))-1,""))</f>
        <v/>
      </c>
      <c r="AA374" s="7" t="str">
        <f aca="false">IF(H374="","",VALUE(LEFT(H374,FIND("/",H374)-1)))</f>
        <v/>
      </c>
      <c r="AB374" s="7" t="str">
        <f aca="false">IF(H374="","",VALUE(MID(H374,FIND("/",H374)+1,FIND("/",H374,FIND("/",H374)+1)-FIND("/",H374)-1)))</f>
        <v/>
      </c>
      <c r="AC374" s="7" t="str">
        <f aca="false">IF(H374="","",VALUE(MID(H374,FIND("/",H374,FIND("/",H374)+1)+1,LEN(H374)-FIND("/",H374,FIND("/",H374)+1))))</f>
        <v/>
      </c>
      <c r="AD374" s="7" t="str">
        <f aca="false">IF(OR(H374="",AA374=""),"",IFERROR(INDEX('لیست‌ها'!$Q$3:$Q$53,MATCH(AA374,'لیست‌ها'!$P$3:$P$53,0))+IF(AB374&lt;=6,(AB374-1)*31+AC374,IF(AB374&lt;=11,186+(AB374-7)*30+AC374,336+AC374))-1,""))</f>
        <v/>
      </c>
      <c r="AE374" s="7" t="str">
        <f aca="false">IF(P374="","",VALUE(LEFT(P374,FIND("/",P374)-1)))</f>
        <v/>
      </c>
      <c r="AF374" s="7" t="str">
        <f aca="false">IF(P374="","",VALUE(MID(P374,FIND("/",P374)+1,FIND("/",P374,FIND("/",P374)+1)-FIND("/",P374)-1)))</f>
        <v/>
      </c>
      <c r="AG374" s="7" t="str">
        <f aca="false">IF(P374="","",VALUE(MID(P374,FIND("/",P374,FIND("/",P374)+1)+1,LEN(P374)-FIND("/",P374,FIND("/",P374)+1))))</f>
        <v/>
      </c>
      <c r="AH374" s="7" t="str">
        <f aca="false">IF(OR(P374="",AE374=""),"",IFERROR(INDEX('لیست‌ها'!$Q$3:$Q$53,MATCH(AE374,'لیست‌ها'!$P$3:$P$53,0))+IF(AF374&lt;=6,(AF374-1)*31+AG374,IF(AF374&lt;=11,186+(AF374-7)*30+AG374,336+AG374))-1,""))</f>
        <v/>
      </c>
      <c r="AI374" s="7" t="str">
        <f aca="false">IF(W374="","",W374&amp;"-"&amp;TEXT(X374,"00"))</f>
        <v/>
      </c>
      <c r="AJ374" s="7" t="str">
        <f aca="false">IF(W374="","",W374*12+X374)</f>
        <v/>
      </c>
      <c r="AK374" s="7" t="str">
        <f aca="false">IF(U374="تاخیر",V374+ROW()/100000,"")</f>
        <v/>
      </c>
    </row>
    <row r="375" customFormat="false" ht="15" hidden="false" customHeight="false" outlineLevel="0" collapsed="false">
      <c r="A375" s="7" t="str">
        <f aca="false">IF(B375="","",ROW()-3)</f>
        <v/>
      </c>
      <c r="B375" s="8"/>
      <c r="C375" s="8"/>
      <c r="D375" s="8"/>
      <c r="E375" s="9"/>
      <c r="F375" s="9"/>
      <c r="G375" s="8"/>
      <c r="H375" s="8"/>
      <c r="I375" s="8"/>
      <c r="J375" s="9"/>
      <c r="K375" s="8"/>
      <c r="L375" s="8"/>
      <c r="M375" s="8"/>
      <c r="N375" s="8"/>
      <c r="O375" s="8"/>
      <c r="P375" s="8"/>
      <c r="Q375" s="8"/>
      <c r="R375" s="9"/>
      <c r="S375" s="8"/>
      <c r="T375" s="9"/>
      <c r="U375" s="10" t="str">
        <f aca="true">IF(B375="","",IF(OR(P375&lt;&gt;"",I375="می‌باشد"),"بسته",IF(AND(L375&lt;&gt;"",W375=""),"خطای فرمت تاریخ ایجاد",IF(AND(H375&lt;&gt;"",AA375=""),"خطای فرمت مهلت",IF(AND(H375&lt;&gt;"",AD375&lt;&gt;"",TODAY()&gt;AD375),"تاخیر",IF(L375&lt;&gt;"","در حال انجام",""))))))</f>
        <v/>
      </c>
      <c r="V375" s="7" t="n">
        <f aca="true">IF(U375="تاخیر",TODAY()-AD375,IF(AND(U375="بسته",AH375&lt;&gt;"",AD375&lt;&gt;"",AH375&gt;AD375),AH375-AD375,0))</f>
        <v>0</v>
      </c>
      <c r="W375" s="7" t="str">
        <f aca="false">IF(L375="","",VALUE(LEFT(L375,FIND("/",L375)-1)))</f>
        <v/>
      </c>
      <c r="X375" s="7" t="str">
        <f aca="false">IF(L375="","",VALUE(MID(L375,FIND("/",L375)+1,FIND("/",L375,FIND("/",L375)+1)-FIND("/",L375)-1)))</f>
        <v/>
      </c>
      <c r="Y375" s="7" t="str">
        <f aca="false">IF(L375="","",VALUE(MID(L375,FIND("/",L375,FIND("/",L375)+1)+1,LEN(L375)-FIND("/",L375,FIND("/",L375)+1))))</f>
        <v/>
      </c>
      <c r="Z375" s="7" t="str">
        <f aca="false">IF(OR(L375="",W375=""),"",IFERROR(INDEX('لیست‌ها'!$Q$3:$Q$53,MATCH(W375,'لیست‌ها'!$P$3:$P$53,0))+IF(X375&lt;=6,(X375-1)*31+Y375,IF(X375&lt;=11,186+(X375-7)*30+Y375,336+Y375))-1,""))</f>
        <v/>
      </c>
      <c r="AA375" s="7" t="str">
        <f aca="false">IF(H375="","",VALUE(LEFT(H375,FIND("/",H375)-1)))</f>
        <v/>
      </c>
      <c r="AB375" s="7" t="str">
        <f aca="false">IF(H375="","",VALUE(MID(H375,FIND("/",H375)+1,FIND("/",H375,FIND("/",H375)+1)-FIND("/",H375)-1)))</f>
        <v/>
      </c>
      <c r="AC375" s="7" t="str">
        <f aca="false">IF(H375="","",VALUE(MID(H375,FIND("/",H375,FIND("/",H375)+1)+1,LEN(H375)-FIND("/",H375,FIND("/",H375)+1))))</f>
        <v/>
      </c>
      <c r="AD375" s="7" t="str">
        <f aca="false">IF(OR(H375="",AA375=""),"",IFERROR(INDEX('لیست‌ها'!$Q$3:$Q$53,MATCH(AA375,'لیست‌ها'!$P$3:$P$53,0))+IF(AB375&lt;=6,(AB375-1)*31+AC375,IF(AB375&lt;=11,186+(AB375-7)*30+AC375,336+AC375))-1,""))</f>
        <v/>
      </c>
      <c r="AE375" s="7" t="str">
        <f aca="false">IF(P375="","",VALUE(LEFT(P375,FIND("/",P375)-1)))</f>
        <v/>
      </c>
      <c r="AF375" s="7" t="str">
        <f aca="false">IF(P375="","",VALUE(MID(P375,FIND("/",P375)+1,FIND("/",P375,FIND("/",P375)+1)-FIND("/",P375)-1)))</f>
        <v/>
      </c>
      <c r="AG375" s="7" t="str">
        <f aca="false">IF(P375="","",VALUE(MID(P375,FIND("/",P375,FIND("/",P375)+1)+1,LEN(P375)-FIND("/",P375,FIND("/",P375)+1))))</f>
        <v/>
      </c>
      <c r="AH375" s="7" t="str">
        <f aca="false">IF(OR(P375="",AE375=""),"",IFERROR(INDEX('لیست‌ها'!$Q$3:$Q$53,MATCH(AE375,'لیست‌ها'!$P$3:$P$53,0))+IF(AF375&lt;=6,(AF375-1)*31+AG375,IF(AF375&lt;=11,186+(AF375-7)*30+AG375,336+AG375))-1,""))</f>
        <v/>
      </c>
      <c r="AI375" s="7" t="str">
        <f aca="false">IF(W375="","",W375&amp;"-"&amp;TEXT(X375,"00"))</f>
        <v/>
      </c>
      <c r="AJ375" s="7" t="str">
        <f aca="false">IF(W375="","",W375*12+X375)</f>
        <v/>
      </c>
      <c r="AK375" s="7" t="str">
        <f aca="false">IF(U375="تاخیر",V375+ROW()/100000,"")</f>
        <v/>
      </c>
    </row>
    <row r="376" customFormat="false" ht="15" hidden="false" customHeight="false" outlineLevel="0" collapsed="false">
      <c r="A376" s="7" t="str">
        <f aca="false">IF(B376="","",ROW()-3)</f>
        <v/>
      </c>
      <c r="B376" s="8"/>
      <c r="C376" s="8"/>
      <c r="D376" s="8"/>
      <c r="E376" s="9"/>
      <c r="F376" s="9"/>
      <c r="G376" s="8"/>
      <c r="H376" s="8"/>
      <c r="I376" s="8"/>
      <c r="J376" s="9"/>
      <c r="K376" s="8"/>
      <c r="L376" s="8"/>
      <c r="M376" s="8"/>
      <c r="N376" s="8"/>
      <c r="O376" s="8"/>
      <c r="P376" s="8"/>
      <c r="Q376" s="8"/>
      <c r="R376" s="9"/>
      <c r="S376" s="8"/>
      <c r="T376" s="9"/>
      <c r="U376" s="10" t="str">
        <f aca="true">IF(B376="","",IF(OR(P376&lt;&gt;"",I376="می‌باشد"),"بسته",IF(AND(L376&lt;&gt;"",W376=""),"خطای فرمت تاریخ ایجاد",IF(AND(H376&lt;&gt;"",AA376=""),"خطای فرمت مهلت",IF(AND(H376&lt;&gt;"",AD376&lt;&gt;"",TODAY()&gt;AD376),"تاخیر",IF(L376&lt;&gt;"","در حال انجام",""))))))</f>
        <v/>
      </c>
      <c r="V376" s="7" t="n">
        <f aca="true">IF(U376="تاخیر",TODAY()-AD376,IF(AND(U376="بسته",AH376&lt;&gt;"",AD376&lt;&gt;"",AH376&gt;AD376),AH376-AD376,0))</f>
        <v>0</v>
      </c>
      <c r="W376" s="7" t="str">
        <f aca="false">IF(L376="","",VALUE(LEFT(L376,FIND("/",L376)-1)))</f>
        <v/>
      </c>
      <c r="X376" s="7" t="str">
        <f aca="false">IF(L376="","",VALUE(MID(L376,FIND("/",L376)+1,FIND("/",L376,FIND("/",L376)+1)-FIND("/",L376)-1)))</f>
        <v/>
      </c>
      <c r="Y376" s="7" t="str">
        <f aca="false">IF(L376="","",VALUE(MID(L376,FIND("/",L376,FIND("/",L376)+1)+1,LEN(L376)-FIND("/",L376,FIND("/",L376)+1))))</f>
        <v/>
      </c>
      <c r="Z376" s="7" t="str">
        <f aca="false">IF(OR(L376="",W376=""),"",IFERROR(INDEX('لیست‌ها'!$Q$3:$Q$53,MATCH(W376,'لیست‌ها'!$P$3:$P$53,0))+IF(X376&lt;=6,(X376-1)*31+Y376,IF(X376&lt;=11,186+(X376-7)*30+Y376,336+Y376))-1,""))</f>
        <v/>
      </c>
      <c r="AA376" s="7" t="str">
        <f aca="false">IF(H376="","",VALUE(LEFT(H376,FIND("/",H376)-1)))</f>
        <v/>
      </c>
      <c r="AB376" s="7" t="str">
        <f aca="false">IF(H376="","",VALUE(MID(H376,FIND("/",H376)+1,FIND("/",H376,FIND("/",H376)+1)-FIND("/",H376)-1)))</f>
        <v/>
      </c>
      <c r="AC376" s="7" t="str">
        <f aca="false">IF(H376="","",VALUE(MID(H376,FIND("/",H376,FIND("/",H376)+1)+1,LEN(H376)-FIND("/",H376,FIND("/",H376)+1))))</f>
        <v/>
      </c>
      <c r="AD376" s="7" t="str">
        <f aca="false">IF(OR(H376="",AA376=""),"",IFERROR(INDEX('لیست‌ها'!$Q$3:$Q$53,MATCH(AA376,'لیست‌ها'!$P$3:$P$53,0))+IF(AB376&lt;=6,(AB376-1)*31+AC376,IF(AB376&lt;=11,186+(AB376-7)*30+AC376,336+AC376))-1,""))</f>
        <v/>
      </c>
      <c r="AE376" s="7" t="str">
        <f aca="false">IF(P376="","",VALUE(LEFT(P376,FIND("/",P376)-1)))</f>
        <v/>
      </c>
      <c r="AF376" s="7" t="str">
        <f aca="false">IF(P376="","",VALUE(MID(P376,FIND("/",P376)+1,FIND("/",P376,FIND("/",P376)+1)-FIND("/",P376)-1)))</f>
        <v/>
      </c>
      <c r="AG376" s="7" t="str">
        <f aca="false">IF(P376="","",VALUE(MID(P376,FIND("/",P376,FIND("/",P376)+1)+1,LEN(P376)-FIND("/",P376,FIND("/",P376)+1))))</f>
        <v/>
      </c>
      <c r="AH376" s="7" t="str">
        <f aca="false">IF(OR(P376="",AE376=""),"",IFERROR(INDEX('لیست‌ها'!$Q$3:$Q$53,MATCH(AE376,'لیست‌ها'!$P$3:$P$53,0))+IF(AF376&lt;=6,(AF376-1)*31+AG376,IF(AF376&lt;=11,186+(AF376-7)*30+AG376,336+AG376))-1,""))</f>
        <v/>
      </c>
      <c r="AI376" s="7" t="str">
        <f aca="false">IF(W376="","",W376&amp;"-"&amp;TEXT(X376,"00"))</f>
        <v/>
      </c>
      <c r="AJ376" s="7" t="str">
        <f aca="false">IF(W376="","",W376*12+X376)</f>
        <v/>
      </c>
      <c r="AK376" s="7" t="str">
        <f aca="false">IF(U376="تاخیر",V376+ROW()/100000,"")</f>
        <v/>
      </c>
    </row>
    <row r="377" customFormat="false" ht="15" hidden="false" customHeight="false" outlineLevel="0" collapsed="false">
      <c r="A377" s="7" t="str">
        <f aca="false">IF(B377="","",ROW()-3)</f>
        <v/>
      </c>
      <c r="B377" s="8"/>
      <c r="C377" s="8"/>
      <c r="D377" s="8"/>
      <c r="E377" s="9"/>
      <c r="F377" s="9"/>
      <c r="G377" s="8"/>
      <c r="H377" s="8"/>
      <c r="I377" s="8"/>
      <c r="J377" s="9"/>
      <c r="K377" s="8"/>
      <c r="L377" s="8"/>
      <c r="M377" s="8"/>
      <c r="N377" s="8"/>
      <c r="O377" s="8"/>
      <c r="P377" s="8"/>
      <c r="Q377" s="8"/>
      <c r="R377" s="9"/>
      <c r="S377" s="8"/>
      <c r="T377" s="9"/>
      <c r="U377" s="10" t="str">
        <f aca="true">IF(B377="","",IF(OR(P377&lt;&gt;"",I377="می‌باشد"),"بسته",IF(AND(L377&lt;&gt;"",W377=""),"خطای فرمت تاریخ ایجاد",IF(AND(H377&lt;&gt;"",AA377=""),"خطای فرمت مهلت",IF(AND(H377&lt;&gt;"",AD377&lt;&gt;"",TODAY()&gt;AD377),"تاخیر",IF(L377&lt;&gt;"","در حال انجام",""))))))</f>
        <v/>
      </c>
      <c r="V377" s="7" t="n">
        <f aca="true">IF(U377="تاخیر",TODAY()-AD377,IF(AND(U377="بسته",AH377&lt;&gt;"",AD377&lt;&gt;"",AH377&gt;AD377),AH377-AD377,0))</f>
        <v>0</v>
      </c>
      <c r="W377" s="7" t="str">
        <f aca="false">IF(L377="","",VALUE(LEFT(L377,FIND("/",L377)-1)))</f>
        <v/>
      </c>
      <c r="X377" s="7" t="str">
        <f aca="false">IF(L377="","",VALUE(MID(L377,FIND("/",L377)+1,FIND("/",L377,FIND("/",L377)+1)-FIND("/",L377)-1)))</f>
        <v/>
      </c>
      <c r="Y377" s="7" t="str">
        <f aca="false">IF(L377="","",VALUE(MID(L377,FIND("/",L377,FIND("/",L377)+1)+1,LEN(L377)-FIND("/",L377,FIND("/",L377)+1))))</f>
        <v/>
      </c>
      <c r="Z377" s="7" t="str">
        <f aca="false">IF(OR(L377="",W377=""),"",IFERROR(INDEX('لیست‌ها'!$Q$3:$Q$53,MATCH(W377,'لیست‌ها'!$P$3:$P$53,0))+IF(X377&lt;=6,(X377-1)*31+Y377,IF(X377&lt;=11,186+(X377-7)*30+Y377,336+Y377))-1,""))</f>
        <v/>
      </c>
      <c r="AA377" s="7" t="str">
        <f aca="false">IF(H377="","",VALUE(LEFT(H377,FIND("/",H377)-1)))</f>
        <v/>
      </c>
      <c r="AB377" s="7" t="str">
        <f aca="false">IF(H377="","",VALUE(MID(H377,FIND("/",H377)+1,FIND("/",H377,FIND("/",H377)+1)-FIND("/",H377)-1)))</f>
        <v/>
      </c>
      <c r="AC377" s="7" t="str">
        <f aca="false">IF(H377="","",VALUE(MID(H377,FIND("/",H377,FIND("/",H377)+1)+1,LEN(H377)-FIND("/",H377,FIND("/",H377)+1))))</f>
        <v/>
      </c>
      <c r="AD377" s="7" t="str">
        <f aca="false">IF(OR(H377="",AA377=""),"",IFERROR(INDEX('لیست‌ها'!$Q$3:$Q$53,MATCH(AA377,'لیست‌ها'!$P$3:$P$53,0))+IF(AB377&lt;=6,(AB377-1)*31+AC377,IF(AB377&lt;=11,186+(AB377-7)*30+AC377,336+AC377))-1,""))</f>
        <v/>
      </c>
      <c r="AE377" s="7" t="str">
        <f aca="false">IF(P377="","",VALUE(LEFT(P377,FIND("/",P377)-1)))</f>
        <v/>
      </c>
      <c r="AF377" s="7" t="str">
        <f aca="false">IF(P377="","",VALUE(MID(P377,FIND("/",P377)+1,FIND("/",P377,FIND("/",P377)+1)-FIND("/",P377)-1)))</f>
        <v/>
      </c>
      <c r="AG377" s="7" t="str">
        <f aca="false">IF(P377="","",VALUE(MID(P377,FIND("/",P377,FIND("/",P377)+1)+1,LEN(P377)-FIND("/",P377,FIND("/",P377)+1))))</f>
        <v/>
      </c>
      <c r="AH377" s="7" t="str">
        <f aca="false">IF(OR(P377="",AE377=""),"",IFERROR(INDEX('لیست‌ها'!$Q$3:$Q$53,MATCH(AE377,'لیست‌ها'!$P$3:$P$53,0))+IF(AF377&lt;=6,(AF377-1)*31+AG377,IF(AF377&lt;=11,186+(AF377-7)*30+AG377,336+AG377))-1,""))</f>
        <v/>
      </c>
      <c r="AI377" s="7" t="str">
        <f aca="false">IF(W377="","",W377&amp;"-"&amp;TEXT(X377,"00"))</f>
        <v/>
      </c>
      <c r="AJ377" s="7" t="str">
        <f aca="false">IF(W377="","",W377*12+X377)</f>
        <v/>
      </c>
      <c r="AK377" s="7" t="str">
        <f aca="false">IF(U377="تاخیر",V377+ROW()/100000,"")</f>
        <v/>
      </c>
    </row>
    <row r="378" customFormat="false" ht="15" hidden="false" customHeight="false" outlineLevel="0" collapsed="false">
      <c r="A378" s="7" t="str">
        <f aca="false">IF(B378="","",ROW()-3)</f>
        <v/>
      </c>
      <c r="B378" s="8"/>
      <c r="C378" s="8"/>
      <c r="D378" s="8"/>
      <c r="E378" s="9"/>
      <c r="F378" s="9"/>
      <c r="G378" s="8"/>
      <c r="H378" s="8"/>
      <c r="I378" s="8"/>
      <c r="J378" s="9"/>
      <c r="K378" s="8"/>
      <c r="L378" s="8"/>
      <c r="M378" s="8"/>
      <c r="N378" s="8"/>
      <c r="O378" s="8"/>
      <c r="P378" s="8"/>
      <c r="Q378" s="8"/>
      <c r="R378" s="9"/>
      <c r="S378" s="8"/>
      <c r="T378" s="9"/>
      <c r="U378" s="10" t="str">
        <f aca="true">IF(B378="","",IF(OR(P378&lt;&gt;"",I378="می‌باشد"),"بسته",IF(AND(L378&lt;&gt;"",W378=""),"خطای فرمت تاریخ ایجاد",IF(AND(H378&lt;&gt;"",AA378=""),"خطای فرمت مهلت",IF(AND(H378&lt;&gt;"",AD378&lt;&gt;"",TODAY()&gt;AD378),"تاخیر",IF(L378&lt;&gt;"","در حال انجام",""))))))</f>
        <v/>
      </c>
      <c r="V378" s="7" t="n">
        <f aca="true">IF(U378="تاخیر",TODAY()-AD378,IF(AND(U378="بسته",AH378&lt;&gt;"",AD378&lt;&gt;"",AH378&gt;AD378),AH378-AD378,0))</f>
        <v>0</v>
      </c>
      <c r="W378" s="7" t="str">
        <f aca="false">IF(L378="","",VALUE(LEFT(L378,FIND("/",L378)-1)))</f>
        <v/>
      </c>
      <c r="X378" s="7" t="str">
        <f aca="false">IF(L378="","",VALUE(MID(L378,FIND("/",L378)+1,FIND("/",L378,FIND("/",L378)+1)-FIND("/",L378)-1)))</f>
        <v/>
      </c>
      <c r="Y378" s="7" t="str">
        <f aca="false">IF(L378="","",VALUE(MID(L378,FIND("/",L378,FIND("/",L378)+1)+1,LEN(L378)-FIND("/",L378,FIND("/",L378)+1))))</f>
        <v/>
      </c>
      <c r="Z378" s="7" t="str">
        <f aca="false">IF(OR(L378="",W378=""),"",IFERROR(INDEX('لیست‌ها'!$Q$3:$Q$53,MATCH(W378,'لیست‌ها'!$P$3:$P$53,0))+IF(X378&lt;=6,(X378-1)*31+Y378,IF(X378&lt;=11,186+(X378-7)*30+Y378,336+Y378))-1,""))</f>
        <v/>
      </c>
      <c r="AA378" s="7" t="str">
        <f aca="false">IF(H378="","",VALUE(LEFT(H378,FIND("/",H378)-1)))</f>
        <v/>
      </c>
      <c r="AB378" s="7" t="str">
        <f aca="false">IF(H378="","",VALUE(MID(H378,FIND("/",H378)+1,FIND("/",H378,FIND("/",H378)+1)-FIND("/",H378)-1)))</f>
        <v/>
      </c>
      <c r="AC378" s="7" t="str">
        <f aca="false">IF(H378="","",VALUE(MID(H378,FIND("/",H378,FIND("/",H378)+1)+1,LEN(H378)-FIND("/",H378,FIND("/",H378)+1))))</f>
        <v/>
      </c>
      <c r="AD378" s="7" t="str">
        <f aca="false">IF(OR(H378="",AA378=""),"",IFERROR(INDEX('لیست‌ها'!$Q$3:$Q$53,MATCH(AA378,'لیست‌ها'!$P$3:$P$53,0))+IF(AB378&lt;=6,(AB378-1)*31+AC378,IF(AB378&lt;=11,186+(AB378-7)*30+AC378,336+AC378))-1,""))</f>
        <v/>
      </c>
      <c r="AE378" s="7" t="str">
        <f aca="false">IF(P378="","",VALUE(LEFT(P378,FIND("/",P378)-1)))</f>
        <v/>
      </c>
      <c r="AF378" s="7" t="str">
        <f aca="false">IF(P378="","",VALUE(MID(P378,FIND("/",P378)+1,FIND("/",P378,FIND("/",P378)+1)-FIND("/",P378)-1)))</f>
        <v/>
      </c>
      <c r="AG378" s="7" t="str">
        <f aca="false">IF(P378="","",VALUE(MID(P378,FIND("/",P378,FIND("/",P378)+1)+1,LEN(P378)-FIND("/",P378,FIND("/",P378)+1))))</f>
        <v/>
      </c>
      <c r="AH378" s="7" t="str">
        <f aca="false">IF(OR(P378="",AE378=""),"",IFERROR(INDEX('لیست‌ها'!$Q$3:$Q$53,MATCH(AE378,'لیست‌ها'!$P$3:$P$53,0))+IF(AF378&lt;=6,(AF378-1)*31+AG378,IF(AF378&lt;=11,186+(AF378-7)*30+AG378,336+AG378))-1,""))</f>
        <v/>
      </c>
      <c r="AI378" s="7" t="str">
        <f aca="false">IF(W378="","",W378&amp;"-"&amp;TEXT(X378,"00"))</f>
        <v/>
      </c>
      <c r="AJ378" s="7" t="str">
        <f aca="false">IF(W378="","",W378*12+X378)</f>
        <v/>
      </c>
      <c r="AK378" s="7" t="str">
        <f aca="false">IF(U378="تاخیر",V378+ROW()/100000,"")</f>
        <v/>
      </c>
    </row>
    <row r="379" customFormat="false" ht="15" hidden="false" customHeight="false" outlineLevel="0" collapsed="false">
      <c r="A379" s="7" t="str">
        <f aca="false">IF(B379="","",ROW()-3)</f>
        <v/>
      </c>
      <c r="B379" s="8"/>
      <c r="C379" s="8"/>
      <c r="D379" s="8"/>
      <c r="E379" s="9"/>
      <c r="F379" s="9"/>
      <c r="G379" s="8"/>
      <c r="H379" s="8"/>
      <c r="I379" s="8"/>
      <c r="J379" s="9"/>
      <c r="K379" s="8"/>
      <c r="L379" s="8"/>
      <c r="M379" s="8"/>
      <c r="N379" s="8"/>
      <c r="O379" s="8"/>
      <c r="P379" s="8"/>
      <c r="Q379" s="8"/>
      <c r="R379" s="9"/>
      <c r="S379" s="8"/>
      <c r="T379" s="9"/>
      <c r="U379" s="10" t="str">
        <f aca="true">IF(B379="","",IF(OR(P379&lt;&gt;"",I379="می‌باشد"),"بسته",IF(AND(L379&lt;&gt;"",W379=""),"خطای فرمت تاریخ ایجاد",IF(AND(H379&lt;&gt;"",AA379=""),"خطای فرمت مهلت",IF(AND(H379&lt;&gt;"",AD379&lt;&gt;"",TODAY()&gt;AD379),"تاخیر",IF(L379&lt;&gt;"","در حال انجام",""))))))</f>
        <v/>
      </c>
      <c r="V379" s="7" t="n">
        <f aca="true">IF(U379="تاخیر",TODAY()-AD379,IF(AND(U379="بسته",AH379&lt;&gt;"",AD379&lt;&gt;"",AH379&gt;AD379),AH379-AD379,0))</f>
        <v>0</v>
      </c>
      <c r="W379" s="7" t="str">
        <f aca="false">IF(L379="","",VALUE(LEFT(L379,FIND("/",L379)-1)))</f>
        <v/>
      </c>
      <c r="X379" s="7" t="str">
        <f aca="false">IF(L379="","",VALUE(MID(L379,FIND("/",L379)+1,FIND("/",L379,FIND("/",L379)+1)-FIND("/",L379)-1)))</f>
        <v/>
      </c>
      <c r="Y379" s="7" t="str">
        <f aca="false">IF(L379="","",VALUE(MID(L379,FIND("/",L379,FIND("/",L379)+1)+1,LEN(L379)-FIND("/",L379,FIND("/",L379)+1))))</f>
        <v/>
      </c>
      <c r="Z379" s="7" t="str">
        <f aca="false">IF(OR(L379="",W379=""),"",IFERROR(INDEX('لیست‌ها'!$Q$3:$Q$53,MATCH(W379,'لیست‌ها'!$P$3:$P$53,0))+IF(X379&lt;=6,(X379-1)*31+Y379,IF(X379&lt;=11,186+(X379-7)*30+Y379,336+Y379))-1,""))</f>
        <v/>
      </c>
      <c r="AA379" s="7" t="str">
        <f aca="false">IF(H379="","",VALUE(LEFT(H379,FIND("/",H379)-1)))</f>
        <v/>
      </c>
      <c r="AB379" s="7" t="str">
        <f aca="false">IF(H379="","",VALUE(MID(H379,FIND("/",H379)+1,FIND("/",H379,FIND("/",H379)+1)-FIND("/",H379)-1)))</f>
        <v/>
      </c>
      <c r="AC379" s="7" t="str">
        <f aca="false">IF(H379="","",VALUE(MID(H379,FIND("/",H379,FIND("/",H379)+1)+1,LEN(H379)-FIND("/",H379,FIND("/",H379)+1))))</f>
        <v/>
      </c>
      <c r="AD379" s="7" t="str">
        <f aca="false">IF(OR(H379="",AA379=""),"",IFERROR(INDEX('لیست‌ها'!$Q$3:$Q$53,MATCH(AA379,'لیست‌ها'!$P$3:$P$53,0))+IF(AB379&lt;=6,(AB379-1)*31+AC379,IF(AB379&lt;=11,186+(AB379-7)*30+AC379,336+AC379))-1,""))</f>
        <v/>
      </c>
      <c r="AE379" s="7" t="str">
        <f aca="false">IF(P379="","",VALUE(LEFT(P379,FIND("/",P379)-1)))</f>
        <v/>
      </c>
      <c r="AF379" s="7" t="str">
        <f aca="false">IF(P379="","",VALUE(MID(P379,FIND("/",P379)+1,FIND("/",P379,FIND("/",P379)+1)-FIND("/",P379)-1)))</f>
        <v/>
      </c>
      <c r="AG379" s="7" t="str">
        <f aca="false">IF(P379="","",VALUE(MID(P379,FIND("/",P379,FIND("/",P379)+1)+1,LEN(P379)-FIND("/",P379,FIND("/",P379)+1))))</f>
        <v/>
      </c>
      <c r="AH379" s="7" t="str">
        <f aca="false">IF(OR(P379="",AE379=""),"",IFERROR(INDEX('لیست‌ها'!$Q$3:$Q$53,MATCH(AE379,'لیست‌ها'!$P$3:$P$53,0))+IF(AF379&lt;=6,(AF379-1)*31+AG379,IF(AF379&lt;=11,186+(AF379-7)*30+AG379,336+AG379))-1,""))</f>
        <v/>
      </c>
      <c r="AI379" s="7" t="str">
        <f aca="false">IF(W379="","",W379&amp;"-"&amp;TEXT(X379,"00"))</f>
        <v/>
      </c>
      <c r="AJ379" s="7" t="str">
        <f aca="false">IF(W379="","",W379*12+X379)</f>
        <v/>
      </c>
      <c r="AK379" s="7" t="str">
        <f aca="false">IF(U379="تاخیر",V379+ROW()/100000,"")</f>
        <v/>
      </c>
    </row>
    <row r="380" customFormat="false" ht="15" hidden="false" customHeight="false" outlineLevel="0" collapsed="false">
      <c r="A380" s="7" t="str">
        <f aca="false">IF(B380="","",ROW()-3)</f>
        <v/>
      </c>
      <c r="B380" s="8"/>
      <c r="C380" s="8"/>
      <c r="D380" s="8"/>
      <c r="E380" s="9"/>
      <c r="F380" s="9"/>
      <c r="G380" s="8"/>
      <c r="H380" s="8"/>
      <c r="I380" s="8"/>
      <c r="J380" s="9"/>
      <c r="K380" s="8"/>
      <c r="L380" s="8"/>
      <c r="M380" s="8"/>
      <c r="N380" s="8"/>
      <c r="O380" s="8"/>
      <c r="P380" s="8"/>
      <c r="Q380" s="8"/>
      <c r="R380" s="9"/>
      <c r="S380" s="8"/>
      <c r="T380" s="9"/>
      <c r="U380" s="10" t="str">
        <f aca="true">IF(B380="","",IF(OR(P380&lt;&gt;"",I380="می‌باشد"),"بسته",IF(AND(L380&lt;&gt;"",W380=""),"خطای فرمت تاریخ ایجاد",IF(AND(H380&lt;&gt;"",AA380=""),"خطای فرمت مهلت",IF(AND(H380&lt;&gt;"",AD380&lt;&gt;"",TODAY()&gt;AD380),"تاخیر",IF(L380&lt;&gt;"","در حال انجام",""))))))</f>
        <v/>
      </c>
      <c r="V380" s="7" t="n">
        <f aca="true">IF(U380="تاخیر",TODAY()-AD380,IF(AND(U380="بسته",AH380&lt;&gt;"",AD380&lt;&gt;"",AH380&gt;AD380),AH380-AD380,0))</f>
        <v>0</v>
      </c>
      <c r="W380" s="7" t="str">
        <f aca="false">IF(L380="","",VALUE(LEFT(L380,FIND("/",L380)-1)))</f>
        <v/>
      </c>
      <c r="X380" s="7" t="str">
        <f aca="false">IF(L380="","",VALUE(MID(L380,FIND("/",L380)+1,FIND("/",L380,FIND("/",L380)+1)-FIND("/",L380)-1)))</f>
        <v/>
      </c>
      <c r="Y380" s="7" t="str">
        <f aca="false">IF(L380="","",VALUE(MID(L380,FIND("/",L380,FIND("/",L380)+1)+1,LEN(L380)-FIND("/",L380,FIND("/",L380)+1))))</f>
        <v/>
      </c>
      <c r="Z380" s="7" t="str">
        <f aca="false">IF(OR(L380="",W380=""),"",IFERROR(INDEX('لیست‌ها'!$Q$3:$Q$53,MATCH(W380,'لیست‌ها'!$P$3:$P$53,0))+IF(X380&lt;=6,(X380-1)*31+Y380,IF(X380&lt;=11,186+(X380-7)*30+Y380,336+Y380))-1,""))</f>
        <v/>
      </c>
      <c r="AA380" s="7" t="str">
        <f aca="false">IF(H380="","",VALUE(LEFT(H380,FIND("/",H380)-1)))</f>
        <v/>
      </c>
      <c r="AB380" s="7" t="str">
        <f aca="false">IF(H380="","",VALUE(MID(H380,FIND("/",H380)+1,FIND("/",H380,FIND("/",H380)+1)-FIND("/",H380)-1)))</f>
        <v/>
      </c>
      <c r="AC380" s="7" t="str">
        <f aca="false">IF(H380="","",VALUE(MID(H380,FIND("/",H380,FIND("/",H380)+1)+1,LEN(H380)-FIND("/",H380,FIND("/",H380)+1))))</f>
        <v/>
      </c>
      <c r="AD380" s="7" t="str">
        <f aca="false">IF(OR(H380="",AA380=""),"",IFERROR(INDEX('لیست‌ها'!$Q$3:$Q$53,MATCH(AA380,'لیست‌ها'!$P$3:$P$53,0))+IF(AB380&lt;=6,(AB380-1)*31+AC380,IF(AB380&lt;=11,186+(AB380-7)*30+AC380,336+AC380))-1,""))</f>
        <v/>
      </c>
      <c r="AE380" s="7" t="str">
        <f aca="false">IF(P380="","",VALUE(LEFT(P380,FIND("/",P380)-1)))</f>
        <v/>
      </c>
      <c r="AF380" s="7" t="str">
        <f aca="false">IF(P380="","",VALUE(MID(P380,FIND("/",P380)+1,FIND("/",P380,FIND("/",P380)+1)-FIND("/",P380)-1)))</f>
        <v/>
      </c>
      <c r="AG380" s="7" t="str">
        <f aca="false">IF(P380="","",VALUE(MID(P380,FIND("/",P380,FIND("/",P380)+1)+1,LEN(P380)-FIND("/",P380,FIND("/",P380)+1))))</f>
        <v/>
      </c>
      <c r="AH380" s="7" t="str">
        <f aca="false">IF(OR(P380="",AE380=""),"",IFERROR(INDEX('لیست‌ها'!$Q$3:$Q$53,MATCH(AE380,'لیست‌ها'!$P$3:$P$53,0))+IF(AF380&lt;=6,(AF380-1)*31+AG380,IF(AF380&lt;=11,186+(AF380-7)*30+AG380,336+AG380))-1,""))</f>
        <v/>
      </c>
      <c r="AI380" s="7" t="str">
        <f aca="false">IF(W380="","",W380&amp;"-"&amp;TEXT(X380,"00"))</f>
        <v/>
      </c>
      <c r="AJ380" s="7" t="str">
        <f aca="false">IF(W380="","",W380*12+X380)</f>
        <v/>
      </c>
      <c r="AK380" s="7" t="str">
        <f aca="false">IF(U380="تاخیر",V380+ROW()/100000,"")</f>
        <v/>
      </c>
    </row>
    <row r="381" customFormat="false" ht="15" hidden="false" customHeight="false" outlineLevel="0" collapsed="false">
      <c r="A381" s="7" t="str">
        <f aca="false">IF(B381="","",ROW()-3)</f>
        <v/>
      </c>
      <c r="B381" s="8"/>
      <c r="C381" s="8"/>
      <c r="D381" s="8"/>
      <c r="E381" s="9"/>
      <c r="F381" s="9"/>
      <c r="G381" s="8"/>
      <c r="H381" s="8"/>
      <c r="I381" s="8"/>
      <c r="J381" s="9"/>
      <c r="K381" s="8"/>
      <c r="L381" s="8"/>
      <c r="M381" s="8"/>
      <c r="N381" s="8"/>
      <c r="O381" s="8"/>
      <c r="P381" s="8"/>
      <c r="Q381" s="8"/>
      <c r="R381" s="9"/>
      <c r="S381" s="8"/>
      <c r="T381" s="9"/>
      <c r="U381" s="10" t="str">
        <f aca="true">IF(B381="","",IF(OR(P381&lt;&gt;"",I381="می‌باشد"),"بسته",IF(AND(L381&lt;&gt;"",W381=""),"خطای فرمت تاریخ ایجاد",IF(AND(H381&lt;&gt;"",AA381=""),"خطای فرمت مهلت",IF(AND(H381&lt;&gt;"",AD381&lt;&gt;"",TODAY()&gt;AD381),"تاخیر",IF(L381&lt;&gt;"","در حال انجام",""))))))</f>
        <v/>
      </c>
      <c r="V381" s="7" t="n">
        <f aca="true">IF(U381="تاخیر",TODAY()-AD381,IF(AND(U381="بسته",AH381&lt;&gt;"",AD381&lt;&gt;"",AH381&gt;AD381),AH381-AD381,0))</f>
        <v>0</v>
      </c>
      <c r="W381" s="7" t="str">
        <f aca="false">IF(L381="","",VALUE(LEFT(L381,FIND("/",L381)-1)))</f>
        <v/>
      </c>
      <c r="X381" s="7" t="str">
        <f aca="false">IF(L381="","",VALUE(MID(L381,FIND("/",L381)+1,FIND("/",L381,FIND("/",L381)+1)-FIND("/",L381)-1)))</f>
        <v/>
      </c>
      <c r="Y381" s="7" t="str">
        <f aca="false">IF(L381="","",VALUE(MID(L381,FIND("/",L381,FIND("/",L381)+1)+1,LEN(L381)-FIND("/",L381,FIND("/",L381)+1))))</f>
        <v/>
      </c>
      <c r="Z381" s="7" t="str">
        <f aca="false">IF(OR(L381="",W381=""),"",IFERROR(INDEX('لیست‌ها'!$Q$3:$Q$53,MATCH(W381,'لیست‌ها'!$P$3:$P$53,0))+IF(X381&lt;=6,(X381-1)*31+Y381,IF(X381&lt;=11,186+(X381-7)*30+Y381,336+Y381))-1,""))</f>
        <v/>
      </c>
      <c r="AA381" s="7" t="str">
        <f aca="false">IF(H381="","",VALUE(LEFT(H381,FIND("/",H381)-1)))</f>
        <v/>
      </c>
      <c r="AB381" s="7" t="str">
        <f aca="false">IF(H381="","",VALUE(MID(H381,FIND("/",H381)+1,FIND("/",H381,FIND("/",H381)+1)-FIND("/",H381)-1)))</f>
        <v/>
      </c>
      <c r="AC381" s="7" t="str">
        <f aca="false">IF(H381="","",VALUE(MID(H381,FIND("/",H381,FIND("/",H381)+1)+1,LEN(H381)-FIND("/",H381,FIND("/",H381)+1))))</f>
        <v/>
      </c>
      <c r="AD381" s="7" t="str">
        <f aca="false">IF(OR(H381="",AA381=""),"",IFERROR(INDEX('لیست‌ها'!$Q$3:$Q$53,MATCH(AA381,'لیست‌ها'!$P$3:$P$53,0))+IF(AB381&lt;=6,(AB381-1)*31+AC381,IF(AB381&lt;=11,186+(AB381-7)*30+AC381,336+AC381))-1,""))</f>
        <v/>
      </c>
      <c r="AE381" s="7" t="str">
        <f aca="false">IF(P381="","",VALUE(LEFT(P381,FIND("/",P381)-1)))</f>
        <v/>
      </c>
      <c r="AF381" s="7" t="str">
        <f aca="false">IF(P381="","",VALUE(MID(P381,FIND("/",P381)+1,FIND("/",P381,FIND("/",P381)+1)-FIND("/",P381)-1)))</f>
        <v/>
      </c>
      <c r="AG381" s="7" t="str">
        <f aca="false">IF(P381="","",VALUE(MID(P381,FIND("/",P381,FIND("/",P381)+1)+1,LEN(P381)-FIND("/",P381,FIND("/",P381)+1))))</f>
        <v/>
      </c>
      <c r="AH381" s="7" t="str">
        <f aca="false">IF(OR(P381="",AE381=""),"",IFERROR(INDEX('لیست‌ها'!$Q$3:$Q$53,MATCH(AE381,'لیست‌ها'!$P$3:$P$53,0))+IF(AF381&lt;=6,(AF381-1)*31+AG381,IF(AF381&lt;=11,186+(AF381-7)*30+AG381,336+AG381))-1,""))</f>
        <v/>
      </c>
      <c r="AI381" s="7" t="str">
        <f aca="false">IF(W381="","",W381&amp;"-"&amp;TEXT(X381,"00"))</f>
        <v/>
      </c>
      <c r="AJ381" s="7" t="str">
        <f aca="false">IF(W381="","",W381*12+X381)</f>
        <v/>
      </c>
      <c r="AK381" s="7" t="str">
        <f aca="false">IF(U381="تاخیر",V381+ROW()/100000,"")</f>
        <v/>
      </c>
    </row>
    <row r="382" customFormat="false" ht="15" hidden="false" customHeight="false" outlineLevel="0" collapsed="false">
      <c r="A382" s="7" t="str">
        <f aca="false">IF(B382="","",ROW()-3)</f>
        <v/>
      </c>
      <c r="B382" s="8"/>
      <c r="C382" s="8"/>
      <c r="D382" s="8"/>
      <c r="E382" s="9"/>
      <c r="F382" s="9"/>
      <c r="G382" s="8"/>
      <c r="H382" s="8"/>
      <c r="I382" s="8"/>
      <c r="J382" s="9"/>
      <c r="K382" s="8"/>
      <c r="L382" s="8"/>
      <c r="M382" s="8"/>
      <c r="N382" s="8"/>
      <c r="O382" s="8"/>
      <c r="P382" s="8"/>
      <c r="Q382" s="8"/>
      <c r="R382" s="9"/>
      <c r="S382" s="8"/>
      <c r="T382" s="9"/>
      <c r="U382" s="10" t="str">
        <f aca="true">IF(B382="","",IF(OR(P382&lt;&gt;"",I382="می‌باشد"),"بسته",IF(AND(L382&lt;&gt;"",W382=""),"خطای فرمت تاریخ ایجاد",IF(AND(H382&lt;&gt;"",AA382=""),"خطای فرمت مهلت",IF(AND(H382&lt;&gt;"",AD382&lt;&gt;"",TODAY()&gt;AD382),"تاخیر",IF(L382&lt;&gt;"","در حال انجام",""))))))</f>
        <v/>
      </c>
      <c r="V382" s="7" t="n">
        <f aca="true">IF(U382="تاخیر",TODAY()-AD382,IF(AND(U382="بسته",AH382&lt;&gt;"",AD382&lt;&gt;"",AH382&gt;AD382),AH382-AD382,0))</f>
        <v>0</v>
      </c>
      <c r="W382" s="7" t="str">
        <f aca="false">IF(L382="","",VALUE(LEFT(L382,FIND("/",L382)-1)))</f>
        <v/>
      </c>
      <c r="X382" s="7" t="str">
        <f aca="false">IF(L382="","",VALUE(MID(L382,FIND("/",L382)+1,FIND("/",L382,FIND("/",L382)+1)-FIND("/",L382)-1)))</f>
        <v/>
      </c>
      <c r="Y382" s="7" t="str">
        <f aca="false">IF(L382="","",VALUE(MID(L382,FIND("/",L382,FIND("/",L382)+1)+1,LEN(L382)-FIND("/",L382,FIND("/",L382)+1))))</f>
        <v/>
      </c>
      <c r="Z382" s="7" t="str">
        <f aca="false">IF(OR(L382="",W382=""),"",IFERROR(INDEX('لیست‌ها'!$Q$3:$Q$53,MATCH(W382,'لیست‌ها'!$P$3:$P$53,0))+IF(X382&lt;=6,(X382-1)*31+Y382,IF(X382&lt;=11,186+(X382-7)*30+Y382,336+Y382))-1,""))</f>
        <v/>
      </c>
      <c r="AA382" s="7" t="str">
        <f aca="false">IF(H382="","",VALUE(LEFT(H382,FIND("/",H382)-1)))</f>
        <v/>
      </c>
      <c r="AB382" s="7" t="str">
        <f aca="false">IF(H382="","",VALUE(MID(H382,FIND("/",H382)+1,FIND("/",H382,FIND("/",H382)+1)-FIND("/",H382)-1)))</f>
        <v/>
      </c>
      <c r="AC382" s="7" t="str">
        <f aca="false">IF(H382="","",VALUE(MID(H382,FIND("/",H382,FIND("/",H382)+1)+1,LEN(H382)-FIND("/",H382,FIND("/",H382)+1))))</f>
        <v/>
      </c>
      <c r="AD382" s="7" t="str">
        <f aca="false">IF(OR(H382="",AA382=""),"",IFERROR(INDEX('لیست‌ها'!$Q$3:$Q$53,MATCH(AA382,'لیست‌ها'!$P$3:$P$53,0))+IF(AB382&lt;=6,(AB382-1)*31+AC382,IF(AB382&lt;=11,186+(AB382-7)*30+AC382,336+AC382))-1,""))</f>
        <v/>
      </c>
      <c r="AE382" s="7" t="str">
        <f aca="false">IF(P382="","",VALUE(LEFT(P382,FIND("/",P382)-1)))</f>
        <v/>
      </c>
      <c r="AF382" s="7" t="str">
        <f aca="false">IF(P382="","",VALUE(MID(P382,FIND("/",P382)+1,FIND("/",P382,FIND("/",P382)+1)-FIND("/",P382)-1)))</f>
        <v/>
      </c>
      <c r="AG382" s="7" t="str">
        <f aca="false">IF(P382="","",VALUE(MID(P382,FIND("/",P382,FIND("/",P382)+1)+1,LEN(P382)-FIND("/",P382,FIND("/",P382)+1))))</f>
        <v/>
      </c>
      <c r="AH382" s="7" t="str">
        <f aca="false">IF(OR(P382="",AE382=""),"",IFERROR(INDEX('لیست‌ها'!$Q$3:$Q$53,MATCH(AE382,'لیست‌ها'!$P$3:$P$53,0))+IF(AF382&lt;=6,(AF382-1)*31+AG382,IF(AF382&lt;=11,186+(AF382-7)*30+AG382,336+AG382))-1,""))</f>
        <v/>
      </c>
      <c r="AI382" s="7" t="str">
        <f aca="false">IF(W382="","",W382&amp;"-"&amp;TEXT(X382,"00"))</f>
        <v/>
      </c>
      <c r="AJ382" s="7" t="str">
        <f aca="false">IF(W382="","",W382*12+X382)</f>
        <v/>
      </c>
      <c r="AK382" s="7" t="str">
        <f aca="false">IF(U382="تاخیر",V382+ROW()/100000,"")</f>
        <v/>
      </c>
    </row>
    <row r="383" customFormat="false" ht="15" hidden="false" customHeight="false" outlineLevel="0" collapsed="false">
      <c r="A383" s="7" t="str">
        <f aca="false">IF(B383="","",ROW()-3)</f>
        <v/>
      </c>
      <c r="B383" s="8"/>
      <c r="C383" s="8"/>
      <c r="D383" s="8"/>
      <c r="E383" s="9"/>
      <c r="F383" s="9"/>
      <c r="G383" s="8"/>
      <c r="H383" s="8"/>
      <c r="I383" s="8"/>
      <c r="J383" s="9"/>
      <c r="K383" s="8"/>
      <c r="L383" s="8"/>
      <c r="M383" s="8"/>
      <c r="N383" s="8"/>
      <c r="O383" s="8"/>
      <c r="P383" s="8"/>
      <c r="Q383" s="8"/>
      <c r="R383" s="9"/>
      <c r="S383" s="8"/>
      <c r="T383" s="9"/>
      <c r="U383" s="10" t="str">
        <f aca="true">IF(B383="","",IF(OR(P383&lt;&gt;"",I383="می‌باشد"),"بسته",IF(AND(L383&lt;&gt;"",W383=""),"خطای فرمت تاریخ ایجاد",IF(AND(H383&lt;&gt;"",AA383=""),"خطای فرمت مهلت",IF(AND(H383&lt;&gt;"",AD383&lt;&gt;"",TODAY()&gt;AD383),"تاخیر",IF(L383&lt;&gt;"","در حال انجام",""))))))</f>
        <v/>
      </c>
      <c r="V383" s="7" t="n">
        <f aca="true">IF(U383="تاخیر",TODAY()-AD383,IF(AND(U383="بسته",AH383&lt;&gt;"",AD383&lt;&gt;"",AH383&gt;AD383),AH383-AD383,0))</f>
        <v>0</v>
      </c>
      <c r="W383" s="7" t="str">
        <f aca="false">IF(L383="","",VALUE(LEFT(L383,FIND("/",L383)-1)))</f>
        <v/>
      </c>
      <c r="X383" s="7" t="str">
        <f aca="false">IF(L383="","",VALUE(MID(L383,FIND("/",L383)+1,FIND("/",L383,FIND("/",L383)+1)-FIND("/",L383)-1)))</f>
        <v/>
      </c>
      <c r="Y383" s="7" t="str">
        <f aca="false">IF(L383="","",VALUE(MID(L383,FIND("/",L383,FIND("/",L383)+1)+1,LEN(L383)-FIND("/",L383,FIND("/",L383)+1))))</f>
        <v/>
      </c>
      <c r="Z383" s="7" t="str">
        <f aca="false">IF(OR(L383="",W383=""),"",IFERROR(INDEX('لیست‌ها'!$Q$3:$Q$53,MATCH(W383,'لیست‌ها'!$P$3:$P$53,0))+IF(X383&lt;=6,(X383-1)*31+Y383,IF(X383&lt;=11,186+(X383-7)*30+Y383,336+Y383))-1,""))</f>
        <v/>
      </c>
      <c r="AA383" s="7" t="str">
        <f aca="false">IF(H383="","",VALUE(LEFT(H383,FIND("/",H383)-1)))</f>
        <v/>
      </c>
      <c r="AB383" s="7" t="str">
        <f aca="false">IF(H383="","",VALUE(MID(H383,FIND("/",H383)+1,FIND("/",H383,FIND("/",H383)+1)-FIND("/",H383)-1)))</f>
        <v/>
      </c>
      <c r="AC383" s="7" t="str">
        <f aca="false">IF(H383="","",VALUE(MID(H383,FIND("/",H383,FIND("/",H383)+1)+1,LEN(H383)-FIND("/",H383,FIND("/",H383)+1))))</f>
        <v/>
      </c>
      <c r="AD383" s="7" t="str">
        <f aca="false">IF(OR(H383="",AA383=""),"",IFERROR(INDEX('لیست‌ها'!$Q$3:$Q$53,MATCH(AA383,'لیست‌ها'!$P$3:$P$53,0))+IF(AB383&lt;=6,(AB383-1)*31+AC383,IF(AB383&lt;=11,186+(AB383-7)*30+AC383,336+AC383))-1,""))</f>
        <v/>
      </c>
      <c r="AE383" s="7" t="str">
        <f aca="false">IF(P383="","",VALUE(LEFT(P383,FIND("/",P383)-1)))</f>
        <v/>
      </c>
      <c r="AF383" s="7" t="str">
        <f aca="false">IF(P383="","",VALUE(MID(P383,FIND("/",P383)+1,FIND("/",P383,FIND("/",P383)+1)-FIND("/",P383)-1)))</f>
        <v/>
      </c>
      <c r="AG383" s="7" t="str">
        <f aca="false">IF(P383="","",VALUE(MID(P383,FIND("/",P383,FIND("/",P383)+1)+1,LEN(P383)-FIND("/",P383,FIND("/",P383)+1))))</f>
        <v/>
      </c>
      <c r="AH383" s="7" t="str">
        <f aca="false">IF(OR(P383="",AE383=""),"",IFERROR(INDEX('لیست‌ها'!$Q$3:$Q$53,MATCH(AE383,'لیست‌ها'!$P$3:$P$53,0))+IF(AF383&lt;=6,(AF383-1)*31+AG383,IF(AF383&lt;=11,186+(AF383-7)*30+AG383,336+AG383))-1,""))</f>
        <v/>
      </c>
      <c r="AI383" s="7" t="str">
        <f aca="false">IF(W383="","",W383&amp;"-"&amp;TEXT(X383,"00"))</f>
        <v/>
      </c>
      <c r="AJ383" s="7" t="str">
        <f aca="false">IF(W383="","",W383*12+X383)</f>
        <v/>
      </c>
      <c r="AK383" s="7" t="str">
        <f aca="false">IF(U383="تاخیر",V383+ROW()/100000,"")</f>
        <v/>
      </c>
    </row>
    <row r="384" customFormat="false" ht="15" hidden="false" customHeight="false" outlineLevel="0" collapsed="false">
      <c r="A384" s="7" t="str">
        <f aca="false">IF(B384="","",ROW()-3)</f>
        <v/>
      </c>
      <c r="B384" s="8"/>
      <c r="C384" s="8"/>
      <c r="D384" s="8"/>
      <c r="E384" s="9"/>
      <c r="F384" s="9"/>
      <c r="G384" s="8"/>
      <c r="H384" s="8"/>
      <c r="I384" s="8"/>
      <c r="J384" s="9"/>
      <c r="K384" s="8"/>
      <c r="L384" s="8"/>
      <c r="M384" s="8"/>
      <c r="N384" s="8"/>
      <c r="O384" s="8"/>
      <c r="P384" s="8"/>
      <c r="Q384" s="8"/>
      <c r="R384" s="9"/>
      <c r="S384" s="8"/>
      <c r="T384" s="9"/>
      <c r="U384" s="10" t="str">
        <f aca="true">IF(B384="","",IF(OR(P384&lt;&gt;"",I384="می‌باشد"),"بسته",IF(AND(L384&lt;&gt;"",W384=""),"خطای فرمت تاریخ ایجاد",IF(AND(H384&lt;&gt;"",AA384=""),"خطای فرمت مهلت",IF(AND(H384&lt;&gt;"",AD384&lt;&gt;"",TODAY()&gt;AD384),"تاخیر",IF(L384&lt;&gt;"","در حال انجام",""))))))</f>
        <v/>
      </c>
      <c r="V384" s="7" t="n">
        <f aca="true">IF(U384="تاخیر",TODAY()-AD384,IF(AND(U384="بسته",AH384&lt;&gt;"",AD384&lt;&gt;"",AH384&gt;AD384),AH384-AD384,0))</f>
        <v>0</v>
      </c>
      <c r="W384" s="7" t="str">
        <f aca="false">IF(L384="","",VALUE(LEFT(L384,FIND("/",L384)-1)))</f>
        <v/>
      </c>
      <c r="X384" s="7" t="str">
        <f aca="false">IF(L384="","",VALUE(MID(L384,FIND("/",L384)+1,FIND("/",L384,FIND("/",L384)+1)-FIND("/",L384)-1)))</f>
        <v/>
      </c>
      <c r="Y384" s="7" t="str">
        <f aca="false">IF(L384="","",VALUE(MID(L384,FIND("/",L384,FIND("/",L384)+1)+1,LEN(L384)-FIND("/",L384,FIND("/",L384)+1))))</f>
        <v/>
      </c>
      <c r="Z384" s="7" t="str">
        <f aca="false">IF(OR(L384="",W384=""),"",IFERROR(INDEX('لیست‌ها'!$Q$3:$Q$53,MATCH(W384,'لیست‌ها'!$P$3:$P$53,0))+IF(X384&lt;=6,(X384-1)*31+Y384,IF(X384&lt;=11,186+(X384-7)*30+Y384,336+Y384))-1,""))</f>
        <v/>
      </c>
      <c r="AA384" s="7" t="str">
        <f aca="false">IF(H384="","",VALUE(LEFT(H384,FIND("/",H384)-1)))</f>
        <v/>
      </c>
      <c r="AB384" s="7" t="str">
        <f aca="false">IF(H384="","",VALUE(MID(H384,FIND("/",H384)+1,FIND("/",H384,FIND("/",H384)+1)-FIND("/",H384)-1)))</f>
        <v/>
      </c>
      <c r="AC384" s="7" t="str">
        <f aca="false">IF(H384="","",VALUE(MID(H384,FIND("/",H384,FIND("/",H384)+1)+1,LEN(H384)-FIND("/",H384,FIND("/",H384)+1))))</f>
        <v/>
      </c>
      <c r="AD384" s="7" t="str">
        <f aca="false">IF(OR(H384="",AA384=""),"",IFERROR(INDEX('لیست‌ها'!$Q$3:$Q$53,MATCH(AA384,'لیست‌ها'!$P$3:$P$53,0))+IF(AB384&lt;=6,(AB384-1)*31+AC384,IF(AB384&lt;=11,186+(AB384-7)*30+AC384,336+AC384))-1,""))</f>
        <v/>
      </c>
      <c r="AE384" s="7" t="str">
        <f aca="false">IF(P384="","",VALUE(LEFT(P384,FIND("/",P384)-1)))</f>
        <v/>
      </c>
      <c r="AF384" s="7" t="str">
        <f aca="false">IF(P384="","",VALUE(MID(P384,FIND("/",P384)+1,FIND("/",P384,FIND("/",P384)+1)-FIND("/",P384)-1)))</f>
        <v/>
      </c>
      <c r="AG384" s="7" t="str">
        <f aca="false">IF(P384="","",VALUE(MID(P384,FIND("/",P384,FIND("/",P384)+1)+1,LEN(P384)-FIND("/",P384,FIND("/",P384)+1))))</f>
        <v/>
      </c>
      <c r="AH384" s="7" t="str">
        <f aca="false">IF(OR(P384="",AE384=""),"",IFERROR(INDEX('لیست‌ها'!$Q$3:$Q$53,MATCH(AE384,'لیست‌ها'!$P$3:$P$53,0))+IF(AF384&lt;=6,(AF384-1)*31+AG384,IF(AF384&lt;=11,186+(AF384-7)*30+AG384,336+AG384))-1,""))</f>
        <v/>
      </c>
      <c r="AI384" s="7" t="str">
        <f aca="false">IF(W384="","",W384&amp;"-"&amp;TEXT(X384,"00"))</f>
        <v/>
      </c>
      <c r="AJ384" s="7" t="str">
        <f aca="false">IF(W384="","",W384*12+X384)</f>
        <v/>
      </c>
      <c r="AK384" s="7" t="str">
        <f aca="false">IF(U384="تاخیر",V384+ROW()/100000,"")</f>
        <v/>
      </c>
    </row>
    <row r="385" customFormat="false" ht="15" hidden="false" customHeight="false" outlineLevel="0" collapsed="false">
      <c r="A385" s="7" t="str">
        <f aca="false">IF(B385="","",ROW()-3)</f>
        <v/>
      </c>
      <c r="B385" s="8"/>
      <c r="C385" s="8"/>
      <c r="D385" s="8"/>
      <c r="E385" s="9"/>
      <c r="F385" s="9"/>
      <c r="G385" s="8"/>
      <c r="H385" s="8"/>
      <c r="I385" s="8"/>
      <c r="J385" s="9"/>
      <c r="K385" s="8"/>
      <c r="L385" s="8"/>
      <c r="M385" s="8"/>
      <c r="N385" s="8"/>
      <c r="O385" s="8"/>
      <c r="P385" s="8"/>
      <c r="Q385" s="8"/>
      <c r="R385" s="9"/>
      <c r="S385" s="8"/>
      <c r="T385" s="9"/>
      <c r="U385" s="10" t="str">
        <f aca="true">IF(B385="","",IF(OR(P385&lt;&gt;"",I385="می‌باشد"),"بسته",IF(AND(L385&lt;&gt;"",W385=""),"خطای فرمت تاریخ ایجاد",IF(AND(H385&lt;&gt;"",AA385=""),"خطای فرمت مهلت",IF(AND(H385&lt;&gt;"",AD385&lt;&gt;"",TODAY()&gt;AD385),"تاخیر",IF(L385&lt;&gt;"","در حال انجام",""))))))</f>
        <v/>
      </c>
      <c r="V385" s="7" t="n">
        <f aca="true">IF(U385="تاخیر",TODAY()-AD385,IF(AND(U385="بسته",AH385&lt;&gt;"",AD385&lt;&gt;"",AH385&gt;AD385),AH385-AD385,0))</f>
        <v>0</v>
      </c>
      <c r="W385" s="7" t="str">
        <f aca="false">IF(L385="","",VALUE(LEFT(L385,FIND("/",L385)-1)))</f>
        <v/>
      </c>
      <c r="X385" s="7" t="str">
        <f aca="false">IF(L385="","",VALUE(MID(L385,FIND("/",L385)+1,FIND("/",L385,FIND("/",L385)+1)-FIND("/",L385)-1)))</f>
        <v/>
      </c>
      <c r="Y385" s="7" t="str">
        <f aca="false">IF(L385="","",VALUE(MID(L385,FIND("/",L385,FIND("/",L385)+1)+1,LEN(L385)-FIND("/",L385,FIND("/",L385)+1))))</f>
        <v/>
      </c>
      <c r="Z385" s="7" t="str">
        <f aca="false">IF(OR(L385="",W385=""),"",IFERROR(INDEX('لیست‌ها'!$Q$3:$Q$53,MATCH(W385,'لیست‌ها'!$P$3:$P$53,0))+IF(X385&lt;=6,(X385-1)*31+Y385,IF(X385&lt;=11,186+(X385-7)*30+Y385,336+Y385))-1,""))</f>
        <v/>
      </c>
      <c r="AA385" s="7" t="str">
        <f aca="false">IF(H385="","",VALUE(LEFT(H385,FIND("/",H385)-1)))</f>
        <v/>
      </c>
      <c r="AB385" s="7" t="str">
        <f aca="false">IF(H385="","",VALUE(MID(H385,FIND("/",H385)+1,FIND("/",H385,FIND("/",H385)+1)-FIND("/",H385)-1)))</f>
        <v/>
      </c>
      <c r="AC385" s="7" t="str">
        <f aca="false">IF(H385="","",VALUE(MID(H385,FIND("/",H385,FIND("/",H385)+1)+1,LEN(H385)-FIND("/",H385,FIND("/",H385)+1))))</f>
        <v/>
      </c>
      <c r="AD385" s="7" t="str">
        <f aca="false">IF(OR(H385="",AA385=""),"",IFERROR(INDEX('لیست‌ها'!$Q$3:$Q$53,MATCH(AA385,'لیست‌ها'!$P$3:$P$53,0))+IF(AB385&lt;=6,(AB385-1)*31+AC385,IF(AB385&lt;=11,186+(AB385-7)*30+AC385,336+AC385))-1,""))</f>
        <v/>
      </c>
      <c r="AE385" s="7" t="str">
        <f aca="false">IF(P385="","",VALUE(LEFT(P385,FIND("/",P385)-1)))</f>
        <v/>
      </c>
      <c r="AF385" s="7" t="str">
        <f aca="false">IF(P385="","",VALUE(MID(P385,FIND("/",P385)+1,FIND("/",P385,FIND("/",P385)+1)-FIND("/",P385)-1)))</f>
        <v/>
      </c>
      <c r="AG385" s="7" t="str">
        <f aca="false">IF(P385="","",VALUE(MID(P385,FIND("/",P385,FIND("/",P385)+1)+1,LEN(P385)-FIND("/",P385,FIND("/",P385)+1))))</f>
        <v/>
      </c>
      <c r="AH385" s="7" t="str">
        <f aca="false">IF(OR(P385="",AE385=""),"",IFERROR(INDEX('لیست‌ها'!$Q$3:$Q$53,MATCH(AE385,'لیست‌ها'!$P$3:$P$53,0))+IF(AF385&lt;=6,(AF385-1)*31+AG385,IF(AF385&lt;=11,186+(AF385-7)*30+AG385,336+AG385))-1,""))</f>
        <v/>
      </c>
      <c r="AI385" s="7" t="str">
        <f aca="false">IF(W385="","",W385&amp;"-"&amp;TEXT(X385,"00"))</f>
        <v/>
      </c>
      <c r="AJ385" s="7" t="str">
        <f aca="false">IF(W385="","",W385*12+X385)</f>
        <v/>
      </c>
      <c r="AK385" s="7" t="str">
        <f aca="false">IF(U385="تاخیر",V385+ROW()/100000,"")</f>
        <v/>
      </c>
    </row>
    <row r="386" customFormat="false" ht="15" hidden="false" customHeight="false" outlineLevel="0" collapsed="false">
      <c r="A386" s="7" t="str">
        <f aca="false">IF(B386="","",ROW()-3)</f>
        <v/>
      </c>
      <c r="B386" s="8"/>
      <c r="C386" s="8"/>
      <c r="D386" s="8"/>
      <c r="E386" s="9"/>
      <c r="F386" s="9"/>
      <c r="G386" s="8"/>
      <c r="H386" s="8"/>
      <c r="I386" s="8"/>
      <c r="J386" s="9"/>
      <c r="K386" s="8"/>
      <c r="L386" s="8"/>
      <c r="M386" s="8"/>
      <c r="N386" s="8"/>
      <c r="O386" s="8"/>
      <c r="P386" s="8"/>
      <c r="Q386" s="8"/>
      <c r="R386" s="9"/>
      <c r="S386" s="8"/>
      <c r="T386" s="9"/>
      <c r="U386" s="10" t="str">
        <f aca="true">IF(B386="","",IF(OR(P386&lt;&gt;"",I386="می‌باشد"),"بسته",IF(AND(L386&lt;&gt;"",W386=""),"خطای فرمت تاریخ ایجاد",IF(AND(H386&lt;&gt;"",AA386=""),"خطای فرمت مهلت",IF(AND(H386&lt;&gt;"",AD386&lt;&gt;"",TODAY()&gt;AD386),"تاخیر",IF(L386&lt;&gt;"","در حال انجام",""))))))</f>
        <v/>
      </c>
      <c r="V386" s="7" t="n">
        <f aca="true">IF(U386="تاخیر",TODAY()-AD386,IF(AND(U386="بسته",AH386&lt;&gt;"",AD386&lt;&gt;"",AH386&gt;AD386),AH386-AD386,0))</f>
        <v>0</v>
      </c>
      <c r="W386" s="7" t="str">
        <f aca="false">IF(L386="","",VALUE(LEFT(L386,FIND("/",L386)-1)))</f>
        <v/>
      </c>
      <c r="X386" s="7" t="str">
        <f aca="false">IF(L386="","",VALUE(MID(L386,FIND("/",L386)+1,FIND("/",L386,FIND("/",L386)+1)-FIND("/",L386)-1)))</f>
        <v/>
      </c>
      <c r="Y386" s="7" t="str">
        <f aca="false">IF(L386="","",VALUE(MID(L386,FIND("/",L386,FIND("/",L386)+1)+1,LEN(L386)-FIND("/",L386,FIND("/",L386)+1))))</f>
        <v/>
      </c>
      <c r="Z386" s="7" t="str">
        <f aca="false">IF(OR(L386="",W386=""),"",IFERROR(INDEX('لیست‌ها'!$Q$3:$Q$53,MATCH(W386,'لیست‌ها'!$P$3:$P$53,0))+IF(X386&lt;=6,(X386-1)*31+Y386,IF(X386&lt;=11,186+(X386-7)*30+Y386,336+Y386))-1,""))</f>
        <v/>
      </c>
      <c r="AA386" s="7" t="str">
        <f aca="false">IF(H386="","",VALUE(LEFT(H386,FIND("/",H386)-1)))</f>
        <v/>
      </c>
      <c r="AB386" s="7" t="str">
        <f aca="false">IF(H386="","",VALUE(MID(H386,FIND("/",H386)+1,FIND("/",H386,FIND("/",H386)+1)-FIND("/",H386)-1)))</f>
        <v/>
      </c>
      <c r="AC386" s="7" t="str">
        <f aca="false">IF(H386="","",VALUE(MID(H386,FIND("/",H386,FIND("/",H386)+1)+1,LEN(H386)-FIND("/",H386,FIND("/",H386)+1))))</f>
        <v/>
      </c>
      <c r="AD386" s="7" t="str">
        <f aca="false">IF(OR(H386="",AA386=""),"",IFERROR(INDEX('لیست‌ها'!$Q$3:$Q$53,MATCH(AA386,'لیست‌ها'!$P$3:$P$53,0))+IF(AB386&lt;=6,(AB386-1)*31+AC386,IF(AB386&lt;=11,186+(AB386-7)*30+AC386,336+AC386))-1,""))</f>
        <v/>
      </c>
      <c r="AE386" s="7" t="str">
        <f aca="false">IF(P386="","",VALUE(LEFT(P386,FIND("/",P386)-1)))</f>
        <v/>
      </c>
      <c r="AF386" s="7" t="str">
        <f aca="false">IF(P386="","",VALUE(MID(P386,FIND("/",P386)+1,FIND("/",P386,FIND("/",P386)+1)-FIND("/",P386)-1)))</f>
        <v/>
      </c>
      <c r="AG386" s="7" t="str">
        <f aca="false">IF(P386="","",VALUE(MID(P386,FIND("/",P386,FIND("/",P386)+1)+1,LEN(P386)-FIND("/",P386,FIND("/",P386)+1))))</f>
        <v/>
      </c>
      <c r="AH386" s="7" t="str">
        <f aca="false">IF(OR(P386="",AE386=""),"",IFERROR(INDEX('لیست‌ها'!$Q$3:$Q$53,MATCH(AE386,'لیست‌ها'!$P$3:$P$53,0))+IF(AF386&lt;=6,(AF386-1)*31+AG386,IF(AF386&lt;=11,186+(AF386-7)*30+AG386,336+AG386))-1,""))</f>
        <v/>
      </c>
      <c r="AI386" s="7" t="str">
        <f aca="false">IF(W386="","",W386&amp;"-"&amp;TEXT(X386,"00"))</f>
        <v/>
      </c>
      <c r="AJ386" s="7" t="str">
        <f aca="false">IF(W386="","",W386*12+X386)</f>
        <v/>
      </c>
      <c r="AK386" s="7" t="str">
        <f aca="false">IF(U386="تاخیر",V386+ROW()/100000,"")</f>
        <v/>
      </c>
    </row>
    <row r="387" customFormat="false" ht="15" hidden="false" customHeight="false" outlineLevel="0" collapsed="false">
      <c r="A387" s="7" t="str">
        <f aca="false">IF(B387="","",ROW()-3)</f>
        <v/>
      </c>
      <c r="B387" s="8"/>
      <c r="C387" s="8"/>
      <c r="D387" s="8"/>
      <c r="E387" s="9"/>
      <c r="F387" s="9"/>
      <c r="G387" s="8"/>
      <c r="H387" s="8"/>
      <c r="I387" s="8"/>
      <c r="J387" s="9"/>
      <c r="K387" s="8"/>
      <c r="L387" s="8"/>
      <c r="M387" s="8"/>
      <c r="N387" s="8"/>
      <c r="O387" s="8"/>
      <c r="P387" s="8"/>
      <c r="Q387" s="8"/>
      <c r="R387" s="9"/>
      <c r="S387" s="8"/>
      <c r="T387" s="9"/>
      <c r="U387" s="10" t="str">
        <f aca="true">IF(B387="","",IF(OR(P387&lt;&gt;"",I387="می‌باشد"),"بسته",IF(AND(L387&lt;&gt;"",W387=""),"خطای فرمت تاریخ ایجاد",IF(AND(H387&lt;&gt;"",AA387=""),"خطای فرمت مهلت",IF(AND(H387&lt;&gt;"",AD387&lt;&gt;"",TODAY()&gt;AD387),"تاخیر",IF(L387&lt;&gt;"","در حال انجام",""))))))</f>
        <v/>
      </c>
      <c r="V387" s="7" t="n">
        <f aca="true">IF(U387="تاخیر",TODAY()-AD387,IF(AND(U387="بسته",AH387&lt;&gt;"",AD387&lt;&gt;"",AH387&gt;AD387),AH387-AD387,0))</f>
        <v>0</v>
      </c>
      <c r="W387" s="7" t="str">
        <f aca="false">IF(L387="","",VALUE(LEFT(L387,FIND("/",L387)-1)))</f>
        <v/>
      </c>
      <c r="X387" s="7" t="str">
        <f aca="false">IF(L387="","",VALUE(MID(L387,FIND("/",L387)+1,FIND("/",L387,FIND("/",L387)+1)-FIND("/",L387)-1)))</f>
        <v/>
      </c>
      <c r="Y387" s="7" t="str">
        <f aca="false">IF(L387="","",VALUE(MID(L387,FIND("/",L387,FIND("/",L387)+1)+1,LEN(L387)-FIND("/",L387,FIND("/",L387)+1))))</f>
        <v/>
      </c>
      <c r="Z387" s="7" t="str">
        <f aca="false">IF(OR(L387="",W387=""),"",IFERROR(INDEX('لیست‌ها'!$Q$3:$Q$53,MATCH(W387,'لیست‌ها'!$P$3:$P$53,0))+IF(X387&lt;=6,(X387-1)*31+Y387,IF(X387&lt;=11,186+(X387-7)*30+Y387,336+Y387))-1,""))</f>
        <v/>
      </c>
      <c r="AA387" s="7" t="str">
        <f aca="false">IF(H387="","",VALUE(LEFT(H387,FIND("/",H387)-1)))</f>
        <v/>
      </c>
      <c r="AB387" s="7" t="str">
        <f aca="false">IF(H387="","",VALUE(MID(H387,FIND("/",H387)+1,FIND("/",H387,FIND("/",H387)+1)-FIND("/",H387)-1)))</f>
        <v/>
      </c>
      <c r="AC387" s="7" t="str">
        <f aca="false">IF(H387="","",VALUE(MID(H387,FIND("/",H387,FIND("/",H387)+1)+1,LEN(H387)-FIND("/",H387,FIND("/",H387)+1))))</f>
        <v/>
      </c>
      <c r="AD387" s="7" t="str">
        <f aca="false">IF(OR(H387="",AA387=""),"",IFERROR(INDEX('لیست‌ها'!$Q$3:$Q$53,MATCH(AA387,'لیست‌ها'!$P$3:$P$53,0))+IF(AB387&lt;=6,(AB387-1)*31+AC387,IF(AB387&lt;=11,186+(AB387-7)*30+AC387,336+AC387))-1,""))</f>
        <v/>
      </c>
      <c r="AE387" s="7" t="str">
        <f aca="false">IF(P387="","",VALUE(LEFT(P387,FIND("/",P387)-1)))</f>
        <v/>
      </c>
      <c r="AF387" s="7" t="str">
        <f aca="false">IF(P387="","",VALUE(MID(P387,FIND("/",P387)+1,FIND("/",P387,FIND("/",P387)+1)-FIND("/",P387)-1)))</f>
        <v/>
      </c>
      <c r="AG387" s="7" t="str">
        <f aca="false">IF(P387="","",VALUE(MID(P387,FIND("/",P387,FIND("/",P387)+1)+1,LEN(P387)-FIND("/",P387,FIND("/",P387)+1))))</f>
        <v/>
      </c>
      <c r="AH387" s="7" t="str">
        <f aca="false">IF(OR(P387="",AE387=""),"",IFERROR(INDEX('لیست‌ها'!$Q$3:$Q$53,MATCH(AE387,'لیست‌ها'!$P$3:$P$53,0))+IF(AF387&lt;=6,(AF387-1)*31+AG387,IF(AF387&lt;=11,186+(AF387-7)*30+AG387,336+AG387))-1,""))</f>
        <v/>
      </c>
      <c r="AI387" s="7" t="str">
        <f aca="false">IF(W387="","",W387&amp;"-"&amp;TEXT(X387,"00"))</f>
        <v/>
      </c>
      <c r="AJ387" s="7" t="str">
        <f aca="false">IF(W387="","",W387*12+X387)</f>
        <v/>
      </c>
      <c r="AK387" s="7" t="str">
        <f aca="false">IF(U387="تاخیر",V387+ROW()/100000,"")</f>
        <v/>
      </c>
    </row>
    <row r="388" customFormat="false" ht="15" hidden="false" customHeight="false" outlineLevel="0" collapsed="false">
      <c r="A388" s="7" t="str">
        <f aca="false">IF(B388="","",ROW()-3)</f>
        <v/>
      </c>
      <c r="B388" s="8"/>
      <c r="C388" s="8"/>
      <c r="D388" s="8"/>
      <c r="E388" s="9"/>
      <c r="F388" s="9"/>
      <c r="G388" s="8"/>
      <c r="H388" s="8"/>
      <c r="I388" s="8"/>
      <c r="J388" s="9"/>
      <c r="K388" s="8"/>
      <c r="L388" s="8"/>
      <c r="M388" s="8"/>
      <c r="N388" s="8"/>
      <c r="O388" s="8"/>
      <c r="P388" s="8"/>
      <c r="Q388" s="8"/>
      <c r="R388" s="9"/>
      <c r="S388" s="8"/>
      <c r="T388" s="9"/>
      <c r="U388" s="10" t="str">
        <f aca="true">IF(B388="","",IF(OR(P388&lt;&gt;"",I388="می‌باشد"),"بسته",IF(AND(L388&lt;&gt;"",W388=""),"خطای فرمت تاریخ ایجاد",IF(AND(H388&lt;&gt;"",AA388=""),"خطای فرمت مهلت",IF(AND(H388&lt;&gt;"",AD388&lt;&gt;"",TODAY()&gt;AD388),"تاخیر",IF(L388&lt;&gt;"","در حال انجام",""))))))</f>
        <v/>
      </c>
      <c r="V388" s="7" t="n">
        <f aca="true">IF(U388="تاخیر",TODAY()-AD388,IF(AND(U388="بسته",AH388&lt;&gt;"",AD388&lt;&gt;"",AH388&gt;AD388),AH388-AD388,0))</f>
        <v>0</v>
      </c>
      <c r="W388" s="7" t="str">
        <f aca="false">IF(L388="","",VALUE(LEFT(L388,FIND("/",L388)-1)))</f>
        <v/>
      </c>
      <c r="X388" s="7" t="str">
        <f aca="false">IF(L388="","",VALUE(MID(L388,FIND("/",L388)+1,FIND("/",L388,FIND("/",L388)+1)-FIND("/",L388)-1)))</f>
        <v/>
      </c>
      <c r="Y388" s="7" t="str">
        <f aca="false">IF(L388="","",VALUE(MID(L388,FIND("/",L388,FIND("/",L388)+1)+1,LEN(L388)-FIND("/",L388,FIND("/",L388)+1))))</f>
        <v/>
      </c>
      <c r="Z388" s="7" t="str">
        <f aca="false">IF(OR(L388="",W388=""),"",IFERROR(INDEX('لیست‌ها'!$Q$3:$Q$53,MATCH(W388,'لیست‌ها'!$P$3:$P$53,0))+IF(X388&lt;=6,(X388-1)*31+Y388,IF(X388&lt;=11,186+(X388-7)*30+Y388,336+Y388))-1,""))</f>
        <v/>
      </c>
      <c r="AA388" s="7" t="str">
        <f aca="false">IF(H388="","",VALUE(LEFT(H388,FIND("/",H388)-1)))</f>
        <v/>
      </c>
      <c r="AB388" s="7" t="str">
        <f aca="false">IF(H388="","",VALUE(MID(H388,FIND("/",H388)+1,FIND("/",H388,FIND("/",H388)+1)-FIND("/",H388)-1)))</f>
        <v/>
      </c>
      <c r="AC388" s="7" t="str">
        <f aca="false">IF(H388="","",VALUE(MID(H388,FIND("/",H388,FIND("/",H388)+1)+1,LEN(H388)-FIND("/",H388,FIND("/",H388)+1))))</f>
        <v/>
      </c>
      <c r="AD388" s="7" t="str">
        <f aca="false">IF(OR(H388="",AA388=""),"",IFERROR(INDEX('لیست‌ها'!$Q$3:$Q$53,MATCH(AA388,'لیست‌ها'!$P$3:$P$53,0))+IF(AB388&lt;=6,(AB388-1)*31+AC388,IF(AB388&lt;=11,186+(AB388-7)*30+AC388,336+AC388))-1,""))</f>
        <v/>
      </c>
      <c r="AE388" s="7" t="str">
        <f aca="false">IF(P388="","",VALUE(LEFT(P388,FIND("/",P388)-1)))</f>
        <v/>
      </c>
      <c r="AF388" s="7" t="str">
        <f aca="false">IF(P388="","",VALUE(MID(P388,FIND("/",P388)+1,FIND("/",P388,FIND("/",P388)+1)-FIND("/",P388)-1)))</f>
        <v/>
      </c>
      <c r="AG388" s="7" t="str">
        <f aca="false">IF(P388="","",VALUE(MID(P388,FIND("/",P388,FIND("/",P388)+1)+1,LEN(P388)-FIND("/",P388,FIND("/",P388)+1))))</f>
        <v/>
      </c>
      <c r="AH388" s="7" t="str">
        <f aca="false">IF(OR(P388="",AE388=""),"",IFERROR(INDEX('لیست‌ها'!$Q$3:$Q$53,MATCH(AE388,'لیست‌ها'!$P$3:$P$53,0))+IF(AF388&lt;=6,(AF388-1)*31+AG388,IF(AF388&lt;=11,186+(AF388-7)*30+AG388,336+AG388))-1,""))</f>
        <v/>
      </c>
      <c r="AI388" s="7" t="str">
        <f aca="false">IF(W388="","",W388&amp;"-"&amp;TEXT(X388,"00"))</f>
        <v/>
      </c>
      <c r="AJ388" s="7" t="str">
        <f aca="false">IF(W388="","",W388*12+X388)</f>
        <v/>
      </c>
      <c r="AK388" s="7" t="str">
        <f aca="false">IF(U388="تاخیر",V388+ROW()/100000,"")</f>
        <v/>
      </c>
    </row>
    <row r="389" customFormat="false" ht="15" hidden="false" customHeight="false" outlineLevel="0" collapsed="false">
      <c r="A389" s="7" t="str">
        <f aca="false">IF(B389="","",ROW()-3)</f>
        <v/>
      </c>
      <c r="B389" s="8"/>
      <c r="C389" s="8"/>
      <c r="D389" s="8"/>
      <c r="E389" s="9"/>
      <c r="F389" s="9"/>
      <c r="G389" s="8"/>
      <c r="H389" s="8"/>
      <c r="I389" s="8"/>
      <c r="J389" s="9"/>
      <c r="K389" s="8"/>
      <c r="L389" s="8"/>
      <c r="M389" s="8"/>
      <c r="N389" s="8"/>
      <c r="O389" s="8"/>
      <c r="P389" s="8"/>
      <c r="Q389" s="8"/>
      <c r="R389" s="9"/>
      <c r="S389" s="8"/>
      <c r="T389" s="9"/>
      <c r="U389" s="10" t="str">
        <f aca="true">IF(B389="","",IF(OR(P389&lt;&gt;"",I389="می‌باشد"),"بسته",IF(AND(L389&lt;&gt;"",W389=""),"خطای فرمت تاریخ ایجاد",IF(AND(H389&lt;&gt;"",AA389=""),"خطای فرمت مهلت",IF(AND(H389&lt;&gt;"",AD389&lt;&gt;"",TODAY()&gt;AD389),"تاخیر",IF(L389&lt;&gt;"","در حال انجام",""))))))</f>
        <v/>
      </c>
      <c r="V389" s="7" t="n">
        <f aca="true">IF(U389="تاخیر",TODAY()-AD389,IF(AND(U389="بسته",AH389&lt;&gt;"",AD389&lt;&gt;"",AH389&gt;AD389),AH389-AD389,0))</f>
        <v>0</v>
      </c>
      <c r="W389" s="7" t="str">
        <f aca="false">IF(L389="","",VALUE(LEFT(L389,FIND("/",L389)-1)))</f>
        <v/>
      </c>
      <c r="X389" s="7" t="str">
        <f aca="false">IF(L389="","",VALUE(MID(L389,FIND("/",L389)+1,FIND("/",L389,FIND("/",L389)+1)-FIND("/",L389)-1)))</f>
        <v/>
      </c>
      <c r="Y389" s="7" t="str">
        <f aca="false">IF(L389="","",VALUE(MID(L389,FIND("/",L389,FIND("/",L389)+1)+1,LEN(L389)-FIND("/",L389,FIND("/",L389)+1))))</f>
        <v/>
      </c>
      <c r="Z389" s="7" t="str">
        <f aca="false">IF(OR(L389="",W389=""),"",IFERROR(INDEX('لیست‌ها'!$Q$3:$Q$53,MATCH(W389,'لیست‌ها'!$P$3:$P$53,0))+IF(X389&lt;=6,(X389-1)*31+Y389,IF(X389&lt;=11,186+(X389-7)*30+Y389,336+Y389))-1,""))</f>
        <v/>
      </c>
      <c r="AA389" s="7" t="str">
        <f aca="false">IF(H389="","",VALUE(LEFT(H389,FIND("/",H389)-1)))</f>
        <v/>
      </c>
      <c r="AB389" s="7" t="str">
        <f aca="false">IF(H389="","",VALUE(MID(H389,FIND("/",H389)+1,FIND("/",H389,FIND("/",H389)+1)-FIND("/",H389)-1)))</f>
        <v/>
      </c>
      <c r="AC389" s="7" t="str">
        <f aca="false">IF(H389="","",VALUE(MID(H389,FIND("/",H389,FIND("/",H389)+1)+1,LEN(H389)-FIND("/",H389,FIND("/",H389)+1))))</f>
        <v/>
      </c>
      <c r="AD389" s="7" t="str">
        <f aca="false">IF(OR(H389="",AA389=""),"",IFERROR(INDEX('لیست‌ها'!$Q$3:$Q$53,MATCH(AA389,'لیست‌ها'!$P$3:$P$53,0))+IF(AB389&lt;=6,(AB389-1)*31+AC389,IF(AB389&lt;=11,186+(AB389-7)*30+AC389,336+AC389))-1,""))</f>
        <v/>
      </c>
      <c r="AE389" s="7" t="str">
        <f aca="false">IF(P389="","",VALUE(LEFT(P389,FIND("/",P389)-1)))</f>
        <v/>
      </c>
      <c r="AF389" s="7" t="str">
        <f aca="false">IF(P389="","",VALUE(MID(P389,FIND("/",P389)+1,FIND("/",P389,FIND("/",P389)+1)-FIND("/",P389)-1)))</f>
        <v/>
      </c>
      <c r="AG389" s="7" t="str">
        <f aca="false">IF(P389="","",VALUE(MID(P389,FIND("/",P389,FIND("/",P389)+1)+1,LEN(P389)-FIND("/",P389,FIND("/",P389)+1))))</f>
        <v/>
      </c>
      <c r="AH389" s="7" t="str">
        <f aca="false">IF(OR(P389="",AE389=""),"",IFERROR(INDEX('لیست‌ها'!$Q$3:$Q$53,MATCH(AE389,'لیست‌ها'!$P$3:$P$53,0))+IF(AF389&lt;=6,(AF389-1)*31+AG389,IF(AF389&lt;=11,186+(AF389-7)*30+AG389,336+AG389))-1,""))</f>
        <v/>
      </c>
      <c r="AI389" s="7" t="str">
        <f aca="false">IF(W389="","",W389&amp;"-"&amp;TEXT(X389,"00"))</f>
        <v/>
      </c>
      <c r="AJ389" s="7" t="str">
        <f aca="false">IF(W389="","",W389*12+X389)</f>
        <v/>
      </c>
      <c r="AK389" s="7" t="str">
        <f aca="false">IF(U389="تاخیر",V389+ROW()/100000,"")</f>
        <v/>
      </c>
    </row>
    <row r="390" customFormat="false" ht="15" hidden="false" customHeight="false" outlineLevel="0" collapsed="false">
      <c r="A390" s="7" t="str">
        <f aca="false">IF(B390="","",ROW()-3)</f>
        <v/>
      </c>
      <c r="B390" s="8"/>
      <c r="C390" s="8"/>
      <c r="D390" s="8"/>
      <c r="E390" s="9"/>
      <c r="F390" s="9"/>
      <c r="G390" s="8"/>
      <c r="H390" s="8"/>
      <c r="I390" s="8"/>
      <c r="J390" s="9"/>
      <c r="K390" s="8"/>
      <c r="L390" s="8"/>
      <c r="M390" s="8"/>
      <c r="N390" s="8"/>
      <c r="O390" s="8"/>
      <c r="P390" s="8"/>
      <c r="Q390" s="8"/>
      <c r="R390" s="9"/>
      <c r="S390" s="8"/>
      <c r="T390" s="9"/>
      <c r="U390" s="10" t="str">
        <f aca="true">IF(B390="","",IF(OR(P390&lt;&gt;"",I390="می‌باشد"),"بسته",IF(AND(L390&lt;&gt;"",W390=""),"خطای فرمت تاریخ ایجاد",IF(AND(H390&lt;&gt;"",AA390=""),"خطای فرمت مهلت",IF(AND(H390&lt;&gt;"",AD390&lt;&gt;"",TODAY()&gt;AD390),"تاخیر",IF(L390&lt;&gt;"","در حال انجام",""))))))</f>
        <v/>
      </c>
      <c r="V390" s="7" t="n">
        <f aca="true">IF(U390="تاخیر",TODAY()-AD390,IF(AND(U390="بسته",AH390&lt;&gt;"",AD390&lt;&gt;"",AH390&gt;AD390),AH390-AD390,0))</f>
        <v>0</v>
      </c>
      <c r="W390" s="7" t="str">
        <f aca="false">IF(L390="","",VALUE(LEFT(L390,FIND("/",L390)-1)))</f>
        <v/>
      </c>
      <c r="X390" s="7" t="str">
        <f aca="false">IF(L390="","",VALUE(MID(L390,FIND("/",L390)+1,FIND("/",L390,FIND("/",L390)+1)-FIND("/",L390)-1)))</f>
        <v/>
      </c>
      <c r="Y390" s="7" t="str">
        <f aca="false">IF(L390="","",VALUE(MID(L390,FIND("/",L390,FIND("/",L390)+1)+1,LEN(L390)-FIND("/",L390,FIND("/",L390)+1))))</f>
        <v/>
      </c>
      <c r="Z390" s="7" t="str">
        <f aca="false">IF(OR(L390="",W390=""),"",IFERROR(INDEX('لیست‌ها'!$Q$3:$Q$53,MATCH(W390,'لیست‌ها'!$P$3:$P$53,0))+IF(X390&lt;=6,(X390-1)*31+Y390,IF(X390&lt;=11,186+(X390-7)*30+Y390,336+Y390))-1,""))</f>
        <v/>
      </c>
      <c r="AA390" s="7" t="str">
        <f aca="false">IF(H390="","",VALUE(LEFT(H390,FIND("/",H390)-1)))</f>
        <v/>
      </c>
      <c r="AB390" s="7" t="str">
        <f aca="false">IF(H390="","",VALUE(MID(H390,FIND("/",H390)+1,FIND("/",H390,FIND("/",H390)+1)-FIND("/",H390)-1)))</f>
        <v/>
      </c>
      <c r="AC390" s="7" t="str">
        <f aca="false">IF(H390="","",VALUE(MID(H390,FIND("/",H390,FIND("/",H390)+1)+1,LEN(H390)-FIND("/",H390,FIND("/",H390)+1))))</f>
        <v/>
      </c>
      <c r="AD390" s="7" t="str">
        <f aca="false">IF(OR(H390="",AA390=""),"",IFERROR(INDEX('لیست‌ها'!$Q$3:$Q$53,MATCH(AA390,'لیست‌ها'!$P$3:$P$53,0))+IF(AB390&lt;=6,(AB390-1)*31+AC390,IF(AB390&lt;=11,186+(AB390-7)*30+AC390,336+AC390))-1,""))</f>
        <v/>
      </c>
      <c r="AE390" s="7" t="str">
        <f aca="false">IF(P390="","",VALUE(LEFT(P390,FIND("/",P390)-1)))</f>
        <v/>
      </c>
      <c r="AF390" s="7" t="str">
        <f aca="false">IF(P390="","",VALUE(MID(P390,FIND("/",P390)+1,FIND("/",P390,FIND("/",P390)+1)-FIND("/",P390)-1)))</f>
        <v/>
      </c>
      <c r="AG390" s="7" t="str">
        <f aca="false">IF(P390="","",VALUE(MID(P390,FIND("/",P390,FIND("/",P390)+1)+1,LEN(P390)-FIND("/",P390,FIND("/",P390)+1))))</f>
        <v/>
      </c>
      <c r="AH390" s="7" t="str">
        <f aca="false">IF(OR(P390="",AE390=""),"",IFERROR(INDEX('لیست‌ها'!$Q$3:$Q$53,MATCH(AE390,'لیست‌ها'!$P$3:$P$53,0))+IF(AF390&lt;=6,(AF390-1)*31+AG390,IF(AF390&lt;=11,186+(AF390-7)*30+AG390,336+AG390))-1,""))</f>
        <v/>
      </c>
      <c r="AI390" s="7" t="str">
        <f aca="false">IF(W390="","",W390&amp;"-"&amp;TEXT(X390,"00"))</f>
        <v/>
      </c>
      <c r="AJ390" s="7" t="str">
        <f aca="false">IF(W390="","",W390*12+X390)</f>
        <v/>
      </c>
      <c r="AK390" s="7" t="str">
        <f aca="false">IF(U390="تاخیر",V390+ROW()/100000,"")</f>
        <v/>
      </c>
    </row>
    <row r="391" customFormat="false" ht="15" hidden="false" customHeight="false" outlineLevel="0" collapsed="false">
      <c r="A391" s="7" t="str">
        <f aca="false">IF(B391="","",ROW()-3)</f>
        <v/>
      </c>
      <c r="B391" s="8"/>
      <c r="C391" s="8"/>
      <c r="D391" s="8"/>
      <c r="E391" s="9"/>
      <c r="F391" s="9"/>
      <c r="G391" s="8"/>
      <c r="H391" s="8"/>
      <c r="I391" s="8"/>
      <c r="J391" s="9"/>
      <c r="K391" s="8"/>
      <c r="L391" s="8"/>
      <c r="M391" s="8"/>
      <c r="N391" s="8"/>
      <c r="O391" s="8"/>
      <c r="P391" s="8"/>
      <c r="Q391" s="8"/>
      <c r="R391" s="9"/>
      <c r="S391" s="8"/>
      <c r="T391" s="9"/>
      <c r="U391" s="10" t="str">
        <f aca="true">IF(B391="","",IF(OR(P391&lt;&gt;"",I391="می‌باشد"),"بسته",IF(AND(L391&lt;&gt;"",W391=""),"خطای فرمت تاریخ ایجاد",IF(AND(H391&lt;&gt;"",AA391=""),"خطای فرمت مهلت",IF(AND(H391&lt;&gt;"",AD391&lt;&gt;"",TODAY()&gt;AD391),"تاخیر",IF(L391&lt;&gt;"","در حال انجام",""))))))</f>
        <v/>
      </c>
      <c r="V391" s="7" t="n">
        <f aca="true">IF(U391="تاخیر",TODAY()-AD391,IF(AND(U391="بسته",AH391&lt;&gt;"",AD391&lt;&gt;"",AH391&gt;AD391),AH391-AD391,0))</f>
        <v>0</v>
      </c>
      <c r="W391" s="7" t="str">
        <f aca="false">IF(L391="","",VALUE(LEFT(L391,FIND("/",L391)-1)))</f>
        <v/>
      </c>
      <c r="X391" s="7" t="str">
        <f aca="false">IF(L391="","",VALUE(MID(L391,FIND("/",L391)+1,FIND("/",L391,FIND("/",L391)+1)-FIND("/",L391)-1)))</f>
        <v/>
      </c>
      <c r="Y391" s="7" t="str">
        <f aca="false">IF(L391="","",VALUE(MID(L391,FIND("/",L391,FIND("/",L391)+1)+1,LEN(L391)-FIND("/",L391,FIND("/",L391)+1))))</f>
        <v/>
      </c>
      <c r="Z391" s="7" t="str">
        <f aca="false">IF(OR(L391="",W391=""),"",IFERROR(INDEX('لیست‌ها'!$Q$3:$Q$53,MATCH(W391,'لیست‌ها'!$P$3:$P$53,0))+IF(X391&lt;=6,(X391-1)*31+Y391,IF(X391&lt;=11,186+(X391-7)*30+Y391,336+Y391))-1,""))</f>
        <v/>
      </c>
      <c r="AA391" s="7" t="str">
        <f aca="false">IF(H391="","",VALUE(LEFT(H391,FIND("/",H391)-1)))</f>
        <v/>
      </c>
      <c r="AB391" s="7" t="str">
        <f aca="false">IF(H391="","",VALUE(MID(H391,FIND("/",H391)+1,FIND("/",H391,FIND("/",H391)+1)-FIND("/",H391)-1)))</f>
        <v/>
      </c>
      <c r="AC391" s="7" t="str">
        <f aca="false">IF(H391="","",VALUE(MID(H391,FIND("/",H391,FIND("/",H391)+1)+1,LEN(H391)-FIND("/",H391,FIND("/",H391)+1))))</f>
        <v/>
      </c>
      <c r="AD391" s="7" t="str">
        <f aca="false">IF(OR(H391="",AA391=""),"",IFERROR(INDEX('لیست‌ها'!$Q$3:$Q$53,MATCH(AA391,'لیست‌ها'!$P$3:$P$53,0))+IF(AB391&lt;=6,(AB391-1)*31+AC391,IF(AB391&lt;=11,186+(AB391-7)*30+AC391,336+AC391))-1,""))</f>
        <v/>
      </c>
      <c r="AE391" s="7" t="str">
        <f aca="false">IF(P391="","",VALUE(LEFT(P391,FIND("/",P391)-1)))</f>
        <v/>
      </c>
      <c r="AF391" s="7" t="str">
        <f aca="false">IF(P391="","",VALUE(MID(P391,FIND("/",P391)+1,FIND("/",P391,FIND("/",P391)+1)-FIND("/",P391)-1)))</f>
        <v/>
      </c>
      <c r="AG391" s="7" t="str">
        <f aca="false">IF(P391="","",VALUE(MID(P391,FIND("/",P391,FIND("/",P391)+1)+1,LEN(P391)-FIND("/",P391,FIND("/",P391)+1))))</f>
        <v/>
      </c>
      <c r="AH391" s="7" t="str">
        <f aca="false">IF(OR(P391="",AE391=""),"",IFERROR(INDEX('لیست‌ها'!$Q$3:$Q$53,MATCH(AE391,'لیست‌ها'!$P$3:$P$53,0))+IF(AF391&lt;=6,(AF391-1)*31+AG391,IF(AF391&lt;=11,186+(AF391-7)*30+AG391,336+AG391))-1,""))</f>
        <v/>
      </c>
      <c r="AI391" s="7" t="str">
        <f aca="false">IF(W391="","",W391&amp;"-"&amp;TEXT(X391,"00"))</f>
        <v/>
      </c>
      <c r="AJ391" s="7" t="str">
        <f aca="false">IF(W391="","",W391*12+X391)</f>
        <v/>
      </c>
      <c r="AK391" s="7" t="str">
        <f aca="false">IF(U391="تاخیر",V391+ROW()/100000,"")</f>
        <v/>
      </c>
    </row>
    <row r="392" customFormat="false" ht="15" hidden="false" customHeight="false" outlineLevel="0" collapsed="false">
      <c r="A392" s="7" t="str">
        <f aca="false">IF(B392="","",ROW()-3)</f>
        <v/>
      </c>
      <c r="B392" s="8"/>
      <c r="C392" s="8"/>
      <c r="D392" s="8"/>
      <c r="E392" s="9"/>
      <c r="F392" s="9"/>
      <c r="G392" s="8"/>
      <c r="H392" s="8"/>
      <c r="I392" s="8"/>
      <c r="J392" s="9"/>
      <c r="K392" s="8"/>
      <c r="L392" s="8"/>
      <c r="M392" s="8"/>
      <c r="N392" s="8"/>
      <c r="O392" s="8"/>
      <c r="P392" s="8"/>
      <c r="Q392" s="8"/>
      <c r="R392" s="9"/>
      <c r="S392" s="8"/>
      <c r="T392" s="9"/>
      <c r="U392" s="10" t="str">
        <f aca="true">IF(B392="","",IF(OR(P392&lt;&gt;"",I392="می‌باشد"),"بسته",IF(AND(L392&lt;&gt;"",W392=""),"خطای فرمت تاریخ ایجاد",IF(AND(H392&lt;&gt;"",AA392=""),"خطای فرمت مهلت",IF(AND(H392&lt;&gt;"",AD392&lt;&gt;"",TODAY()&gt;AD392),"تاخیر",IF(L392&lt;&gt;"","در حال انجام",""))))))</f>
        <v/>
      </c>
      <c r="V392" s="7" t="n">
        <f aca="true">IF(U392="تاخیر",TODAY()-AD392,IF(AND(U392="بسته",AH392&lt;&gt;"",AD392&lt;&gt;"",AH392&gt;AD392),AH392-AD392,0))</f>
        <v>0</v>
      </c>
      <c r="W392" s="7" t="str">
        <f aca="false">IF(L392="","",VALUE(LEFT(L392,FIND("/",L392)-1)))</f>
        <v/>
      </c>
      <c r="X392" s="7" t="str">
        <f aca="false">IF(L392="","",VALUE(MID(L392,FIND("/",L392)+1,FIND("/",L392,FIND("/",L392)+1)-FIND("/",L392)-1)))</f>
        <v/>
      </c>
      <c r="Y392" s="7" t="str">
        <f aca="false">IF(L392="","",VALUE(MID(L392,FIND("/",L392,FIND("/",L392)+1)+1,LEN(L392)-FIND("/",L392,FIND("/",L392)+1))))</f>
        <v/>
      </c>
      <c r="Z392" s="7" t="str">
        <f aca="false">IF(OR(L392="",W392=""),"",IFERROR(INDEX('لیست‌ها'!$Q$3:$Q$53,MATCH(W392,'لیست‌ها'!$P$3:$P$53,0))+IF(X392&lt;=6,(X392-1)*31+Y392,IF(X392&lt;=11,186+(X392-7)*30+Y392,336+Y392))-1,""))</f>
        <v/>
      </c>
      <c r="AA392" s="7" t="str">
        <f aca="false">IF(H392="","",VALUE(LEFT(H392,FIND("/",H392)-1)))</f>
        <v/>
      </c>
      <c r="AB392" s="7" t="str">
        <f aca="false">IF(H392="","",VALUE(MID(H392,FIND("/",H392)+1,FIND("/",H392,FIND("/",H392)+1)-FIND("/",H392)-1)))</f>
        <v/>
      </c>
      <c r="AC392" s="7" t="str">
        <f aca="false">IF(H392="","",VALUE(MID(H392,FIND("/",H392,FIND("/",H392)+1)+1,LEN(H392)-FIND("/",H392,FIND("/",H392)+1))))</f>
        <v/>
      </c>
      <c r="AD392" s="7" t="str">
        <f aca="false">IF(OR(H392="",AA392=""),"",IFERROR(INDEX('لیست‌ها'!$Q$3:$Q$53,MATCH(AA392,'لیست‌ها'!$P$3:$P$53,0))+IF(AB392&lt;=6,(AB392-1)*31+AC392,IF(AB392&lt;=11,186+(AB392-7)*30+AC392,336+AC392))-1,""))</f>
        <v/>
      </c>
      <c r="AE392" s="7" t="str">
        <f aca="false">IF(P392="","",VALUE(LEFT(P392,FIND("/",P392)-1)))</f>
        <v/>
      </c>
      <c r="AF392" s="7" t="str">
        <f aca="false">IF(P392="","",VALUE(MID(P392,FIND("/",P392)+1,FIND("/",P392,FIND("/",P392)+1)-FIND("/",P392)-1)))</f>
        <v/>
      </c>
      <c r="AG392" s="7" t="str">
        <f aca="false">IF(P392="","",VALUE(MID(P392,FIND("/",P392,FIND("/",P392)+1)+1,LEN(P392)-FIND("/",P392,FIND("/",P392)+1))))</f>
        <v/>
      </c>
      <c r="AH392" s="7" t="str">
        <f aca="false">IF(OR(P392="",AE392=""),"",IFERROR(INDEX('لیست‌ها'!$Q$3:$Q$53,MATCH(AE392,'لیست‌ها'!$P$3:$P$53,0))+IF(AF392&lt;=6,(AF392-1)*31+AG392,IF(AF392&lt;=11,186+(AF392-7)*30+AG392,336+AG392))-1,""))</f>
        <v/>
      </c>
      <c r="AI392" s="7" t="str">
        <f aca="false">IF(W392="","",W392&amp;"-"&amp;TEXT(X392,"00"))</f>
        <v/>
      </c>
      <c r="AJ392" s="7" t="str">
        <f aca="false">IF(W392="","",W392*12+X392)</f>
        <v/>
      </c>
      <c r="AK392" s="7" t="str">
        <f aca="false">IF(U392="تاخیر",V392+ROW()/100000,"")</f>
        <v/>
      </c>
    </row>
    <row r="393" customFormat="false" ht="15" hidden="false" customHeight="false" outlineLevel="0" collapsed="false">
      <c r="A393" s="7" t="str">
        <f aca="false">IF(B393="","",ROW()-3)</f>
        <v/>
      </c>
      <c r="B393" s="8"/>
      <c r="C393" s="8"/>
      <c r="D393" s="8"/>
      <c r="E393" s="9"/>
      <c r="F393" s="9"/>
      <c r="G393" s="8"/>
      <c r="H393" s="8"/>
      <c r="I393" s="8"/>
      <c r="J393" s="9"/>
      <c r="K393" s="8"/>
      <c r="L393" s="8"/>
      <c r="M393" s="8"/>
      <c r="N393" s="8"/>
      <c r="O393" s="8"/>
      <c r="P393" s="8"/>
      <c r="Q393" s="8"/>
      <c r="R393" s="9"/>
      <c r="S393" s="8"/>
      <c r="T393" s="9"/>
      <c r="U393" s="10" t="str">
        <f aca="true">IF(B393="","",IF(OR(P393&lt;&gt;"",I393="می‌باشد"),"بسته",IF(AND(L393&lt;&gt;"",W393=""),"خطای فرمت تاریخ ایجاد",IF(AND(H393&lt;&gt;"",AA393=""),"خطای فرمت مهلت",IF(AND(H393&lt;&gt;"",AD393&lt;&gt;"",TODAY()&gt;AD393),"تاخیر",IF(L393&lt;&gt;"","در حال انجام",""))))))</f>
        <v/>
      </c>
      <c r="V393" s="7" t="n">
        <f aca="true">IF(U393="تاخیر",TODAY()-AD393,IF(AND(U393="بسته",AH393&lt;&gt;"",AD393&lt;&gt;"",AH393&gt;AD393),AH393-AD393,0))</f>
        <v>0</v>
      </c>
      <c r="W393" s="7" t="str">
        <f aca="false">IF(L393="","",VALUE(LEFT(L393,FIND("/",L393)-1)))</f>
        <v/>
      </c>
      <c r="X393" s="7" t="str">
        <f aca="false">IF(L393="","",VALUE(MID(L393,FIND("/",L393)+1,FIND("/",L393,FIND("/",L393)+1)-FIND("/",L393)-1)))</f>
        <v/>
      </c>
      <c r="Y393" s="7" t="str">
        <f aca="false">IF(L393="","",VALUE(MID(L393,FIND("/",L393,FIND("/",L393)+1)+1,LEN(L393)-FIND("/",L393,FIND("/",L393)+1))))</f>
        <v/>
      </c>
      <c r="Z393" s="7" t="str">
        <f aca="false">IF(OR(L393="",W393=""),"",IFERROR(INDEX('لیست‌ها'!$Q$3:$Q$53,MATCH(W393,'لیست‌ها'!$P$3:$P$53,0))+IF(X393&lt;=6,(X393-1)*31+Y393,IF(X393&lt;=11,186+(X393-7)*30+Y393,336+Y393))-1,""))</f>
        <v/>
      </c>
      <c r="AA393" s="7" t="str">
        <f aca="false">IF(H393="","",VALUE(LEFT(H393,FIND("/",H393)-1)))</f>
        <v/>
      </c>
      <c r="AB393" s="7" t="str">
        <f aca="false">IF(H393="","",VALUE(MID(H393,FIND("/",H393)+1,FIND("/",H393,FIND("/",H393)+1)-FIND("/",H393)-1)))</f>
        <v/>
      </c>
      <c r="AC393" s="7" t="str">
        <f aca="false">IF(H393="","",VALUE(MID(H393,FIND("/",H393,FIND("/",H393)+1)+1,LEN(H393)-FIND("/",H393,FIND("/",H393)+1))))</f>
        <v/>
      </c>
      <c r="AD393" s="7" t="str">
        <f aca="false">IF(OR(H393="",AA393=""),"",IFERROR(INDEX('لیست‌ها'!$Q$3:$Q$53,MATCH(AA393,'لیست‌ها'!$P$3:$P$53,0))+IF(AB393&lt;=6,(AB393-1)*31+AC393,IF(AB393&lt;=11,186+(AB393-7)*30+AC393,336+AC393))-1,""))</f>
        <v/>
      </c>
      <c r="AE393" s="7" t="str">
        <f aca="false">IF(P393="","",VALUE(LEFT(P393,FIND("/",P393)-1)))</f>
        <v/>
      </c>
      <c r="AF393" s="7" t="str">
        <f aca="false">IF(P393="","",VALUE(MID(P393,FIND("/",P393)+1,FIND("/",P393,FIND("/",P393)+1)-FIND("/",P393)-1)))</f>
        <v/>
      </c>
      <c r="AG393" s="7" t="str">
        <f aca="false">IF(P393="","",VALUE(MID(P393,FIND("/",P393,FIND("/",P393)+1)+1,LEN(P393)-FIND("/",P393,FIND("/",P393)+1))))</f>
        <v/>
      </c>
      <c r="AH393" s="7" t="str">
        <f aca="false">IF(OR(P393="",AE393=""),"",IFERROR(INDEX('لیست‌ها'!$Q$3:$Q$53,MATCH(AE393,'لیست‌ها'!$P$3:$P$53,0))+IF(AF393&lt;=6,(AF393-1)*31+AG393,IF(AF393&lt;=11,186+(AF393-7)*30+AG393,336+AG393))-1,""))</f>
        <v/>
      </c>
      <c r="AI393" s="7" t="str">
        <f aca="false">IF(W393="","",W393&amp;"-"&amp;TEXT(X393,"00"))</f>
        <v/>
      </c>
      <c r="AJ393" s="7" t="str">
        <f aca="false">IF(W393="","",W393*12+X393)</f>
        <v/>
      </c>
      <c r="AK393" s="7" t="str">
        <f aca="false">IF(U393="تاخیر",V393+ROW()/100000,"")</f>
        <v/>
      </c>
    </row>
    <row r="394" customFormat="false" ht="15" hidden="false" customHeight="false" outlineLevel="0" collapsed="false">
      <c r="A394" s="7" t="str">
        <f aca="false">IF(B394="","",ROW()-3)</f>
        <v/>
      </c>
      <c r="B394" s="8"/>
      <c r="C394" s="8"/>
      <c r="D394" s="8"/>
      <c r="E394" s="9"/>
      <c r="F394" s="9"/>
      <c r="G394" s="8"/>
      <c r="H394" s="8"/>
      <c r="I394" s="8"/>
      <c r="J394" s="9"/>
      <c r="K394" s="8"/>
      <c r="L394" s="8"/>
      <c r="M394" s="8"/>
      <c r="N394" s="8"/>
      <c r="O394" s="8"/>
      <c r="P394" s="8"/>
      <c r="Q394" s="8"/>
      <c r="R394" s="9"/>
      <c r="S394" s="8"/>
      <c r="T394" s="9"/>
      <c r="U394" s="10" t="str">
        <f aca="true">IF(B394="","",IF(OR(P394&lt;&gt;"",I394="می‌باشد"),"بسته",IF(AND(L394&lt;&gt;"",W394=""),"خطای فرمت تاریخ ایجاد",IF(AND(H394&lt;&gt;"",AA394=""),"خطای فرمت مهلت",IF(AND(H394&lt;&gt;"",AD394&lt;&gt;"",TODAY()&gt;AD394),"تاخیر",IF(L394&lt;&gt;"","در حال انجام",""))))))</f>
        <v/>
      </c>
      <c r="V394" s="7" t="n">
        <f aca="true">IF(U394="تاخیر",TODAY()-AD394,IF(AND(U394="بسته",AH394&lt;&gt;"",AD394&lt;&gt;"",AH394&gt;AD394),AH394-AD394,0))</f>
        <v>0</v>
      </c>
      <c r="W394" s="7" t="str">
        <f aca="false">IF(L394="","",VALUE(LEFT(L394,FIND("/",L394)-1)))</f>
        <v/>
      </c>
      <c r="X394" s="7" t="str">
        <f aca="false">IF(L394="","",VALUE(MID(L394,FIND("/",L394)+1,FIND("/",L394,FIND("/",L394)+1)-FIND("/",L394)-1)))</f>
        <v/>
      </c>
      <c r="Y394" s="7" t="str">
        <f aca="false">IF(L394="","",VALUE(MID(L394,FIND("/",L394,FIND("/",L394)+1)+1,LEN(L394)-FIND("/",L394,FIND("/",L394)+1))))</f>
        <v/>
      </c>
      <c r="Z394" s="7" t="str">
        <f aca="false">IF(OR(L394="",W394=""),"",IFERROR(INDEX('لیست‌ها'!$Q$3:$Q$53,MATCH(W394,'لیست‌ها'!$P$3:$P$53,0))+IF(X394&lt;=6,(X394-1)*31+Y394,IF(X394&lt;=11,186+(X394-7)*30+Y394,336+Y394))-1,""))</f>
        <v/>
      </c>
      <c r="AA394" s="7" t="str">
        <f aca="false">IF(H394="","",VALUE(LEFT(H394,FIND("/",H394)-1)))</f>
        <v/>
      </c>
      <c r="AB394" s="7" t="str">
        <f aca="false">IF(H394="","",VALUE(MID(H394,FIND("/",H394)+1,FIND("/",H394,FIND("/",H394)+1)-FIND("/",H394)-1)))</f>
        <v/>
      </c>
      <c r="AC394" s="7" t="str">
        <f aca="false">IF(H394="","",VALUE(MID(H394,FIND("/",H394,FIND("/",H394)+1)+1,LEN(H394)-FIND("/",H394,FIND("/",H394)+1))))</f>
        <v/>
      </c>
      <c r="AD394" s="7" t="str">
        <f aca="false">IF(OR(H394="",AA394=""),"",IFERROR(INDEX('لیست‌ها'!$Q$3:$Q$53,MATCH(AA394,'لیست‌ها'!$P$3:$P$53,0))+IF(AB394&lt;=6,(AB394-1)*31+AC394,IF(AB394&lt;=11,186+(AB394-7)*30+AC394,336+AC394))-1,""))</f>
        <v/>
      </c>
      <c r="AE394" s="7" t="str">
        <f aca="false">IF(P394="","",VALUE(LEFT(P394,FIND("/",P394)-1)))</f>
        <v/>
      </c>
      <c r="AF394" s="7" t="str">
        <f aca="false">IF(P394="","",VALUE(MID(P394,FIND("/",P394)+1,FIND("/",P394,FIND("/",P394)+1)-FIND("/",P394)-1)))</f>
        <v/>
      </c>
      <c r="AG394" s="7" t="str">
        <f aca="false">IF(P394="","",VALUE(MID(P394,FIND("/",P394,FIND("/",P394)+1)+1,LEN(P394)-FIND("/",P394,FIND("/",P394)+1))))</f>
        <v/>
      </c>
      <c r="AH394" s="7" t="str">
        <f aca="false">IF(OR(P394="",AE394=""),"",IFERROR(INDEX('لیست‌ها'!$Q$3:$Q$53,MATCH(AE394,'لیست‌ها'!$P$3:$P$53,0))+IF(AF394&lt;=6,(AF394-1)*31+AG394,IF(AF394&lt;=11,186+(AF394-7)*30+AG394,336+AG394))-1,""))</f>
        <v/>
      </c>
      <c r="AI394" s="7" t="str">
        <f aca="false">IF(W394="","",W394&amp;"-"&amp;TEXT(X394,"00"))</f>
        <v/>
      </c>
      <c r="AJ394" s="7" t="str">
        <f aca="false">IF(W394="","",W394*12+X394)</f>
        <v/>
      </c>
      <c r="AK394" s="7" t="str">
        <f aca="false">IF(U394="تاخیر",V394+ROW()/100000,"")</f>
        <v/>
      </c>
    </row>
    <row r="395" customFormat="false" ht="15" hidden="false" customHeight="false" outlineLevel="0" collapsed="false">
      <c r="A395" s="7" t="str">
        <f aca="false">IF(B395="","",ROW()-3)</f>
        <v/>
      </c>
      <c r="B395" s="8"/>
      <c r="C395" s="8"/>
      <c r="D395" s="8"/>
      <c r="E395" s="9"/>
      <c r="F395" s="9"/>
      <c r="G395" s="8"/>
      <c r="H395" s="8"/>
      <c r="I395" s="8"/>
      <c r="J395" s="9"/>
      <c r="K395" s="8"/>
      <c r="L395" s="8"/>
      <c r="M395" s="8"/>
      <c r="N395" s="8"/>
      <c r="O395" s="8"/>
      <c r="P395" s="8"/>
      <c r="Q395" s="8"/>
      <c r="R395" s="9"/>
      <c r="S395" s="8"/>
      <c r="T395" s="9"/>
      <c r="U395" s="10" t="str">
        <f aca="true">IF(B395="","",IF(OR(P395&lt;&gt;"",I395="می‌باشد"),"بسته",IF(AND(L395&lt;&gt;"",W395=""),"خطای فرمت تاریخ ایجاد",IF(AND(H395&lt;&gt;"",AA395=""),"خطای فرمت مهلت",IF(AND(H395&lt;&gt;"",AD395&lt;&gt;"",TODAY()&gt;AD395),"تاخیر",IF(L395&lt;&gt;"","در حال انجام",""))))))</f>
        <v/>
      </c>
      <c r="V395" s="7" t="n">
        <f aca="true">IF(U395="تاخیر",TODAY()-AD395,IF(AND(U395="بسته",AH395&lt;&gt;"",AD395&lt;&gt;"",AH395&gt;AD395),AH395-AD395,0))</f>
        <v>0</v>
      </c>
      <c r="W395" s="7" t="str">
        <f aca="false">IF(L395="","",VALUE(LEFT(L395,FIND("/",L395)-1)))</f>
        <v/>
      </c>
      <c r="X395" s="7" t="str">
        <f aca="false">IF(L395="","",VALUE(MID(L395,FIND("/",L395)+1,FIND("/",L395,FIND("/",L395)+1)-FIND("/",L395)-1)))</f>
        <v/>
      </c>
      <c r="Y395" s="7" t="str">
        <f aca="false">IF(L395="","",VALUE(MID(L395,FIND("/",L395,FIND("/",L395)+1)+1,LEN(L395)-FIND("/",L395,FIND("/",L395)+1))))</f>
        <v/>
      </c>
      <c r="Z395" s="7" t="str">
        <f aca="false">IF(OR(L395="",W395=""),"",IFERROR(INDEX('لیست‌ها'!$Q$3:$Q$53,MATCH(W395,'لیست‌ها'!$P$3:$P$53,0))+IF(X395&lt;=6,(X395-1)*31+Y395,IF(X395&lt;=11,186+(X395-7)*30+Y395,336+Y395))-1,""))</f>
        <v/>
      </c>
      <c r="AA395" s="7" t="str">
        <f aca="false">IF(H395="","",VALUE(LEFT(H395,FIND("/",H395)-1)))</f>
        <v/>
      </c>
      <c r="AB395" s="7" t="str">
        <f aca="false">IF(H395="","",VALUE(MID(H395,FIND("/",H395)+1,FIND("/",H395,FIND("/",H395)+1)-FIND("/",H395)-1)))</f>
        <v/>
      </c>
      <c r="AC395" s="7" t="str">
        <f aca="false">IF(H395="","",VALUE(MID(H395,FIND("/",H395,FIND("/",H395)+1)+1,LEN(H395)-FIND("/",H395,FIND("/",H395)+1))))</f>
        <v/>
      </c>
      <c r="AD395" s="7" t="str">
        <f aca="false">IF(OR(H395="",AA395=""),"",IFERROR(INDEX('لیست‌ها'!$Q$3:$Q$53,MATCH(AA395,'لیست‌ها'!$P$3:$P$53,0))+IF(AB395&lt;=6,(AB395-1)*31+AC395,IF(AB395&lt;=11,186+(AB395-7)*30+AC395,336+AC395))-1,""))</f>
        <v/>
      </c>
      <c r="AE395" s="7" t="str">
        <f aca="false">IF(P395="","",VALUE(LEFT(P395,FIND("/",P395)-1)))</f>
        <v/>
      </c>
      <c r="AF395" s="7" t="str">
        <f aca="false">IF(P395="","",VALUE(MID(P395,FIND("/",P395)+1,FIND("/",P395,FIND("/",P395)+1)-FIND("/",P395)-1)))</f>
        <v/>
      </c>
      <c r="AG395" s="7" t="str">
        <f aca="false">IF(P395="","",VALUE(MID(P395,FIND("/",P395,FIND("/",P395)+1)+1,LEN(P395)-FIND("/",P395,FIND("/",P395)+1))))</f>
        <v/>
      </c>
      <c r="AH395" s="7" t="str">
        <f aca="false">IF(OR(P395="",AE395=""),"",IFERROR(INDEX('لیست‌ها'!$Q$3:$Q$53,MATCH(AE395,'لیست‌ها'!$P$3:$P$53,0))+IF(AF395&lt;=6,(AF395-1)*31+AG395,IF(AF395&lt;=11,186+(AF395-7)*30+AG395,336+AG395))-1,""))</f>
        <v/>
      </c>
      <c r="AI395" s="7" t="str">
        <f aca="false">IF(W395="","",W395&amp;"-"&amp;TEXT(X395,"00"))</f>
        <v/>
      </c>
      <c r="AJ395" s="7" t="str">
        <f aca="false">IF(W395="","",W395*12+X395)</f>
        <v/>
      </c>
      <c r="AK395" s="7" t="str">
        <f aca="false">IF(U395="تاخیر",V395+ROW()/100000,"")</f>
        <v/>
      </c>
    </row>
    <row r="396" customFormat="false" ht="15" hidden="false" customHeight="false" outlineLevel="0" collapsed="false">
      <c r="A396" s="7" t="str">
        <f aca="false">IF(B396="","",ROW()-3)</f>
        <v/>
      </c>
      <c r="B396" s="8"/>
      <c r="C396" s="8"/>
      <c r="D396" s="8"/>
      <c r="E396" s="9"/>
      <c r="F396" s="9"/>
      <c r="G396" s="8"/>
      <c r="H396" s="8"/>
      <c r="I396" s="8"/>
      <c r="J396" s="9"/>
      <c r="K396" s="8"/>
      <c r="L396" s="8"/>
      <c r="M396" s="8"/>
      <c r="N396" s="8"/>
      <c r="O396" s="8"/>
      <c r="P396" s="8"/>
      <c r="Q396" s="8"/>
      <c r="R396" s="9"/>
      <c r="S396" s="8"/>
      <c r="T396" s="9"/>
      <c r="U396" s="10" t="str">
        <f aca="true">IF(B396="","",IF(OR(P396&lt;&gt;"",I396="می‌باشد"),"بسته",IF(AND(L396&lt;&gt;"",W396=""),"خطای فرمت تاریخ ایجاد",IF(AND(H396&lt;&gt;"",AA396=""),"خطای فرمت مهلت",IF(AND(H396&lt;&gt;"",AD396&lt;&gt;"",TODAY()&gt;AD396),"تاخیر",IF(L396&lt;&gt;"","در حال انجام",""))))))</f>
        <v/>
      </c>
      <c r="V396" s="7" t="n">
        <f aca="true">IF(U396="تاخیر",TODAY()-AD396,IF(AND(U396="بسته",AH396&lt;&gt;"",AD396&lt;&gt;"",AH396&gt;AD396),AH396-AD396,0))</f>
        <v>0</v>
      </c>
      <c r="W396" s="7" t="str">
        <f aca="false">IF(L396="","",VALUE(LEFT(L396,FIND("/",L396)-1)))</f>
        <v/>
      </c>
      <c r="X396" s="7" t="str">
        <f aca="false">IF(L396="","",VALUE(MID(L396,FIND("/",L396)+1,FIND("/",L396,FIND("/",L396)+1)-FIND("/",L396)-1)))</f>
        <v/>
      </c>
      <c r="Y396" s="7" t="str">
        <f aca="false">IF(L396="","",VALUE(MID(L396,FIND("/",L396,FIND("/",L396)+1)+1,LEN(L396)-FIND("/",L396,FIND("/",L396)+1))))</f>
        <v/>
      </c>
      <c r="Z396" s="7" t="str">
        <f aca="false">IF(OR(L396="",W396=""),"",IFERROR(INDEX('لیست‌ها'!$Q$3:$Q$53,MATCH(W396,'لیست‌ها'!$P$3:$P$53,0))+IF(X396&lt;=6,(X396-1)*31+Y396,IF(X396&lt;=11,186+(X396-7)*30+Y396,336+Y396))-1,""))</f>
        <v/>
      </c>
      <c r="AA396" s="7" t="str">
        <f aca="false">IF(H396="","",VALUE(LEFT(H396,FIND("/",H396)-1)))</f>
        <v/>
      </c>
      <c r="AB396" s="7" t="str">
        <f aca="false">IF(H396="","",VALUE(MID(H396,FIND("/",H396)+1,FIND("/",H396,FIND("/",H396)+1)-FIND("/",H396)-1)))</f>
        <v/>
      </c>
      <c r="AC396" s="7" t="str">
        <f aca="false">IF(H396="","",VALUE(MID(H396,FIND("/",H396,FIND("/",H396)+1)+1,LEN(H396)-FIND("/",H396,FIND("/",H396)+1))))</f>
        <v/>
      </c>
      <c r="AD396" s="7" t="str">
        <f aca="false">IF(OR(H396="",AA396=""),"",IFERROR(INDEX('لیست‌ها'!$Q$3:$Q$53,MATCH(AA396,'لیست‌ها'!$P$3:$P$53,0))+IF(AB396&lt;=6,(AB396-1)*31+AC396,IF(AB396&lt;=11,186+(AB396-7)*30+AC396,336+AC396))-1,""))</f>
        <v/>
      </c>
      <c r="AE396" s="7" t="str">
        <f aca="false">IF(P396="","",VALUE(LEFT(P396,FIND("/",P396)-1)))</f>
        <v/>
      </c>
      <c r="AF396" s="7" t="str">
        <f aca="false">IF(P396="","",VALUE(MID(P396,FIND("/",P396)+1,FIND("/",P396,FIND("/",P396)+1)-FIND("/",P396)-1)))</f>
        <v/>
      </c>
      <c r="AG396" s="7" t="str">
        <f aca="false">IF(P396="","",VALUE(MID(P396,FIND("/",P396,FIND("/",P396)+1)+1,LEN(P396)-FIND("/",P396,FIND("/",P396)+1))))</f>
        <v/>
      </c>
      <c r="AH396" s="7" t="str">
        <f aca="false">IF(OR(P396="",AE396=""),"",IFERROR(INDEX('لیست‌ها'!$Q$3:$Q$53,MATCH(AE396,'لیست‌ها'!$P$3:$P$53,0))+IF(AF396&lt;=6,(AF396-1)*31+AG396,IF(AF396&lt;=11,186+(AF396-7)*30+AG396,336+AG396))-1,""))</f>
        <v/>
      </c>
      <c r="AI396" s="7" t="str">
        <f aca="false">IF(W396="","",W396&amp;"-"&amp;TEXT(X396,"00"))</f>
        <v/>
      </c>
      <c r="AJ396" s="7" t="str">
        <f aca="false">IF(W396="","",W396*12+X396)</f>
        <v/>
      </c>
      <c r="AK396" s="7" t="str">
        <f aca="false">IF(U396="تاخیر",V396+ROW()/100000,"")</f>
        <v/>
      </c>
    </row>
    <row r="397" customFormat="false" ht="15" hidden="false" customHeight="false" outlineLevel="0" collapsed="false">
      <c r="A397" s="7" t="str">
        <f aca="false">IF(B397="","",ROW()-3)</f>
        <v/>
      </c>
      <c r="B397" s="8"/>
      <c r="C397" s="8"/>
      <c r="D397" s="8"/>
      <c r="E397" s="9"/>
      <c r="F397" s="9"/>
      <c r="G397" s="8"/>
      <c r="H397" s="8"/>
      <c r="I397" s="8"/>
      <c r="J397" s="9"/>
      <c r="K397" s="8"/>
      <c r="L397" s="8"/>
      <c r="M397" s="8"/>
      <c r="N397" s="8"/>
      <c r="O397" s="8"/>
      <c r="P397" s="8"/>
      <c r="Q397" s="8"/>
      <c r="R397" s="9"/>
      <c r="S397" s="8"/>
      <c r="T397" s="9"/>
      <c r="U397" s="10" t="str">
        <f aca="true">IF(B397="","",IF(OR(P397&lt;&gt;"",I397="می‌باشد"),"بسته",IF(AND(L397&lt;&gt;"",W397=""),"خطای فرمت تاریخ ایجاد",IF(AND(H397&lt;&gt;"",AA397=""),"خطای فرمت مهلت",IF(AND(H397&lt;&gt;"",AD397&lt;&gt;"",TODAY()&gt;AD397),"تاخیر",IF(L397&lt;&gt;"","در حال انجام",""))))))</f>
        <v/>
      </c>
      <c r="V397" s="7" t="n">
        <f aca="true">IF(U397="تاخیر",TODAY()-AD397,IF(AND(U397="بسته",AH397&lt;&gt;"",AD397&lt;&gt;"",AH397&gt;AD397),AH397-AD397,0))</f>
        <v>0</v>
      </c>
      <c r="W397" s="7" t="str">
        <f aca="false">IF(L397="","",VALUE(LEFT(L397,FIND("/",L397)-1)))</f>
        <v/>
      </c>
      <c r="X397" s="7" t="str">
        <f aca="false">IF(L397="","",VALUE(MID(L397,FIND("/",L397)+1,FIND("/",L397,FIND("/",L397)+1)-FIND("/",L397)-1)))</f>
        <v/>
      </c>
      <c r="Y397" s="7" t="str">
        <f aca="false">IF(L397="","",VALUE(MID(L397,FIND("/",L397,FIND("/",L397)+1)+1,LEN(L397)-FIND("/",L397,FIND("/",L397)+1))))</f>
        <v/>
      </c>
      <c r="Z397" s="7" t="str">
        <f aca="false">IF(OR(L397="",W397=""),"",IFERROR(INDEX('لیست‌ها'!$Q$3:$Q$53,MATCH(W397,'لیست‌ها'!$P$3:$P$53,0))+IF(X397&lt;=6,(X397-1)*31+Y397,IF(X397&lt;=11,186+(X397-7)*30+Y397,336+Y397))-1,""))</f>
        <v/>
      </c>
      <c r="AA397" s="7" t="str">
        <f aca="false">IF(H397="","",VALUE(LEFT(H397,FIND("/",H397)-1)))</f>
        <v/>
      </c>
      <c r="AB397" s="7" t="str">
        <f aca="false">IF(H397="","",VALUE(MID(H397,FIND("/",H397)+1,FIND("/",H397,FIND("/",H397)+1)-FIND("/",H397)-1)))</f>
        <v/>
      </c>
      <c r="AC397" s="7" t="str">
        <f aca="false">IF(H397="","",VALUE(MID(H397,FIND("/",H397,FIND("/",H397)+1)+1,LEN(H397)-FIND("/",H397,FIND("/",H397)+1))))</f>
        <v/>
      </c>
      <c r="AD397" s="7" t="str">
        <f aca="false">IF(OR(H397="",AA397=""),"",IFERROR(INDEX('لیست‌ها'!$Q$3:$Q$53,MATCH(AA397,'لیست‌ها'!$P$3:$P$53,0))+IF(AB397&lt;=6,(AB397-1)*31+AC397,IF(AB397&lt;=11,186+(AB397-7)*30+AC397,336+AC397))-1,""))</f>
        <v/>
      </c>
      <c r="AE397" s="7" t="str">
        <f aca="false">IF(P397="","",VALUE(LEFT(P397,FIND("/",P397)-1)))</f>
        <v/>
      </c>
      <c r="AF397" s="7" t="str">
        <f aca="false">IF(P397="","",VALUE(MID(P397,FIND("/",P397)+1,FIND("/",P397,FIND("/",P397)+1)-FIND("/",P397)-1)))</f>
        <v/>
      </c>
      <c r="AG397" s="7" t="str">
        <f aca="false">IF(P397="","",VALUE(MID(P397,FIND("/",P397,FIND("/",P397)+1)+1,LEN(P397)-FIND("/",P397,FIND("/",P397)+1))))</f>
        <v/>
      </c>
      <c r="AH397" s="7" t="str">
        <f aca="false">IF(OR(P397="",AE397=""),"",IFERROR(INDEX('لیست‌ها'!$Q$3:$Q$53,MATCH(AE397,'لیست‌ها'!$P$3:$P$53,0))+IF(AF397&lt;=6,(AF397-1)*31+AG397,IF(AF397&lt;=11,186+(AF397-7)*30+AG397,336+AG397))-1,""))</f>
        <v/>
      </c>
      <c r="AI397" s="7" t="str">
        <f aca="false">IF(W397="","",W397&amp;"-"&amp;TEXT(X397,"00"))</f>
        <v/>
      </c>
      <c r="AJ397" s="7" t="str">
        <f aca="false">IF(W397="","",W397*12+X397)</f>
        <v/>
      </c>
      <c r="AK397" s="7" t="str">
        <f aca="false">IF(U397="تاخیر",V397+ROW()/100000,"")</f>
        <v/>
      </c>
    </row>
    <row r="398" customFormat="false" ht="15" hidden="false" customHeight="false" outlineLevel="0" collapsed="false">
      <c r="A398" s="7" t="str">
        <f aca="false">IF(B398="","",ROW()-3)</f>
        <v/>
      </c>
      <c r="B398" s="8"/>
      <c r="C398" s="8"/>
      <c r="D398" s="8"/>
      <c r="E398" s="9"/>
      <c r="F398" s="9"/>
      <c r="G398" s="8"/>
      <c r="H398" s="8"/>
      <c r="I398" s="8"/>
      <c r="J398" s="9"/>
      <c r="K398" s="8"/>
      <c r="L398" s="8"/>
      <c r="M398" s="8"/>
      <c r="N398" s="8"/>
      <c r="O398" s="8"/>
      <c r="P398" s="8"/>
      <c r="Q398" s="8"/>
      <c r="R398" s="9"/>
      <c r="S398" s="8"/>
      <c r="T398" s="9"/>
      <c r="U398" s="10" t="str">
        <f aca="true">IF(B398="","",IF(OR(P398&lt;&gt;"",I398="می‌باشد"),"بسته",IF(AND(L398&lt;&gt;"",W398=""),"خطای فرمت تاریخ ایجاد",IF(AND(H398&lt;&gt;"",AA398=""),"خطای فرمت مهلت",IF(AND(H398&lt;&gt;"",AD398&lt;&gt;"",TODAY()&gt;AD398),"تاخیر",IF(L398&lt;&gt;"","در حال انجام",""))))))</f>
        <v/>
      </c>
      <c r="V398" s="7" t="n">
        <f aca="true">IF(U398="تاخیر",TODAY()-AD398,IF(AND(U398="بسته",AH398&lt;&gt;"",AD398&lt;&gt;"",AH398&gt;AD398),AH398-AD398,0))</f>
        <v>0</v>
      </c>
      <c r="W398" s="7" t="str">
        <f aca="false">IF(L398="","",VALUE(LEFT(L398,FIND("/",L398)-1)))</f>
        <v/>
      </c>
      <c r="X398" s="7" t="str">
        <f aca="false">IF(L398="","",VALUE(MID(L398,FIND("/",L398)+1,FIND("/",L398,FIND("/",L398)+1)-FIND("/",L398)-1)))</f>
        <v/>
      </c>
      <c r="Y398" s="7" t="str">
        <f aca="false">IF(L398="","",VALUE(MID(L398,FIND("/",L398,FIND("/",L398)+1)+1,LEN(L398)-FIND("/",L398,FIND("/",L398)+1))))</f>
        <v/>
      </c>
      <c r="Z398" s="7" t="str">
        <f aca="false">IF(OR(L398="",W398=""),"",IFERROR(INDEX('لیست‌ها'!$Q$3:$Q$53,MATCH(W398,'لیست‌ها'!$P$3:$P$53,0))+IF(X398&lt;=6,(X398-1)*31+Y398,IF(X398&lt;=11,186+(X398-7)*30+Y398,336+Y398))-1,""))</f>
        <v/>
      </c>
      <c r="AA398" s="7" t="str">
        <f aca="false">IF(H398="","",VALUE(LEFT(H398,FIND("/",H398)-1)))</f>
        <v/>
      </c>
      <c r="AB398" s="7" t="str">
        <f aca="false">IF(H398="","",VALUE(MID(H398,FIND("/",H398)+1,FIND("/",H398,FIND("/",H398)+1)-FIND("/",H398)-1)))</f>
        <v/>
      </c>
      <c r="AC398" s="7" t="str">
        <f aca="false">IF(H398="","",VALUE(MID(H398,FIND("/",H398,FIND("/",H398)+1)+1,LEN(H398)-FIND("/",H398,FIND("/",H398)+1))))</f>
        <v/>
      </c>
      <c r="AD398" s="7" t="str">
        <f aca="false">IF(OR(H398="",AA398=""),"",IFERROR(INDEX('لیست‌ها'!$Q$3:$Q$53,MATCH(AA398,'لیست‌ها'!$P$3:$P$53,0))+IF(AB398&lt;=6,(AB398-1)*31+AC398,IF(AB398&lt;=11,186+(AB398-7)*30+AC398,336+AC398))-1,""))</f>
        <v/>
      </c>
      <c r="AE398" s="7" t="str">
        <f aca="false">IF(P398="","",VALUE(LEFT(P398,FIND("/",P398)-1)))</f>
        <v/>
      </c>
      <c r="AF398" s="7" t="str">
        <f aca="false">IF(P398="","",VALUE(MID(P398,FIND("/",P398)+1,FIND("/",P398,FIND("/",P398)+1)-FIND("/",P398)-1)))</f>
        <v/>
      </c>
      <c r="AG398" s="7" t="str">
        <f aca="false">IF(P398="","",VALUE(MID(P398,FIND("/",P398,FIND("/",P398)+1)+1,LEN(P398)-FIND("/",P398,FIND("/",P398)+1))))</f>
        <v/>
      </c>
      <c r="AH398" s="7" t="str">
        <f aca="false">IF(OR(P398="",AE398=""),"",IFERROR(INDEX('لیست‌ها'!$Q$3:$Q$53,MATCH(AE398,'لیست‌ها'!$P$3:$P$53,0))+IF(AF398&lt;=6,(AF398-1)*31+AG398,IF(AF398&lt;=11,186+(AF398-7)*30+AG398,336+AG398))-1,""))</f>
        <v/>
      </c>
      <c r="AI398" s="7" t="str">
        <f aca="false">IF(W398="","",W398&amp;"-"&amp;TEXT(X398,"00"))</f>
        <v/>
      </c>
      <c r="AJ398" s="7" t="str">
        <f aca="false">IF(W398="","",W398*12+X398)</f>
        <v/>
      </c>
      <c r="AK398" s="7" t="str">
        <f aca="false">IF(U398="تاخیر",V398+ROW()/100000,"")</f>
        <v/>
      </c>
    </row>
    <row r="399" customFormat="false" ht="15" hidden="false" customHeight="false" outlineLevel="0" collapsed="false">
      <c r="A399" s="7" t="str">
        <f aca="false">IF(B399="","",ROW()-3)</f>
        <v/>
      </c>
      <c r="B399" s="8"/>
      <c r="C399" s="8"/>
      <c r="D399" s="8"/>
      <c r="E399" s="9"/>
      <c r="F399" s="9"/>
      <c r="G399" s="8"/>
      <c r="H399" s="8"/>
      <c r="I399" s="8"/>
      <c r="J399" s="9"/>
      <c r="K399" s="8"/>
      <c r="L399" s="8"/>
      <c r="M399" s="8"/>
      <c r="N399" s="8"/>
      <c r="O399" s="8"/>
      <c r="P399" s="8"/>
      <c r="Q399" s="8"/>
      <c r="R399" s="9"/>
      <c r="S399" s="8"/>
      <c r="T399" s="9"/>
      <c r="U399" s="10" t="str">
        <f aca="true">IF(B399="","",IF(OR(P399&lt;&gt;"",I399="می‌باشد"),"بسته",IF(AND(L399&lt;&gt;"",W399=""),"خطای فرمت تاریخ ایجاد",IF(AND(H399&lt;&gt;"",AA399=""),"خطای فرمت مهلت",IF(AND(H399&lt;&gt;"",AD399&lt;&gt;"",TODAY()&gt;AD399),"تاخیر",IF(L399&lt;&gt;"","در حال انجام",""))))))</f>
        <v/>
      </c>
      <c r="V399" s="7" t="n">
        <f aca="true">IF(U399="تاخیر",TODAY()-AD399,IF(AND(U399="بسته",AH399&lt;&gt;"",AD399&lt;&gt;"",AH399&gt;AD399),AH399-AD399,0))</f>
        <v>0</v>
      </c>
      <c r="W399" s="7" t="str">
        <f aca="false">IF(L399="","",VALUE(LEFT(L399,FIND("/",L399)-1)))</f>
        <v/>
      </c>
      <c r="X399" s="7" t="str">
        <f aca="false">IF(L399="","",VALUE(MID(L399,FIND("/",L399)+1,FIND("/",L399,FIND("/",L399)+1)-FIND("/",L399)-1)))</f>
        <v/>
      </c>
      <c r="Y399" s="7" t="str">
        <f aca="false">IF(L399="","",VALUE(MID(L399,FIND("/",L399,FIND("/",L399)+1)+1,LEN(L399)-FIND("/",L399,FIND("/",L399)+1))))</f>
        <v/>
      </c>
      <c r="Z399" s="7" t="str">
        <f aca="false">IF(OR(L399="",W399=""),"",IFERROR(INDEX('لیست‌ها'!$Q$3:$Q$53,MATCH(W399,'لیست‌ها'!$P$3:$P$53,0))+IF(X399&lt;=6,(X399-1)*31+Y399,IF(X399&lt;=11,186+(X399-7)*30+Y399,336+Y399))-1,""))</f>
        <v/>
      </c>
      <c r="AA399" s="7" t="str">
        <f aca="false">IF(H399="","",VALUE(LEFT(H399,FIND("/",H399)-1)))</f>
        <v/>
      </c>
      <c r="AB399" s="7" t="str">
        <f aca="false">IF(H399="","",VALUE(MID(H399,FIND("/",H399)+1,FIND("/",H399,FIND("/",H399)+1)-FIND("/",H399)-1)))</f>
        <v/>
      </c>
      <c r="AC399" s="7" t="str">
        <f aca="false">IF(H399="","",VALUE(MID(H399,FIND("/",H399,FIND("/",H399)+1)+1,LEN(H399)-FIND("/",H399,FIND("/",H399)+1))))</f>
        <v/>
      </c>
      <c r="AD399" s="7" t="str">
        <f aca="false">IF(OR(H399="",AA399=""),"",IFERROR(INDEX('لیست‌ها'!$Q$3:$Q$53,MATCH(AA399,'لیست‌ها'!$P$3:$P$53,0))+IF(AB399&lt;=6,(AB399-1)*31+AC399,IF(AB399&lt;=11,186+(AB399-7)*30+AC399,336+AC399))-1,""))</f>
        <v/>
      </c>
      <c r="AE399" s="7" t="str">
        <f aca="false">IF(P399="","",VALUE(LEFT(P399,FIND("/",P399)-1)))</f>
        <v/>
      </c>
      <c r="AF399" s="7" t="str">
        <f aca="false">IF(P399="","",VALUE(MID(P399,FIND("/",P399)+1,FIND("/",P399,FIND("/",P399)+1)-FIND("/",P399)-1)))</f>
        <v/>
      </c>
      <c r="AG399" s="7" t="str">
        <f aca="false">IF(P399="","",VALUE(MID(P399,FIND("/",P399,FIND("/",P399)+1)+1,LEN(P399)-FIND("/",P399,FIND("/",P399)+1))))</f>
        <v/>
      </c>
      <c r="AH399" s="7" t="str">
        <f aca="false">IF(OR(P399="",AE399=""),"",IFERROR(INDEX('لیست‌ها'!$Q$3:$Q$53,MATCH(AE399,'لیست‌ها'!$P$3:$P$53,0))+IF(AF399&lt;=6,(AF399-1)*31+AG399,IF(AF399&lt;=11,186+(AF399-7)*30+AG399,336+AG399))-1,""))</f>
        <v/>
      </c>
      <c r="AI399" s="7" t="str">
        <f aca="false">IF(W399="","",W399&amp;"-"&amp;TEXT(X399,"00"))</f>
        <v/>
      </c>
      <c r="AJ399" s="7" t="str">
        <f aca="false">IF(W399="","",W399*12+X399)</f>
        <v/>
      </c>
      <c r="AK399" s="7" t="str">
        <f aca="false">IF(U399="تاخیر",V399+ROW()/100000,"")</f>
        <v/>
      </c>
    </row>
    <row r="400" customFormat="false" ht="15" hidden="false" customHeight="false" outlineLevel="0" collapsed="false">
      <c r="A400" s="7" t="str">
        <f aca="false">IF(B400="","",ROW()-3)</f>
        <v/>
      </c>
      <c r="B400" s="8"/>
      <c r="C400" s="8"/>
      <c r="D400" s="8"/>
      <c r="E400" s="9"/>
      <c r="F400" s="9"/>
      <c r="G400" s="8"/>
      <c r="H400" s="8"/>
      <c r="I400" s="8"/>
      <c r="J400" s="9"/>
      <c r="K400" s="8"/>
      <c r="L400" s="8"/>
      <c r="M400" s="8"/>
      <c r="N400" s="8"/>
      <c r="O400" s="8"/>
      <c r="P400" s="8"/>
      <c r="Q400" s="8"/>
      <c r="R400" s="9"/>
      <c r="S400" s="8"/>
      <c r="T400" s="9"/>
      <c r="U400" s="10" t="str">
        <f aca="true">IF(B400="","",IF(OR(P400&lt;&gt;"",I400="می‌باشد"),"بسته",IF(AND(L400&lt;&gt;"",W400=""),"خطای فرمت تاریخ ایجاد",IF(AND(H400&lt;&gt;"",AA400=""),"خطای فرمت مهلت",IF(AND(H400&lt;&gt;"",AD400&lt;&gt;"",TODAY()&gt;AD400),"تاخیر",IF(L400&lt;&gt;"","در حال انجام",""))))))</f>
        <v/>
      </c>
      <c r="V400" s="7" t="n">
        <f aca="true">IF(U400="تاخیر",TODAY()-AD400,IF(AND(U400="بسته",AH400&lt;&gt;"",AD400&lt;&gt;"",AH400&gt;AD400),AH400-AD400,0))</f>
        <v>0</v>
      </c>
      <c r="W400" s="7" t="str">
        <f aca="false">IF(L400="","",VALUE(LEFT(L400,FIND("/",L400)-1)))</f>
        <v/>
      </c>
      <c r="X400" s="7" t="str">
        <f aca="false">IF(L400="","",VALUE(MID(L400,FIND("/",L400)+1,FIND("/",L400,FIND("/",L400)+1)-FIND("/",L400)-1)))</f>
        <v/>
      </c>
      <c r="Y400" s="7" t="str">
        <f aca="false">IF(L400="","",VALUE(MID(L400,FIND("/",L400,FIND("/",L400)+1)+1,LEN(L400)-FIND("/",L400,FIND("/",L400)+1))))</f>
        <v/>
      </c>
      <c r="Z400" s="7" t="str">
        <f aca="false">IF(OR(L400="",W400=""),"",IFERROR(INDEX('لیست‌ها'!$Q$3:$Q$53,MATCH(W400,'لیست‌ها'!$P$3:$P$53,0))+IF(X400&lt;=6,(X400-1)*31+Y400,IF(X400&lt;=11,186+(X400-7)*30+Y400,336+Y400))-1,""))</f>
        <v/>
      </c>
      <c r="AA400" s="7" t="str">
        <f aca="false">IF(H400="","",VALUE(LEFT(H400,FIND("/",H400)-1)))</f>
        <v/>
      </c>
      <c r="AB400" s="7" t="str">
        <f aca="false">IF(H400="","",VALUE(MID(H400,FIND("/",H400)+1,FIND("/",H400,FIND("/",H400)+1)-FIND("/",H400)-1)))</f>
        <v/>
      </c>
      <c r="AC400" s="7" t="str">
        <f aca="false">IF(H400="","",VALUE(MID(H400,FIND("/",H400,FIND("/",H400)+1)+1,LEN(H400)-FIND("/",H400,FIND("/",H400)+1))))</f>
        <v/>
      </c>
      <c r="AD400" s="7" t="str">
        <f aca="false">IF(OR(H400="",AA400=""),"",IFERROR(INDEX('لیست‌ها'!$Q$3:$Q$53,MATCH(AA400,'لیست‌ها'!$P$3:$P$53,0))+IF(AB400&lt;=6,(AB400-1)*31+AC400,IF(AB400&lt;=11,186+(AB400-7)*30+AC400,336+AC400))-1,""))</f>
        <v/>
      </c>
      <c r="AE400" s="7" t="str">
        <f aca="false">IF(P400="","",VALUE(LEFT(P400,FIND("/",P400)-1)))</f>
        <v/>
      </c>
      <c r="AF400" s="7" t="str">
        <f aca="false">IF(P400="","",VALUE(MID(P400,FIND("/",P400)+1,FIND("/",P400,FIND("/",P400)+1)-FIND("/",P400)-1)))</f>
        <v/>
      </c>
      <c r="AG400" s="7" t="str">
        <f aca="false">IF(P400="","",VALUE(MID(P400,FIND("/",P400,FIND("/",P400)+1)+1,LEN(P400)-FIND("/",P400,FIND("/",P400)+1))))</f>
        <v/>
      </c>
      <c r="AH400" s="7" t="str">
        <f aca="false">IF(OR(P400="",AE400=""),"",IFERROR(INDEX('لیست‌ها'!$Q$3:$Q$53,MATCH(AE400,'لیست‌ها'!$P$3:$P$53,0))+IF(AF400&lt;=6,(AF400-1)*31+AG400,IF(AF400&lt;=11,186+(AF400-7)*30+AG400,336+AG400))-1,""))</f>
        <v/>
      </c>
      <c r="AI400" s="7" t="str">
        <f aca="false">IF(W400="","",W400&amp;"-"&amp;TEXT(X400,"00"))</f>
        <v/>
      </c>
      <c r="AJ400" s="7" t="str">
        <f aca="false">IF(W400="","",W400*12+X400)</f>
        <v/>
      </c>
      <c r="AK400" s="7" t="str">
        <f aca="false">IF(U400="تاخیر",V400+ROW()/100000,"")</f>
        <v/>
      </c>
    </row>
    <row r="401" customFormat="false" ht="15" hidden="false" customHeight="false" outlineLevel="0" collapsed="false">
      <c r="A401" s="7" t="str">
        <f aca="false">IF(B401="","",ROW()-3)</f>
        <v/>
      </c>
      <c r="B401" s="8"/>
      <c r="C401" s="8"/>
      <c r="D401" s="8"/>
      <c r="E401" s="9"/>
      <c r="F401" s="9"/>
      <c r="G401" s="8"/>
      <c r="H401" s="8"/>
      <c r="I401" s="8"/>
      <c r="J401" s="9"/>
      <c r="K401" s="8"/>
      <c r="L401" s="8"/>
      <c r="M401" s="8"/>
      <c r="N401" s="8"/>
      <c r="O401" s="8"/>
      <c r="P401" s="8"/>
      <c r="Q401" s="8"/>
      <c r="R401" s="9"/>
      <c r="S401" s="8"/>
      <c r="T401" s="9"/>
      <c r="U401" s="10" t="str">
        <f aca="true">IF(B401="","",IF(OR(P401&lt;&gt;"",I401="می‌باشد"),"بسته",IF(AND(L401&lt;&gt;"",W401=""),"خطای فرمت تاریخ ایجاد",IF(AND(H401&lt;&gt;"",AA401=""),"خطای فرمت مهلت",IF(AND(H401&lt;&gt;"",AD401&lt;&gt;"",TODAY()&gt;AD401),"تاخیر",IF(L401&lt;&gt;"","در حال انجام",""))))))</f>
        <v/>
      </c>
      <c r="V401" s="7" t="n">
        <f aca="true">IF(U401="تاخیر",TODAY()-AD401,IF(AND(U401="بسته",AH401&lt;&gt;"",AD401&lt;&gt;"",AH401&gt;AD401),AH401-AD401,0))</f>
        <v>0</v>
      </c>
      <c r="W401" s="7" t="str">
        <f aca="false">IF(L401="","",VALUE(LEFT(L401,FIND("/",L401)-1)))</f>
        <v/>
      </c>
      <c r="X401" s="7" t="str">
        <f aca="false">IF(L401="","",VALUE(MID(L401,FIND("/",L401)+1,FIND("/",L401,FIND("/",L401)+1)-FIND("/",L401)-1)))</f>
        <v/>
      </c>
      <c r="Y401" s="7" t="str">
        <f aca="false">IF(L401="","",VALUE(MID(L401,FIND("/",L401,FIND("/",L401)+1)+1,LEN(L401)-FIND("/",L401,FIND("/",L401)+1))))</f>
        <v/>
      </c>
      <c r="Z401" s="7" t="str">
        <f aca="false">IF(OR(L401="",W401=""),"",IFERROR(INDEX('لیست‌ها'!$Q$3:$Q$53,MATCH(W401,'لیست‌ها'!$P$3:$P$53,0))+IF(X401&lt;=6,(X401-1)*31+Y401,IF(X401&lt;=11,186+(X401-7)*30+Y401,336+Y401))-1,""))</f>
        <v/>
      </c>
      <c r="AA401" s="7" t="str">
        <f aca="false">IF(H401="","",VALUE(LEFT(H401,FIND("/",H401)-1)))</f>
        <v/>
      </c>
      <c r="AB401" s="7" t="str">
        <f aca="false">IF(H401="","",VALUE(MID(H401,FIND("/",H401)+1,FIND("/",H401,FIND("/",H401)+1)-FIND("/",H401)-1)))</f>
        <v/>
      </c>
      <c r="AC401" s="7" t="str">
        <f aca="false">IF(H401="","",VALUE(MID(H401,FIND("/",H401,FIND("/",H401)+1)+1,LEN(H401)-FIND("/",H401,FIND("/",H401)+1))))</f>
        <v/>
      </c>
      <c r="AD401" s="7" t="str">
        <f aca="false">IF(OR(H401="",AA401=""),"",IFERROR(INDEX('لیست‌ها'!$Q$3:$Q$53,MATCH(AA401,'لیست‌ها'!$P$3:$P$53,0))+IF(AB401&lt;=6,(AB401-1)*31+AC401,IF(AB401&lt;=11,186+(AB401-7)*30+AC401,336+AC401))-1,""))</f>
        <v/>
      </c>
      <c r="AE401" s="7" t="str">
        <f aca="false">IF(P401="","",VALUE(LEFT(P401,FIND("/",P401)-1)))</f>
        <v/>
      </c>
      <c r="AF401" s="7" t="str">
        <f aca="false">IF(P401="","",VALUE(MID(P401,FIND("/",P401)+1,FIND("/",P401,FIND("/",P401)+1)-FIND("/",P401)-1)))</f>
        <v/>
      </c>
      <c r="AG401" s="7" t="str">
        <f aca="false">IF(P401="","",VALUE(MID(P401,FIND("/",P401,FIND("/",P401)+1)+1,LEN(P401)-FIND("/",P401,FIND("/",P401)+1))))</f>
        <v/>
      </c>
      <c r="AH401" s="7" t="str">
        <f aca="false">IF(OR(P401="",AE401=""),"",IFERROR(INDEX('لیست‌ها'!$Q$3:$Q$53,MATCH(AE401,'لیست‌ها'!$P$3:$P$53,0))+IF(AF401&lt;=6,(AF401-1)*31+AG401,IF(AF401&lt;=11,186+(AF401-7)*30+AG401,336+AG401))-1,""))</f>
        <v/>
      </c>
      <c r="AI401" s="7" t="str">
        <f aca="false">IF(W401="","",W401&amp;"-"&amp;TEXT(X401,"00"))</f>
        <v/>
      </c>
      <c r="AJ401" s="7" t="str">
        <f aca="false">IF(W401="","",W401*12+X401)</f>
        <v/>
      </c>
      <c r="AK401" s="7" t="str">
        <f aca="false">IF(U401="تاخیر",V401+ROW()/100000,"")</f>
        <v/>
      </c>
    </row>
    <row r="402" customFormat="false" ht="15" hidden="false" customHeight="false" outlineLevel="0" collapsed="false">
      <c r="A402" s="7" t="str">
        <f aca="false">IF(B402="","",ROW()-3)</f>
        <v/>
      </c>
      <c r="B402" s="8"/>
      <c r="C402" s="8"/>
      <c r="D402" s="8"/>
      <c r="E402" s="9"/>
      <c r="F402" s="9"/>
      <c r="G402" s="8"/>
      <c r="H402" s="8"/>
      <c r="I402" s="8"/>
      <c r="J402" s="9"/>
      <c r="K402" s="8"/>
      <c r="L402" s="8"/>
      <c r="M402" s="8"/>
      <c r="N402" s="8"/>
      <c r="O402" s="8"/>
      <c r="P402" s="8"/>
      <c r="Q402" s="8"/>
      <c r="R402" s="9"/>
      <c r="S402" s="8"/>
      <c r="T402" s="9"/>
      <c r="U402" s="10" t="str">
        <f aca="true">IF(B402="","",IF(OR(P402&lt;&gt;"",I402="می‌باشد"),"بسته",IF(AND(L402&lt;&gt;"",W402=""),"خطای فرمت تاریخ ایجاد",IF(AND(H402&lt;&gt;"",AA402=""),"خطای فرمت مهلت",IF(AND(H402&lt;&gt;"",AD402&lt;&gt;"",TODAY()&gt;AD402),"تاخیر",IF(L402&lt;&gt;"","در حال انجام",""))))))</f>
        <v/>
      </c>
      <c r="V402" s="7" t="n">
        <f aca="true">IF(U402="تاخیر",TODAY()-AD402,IF(AND(U402="بسته",AH402&lt;&gt;"",AD402&lt;&gt;"",AH402&gt;AD402),AH402-AD402,0))</f>
        <v>0</v>
      </c>
      <c r="W402" s="7" t="str">
        <f aca="false">IF(L402="","",VALUE(LEFT(L402,FIND("/",L402)-1)))</f>
        <v/>
      </c>
      <c r="X402" s="7" t="str">
        <f aca="false">IF(L402="","",VALUE(MID(L402,FIND("/",L402)+1,FIND("/",L402,FIND("/",L402)+1)-FIND("/",L402)-1)))</f>
        <v/>
      </c>
      <c r="Y402" s="7" t="str">
        <f aca="false">IF(L402="","",VALUE(MID(L402,FIND("/",L402,FIND("/",L402)+1)+1,LEN(L402)-FIND("/",L402,FIND("/",L402)+1))))</f>
        <v/>
      </c>
      <c r="Z402" s="7" t="str">
        <f aca="false">IF(OR(L402="",W402=""),"",IFERROR(INDEX('لیست‌ها'!$Q$3:$Q$53,MATCH(W402,'لیست‌ها'!$P$3:$P$53,0))+IF(X402&lt;=6,(X402-1)*31+Y402,IF(X402&lt;=11,186+(X402-7)*30+Y402,336+Y402))-1,""))</f>
        <v/>
      </c>
      <c r="AA402" s="7" t="str">
        <f aca="false">IF(H402="","",VALUE(LEFT(H402,FIND("/",H402)-1)))</f>
        <v/>
      </c>
      <c r="AB402" s="7" t="str">
        <f aca="false">IF(H402="","",VALUE(MID(H402,FIND("/",H402)+1,FIND("/",H402,FIND("/",H402)+1)-FIND("/",H402)-1)))</f>
        <v/>
      </c>
      <c r="AC402" s="7" t="str">
        <f aca="false">IF(H402="","",VALUE(MID(H402,FIND("/",H402,FIND("/",H402)+1)+1,LEN(H402)-FIND("/",H402,FIND("/",H402)+1))))</f>
        <v/>
      </c>
      <c r="AD402" s="7" t="str">
        <f aca="false">IF(OR(H402="",AA402=""),"",IFERROR(INDEX('لیست‌ها'!$Q$3:$Q$53,MATCH(AA402,'لیست‌ها'!$P$3:$P$53,0))+IF(AB402&lt;=6,(AB402-1)*31+AC402,IF(AB402&lt;=11,186+(AB402-7)*30+AC402,336+AC402))-1,""))</f>
        <v/>
      </c>
      <c r="AE402" s="7" t="str">
        <f aca="false">IF(P402="","",VALUE(LEFT(P402,FIND("/",P402)-1)))</f>
        <v/>
      </c>
      <c r="AF402" s="7" t="str">
        <f aca="false">IF(P402="","",VALUE(MID(P402,FIND("/",P402)+1,FIND("/",P402,FIND("/",P402)+1)-FIND("/",P402)-1)))</f>
        <v/>
      </c>
      <c r="AG402" s="7" t="str">
        <f aca="false">IF(P402="","",VALUE(MID(P402,FIND("/",P402,FIND("/",P402)+1)+1,LEN(P402)-FIND("/",P402,FIND("/",P402)+1))))</f>
        <v/>
      </c>
      <c r="AH402" s="7" t="str">
        <f aca="false">IF(OR(P402="",AE402=""),"",IFERROR(INDEX('لیست‌ها'!$Q$3:$Q$53,MATCH(AE402,'لیست‌ها'!$P$3:$P$53,0))+IF(AF402&lt;=6,(AF402-1)*31+AG402,IF(AF402&lt;=11,186+(AF402-7)*30+AG402,336+AG402))-1,""))</f>
        <v/>
      </c>
      <c r="AI402" s="7" t="str">
        <f aca="false">IF(W402="","",W402&amp;"-"&amp;TEXT(X402,"00"))</f>
        <v/>
      </c>
      <c r="AJ402" s="7" t="str">
        <f aca="false">IF(W402="","",W402*12+X402)</f>
        <v/>
      </c>
      <c r="AK402" s="7" t="str">
        <f aca="false">IF(U402="تاخیر",V402+ROW()/100000,"")</f>
        <v/>
      </c>
    </row>
    <row r="403" customFormat="false" ht="15" hidden="false" customHeight="false" outlineLevel="0" collapsed="false">
      <c r="A403" s="7" t="str">
        <f aca="false">IF(B403="","",ROW()-3)</f>
        <v/>
      </c>
      <c r="B403" s="8"/>
      <c r="C403" s="8"/>
      <c r="D403" s="8"/>
      <c r="E403" s="9"/>
      <c r="F403" s="9"/>
      <c r="G403" s="8"/>
      <c r="H403" s="8"/>
      <c r="I403" s="8"/>
      <c r="J403" s="9"/>
      <c r="K403" s="8"/>
      <c r="L403" s="8"/>
      <c r="M403" s="8"/>
      <c r="N403" s="8"/>
      <c r="O403" s="8"/>
      <c r="P403" s="8"/>
      <c r="Q403" s="8"/>
      <c r="R403" s="9"/>
      <c r="S403" s="8"/>
      <c r="T403" s="9"/>
      <c r="U403" s="10" t="str">
        <f aca="true">IF(B403="","",IF(OR(P403&lt;&gt;"",I403="می‌باشد"),"بسته",IF(AND(L403&lt;&gt;"",W403=""),"خطای فرمت تاریخ ایجاد",IF(AND(H403&lt;&gt;"",AA403=""),"خطای فرمت مهلت",IF(AND(H403&lt;&gt;"",AD403&lt;&gt;"",TODAY()&gt;AD403),"تاخیر",IF(L403&lt;&gt;"","در حال انجام",""))))))</f>
        <v/>
      </c>
      <c r="V403" s="7" t="n">
        <f aca="true">IF(U403="تاخیر",TODAY()-AD403,IF(AND(U403="بسته",AH403&lt;&gt;"",AD403&lt;&gt;"",AH403&gt;AD403),AH403-AD403,0))</f>
        <v>0</v>
      </c>
      <c r="W403" s="7" t="str">
        <f aca="false">IF(L403="","",VALUE(LEFT(L403,FIND("/",L403)-1)))</f>
        <v/>
      </c>
      <c r="X403" s="7" t="str">
        <f aca="false">IF(L403="","",VALUE(MID(L403,FIND("/",L403)+1,FIND("/",L403,FIND("/",L403)+1)-FIND("/",L403)-1)))</f>
        <v/>
      </c>
      <c r="Y403" s="7" t="str">
        <f aca="false">IF(L403="","",VALUE(MID(L403,FIND("/",L403,FIND("/",L403)+1)+1,LEN(L403)-FIND("/",L403,FIND("/",L403)+1))))</f>
        <v/>
      </c>
      <c r="Z403" s="7" t="str">
        <f aca="false">IF(OR(L403="",W403=""),"",IFERROR(INDEX('لیست‌ها'!$Q$3:$Q$53,MATCH(W403,'لیست‌ها'!$P$3:$P$53,0))+IF(X403&lt;=6,(X403-1)*31+Y403,IF(X403&lt;=11,186+(X403-7)*30+Y403,336+Y403))-1,""))</f>
        <v/>
      </c>
      <c r="AA403" s="7" t="str">
        <f aca="false">IF(H403="","",VALUE(LEFT(H403,FIND("/",H403)-1)))</f>
        <v/>
      </c>
      <c r="AB403" s="7" t="str">
        <f aca="false">IF(H403="","",VALUE(MID(H403,FIND("/",H403)+1,FIND("/",H403,FIND("/",H403)+1)-FIND("/",H403)-1)))</f>
        <v/>
      </c>
      <c r="AC403" s="7" t="str">
        <f aca="false">IF(H403="","",VALUE(MID(H403,FIND("/",H403,FIND("/",H403)+1)+1,LEN(H403)-FIND("/",H403,FIND("/",H403)+1))))</f>
        <v/>
      </c>
      <c r="AD403" s="7" t="str">
        <f aca="false">IF(OR(H403="",AA403=""),"",IFERROR(INDEX('لیست‌ها'!$Q$3:$Q$53,MATCH(AA403,'لیست‌ها'!$P$3:$P$53,0))+IF(AB403&lt;=6,(AB403-1)*31+AC403,IF(AB403&lt;=11,186+(AB403-7)*30+AC403,336+AC403))-1,""))</f>
        <v/>
      </c>
      <c r="AE403" s="7" t="str">
        <f aca="false">IF(P403="","",VALUE(LEFT(P403,FIND("/",P403)-1)))</f>
        <v/>
      </c>
      <c r="AF403" s="7" t="str">
        <f aca="false">IF(P403="","",VALUE(MID(P403,FIND("/",P403)+1,FIND("/",P403,FIND("/",P403)+1)-FIND("/",P403)-1)))</f>
        <v/>
      </c>
      <c r="AG403" s="7" t="str">
        <f aca="false">IF(P403="","",VALUE(MID(P403,FIND("/",P403,FIND("/",P403)+1)+1,LEN(P403)-FIND("/",P403,FIND("/",P403)+1))))</f>
        <v/>
      </c>
      <c r="AH403" s="7" t="str">
        <f aca="false">IF(OR(P403="",AE403=""),"",IFERROR(INDEX('لیست‌ها'!$Q$3:$Q$53,MATCH(AE403,'لیست‌ها'!$P$3:$P$53,0))+IF(AF403&lt;=6,(AF403-1)*31+AG403,IF(AF403&lt;=11,186+(AF403-7)*30+AG403,336+AG403))-1,""))</f>
        <v/>
      </c>
      <c r="AI403" s="7" t="str">
        <f aca="false">IF(W403="","",W403&amp;"-"&amp;TEXT(X403,"00"))</f>
        <v/>
      </c>
      <c r="AJ403" s="7" t="str">
        <f aca="false">IF(W403="","",W403*12+X403)</f>
        <v/>
      </c>
      <c r="AK403" s="7" t="str">
        <f aca="false">IF(U403="تاخیر",V403+ROW()/100000,"")</f>
        <v/>
      </c>
    </row>
    <row r="404" customFormat="false" ht="15" hidden="false" customHeight="false" outlineLevel="0" collapsed="false">
      <c r="A404" s="7" t="str">
        <f aca="false">IF(B404="","",ROW()-3)</f>
        <v/>
      </c>
      <c r="B404" s="8"/>
      <c r="C404" s="8"/>
      <c r="D404" s="8"/>
      <c r="E404" s="9"/>
      <c r="F404" s="9"/>
      <c r="G404" s="8"/>
      <c r="H404" s="8"/>
      <c r="I404" s="8"/>
      <c r="J404" s="9"/>
      <c r="K404" s="8"/>
      <c r="L404" s="8"/>
      <c r="M404" s="8"/>
      <c r="N404" s="8"/>
      <c r="O404" s="8"/>
      <c r="P404" s="8"/>
      <c r="Q404" s="8"/>
      <c r="R404" s="9"/>
      <c r="S404" s="8"/>
      <c r="T404" s="9"/>
      <c r="U404" s="10" t="str">
        <f aca="true">IF(B404="","",IF(OR(P404&lt;&gt;"",I404="می‌باشد"),"بسته",IF(AND(L404&lt;&gt;"",W404=""),"خطای فرمت تاریخ ایجاد",IF(AND(H404&lt;&gt;"",AA404=""),"خطای فرمت مهلت",IF(AND(H404&lt;&gt;"",AD404&lt;&gt;"",TODAY()&gt;AD404),"تاخیر",IF(L404&lt;&gt;"","در حال انجام",""))))))</f>
        <v/>
      </c>
      <c r="V404" s="7" t="n">
        <f aca="true">IF(U404="تاخیر",TODAY()-AD404,IF(AND(U404="بسته",AH404&lt;&gt;"",AD404&lt;&gt;"",AH404&gt;AD404),AH404-AD404,0))</f>
        <v>0</v>
      </c>
      <c r="W404" s="7" t="str">
        <f aca="false">IF(L404="","",VALUE(LEFT(L404,FIND("/",L404)-1)))</f>
        <v/>
      </c>
      <c r="X404" s="7" t="str">
        <f aca="false">IF(L404="","",VALUE(MID(L404,FIND("/",L404)+1,FIND("/",L404,FIND("/",L404)+1)-FIND("/",L404)-1)))</f>
        <v/>
      </c>
      <c r="Y404" s="7" t="str">
        <f aca="false">IF(L404="","",VALUE(MID(L404,FIND("/",L404,FIND("/",L404)+1)+1,LEN(L404)-FIND("/",L404,FIND("/",L404)+1))))</f>
        <v/>
      </c>
      <c r="Z404" s="7" t="str">
        <f aca="false">IF(OR(L404="",W404=""),"",IFERROR(INDEX('لیست‌ها'!$Q$3:$Q$53,MATCH(W404,'لیست‌ها'!$P$3:$P$53,0))+IF(X404&lt;=6,(X404-1)*31+Y404,IF(X404&lt;=11,186+(X404-7)*30+Y404,336+Y404))-1,""))</f>
        <v/>
      </c>
      <c r="AA404" s="7" t="str">
        <f aca="false">IF(H404="","",VALUE(LEFT(H404,FIND("/",H404)-1)))</f>
        <v/>
      </c>
      <c r="AB404" s="7" t="str">
        <f aca="false">IF(H404="","",VALUE(MID(H404,FIND("/",H404)+1,FIND("/",H404,FIND("/",H404)+1)-FIND("/",H404)-1)))</f>
        <v/>
      </c>
      <c r="AC404" s="7" t="str">
        <f aca="false">IF(H404="","",VALUE(MID(H404,FIND("/",H404,FIND("/",H404)+1)+1,LEN(H404)-FIND("/",H404,FIND("/",H404)+1))))</f>
        <v/>
      </c>
      <c r="AD404" s="7" t="str">
        <f aca="false">IF(OR(H404="",AA404=""),"",IFERROR(INDEX('لیست‌ها'!$Q$3:$Q$53,MATCH(AA404,'لیست‌ها'!$P$3:$P$53,0))+IF(AB404&lt;=6,(AB404-1)*31+AC404,IF(AB404&lt;=11,186+(AB404-7)*30+AC404,336+AC404))-1,""))</f>
        <v/>
      </c>
      <c r="AE404" s="7" t="str">
        <f aca="false">IF(P404="","",VALUE(LEFT(P404,FIND("/",P404)-1)))</f>
        <v/>
      </c>
      <c r="AF404" s="7" t="str">
        <f aca="false">IF(P404="","",VALUE(MID(P404,FIND("/",P404)+1,FIND("/",P404,FIND("/",P404)+1)-FIND("/",P404)-1)))</f>
        <v/>
      </c>
      <c r="AG404" s="7" t="str">
        <f aca="false">IF(P404="","",VALUE(MID(P404,FIND("/",P404,FIND("/",P404)+1)+1,LEN(P404)-FIND("/",P404,FIND("/",P404)+1))))</f>
        <v/>
      </c>
      <c r="AH404" s="7" t="str">
        <f aca="false">IF(OR(P404="",AE404=""),"",IFERROR(INDEX('لیست‌ها'!$Q$3:$Q$53,MATCH(AE404,'لیست‌ها'!$P$3:$P$53,0))+IF(AF404&lt;=6,(AF404-1)*31+AG404,IF(AF404&lt;=11,186+(AF404-7)*30+AG404,336+AG404))-1,""))</f>
        <v/>
      </c>
      <c r="AI404" s="7" t="str">
        <f aca="false">IF(W404="","",W404&amp;"-"&amp;TEXT(X404,"00"))</f>
        <v/>
      </c>
      <c r="AJ404" s="7" t="str">
        <f aca="false">IF(W404="","",W404*12+X404)</f>
        <v/>
      </c>
      <c r="AK404" s="7" t="str">
        <f aca="false">IF(U404="تاخیر",V404+ROW()/100000,"")</f>
        <v/>
      </c>
    </row>
    <row r="405" customFormat="false" ht="15" hidden="false" customHeight="false" outlineLevel="0" collapsed="false">
      <c r="A405" s="7" t="str">
        <f aca="false">IF(B405="","",ROW()-3)</f>
        <v/>
      </c>
      <c r="B405" s="8"/>
      <c r="C405" s="8"/>
      <c r="D405" s="8"/>
      <c r="E405" s="9"/>
      <c r="F405" s="9"/>
      <c r="G405" s="8"/>
      <c r="H405" s="8"/>
      <c r="I405" s="8"/>
      <c r="J405" s="9"/>
      <c r="K405" s="8"/>
      <c r="L405" s="8"/>
      <c r="M405" s="8"/>
      <c r="N405" s="8"/>
      <c r="O405" s="8"/>
      <c r="P405" s="8"/>
      <c r="Q405" s="8"/>
      <c r="R405" s="9"/>
      <c r="S405" s="8"/>
      <c r="T405" s="9"/>
      <c r="U405" s="10" t="str">
        <f aca="true">IF(B405="","",IF(OR(P405&lt;&gt;"",I405="می‌باشد"),"بسته",IF(AND(L405&lt;&gt;"",W405=""),"خطای فرمت تاریخ ایجاد",IF(AND(H405&lt;&gt;"",AA405=""),"خطای فرمت مهلت",IF(AND(H405&lt;&gt;"",AD405&lt;&gt;"",TODAY()&gt;AD405),"تاخیر",IF(L405&lt;&gt;"","در حال انجام",""))))))</f>
        <v/>
      </c>
      <c r="V405" s="7" t="n">
        <f aca="true">IF(U405="تاخیر",TODAY()-AD405,IF(AND(U405="بسته",AH405&lt;&gt;"",AD405&lt;&gt;"",AH405&gt;AD405),AH405-AD405,0))</f>
        <v>0</v>
      </c>
      <c r="W405" s="7" t="str">
        <f aca="false">IF(L405="","",VALUE(LEFT(L405,FIND("/",L405)-1)))</f>
        <v/>
      </c>
      <c r="X405" s="7" t="str">
        <f aca="false">IF(L405="","",VALUE(MID(L405,FIND("/",L405)+1,FIND("/",L405,FIND("/",L405)+1)-FIND("/",L405)-1)))</f>
        <v/>
      </c>
      <c r="Y405" s="7" t="str">
        <f aca="false">IF(L405="","",VALUE(MID(L405,FIND("/",L405,FIND("/",L405)+1)+1,LEN(L405)-FIND("/",L405,FIND("/",L405)+1))))</f>
        <v/>
      </c>
      <c r="Z405" s="7" t="str">
        <f aca="false">IF(OR(L405="",W405=""),"",IFERROR(INDEX('لیست‌ها'!$Q$3:$Q$53,MATCH(W405,'لیست‌ها'!$P$3:$P$53,0))+IF(X405&lt;=6,(X405-1)*31+Y405,IF(X405&lt;=11,186+(X405-7)*30+Y405,336+Y405))-1,""))</f>
        <v/>
      </c>
      <c r="AA405" s="7" t="str">
        <f aca="false">IF(H405="","",VALUE(LEFT(H405,FIND("/",H405)-1)))</f>
        <v/>
      </c>
      <c r="AB405" s="7" t="str">
        <f aca="false">IF(H405="","",VALUE(MID(H405,FIND("/",H405)+1,FIND("/",H405,FIND("/",H405)+1)-FIND("/",H405)-1)))</f>
        <v/>
      </c>
      <c r="AC405" s="7" t="str">
        <f aca="false">IF(H405="","",VALUE(MID(H405,FIND("/",H405,FIND("/",H405)+1)+1,LEN(H405)-FIND("/",H405,FIND("/",H405)+1))))</f>
        <v/>
      </c>
      <c r="AD405" s="7" t="str">
        <f aca="false">IF(OR(H405="",AA405=""),"",IFERROR(INDEX('لیست‌ها'!$Q$3:$Q$53,MATCH(AA405,'لیست‌ها'!$P$3:$P$53,0))+IF(AB405&lt;=6,(AB405-1)*31+AC405,IF(AB405&lt;=11,186+(AB405-7)*30+AC405,336+AC405))-1,""))</f>
        <v/>
      </c>
      <c r="AE405" s="7" t="str">
        <f aca="false">IF(P405="","",VALUE(LEFT(P405,FIND("/",P405)-1)))</f>
        <v/>
      </c>
      <c r="AF405" s="7" t="str">
        <f aca="false">IF(P405="","",VALUE(MID(P405,FIND("/",P405)+1,FIND("/",P405,FIND("/",P405)+1)-FIND("/",P405)-1)))</f>
        <v/>
      </c>
      <c r="AG405" s="7" t="str">
        <f aca="false">IF(P405="","",VALUE(MID(P405,FIND("/",P405,FIND("/",P405)+1)+1,LEN(P405)-FIND("/",P405,FIND("/",P405)+1))))</f>
        <v/>
      </c>
      <c r="AH405" s="7" t="str">
        <f aca="false">IF(OR(P405="",AE405=""),"",IFERROR(INDEX('لیست‌ها'!$Q$3:$Q$53,MATCH(AE405,'لیست‌ها'!$P$3:$P$53,0))+IF(AF405&lt;=6,(AF405-1)*31+AG405,IF(AF405&lt;=11,186+(AF405-7)*30+AG405,336+AG405))-1,""))</f>
        <v/>
      </c>
      <c r="AI405" s="7" t="str">
        <f aca="false">IF(W405="","",W405&amp;"-"&amp;TEXT(X405,"00"))</f>
        <v/>
      </c>
      <c r="AJ405" s="7" t="str">
        <f aca="false">IF(W405="","",W405*12+X405)</f>
        <v/>
      </c>
      <c r="AK405" s="7" t="str">
        <f aca="false">IF(U405="تاخیر",V405+ROW()/100000,"")</f>
        <v/>
      </c>
    </row>
    <row r="406" customFormat="false" ht="15" hidden="false" customHeight="false" outlineLevel="0" collapsed="false">
      <c r="A406" s="7" t="str">
        <f aca="false">IF(B406="","",ROW()-3)</f>
        <v/>
      </c>
      <c r="B406" s="8"/>
      <c r="C406" s="8"/>
      <c r="D406" s="8"/>
      <c r="E406" s="9"/>
      <c r="F406" s="9"/>
      <c r="G406" s="8"/>
      <c r="H406" s="8"/>
      <c r="I406" s="8"/>
      <c r="J406" s="9"/>
      <c r="K406" s="8"/>
      <c r="L406" s="8"/>
      <c r="M406" s="8"/>
      <c r="N406" s="8"/>
      <c r="O406" s="8"/>
      <c r="P406" s="8"/>
      <c r="Q406" s="8"/>
      <c r="R406" s="9"/>
      <c r="S406" s="8"/>
      <c r="T406" s="9"/>
      <c r="U406" s="10" t="str">
        <f aca="true">IF(B406="","",IF(OR(P406&lt;&gt;"",I406="می‌باشد"),"بسته",IF(AND(L406&lt;&gt;"",W406=""),"خطای فرمت تاریخ ایجاد",IF(AND(H406&lt;&gt;"",AA406=""),"خطای فرمت مهلت",IF(AND(H406&lt;&gt;"",AD406&lt;&gt;"",TODAY()&gt;AD406),"تاخیر",IF(L406&lt;&gt;"","در حال انجام",""))))))</f>
        <v/>
      </c>
      <c r="V406" s="7" t="n">
        <f aca="true">IF(U406="تاخیر",TODAY()-AD406,IF(AND(U406="بسته",AH406&lt;&gt;"",AD406&lt;&gt;"",AH406&gt;AD406),AH406-AD406,0))</f>
        <v>0</v>
      </c>
      <c r="W406" s="7" t="str">
        <f aca="false">IF(L406="","",VALUE(LEFT(L406,FIND("/",L406)-1)))</f>
        <v/>
      </c>
      <c r="X406" s="7" t="str">
        <f aca="false">IF(L406="","",VALUE(MID(L406,FIND("/",L406)+1,FIND("/",L406,FIND("/",L406)+1)-FIND("/",L406)-1)))</f>
        <v/>
      </c>
      <c r="Y406" s="7" t="str">
        <f aca="false">IF(L406="","",VALUE(MID(L406,FIND("/",L406,FIND("/",L406)+1)+1,LEN(L406)-FIND("/",L406,FIND("/",L406)+1))))</f>
        <v/>
      </c>
      <c r="Z406" s="7" t="str">
        <f aca="false">IF(OR(L406="",W406=""),"",IFERROR(INDEX('لیست‌ها'!$Q$3:$Q$53,MATCH(W406,'لیست‌ها'!$P$3:$P$53,0))+IF(X406&lt;=6,(X406-1)*31+Y406,IF(X406&lt;=11,186+(X406-7)*30+Y406,336+Y406))-1,""))</f>
        <v/>
      </c>
      <c r="AA406" s="7" t="str">
        <f aca="false">IF(H406="","",VALUE(LEFT(H406,FIND("/",H406)-1)))</f>
        <v/>
      </c>
      <c r="AB406" s="7" t="str">
        <f aca="false">IF(H406="","",VALUE(MID(H406,FIND("/",H406)+1,FIND("/",H406,FIND("/",H406)+1)-FIND("/",H406)-1)))</f>
        <v/>
      </c>
      <c r="AC406" s="7" t="str">
        <f aca="false">IF(H406="","",VALUE(MID(H406,FIND("/",H406,FIND("/",H406)+1)+1,LEN(H406)-FIND("/",H406,FIND("/",H406)+1))))</f>
        <v/>
      </c>
      <c r="AD406" s="7" t="str">
        <f aca="false">IF(OR(H406="",AA406=""),"",IFERROR(INDEX('لیست‌ها'!$Q$3:$Q$53,MATCH(AA406,'لیست‌ها'!$P$3:$P$53,0))+IF(AB406&lt;=6,(AB406-1)*31+AC406,IF(AB406&lt;=11,186+(AB406-7)*30+AC406,336+AC406))-1,""))</f>
        <v/>
      </c>
      <c r="AE406" s="7" t="str">
        <f aca="false">IF(P406="","",VALUE(LEFT(P406,FIND("/",P406)-1)))</f>
        <v/>
      </c>
      <c r="AF406" s="7" t="str">
        <f aca="false">IF(P406="","",VALUE(MID(P406,FIND("/",P406)+1,FIND("/",P406,FIND("/",P406)+1)-FIND("/",P406)-1)))</f>
        <v/>
      </c>
      <c r="AG406" s="7" t="str">
        <f aca="false">IF(P406="","",VALUE(MID(P406,FIND("/",P406,FIND("/",P406)+1)+1,LEN(P406)-FIND("/",P406,FIND("/",P406)+1))))</f>
        <v/>
      </c>
      <c r="AH406" s="7" t="str">
        <f aca="false">IF(OR(P406="",AE406=""),"",IFERROR(INDEX('لیست‌ها'!$Q$3:$Q$53,MATCH(AE406,'لیست‌ها'!$P$3:$P$53,0))+IF(AF406&lt;=6,(AF406-1)*31+AG406,IF(AF406&lt;=11,186+(AF406-7)*30+AG406,336+AG406))-1,""))</f>
        <v/>
      </c>
      <c r="AI406" s="7" t="str">
        <f aca="false">IF(W406="","",W406&amp;"-"&amp;TEXT(X406,"00"))</f>
        <v/>
      </c>
      <c r="AJ406" s="7" t="str">
        <f aca="false">IF(W406="","",W406*12+X406)</f>
        <v/>
      </c>
      <c r="AK406" s="7" t="str">
        <f aca="false">IF(U406="تاخیر",V406+ROW()/100000,"")</f>
        <v/>
      </c>
    </row>
    <row r="407" customFormat="false" ht="15" hidden="false" customHeight="false" outlineLevel="0" collapsed="false">
      <c r="A407" s="7" t="str">
        <f aca="false">IF(B407="","",ROW()-3)</f>
        <v/>
      </c>
      <c r="B407" s="8"/>
      <c r="C407" s="8"/>
      <c r="D407" s="8"/>
      <c r="E407" s="9"/>
      <c r="F407" s="9"/>
      <c r="G407" s="8"/>
      <c r="H407" s="8"/>
      <c r="I407" s="8"/>
      <c r="J407" s="9"/>
      <c r="K407" s="8"/>
      <c r="L407" s="8"/>
      <c r="M407" s="8"/>
      <c r="N407" s="8"/>
      <c r="O407" s="8"/>
      <c r="P407" s="8"/>
      <c r="Q407" s="8"/>
      <c r="R407" s="9"/>
      <c r="S407" s="8"/>
      <c r="T407" s="9"/>
      <c r="U407" s="10" t="str">
        <f aca="true">IF(B407="","",IF(OR(P407&lt;&gt;"",I407="می‌باشد"),"بسته",IF(AND(L407&lt;&gt;"",W407=""),"خطای فرمت تاریخ ایجاد",IF(AND(H407&lt;&gt;"",AA407=""),"خطای فرمت مهلت",IF(AND(H407&lt;&gt;"",AD407&lt;&gt;"",TODAY()&gt;AD407),"تاخیر",IF(L407&lt;&gt;"","در حال انجام",""))))))</f>
        <v/>
      </c>
      <c r="V407" s="7" t="n">
        <f aca="true">IF(U407="تاخیر",TODAY()-AD407,IF(AND(U407="بسته",AH407&lt;&gt;"",AD407&lt;&gt;"",AH407&gt;AD407),AH407-AD407,0))</f>
        <v>0</v>
      </c>
      <c r="W407" s="7" t="str">
        <f aca="false">IF(L407="","",VALUE(LEFT(L407,FIND("/",L407)-1)))</f>
        <v/>
      </c>
      <c r="X407" s="7" t="str">
        <f aca="false">IF(L407="","",VALUE(MID(L407,FIND("/",L407)+1,FIND("/",L407,FIND("/",L407)+1)-FIND("/",L407)-1)))</f>
        <v/>
      </c>
      <c r="Y407" s="7" t="str">
        <f aca="false">IF(L407="","",VALUE(MID(L407,FIND("/",L407,FIND("/",L407)+1)+1,LEN(L407)-FIND("/",L407,FIND("/",L407)+1))))</f>
        <v/>
      </c>
      <c r="Z407" s="7" t="str">
        <f aca="false">IF(OR(L407="",W407=""),"",IFERROR(INDEX('لیست‌ها'!$Q$3:$Q$53,MATCH(W407,'لیست‌ها'!$P$3:$P$53,0))+IF(X407&lt;=6,(X407-1)*31+Y407,IF(X407&lt;=11,186+(X407-7)*30+Y407,336+Y407))-1,""))</f>
        <v/>
      </c>
      <c r="AA407" s="7" t="str">
        <f aca="false">IF(H407="","",VALUE(LEFT(H407,FIND("/",H407)-1)))</f>
        <v/>
      </c>
      <c r="AB407" s="7" t="str">
        <f aca="false">IF(H407="","",VALUE(MID(H407,FIND("/",H407)+1,FIND("/",H407,FIND("/",H407)+1)-FIND("/",H407)-1)))</f>
        <v/>
      </c>
      <c r="AC407" s="7" t="str">
        <f aca="false">IF(H407="","",VALUE(MID(H407,FIND("/",H407,FIND("/",H407)+1)+1,LEN(H407)-FIND("/",H407,FIND("/",H407)+1))))</f>
        <v/>
      </c>
      <c r="AD407" s="7" t="str">
        <f aca="false">IF(OR(H407="",AA407=""),"",IFERROR(INDEX('لیست‌ها'!$Q$3:$Q$53,MATCH(AA407,'لیست‌ها'!$P$3:$P$53,0))+IF(AB407&lt;=6,(AB407-1)*31+AC407,IF(AB407&lt;=11,186+(AB407-7)*30+AC407,336+AC407))-1,""))</f>
        <v/>
      </c>
      <c r="AE407" s="7" t="str">
        <f aca="false">IF(P407="","",VALUE(LEFT(P407,FIND("/",P407)-1)))</f>
        <v/>
      </c>
      <c r="AF407" s="7" t="str">
        <f aca="false">IF(P407="","",VALUE(MID(P407,FIND("/",P407)+1,FIND("/",P407,FIND("/",P407)+1)-FIND("/",P407)-1)))</f>
        <v/>
      </c>
      <c r="AG407" s="7" t="str">
        <f aca="false">IF(P407="","",VALUE(MID(P407,FIND("/",P407,FIND("/",P407)+1)+1,LEN(P407)-FIND("/",P407,FIND("/",P407)+1))))</f>
        <v/>
      </c>
      <c r="AH407" s="7" t="str">
        <f aca="false">IF(OR(P407="",AE407=""),"",IFERROR(INDEX('لیست‌ها'!$Q$3:$Q$53,MATCH(AE407,'لیست‌ها'!$P$3:$P$53,0))+IF(AF407&lt;=6,(AF407-1)*31+AG407,IF(AF407&lt;=11,186+(AF407-7)*30+AG407,336+AG407))-1,""))</f>
        <v/>
      </c>
      <c r="AI407" s="7" t="str">
        <f aca="false">IF(W407="","",W407&amp;"-"&amp;TEXT(X407,"00"))</f>
        <v/>
      </c>
      <c r="AJ407" s="7" t="str">
        <f aca="false">IF(W407="","",W407*12+X407)</f>
        <v/>
      </c>
      <c r="AK407" s="7" t="str">
        <f aca="false">IF(U407="تاخیر",V407+ROW()/100000,"")</f>
        <v/>
      </c>
    </row>
    <row r="408" customFormat="false" ht="15" hidden="false" customHeight="false" outlineLevel="0" collapsed="false">
      <c r="A408" s="7" t="str">
        <f aca="false">IF(B408="","",ROW()-3)</f>
        <v/>
      </c>
      <c r="B408" s="8"/>
      <c r="C408" s="8"/>
      <c r="D408" s="8"/>
      <c r="E408" s="9"/>
      <c r="F408" s="9"/>
      <c r="G408" s="8"/>
      <c r="H408" s="8"/>
      <c r="I408" s="8"/>
      <c r="J408" s="9"/>
      <c r="K408" s="8"/>
      <c r="L408" s="8"/>
      <c r="M408" s="8"/>
      <c r="N408" s="8"/>
      <c r="O408" s="8"/>
      <c r="P408" s="8"/>
      <c r="Q408" s="8"/>
      <c r="R408" s="9"/>
      <c r="S408" s="8"/>
      <c r="T408" s="9"/>
      <c r="U408" s="10" t="str">
        <f aca="true">IF(B408="","",IF(OR(P408&lt;&gt;"",I408="می‌باشد"),"بسته",IF(AND(L408&lt;&gt;"",W408=""),"خطای فرمت تاریخ ایجاد",IF(AND(H408&lt;&gt;"",AA408=""),"خطای فرمت مهلت",IF(AND(H408&lt;&gt;"",AD408&lt;&gt;"",TODAY()&gt;AD408),"تاخیر",IF(L408&lt;&gt;"","در حال انجام",""))))))</f>
        <v/>
      </c>
      <c r="V408" s="7" t="n">
        <f aca="true">IF(U408="تاخیر",TODAY()-AD408,IF(AND(U408="بسته",AH408&lt;&gt;"",AD408&lt;&gt;"",AH408&gt;AD408),AH408-AD408,0))</f>
        <v>0</v>
      </c>
      <c r="W408" s="7" t="str">
        <f aca="false">IF(L408="","",VALUE(LEFT(L408,FIND("/",L408)-1)))</f>
        <v/>
      </c>
      <c r="X408" s="7" t="str">
        <f aca="false">IF(L408="","",VALUE(MID(L408,FIND("/",L408)+1,FIND("/",L408,FIND("/",L408)+1)-FIND("/",L408)-1)))</f>
        <v/>
      </c>
      <c r="Y408" s="7" t="str">
        <f aca="false">IF(L408="","",VALUE(MID(L408,FIND("/",L408,FIND("/",L408)+1)+1,LEN(L408)-FIND("/",L408,FIND("/",L408)+1))))</f>
        <v/>
      </c>
      <c r="Z408" s="7" t="str">
        <f aca="false">IF(OR(L408="",W408=""),"",IFERROR(INDEX('لیست‌ها'!$Q$3:$Q$53,MATCH(W408,'لیست‌ها'!$P$3:$P$53,0))+IF(X408&lt;=6,(X408-1)*31+Y408,IF(X408&lt;=11,186+(X408-7)*30+Y408,336+Y408))-1,""))</f>
        <v/>
      </c>
      <c r="AA408" s="7" t="str">
        <f aca="false">IF(H408="","",VALUE(LEFT(H408,FIND("/",H408)-1)))</f>
        <v/>
      </c>
      <c r="AB408" s="7" t="str">
        <f aca="false">IF(H408="","",VALUE(MID(H408,FIND("/",H408)+1,FIND("/",H408,FIND("/",H408)+1)-FIND("/",H408)-1)))</f>
        <v/>
      </c>
      <c r="AC408" s="7" t="str">
        <f aca="false">IF(H408="","",VALUE(MID(H408,FIND("/",H408,FIND("/",H408)+1)+1,LEN(H408)-FIND("/",H408,FIND("/",H408)+1))))</f>
        <v/>
      </c>
      <c r="AD408" s="7" t="str">
        <f aca="false">IF(OR(H408="",AA408=""),"",IFERROR(INDEX('لیست‌ها'!$Q$3:$Q$53,MATCH(AA408,'لیست‌ها'!$P$3:$P$53,0))+IF(AB408&lt;=6,(AB408-1)*31+AC408,IF(AB408&lt;=11,186+(AB408-7)*30+AC408,336+AC408))-1,""))</f>
        <v/>
      </c>
      <c r="AE408" s="7" t="str">
        <f aca="false">IF(P408="","",VALUE(LEFT(P408,FIND("/",P408)-1)))</f>
        <v/>
      </c>
      <c r="AF408" s="7" t="str">
        <f aca="false">IF(P408="","",VALUE(MID(P408,FIND("/",P408)+1,FIND("/",P408,FIND("/",P408)+1)-FIND("/",P408)-1)))</f>
        <v/>
      </c>
      <c r="AG408" s="7" t="str">
        <f aca="false">IF(P408="","",VALUE(MID(P408,FIND("/",P408,FIND("/",P408)+1)+1,LEN(P408)-FIND("/",P408,FIND("/",P408)+1))))</f>
        <v/>
      </c>
      <c r="AH408" s="7" t="str">
        <f aca="false">IF(OR(P408="",AE408=""),"",IFERROR(INDEX('لیست‌ها'!$Q$3:$Q$53,MATCH(AE408,'لیست‌ها'!$P$3:$P$53,0))+IF(AF408&lt;=6,(AF408-1)*31+AG408,IF(AF408&lt;=11,186+(AF408-7)*30+AG408,336+AG408))-1,""))</f>
        <v/>
      </c>
      <c r="AI408" s="7" t="str">
        <f aca="false">IF(W408="","",W408&amp;"-"&amp;TEXT(X408,"00"))</f>
        <v/>
      </c>
      <c r="AJ408" s="7" t="str">
        <f aca="false">IF(W408="","",W408*12+X408)</f>
        <v/>
      </c>
      <c r="AK408" s="7" t="str">
        <f aca="false">IF(U408="تاخیر",V408+ROW()/100000,"")</f>
        <v/>
      </c>
    </row>
    <row r="409" customFormat="false" ht="15" hidden="false" customHeight="false" outlineLevel="0" collapsed="false">
      <c r="A409" s="7" t="str">
        <f aca="false">IF(B409="","",ROW()-3)</f>
        <v/>
      </c>
      <c r="B409" s="8"/>
      <c r="C409" s="8"/>
      <c r="D409" s="8"/>
      <c r="E409" s="9"/>
      <c r="F409" s="9"/>
      <c r="G409" s="8"/>
      <c r="H409" s="8"/>
      <c r="I409" s="8"/>
      <c r="J409" s="9"/>
      <c r="K409" s="8"/>
      <c r="L409" s="8"/>
      <c r="M409" s="8"/>
      <c r="N409" s="8"/>
      <c r="O409" s="8"/>
      <c r="P409" s="8"/>
      <c r="Q409" s="8"/>
      <c r="R409" s="9"/>
      <c r="S409" s="8"/>
      <c r="T409" s="9"/>
      <c r="U409" s="10" t="str">
        <f aca="true">IF(B409="","",IF(OR(P409&lt;&gt;"",I409="می‌باشد"),"بسته",IF(AND(L409&lt;&gt;"",W409=""),"خطای فرمت تاریخ ایجاد",IF(AND(H409&lt;&gt;"",AA409=""),"خطای فرمت مهلت",IF(AND(H409&lt;&gt;"",AD409&lt;&gt;"",TODAY()&gt;AD409),"تاخیر",IF(L409&lt;&gt;"","در حال انجام",""))))))</f>
        <v/>
      </c>
      <c r="V409" s="7" t="n">
        <f aca="true">IF(U409="تاخیر",TODAY()-AD409,IF(AND(U409="بسته",AH409&lt;&gt;"",AD409&lt;&gt;"",AH409&gt;AD409),AH409-AD409,0))</f>
        <v>0</v>
      </c>
      <c r="W409" s="7" t="str">
        <f aca="false">IF(L409="","",VALUE(LEFT(L409,FIND("/",L409)-1)))</f>
        <v/>
      </c>
      <c r="X409" s="7" t="str">
        <f aca="false">IF(L409="","",VALUE(MID(L409,FIND("/",L409)+1,FIND("/",L409,FIND("/",L409)+1)-FIND("/",L409)-1)))</f>
        <v/>
      </c>
      <c r="Y409" s="7" t="str">
        <f aca="false">IF(L409="","",VALUE(MID(L409,FIND("/",L409,FIND("/",L409)+1)+1,LEN(L409)-FIND("/",L409,FIND("/",L409)+1))))</f>
        <v/>
      </c>
      <c r="Z409" s="7" t="str">
        <f aca="false">IF(OR(L409="",W409=""),"",IFERROR(INDEX('لیست‌ها'!$Q$3:$Q$53,MATCH(W409,'لیست‌ها'!$P$3:$P$53,0))+IF(X409&lt;=6,(X409-1)*31+Y409,IF(X409&lt;=11,186+(X409-7)*30+Y409,336+Y409))-1,""))</f>
        <v/>
      </c>
      <c r="AA409" s="7" t="str">
        <f aca="false">IF(H409="","",VALUE(LEFT(H409,FIND("/",H409)-1)))</f>
        <v/>
      </c>
      <c r="AB409" s="7" t="str">
        <f aca="false">IF(H409="","",VALUE(MID(H409,FIND("/",H409)+1,FIND("/",H409,FIND("/",H409)+1)-FIND("/",H409)-1)))</f>
        <v/>
      </c>
      <c r="AC409" s="7" t="str">
        <f aca="false">IF(H409="","",VALUE(MID(H409,FIND("/",H409,FIND("/",H409)+1)+1,LEN(H409)-FIND("/",H409,FIND("/",H409)+1))))</f>
        <v/>
      </c>
      <c r="AD409" s="7" t="str">
        <f aca="false">IF(OR(H409="",AA409=""),"",IFERROR(INDEX('لیست‌ها'!$Q$3:$Q$53,MATCH(AA409,'لیست‌ها'!$P$3:$P$53,0))+IF(AB409&lt;=6,(AB409-1)*31+AC409,IF(AB409&lt;=11,186+(AB409-7)*30+AC409,336+AC409))-1,""))</f>
        <v/>
      </c>
      <c r="AE409" s="7" t="str">
        <f aca="false">IF(P409="","",VALUE(LEFT(P409,FIND("/",P409)-1)))</f>
        <v/>
      </c>
      <c r="AF409" s="7" t="str">
        <f aca="false">IF(P409="","",VALUE(MID(P409,FIND("/",P409)+1,FIND("/",P409,FIND("/",P409)+1)-FIND("/",P409)-1)))</f>
        <v/>
      </c>
      <c r="AG409" s="7" t="str">
        <f aca="false">IF(P409="","",VALUE(MID(P409,FIND("/",P409,FIND("/",P409)+1)+1,LEN(P409)-FIND("/",P409,FIND("/",P409)+1))))</f>
        <v/>
      </c>
      <c r="AH409" s="7" t="str">
        <f aca="false">IF(OR(P409="",AE409=""),"",IFERROR(INDEX('لیست‌ها'!$Q$3:$Q$53,MATCH(AE409,'لیست‌ها'!$P$3:$P$53,0))+IF(AF409&lt;=6,(AF409-1)*31+AG409,IF(AF409&lt;=11,186+(AF409-7)*30+AG409,336+AG409))-1,""))</f>
        <v/>
      </c>
      <c r="AI409" s="7" t="str">
        <f aca="false">IF(W409="","",W409&amp;"-"&amp;TEXT(X409,"00"))</f>
        <v/>
      </c>
      <c r="AJ409" s="7" t="str">
        <f aca="false">IF(W409="","",W409*12+X409)</f>
        <v/>
      </c>
      <c r="AK409" s="7" t="str">
        <f aca="false">IF(U409="تاخیر",V409+ROW()/100000,"")</f>
        <v/>
      </c>
    </row>
    <row r="410" customFormat="false" ht="15" hidden="false" customHeight="false" outlineLevel="0" collapsed="false">
      <c r="A410" s="7" t="str">
        <f aca="false">IF(B410="","",ROW()-3)</f>
        <v/>
      </c>
      <c r="B410" s="8"/>
      <c r="C410" s="8"/>
      <c r="D410" s="8"/>
      <c r="E410" s="9"/>
      <c r="F410" s="9"/>
      <c r="G410" s="8"/>
      <c r="H410" s="8"/>
      <c r="I410" s="8"/>
      <c r="J410" s="9"/>
      <c r="K410" s="8"/>
      <c r="L410" s="8"/>
      <c r="M410" s="8"/>
      <c r="N410" s="8"/>
      <c r="O410" s="8"/>
      <c r="P410" s="8"/>
      <c r="Q410" s="8"/>
      <c r="R410" s="9"/>
      <c r="S410" s="8"/>
      <c r="T410" s="9"/>
      <c r="U410" s="10" t="str">
        <f aca="true">IF(B410="","",IF(OR(P410&lt;&gt;"",I410="می‌باشد"),"بسته",IF(AND(L410&lt;&gt;"",W410=""),"خطای فرمت تاریخ ایجاد",IF(AND(H410&lt;&gt;"",AA410=""),"خطای فرمت مهلت",IF(AND(H410&lt;&gt;"",AD410&lt;&gt;"",TODAY()&gt;AD410),"تاخیر",IF(L410&lt;&gt;"","در حال انجام",""))))))</f>
        <v/>
      </c>
      <c r="V410" s="7" t="n">
        <f aca="true">IF(U410="تاخیر",TODAY()-AD410,IF(AND(U410="بسته",AH410&lt;&gt;"",AD410&lt;&gt;"",AH410&gt;AD410),AH410-AD410,0))</f>
        <v>0</v>
      </c>
      <c r="W410" s="7" t="str">
        <f aca="false">IF(L410="","",VALUE(LEFT(L410,FIND("/",L410)-1)))</f>
        <v/>
      </c>
      <c r="X410" s="7" t="str">
        <f aca="false">IF(L410="","",VALUE(MID(L410,FIND("/",L410)+1,FIND("/",L410,FIND("/",L410)+1)-FIND("/",L410)-1)))</f>
        <v/>
      </c>
      <c r="Y410" s="7" t="str">
        <f aca="false">IF(L410="","",VALUE(MID(L410,FIND("/",L410,FIND("/",L410)+1)+1,LEN(L410)-FIND("/",L410,FIND("/",L410)+1))))</f>
        <v/>
      </c>
      <c r="Z410" s="7" t="str">
        <f aca="false">IF(OR(L410="",W410=""),"",IFERROR(INDEX('لیست‌ها'!$Q$3:$Q$53,MATCH(W410,'لیست‌ها'!$P$3:$P$53,0))+IF(X410&lt;=6,(X410-1)*31+Y410,IF(X410&lt;=11,186+(X410-7)*30+Y410,336+Y410))-1,""))</f>
        <v/>
      </c>
      <c r="AA410" s="7" t="str">
        <f aca="false">IF(H410="","",VALUE(LEFT(H410,FIND("/",H410)-1)))</f>
        <v/>
      </c>
      <c r="AB410" s="7" t="str">
        <f aca="false">IF(H410="","",VALUE(MID(H410,FIND("/",H410)+1,FIND("/",H410,FIND("/",H410)+1)-FIND("/",H410)-1)))</f>
        <v/>
      </c>
      <c r="AC410" s="7" t="str">
        <f aca="false">IF(H410="","",VALUE(MID(H410,FIND("/",H410,FIND("/",H410)+1)+1,LEN(H410)-FIND("/",H410,FIND("/",H410)+1))))</f>
        <v/>
      </c>
      <c r="AD410" s="7" t="str">
        <f aca="false">IF(OR(H410="",AA410=""),"",IFERROR(INDEX('لیست‌ها'!$Q$3:$Q$53,MATCH(AA410,'لیست‌ها'!$P$3:$P$53,0))+IF(AB410&lt;=6,(AB410-1)*31+AC410,IF(AB410&lt;=11,186+(AB410-7)*30+AC410,336+AC410))-1,""))</f>
        <v/>
      </c>
      <c r="AE410" s="7" t="str">
        <f aca="false">IF(P410="","",VALUE(LEFT(P410,FIND("/",P410)-1)))</f>
        <v/>
      </c>
      <c r="AF410" s="7" t="str">
        <f aca="false">IF(P410="","",VALUE(MID(P410,FIND("/",P410)+1,FIND("/",P410,FIND("/",P410)+1)-FIND("/",P410)-1)))</f>
        <v/>
      </c>
      <c r="AG410" s="7" t="str">
        <f aca="false">IF(P410="","",VALUE(MID(P410,FIND("/",P410,FIND("/",P410)+1)+1,LEN(P410)-FIND("/",P410,FIND("/",P410)+1))))</f>
        <v/>
      </c>
      <c r="AH410" s="7" t="str">
        <f aca="false">IF(OR(P410="",AE410=""),"",IFERROR(INDEX('لیست‌ها'!$Q$3:$Q$53,MATCH(AE410,'لیست‌ها'!$P$3:$P$53,0))+IF(AF410&lt;=6,(AF410-1)*31+AG410,IF(AF410&lt;=11,186+(AF410-7)*30+AG410,336+AG410))-1,""))</f>
        <v/>
      </c>
      <c r="AI410" s="7" t="str">
        <f aca="false">IF(W410="","",W410&amp;"-"&amp;TEXT(X410,"00"))</f>
        <v/>
      </c>
      <c r="AJ410" s="7" t="str">
        <f aca="false">IF(W410="","",W410*12+X410)</f>
        <v/>
      </c>
      <c r="AK410" s="7" t="str">
        <f aca="false">IF(U410="تاخیر",V410+ROW()/100000,"")</f>
        <v/>
      </c>
    </row>
    <row r="411" customFormat="false" ht="15" hidden="false" customHeight="false" outlineLevel="0" collapsed="false">
      <c r="A411" s="7" t="str">
        <f aca="false">IF(B411="","",ROW()-3)</f>
        <v/>
      </c>
      <c r="B411" s="8"/>
      <c r="C411" s="8"/>
      <c r="D411" s="8"/>
      <c r="E411" s="9"/>
      <c r="F411" s="9"/>
      <c r="G411" s="8"/>
      <c r="H411" s="8"/>
      <c r="I411" s="8"/>
      <c r="J411" s="9"/>
      <c r="K411" s="8"/>
      <c r="L411" s="8"/>
      <c r="M411" s="8"/>
      <c r="N411" s="8"/>
      <c r="O411" s="8"/>
      <c r="P411" s="8"/>
      <c r="Q411" s="8"/>
      <c r="R411" s="9"/>
      <c r="S411" s="8"/>
      <c r="T411" s="9"/>
      <c r="U411" s="10" t="str">
        <f aca="true">IF(B411="","",IF(OR(P411&lt;&gt;"",I411="می‌باشد"),"بسته",IF(AND(L411&lt;&gt;"",W411=""),"خطای فرمت تاریخ ایجاد",IF(AND(H411&lt;&gt;"",AA411=""),"خطای فرمت مهلت",IF(AND(H411&lt;&gt;"",AD411&lt;&gt;"",TODAY()&gt;AD411),"تاخیر",IF(L411&lt;&gt;"","در حال انجام",""))))))</f>
        <v/>
      </c>
      <c r="V411" s="7" t="n">
        <f aca="true">IF(U411="تاخیر",TODAY()-AD411,IF(AND(U411="بسته",AH411&lt;&gt;"",AD411&lt;&gt;"",AH411&gt;AD411),AH411-AD411,0))</f>
        <v>0</v>
      </c>
      <c r="W411" s="7" t="str">
        <f aca="false">IF(L411="","",VALUE(LEFT(L411,FIND("/",L411)-1)))</f>
        <v/>
      </c>
      <c r="X411" s="7" t="str">
        <f aca="false">IF(L411="","",VALUE(MID(L411,FIND("/",L411)+1,FIND("/",L411,FIND("/",L411)+1)-FIND("/",L411)-1)))</f>
        <v/>
      </c>
      <c r="Y411" s="7" t="str">
        <f aca="false">IF(L411="","",VALUE(MID(L411,FIND("/",L411,FIND("/",L411)+1)+1,LEN(L411)-FIND("/",L411,FIND("/",L411)+1))))</f>
        <v/>
      </c>
      <c r="Z411" s="7" t="str">
        <f aca="false">IF(OR(L411="",W411=""),"",IFERROR(INDEX('لیست‌ها'!$Q$3:$Q$53,MATCH(W411,'لیست‌ها'!$P$3:$P$53,0))+IF(X411&lt;=6,(X411-1)*31+Y411,IF(X411&lt;=11,186+(X411-7)*30+Y411,336+Y411))-1,""))</f>
        <v/>
      </c>
      <c r="AA411" s="7" t="str">
        <f aca="false">IF(H411="","",VALUE(LEFT(H411,FIND("/",H411)-1)))</f>
        <v/>
      </c>
      <c r="AB411" s="7" t="str">
        <f aca="false">IF(H411="","",VALUE(MID(H411,FIND("/",H411)+1,FIND("/",H411,FIND("/",H411)+1)-FIND("/",H411)-1)))</f>
        <v/>
      </c>
      <c r="AC411" s="7" t="str">
        <f aca="false">IF(H411="","",VALUE(MID(H411,FIND("/",H411,FIND("/",H411)+1)+1,LEN(H411)-FIND("/",H411,FIND("/",H411)+1))))</f>
        <v/>
      </c>
      <c r="AD411" s="7" t="str">
        <f aca="false">IF(OR(H411="",AA411=""),"",IFERROR(INDEX('لیست‌ها'!$Q$3:$Q$53,MATCH(AA411,'لیست‌ها'!$P$3:$P$53,0))+IF(AB411&lt;=6,(AB411-1)*31+AC411,IF(AB411&lt;=11,186+(AB411-7)*30+AC411,336+AC411))-1,""))</f>
        <v/>
      </c>
      <c r="AE411" s="7" t="str">
        <f aca="false">IF(P411="","",VALUE(LEFT(P411,FIND("/",P411)-1)))</f>
        <v/>
      </c>
      <c r="AF411" s="7" t="str">
        <f aca="false">IF(P411="","",VALUE(MID(P411,FIND("/",P411)+1,FIND("/",P411,FIND("/",P411)+1)-FIND("/",P411)-1)))</f>
        <v/>
      </c>
      <c r="AG411" s="7" t="str">
        <f aca="false">IF(P411="","",VALUE(MID(P411,FIND("/",P411,FIND("/",P411)+1)+1,LEN(P411)-FIND("/",P411,FIND("/",P411)+1))))</f>
        <v/>
      </c>
      <c r="AH411" s="7" t="str">
        <f aca="false">IF(OR(P411="",AE411=""),"",IFERROR(INDEX('لیست‌ها'!$Q$3:$Q$53,MATCH(AE411,'لیست‌ها'!$P$3:$P$53,0))+IF(AF411&lt;=6,(AF411-1)*31+AG411,IF(AF411&lt;=11,186+(AF411-7)*30+AG411,336+AG411))-1,""))</f>
        <v/>
      </c>
      <c r="AI411" s="7" t="str">
        <f aca="false">IF(W411="","",W411&amp;"-"&amp;TEXT(X411,"00"))</f>
        <v/>
      </c>
      <c r="AJ411" s="7" t="str">
        <f aca="false">IF(W411="","",W411*12+X411)</f>
        <v/>
      </c>
      <c r="AK411" s="7" t="str">
        <f aca="false">IF(U411="تاخیر",V411+ROW()/100000,"")</f>
        <v/>
      </c>
    </row>
    <row r="412" customFormat="false" ht="15" hidden="false" customHeight="false" outlineLevel="0" collapsed="false">
      <c r="A412" s="7" t="str">
        <f aca="false">IF(B412="","",ROW()-3)</f>
        <v/>
      </c>
      <c r="B412" s="8"/>
      <c r="C412" s="8"/>
      <c r="D412" s="8"/>
      <c r="E412" s="9"/>
      <c r="F412" s="9"/>
      <c r="G412" s="8"/>
      <c r="H412" s="8"/>
      <c r="I412" s="8"/>
      <c r="J412" s="9"/>
      <c r="K412" s="8"/>
      <c r="L412" s="8"/>
      <c r="M412" s="8"/>
      <c r="N412" s="8"/>
      <c r="O412" s="8"/>
      <c r="P412" s="8"/>
      <c r="Q412" s="8"/>
      <c r="R412" s="9"/>
      <c r="S412" s="8"/>
      <c r="T412" s="9"/>
      <c r="U412" s="10" t="str">
        <f aca="true">IF(B412="","",IF(OR(P412&lt;&gt;"",I412="می‌باشد"),"بسته",IF(AND(L412&lt;&gt;"",W412=""),"خطای فرمت تاریخ ایجاد",IF(AND(H412&lt;&gt;"",AA412=""),"خطای فرمت مهلت",IF(AND(H412&lt;&gt;"",AD412&lt;&gt;"",TODAY()&gt;AD412),"تاخیر",IF(L412&lt;&gt;"","در حال انجام",""))))))</f>
        <v/>
      </c>
      <c r="V412" s="7" t="n">
        <f aca="true">IF(U412="تاخیر",TODAY()-AD412,IF(AND(U412="بسته",AH412&lt;&gt;"",AD412&lt;&gt;"",AH412&gt;AD412),AH412-AD412,0))</f>
        <v>0</v>
      </c>
      <c r="W412" s="7" t="str">
        <f aca="false">IF(L412="","",VALUE(LEFT(L412,FIND("/",L412)-1)))</f>
        <v/>
      </c>
      <c r="X412" s="7" t="str">
        <f aca="false">IF(L412="","",VALUE(MID(L412,FIND("/",L412)+1,FIND("/",L412,FIND("/",L412)+1)-FIND("/",L412)-1)))</f>
        <v/>
      </c>
      <c r="Y412" s="7" t="str">
        <f aca="false">IF(L412="","",VALUE(MID(L412,FIND("/",L412,FIND("/",L412)+1)+1,LEN(L412)-FIND("/",L412,FIND("/",L412)+1))))</f>
        <v/>
      </c>
      <c r="Z412" s="7" t="str">
        <f aca="false">IF(OR(L412="",W412=""),"",IFERROR(INDEX('لیست‌ها'!$Q$3:$Q$53,MATCH(W412,'لیست‌ها'!$P$3:$P$53,0))+IF(X412&lt;=6,(X412-1)*31+Y412,IF(X412&lt;=11,186+(X412-7)*30+Y412,336+Y412))-1,""))</f>
        <v/>
      </c>
      <c r="AA412" s="7" t="str">
        <f aca="false">IF(H412="","",VALUE(LEFT(H412,FIND("/",H412)-1)))</f>
        <v/>
      </c>
      <c r="AB412" s="7" t="str">
        <f aca="false">IF(H412="","",VALUE(MID(H412,FIND("/",H412)+1,FIND("/",H412,FIND("/",H412)+1)-FIND("/",H412)-1)))</f>
        <v/>
      </c>
      <c r="AC412" s="7" t="str">
        <f aca="false">IF(H412="","",VALUE(MID(H412,FIND("/",H412,FIND("/",H412)+1)+1,LEN(H412)-FIND("/",H412,FIND("/",H412)+1))))</f>
        <v/>
      </c>
      <c r="AD412" s="7" t="str">
        <f aca="false">IF(OR(H412="",AA412=""),"",IFERROR(INDEX('لیست‌ها'!$Q$3:$Q$53,MATCH(AA412,'لیست‌ها'!$P$3:$P$53,0))+IF(AB412&lt;=6,(AB412-1)*31+AC412,IF(AB412&lt;=11,186+(AB412-7)*30+AC412,336+AC412))-1,""))</f>
        <v/>
      </c>
      <c r="AE412" s="7" t="str">
        <f aca="false">IF(P412="","",VALUE(LEFT(P412,FIND("/",P412)-1)))</f>
        <v/>
      </c>
      <c r="AF412" s="7" t="str">
        <f aca="false">IF(P412="","",VALUE(MID(P412,FIND("/",P412)+1,FIND("/",P412,FIND("/",P412)+1)-FIND("/",P412)-1)))</f>
        <v/>
      </c>
      <c r="AG412" s="7" t="str">
        <f aca="false">IF(P412="","",VALUE(MID(P412,FIND("/",P412,FIND("/",P412)+1)+1,LEN(P412)-FIND("/",P412,FIND("/",P412)+1))))</f>
        <v/>
      </c>
      <c r="AH412" s="7" t="str">
        <f aca="false">IF(OR(P412="",AE412=""),"",IFERROR(INDEX('لیست‌ها'!$Q$3:$Q$53,MATCH(AE412,'لیست‌ها'!$P$3:$P$53,0))+IF(AF412&lt;=6,(AF412-1)*31+AG412,IF(AF412&lt;=11,186+(AF412-7)*30+AG412,336+AG412))-1,""))</f>
        <v/>
      </c>
      <c r="AI412" s="7" t="str">
        <f aca="false">IF(W412="","",W412&amp;"-"&amp;TEXT(X412,"00"))</f>
        <v/>
      </c>
      <c r="AJ412" s="7" t="str">
        <f aca="false">IF(W412="","",W412*12+X412)</f>
        <v/>
      </c>
      <c r="AK412" s="7" t="str">
        <f aca="false">IF(U412="تاخیر",V412+ROW()/100000,"")</f>
        <v/>
      </c>
    </row>
    <row r="413" customFormat="false" ht="15" hidden="false" customHeight="false" outlineLevel="0" collapsed="false">
      <c r="A413" s="7" t="str">
        <f aca="false">IF(B413="","",ROW()-3)</f>
        <v/>
      </c>
      <c r="B413" s="8"/>
      <c r="C413" s="8"/>
      <c r="D413" s="8"/>
      <c r="E413" s="9"/>
      <c r="F413" s="9"/>
      <c r="G413" s="8"/>
      <c r="H413" s="8"/>
      <c r="I413" s="8"/>
      <c r="J413" s="9"/>
      <c r="K413" s="8"/>
      <c r="L413" s="8"/>
      <c r="M413" s="8"/>
      <c r="N413" s="8"/>
      <c r="O413" s="8"/>
      <c r="P413" s="8"/>
      <c r="Q413" s="8"/>
      <c r="R413" s="9"/>
      <c r="S413" s="8"/>
      <c r="T413" s="9"/>
      <c r="U413" s="10" t="str">
        <f aca="true">IF(B413="","",IF(OR(P413&lt;&gt;"",I413="می‌باشد"),"بسته",IF(AND(L413&lt;&gt;"",W413=""),"خطای فرمت تاریخ ایجاد",IF(AND(H413&lt;&gt;"",AA413=""),"خطای فرمت مهلت",IF(AND(H413&lt;&gt;"",AD413&lt;&gt;"",TODAY()&gt;AD413),"تاخیر",IF(L413&lt;&gt;"","در حال انجام",""))))))</f>
        <v/>
      </c>
      <c r="V413" s="7" t="n">
        <f aca="true">IF(U413="تاخیر",TODAY()-AD413,IF(AND(U413="بسته",AH413&lt;&gt;"",AD413&lt;&gt;"",AH413&gt;AD413),AH413-AD413,0))</f>
        <v>0</v>
      </c>
      <c r="W413" s="7" t="str">
        <f aca="false">IF(L413="","",VALUE(LEFT(L413,FIND("/",L413)-1)))</f>
        <v/>
      </c>
      <c r="X413" s="7" t="str">
        <f aca="false">IF(L413="","",VALUE(MID(L413,FIND("/",L413)+1,FIND("/",L413,FIND("/",L413)+1)-FIND("/",L413)-1)))</f>
        <v/>
      </c>
      <c r="Y413" s="7" t="str">
        <f aca="false">IF(L413="","",VALUE(MID(L413,FIND("/",L413,FIND("/",L413)+1)+1,LEN(L413)-FIND("/",L413,FIND("/",L413)+1))))</f>
        <v/>
      </c>
      <c r="Z413" s="7" t="str">
        <f aca="false">IF(OR(L413="",W413=""),"",IFERROR(INDEX('لیست‌ها'!$Q$3:$Q$53,MATCH(W413,'لیست‌ها'!$P$3:$P$53,0))+IF(X413&lt;=6,(X413-1)*31+Y413,IF(X413&lt;=11,186+(X413-7)*30+Y413,336+Y413))-1,""))</f>
        <v/>
      </c>
      <c r="AA413" s="7" t="str">
        <f aca="false">IF(H413="","",VALUE(LEFT(H413,FIND("/",H413)-1)))</f>
        <v/>
      </c>
      <c r="AB413" s="7" t="str">
        <f aca="false">IF(H413="","",VALUE(MID(H413,FIND("/",H413)+1,FIND("/",H413,FIND("/",H413)+1)-FIND("/",H413)-1)))</f>
        <v/>
      </c>
      <c r="AC413" s="7" t="str">
        <f aca="false">IF(H413="","",VALUE(MID(H413,FIND("/",H413,FIND("/",H413)+1)+1,LEN(H413)-FIND("/",H413,FIND("/",H413)+1))))</f>
        <v/>
      </c>
      <c r="AD413" s="7" t="str">
        <f aca="false">IF(OR(H413="",AA413=""),"",IFERROR(INDEX('لیست‌ها'!$Q$3:$Q$53,MATCH(AA413,'لیست‌ها'!$P$3:$P$53,0))+IF(AB413&lt;=6,(AB413-1)*31+AC413,IF(AB413&lt;=11,186+(AB413-7)*30+AC413,336+AC413))-1,""))</f>
        <v/>
      </c>
      <c r="AE413" s="7" t="str">
        <f aca="false">IF(P413="","",VALUE(LEFT(P413,FIND("/",P413)-1)))</f>
        <v/>
      </c>
      <c r="AF413" s="7" t="str">
        <f aca="false">IF(P413="","",VALUE(MID(P413,FIND("/",P413)+1,FIND("/",P413,FIND("/",P413)+1)-FIND("/",P413)-1)))</f>
        <v/>
      </c>
      <c r="AG413" s="7" t="str">
        <f aca="false">IF(P413="","",VALUE(MID(P413,FIND("/",P413,FIND("/",P413)+1)+1,LEN(P413)-FIND("/",P413,FIND("/",P413)+1))))</f>
        <v/>
      </c>
      <c r="AH413" s="7" t="str">
        <f aca="false">IF(OR(P413="",AE413=""),"",IFERROR(INDEX('لیست‌ها'!$Q$3:$Q$53,MATCH(AE413,'لیست‌ها'!$P$3:$P$53,0))+IF(AF413&lt;=6,(AF413-1)*31+AG413,IF(AF413&lt;=11,186+(AF413-7)*30+AG413,336+AG413))-1,""))</f>
        <v/>
      </c>
      <c r="AI413" s="7" t="str">
        <f aca="false">IF(W413="","",W413&amp;"-"&amp;TEXT(X413,"00"))</f>
        <v/>
      </c>
      <c r="AJ413" s="7" t="str">
        <f aca="false">IF(W413="","",W413*12+X413)</f>
        <v/>
      </c>
      <c r="AK413" s="7" t="str">
        <f aca="false">IF(U413="تاخیر",V413+ROW()/100000,"")</f>
        <v/>
      </c>
    </row>
    <row r="414" customFormat="false" ht="15" hidden="false" customHeight="false" outlineLevel="0" collapsed="false">
      <c r="A414" s="7" t="str">
        <f aca="false">IF(B414="","",ROW()-3)</f>
        <v/>
      </c>
      <c r="B414" s="8"/>
      <c r="C414" s="8"/>
      <c r="D414" s="8"/>
      <c r="E414" s="9"/>
      <c r="F414" s="9"/>
      <c r="G414" s="8"/>
      <c r="H414" s="8"/>
      <c r="I414" s="8"/>
      <c r="J414" s="9"/>
      <c r="K414" s="8"/>
      <c r="L414" s="8"/>
      <c r="M414" s="8"/>
      <c r="N414" s="8"/>
      <c r="O414" s="8"/>
      <c r="P414" s="8"/>
      <c r="Q414" s="8"/>
      <c r="R414" s="9"/>
      <c r="S414" s="8"/>
      <c r="T414" s="9"/>
      <c r="U414" s="10" t="str">
        <f aca="true">IF(B414="","",IF(OR(P414&lt;&gt;"",I414="می‌باشد"),"بسته",IF(AND(L414&lt;&gt;"",W414=""),"خطای فرمت تاریخ ایجاد",IF(AND(H414&lt;&gt;"",AA414=""),"خطای فرمت مهلت",IF(AND(H414&lt;&gt;"",AD414&lt;&gt;"",TODAY()&gt;AD414),"تاخیر",IF(L414&lt;&gt;"","در حال انجام",""))))))</f>
        <v/>
      </c>
      <c r="V414" s="7" t="n">
        <f aca="true">IF(U414="تاخیر",TODAY()-AD414,IF(AND(U414="بسته",AH414&lt;&gt;"",AD414&lt;&gt;"",AH414&gt;AD414),AH414-AD414,0))</f>
        <v>0</v>
      </c>
      <c r="W414" s="7" t="str">
        <f aca="false">IF(L414="","",VALUE(LEFT(L414,FIND("/",L414)-1)))</f>
        <v/>
      </c>
      <c r="X414" s="7" t="str">
        <f aca="false">IF(L414="","",VALUE(MID(L414,FIND("/",L414)+1,FIND("/",L414,FIND("/",L414)+1)-FIND("/",L414)-1)))</f>
        <v/>
      </c>
      <c r="Y414" s="7" t="str">
        <f aca="false">IF(L414="","",VALUE(MID(L414,FIND("/",L414,FIND("/",L414)+1)+1,LEN(L414)-FIND("/",L414,FIND("/",L414)+1))))</f>
        <v/>
      </c>
      <c r="Z414" s="7" t="str">
        <f aca="false">IF(OR(L414="",W414=""),"",IFERROR(INDEX('لیست‌ها'!$Q$3:$Q$53,MATCH(W414,'لیست‌ها'!$P$3:$P$53,0))+IF(X414&lt;=6,(X414-1)*31+Y414,IF(X414&lt;=11,186+(X414-7)*30+Y414,336+Y414))-1,""))</f>
        <v/>
      </c>
      <c r="AA414" s="7" t="str">
        <f aca="false">IF(H414="","",VALUE(LEFT(H414,FIND("/",H414)-1)))</f>
        <v/>
      </c>
      <c r="AB414" s="7" t="str">
        <f aca="false">IF(H414="","",VALUE(MID(H414,FIND("/",H414)+1,FIND("/",H414,FIND("/",H414)+1)-FIND("/",H414)-1)))</f>
        <v/>
      </c>
      <c r="AC414" s="7" t="str">
        <f aca="false">IF(H414="","",VALUE(MID(H414,FIND("/",H414,FIND("/",H414)+1)+1,LEN(H414)-FIND("/",H414,FIND("/",H414)+1))))</f>
        <v/>
      </c>
      <c r="AD414" s="7" t="str">
        <f aca="false">IF(OR(H414="",AA414=""),"",IFERROR(INDEX('لیست‌ها'!$Q$3:$Q$53,MATCH(AA414,'لیست‌ها'!$P$3:$P$53,0))+IF(AB414&lt;=6,(AB414-1)*31+AC414,IF(AB414&lt;=11,186+(AB414-7)*30+AC414,336+AC414))-1,""))</f>
        <v/>
      </c>
      <c r="AE414" s="7" t="str">
        <f aca="false">IF(P414="","",VALUE(LEFT(P414,FIND("/",P414)-1)))</f>
        <v/>
      </c>
      <c r="AF414" s="7" t="str">
        <f aca="false">IF(P414="","",VALUE(MID(P414,FIND("/",P414)+1,FIND("/",P414,FIND("/",P414)+1)-FIND("/",P414)-1)))</f>
        <v/>
      </c>
      <c r="AG414" s="7" t="str">
        <f aca="false">IF(P414="","",VALUE(MID(P414,FIND("/",P414,FIND("/",P414)+1)+1,LEN(P414)-FIND("/",P414,FIND("/",P414)+1))))</f>
        <v/>
      </c>
      <c r="AH414" s="7" t="str">
        <f aca="false">IF(OR(P414="",AE414=""),"",IFERROR(INDEX('لیست‌ها'!$Q$3:$Q$53,MATCH(AE414,'لیست‌ها'!$P$3:$P$53,0))+IF(AF414&lt;=6,(AF414-1)*31+AG414,IF(AF414&lt;=11,186+(AF414-7)*30+AG414,336+AG414))-1,""))</f>
        <v/>
      </c>
      <c r="AI414" s="7" t="str">
        <f aca="false">IF(W414="","",W414&amp;"-"&amp;TEXT(X414,"00"))</f>
        <v/>
      </c>
      <c r="AJ414" s="7" t="str">
        <f aca="false">IF(W414="","",W414*12+X414)</f>
        <v/>
      </c>
      <c r="AK414" s="7" t="str">
        <f aca="false">IF(U414="تاخیر",V414+ROW()/100000,"")</f>
        <v/>
      </c>
    </row>
    <row r="415" customFormat="false" ht="15" hidden="false" customHeight="false" outlineLevel="0" collapsed="false">
      <c r="A415" s="7" t="str">
        <f aca="false">IF(B415="","",ROW()-3)</f>
        <v/>
      </c>
      <c r="B415" s="8"/>
      <c r="C415" s="8"/>
      <c r="D415" s="8"/>
      <c r="E415" s="9"/>
      <c r="F415" s="9"/>
      <c r="G415" s="8"/>
      <c r="H415" s="8"/>
      <c r="I415" s="8"/>
      <c r="J415" s="9"/>
      <c r="K415" s="8"/>
      <c r="L415" s="8"/>
      <c r="M415" s="8"/>
      <c r="N415" s="8"/>
      <c r="O415" s="8"/>
      <c r="P415" s="8"/>
      <c r="Q415" s="8"/>
      <c r="R415" s="9"/>
      <c r="S415" s="8"/>
      <c r="T415" s="9"/>
      <c r="U415" s="10" t="str">
        <f aca="true">IF(B415="","",IF(OR(P415&lt;&gt;"",I415="می‌باشد"),"بسته",IF(AND(L415&lt;&gt;"",W415=""),"خطای فرمت تاریخ ایجاد",IF(AND(H415&lt;&gt;"",AA415=""),"خطای فرمت مهلت",IF(AND(H415&lt;&gt;"",AD415&lt;&gt;"",TODAY()&gt;AD415),"تاخیر",IF(L415&lt;&gt;"","در حال انجام",""))))))</f>
        <v/>
      </c>
      <c r="V415" s="7" t="n">
        <f aca="true">IF(U415="تاخیر",TODAY()-AD415,IF(AND(U415="بسته",AH415&lt;&gt;"",AD415&lt;&gt;"",AH415&gt;AD415),AH415-AD415,0))</f>
        <v>0</v>
      </c>
      <c r="W415" s="7" t="str">
        <f aca="false">IF(L415="","",VALUE(LEFT(L415,FIND("/",L415)-1)))</f>
        <v/>
      </c>
      <c r="X415" s="7" t="str">
        <f aca="false">IF(L415="","",VALUE(MID(L415,FIND("/",L415)+1,FIND("/",L415,FIND("/",L415)+1)-FIND("/",L415)-1)))</f>
        <v/>
      </c>
      <c r="Y415" s="7" t="str">
        <f aca="false">IF(L415="","",VALUE(MID(L415,FIND("/",L415,FIND("/",L415)+1)+1,LEN(L415)-FIND("/",L415,FIND("/",L415)+1))))</f>
        <v/>
      </c>
      <c r="Z415" s="7" t="str">
        <f aca="false">IF(OR(L415="",W415=""),"",IFERROR(INDEX('لیست‌ها'!$Q$3:$Q$53,MATCH(W415,'لیست‌ها'!$P$3:$P$53,0))+IF(X415&lt;=6,(X415-1)*31+Y415,IF(X415&lt;=11,186+(X415-7)*30+Y415,336+Y415))-1,""))</f>
        <v/>
      </c>
      <c r="AA415" s="7" t="str">
        <f aca="false">IF(H415="","",VALUE(LEFT(H415,FIND("/",H415)-1)))</f>
        <v/>
      </c>
      <c r="AB415" s="7" t="str">
        <f aca="false">IF(H415="","",VALUE(MID(H415,FIND("/",H415)+1,FIND("/",H415,FIND("/",H415)+1)-FIND("/",H415)-1)))</f>
        <v/>
      </c>
      <c r="AC415" s="7" t="str">
        <f aca="false">IF(H415="","",VALUE(MID(H415,FIND("/",H415,FIND("/",H415)+1)+1,LEN(H415)-FIND("/",H415,FIND("/",H415)+1))))</f>
        <v/>
      </c>
      <c r="AD415" s="7" t="str">
        <f aca="false">IF(OR(H415="",AA415=""),"",IFERROR(INDEX('لیست‌ها'!$Q$3:$Q$53,MATCH(AA415,'لیست‌ها'!$P$3:$P$53,0))+IF(AB415&lt;=6,(AB415-1)*31+AC415,IF(AB415&lt;=11,186+(AB415-7)*30+AC415,336+AC415))-1,""))</f>
        <v/>
      </c>
      <c r="AE415" s="7" t="str">
        <f aca="false">IF(P415="","",VALUE(LEFT(P415,FIND("/",P415)-1)))</f>
        <v/>
      </c>
      <c r="AF415" s="7" t="str">
        <f aca="false">IF(P415="","",VALUE(MID(P415,FIND("/",P415)+1,FIND("/",P415,FIND("/",P415)+1)-FIND("/",P415)-1)))</f>
        <v/>
      </c>
      <c r="AG415" s="7" t="str">
        <f aca="false">IF(P415="","",VALUE(MID(P415,FIND("/",P415,FIND("/",P415)+1)+1,LEN(P415)-FIND("/",P415,FIND("/",P415)+1))))</f>
        <v/>
      </c>
      <c r="AH415" s="7" t="str">
        <f aca="false">IF(OR(P415="",AE415=""),"",IFERROR(INDEX('لیست‌ها'!$Q$3:$Q$53,MATCH(AE415,'لیست‌ها'!$P$3:$P$53,0))+IF(AF415&lt;=6,(AF415-1)*31+AG415,IF(AF415&lt;=11,186+(AF415-7)*30+AG415,336+AG415))-1,""))</f>
        <v/>
      </c>
      <c r="AI415" s="7" t="str">
        <f aca="false">IF(W415="","",W415&amp;"-"&amp;TEXT(X415,"00"))</f>
        <v/>
      </c>
      <c r="AJ415" s="7" t="str">
        <f aca="false">IF(W415="","",W415*12+X415)</f>
        <v/>
      </c>
      <c r="AK415" s="7" t="str">
        <f aca="false">IF(U415="تاخیر",V415+ROW()/100000,"")</f>
        <v/>
      </c>
    </row>
    <row r="416" customFormat="false" ht="15" hidden="false" customHeight="false" outlineLevel="0" collapsed="false">
      <c r="A416" s="7" t="str">
        <f aca="false">IF(B416="","",ROW()-3)</f>
        <v/>
      </c>
      <c r="B416" s="8"/>
      <c r="C416" s="8"/>
      <c r="D416" s="8"/>
      <c r="E416" s="9"/>
      <c r="F416" s="9"/>
      <c r="G416" s="8"/>
      <c r="H416" s="8"/>
      <c r="I416" s="8"/>
      <c r="J416" s="9"/>
      <c r="K416" s="8"/>
      <c r="L416" s="8"/>
      <c r="M416" s="8"/>
      <c r="N416" s="8"/>
      <c r="O416" s="8"/>
      <c r="P416" s="8"/>
      <c r="Q416" s="8"/>
      <c r="R416" s="9"/>
      <c r="S416" s="8"/>
      <c r="T416" s="9"/>
      <c r="U416" s="10" t="str">
        <f aca="true">IF(B416="","",IF(OR(P416&lt;&gt;"",I416="می‌باشد"),"بسته",IF(AND(L416&lt;&gt;"",W416=""),"خطای فرمت تاریخ ایجاد",IF(AND(H416&lt;&gt;"",AA416=""),"خطای فرمت مهلت",IF(AND(H416&lt;&gt;"",AD416&lt;&gt;"",TODAY()&gt;AD416),"تاخیر",IF(L416&lt;&gt;"","در حال انجام",""))))))</f>
        <v/>
      </c>
      <c r="V416" s="7" t="n">
        <f aca="true">IF(U416="تاخیر",TODAY()-AD416,IF(AND(U416="بسته",AH416&lt;&gt;"",AD416&lt;&gt;"",AH416&gt;AD416),AH416-AD416,0))</f>
        <v>0</v>
      </c>
      <c r="W416" s="7" t="str">
        <f aca="false">IF(L416="","",VALUE(LEFT(L416,FIND("/",L416)-1)))</f>
        <v/>
      </c>
      <c r="X416" s="7" t="str">
        <f aca="false">IF(L416="","",VALUE(MID(L416,FIND("/",L416)+1,FIND("/",L416,FIND("/",L416)+1)-FIND("/",L416)-1)))</f>
        <v/>
      </c>
      <c r="Y416" s="7" t="str">
        <f aca="false">IF(L416="","",VALUE(MID(L416,FIND("/",L416,FIND("/",L416)+1)+1,LEN(L416)-FIND("/",L416,FIND("/",L416)+1))))</f>
        <v/>
      </c>
      <c r="Z416" s="7" t="str">
        <f aca="false">IF(OR(L416="",W416=""),"",IFERROR(INDEX('لیست‌ها'!$Q$3:$Q$53,MATCH(W416,'لیست‌ها'!$P$3:$P$53,0))+IF(X416&lt;=6,(X416-1)*31+Y416,IF(X416&lt;=11,186+(X416-7)*30+Y416,336+Y416))-1,""))</f>
        <v/>
      </c>
      <c r="AA416" s="7" t="str">
        <f aca="false">IF(H416="","",VALUE(LEFT(H416,FIND("/",H416)-1)))</f>
        <v/>
      </c>
      <c r="AB416" s="7" t="str">
        <f aca="false">IF(H416="","",VALUE(MID(H416,FIND("/",H416)+1,FIND("/",H416,FIND("/",H416)+1)-FIND("/",H416)-1)))</f>
        <v/>
      </c>
      <c r="AC416" s="7" t="str">
        <f aca="false">IF(H416="","",VALUE(MID(H416,FIND("/",H416,FIND("/",H416)+1)+1,LEN(H416)-FIND("/",H416,FIND("/",H416)+1))))</f>
        <v/>
      </c>
      <c r="AD416" s="7" t="str">
        <f aca="false">IF(OR(H416="",AA416=""),"",IFERROR(INDEX('لیست‌ها'!$Q$3:$Q$53,MATCH(AA416,'لیست‌ها'!$P$3:$P$53,0))+IF(AB416&lt;=6,(AB416-1)*31+AC416,IF(AB416&lt;=11,186+(AB416-7)*30+AC416,336+AC416))-1,""))</f>
        <v/>
      </c>
      <c r="AE416" s="7" t="str">
        <f aca="false">IF(P416="","",VALUE(LEFT(P416,FIND("/",P416)-1)))</f>
        <v/>
      </c>
      <c r="AF416" s="7" t="str">
        <f aca="false">IF(P416="","",VALUE(MID(P416,FIND("/",P416)+1,FIND("/",P416,FIND("/",P416)+1)-FIND("/",P416)-1)))</f>
        <v/>
      </c>
      <c r="AG416" s="7" t="str">
        <f aca="false">IF(P416="","",VALUE(MID(P416,FIND("/",P416,FIND("/",P416)+1)+1,LEN(P416)-FIND("/",P416,FIND("/",P416)+1))))</f>
        <v/>
      </c>
      <c r="AH416" s="7" t="str">
        <f aca="false">IF(OR(P416="",AE416=""),"",IFERROR(INDEX('لیست‌ها'!$Q$3:$Q$53,MATCH(AE416,'لیست‌ها'!$P$3:$P$53,0))+IF(AF416&lt;=6,(AF416-1)*31+AG416,IF(AF416&lt;=11,186+(AF416-7)*30+AG416,336+AG416))-1,""))</f>
        <v/>
      </c>
      <c r="AI416" s="7" t="str">
        <f aca="false">IF(W416="","",W416&amp;"-"&amp;TEXT(X416,"00"))</f>
        <v/>
      </c>
      <c r="AJ416" s="7" t="str">
        <f aca="false">IF(W416="","",W416*12+X416)</f>
        <v/>
      </c>
      <c r="AK416" s="7" t="str">
        <f aca="false">IF(U416="تاخیر",V416+ROW()/100000,"")</f>
        <v/>
      </c>
    </row>
    <row r="417" customFormat="false" ht="15" hidden="false" customHeight="false" outlineLevel="0" collapsed="false">
      <c r="A417" s="7" t="str">
        <f aca="false">IF(B417="","",ROW()-3)</f>
        <v/>
      </c>
      <c r="B417" s="8"/>
      <c r="C417" s="8"/>
      <c r="D417" s="8"/>
      <c r="E417" s="9"/>
      <c r="F417" s="9"/>
      <c r="G417" s="8"/>
      <c r="H417" s="8"/>
      <c r="I417" s="8"/>
      <c r="J417" s="9"/>
      <c r="K417" s="8"/>
      <c r="L417" s="8"/>
      <c r="M417" s="8"/>
      <c r="N417" s="8"/>
      <c r="O417" s="8"/>
      <c r="P417" s="8"/>
      <c r="Q417" s="8"/>
      <c r="R417" s="9"/>
      <c r="S417" s="8"/>
      <c r="T417" s="9"/>
      <c r="U417" s="10" t="str">
        <f aca="true">IF(B417="","",IF(OR(P417&lt;&gt;"",I417="می‌باشد"),"بسته",IF(AND(L417&lt;&gt;"",W417=""),"خطای فرمت تاریخ ایجاد",IF(AND(H417&lt;&gt;"",AA417=""),"خطای فرمت مهلت",IF(AND(H417&lt;&gt;"",AD417&lt;&gt;"",TODAY()&gt;AD417),"تاخیر",IF(L417&lt;&gt;"","در حال انجام",""))))))</f>
        <v/>
      </c>
      <c r="V417" s="7" t="n">
        <f aca="true">IF(U417="تاخیر",TODAY()-AD417,IF(AND(U417="بسته",AH417&lt;&gt;"",AD417&lt;&gt;"",AH417&gt;AD417),AH417-AD417,0))</f>
        <v>0</v>
      </c>
      <c r="W417" s="7" t="str">
        <f aca="false">IF(L417="","",VALUE(LEFT(L417,FIND("/",L417)-1)))</f>
        <v/>
      </c>
      <c r="X417" s="7" t="str">
        <f aca="false">IF(L417="","",VALUE(MID(L417,FIND("/",L417)+1,FIND("/",L417,FIND("/",L417)+1)-FIND("/",L417)-1)))</f>
        <v/>
      </c>
      <c r="Y417" s="7" t="str">
        <f aca="false">IF(L417="","",VALUE(MID(L417,FIND("/",L417,FIND("/",L417)+1)+1,LEN(L417)-FIND("/",L417,FIND("/",L417)+1))))</f>
        <v/>
      </c>
      <c r="Z417" s="7" t="str">
        <f aca="false">IF(OR(L417="",W417=""),"",IFERROR(INDEX('لیست‌ها'!$Q$3:$Q$53,MATCH(W417,'لیست‌ها'!$P$3:$P$53,0))+IF(X417&lt;=6,(X417-1)*31+Y417,IF(X417&lt;=11,186+(X417-7)*30+Y417,336+Y417))-1,""))</f>
        <v/>
      </c>
      <c r="AA417" s="7" t="str">
        <f aca="false">IF(H417="","",VALUE(LEFT(H417,FIND("/",H417)-1)))</f>
        <v/>
      </c>
      <c r="AB417" s="7" t="str">
        <f aca="false">IF(H417="","",VALUE(MID(H417,FIND("/",H417)+1,FIND("/",H417,FIND("/",H417)+1)-FIND("/",H417)-1)))</f>
        <v/>
      </c>
      <c r="AC417" s="7" t="str">
        <f aca="false">IF(H417="","",VALUE(MID(H417,FIND("/",H417,FIND("/",H417)+1)+1,LEN(H417)-FIND("/",H417,FIND("/",H417)+1))))</f>
        <v/>
      </c>
      <c r="AD417" s="7" t="str">
        <f aca="false">IF(OR(H417="",AA417=""),"",IFERROR(INDEX('لیست‌ها'!$Q$3:$Q$53,MATCH(AA417,'لیست‌ها'!$P$3:$P$53,0))+IF(AB417&lt;=6,(AB417-1)*31+AC417,IF(AB417&lt;=11,186+(AB417-7)*30+AC417,336+AC417))-1,""))</f>
        <v/>
      </c>
      <c r="AE417" s="7" t="str">
        <f aca="false">IF(P417="","",VALUE(LEFT(P417,FIND("/",P417)-1)))</f>
        <v/>
      </c>
      <c r="AF417" s="7" t="str">
        <f aca="false">IF(P417="","",VALUE(MID(P417,FIND("/",P417)+1,FIND("/",P417,FIND("/",P417)+1)-FIND("/",P417)-1)))</f>
        <v/>
      </c>
      <c r="AG417" s="7" t="str">
        <f aca="false">IF(P417="","",VALUE(MID(P417,FIND("/",P417,FIND("/",P417)+1)+1,LEN(P417)-FIND("/",P417,FIND("/",P417)+1))))</f>
        <v/>
      </c>
      <c r="AH417" s="7" t="str">
        <f aca="false">IF(OR(P417="",AE417=""),"",IFERROR(INDEX('لیست‌ها'!$Q$3:$Q$53,MATCH(AE417,'لیست‌ها'!$P$3:$P$53,0))+IF(AF417&lt;=6,(AF417-1)*31+AG417,IF(AF417&lt;=11,186+(AF417-7)*30+AG417,336+AG417))-1,""))</f>
        <v/>
      </c>
      <c r="AI417" s="7" t="str">
        <f aca="false">IF(W417="","",W417&amp;"-"&amp;TEXT(X417,"00"))</f>
        <v/>
      </c>
      <c r="AJ417" s="7" t="str">
        <f aca="false">IF(W417="","",W417*12+X417)</f>
        <v/>
      </c>
      <c r="AK417" s="7" t="str">
        <f aca="false">IF(U417="تاخیر",V417+ROW()/100000,"")</f>
        <v/>
      </c>
    </row>
    <row r="418" customFormat="false" ht="15" hidden="false" customHeight="false" outlineLevel="0" collapsed="false">
      <c r="A418" s="7" t="str">
        <f aca="false">IF(B418="","",ROW()-3)</f>
        <v/>
      </c>
      <c r="B418" s="8"/>
      <c r="C418" s="8"/>
      <c r="D418" s="8"/>
      <c r="E418" s="9"/>
      <c r="F418" s="9"/>
      <c r="G418" s="8"/>
      <c r="H418" s="8"/>
      <c r="I418" s="8"/>
      <c r="J418" s="9"/>
      <c r="K418" s="8"/>
      <c r="L418" s="8"/>
      <c r="M418" s="8"/>
      <c r="N418" s="8"/>
      <c r="O418" s="8"/>
      <c r="P418" s="8"/>
      <c r="Q418" s="8"/>
      <c r="R418" s="9"/>
      <c r="S418" s="8"/>
      <c r="T418" s="9"/>
      <c r="U418" s="10" t="str">
        <f aca="true">IF(B418="","",IF(OR(P418&lt;&gt;"",I418="می‌باشد"),"بسته",IF(AND(L418&lt;&gt;"",W418=""),"خطای فرمت تاریخ ایجاد",IF(AND(H418&lt;&gt;"",AA418=""),"خطای فرمت مهلت",IF(AND(H418&lt;&gt;"",AD418&lt;&gt;"",TODAY()&gt;AD418),"تاخیر",IF(L418&lt;&gt;"","در حال انجام",""))))))</f>
        <v/>
      </c>
      <c r="V418" s="7" t="n">
        <f aca="true">IF(U418="تاخیر",TODAY()-AD418,IF(AND(U418="بسته",AH418&lt;&gt;"",AD418&lt;&gt;"",AH418&gt;AD418),AH418-AD418,0))</f>
        <v>0</v>
      </c>
      <c r="W418" s="7" t="str">
        <f aca="false">IF(L418="","",VALUE(LEFT(L418,FIND("/",L418)-1)))</f>
        <v/>
      </c>
      <c r="X418" s="7" t="str">
        <f aca="false">IF(L418="","",VALUE(MID(L418,FIND("/",L418)+1,FIND("/",L418,FIND("/",L418)+1)-FIND("/",L418)-1)))</f>
        <v/>
      </c>
      <c r="Y418" s="7" t="str">
        <f aca="false">IF(L418="","",VALUE(MID(L418,FIND("/",L418,FIND("/",L418)+1)+1,LEN(L418)-FIND("/",L418,FIND("/",L418)+1))))</f>
        <v/>
      </c>
      <c r="Z418" s="7" t="str">
        <f aca="false">IF(OR(L418="",W418=""),"",IFERROR(INDEX('لیست‌ها'!$Q$3:$Q$53,MATCH(W418,'لیست‌ها'!$P$3:$P$53,0))+IF(X418&lt;=6,(X418-1)*31+Y418,IF(X418&lt;=11,186+(X418-7)*30+Y418,336+Y418))-1,""))</f>
        <v/>
      </c>
      <c r="AA418" s="7" t="str">
        <f aca="false">IF(H418="","",VALUE(LEFT(H418,FIND("/",H418)-1)))</f>
        <v/>
      </c>
      <c r="AB418" s="7" t="str">
        <f aca="false">IF(H418="","",VALUE(MID(H418,FIND("/",H418)+1,FIND("/",H418,FIND("/",H418)+1)-FIND("/",H418)-1)))</f>
        <v/>
      </c>
      <c r="AC418" s="7" t="str">
        <f aca="false">IF(H418="","",VALUE(MID(H418,FIND("/",H418,FIND("/",H418)+1)+1,LEN(H418)-FIND("/",H418,FIND("/",H418)+1))))</f>
        <v/>
      </c>
      <c r="AD418" s="7" t="str">
        <f aca="false">IF(OR(H418="",AA418=""),"",IFERROR(INDEX('لیست‌ها'!$Q$3:$Q$53,MATCH(AA418,'لیست‌ها'!$P$3:$P$53,0))+IF(AB418&lt;=6,(AB418-1)*31+AC418,IF(AB418&lt;=11,186+(AB418-7)*30+AC418,336+AC418))-1,""))</f>
        <v/>
      </c>
      <c r="AE418" s="7" t="str">
        <f aca="false">IF(P418="","",VALUE(LEFT(P418,FIND("/",P418)-1)))</f>
        <v/>
      </c>
      <c r="AF418" s="7" t="str">
        <f aca="false">IF(P418="","",VALUE(MID(P418,FIND("/",P418)+1,FIND("/",P418,FIND("/",P418)+1)-FIND("/",P418)-1)))</f>
        <v/>
      </c>
      <c r="AG418" s="7" t="str">
        <f aca="false">IF(P418="","",VALUE(MID(P418,FIND("/",P418,FIND("/",P418)+1)+1,LEN(P418)-FIND("/",P418,FIND("/",P418)+1))))</f>
        <v/>
      </c>
      <c r="AH418" s="7" t="str">
        <f aca="false">IF(OR(P418="",AE418=""),"",IFERROR(INDEX('لیست‌ها'!$Q$3:$Q$53,MATCH(AE418,'لیست‌ها'!$P$3:$P$53,0))+IF(AF418&lt;=6,(AF418-1)*31+AG418,IF(AF418&lt;=11,186+(AF418-7)*30+AG418,336+AG418))-1,""))</f>
        <v/>
      </c>
      <c r="AI418" s="7" t="str">
        <f aca="false">IF(W418="","",W418&amp;"-"&amp;TEXT(X418,"00"))</f>
        <v/>
      </c>
      <c r="AJ418" s="7" t="str">
        <f aca="false">IF(W418="","",W418*12+X418)</f>
        <v/>
      </c>
      <c r="AK418" s="7" t="str">
        <f aca="false">IF(U418="تاخیر",V418+ROW()/100000,"")</f>
        <v/>
      </c>
    </row>
    <row r="419" customFormat="false" ht="15" hidden="false" customHeight="false" outlineLevel="0" collapsed="false">
      <c r="A419" s="7" t="str">
        <f aca="false">IF(B419="","",ROW()-3)</f>
        <v/>
      </c>
      <c r="B419" s="8"/>
      <c r="C419" s="8"/>
      <c r="D419" s="8"/>
      <c r="E419" s="9"/>
      <c r="F419" s="9"/>
      <c r="G419" s="8"/>
      <c r="H419" s="8"/>
      <c r="I419" s="8"/>
      <c r="J419" s="9"/>
      <c r="K419" s="8"/>
      <c r="L419" s="8"/>
      <c r="M419" s="8"/>
      <c r="N419" s="8"/>
      <c r="O419" s="8"/>
      <c r="P419" s="8"/>
      <c r="Q419" s="8"/>
      <c r="R419" s="9"/>
      <c r="S419" s="8"/>
      <c r="T419" s="9"/>
      <c r="U419" s="10" t="str">
        <f aca="true">IF(B419="","",IF(OR(P419&lt;&gt;"",I419="می‌باشد"),"بسته",IF(AND(L419&lt;&gt;"",W419=""),"خطای فرمت تاریخ ایجاد",IF(AND(H419&lt;&gt;"",AA419=""),"خطای فرمت مهلت",IF(AND(H419&lt;&gt;"",AD419&lt;&gt;"",TODAY()&gt;AD419),"تاخیر",IF(L419&lt;&gt;"","در حال انجام",""))))))</f>
        <v/>
      </c>
      <c r="V419" s="7" t="n">
        <f aca="true">IF(U419="تاخیر",TODAY()-AD419,IF(AND(U419="بسته",AH419&lt;&gt;"",AD419&lt;&gt;"",AH419&gt;AD419),AH419-AD419,0))</f>
        <v>0</v>
      </c>
      <c r="W419" s="7" t="str">
        <f aca="false">IF(L419="","",VALUE(LEFT(L419,FIND("/",L419)-1)))</f>
        <v/>
      </c>
      <c r="X419" s="7" t="str">
        <f aca="false">IF(L419="","",VALUE(MID(L419,FIND("/",L419)+1,FIND("/",L419,FIND("/",L419)+1)-FIND("/",L419)-1)))</f>
        <v/>
      </c>
      <c r="Y419" s="7" t="str">
        <f aca="false">IF(L419="","",VALUE(MID(L419,FIND("/",L419,FIND("/",L419)+1)+1,LEN(L419)-FIND("/",L419,FIND("/",L419)+1))))</f>
        <v/>
      </c>
      <c r="Z419" s="7" t="str">
        <f aca="false">IF(OR(L419="",W419=""),"",IFERROR(INDEX('لیست‌ها'!$Q$3:$Q$53,MATCH(W419,'لیست‌ها'!$P$3:$P$53,0))+IF(X419&lt;=6,(X419-1)*31+Y419,IF(X419&lt;=11,186+(X419-7)*30+Y419,336+Y419))-1,""))</f>
        <v/>
      </c>
      <c r="AA419" s="7" t="str">
        <f aca="false">IF(H419="","",VALUE(LEFT(H419,FIND("/",H419)-1)))</f>
        <v/>
      </c>
      <c r="AB419" s="7" t="str">
        <f aca="false">IF(H419="","",VALUE(MID(H419,FIND("/",H419)+1,FIND("/",H419,FIND("/",H419)+1)-FIND("/",H419)-1)))</f>
        <v/>
      </c>
      <c r="AC419" s="7" t="str">
        <f aca="false">IF(H419="","",VALUE(MID(H419,FIND("/",H419,FIND("/",H419)+1)+1,LEN(H419)-FIND("/",H419,FIND("/",H419)+1))))</f>
        <v/>
      </c>
      <c r="AD419" s="7" t="str">
        <f aca="false">IF(OR(H419="",AA419=""),"",IFERROR(INDEX('لیست‌ها'!$Q$3:$Q$53,MATCH(AA419,'لیست‌ها'!$P$3:$P$53,0))+IF(AB419&lt;=6,(AB419-1)*31+AC419,IF(AB419&lt;=11,186+(AB419-7)*30+AC419,336+AC419))-1,""))</f>
        <v/>
      </c>
      <c r="AE419" s="7" t="str">
        <f aca="false">IF(P419="","",VALUE(LEFT(P419,FIND("/",P419)-1)))</f>
        <v/>
      </c>
      <c r="AF419" s="7" t="str">
        <f aca="false">IF(P419="","",VALUE(MID(P419,FIND("/",P419)+1,FIND("/",P419,FIND("/",P419)+1)-FIND("/",P419)-1)))</f>
        <v/>
      </c>
      <c r="AG419" s="7" t="str">
        <f aca="false">IF(P419="","",VALUE(MID(P419,FIND("/",P419,FIND("/",P419)+1)+1,LEN(P419)-FIND("/",P419,FIND("/",P419)+1))))</f>
        <v/>
      </c>
      <c r="AH419" s="7" t="str">
        <f aca="false">IF(OR(P419="",AE419=""),"",IFERROR(INDEX('لیست‌ها'!$Q$3:$Q$53,MATCH(AE419,'لیست‌ها'!$P$3:$P$53,0))+IF(AF419&lt;=6,(AF419-1)*31+AG419,IF(AF419&lt;=11,186+(AF419-7)*30+AG419,336+AG419))-1,""))</f>
        <v/>
      </c>
      <c r="AI419" s="7" t="str">
        <f aca="false">IF(W419="","",W419&amp;"-"&amp;TEXT(X419,"00"))</f>
        <v/>
      </c>
      <c r="AJ419" s="7" t="str">
        <f aca="false">IF(W419="","",W419*12+X419)</f>
        <v/>
      </c>
      <c r="AK419" s="7" t="str">
        <f aca="false">IF(U419="تاخیر",V419+ROW()/100000,"")</f>
        <v/>
      </c>
    </row>
    <row r="420" customFormat="false" ht="15" hidden="false" customHeight="false" outlineLevel="0" collapsed="false">
      <c r="A420" s="7" t="str">
        <f aca="false">IF(B420="","",ROW()-3)</f>
        <v/>
      </c>
      <c r="B420" s="8"/>
      <c r="C420" s="8"/>
      <c r="D420" s="8"/>
      <c r="E420" s="9"/>
      <c r="F420" s="9"/>
      <c r="G420" s="8"/>
      <c r="H420" s="8"/>
      <c r="I420" s="8"/>
      <c r="J420" s="9"/>
      <c r="K420" s="8"/>
      <c r="L420" s="8"/>
      <c r="M420" s="8"/>
      <c r="N420" s="8"/>
      <c r="O420" s="8"/>
      <c r="P420" s="8"/>
      <c r="Q420" s="8"/>
      <c r="R420" s="9"/>
      <c r="S420" s="8"/>
      <c r="T420" s="9"/>
      <c r="U420" s="10" t="str">
        <f aca="true">IF(B420="","",IF(OR(P420&lt;&gt;"",I420="می‌باشد"),"بسته",IF(AND(L420&lt;&gt;"",W420=""),"خطای فرمت تاریخ ایجاد",IF(AND(H420&lt;&gt;"",AA420=""),"خطای فرمت مهلت",IF(AND(H420&lt;&gt;"",AD420&lt;&gt;"",TODAY()&gt;AD420),"تاخیر",IF(L420&lt;&gt;"","در حال انجام",""))))))</f>
        <v/>
      </c>
      <c r="V420" s="7" t="n">
        <f aca="true">IF(U420="تاخیر",TODAY()-AD420,IF(AND(U420="بسته",AH420&lt;&gt;"",AD420&lt;&gt;"",AH420&gt;AD420),AH420-AD420,0))</f>
        <v>0</v>
      </c>
      <c r="W420" s="7" t="str">
        <f aca="false">IF(L420="","",VALUE(LEFT(L420,FIND("/",L420)-1)))</f>
        <v/>
      </c>
      <c r="X420" s="7" t="str">
        <f aca="false">IF(L420="","",VALUE(MID(L420,FIND("/",L420)+1,FIND("/",L420,FIND("/",L420)+1)-FIND("/",L420)-1)))</f>
        <v/>
      </c>
      <c r="Y420" s="7" t="str">
        <f aca="false">IF(L420="","",VALUE(MID(L420,FIND("/",L420,FIND("/",L420)+1)+1,LEN(L420)-FIND("/",L420,FIND("/",L420)+1))))</f>
        <v/>
      </c>
      <c r="Z420" s="7" t="str">
        <f aca="false">IF(OR(L420="",W420=""),"",IFERROR(INDEX('لیست‌ها'!$Q$3:$Q$53,MATCH(W420,'لیست‌ها'!$P$3:$P$53,0))+IF(X420&lt;=6,(X420-1)*31+Y420,IF(X420&lt;=11,186+(X420-7)*30+Y420,336+Y420))-1,""))</f>
        <v/>
      </c>
      <c r="AA420" s="7" t="str">
        <f aca="false">IF(H420="","",VALUE(LEFT(H420,FIND("/",H420)-1)))</f>
        <v/>
      </c>
      <c r="AB420" s="7" t="str">
        <f aca="false">IF(H420="","",VALUE(MID(H420,FIND("/",H420)+1,FIND("/",H420,FIND("/",H420)+1)-FIND("/",H420)-1)))</f>
        <v/>
      </c>
      <c r="AC420" s="7" t="str">
        <f aca="false">IF(H420="","",VALUE(MID(H420,FIND("/",H420,FIND("/",H420)+1)+1,LEN(H420)-FIND("/",H420,FIND("/",H420)+1))))</f>
        <v/>
      </c>
      <c r="AD420" s="7" t="str">
        <f aca="false">IF(OR(H420="",AA420=""),"",IFERROR(INDEX('لیست‌ها'!$Q$3:$Q$53,MATCH(AA420,'لیست‌ها'!$P$3:$P$53,0))+IF(AB420&lt;=6,(AB420-1)*31+AC420,IF(AB420&lt;=11,186+(AB420-7)*30+AC420,336+AC420))-1,""))</f>
        <v/>
      </c>
      <c r="AE420" s="7" t="str">
        <f aca="false">IF(P420="","",VALUE(LEFT(P420,FIND("/",P420)-1)))</f>
        <v/>
      </c>
      <c r="AF420" s="7" t="str">
        <f aca="false">IF(P420="","",VALUE(MID(P420,FIND("/",P420)+1,FIND("/",P420,FIND("/",P420)+1)-FIND("/",P420)-1)))</f>
        <v/>
      </c>
      <c r="AG420" s="7" t="str">
        <f aca="false">IF(P420="","",VALUE(MID(P420,FIND("/",P420,FIND("/",P420)+1)+1,LEN(P420)-FIND("/",P420,FIND("/",P420)+1))))</f>
        <v/>
      </c>
      <c r="AH420" s="7" t="str">
        <f aca="false">IF(OR(P420="",AE420=""),"",IFERROR(INDEX('لیست‌ها'!$Q$3:$Q$53,MATCH(AE420,'لیست‌ها'!$P$3:$P$53,0))+IF(AF420&lt;=6,(AF420-1)*31+AG420,IF(AF420&lt;=11,186+(AF420-7)*30+AG420,336+AG420))-1,""))</f>
        <v/>
      </c>
      <c r="AI420" s="7" t="str">
        <f aca="false">IF(W420="","",W420&amp;"-"&amp;TEXT(X420,"00"))</f>
        <v/>
      </c>
      <c r="AJ420" s="7" t="str">
        <f aca="false">IF(W420="","",W420*12+X420)</f>
        <v/>
      </c>
      <c r="AK420" s="7" t="str">
        <f aca="false">IF(U420="تاخیر",V420+ROW()/100000,"")</f>
        <v/>
      </c>
    </row>
    <row r="421" customFormat="false" ht="15" hidden="false" customHeight="false" outlineLevel="0" collapsed="false">
      <c r="A421" s="7" t="str">
        <f aca="false">IF(B421="","",ROW()-3)</f>
        <v/>
      </c>
      <c r="B421" s="8"/>
      <c r="C421" s="8"/>
      <c r="D421" s="8"/>
      <c r="E421" s="9"/>
      <c r="F421" s="9"/>
      <c r="G421" s="8"/>
      <c r="H421" s="8"/>
      <c r="I421" s="8"/>
      <c r="J421" s="9"/>
      <c r="K421" s="8"/>
      <c r="L421" s="8"/>
      <c r="M421" s="8"/>
      <c r="N421" s="8"/>
      <c r="O421" s="8"/>
      <c r="P421" s="8"/>
      <c r="Q421" s="8"/>
      <c r="R421" s="9"/>
      <c r="S421" s="8"/>
      <c r="T421" s="9"/>
      <c r="U421" s="10" t="str">
        <f aca="true">IF(B421="","",IF(OR(P421&lt;&gt;"",I421="می‌باشد"),"بسته",IF(AND(L421&lt;&gt;"",W421=""),"خطای فرمت تاریخ ایجاد",IF(AND(H421&lt;&gt;"",AA421=""),"خطای فرمت مهلت",IF(AND(H421&lt;&gt;"",AD421&lt;&gt;"",TODAY()&gt;AD421),"تاخیر",IF(L421&lt;&gt;"","در حال انجام",""))))))</f>
        <v/>
      </c>
      <c r="V421" s="7" t="n">
        <f aca="true">IF(U421="تاخیر",TODAY()-AD421,IF(AND(U421="بسته",AH421&lt;&gt;"",AD421&lt;&gt;"",AH421&gt;AD421),AH421-AD421,0))</f>
        <v>0</v>
      </c>
      <c r="W421" s="7" t="str">
        <f aca="false">IF(L421="","",VALUE(LEFT(L421,FIND("/",L421)-1)))</f>
        <v/>
      </c>
      <c r="X421" s="7" t="str">
        <f aca="false">IF(L421="","",VALUE(MID(L421,FIND("/",L421)+1,FIND("/",L421,FIND("/",L421)+1)-FIND("/",L421)-1)))</f>
        <v/>
      </c>
      <c r="Y421" s="7" t="str">
        <f aca="false">IF(L421="","",VALUE(MID(L421,FIND("/",L421,FIND("/",L421)+1)+1,LEN(L421)-FIND("/",L421,FIND("/",L421)+1))))</f>
        <v/>
      </c>
      <c r="Z421" s="7" t="str">
        <f aca="false">IF(OR(L421="",W421=""),"",IFERROR(INDEX('لیست‌ها'!$Q$3:$Q$53,MATCH(W421,'لیست‌ها'!$P$3:$P$53,0))+IF(X421&lt;=6,(X421-1)*31+Y421,IF(X421&lt;=11,186+(X421-7)*30+Y421,336+Y421))-1,""))</f>
        <v/>
      </c>
      <c r="AA421" s="7" t="str">
        <f aca="false">IF(H421="","",VALUE(LEFT(H421,FIND("/",H421)-1)))</f>
        <v/>
      </c>
      <c r="AB421" s="7" t="str">
        <f aca="false">IF(H421="","",VALUE(MID(H421,FIND("/",H421)+1,FIND("/",H421,FIND("/",H421)+1)-FIND("/",H421)-1)))</f>
        <v/>
      </c>
      <c r="AC421" s="7" t="str">
        <f aca="false">IF(H421="","",VALUE(MID(H421,FIND("/",H421,FIND("/",H421)+1)+1,LEN(H421)-FIND("/",H421,FIND("/",H421)+1))))</f>
        <v/>
      </c>
      <c r="AD421" s="7" t="str">
        <f aca="false">IF(OR(H421="",AA421=""),"",IFERROR(INDEX('لیست‌ها'!$Q$3:$Q$53,MATCH(AA421,'لیست‌ها'!$P$3:$P$53,0))+IF(AB421&lt;=6,(AB421-1)*31+AC421,IF(AB421&lt;=11,186+(AB421-7)*30+AC421,336+AC421))-1,""))</f>
        <v/>
      </c>
      <c r="AE421" s="7" t="str">
        <f aca="false">IF(P421="","",VALUE(LEFT(P421,FIND("/",P421)-1)))</f>
        <v/>
      </c>
      <c r="AF421" s="7" t="str">
        <f aca="false">IF(P421="","",VALUE(MID(P421,FIND("/",P421)+1,FIND("/",P421,FIND("/",P421)+1)-FIND("/",P421)-1)))</f>
        <v/>
      </c>
      <c r="AG421" s="7" t="str">
        <f aca="false">IF(P421="","",VALUE(MID(P421,FIND("/",P421,FIND("/",P421)+1)+1,LEN(P421)-FIND("/",P421,FIND("/",P421)+1))))</f>
        <v/>
      </c>
      <c r="AH421" s="7" t="str">
        <f aca="false">IF(OR(P421="",AE421=""),"",IFERROR(INDEX('لیست‌ها'!$Q$3:$Q$53,MATCH(AE421,'لیست‌ها'!$P$3:$P$53,0))+IF(AF421&lt;=6,(AF421-1)*31+AG421,IF(AF421&lt;=11,186+(AF421-7)*30+AG421,336+AG421))-1,""))</f>
        <v/>
      </c>
      <c r="AI421" s="7" t="str">
        <f aca="false">IF(W421="","",W421&amp;"-"&amp;TEXT(X421,"00"))</f>
        <v/>
      </c>
      <c r="AJ421" s="7" t="str">
        <f aca="false">IF(W421="","",W421*12+X421)</f>
        <v/>
      </c>
      <c r="AK421" s="7" t="str">
        <f aca="false">IF(U421="تاخیر",V421+ROW()/100000,"")</f>
        <v/>
      </c>
    </row>
    <row r="422" customFormat="false" ht="15" hidden="false" customHeight="false" outlineLevel="0" collapsed="false">
      <c r="A422" s="7" t="str">
        <f aca="false">IF(B422="","",ROW()-3)</f>
        <v/>
      </c>
      <c r="B422" s="8"/>
      <c r="C422" s="8"/>
      <c r="D422" s="8"/>
      <c r="E422" s="9"/>
      <c r="F422" s="9"/>
      <c r="G422" s="8"/>
      <c r="H422" s="8"/>
      <c r="I422" s="8"/>
      <c r="J422" s="9"/>
      <c r="K422" s="8"/>
      <c r="L422" s="8"/>
      <c r="M422" s="8"/>
      <c r="N422" s="8"/>
      <c r="O422" s="8"/>
      <c r="P422" s="8"/>
      <c r="Q422" s="8"/>
      <c r="R422" s="9"/>
      <c r="S422" s="8"/>
      <c r="T422" s="9"/>
      <c r="U422" s="10" t="str">
        <f aca="true">IF(B422="","",IF(OR(P422&lt;&gt;"",I422="می‌باشد"),"بسته",IF(AND(L422&lt;&gt;"",W422=""),"خطای فرمت تاریخ ایجاد",IF(AND(H422&lt;&gt;"",AA422=""),"خطای فرمت مهلت",IF(AND(H422&lt;&gt;"",AD422&lt;&gt;"",TODAY()&gt;AD422),"تاخیر",IF(L422&lt;&gt;"","در حال انجام",""))))))</f>
        <v/>
      </c>
      <c r="V422" s="7" t="n">
        <f aca="true">IF(U422="تاخیر",TODAY()-AD422,IF(AND(U422="بسته",AH422&lt;&gt;"",AD422&lt;&gt;"",AH422&gt;AD422),AH422-AD422,0))</f>
        <v>0</v>
      </c>
      <c r="W422" s="7" t="str">
        <f aca="false">IF(L422="","",VALUE(LEFT(L422,FIND("/",L422)-1)))</f>
        <v/>
      </c>
      <c r="X422" s="7" t="str">
        <f aca="false">IF(L422="","",VALUE(MID(L422,FIND("/",L422)+1,FIND("/",L422,FIND("/",L422)+1)-FIND("/",L422)-1)))</f>
        <v/>
      </c>
      <c r="Y422" s="7" t="str">
        <f aca="false">IF(L422="","",VALUE(MID(L422,FIND("/",L422,FIND("/",L422)+1)+1,LEN(L422)-FIND("/",L422,FIND("/",L422)+1))))</f>
        <v/>
      </c>
      <c r="Z422" s="7" t="str">
        <f aca="false">IF(OR(L422="",W422=""),"",IFERROR(INDEX('لیست‌ها'!$Q$3:$Q$53,MATCH(W422,'لیست‌ها'!$P$3:$P$53,0))+IF(X422&lt;=6,(X422-1)*31+Y422,IF(X422&lt;=11,186+(X422-7)*30+Y422,336+Y422))-1,""))</f>
        <v/>
      </c>
      <c r="AA422" s="7" t="str">
        <f aca="false">IF(H422="","",VALUE(LEFT(H422,FIND("/",H422)-1)))</f>
        <v/>
      </c>
      <c r="AB422" s="7" t="str">
        <f aca="false">IF(H422="","",VALUE(MID(H422,FIND("/",H422)+1,FIND("/",H422,FIND("/",H422)+1)-FIND("/",H422)-1)))</f>
        <v/>
      </c>
      <c r="AC422" s="7" t="str">
        <f aca="false">IF(H422="","",VALUE(MID(H422,FIND("/",H422,FIND("/",H422)+1)+1,LEN(H422)-FIND("/",H422,FIND("/",H422)+1))))</f>
        <v/>
      </c>
      <c r="AD422" s="7" t="str">
        <f aca="false">IF(OR(H422="",AA422=""),"",IFERROR(INDEX('لیست‌ها'!$Q$3:$Q$53,MATCH(AA422,'لیست‌ها'!$P$3:$P$53,0))+IF(AB422&lt;=6,(AB422-1)*31+AC422,IF(AB422&lt;=11,186+(AB422-7)*30+AC422,336+AC422))-1,""))</f>
        <v/>
      </c>
      <c r="AE422" s="7" t="str">
        <f aca="false">IF(P422="","",VALUE(LEFT(P422,FIND("/",P422)-1)))</f>
        <v/>
      </c>
      <c r="AF422" s="7" t="str">
        <f aca="false">IF(P422="","",VALUE(MID(P422,FIND("/",P422)+1,FIND("/",P422,FIND("/",P422)+1)-FIND("/",P422)-1)))</f>
        <v/>
      </c>
      <c r="AG422" s="7" t="str">
        <f aca="false">IF(P422="","",VALUE(MID(P422,FIND("/",P422,FIND("/",P422)+1)+1,LEN(P422)-FIND("/",P422,FIND("/",P422)+1))))</f>
        <v/>
      </c>
      <c r="AH422" s="7" t="str">
        <f aca="false">IF(OR(P422="",AE422=""),"",IFERROR(INDEX('لیست‌ها'!$Q$3:$Q$53,MATCH(AE422,'لیست‌ها'!$P$3:$P$53,0))+IF(AF422&lt;=6,(AF422-1)*31+AG422,IF(AF422&lt;=11,186+(AF422-7)*30+AG422,336+AG422))-1,""))</f>
        <v/>
      </c>
      <c r="AI422" s="7" t="str">
        <f aca="false">IF(W422="","",W422&amp;"-"&amp;TEXT(X422,"00"))</f>
        <v/>
      </c>
      <c r="AJ422" s="7" t="str">
        <f aca="false">IF(W422="","",W422*12+X422)</f>
        <v/>
      </c>
      <c r="AK422" s="7" t="str">
        <f aca="false">IF(U422="تاخیر",V422+ROW()/100000,"")</f>
        <v/>
      </c>
    </row>
    <row r="423" customFormat="false" ht="15" hidden="false" customHeight="false" outlineLevel="0" collapsed="false">
      <c r="A423" s="7" t="str">
        <f aca="false">IF(B423="","",ROW()-3)</f>
        <v/>
      </c>
      <c r="B423" s="8"/>
      <c r="C423" s="8"/>
      <c r="D423" s="8"/>
      <c r="E423" s="9"/>
      <c r="F423" s="9"/>
      <c r="G423" s="8"/>
      <c r="H423" s="8"/>
      <c r="I423" s="8"/>
      <c r="J423" s="9"/>
      <c r="K423" s="8"/>
      <c r="L423" s="8"/>
      <c r="M423" s="8"/>
      <c r="N423" s="8"/>
      <c r="O423" s="8"/>
      <c r="P423" s="8"/>
      <c r="Q423" s="8"/>
      <c r="R423" s="9"/>
      <c r="S423" s="8"/>
      <c r="T423" s="9"/>
      <c r="U423" s="10" t="str">
        <f aca="true">IF(B423="","",IF(OR(P423&lt;&gt;"",I423="می‌باشد"),"بسته",IF(AND(L423&lt;&gt;"",W423=""),"خطای فرمت تاریخ ایجاد",IF(AND(H423&lt;&gt;"",AA423=""),"خطای فرمت مهلت",IF(AND(H423&lt;&gt;"",AD423&lt;&gt;"",TODAY()&gt;AD423),"تاخیر",IF(L423&lt;&gt;"","در حال انجام",""))))))</f>
        <v/>
      </c>
      <c r="V423" s="7" t="n">
        <f aca="true">IF(U423="تاخیر",TODAY()-AD423,IF(AND(U423="بسته",AH423&lt;&gt;"",AD423&lt;&gt;"",AH423&gt;AD423),AH423-AD423,0))</f>
        <v>0</v>
      </c>
      <c r="W423" s="7" t="str">
        <f aca="false">IF(L423="","",VALUE(LEFT(L423,FIND("/",L423)-1)))</f>
        <v/>
      </c>
      <c r="X423" s="7" t="str">
        <f aca="false">IF(L423="","",VALUE(MID(L423,FIND("/",L423)+1,FIND("/",L423,FIND("/",L423)+1)-FIND("/",L423)-1)))</f>
        <v/>
      </c>
      <c r="Y423" s="7" t="str">
        <f aca="false">IF(L423="","",VALUE(MID(L423,FIND("/",L423,FIND("/",L423)+1)+1,LEN(L423)-FIND("/",L423,FIND("/",L423)+1))))</f>
        <v/>
      </c>
      <c r="Z423" s="7" t="str">
        <f aca="false">IF(OR(L423="",W423=""),"",IFERROR(INDEX('لیست‌ها'!$Q$3:$Q$53,MATCH(W423,'لیست‌ها'!$P$3:$P$53,0))+IF(X423&lt;=6,(X423-1)*31+Y423,IF(X423&lt;=11,186+(X423-7)*30+Y423,336+Y423))-1,""))</f>
        <v/>
      </c>
      <c r="AA423" s="7" t="str">
        <f aca="false">IF(H423="","",VALUE(LEFT(H423,FIND("/",H423)-1)))</f>
        <v/>
      </c>
      <c r="AB423" s="7" t="str">
        <f aca="false">IF(H423="","",VALUE(MID(H423,FIND("/",H423)+1,FIND("/",H423,FIND("/",H423)+1)-FIND("/",H423)-1)))</f>
        <v/>
      </c>
      <c r="AC423" s="7" t="str">
        <f aca="false">IF(H423="","",VALUE(MID(H423,FIND("/",H423,FIND("/",H423)+1)+1,LEN(H423)-FIND("/",H423,FIND("/",H423)+1))))</f>
        <v/>
      </c>
      <c r="AD423" s="7" t="str">
        <f aca="false">IF(OR(H423="",AA423=""),"",IFERROR(INDEX('لیست‌ها'!$Q$3:$Q$53,MATCH(AA423,'لیست‌ها'!$P$3:$P$53,0))+IF(AB423&lt;=6,(AB423-1)*31+AC423,IF(AB423&lt;=11,186+(AB423-7)*30+AC423,336+AC423))-1,""))</f>
        <v/>
      </c>
      <c r="AE423" s="7" t="str">
        <f aca="false">IF(P423="","",VALUE(LEFT(P423,FIND("/",P423)-1)))</f>
        <v/>
      </c>
      <c r="AF423" s="7" t="str">
        <f aca="false">IF(P423="","",VALUE(MID(P423,FIND("/",P423)+1,FIND("/",P423,FIND("/",P423)+1)-FIND("/",P423)-1)))</f>
        <v/>
      </c>
      <c r="AG423" s="7" t="str">
        <f aca="false">IF(P423="","",VALUE(MID(P423,FIND("/",P423,FIND("/",P423)+1)+1,LEN(P423)-FIND("/",P423,FIND("/",P423)+1))))</f>
        <v/>
      </c>
      <c r="AH423" s="7" t="str">
        <f aca="false">IF(OR(P423="",AE423=""),"",IFERROR(INDEX('لیست‌ها'!$Q$3:$Q$53,MATCH(AE423,'لیست‌ها'!$P$3:$P$53,0))+IF(AF423&lt;=6,(AF423-1)*31+AG423,IF(AF423&lt;=11,186+(AF423-7)*30+AG423,336+AG423))-1,""))</f>
        <v/>
      </c>
      <c r="AI423" s="7" t="str">
        <f aca="false">IF(W423="","",W423&amp;"-"&amp;TEXT(X423,"00"))</f>
        <v/>
      </c>
      <c r="AJ423" s="7" t="str">
        <f aca="false">IF(W423="","",W423*12+X423)</f>
        <v/>
      </c>
      <c r="AK423" s="7" t="str">
        <f aca="false">IF(U423="تاخیر",V423+ROW()/100000,"")</f>
        <v/>
      </c>
    </row>
    <row r="424" customFormat="false" ht="15" hidden="false" customHeight="false" outlineLevel="0" collapsed="false">
      <c r="A424" s="7" t="str">
        <f aca="false">IF(B424="","",ROW()-3)</f>
        <v/>
      </c>
      <c r="B424" s="8"/>
      <c r="C424" s="8"/>
      <c r="D424" s="8"/>
      <c r="E424" s="9"/>
      <c r="F424" s="9"/>
      <c r="G424" s="8"/>
      <c r="H424" s="8"/>
      <c r="I424" s="8"/>
      <c r="J424" s="9"/>
      <c r="K424" s="8"/>
      <c r="L424" s="8"/>
      <c r="M424" s="8"/>
      <c r="N424" s="8"/>
      <c r="O424" s="8"/>
      <c r="P424" s="8"/>
      <c r="Q424" s="8"/>
      <c r="R424" s="9"/>
      <c r="S424" s="8"/>
      <c r="T424" s="9"/>
      <c r="U424" s="10" t="str">
        <f aca="true">IF(B424="","",IF(OR(P424&lt;&gt;"",I424="می‌باشد"),"بسته",IF(AND(L424&lt;&gt;"",W424=""),"خطای فرمت تاریخ ایجاد",IF(AND(H424&lt;&gt;"",AA424=""),"خطای فرمت مهلت",IF(AND(H424&lt;&gt;"",AD424&lt;&gt;"",TODAY()&gt;AD424),"تاخیر",IF(L424&lt;&gt;"","در حال انجام",""))))))</f>
        <v/>
      </c>
      <c r="V424" s="7" t="n">
        <f aca="true">IF(U424="تاخیر",TODAY()-AD424,IF(AND(U424="بسته",AH424&lt;&gt;"",AD424&lt;&gt;"",AH424&gt;AD424),AH424-AD424,0))</f>
        <v>0</v>
      </c>
      <c r="W424" s="7" t="str">
        <f aca="false">IF(L424="","",VALUE(LEFT(L424,FIND("/",L424)-1)))</f>
        <v/>
      </c>
      <c r="X424" s="7" t="str">
        <f aca="false">IF(L424="","",VALUE(MID(L424,FIND("/",L424)+1,FIND("/",L424,FIND("/",L424)+1)-FIND("/",L424)-1)))</f>
        <v/>
      </c>
      <c r="Y424" s="7" t="str">
        <f aca="false">IF(L424="","",VALUE(MID(L424,FIND("/",L424,FIND("/",L424)+1)+1,LEN(L424)-FIND("/",L424,FIND("/",L424)+1))))</f>
        <v/>
      </c>
      <c r="Z424" s="7" t="str">
        <f aca="false">IF(OR(L424="",W424=""),"",IFERROR(INDEX('لیست‌ها'!$Q$3:$Q$53,MATCH(W424,'لیست‌ها'!$P$3:$P$53,0))+IF(X424&lt;=6,(X424-1)*31+Y424,IF(X424&lt;=11,186+(X424-7)*30+Y424,336+Y424))-1,""))</f>
        <v/>
      </c>
      <c r="AA424" s="7" t="str">
        <f aca="false">IF(H424="","",VALUE(LEFT(H424,FIND("/",H424)-1)))</f>
        <v/>
      </c>
      <c r="AB424" s="7" t="str">
        <f aca="false">IF(H424="","",VALUE(MID(H424,FIND("/",H424)+1,FIND("/",H424,FIND("/",H424)+1)-FIND("/",H424)-1)))</f>
        <v/>
      </c>
      <c r="AC424" s="7" t="str">
        <f aca="false">IF(H424="","",VALUE(MID(H424,FIND("/",H424,FIND("/",H424)+1)+1,LEN(H424)-FIND("/",H424,FIND("/",H424)+1))))</f>
        <v/>
      </c>
      <c r="AD424" s="7" t="str">
        <f aca="false">IF(OR(H424="",AA424=""),"",IFERROR(INDEX('لیست‌ها'!$Q$3:$Q$53,MATCH(AA424,'لیست‌ها'!$P$3:$P$53,0))+IF(AB424&lt;=6,(AB424-1)*31+AC424,IF(AB424&lt;=11,186+(AB424-7)*30+AC424,336+AC424))-1,""))</f>
        <v/>
      </c>
      <c r="AE424" s="7" t="str">
        <f aca="false">IF(P424="","",VALUE(LEFT(P424,FIND("/",P424)-1)))</f>
        <v/>
      </c>
      <c r="AF424" s="7" t="str">
        <f aca="false">IF(P424="","",VALUE(MID(P424,FIND("/",P424)+1,FIND("/",P424,FIND("/",P424)+1)-FIND("/",P424)-1)))</f>
        <v/>
      </c>
      <c r="AG424" s="7" t="str">
        <f aca="false">IF(P424="","",VALUE(MID(P424,FIND("/",P424,FIND("/",P424)+1)+1,LEN(P424)-FIND("/",P424,FIND("/",P424)+1))))</f>
        <v/>
      </c>
      <c r="AH424" s="7" t="str">
        <f aca="false">IF(OR(P424="",AE424=""),"",IFERROR(INDEX('لیست‌ها'!$Q$3:$Q$53,MATCH(AE424,'لیست‌ها'!$P$3:$P$53,0))+IF(AF424&lt;=6,(AF424-1)*31+AG424,IF(AF424&lt;=11,186+(AF424-7)*30+AG424,336+AG424))-1,""))</f>
        <v/>
      </c>
      <c r="AI424" s="7" t="str">
        <f aca="false">IF(W424="","",W424&amp;"-"&amp;TEXT(X424,"00"))</f>
        <v/>
      </c>
      <c r="AJ424" s="7" t="str">
        <f aca="false">IF(W424="","",W424*12+X424)</f>
        <v/>
      </c>
      <c r="AK424" s="7" t="str">
        <f aca="false">IF(U424="تاخیر",V424+ROW()/100000,"")</f>
        <v/>
      </c>
    </row>
    <row r="425" customFormat="false" ht="15" hidden="false" customHeight="false" outlineLevel="0" collapsed="false">
      <c r="A425" s="7" t="str">
        <f aca="false">IF(B425="","",ROW()-3)</f>
        <v/>
      </c>
      <c r="B425" s="8"/>
      <c r="C425" s="8"/>
      <c r="D425" s="8"/>
      <c r="E425" s="9"/>
      <c r="F425" s="9"/>
      <c r="G425" s="8"/>
      <c r="H425" s="8"/>
      <c r="I425" s="8"/>
      <c r="J425" s="9"/>
      <c r="K425" s="8"/>
      <c r="L425" s="8"/>
      <c r="M425" s="8"/>
      <c r="N425" s="8"/>
      <c r="O425" s="8"/>
      <c r="P425" s="8"/>
      <c r="Q425" s="8"/>
      <c r="R425" s="9"/>
      <c r="S425" s="8"/>
      <c r="T425" s="9"/>
      <c r="U425" s="10" t="str">
        <f aca="true">IF(B425="","",IF(OR(P425&lt;&gt;"",I425="می‌باشد"),"بسته",IF(AND(L425&lt;&gt;"",W425=""),"خطای فرمت تاریخ ایجاد",IF(AND(H425&lt;&gt;"",AA425=""),"خطای فرمت مهلت",IF(AND(H425&lt;&gt;"",AD425&lt;&gt;"",TODAY()&gt;AD425),"تاخیر",IF(L425&lt;&gt;"","در حال انجام",""))))))</f>
        <v/>
      </c>
      <c r="V425" s="7" t="n">
        <f aca="true">IF(U425="تاخیر",TODAY()-AD425,IF(AND(U425="بسته",AH425&lt;&gt;"",AD425&lt;&gt;"",AH425&gt;AD425),AH425-AD425,0))</f>
        <v>0</v>
      </c>
      <c r="W425" s="7" t="str">
        <f aca="false">IF(L425="","",VALUE(LEFT(L425,FIND("/",L425)-1)))</f>
        <v/>
      </c>
      <c r="X425" s="7" t="str">
        <f aca="false">IF(L425="","",VALUE(MID(L425,FIND("/",L425)+1,FIND("/",L425,FIND("/",L425)+1)-FIND("/",L425)-1)))</f>
        <v/>
      </c>
      <c r="Y425" s="7" t="str">
        <f aca="false">IF(L425="","",VALUE(MID(L425,FIND("/",L425,FIND("/",L425)+1)+1,LEN(L425)-FIND("/",L425,FIND("/",L425)+1))))</f>
        <v/>
      </c>
      <c r="Z425" s="7" t="str">
        <f aca="false">IF(OR(L425="",W425=""),"",IFERROR(INDEX('لیست‌ها'!$Q$3:$Q$53,MATCH(W425,'لیست‌ها'!$P$3:$P$53,0))+IF(X425&lt;=6,(X425-1)*31+Y425,IF(X425&lt;=11,186+(X425-7)*30+Y425,336+Y425))-1,""))</f>
        <v/>
      </c>
      <c r="AA425" s="7" t="str">
        <f aca="false">IF(H425="","",VALUE(LEFT(H425,FIND("/",H425)-1)))</f>
        <v/>
      </c>
      <c r="AB425" s="7" t="str">
        <f aca="false">IF(H425="","",VALUE(MID(H425,FIND("/",H425)+1,FIND("/",H425,FIND("/",H425)+1)-FIND("/",H425)-1)))</f>
        <v/>
      </c>
      <c r="AC425" s="7" t="str">
        <f aca="false">IF(H425="","",VALUE(MID(H425,FIND("/",H425,FIND("/",H425)+1)+1,LEN(H425)-FIND("/",H425,FIND("/",H425)+1))))</f>
        <v/>
      </c>
      <c r="AD425" s="7" t="str">
        <f aca="false">IF(OR(H425="",AA425=""),"",IFERROR(INDEX('لیست‌ها'!$Q$3:$Q$53,MATCH(AA425,'لیست‌ها'!$P$3:$P$53,0))+IF(AB425&lt;=6,(AB425-1)*31+AC425,IF(AB425&lt;=11,186+(AB425-7)*30+AC425,336+AC425))-1,""))</f>
        <v/>
      </c>
      <c r="AE425" s="7" t="str">
        <f aca="false">IF(P425="","",VALUE(LEFT(P425,FIND("/",P425)-1)))</f>
        <v/>
      </c>
      <c r="AF425" s="7" t="str">
        <f aca="false">IF(P425="","",VALUE(MID(P425,FIND("/",P425)+1,FIND("/",P425,FIND("/",P425)+1)-FIND("/",P425)-1)))</f>
        <v/>
      </c>
      <c r="AG425" s="7" t="str">
        <f aca="false">IF(P425="","",VALUE(MID(P425,FIND("/",P425,FIND("/",P425)+1)+1,LEN(P425)-FIND("/",P425,FIND("/",P425)+1))))</f>
        <v/>
      </c>
      <c r="AH425" s="7" t="str">
        <f aca="false">IF(OR(P425="",AE425=""),"",IFERROR(INDEX('لیست‌ها'!$Q$3:$Q$53,MATCH(AE425,'لیست‌ها'!$P$3:$P$53,0))+IF(AF425&lt;=6,(AF425-1)*31+AG425,IF(AF425&lt;=11,186+(AF425-7)*30+AG425,336+AG425))-1,""))</f>
        <v/>
      </c>
      <c r="AI425" s="7" t="str">
        <f aca="false">IF(W425="","",W425&amp;"-"&amp;TEXT(X425,"00"))</f>
        <v/>
      </c>
      <c r="AJ425" s="7" t="str">
        <f aca="false">IF(W425="","",W425*12+X425)</f>
        <v/>
      </c>
      <c r="AK425" s="7" t="str">
        <f aca="false">IF(U425="تاخیر",V425+ROW()/100000,"")</f>
        <v/>
      </c>
    </row>
    <row r="426" customFormat="false" ht="15" hidden="false" customHeight="false" outlineLevel="0" collapsed="false">
      <c r="A426" s="7" t="str">
        <f aca="false">IF(B426="","",ROW()-3)</f>
        <v/>
      </c>
      <c r="B426" s="8"/>
      <c r="C426" s="8"/>
      <c r="D426" s="8"/>
      <c r="E426" s="9"/>
      <c r="F426" s="9"/>
      <c r="G426" s="8"/>
      <c r="H426" s="8"/>
      <c r="I426" s="8"/>
      <c r="J426" s="9"/>
      <c r="K426" s="8"/>
      <c r="L426" s="8"/>
      <c r="M426" s="8"/>
      <c r="N426" s="8"/>
      <c r="O426" s="8"/>
      <c r="P426" s="8"/>
      <c r="Q426" s="8"/>
      <c r="R426" s="9"/>
      <c r="S426" s="8"/>
      <c r="T426" s="9"/>
      <c r="U426" s="10" t="str">
        <f aca="true">IF(B426="","",IF(OR(P426&lt;&gt;"",I426="می‌باشد"),"بسته",IF(AND(L426&lt;&gt;"",W426=""),"خطای فرمت تاریخ ایجاد",IF(AND(H426&lt;&gt;"",AA426=""),"خطای فرمت مهلت",IF(AND(H426&lt;&gt;"",AD426&lt;&gt;"",TODAY()&gt;AD426),"تاخیر",IF(L426&lt;&gt;"","در حال انجام",""))))))</f>
        <v/>
      </c>
      <c r="V426" s="7" t="n">
        <f aca="true">IF(U426="تاخیر",TODAY()-AD426,IF(AND(U426="بسته",AH426&lt;&gt;"",AD426&lt;&gt;"",AH426&gt;AD426),AH426-AD426,0))</f>
        <v>0</v>
      </c>
      <c r="W426" s="7" t="str">
        <f aca="false">IF(L426="","",VALUE(LEFT(L426,FIND("/",L426)-1)))</f>
        <v/>
      </c>
      <c r="X426" s="7" t="str">
        <f aca="false">IF(L426="","",VALUE(MID(L426,FIND("/",L426)+1,FIND("/",L426,FIND("/",L426)+1)-FIND("/",L426)-1)))</f>
        <v/>
      </c>
      <c r="Y426" s="7" t="str">
        <f aca="false">IF(L426="","",VALUE(MID(L426,FIND("/",L426,FIND("/",L426)+1)+1,LEN(L426)-FIND("/",L426,FIND("/",L426)+1))))</f>
        <v/>
      </c>
      <c r="Z426" s="7" t="str">
        <f aca="false">IF(OR(L426="",W426=""),"",IFERROR(INDEX('لیست‌ها'!$Q$3:$Q$53,MATCH(W426,'لیست‌ها'!$P$3:$P$53,0))+IF(X426&lt;=6,(X426-1)*31+Y426,IF(X426&lt;=11,186+(X426-7)*30+Y426,336+Y426))-1,""))</f>
        <v/>
      </c>
      <c r="AA426" s="7" t="str">
        <f aca="false">IF(H426="","",VALUE(LEFT(H426,FIND("/",H426)-1)))</f>
        <v/>
      </c>
      <c r="AB426" s="7" t="str">
        <f aca="false">IF(H426="","",VALUE(MID(H426,FIND("/",H426)+1,FIND("/",H426,FIND("/",H426)+1)-FIND("/",H426)-1)))</f>
        <v/>
      </c>
      <c r="AC426" s="7" t="str">
        <f aca="false">IF(H426="","",VALUE(MID(H426,FIND("/",H426,FIND("/",H426)+1)+1,LEN(H426)-FIND("/",H426,FIND("/",H426)+1))))</f>
        <v/>
      </c>
      <c r="AD426" s="7" t="str">
        <f aca="false">IF(OR(H426="",AA426=""),"",IFERROR(INDEX('لیست‌ها'!$Q$3:$Q$53,MATCH(AA426,'لیست‌ها'!$P$3:$P$53,0))+IF(AB426&lt;=6,(AB426-1)*31+AC426,IF(AB426&lt;=11,186+(AB426-7)*30+AC426,336+AC426))-1,""))</f>
        <v/>
      </c>
      <c r="AE426" s="7" t="str">
        <f aca="false">IF(P426="","",VALUE(LEFT(P426,FIND("/",P426)-1)))</f>
        <v/>
      </c>
      <c r="AF426" s="7" t="str">
        <f aca="false">IF(P426="","",VALUE(MID(P426,FIND("/",P426)+1,FIND("/",P426,FIND("/",P426)+1)-FIND("/",P426)-1)))</f>
        <v/>
      </c>
      <c r="AG426" s="7" t="str">
        <f aca="false">IF(P426="","",VALUE(MID(P426,FIND("/",P426,FIND("/",P426)+1)+1,LEN(P426)-FIND("/",P426,FIND("/",P426)+1))))</f>
        <v/>
      </c>
      <c r="AH426" s="7" t="str">
        <f aca="false">IF(OR(P426="",AE426=""),"",IFERROR(INDEX('لیست‌ها'!$Q$3:$Q$53,MATCH(AE426,'لیست‌ها'!$P$3:$P$53,0))+IF(AF426&lt;=6,(AF426-1)*31+AG426,IF(AF426&lt;=11,186+(AF426-7)*30+AG426,336+AG426))-1,""))</f>
        <v/>
      </c>
      <c r="AI426" s="7" t="str">
        <f aca="false">IF(W426="","",W426&amp;"-"&amp;TEXT(X426,"00"))</f>
        <v/>
      </c>
      <c r="AJ426" s="7" t="str">
        <f aca="false">IF(W426="","",W426*12+X426)</f>
        <v/>
      </c>
      <c r="AK426" s="7" t="str">
        <f aca="false">IF(U426="تاخیر",V426+ROW()/100000,"")</f>
        <v/>
      </c>
    </row>
    <row r="427" customFormat="false" ht="15" hidden="false" customHeight="false" outlineLevel="0" collapsed="false">
      <c r="A427" s="7" t="str">
        <f aca="false">IF(B427="","",ROW()-3)</f>
        <v/>
      </c>
      <c r="B427" s="8"/>
      <c r="C427" s="8"/>
      <c r="D427" s="8"/>
      <c r="E427" s="9"/>
      <c r="F427" s="9"/>
      <c r="G427" s="8"/>
      <c r="H427" s="8"/>
      <c r="I427" s="8"/>
      <c r="J427" s="9"/>
      <c r="K427" s="8"/>
      <c r="L427" s="8"/>
      <c r="M427" s="8"/>
      <c r="N427" s="8"/>
      <c r="O427" s="8"/>
      <c r="P427" s="8"/>
      <c r="Q427" s="8"/>
      <c r="R427" s="9"/>
      <c r="S427" s="8"/>
      <c r="T427" s="9"/>
      <c r="U427" s="10" t="str">
        <f aca="true">IF(B427="","",IF(OR(P427&lt;&gt;"",I427="می‌باشد"),"بسته",IF(AND(L427&lt;&gt;"",W427=""),"خطای فرمت تاریخ ایجاد",IF(AND(H427&lt;&gt;"",AA427=""),"خطای فرمت مهلت",IF(AND(H427&lt;&gt;"",AD427&lt;&gt;"",TODAY()&gt;AD427),"تاخیر",IF(L427&lt;&gt;"","در حال انجام",""))))))</f>
        <v/>
      </c>
      <c r="V427" s="7" t="n">
        <f aca="true">IF(U427="تاخیر",TODAY()-AD427,IF(AND(U427="بسته",AH427&lt;&gt;"",AD427&lt;&gt;"",AH427&gt;AD427),AH427-AD427,0))</f>
        <v>0</v>
      </c>
      <c r="W427" s="7" t="str">
        <f aca="false">IF(L427="","",VALUE(LEFT(L427,FIND("/",L427)-1)))</f>
        <v/>
      </c>
      <c r="X427" s="7" t="str">
        <f aca="false">IF(L427="","",VALUE(MID(L427,FIND("/",L427)+1,FIND("/",L427,FIND("/",L427)+1)-FIND("/",L427)-1)))</f>
        <v/>
      </c>
      <c r="Y427" s="7" t="str">
        <f aca="false">IF(L427="","",VALUE(MID(L427,FIND("/",L427,FIND("/",L427)+1)+1,LEN(L427)-FIND("/",L427,FIND("/",L427)+1))))</f>
        <v/>
      </c>
      <c r="Z427" s="7" t="str">
        <f aca="false">IF(OR(L427="",W427=""),"",IFERROR(INDEX('لیست‌ها'!$Q$3:$Q$53,MATCH(W427,'لیست‌ها'!$P$3:$P$53,0))+IF(X427&lt;=6,(X427-1)*31+Y427,IF(X427&lt;=11,186+(X427-7)*30+Y427,336+Y427))-1,""))</f>
        <v/>
      </c>
      <c r="AA427" s="7" t="str">
        <f aca="false">IF(H427="","",VALUE(LEFT(H427,FIND("/",H427)-1)))</f>
        <v/>
      </c>
      <c r="AB427" s="7" t="str">
        <f aca="false">IF(H427="","",VALUE(MID(H427,FIND("/",H427)+1,FIND("/",H427,FIND("/",H427)+1)-FIND("/",H427)-1)))</f>
        <v/>
      </c>
      <c r="AC427" s="7" t="str">
        <f aca="false">IF(H427="","",VALUE(MID(H427,FIND("/",H427,FIND("/",H427)+1)+1,LEN(H427)-FIND("/",H427,FIND("/",H427)+1))))</f>
        <v/>
      </c>
      <c r="AD427" s="7" t="str">
        <f aca="false">IF(OR(H427="",AA427=""),"",IFERROR(INDEX('لیست‌ها'!$Q$3:$Q$53,MATCH(AA427,'لیست‌ها'!$P$3:$P$53,0))+IF(AB427&lt;=6,(AB427-1)*31+AC427,IF(AB427&lt;=11,186+(AB427-7)*30+AC427,336+AC427))-1,""))</f>
        <v/>
      </c>
      <c r="AE427" s="7" t="str">
        <f aca="false">IF(P427="","",VALUE(LEFT(P427,FIND("/",P427)-1)))</f>
        <v/>
      </c>
      <c r="AF427" s="7" t="str">
        <f aca="false">IF(P427="","",VALUE(MID(P427,FIND("/",P427)+1,FIND("/",P427,FIND("/",P427)+1)-FIND("/",P427)-1)))</f>
        <v/>
      </c>
      <c r="AG427" s="7" t="str">
        <f aca="false">IF(P427="","",VALUE(MID(P427,FIND("/",P427,FIND("/",P427)+1)+1,LEN(P427)-FIND("/",P427,FIND("/",P427)+1))))</f>
        <v/>
      </c>
      <c r="AH427" s="7" t="str">
        <f aca="false">IF(OR(P427="",AE427=""),"",IFERROR(INDEX('لیست‌ها'!$Q$3:$Q$53,MATCH(AE427,'لیست‌ها'!$P$3:$P$53,0))+IF(AF427&lt;=6,(AF427-1)*31+AG427,IF(AF427&lt;=11,186+(AF427-7)*30+AG427,336+AG427))-1,""))</f>
        <v/>
      </c>
      <c r="AI427" s="7" t="str">
        <f aca="false">IF(W427="","",W427&amp;"-"&amp;TEXT(X427,"00"))</f>
        <v/>
      </c>
      <c r="AJ427" s="7" t="str">
        <f aca="false">IF(W427="","",W427*12+X427)</f>
        <v/>
      </c>
      <c r="AK427" s="7" t="str">
        <f aca="false">IF(U427="تاخیر",V427+ROW()/100000,"")</f>
        <v/>
      </c>
    </row>
    <row r="428" customFormat="false" ht="15" hidden="false" customHeight="false" outlineLevel="0" collapsed="false">
      <c r="A428" s="7" t="str">
        <f aca="false">IF(B428="","",ROW()-3)</f>
        <v/>
      </c>
      <c r="B428" s="8"/>
      <c r="C428" s="8"/>
      <c r="D428" s="8"/>
      <c r="E428" s="9"/>
      <c r="F428" s="9"/>
      <c r="G428" s="8"/>
      <c r="H428" s="8"/>
      <c r="I428" s="8"/>
      <c r="J428" s="9"/>
      <c r="K428" s="8"/>
      <c r="L428" s="8"/>
      <c r="M428" s="8"/>
      <c r="N428" s="8"/>
      <c r="O428" s="8"/>
      <c r="P428" s="8"/>
      <c r="Q428" s="8"/>
      <c r="R428" s="9"/>
      <c r="S428" s="8"/>
      <c r="T428" s="9"/>
      <c r="U428" s="10" t="str">
        <f aca="true">IF(B428="","",IF(OR(P428&lt;&gt;"",I428="می‌باشد"),"بسته",IF(AND(L428&lt;&gt;"",W428=""),"خطای فرمت تاریخ ایجاد",IF(AND(H428&lt;&gt;"",AA428=""),"خطای فرمت مهلت",IF(AND(H428&lt;&gt;"",AD428&lt;&gt;"",TODAY()&gt;AD428),"تاخیر",IF(L428&lt;&gt;"","در حال انجام",""))))))</f>
        <v/>
      </c>
      <c r="V428" s="7" t="n">
        <f aca="true">IF(U428="تاخیر",TODAY()-AD428,IF(AND(U428="بسته",AH428&lt;&gt;"",AD428&lt;&gt;"",AH428&gt;AD428),AH428-AD428,0))</f>
        <v>0</v>
      </c>
      <c r="W428" s="7" t="str">
        <f aca="false">IF(L428="","",VALUE(LEFT(L428,FIND("/",L428)-1)))</f>
        <v/>
      </c>
      <c r="X428" s="7" t="str">
        <f aca="false">IF(L428="","",VALUE(MID(L428,FIND("/",L428)+1,FIND("/",L428,FIND("/",L428)+1)-FIND("/",L428)-1)))</f>
        <v/>
      </c>
      <c r="Y428" s="7" t="str">
        <f aca="false">IF(L428="","",VALUE(MID(L428,FIND("/",L428,FIND("/",L428)+1)+1,LEN(L428)-FIND("/",L428,FIND("/",L428)+1))))</f>
        <v/>
      </c>
      <c r="Z428" s="7" t="str">
        <f aca="false">IF(OR(L428="",W428=""),"",IFERROR(INDEX('لیست‌ها'!$Q$3:$Q$53,MATCH(W428,'لیست‌ها'!$P$3:$P$53,0))+IF(X428&lt;=6,(X428-1)*31+Y428,IF(X428&lt;=11,186+(X428-7)*30+Y428,336+Y428))-1,""))</f>
        <v/>
      </c>
      <c r="AA428" s="7" t="str">
        <f aca="false">IF(H428="","",VALUE(LEFT(H428,FIND("/",H428)-1)))</f>
        <v/>
      </c>
      <c r="AB428" s="7" t="str">
        <f aca="false">IF(H428="","",VALUE(MID(H428,FIND("/",H428)+1,FIND("/",H428,FIND("/",H428)+1)-FIND("/",H428)-1)))</f>
        <v/>
      </c>
      <c r="AC428" s="7" t="str">
        <f aca="false">IF(H428="","",VALUE(MID(H428,FIND("/",H428,FIND("/",H428)+1)+1,LEN(H428)-FIND("/",H428,FIND("/",H428)+1))))</f>
        <v/>
      </c>
      <c r="AD428" s="7" t="str">
        <f aca="false">IF(OR(H428="",AA428=""),"",IFERROR(INDEX('لیست‌ها'!$Q$3:$Q$53,MATCH(AA428,'لیست‌ها'!$P$3:$P$53,0))+IF(AB428&lt;=6,(AB428-1)*31+AC428,IF(AB428&lt;=11,186+(AB428-7)*30+AC428,336+AC428))-1,""))</f>
        <v/>
      </c>
      <c r="AE428" s="7" t="str">
        <f aca="false">IF(P428="","",VALUE(LEFT(P428,FIND("/",P428)-1)))</f>
        <v/>
      </c>
      <c r="AF428" s="7" t="str">
        <f aca="false">IF(P428="","",VALUE(MID(P428,FIND("/",P428)+1,FIND("/",P428,FIND("/",P428)+1)-FIND("/",P428)-1)))</f>
        <v/>
      </c>
      <c r="AG428" s="7" t="str">
        <f aca="false">IF(P428="","",VALUE(MID(P428,FIND("/",P428,FIND("/",P428)+1)+1,LEN(P428)-FIND("/",P428,FIND("/",P428)+1))))</f>
        <v/>
      </c>
      <c r="AH428" s="7" t="str">
        <f aca="false">IF(OR(P428="",AE428=""),"",IFERROR(INDEX('لیست‌ها'!$Q$3:$Q$53,MATCH(AE428,'لیست‌ها'!$P$3:$P$53,0))+IF(AF428&lt;=6,(AF428-1)*31+AG428,IF(AF428&lt;=11,186+(AF428-7)*30+AG428,336+AG428))-1,""))</f>
        <v/>
      </c>
      <c r="AI428" s="7" t="str">
        <f aca="false">IF(W428="","",W428&amp;"-"&amp;TEXT(X428,"00"))</f>
        <v/>
      </c>
      <c r="AJ428" s="7" t="str">
        <f aca="false">IF(W428="","",W428*12+X428)</f>
        <v/>
      </c>
      <c r="AK428" s="7" t="str">
        <f aca="false">IF(U428="تاخیر",V428+ROW()/100000,"")</f>
        <v/>
      </c>
    </row>
    <row r="429" customFormat="false" ht="15" hidden="false" customHeight="false" outlineLevel="0" collapsed="false">
      <c r="A429" s="7" t="str">
        <f aca="false">IF(B429="","",ROW()-3)</f>
        <v/>
      </c>
      <c r="B429" s="8"/>
      <c r="C429" s="8"/>
      <c r="D429" s="8"/>
      <c r="E429" s="9"/>
      <c r="F429" s="9"/>
      <c r="G429" s="8"/>
      <c r="H429" s="8"/>
      <c r="I429" s="8"/>
      <c r="J429" s="9"/>
      <c r="K429" s="8"/>
      <c r="L429" s="8"/>
      <c r="M429" s="8"/>
      <c r="N429" s="8"/>
      <c r="O429" s="8"/>
      <c r="P429" s="8"/>
      <c r="Q429" s="8"/>
      <c r="R429" s="9"/>
      <c r="S429" s="8"/>
      <c r="T429" s="9"/>
      <c r="U429" s="10" t="str">
        <f aca="true">IF(B429="","",IF(OR(P429&lt;&gt;"",I429="می‌باشد"),"بسته",IF(AND(L429&lt;&gt;"",W429=""),"خطای فرمت تاریخ ایجاد",IF(AND(H429&lt;&gt;"",AA429=""),"خطای فرمت مهلت",IF(AND(H429&lt;&gt;"",AD429&lt;&gt;"",TODAY()&gt;AD429),"تاخیر",IF(L429&lt;&gt;"","در حال انجام",""))))))</f>
        <v/>
      </c>
      <c r="V429" s="7" t="n">
        <f aca="true">IF(U429="تاخیر",TODAY()-AD429,IF(AND(U429="بسته",AH429&lt;&gt;"",AD429&lt;&gt;"",AH429&gt;AD429),AH429-AD429,0))</f>
        <v>0</v>
      </c>
      <c r="W429" s="7" t="str">
        <f aca="false">IF(L429="","",VALUE(LEFT(L429,FIND("/",L429)-1)))</f>
        <v/>
      </c>
      <c r="X429" s="7" t="str">
        <f aca="false">IF(L429="","",VALUE(MID(L429,FIND("/",L429)+1,FIND("/",L429,FIND("/",L429)+1)-FIND("/",L429)-1)))</f>
        <v/>
      </c>
      <c r="Y429" s="7" t="str">
        <f aca="false">IF(L429="","",VALUE(MID(L429,FIND("/",L429,FIND("/",L429)+1)+1,LEN(L429)-FIND("/",L429,FIND("/",L429)+1))))</f>
        <v/>
      </c>
      <c r="Z429" s="7" t="str">
        <f aca="false">IF(OR(L429="",W429=""),"",IFERROR(INDEX('لیست‌ها'!$Q$3:$Q$53,MATCH(W429,'لیست‌ها'!$P$3:$P$53,0))+IF(X429&lt;=6,(X429-1)*31+Y429,IF(X429&lt;=11,186+(X429-7)*30+Y429,336+Y429))-1,""))</f>
        <v/>
      </c>
      <c r="AA429" s="7" t="str">
        <f aca="false">IF(H429="","",VALUE(LEFT(H429,FIND("/",H429)-1)))</f>
        <v/>
      </c>
      <c r="AB429" s="7" t="str">
        <f aca="false">IF(H429="","",VALUE(MID(H429,FIND("/",H429)+1,FIND("/",H429,FIND("/",H429)+1)-FIND("/",H429)-1)))</f>
        <v/>
      </c>
      <c r="AC429" s="7" t="str">
        <f aca="false">IF(H429="","",VALUE(MID(H429,FIND("/",H429,FIND("/",H429)+1)+1,LEN(H429)-FIND("/",H429,FIND("/",H429)+1))))</f>
        <v/>
      </c>
      <c r="AD429" s="7" t="str">
        <f aca="false">IF(OR(H429="",AA429=""),"",IFERROR(INDEX('لیست‌ها'!$Q$3:$Q$53,MATCH(AA429,'لیست‌ها'!$P$3:$P$53,0))+IF(AB429&lt;=6,(AB429-1)*31+AC429,IF(AB429&lt;=11,186+(AB429-7)*30+AC429,336+AC429))-1,""))</f>
        <v/>
      </c>
      <c r="AE429" s="7" t="str">
        <f aca="false">IF(P429="","",VALUE(LEFT(P429,FIND("/",P429)-1)))</f>
        <v/>
      </c>
      <c r="AF429" s="7" t="str">
        <f aca="false">IF(P429="","",VALUE(MID(P429,FIND("/",P429)+1,FIND("/",P429,FIND("/",P429)+1)-FIND("/",P429)-1)))</f>
        <v/>
      </c>
      <c r="AG429" s="7" t="str">
        <f aca="false">IF(P429="","",VALUE(MID(P429,FIND("/",P429,FIND("/",P429)+1)+1,LEN(P429)-FIND("/",P429,FIND("/",P429)+1))))</f>
        <v/>
      </c>
      <c r="AH429" s="7" t="str">
        <f aca="false">IF(OR(P429="",AE429=""),"",IFERROR(INDEX('لیست‌ها'!$Q$3:$Q$53,MATCH(AE429,'لیست‌ها'!$P$3:$P$53,0))+IF(AF429&lt;=6,(AF429-1)*31+AG429,IF(AF429&lt;=11,186+(AF429-7)*30+AG429,336+AG429))-1,""))</f>
        <v/>
      </c>
      <c r="AI429" s="7" t="str">
        <f aca="false">IF(W429="","",W429&amp;"-"&amp;TEXT(X429,"00"))</f>
        <v/>
      </c>
      <c r="AJ429" s="7" t="str">
        <f aca="false">IF(W429="","",W429*12+X429)</f>
        <v/>
      </c>
      <c r="AK429" s="7" t="str">
        <f aca="false">IF(U429="تاخیر",V429+ROW()/100000,"")</f>
        <v/>
      </c>
    </row>
    <row r="430" customFormat="false" ht="15" hidden="false" customHeight="false" outlineLevel="0" collapsed="false">
      <c r="A430" s="7" t="str">
        <f aca="false">IF(B430="","",ROW()-3)</f>
        <v/>
      </c>
      <c r="B430" s="8"/>
      <c r="C430" s="8"/>
      <c r="D430" s="8"/>
      <c r="E430" s="9"/>
      <c r="F430" s="9"/>
      <c r="G430" s="8"/>
      <c r="H430" s="8"/>
      <c r="I430" s="8"/>
      <c r="J430" s="9"/>
      <c r="K430" s="8"/>
      <c r="L430" s="8"/>
      <c r="M430" s="8"/>
      <c r="N430" s="8"/>
      <c r="O430" s="8"/>
      <c r="P430" s="8"/>
      <c r="Q430" s="8"/>
      <c r="R430" s="9"/>
      <c r="S430" s="8"/>
      <c r="T430" s="9"/>
      <c r="U430" s="10" t="str">
        <f aca="true">IF(B430="","",IF(OR(P430&lt;&gt;"",I430="می‌باشد"),"بسته",IF(AND(L430&lt;&gt;"",W430=""),"خطای فرمت تاریخ ایجاد",IF(AND(H430&lt;&gt;"",AA430=""),"خطای فرمت مهلت",IF(AND(H430&lt;&gt;"",AD430&lt;&gt;"",TODAY()&gt;AD430),"تاخیر",IF(L430&lt;&gt;"","در حال انجام",""))))))</f>
        <v/>
      </c>
      <c r="V430" s="7" t="n">
        <f aca="true">IF(U430="تاخیر",TODAY()-AD430,IF(AND(U430="بسته",AH430&lt;&gt;"",AD430&lt;&gt;"",AH430&gt;AD430),AH430-AD430,0))</f>
        <v>0</v>
      </c>
      <c r="W430" s="7" t="str">
        <f aca="false">IF(L430="","",VALUE(LEFT(L430,FIND("/",L430)-1)))</f>
        <v/>
      </c>
      <c r="X430" s="7" t="str">
        <f aca="false">IF(L430="","",VALUE(MID(L430,FIND("/",L430)+1,FIND("/",L430,FIND("/",L430)+1)-FIND("/",L430)-1)))</f>
        <v/>
      </c>
      <c r="Y430" s="7" t="str">
        <f aca="false">IF(L430="","",VALUE(MID(L430,FIND("/",L430,FIND("/",L430)+1)+1,LEN(L430)-FIND("/",L430,FIND("/",L430)+1))))</f>
        <v/>
      </c>
      <c r="Z430" s="7" t="str">
        <f aca="false">IF(OR(L430="",W430=""),"",IFERROR(INDEX('لیست‌ها'!$Q$3:$Q$53,MATCH(W430,'لیست‌ها'!$P$3:$P$53,0))+IF(X430&lt;=6,(X430-1)*31+Y430,IF(X430&lt;=11,186+(X430-7)*30+Y430,336+Y430))-1,""))</f>
        <v/>
      </c>
      <c r="AA430" s="7" t="str">
        <f aca="false">IF(H430="","",VALUE(LEFT(H430,FIND("/",H430)-1)))</f>
        <v/>
      </c>
      <c r="AB430" s="7" t="str">
        <f aca="false">IF(H430="","",VALUE(MID(H430,FIND("/",H430)+1,FIND("/",H430,FIND("/",H430)+1)-FIND("/",H430)-1)))</f>
        <v/>
      </c>
      <c r="AC430" s="7" t="str">
        <f aca="false">IF(H430="","",VALUE(MID(H430,FIND("/",H430,FIND("/",H430)+1)+1,LEN(H430)-FIND("/",H430,FIND("/",H430)+1))))</f>
        <v/>
      </c>
      <c r="AD430" s="7" t="str">
        <f aca="false">IF(OR(H430="",AA430=""),"",IFERROR(INDEX('لیست‌ها'!$Q$3:$Q$53,MATCH(AA430,'لیست‌ها'!$P$3:$P$53,0))+IF(AB430&lt;=6,(AB430-1)*31+AC430,IF(AB430&lt;=11,186+(AB430-7)*30+AC430,336+AC430))-1,""))</f>
        <v/>
      </c>
      <c r="AE430" s="7" t="str">
        <f aca="false">IF(P430="","",VALUE(LEFT(P430,FIND("/",P430)-1)))</f>
        <v/>
      </c>
      <c r="AF430" s="7" t="str">
        <f aca="false">IF(P430="","",VALUE(MID(P430,FIND("/",P430)+1,FIND("/",P430,FIND("/",P430)+1)-FIND("/",P430)-1)))</f>
        <v/>
      </c>
      <c r="AG430" s="7" t="str">
        <f aca="false">IF(P430="","",VALUE(MID(P430,FIND("/",P430,FIND("/",P430)+1)+1,LEN(P430)-FIND("/",P430,FIND("/",P430)+1))))</f>
        <v/>
      </c>
      <c r="AH430" s="7" t="str">
        <f aca="false">IF(OR(P430="",AE430=""),"",IFERROR(INDEX('لیست‌ها'!$Q$3:$Q$53,MATCH(AE430,'لیست‌ها'!$P$3:$P$53,0))+IF(AF430&lt;=6,(AF430-1)*31+AG430,IF(AF430&lt;=11,186+(AF430-7)*30+AG430,336+AG430))-1,""))</f>
        <v/>
      </c>
      <c r="AI430" s="7" t="str">
        <f aca="false">IF(W430="","",W430&amp;"-"&amp;TEXT(X430,"00"))</f>
        <v/>
      </c>
      <c r="AJ430" s="7" t="str">
        <f aca="false">IF(W430="","",W430*12+X430)</f>
        <v/>
      </c>
      <c r="AK430" s="7" t="str">
        <f aca="false">IF(U430="تاخیر",V430+ROW()/100000,"")</f>
        <v/>
      </c>
    </row>
    <row r="431" customFormat="false" ht="15" hidden="false" customHeight="false" outlineLevel="0" collapsed="false">
      <c r="A431" s="7" t="str">
        <f aca="false">IF(B431="","",ROW()-3)</f>
        <v/>
      </c>
      <c r="B431" s="8"/>
      <c r="C431" s="8"/>
      <c r="D431" s="8"/>
      <c r="E431" s="9"/>
      <c r="F431" s="9"/>
      <c r="G431" s="8"/>
      <c r="H431" s="8"/>
      <c r="I431" s="8"/>
      <c r="J431" s="9"/>
      <c r="K431" s="8"/>
      <c r="L431" s="8"/>
      <c r="M431" s="8"/>
      <c r="N431" s="8"/>
      <c r="O431" s="8"/>
      <c r="P431" s="8"/>
      <c r="Q431" s="8"/>
      <c r="R431" s="9"/>
      <c r="S431" s="8"/>
      <c r="T431" s="9"/>
      <c r="U431" s="10" t="str">
        <f aca="true">IF(B431="","",IF(OR(P431&lt;&gt;"",I431="می‌باشد"),"بسته",IF(AND(L431&lt;&gt;"",W431=""),"خطای فرمت تاریخ ایجاد",IF(AND(H431&lt;&gt;"",AA431=""),"خطای فرمت مهلت",IF(AND(H431&lt;&gt;"",AD431&lt;&gt;"",TODAY()&gt;AD431),"تاخیر",IF(L431&lt;&gt;"","در حال انجام",""))))))</f>
        <v/>
      </c>
      <c r="V431" s="7" t="n">
        <f aca="true">IF(U431="تاخیر",TODAY()-AD431,IF(AND(U431="بسته",AH431&lt;&gt;"",AD431&lt;&gt;"",AH431&gt;AD431),AH431-AD431,0))</f>
        <v>0</v>
      </c>
      <c r="W431" s="7" t="str">
        <f aca="false">IF(L431="","",VALUE(LEFT(L431,FIND("/",L431)-1)))</f>
        <v/>
      </c>
      <c r="X431" s="7" t="str">
        <f aca="false">IF(L431="","",VALUE(MID(L431,FIND("/",L431)+1,FIND("/",L431,FIND("/",L431)+1)-FIND("/",L431)-1)))</f>
        <v/>
      </c>
      <c r="Y431" s="7" t="str">
        <f aca="false">IF(L431="","",VALUE(MID(L431,FIND("/",L431,FIND("/",L431)+1)+1,LEN(L431)-FIND("/",L431,FIND("/",L431)+1))))</f>
        <v/>
      </c>
      <c r="Z431" s="7" t="str">
        <f aca="false">IF(OR(L431="",W431=""),"",IFERROR(INDEX('لیست‌ها'!$Q$3:$Q$53,MATCH(W431,'لیست‌ها'!$P$3:$P$53,0))+IF(X431&lt;=6,(X431-1)*31+Y431,IF(X431&lt;=11,186+(X431-7)*30+Y431,336+Y431))-1,""))</f>
        <v/>
      </c>
      <c r="AA431" s="7" t="str">
        <f aca="false">IF(H431="","",VALUE(LEFT(H431,FIND("/",H431)-1)))</f>
        <v/>
      </c>
      <c r="AB431" s="7" t="str">
        <f aca="false">IF(H431="","",VALUE(MID(H431,FIND("/",H431)+1,FIND("/",H431,FIND("/",H431)+1)-FIND("/",H431)-1)))</f>
        <v/>
      </c>
      <c r="AC431" s="7" t="str">
        <f aca="false">IF(H431="","",VALUE(MID(H431,FIND("/",H431,FIND("/",H431)+1)+1,LEN(H431)-FIND("/",H431,FIND("/",H431)+1))))</f>
        <v/>
      </c>
      <c r="AD431" s="7" t="str">
        <f aca="false">IF(OR(H431="",AA431=""),"",IFERROR(INDEX('لیست‌ها'!$Q$3:$Q$53,MATCH(AA431,'لیست‌ها'!$P$3:$P$53,0))+IF(AB431&lt;=6,(AB431-1)*31+AC431,IF(AB431&lt;=11,186+(AB431-7)*30+AC431,336+AC431))-1,""))</f>
        <v/>
      </c>
      <c r="AE431" s="7" t="str">
        <f aca="false">IF(P431="","",VALUE(LEFT(P431,FIND("/",P431)-1)))</f>
        <v/>
      </c>
      <c r="AF431" s="7" t="str">
        <f aca="false">IF(P431="","",VALUE(MID(P431,FIND("/",P431)+1,FIND("/",P431,FIND("/",P431)+1)-FIND("/",P431)-1)))</f>
        <v/>
      </c>
      <c r="AG431" s="7" t="str">
        <f aca="false">IF(P431="","",VALUE(MID(P431,FIND("/",P431,FIND("/",P431)+1)+1,LEN(P431)-FIND("/",P431,FIND("/",P431)+1))))</f>
        <v/>
      </c>
      <c r="AH431" s="7" t="str">
        <f aca="false">IF(OR(P431="",AE431=""),"",IFERROR(INDEX('لیست‌ها'!$Q$3:$Q$53,MATCH(AE431,'لیست‌ها'!$P$3:$P$53,0))+IF(AF431&lt;=6,(AF431-1)*31+AG431,IF(AF431&lt;=11,186+(AF431-7)*30+AG431,336+AG431))-1,""))</f>
        <v/>
      </c>
      <c r="AI431" s="7" t="str">
        <f aca="false">IF(W431="","",W431&amp;"-"&amp;TEXT(X431,"00"))</f>
        <v/>
      </c>
      <c r="AJ431" s="7" t="str">
        <f aca="false">IF(W431="","",W431*12+X431)</f>
        <v/>
      </c>
      <c r="AK431" s="7" t="str">
        <f aca="false">IF(U431="تاخیر",V431+ROW()/100000,"")</f>
        <v/>
      </c>
    </row>
    <row r="432" customFormat="false" ht="15" hidden="false" customHeight="false" outlineLevel="0" collapsed="false">
      <c r="A432" s="7" t="str">
        <f aca="false">IF(B432="","",ROW()-3)</f>
        <v/>
      </c>
      <c r="B432" s="8"/>
      <c r="C432" s="8"/>
      <c r="D432" s="8"/>
      <c r="E432" s="9"/>
      <c r="F432" s="9"/>
      <c r="G432" s="8"/>
      <c r="H432" s="8"/>
      <c r="I432" s="8"/>
      <c r="J432" s="9"/>
      <c r="K432" s="8"/>
      <c r="L432" s="8"/>
      <c r="M432" s="8"/>
      <c r="N432" s="8"/>
      <c r="O432" s="8"/>
      <c r="P432" s="8"/>
      <c r="Q432" s="8"/>
      <c r="R432" s="9"/>
      <c r="S432" s="8"/>
      <c r="T432" s="9"/>
      <c r="U432" s="10" t="str">
        <f aca="true">IF(B432="","",IF(OR(P432&lt;&gt;"",I432="می‌باشد"),"بسته",IF(AND(L432&lt;&gt;"",W432=""),"خطای فرمت تاریخ ایجاد",IF(AND(H432&lt;&gt;"",AA432=""),"خطای فرمت مهلت",IF(AND(H432&lt;&gt;"",AD432&lt;&gt;"",TODAY()&gt;AD432),"تاخیر",IF(L432&lt;&gt;"","در حال انجام",""))))))</f>
        <v/>
      </c>
      <c r="V432" s="7" t="n">
        <f aca="true">IF(U432="تاخیر",TODAY()-AD432,IF(AND(U432="بسته",AH432&lt;&gt;"",AD432&lt;&gt;"",AH432&gt;AD432),AH432-AD432,0))</f>
        <v>0</v>
      </c>
      <c r="W432" s="7" t="str">
        <f aca="false">IF(L432="","",VALUE(LEFT(L432,FIND("/",L432)-1)))</f>
        <v/>
      </c>
      <c r="X432" s="7" t="str">
        <f aca="false">IF(L432="","",VALUE(MID(L432,FIND("/",L432)+1,FIND("/",L432,FIND("/",L432)+1)-FIND("/",L432)-1)))</f>
        <v/>
      </c>
      <c r="Y432" s="7" t="str">
        <f aca="false">IF(L432="","",VALUE(MID(L432,FIND("/",L432,FIND("/",L432)+1)+1,LEN(L432)-FIND("/",L432,FIND("/",L432)+1))))</f>
        <v/>
      </c>
      <c r="Z432" s="7" t="str">
        <f aca="false">IF(OR(L432="",W432=""),"",IFERROR(INDEX('لیست‌ها'!$Q$3:$Q$53,MATCH(W432,'لیست‌ها'!$P$3:$P$53,0))+IF(X432&lt;=6,(X432-1)*31+Y432,IF(X432&lt;=11,186+(X432-7)*30+Y432,336+Y432))-1,""))</f>
        <v/>
      </c>
      <c r="AA432" s="7" t="str">
        <f aca="false">IF(H432="","",VALUE(LEFT(H432,FIND("/",H432)-1)))</f>
        <v/>
      </c>
      <c r="AB432" s="7" t="str">
        <f aca="false">IF(H432="","",VALUE(MID(H432,FIND("/",H432)+1,FIND("/",H432,FIND("/",H432)+1)-FIND("/",H432)-1)))</f>
        <v/>
      </c>
      <c r="AC432" s="7" t="str">
        <f aca="false">IF(H432="","",VALUE(MID(H432,FIND("/",H432,FIND("/",H432)+1)+1,LEN(H432)-FIND("/",H432,FIND("/",H432)+1))))</f>
        <v/>
      </c>
      <c r="AD432" s="7" t="str">
        <f aca="false">IF(OR(H432="",AA432=""),"",IFERROR(INDEX('لیست‌ها'!$Q$3:$Q$53,MATCH(AA432,'لیست‌ها'!$P$3:$P$53,0))+IF(AB432&lt;=6,(AB432-1)*31+AC432,IF(AB432&lt;=11,186+(AB432-7)*30+AC432,336+AC432))-1,""))</f>
        <v/>
      </c>
      <c r="AE432" s="7" t="str">
        <f aca="false">IF(P432="","",VALUE(LEFT(P432,FIND("/",P432)-1)))</f>
        <v/>
      </c>
      <c r="AF432" s="7" t="str">
        <f aca="false">IF(P432="","",VALUE(MID(P432,FIND("/",P432)+1,FIND("/",P432,FIND("/",P432)+1)-FIND("/",P432)-1)))</f>
        <v/>
      </c>
      <c r="AG432" s="7" t="str">
        <f aca="false">IF(P432="","",VALUE(MID(P432,FIND("/",P432,FIND("/",P432)+1)+1,LEN(P432)-FIND("/",P432,FIND("/",P432)+1))))</f>
        <v/>
      </c>
      <c r="AH432" s="7" t="str">
        <f aca="false">IF(OR(P432="",AE432=""),"",IFERROR(INDEX('لیست‌ها'!$Q$3:$Q$53,MATCH(AE432,'لیست‌ها'!$P$3:$P$53,0))+IF(AF432&lt;=6,(AF432-1)*31+AG432,IF(AF432&lt;=11,186+(AF432-7)*30+AG432,336+AG432))-1,""))</f>
        <v/>
      </c>
      <c r="AI432" s="7" t="str">
        <f aca="false">IF(W432="","",W432&amp;"-"&amp;TEXT(X432,"00"))</f>
        <v/>
      </c>
      <c r="AJ432" s="7" t="str">
        <f aca="false">IF(W432="","",W432*12+X432)</f>
        <v/>
      </c>
      <c r="AK432" s="7" t="str">
        <f aca="false">IF(U432="تاخیر",V432+ROW()/100000,"")</f>
        <v/>
      </c>
    </row>
    <row r="433" customFormat="false" ht="15" hidden="false" customHeight="false" outlineLevel="0" collapsed="false">
      <c r="A433" s="7" t="str">
        <f aca="false">IF(B433="","",ROW()-3)</f>
        <v/>
      </c>
      <c r="B433" s="8"/>
      <c r="C433" s="8"/>
      <c r="D433" s="8"/>
      <c r="E433" s="9"/>
      <c r="F433" s="9"/>
      <c r="G433" s="8"/>
      <c r="H433" s="8"/>
      <c r="I433" s="8"/>
      <c r="J433" s="9"/>
      <c r="K433" s="8"/>
      <c r="L433" s="8"/>
      <c r="M433" s="8"/>
      <c r="N433" s="8"/>
      <c r="O433" s="8"/>
      <c r="P433" s="8"/>
      <c r="Q433" s="8"/>
      <c r="R433" s="9"/>
      <c r="S433" s="8"/>
      <c r="T433" s="9"/>
      <c r="U433" s="10" t="str">
        <f aca="true">IF(B433="","",IF(OR(P433&lt;&gt;"",I433="می‌باشد"),"بسته",IF(AND(L433&lt;&gt;"",W433=""),"خطای فرمت تاریخ ایجاد",IF(AND(H433&lt;&gt;"",AA433=""),"خطای فرمت مهلت",IF(AND(H433&lt;&gt;"",AD433&lt;&gt;"",TODAY()&gt;AD433),"تاخیر",IF(L433&lt;&gt;"","در حال انجام",""))))))</f>
        <v/>
      </c>
      <c r="V433" s="7" t="n">
        <f aca="true">IF(U433="تاخیر",TODAY()-AD433,IF(AND(U433="بسته",AH433&lt;&gt;"",AD433&lt;&gt;"",AH433&gt;AD433),AH433-AD433,0))</f>
        <v>0</v>
      </c>
      <c r="W433" s="7" t="str">
        <f aca="false">IF(L433="","",VALUE(LEFT(L433,FIND("/",L433)-1)))</f>
        <v/>
      </c>
      <c r="X433" s="7" t="str">
        <f aca="false">IF(L433="","",VALUE(MID(L433,FIND("/",L433)+1,FIND("/",L433,FIND("/",L433)+1)-FIND("/",L433)-1)))</f>
        <v/>
      </c>
      <c r="Y433" s="7" t="str">
        <f aca="false">IF(L433="","",VALUE(MID(L433,FIND("/",L433,FIND("/",L433)+1)+1,LEN(L433)-FIND("/",L433,FIND("/",L433)+1))))</f>
        <v/>
      </c>
      <c r="Z433" s="7" t="str">
        <f aca="false">IF(OR(L433="",W433=""),"",IFERROR(INDEX('لیست‌ها'!$Q$3:$Q$53,MATCH(W433,'لیست‌ها'!$P$3:$P$53,0))+IF(X433&lt;=6,(X433-1)*31+Y433,IF(X433&lt;=11,186+(X433-7)*30+Y433,336+Y433))-1,""))</f>
        <v/>
      </c>
      <c r="AA433" s="7" t="str">
        <f aca="false">IF(H433="","",VALUE(LEFT(H433,FIND("/",H433)-1)))</f>
        <v/>
      </c>
      <c r="AB433" s="7" t="str">
        <f aca="false">IF(H433="","",VALUE(MID(H433,FIND("/",H433)+1,FIND("/",H433,FIND("/",H433)+1)-FIND("/",H433)-1)))</f>
        <v/>
      </c>
      <c r="AC433" s="7" t="str">
        <f aca="false">IF(H433="","",VALUE(MID(H433,FIND("/",H433,FIND("/",H433)+1)+1,LEN(H433)-FIND("/",H433,FIND("/",H433)+1))))</f>
        <v/>
      </c>
      <c r="AD433" s="7" t="str">
        <f aca="false">IF(OR(H433="",AA433=""),"",IFERROR(INDEX('لیست‌ها'!$Q$3:$Q$53,MATCH(AA433,'لیست‌ها'!$P$3:$P$53,0))+IF(AB433&lt;=6,(AB433-1)*31+AC433,IF(AB433&lt;=11,186+(AB433-7)*30+AC433,336+AC433))-1,""))</f>
        <v/>
      </c>
      <c r="AE433" s="7" t="str">
        <f aca="false">IF(P433="","",VALUE(LEFT(P433,FIND("/",P433)-1)))</f>
        <v/>
      </c>
      <c r="AF433" s="7" t="str">
        <f aca="false">IF(P433="","",VALUE(MID(P433,FIND("/",P433)+1,FIND("/",P433,FIND("/",P433)+1)-FIND("/",P433)-1)))</f>
        <v/>
      </c>
      <c r="AG433" s="7" t="str">
        <f aca="false">IF(P433="","",VALUE(MID(P433,FIND("/",P433,FIND("/",P433)+1)+1,LEN(P433)-FIND("/",P433,FIND("/",P433)+1))))</f>
        <v/>
      </c>
      <c r="AH433" s="7" t="str">
        <f aca="false">IF(OR(P433="",AE433=""),"",IFERROR(INDEX('لیست‌ها'!$Q$3:$Q$53,MATCH(AE433,'لیست‌ها'!$P$3:$P$53,0))+IF(AF433&lt;=6,(AF433-1)*31+AG433,IF(AF433&lt;=11,186+(AF433-7)*30+AG433,336+AG433))-1,""))</f>
        <v/>
      </c>
      <c r="AI433" s="7" t="str">
        <f aca="false">IF(W433="","",W433&amp;"-"&amp;TEXT(X433,"00"))</f>
        <v/>
      </c>
      <c r="AJ433" s="7" t="str">
        <f aca="false">IF(W433="","",W433*12+X433)</f>
        <v/>
      </c>
      <c r="AK433" s="7" t="str">
        <f aca="false">IF(U433="تاخیر",V433+ROW()/100000,"")</f>
        <v/>
      </c>
    </row>
    <row r="434" customFormat="false" ht="15" hidden="false" customHeight="false" outlineLevel="0" collapsed="false">
      <c r="A434" s="7" t="str">
        <f aca="false">IF(B434="","",ROW()-3)</f>
        <v/>
      </c>
      <c r="B434" s="8"/>
      <c r="C434" s="8"/>
      <c r="D434" s="8"/>
      <c r="E434" s="9"/>
      <c r="F434" s="9"/>
      <c r="G434" s="8"/>
      <c r="H434" s="8"/>
      <c r="I434" s="8"/>
      <c r="J434" s="9"/>
      <c r="K434" s="8"/>
      <c r="L434" s="8"/>
      <c r="M434" s="8"/>
      <c r="N434" s="8"/>
      <c r="O434" s="8"/>
      <c r="P434" s="8"/>
      <c r="Q434" s="8"/>
      <c r="R434" s="9"/>
      <c r="S434" s="8"/>
      <c r="T434" s="9"/>
      <c r="U434" s="10" t="str">
        <f aca="true">IF(B434="","",IF(OR(P434&lt;&gt;"",I434="می‌باشد"),"بسته",IF(AND(L434&lt;&gt;"",W434=""),"خطای فرمت تاریخ ایجاد",IF(AND(H434&lt;&gt;"",AA434=""),"خطای فرمت مهلت",IF(AND(H434&lt;&gt;"",AD434&lt;&gt;"",TODAY()&gt;AD434),"تاخیر",IF(L434&lt;&gt;"","در حال انجام",""))))))</f>
        <v/>
      </c>
      <c r="V434" s="7" t="n">
        <f aca="true">IF(U434="تاخیر",TODAY()-AD434,IF(AND(U434="بسته",AH434&lt;&gt;"",AD434&lt;&gt;"",AH434&gt;AD434),AH434-AD434,0))</f>
        <v>0</v>
      </c>
      <c r="W434" s="7" t="str">
        <f aca="false">IF(L434="","",VALUE(LEFT(L434,FIND("/",L434)-1)))</f>
        <v/>
      </c>
      <c r="X434" s="7" t="str">
        <f aca="false">IF(L434="","",VALUE(MID(L434,FIND("/",L434)+1,FIND("/",L434,FIND("/",L434)+1)-FIND("/",L434)-1)))</f>
        <v/>
      </c>
      <c r="Y434" s="7" t="str">
        <f aca="false">IF(L434="","",VALUE(MID(L434,FIND("/",L434,FIND("/",L434)+1)+1,LEN(L434)-FIND("/",L434,FIND("/",L434)+1))))</f>
        <v/>
      </c>
      <c r="Z434" s="7" t="str">
        <f aca="false">IF(OR(L434="",W434=""),"",IFERROR(INDEX('لیست‌ها'!$Q$3:$Q$53,MATCH(W434,'لیست‌ها'!$P$3:$P$53,0))+IF(X434&lt;=6,(X434-1)*31+Y434,IF(X434&lt;=11,186+(X434-7)*30+Y434,336+Y434))-1,""))</f>
        <v/>
      </c>
      <c r="AA434" s="7" t="str">
        <f aca="false">IF(H434="","",VALUE(LEFT(H434,FIND("/",H434)-1)))</f>
        <v/>
      </c>
      <c r="AB434" s="7" t="str">
        <f aca="false">IF(H434="","",VALUE(MID(H434,FIND("/",H434)+1,FIND("/",H434,FIND("/",H434)+1)-FIND("/",H434)-1)))</f>
        <v/>
      </c>
      <c r="AC434" s="7" t="str">
        <f aca="false">IF(H434="","",VALUE(MID(H434,FIND("/",H434,FIND("/",H434)+1)+1,LEN(H434)-FIND("/",H434,FIND("/",H434)+1))))</f>
        <v/>
      </c>
      <c r="AD434" s="7" t="str">
        <f aca="false">IF(OR(H434="",AA434=""),"",IFERROR(INDEX('لیست‌ها'!$Q$3:$Q$53,MATCH(AA434,'لیست‌ها'!$P$3:$P$53,0))+IF(AB434&lt;=6,(AB434-1)*31+AC434,IF(AB434&lt;=11,186+(AB434-7)*30+AC434,336+AC434))-1,""))</f>
        <v/>
      </c>
      <c r="AE434" s="7" t="str">
        <f aca="false">IF(P434="","",VALUE(LEFT(P434,FIND("/",P434)-1)))</f>
        <v/>
      </c>
      <c r="AF434" s="7" t="str">
        <f aca="false">IF(P434="","",VALUE(MID(P434,FIND("/",P434)+1,FIND("/",P434,FIND("/",P434)+1)-FIND("/",P434)-1)))</f>
        <v/>
      </c>
      <c r="AG434" s="7" t="str">
        <f aca="false">IF(P434="","",VALUE(MID(P434,FIND("/",P434,FIND("/",P434)+1)+1,LEN(P434)-FIND("/",P434,FIND("/",P434)+1))))</f>
        <v/>
      </c>
      <c r="AH434" s="7" t="str">
        <f aca="false">IF(OR(P434="",AE434=""),"",IFERROR(INDEX('لیست‌ها'!$Q$3:$Q$53,MATCH(AE434,'لیست‌ها'!$P$3:$P$53,0))+IF(AF434&lt;=6,(AF434-1)*31+AG434,IF(AF434&lt;=11,186+(AF434-7)*30+AG434,336+AG434))-1,""))</f>
        <v/>
      </c>
      <c r="AI434" s="7" t="str">
        <f aca="false">IF(W434="","",W434&amp;"-"&amp;TEXT(X434,"00"))</f>
        <v/>
      </c>
      <c r="AJ434" s="7" t="str">
        <f aca="false">IF(W434="","",W434*12+X434)</f>
        <v/>
      </c>
      <c r="AK434" s="7" t="str">
        <f aca="false">IF(U434="تاخیر",V434+ROW()/100000,"")</f>
        <v/>
      </c>
    </row>
    <row r="435" customFormat="false" ht="15" hidden="false" customHeight="false" outlineLevel="0" collapsed="false">
      <c r="A435" s="7" t="str">
        <f aca="false">IF(B435="","",ROW()-3)</f>
        <v/>
      </c>
      <c r="B435" s="8"/>
      <c r="C435" s="8"/>
      <c r="D435" s="8"/>
      <c r="E435" s="9"/>
      <c r="F435" s="9"/>
      <c r="G435" s="8"/>
      <c r="H435" s="8"/>
      <c r="I435" s="8"/>
      <c r="J435" s="9"/>
      <c r="K435" s="8"/>
      <c r="L435" s="8"/>
      <c r="M435" s="8"/>
      <c r="N435" s="8"/>
      <c r="O435" s="8"/>
      <c r="P435" s="8"/>
      <c r="Q435" s="8"/>
      <c r="R435" s="9"/>
      <c r="S435" s="8"/>
      <c r="T435" s="9"/>
      <c r="U435" s="10" t="str">
        <f aca="true">IF(B435="","",IF(OR(P435&lt;&gt;"",I435="می‌باشد"),"بسته",IF(AND(L435&lt;&gt;"",W435=""),"خطای فرمت تاریخ ایجاد",IF(AND(H435&lt;&gt;"",AA435=""),"خطای فرمت مهلت",IF(AND(H435&lt;&gt;"",AD435&lt;&gt;"",TODAY()&gt;AD435),"تاخیر",IF(L435&lt;&gt;"","در حال انجام",""))))))</f>
        <v/>
      </c>
      <c r="V435" s="7" t="n">
        <f aca="true">IF(U435="تاخیر",TODAY()-AD435,IF(AND(U435="بسته",AH435&lt;&gt;"",AD435&lt;&gt;"",AH435&gt;AD435),AH435-AD435,0))</f>
        <v>0</v>
      </c>
      <c r="W435" s="7" t="str">
        <f aca="false">IF(L435="","",VALUE(LEFT(L435,FIND("/",L435)-1)))</f>
        <v/>
      </c>
      <c r="X435" s="7" t="str">
        <f aca="false">IF(L435="","",VALUE(MID(L435,FIND("/",L435)+1,FIND("/",L435,FIND("/",L435)+1)-FIND("/",L435)-1)))</f>
        <v/>
      </c>
      <c r="Y435" s="7" t="str">
        <f aca="false">IF(L435="","",VALUE(MID(L435,FIND("/",L435,FIND("/",L435)+1)+1,LEN(L435)-FIND("/",L435,FIND("/",L435)+1))))</f>
        <v/>
      </c>
      <c r="Z435" s="7" t="str">
        <f aca="false">IF(OR(L435="",W435=""),"",IFERROR(INDEX('لیست‌ها'!$Q$3:$Q$53,MATCH(W435,'لیست‌ها'!$P$3:$P$53,0))+IF(X435&lt;=6,(X435-1)*31+Y435,IF(X435&lt;=11,186+(X435-7)*30+Y435,336+Y435))-1,""))</f>
        <v/>
      </c>
      <c r="AA435" s="7" t="str">
        <f aca="false">IF(H435="","",VALUE(LEFT(H435,FIND("/",H435)-1)))</f>
        <v/>
      </c>
      <c r="AB435" s="7" t="str">
        <f aca="false">IF(H435="","",VALUE(MID(H435,FIND("/",H435)+1,FIND("/",H435,FIND("/",H435)+1)-FIND("/",H435)-1)))</f>
        <v/>
      </c>
      <c r="AC435" s="7" t="str">
        <f aca="false">IF(H435="","",VALUE(MID(H435,FIND("/",H435,FIND("/",H435)+1)+1,LEN(H435)-FIND("/",H435,FIND("/",H435)+1))))</f>
        <v/>
      </c>
      <c r="AD435" s="7" t="str">
        <f aca="false">IF(OR(H435="",AA435=""),"",IFERROR(INDEX('لیست‌ها'!$Q$3:$Q$53,MATCH(AA435,'لیست‌ها'!$P$3:$P$53,0))+IF(AB435&lt;=6,(AB435-1)*31+AC435,IF(AB435&lt;=11,186+(AB435-7)*30+AC435,336+AC435))-1,""))</f>
        <v/>
      </c>
      <c r="AE435" s="7" t="str">
        <f aca="false">IF(P435="","",VALUE(LEFT(P435,FIND("/",P435)-1)))</f>
        <v/>
      </c>
      <c r="AF435" s="7" t="str">
        <f aca="false">IF(P435="","",VALUE(MID(P435,FIND("/",P435)+1,FIND("/",P435,FIND("/",P435)+1)-FIND("/",P435)-1)))</f>
        <v/>
      </c>
      <c r="AG435" s="7" t="str">
        <f aca="false">IF(P435="","",VALUE(MID(P435,FIND("/",P435,FIND("/",P435)+1)+1,LEN(P435)-FIND("/",P435,FIND("/",P435)+1))))</f>
        <v/>
      </c>
      <c r="AH435" s="7" t="str">
        <f aca="false">IF(OR(P435="",AE435=""),"",IFERROR(INDEX('لیست‌ها'!$Q$3:$Q$53,MATCH(AE435,'لیست‌ها'!$P$3:$P$53,0))+IF(AF435&lt;=6,(AF435-1)*31+AG435,IF(AF435&lt;=11,186+(AF435-7)*30+AG435,336+AG435))-1,""))</f>
        <v/>
      </c>
      <c r="AI435" s="7" t="str">
        <f aca="false">IF(W435="","",W435&amp;"-"&amp;TEXT(X435,"00"))</f>
        <v/>
      </c>
      <c r="AJ435" s="7" t="str">
        <f aca="false">IF(W435="","",W435*12+X435)</f>
        <v/>
      </c>
      <c r="AK435" s="7" t="str">
        <f aca="false">IF(U435="تاخیر",V435+ROW()/100000,"")</f>
        <v/>
      </c>
    </row>
    <row r="436" customFormat="false" ht="15" hidden="false" customHeight="false" outlineLevel="0" collapsed="false">
      <c r="A436" s="7" t="str">
        <f aca="false">IF(B436="","",ROW()-3)</f>
        <v/>
      </c>
      <c r="B436" s="8"/>
      <c r="C436" s="8"/>
      <c r="D436" s="8"/>
      <c r="E436" s="9"/>
      <c r="F436" s="9"/>
      <c r="G436" s="8"/>
      <c r="H436" s="8"/>
      <c r="I436" s="8"/>
      <c r="J436" s="9"/>
      <c r="K436" s="8"/>
      <c r="L436" s="8"/>
      <c r="M436" s="8"/>
      <c r="N436" s="8"/>
      <c r="O436" s="8"/>
      <c r="P436" s="8"/>
      <c r="Q436" s="8"/>
      <c r="R436" s="9"/>
      <c r="S436" s="8"/>
      <c r="T436" s="9"/>
      <c r="U436" s="10" t="str">
        <f aca="true">IF(B436="","",IF(OR(P436&lt;&gt;"",I436="می‌باشد"),"بسته",IF(AND(L436&lt;&gt;"",W436=""),"خطای فرمت تاریخ ایجاد",IF(AND(H436&lt;&gt;"",AA436=""),"خطای فرمت مهلت",IF(AND(H436&lt;&gt;"",AD436&lt;&gt;"",TODAY()&gt;AD436),"تاخیر",IF(L436&lt;&gt;"","در حال انجام",""))))))</f>
        <v/>
      </c>
      <c r="V436" s="7" t="n">
        <f aca="true">IF(U436="تاخیر",TODAY()-AD436,IF(AND(U436="بسته",AH436&lt;&gt;"",AD436&lt;&gt;"",AH436&gt;AD436),AH436-AD436,0))</f>
        <v>0</v>
      </c>
      <c r="W436" s="7" t="str">
        <f aca="false">IF(L436="","",VALUE(LEFT(L436,FIND("/",L436)-1)))</f>
        <v/>
      </c>
      <c r="X436" s="7" t="str">
        <f aca="false">IF(L436="","",VALUE(MID(L436,FIND("/",L436)+1,FIND("/",L436,FIND("/",L436)+1)-FIND("/",L436)-1)))</f>
        <v/>
      </c>
      <c r="Y436" s="7" t="str">
        <f aca="false">IF(L436="","",VALUE(MID(L436,FIND("/",L436,FIND("/",L436)+1)+1,LEN(L436)-FIND("/",L436,FIND("/",L436)+1))))</f>
        <v/>
      </c>
      <c r="Z436" s="7" t="str">
        <f aca="false">IF(OR(L436="",W436=""),"",IFERROR(INDEX('لیست‌ها'!$Q$3:$Q$53,MATCH(W436,'لیست‌ها'!$P$3:$P$53,0))+IF(X436&lt;=6,(X436-1)*31+Y436,IF(X436&lt;=11,186+(X436-7)*30+Y436,336+Y436))-1,""))</f>
        <v/>
      </c>
      <c r="AA436" s="7" t="str">
        <f aca="false">IF(H436="","",VALUE(LEFT(H436,FIND("/",H436)-1)))</f>
        <v/>
      </c>
      <c r="AB436" s="7" t="str">
        <f aca="false">IF(H436="","",VALUE(MID(H436,FIND("/",H436)+1,FIND("/",H436,FIND("/",H436)+1)-FIND("/",H436)-1)))</f>
        <v/>
      </c>
      <c r="AC436" s="7" t="str">
        <f aca="false">IF(H436="","",VALUE(MID(H436,FIND("/",H436,FIND("/",H436)+1)+1,LEN(H436)-FIND("/",H436,FIND("/",H436)+1))))</f>
        <v/>
      </c>
      <c r="AD436" s="7" t="str">
        <f aca="false">IF(OR(H436="",AA436=""),"",IFERROR(INDEX('لیست‌ها'!$Q$3:$Q$53,MATCH(AA436,'لیست‌ها'!$P$3:$P$53,0))+IF(AB436&lt;=6,(AB436-1)*31+AC436,IF(AB436&lt;=11,186+(AB436-7)*30+AC436,336+AC436))-1,""))</f>
        <v/>
      </c>
      <c r="AE436" s="7" t="str">
        <f aca="false">IF(P436="","",VALUE(LEFT(P436,FIND("/",P436)-1)))</f>
        <v/>
      </c>
      <c r="AF436" s="7" t="str">
        <f aca="false">IF(P436="","",VALUE(MID(P436,FIND("/",P436)+1,FIND("/",P436,FIND("/",P436)+1)-FIND("/",P436)-1)))</f>
        <v/>
      </c>
      <c r="AG436" s="7" t="str">
        <f aca="false">IF(P436="","",VALUE(MID(P436,FIND("/",P436,FIND("/",P436)+1)+1,LEN(P436)-FIND("/",P436,FIND("/",P436)+1))))</f>
        <v/>
      </c>
      <c r="AH436" s="7" t="str">
        <f aca="false">IF(OR(P436="",AE436=""),"",IFERROR(INDEX('لیست‌ها'!$Q$3:$Q$53,MATCH(AE436,'لیست‌ها'!$P$3:$P$53,0))+IF(AF436&lt;=6,(AF436-1)*31+AG436,IF(AF436&lt;=11,186+(AF436-7)*30+AG436,336+AG436))-1,""))</f>
        <v/>
      </c>
      <c r="AI436" s="7" t="str">
        <f aca="false">IF(W436="","",W436&amp;"-"&amp;TEXT(X436,"00"))</f>
        <v/>
      </c>
      <c r="AJ436" s="7" t="str">
        <f aca="false">IF(W436="","",W436*12+X436)</f>
        <v/>
      </c>
      <c r="AK436" s="7" t="str">
        <f aca="false">IF(U436="تاخیر",V436+ROW()/100000,"")</f>
        <v/>
      </c>
    </row>
    <row r="437" customFormat="false" ht="15" hidden="false" customHeight="false" outlineLevel="0" collapsed="false">
      <c r="A437" s="7" t="str">
        <f aca="false">IF(B437="","",ROW()-3)</f>
        <v/>
      </c>
      <c r="B437" s="8"/>
      <c r="C437" s="8"/>
      <c r="D437" s="8"/>
      <c r="E437" s="9"/>
      <c r="F437" s="9"/>
      <c r="G437" s="8"/>
      <c r="H437" s="8"/>
      <c r="I437" s="8"/>
      <c r="J437" s="9"/>
      <c r="K437" s="8"/>
      <c r="L437" s="8"/>
      <c r="M437" s="8"/>
      <c r="N437" s="8"/>
      <c r="O437" s="8"/>
      <c r="P437" s="8"/>
      <c r="Q437" s="8"/>
      <c r="R437" s="9"/>
      <c r="S437" s="8"/>
      <c r="T437" s="9"/>
      <c r="U437" s="10" t="str">
        <f aca="true">IF(B437="","",IF(OR(P437&lt;&gt;"",I437="می‌باشد"),"بسته",IF(AND(L437&lt;&gt;"",W437=""),"خطای فرمت تاریخ ایجاد",IF(AND(H437&lt;&gt;"",AA437=""),"خطای فرمت مهلت",IF(AND(H437&lt;&gt;"",AD437&lt;&gt;"",TODAY()&gt;AD437),"تاخیر",IF(L437&lt;&gt;"","در حال انجام",""))))))</f>
        <v/>
      </c>
      <c r="V437" s="7" t="n">
        <f aca="true">IF(U437="تاخیر",TODAY()-AD437,IF(AND(U437="بسته",AH437&lt;&gt;"",AD437&lt;&gt;"",AH437&gt;AD437),AH437-AD437,0))</f>
        <v>0</v>
      </c>
      <c r="W437" s="7" t="str">
        <f aca="false">IF(L437="","",VALUE(LEFT(L437,FIND("/",L437)-1)))</f>
        <v/>
      </c>
      <c r="X437" s="7" t="str">
        <f aca="false">IF(L437="","",VALUE(MID(L437,FIND("/",L437)+1,FIND("/",L437,FIND("/",L437)+1)-FIND("/",L437)-1)))</f>
        <v/>
      </c>
      <c r="Y437" s="7" t="str">
        <f aca="false">IF(L437="","",VALUE(MID(L437,FIND("/",L437,FIND("/",L437)+1)+1,LEN(L437)-FIND("/",L437,FIND("/",L437)+1))))</f>
        <v/>
      </c>
      <c r="Z437" s="7" t="str">
        <f aca="false">IF(OR(L437="",W437=""),"",IFERROR(INDEX('لیست‌ها'!$Q$3:$Q$53,MATCH(W437,'لیست‌ها'!$P$3:$P$53,0))+IF(X437&lt;=6,(X437-1)*31+Y437,IF(X437&lt;=11,186+(X437-7)*30+Y437,336+Y437))-1,""))</f>
        <v/>
      </c>
      <c r="AA437" s="7" t="str">
        <f aca="false">IF(H437="","",VALUE(LEFT(H437,FIND("/",H437)-1)))</f>
        <v/>
      </c>
      <c r="AB437" s="7" t="str">
        <f aca="false">IF(H437="","",VALUE(MID(H437,FIND("/",H437)+1,FIND("/",H437,FIND("/",H437)+1)-FIND("/",H437)-1)))</f>
        <v/>
      </c>
      <c r="AC437" s="7" t="str">
        <f aca="false">IF(H437="","",VALUE(MID(H437,FIND("/",H437,FIND("/",H437)+1)+1,LEN(H437)-FIND("/",H437,FIND("/",H437)+1))))</f>
        <v/>
      </c>
      <c r="AD437" s="7" t="str">
        <f aca="false">IF(OR(H437="",AA437=""),"",IFERROR(INDEX('لیست‌ها'!$Q$3:$Q$53,MATCH(AA437,'لیست‌ها'!$P$3:$P$53,0))+IF(AB437&lt;=6,(AB437-1)*31+AC437,IF(AB437&lt;=11,186+(AB437-7)*30+AC437,336+AC437))-1,""))</f>
        <v/>
      </c>
      <c r="AE437" s="7" t="str">
        <f aca="false">IF(P437="","",VALUE(LEFT(P437,FIND("/",P437)-1)))</f>
        <v/>
      </c>
      <c r="AF437" s="7" t="str">
        <f aca="false">IF(P437="","",VALUE(MID(P437,FIND("/",P437)+1,FIND("/",P437,FIND("/",P437)+1)-FIND("/",P437)-1)))</f>
        <v/>
      </c>
      <c r="AG437" s="7" t="str">
        <f aca="false">IF(P437="","",VALUE(MID(P437,FIND("/",P437,FIND("/",P437)+1)+1,LEN(P437)-FIND("/",P437,FIND("/",P437)+1))))</f>
        <v/>
      </c>
      <c r="AH437" s="7" t="str">
        <f aca="false">IF(OR(P437="",AE437=""),"",IFERROR(INDEX('لیست‌ها'!$Q$3:$Q$53,MATCH(AE437,'لیست‌ها'!$P$3:$P$53,0))+IF(AF437&lt;=6,(AF437-1)*31+AG437,IF(AF437&lt;=11,186+(AF437-7)*30+AG437,336+AG437))-1,""))</f>
        <v/>
      </c>
      <c r="AI437" s="7" t="str">
        <f aca="false">IF(W437="","",W437&amp;"-"&amp;TEXT(X437,"00"))</f>
        <v/>
      </c>
      <c r="AJ437" s="7" t="str">
        <f aca="false">IF(W437="","",W437*12+X437)</f>
        <v/>
      </c>
      <c r="AK437" s="7" t="str">
        <f aca="false">IF(U437="تاخیر",V437+ROW()/100000,"")</f>
        <v/>
      </c>
    </row>
    <row r="438" customFormat="false" ht="15" hidden="false" customHeight="false" outlineLevel="0" collapsed="false">
      <c r="A438" s="7" t="str">
        <f aca="false">IF(B438="","",ROW()-3)</f>
        <v/>
      </c>
      <c r="B438" s="8"/>
      <c r="C438" s="8"/>
      <c r="D438" s="8"/>
      <c r="E438" s="9"/>
      <c r="F438" s="9"/>
      <c r="G438" s="8"/>
      <c r="H438" s="8"/>
      <c r="I438" s="8"/>
      <c r="J438" s="9"/>
      <c r="K438" s="8"/>
      <c r="L438" s="8"/>
      <c r="M438" s="8"/>
      <c r="N438" s="8"/>
      <c r="O438" s="8"/>
      <c r="P438" s="8"/>
      <c r="Q438" s="8"/>
      <c r="R438" s="9"/>
      <c r="S438" s="8"/>
      <c r="T438" s="9"/>
      <c r="U438" s="10" t="str">
        <f aca="true">IF(B438="","",IF(OR(P438&lt;&gt;"",I438="می‌باشد"),"بسته",IF(AND(L438&lt;&gt;"",W438=""),"خطای فرمت تاریخ ایجاد",IF(AND(H438&lt;&gt;"",AA438=""),"خطای فرمت مهلت",IF(AND(H438&lt;&gt;"",AD438&lt;&gt;"",TODAY()&gt;AD438),"تاخیر",IF(L438&lt;&gt;"","در حال انجام",""))))))</f>
        <v/>
      </c>
      <c r="V438" s="7" t="n">
        <f aca="true">IF(U438="تاخیر",TODAY()-AD438,IF(AND(U438="بسته",AH438&lt;&gt;"",AD438&lt;&gt;"",AH438&gt;AD438),AH438-AD438,0))</f>
        <v>0</v>
      </c>
      <c r="W438" s="7" t="str">
        <f aca="false">IF(L438="","",VALUE(LEFT(L438,FIND("/",L438)-1)))</f>
        <v/>
      </c>
      <c r="X438" s="7" t="str">
        <f aca="false">IF(L438="","",VALUE(MID(L438,FIND("/",L438)+1,FIND("/",L438,FIND("/",L438)+1)-FIND("/",L438)-1)))</f>
        <v/>
      </c>
      <c r="Y438" s="7" t="str">
        <f aca="false">IF(L438="","",VALUE(MID(L438,FIND("/",L438,FIND("/",L438)+1)+1,LEN(L438)-FIND("/",L438,FIND("/",L438)+1))))</f>
        <v/>
      </c>
      <c r="Z438" s="7" t="str">
        <f aca="false">IF(OR(L438="",W438=""),"",IFERROR(INDEX('لیست‌ها'!$Q$3:$Q$53,MATCH(W438,'لیست‌ها'!$P$3:$P$53,0))+IF(X438&lt;=6,(X438-1)*31+Y438,IF(X438&lt;=11,186+(X438-7)*30+Y438,336+Y438))-1,""))</f>
        <v/>
      </c>
      <c r="AA438" s="7" t="str">
        <f aca="false">IF(H438="","",VALUE(LEFT(H438,FIND("/",H438)-1)))</f>
        <v/>
      </c>
      <c r="AB438" s="7" t="str">
        <f aca="false">IF(H438="","",VALUE(MID(H438,FIND("/",H438)+1,FIND("/",H438,FIND("/",H438)+1)-FIND("/",H438)-1)))</f>
        <v/>
      </c>
      <c r="AC438" s="7" t="str">
        <f aca="false">IF(H438="","",VALUE(MID(H438,FIND("/",H438,FIND("/",H438)+1)+1,LEN(H438)-FIND("/",H438,FIND("/",H438)+1))))</f>
        <v/>
      </c>
      <c r="AD438" s="7" t="str">
        <f aca="false">IF(OR(H438="",AA438=""),"",IFERROR(INDEX('لیست‌ها'!$Q$3:$Q$53,MATCH(AA438,'لیست‌ها'!$P$3:$P$53,0))+IF(AB438&lt;=6,(AB438-1)*31+AC438,IF(AB438&lt;=11,186+(AB438-7)*30+AC438,336+AC438))-1,""))</f>
        <v/>
      </c>
      <c r="AE438" s="7" t="str">
        <f aca="false">IF(P438="","",VALUE(LEFT(P438,FIND("/",P438)-1)))</f>
        <v/>
      </c>
      <c r="AF438" s="7" t="str">
        <f aca="false">IF(P438="","",VALUE(MID(P438,FIND("/",P438)+1,FIND("/",P438,FIND("/",P438)+1)-FIND("/",P438)-1)))</f>
        <v/>
      </c>
      <c r="AG438" s="7" t="str">
        <f aca="false">IF(P438="","",VALUE(MID(P438,FIND("/",P438,FIND("/",P438)+1)+1,LEN(P438)-FIND("/",P438,FIND("/",P438)+1))))</f>
        <v/>
      </c>
      <c r="AH438" s="7" t="str">
        <f aca="false">IF(OR(P438="",AE438=""),"",IFERROR(INDEX('لیست‌ها'!$Q$3:$Q$53,MATCH(AE438,'لیست‌ها'!$P$3:$P$53,0))+IF(AF438&lt;=6,(AF438-1)*31+AG438,IF(AF438&lt;=11,186+(AF438-7)*30+AG438,336+AG438))-1,""))</f>
        <v/>
      </c>
      <c r="AI438" s="7" t="str">
        <f aca="false">IF(W438="","",W438&amp;"-"&amp;TEXT(X438,"00"))</f>
        <v/>
      </c>
      <c r="AJ438" s="7" t="str">
        <f aca="false">IF(W438="","",W438*12+X438)</f>
        <v/>
      </c>
      <c r="AK438" s="7" t="str">
        <f aca="false">IF(U438="تاخیر",V438+ROW()/100000,"")</f>
        <v/>
      </c>
    </row>
    <row r="439" customFormat="false" ht="15" hidden="false" customHeight="false" outlineLevel="0" collapsed="false">
      <c r="A439" s="7" t="str">
        <f aca="false">IF(B439="","",ROW()-3)</f>
        <v/>
      </c>
      <c r="B439" s="8"/>
      <c r="C439" s="8"/>
      <c r="D439" s="8"/>
      <c r="E439" s="9"/>
      <c r="F439" s="9"/>
      <c r="G439" s="8"/>
      <c r="H439" s="8"/>
      <c r="I439" s="8"/>
      <c r="J439" s="9"/>
      <c r="K439" s="8"/>
      <c r="L439" s="8"/>
      <c r="M439" s="8"/>
      <c r="N439" s="8"/>
      <c r="O439" s="8"/>
      <c r="P439" s="8"/>
      <c r="Q439" s="8"/>
      <c r="R439" s="9"/>
      <c r="S439" s="8"/>
      <c r="T439" s="9"/>
      <c r="U439" s="10" t="str">
        <f aca="true">IF(B439="","",IF(OR(P439&lt;&gt;"",I439="می‌باشد"),"بسته",IF(AND(L439&lt;&gt;"",W439=""),"خطای فرمت تاریخ ایجاد",IF(AND(H439&lt;&gt;"",AA439=""),"خطای فرمت مهلت",IF(AND(H439&lt;&gt;"",AD439&lt;&gt;"",TODAY()&gt;AD439),"تاخیر",IF(L439&lt;&gt;"","در حال انجام",""))))))</f>
        <v/>
      </c>
      <c r="V439" s="7" t="n">
        <f aca="true">IF(U439="تاخیر",TODAY()-AD439,IF(AND(U439="بسته",AH439&lt;&gt;"",AD439&lt;&gt;"",AH439&gt;AD439),AH439-AD439,0))</f>
        <v>0</v>
      </c>
      <c r="W439" s="7" t="str">
        <f aca="false">IF(L439="","",VALUE(LEFT(L439,FIND("/",L439)-1)))</f>
        <v/>
      </c>
      <c r="X439" s="7" t="str">
        <f aca="false">IF(L439="","",VALUE(MID(L439,FIND("/",L439)+1,FIND("/",L439,FIND("/",L439)+1)-FIND("/",L439)-1)))</f>
        <v/>
      </c>
      <c r="Y439" s="7" t="str">
        <f aca="false">IF(L439="","",VALUE(MID(L439,FIND("/",L439,FIND("/",L439)+1)+1,LEN(L439)-FIND("/",L439,FIND("/",L439)+1))))</f>
        <v/>
      </c>
      <c r="Z439" s="7" t="str">
        <f aca="false">IF(OR(L439="",W439=""),"",IFERROR(INDEX('لیست‌ها'!$Q$3:$Q$53,MATCH(W439,'لیست‌ها'!$P$3:$P$53,0))+IF(X439&lt;=6,(X439-1)*31+Y439,IF(X439&lt;=11,186+(X439-7)*30+Y439,336+Y439))-1,""))</f>
        <v/>
      </c>
      <c r="AA439" s="7" t="str">
        <f aca="false">IF(H439="","",VALUE(LEFT(H439,FIND("/",H439)-1)))</f>
        <v/>
      </c>
      <c r="AB439" s="7" t="str">
        <f aca="false">IF(H439="","",VALUE(MID(H439,FIND("/",H439)+1,FIND("/",H439,FIND("/",H439)+1)-FIND("/",H439)-1)))</f>
        <v/>
      </c>
      <c r="AC439" s="7" t="str">
        <f aca="false">IF(H439="","",VALUE(MID(H439,FIND("/",H439,FIND("/",H439)+1)+1,LEN(H439)-FIND("/",H439,FIND("/",H439)+1))))</f>
        <v/>
      </c>
      <c r="AD439" s="7" t="str">
        <f aca="false">IF(OR(H439="",AA439=""),"",IFERROR(INDEX('لیست‌ها'!$Q$3:$Q$53,MATCH(AA439,'لیست‌ها'!$P$3:$P$53,0))+IF(AB439&lt;=6,(AB439-1)*31+AC439,IF(AB439&lt;=11,186+(AB439-7)*30+AC439,336+AC439))-1,""))</f>
        <v/>
      </c>
      <c r="AE439" s="7" t="str">
        <f aca="false">IF(P439="","",VALUE(LEFT(P439,FIND("/",P439)-1)))</f>
        <v/>
      </c>
      <c r="AF439" s="7" t="str">
        <f aca="false">IF(P439="","",VALUE(MID(P439,FIND("/",P439)+1,FIND("/",P439,FIND("/",P439)+1)-FIND("/",P439)-1)))</f>
        <v/>
      </c>
      <c r="AG439" s="7" t="str">
        <f aca="false">IF(P439="","",VALUE(MID(P439,FIND("/",P439,FIND("/",P439)+1)+1,LEN(P439)-FIND("/",P439,FIND("/",P439)+1))))</f>
        <v/>
      </c>
      <c r="AH439" s="7" t="str">
        <f aca="false">IF(OR(P439="",AE439=""),"",IFERROR(INDEX('لیست‌ها'!$Q$3:$Q$53,MATCH(AE439,'لیست‌ها'!$P$3:$P$53,0))+IF(AF439&lt;=6,(AF439-1)*31+AG439,IF(AF439&lt;=11,186+(AF439-7)*30+AG439,336+AG439))-1,""))</f>
        <v/>
      </c>
      <c r="AI439" s="7" t="str">
        <f aca="false">IF(W439="","",W439&amp;"-"&amp;TEXT(X439,"00"))</f>
        <v/>
      </c>
      <c r="AJ439" s="7" t="str">
        <f aca="false">IF(W439="","",W439*12+X439)</f>
        <v/>
      </c>
      <c r="AK439" s="7" t="str">
        <f aca="false">IF(U439="تاخیر",V439+ROW()/100000,"")</f>
        <v/>
      </c>
    </row>
    <row r="440" customFormat="false" ht="15" hidden="false" customHeight="false" outlineLevel="0" collapsed="false">
      <c r="A440" s="7" t="str">
        <f aca="false">IF(B440="","",ROW()-3)</f>
        <v/>
      </c>
      <c r="B440" s="8"/>
      <c r="C440" s="8"/>
      <c r="D440" s="8"/>
      <c r="E440" s="9"/>
      <c r="F440" s="9"/>
      <c r="G440" s="8"/>
      <c r="H440" s="8"/>
      <c r="I440" s="8"/>
      <c r="J440" s="9"/>
      <c r="K440" s="8"/>
      <c r="L440" s="8"/>
      <c r="M440" s="8"/>
      <c r="N440" s="8"/>
      <c r="O440" s="8"/>
      <c r="P440" s="8"/>
      <c r="Q440" s="8"/>
      <c r="R440" s="9"/>
      <c r="S440" s="8"/>
      <c r="T440" s="9"/>
      <c r="U440" s="10" t="str">
        <f aca="true">IF(B440="","",IF(OR(P440&lt;&gt;"",I440="می‌باشد"),"بسته",IF(AND(L440&lt;&gt;"",W440=""),"خطای فرمت تاریخ ایجاد",IF(AND(H440&lt;&gt;"",AA440=""),"خطای فرمت مهلت",IF(AND(H440&lt;&gt;"",AD440&lt;&gt;"",TODAY()&gt;AD440),"تاخیر",IF(L440&lt;&gt;"","در حال انجام",""))))))</f>
        <v/>
      </c>
      <c r="V440" s="7" t="n">
        <f aca="true">IF(U440="تاخیر",TODAY()-AD440,IF(AND(U440="بسته",AH440&lt;&gt;"",AD440&lt;&gt;"",AH440&gt;AD440),AH440-AD440,0))</f>
        <v>0</v>
      </c>
      <c r="W440" s="7" t="str">
        <f aca="false">IF(L440="","",VALUE(LEFT(L440,FIND("/",L440)-1)))</f>
        <v/>
      </c>
      <c r="X440" s="7" t="str">
        <f aca="false">IF(L440="","",VALUE(MID(L440,FIND("/",L440)+1,FIND("/",L440,FIND("/",L440)+1)-FIND("/",L440)-1)))</f>
        <v/>
      </c>
      <c r="Y440" s="7" t="str">
        <f aca="false">IF(L440="","",VALUE(MID(L440,FIND("/",L440,FIND("/",L440)+1)+1,LEN(L440)-FIND("/",L440,FIND("/",L440)+1))))</f>
        <v/>
      </c>
      <c r="Z440" s="7" t="str">
        <f aca="false">IF(OR(L440="",W440=""),"",IFERROR(INDEX('لیست‌ها'!$Q$3:$Q$53,MATCH(W440,'لیست‌ها'!$P$3:$P$53,0))+IF(X440&lt;=6,(X440-1)*31+Y440,IF(X440&lt;=11,186+(X440-7)*30+Y440,336+Y440))-1,""))</f>
        <v/>
      </c>
      <c r="AA440" s="7" t="str">
        <f aca="false">IF(H440="","",VALUE(LEFT(H440,FIND("/",H440)-1)))</f>
        <v/>
      </c>
      <c r="AB440" s="7" t="str">
        <f aca="false">IF(H440="","",VALUE(MID(H440,FIND("/",H440)+1,FIND("/",H440,FIND("/",H440)+1)-FIND("/",H440)-1)))</f>
        <v/>
      </c>
      <c r="AC440" s="7" t="str">
        <f aca="false">IF(H440="","",VALUE(MID(H440,FIND("/",H440,FIND("/",H440)+1)+1,LEN(H440)-FIND("/",H440,FIND("/",H440)+1))))</f>
        <v/>
      </c>
      <c r="AD440" s="7" t="str">
        <f aca="false">IF(OR(H440="",AA440=""),"",IFERROR(INDEX('لیست‌ها'!$Q$3:$Q$53,MATCH(AA440,'لیست‌ها'!$P$3:$P$53,0))+IF(AB440&lt;=6,(AB440-1)*31+AC440,IF(AB440&lt;=11,186+(AB440-7)*30+AC440,336+AC440))-1,""))</f>
        <v/>
      </c>
      <c r="AE440" s="7" t="str">
        <f aca="false">IF(P440="","",VALUE(LEFT(P440,FIND("/",P440)-1)))</f>
        <v/>
      </c>
      <c r="AF440" s="7" t="str">
        <f aca="false">IF(P440="","",VALUE(MID(P440,FIND("/",P440)+1,FIND("/",P440,FIND("/",P440)+1)-FIND("/",P440)-1)))</f>
        <v/>
      </c>
      <c r="AG440" s="7" t="str">
        <f aca="false">IF(P440="","",VALUE(MID(P440,FIND("/",P440,FIND("/",P440)+1)+1,LEN(P440)-FIND("/",P440,FIND("/",P440)+1))))</f>
        <v/>
      </c>
      <c r="AH440" s="7" t="str">
        <f aca="false">IF(OR(P440="",AE440=""),"",IFERROR(INDEX('لیست‌ها'!$Q$3:$Q$53,MATCH(AE440,'لیست‌ها'!$P$3:$P$53,0))+IF(AF440&lt;=6,(AF440-1)*31+AG440,IF(AF440&lt;=11,186+(AF440-7)*30+AG440,336+AG440))-1,""))</f>
        <v/>
      </c>
      <c r="AI440" s="7" t="str">
        <f aca="false">IF(W440="","",W440&amp;"-"&amp;TEXT(X440,"00"))</f>
        <v/>
      </c>
      <c r="AJ440" s="7" t="str">
        <f aca="false">IF(W440="","",W440*12+X440)</f>
        <v/>
      </c>
      <c r="AK440" s="7" t="str">
        <f aca="false">IF(U440="تاخیر",V440+ROW()/100000,"")</f>
        <v/>
      </c>
    </row>
    <row r="441" customFormat="false" ht="15" hidden="false" customHeight="false" outlineLevel="0" collapsed="false">
      <c r="A441" s="7" t="str">
        <f aca="false">IF(B441="","",ROW()-3)</f>
        <v/>
      </c>
      <c r="B441" s="8"/>
      <c r="C441" s="8"/>
      <c r="D441" s="8"/>
      <c r="E441" s="9"/>
      <c r="F441" s="9"/>
      <c r="G441" s="8"/>
      <c r="H441" s="8"/>
      <c r="I441" s="8"/>
      <c r="J441" s="9"/>
      <c r="K441" s="8"/>
      <c r="L441" s="8"/>
      <c r="M441" s="8"/>
      <c r="N441" s="8"/>
      <c r="O441" s="8"/>
      <c r="P441" s="8"/>
      <c r="Q441" s="8"/>
      <c r="R441" s="9"/>
      <c r="S441" s="8"/>
      <c r="T441" s="9"/>
      <c r="U441" s="10" t="str">
        <f aca="true">IF(B441="","",IF(OR(P441&lt;&gt;"",I441="می‌باشد"),"بسته",IF(AND(L441&lt;&gt;"",W441=""),"خطای فرمت تاریخ ایجاد",IF(AND(H441&lt;&gt;"",AA441=""),"خطای فرمت مهلت",IF(AND(H441&lt;&gt;"",AD441&lt;&gt;"",TODAY()&gt;AD441),"تاخیر",IF(L441&lt;&gt;"","در حال انجام",""))))))</f>
        <v/>
      </c>
      <c r="V441" s="7" t="n">
        <f aca="true">IF(U441="تاخیر",TODAY()-AD441,IF(AND(U441="بسته",AH441&lt;&gt;"",AD441&lt;&gt;"",AH441&gt;AD441),AH441-AD441,0))</f>
        <v>0</v>
      </c>
      <c r="W441" s="7" t="str">
        <f aca="false">IF(L441="","",VALUE(LEFT(L441,FIND("/",L441)-1)))</f>
        <v/>
      </c>
      <c r="X441" s="7" t="str">
        <f aca="false">IF(L441="","",VALUE(MID(L441,FIND("/",L441)+1,FIND("/",L441,FIND("/",L441)+1)-FIND("/",L441)-1)))</f>
        <v/>
      </c>
      <c r="Y441" s="7" t="str">
        <f aca="false">IF(L441="","",VALUE(MID(L441,FIND("/",L441,FIND("/",L441)+1)+1,LEN(L441)-FIND("/",L441,FIND("/",L441)+1))))</f>
        <v/>
      </c>
      <c r="Z441" s="7" t="str">
        <f aca="false">IF(OR(L441="",W441=""),"",IFERROR(INDEX('لیست‌ها'!$Q$3:$Q$53,MATCH(W441,'لیست‌ها'!$P$3:$P$53,0))+IF(X441&lt;=6,(X441-1)*31+Y441,IF(X441&lt;=11,186+(X441-7)*30+Y441,336+Y441))-1,""))</f>
        <v/>
      </c>
      <c r="AA441" s="7" t="str">
        <f aca="false">IF(H441="","",VALUE(LEFT(H441,FIND("/",H441)-1)))</f>
        <v/>
      </c>
      <c r="AB441" s="7" t="str">
        <f aca="false">IF(H441="","",VALUE(MID(H441,FIND("/",H441)+1,FIND("/",H441,FIND("/",H441)+1)-FIND("/",H441)-1)))</f>
        <v/>
      </c>
      <c r="AC441" s="7" t="str">
        <f aca="false">IF(H441="","",VALUE(MID(H441,FIND("/",H441,FIND("/",H441)+1)+1,LEN(H441)-FIND("/",H441,FIND("/",H441)+1))))</f>
        <v/>
      </c>
      <c r="AD441" s="7" t="str">
        <f aca="false">IF(OR(H441="",AA441=""),"",IFERROR(INDEX('لیست‌ها'!$Q$3:$Q$53,MATCH(AA441,'لیست‌ها'!$P$3:$P$53,0))+IF(AB441&lt;=6,(AB441-1)*31+AC441,IF(AB441&lt;=11,186+(AB441-7)*30+AC441,336+AC441))-1,""))</f>
        <v/>
      </c>
      <c r="AE441" s="7" t="str">
        <f aca="false">IF(P441="","",VALUE(LEFT(P441,FIND("/",P441)-1)))</f>
        <v/>
      </c>
      <c r="AF441" s="7" t="str">
        <f aca="false">IF(P441="","",VALUE(MID(P441,FIND("/",P441)+1,FIND("/",P441,FIND("/",P441)+1)-FIND("/",P441)-1)))</f>
        <v/>
      </c>
      <c r="AG441" s="7" t="str">
        <f aca="false">IF(P441="","",VALUE(MID(P441,FIND("/",P441,FIND("/",P441)+1)+1,LEN(P441)-FIND("/",P441,FIND("/",P441)+1))))</f>
        <v/>
      </c>
      <c r="AH441" s="7" t="str">
        <f aca="false">IF(OR(P441="",AE441=""),"",IFERROR(INDEX('لیست‌ها'!$Q$3:$Q$53,MATCH(AE441,'لیست‌ها'!$P$3:$P$53,0))+IF(AF441&lt;=6,(AF441-1)*31+AG441,IF(AF441&lt;=11,186+(AF441-7)*30+AG441,336+AG441))-1,""))</f>
        <v/>
      </c>
      <c r="AI441" s="7" t="str">
        <f aca="false">IF(W441="","",W441&amp;"-"&amp;TEXT(X441,"00"))</f>
        <v/>
      </c>
      <c r="AJ441" s="7" t="str">
        <f aca="false">IF(W441="","",W441*12+X441)</f>
        <v/>
      </c>
      <c r="AK441" s="7" t="str">
        <f aca="false">IF(U441="تاخیر",V441+ROW()/100000,"")</f>
        <v/>
      </c>
    </row>
    <row r="442" customFormat="false" ht="15" hidden="false" customHeight="false" outlineLevel="0" collapsed="false">
      <c r="A442" s="7" t="str">
        <f aca="false">IF(B442="","",ROW()-3)</f>
        <v/>
      </c>
      <c r="B442" s="8"/>
      <c r="C442" s="8"/>
      <c r="D442" s="8"/>
      <c r="E442" s="9"/>
      <c r="F442" s="9"/>
      <c r="G442" s="8"/>
      <c r="H442" s="8"/>
      <c r="I442" s="8"/>
      <c r="J442" s="9"/>
      <c r="K442" s="8"/>
      <c r="L442" s="8"/>
      <c r="M442" s="8"/>
      <c r="N442" s="8"/>
      <c r="O442" s="8"/>
      <c r="P442" s="8"/>
      <c r="Q442" s="8"/>
      <c r="R442" s="9"/>
      <c r="S442" s="8"/>
      <c r="T442" s="9"/>
      <c r="U442" s="10" t="str">
        <f aca="true">IF(B442="","",IF(OR(P442&lt;&gt;"",I442="می‌باشد"),"بسته",IF(AND(L442&lt;&gt;"",W442=""),"خطای فرمت تاریخ ایجاد",IF(AND(H442&lt;&gt;"",AA442=""),"خطای فرمت مهلت",IF(AND(H442&lt;&gt;"",AD442&lt;&gt;"",TODAY()&gt;AD442),"تاخیر",IF(L442&lt;&gt;"","در حال انجام",""))))))</f>
        <v/>
      </c>
      <c r="V442" s="7" t="n">
        <f aca="true">IF(U442="تاخیر",TODAY()-AD442,IF(AND(U442="بسته",AH442&lt;&gt;"",AD442&lt;&gt;"",AH442&gt;AD442),AH442-AD442,0))</f>
        <v>0</v>
      </c>
      <c r="W442" s="7" t="str">
        <f aca="false">IF(L442="","",VALUE(LEFT(L442,FIND("/",L442)-1)))</f>
        <v/>
      </c>
      <c r="X442" s="7" t="str">
        <f aca="false">IF(L442="","",VALUE(MID(L442,FIND("/",L442)+1,FIND("/",L442,FIND("/",L442)+1)-FIND("/",L442)-1)))</f>
        <v/>
      </c>
      <c r="Y442" s="7" t="str">
        <f aca="false">IF(L442="","",VALUE(MID(L442,FIND("/",L442,FIND("/",L442)+1)+1,LEN(L442)-FIND("/",L442,FIND("/",L442)+1))))</f>
        <v/>
      </c>
      <c r="Z442" s="7" t="str">
        <f aca="false">IF(OR(L442="",W442=""),"",IFERROR(INDEX('لیست‌ها'!$Q$3:$Q$53,MATCH(W442,'لیست‌ها'!$P$3:$P$53,0))+IF(X442&lt;=6,(X442-1)*31+Y442,IF(X442&lt;=11,186+(X442-7)*30+Y442,336+Y442))-1,""))</f>
        <v/>
      </c>
      <c r="AA442" s="7" t="str">
        <f aca="false">IF(H442="","",VALUE(LEFT(H442,FIND("/",H442)-1)))</f>
        <v/>
      </c>
      <c r="AB442" s="7" t="str">
        <f aca="false">IF(H442="","",VALUE(MID(H442,FIND("/",H442)+1,FIND("/",H442,FIND("/",H442)+1)-FIND("/",H442)-1)))</f>
        <v/>
      </c>
      <c r="AC442" s="7" t="str">
        <f aca="false">IF(H442="","",VALUE(MID(H442,FIND("/",H442,FIND("/",H442)+1)+1,LEN(H442)-FIND("/",H442,FIND("/",H442)+1))))</f>
        <v/>
      </c>
      <c r="AD442" s="7" t="str">
        <f aca="false">IF(OR(H442="",AA442=""),"",IFERROR(INDEX('لیست‌ها'!$Q$3:$Q$53,MATCH(AA442,'لیست‌ها'!$P$3:$P$53,0))+IF(AB442&lt;=6,(AB442-1)*31+AC442,IF(AB442&lt;=11,186+(AB442-7)*30+AC442,336+AC442))-1,""))</f>
        <v/>
      </c>
      <c r="AE442" s="7" t="str">
        <f aca="false">IF(P442="","",VALUE(LEFT(P442,FIND("/",P442)-1)))</f>
        <v/>
      </c>
      <c r="AF442" s="7" t="str">
        <f aca="false">IF(P442="","",VALUE(MID(P442,FIND("/",P442)+1,FIND("/",P442,FIND("/",P442)+1)-FIND("/",P442)-1)))</f>
        <v/>
      </c>
      <c r="AG442" s="7" t="str">
        <f aca="false">IF(P442="","",VALUE(MID(P442,FIND("/",P442,FIND("/",P442)+1)+1,LEN(P442)-FIND("/",P442,FIND("/",P442)+1))))</f>
        <v/>
      </c>
      <c r="AH442" s="7" t="str">
        <f aca="false">IF(OR(P442="",AE442=""),"",IFERROR(INDEX('لیست‌ها'!$Q$3:$Q$53,MATCH(AE442,'لیست‌ها'!$P$3:$P$53,0))+IF(AF442&lt;=6,(AF442-1)*31+AG442,IF(AF442&lt;=11,186+(AF442-7)*30+AG442,336+AG442))-1,""))</f>
        <v/>
      </c>
      <c r="AI442" s="7" t="str">
        <f aca="false">IF(W442="","",W442&amp;"-"&amp;TEXT(X442,"00"))</f>
        <v/>
      </c>
      <c r="AJ442" s="7" t="str">
        <f aca="false">IF(W442="","",W442*12+X442)</f>
        <v/>
      </c>
      <c r="AK442" s="7" t="str">
        <f aca="false">IF(U442="تاخیر",V442+ROW()/100000,"")</f>
        <v/>
      </c>
    </row>
    <row r="443" customFormat="false" ht="15" hidden="false" customHeight="false" outlineLevel="0" collapsed="false">
      <c r="A443" s="7" t="str">
        <f aca="false">IF(B443="","",ROW()-3)</f>
        <v/>
      </c>
      <c r="B443" s="8"/>
      <c r="C443" s="8"/>
      <c r="D443" s="8"/>
      <c r="E443" s="9"/>
      <c r="F443" s="9"/>
      <c r="G443" s="8"/>
      <c r="H443" s="8"/>
      <c r="I443" s="8"/>
      <c r="J443" s="9"/>
      <c r="K443" s="8"/>
      <c r="L443" s="8"/>
      <c r="M443" s="8"/>
      <c r="N443" s="8"/>
      <c r="O443" s="8"/>
      <c r="P443" s="8"/>
      <c r="Q443" s="8"/>
      <c r="R443" s="9"/>
      <c r="S443" s="8"/>
      <c r="T443" s="9"/>
      <c r="U443" s="10" t="str">
        <f aca="true">IF(B443="","",IF(OR(P443&lt;&gt;"",I443="می‌باشد"),"بسته",IF(AND(L443&lt;&gt;"",W443=""),"خطای فرمت تاریخ ایجاد",IF(AND(H443&lt;&gt;"",AA443=""),"خطای فرمت مهلت",IF(AND(H443&lt;&gt;"",AD443&lt;&gt;"",TODAY()&gt;AD443),"تاخیر",IF(L443&lt;&gt;"","در حال انجام",""))))))</f>
        <v/>
      </c>
      <c r="V443" s="7" t="n">
        <f aca="true">IF(U443="تاخیر",TODAY()-AD443,IF(AND(U443="بسته",AH443&lt;&gt;"",AD443&lt;&gt;"",AH443&gt;AD443),AH443-AD443,0))</f>
        <v>0</v>
      </c>
      <c r="W443" s="7" t="str">
        <f aca="false">IF(L443="","",VALUE(LEFT(L443,FIND("/",L443)-1)))</f>
        <v/>
      </c>
      <c r="X443" s="7" t="str">
        <f aca="false">IF(L443="","",VALUE(MID(L443,FIND("/",L443)+1,FIND("/",L443,FIND("/",L443)+1)-FIND("/",L443)-1)))</f>
        <v/>
      </c>
      <c r="Y443" s="7" t="str">
        <f aca="false">IF(L443="","",VALUE(MID(L443,FIND("/",L443,FIND("/",L443)+1)+1,LEN(L443)-FIND("/",L443,FIND("/",L443)+1))))</f>
        <v/>
      </c>
      <c r="Z443" s="7" t="str">
        <f aca="false">IF(OR(L443="",W443=""),"",IFERROR(INDEX('لیست‌ها'!$Q$3:$Q$53,MATCH(W443,'لیست‌ها'!$P$3:$P$53,0))+IF(X443&lt;=6,(X443-1)*31+Y443,IF(X443&lt;=11,186+(X443-7)*30+Y443,336+Y443))-1,""))</f>
        <v/>
      </c>
      <c r="AA443" s="7" t="str">
        <f aca="false">IF(H443="","",VALUE(LEFT(H443,FIND("/",H443)-1)))</f>
        <v/>
      </c>
      <c r="AB443" s="7" t="str">
        <f aca="false">IF(H443="","",VALUE(MID(H443,FIND("/",H443)+1,FIND("/",H443,FIND("/",H443)+1)-FIND("/",H443)-1)))</f>
        <v/>
      </c>
      <c r="AC443" s="7" t="str">
        <f aca="false">IF(H443="","",VALUE(MID(H443,FIND("/",H443,FIND("/",H443)+1)+1,LEN(H443)-FIND("/",H443,FIND("/",H443)+1))))</f>
        <v/>
      </c>
      <c r="AD443" s="7" t="str">
        <f aca="false">IF(OR(H443="",AA443=""),"",IFERROR(INDEX('لیست‌ها'!$Q$3:$Q$53,MATCH(AA443,'لیست‌ها'!$P$3:$P$53,0))+IF(AB443&lt;=6,(AB443-1)*31+AC443,IF(AB443&lt;=11,186+(AB443-7)*30+AC443,336+AC443))-1,""))</f>
        <v/>
      </c>
      <c r="AE443" s="7" t="str">
        <f aca="false">IF(P443="","",VALUE(LEFT(P443,FIND("/",P443)-1)))</f>
        <v/>
      </c>
      <c r="AF443" s="7" t="str">
        <f aca="false">IF(P443="","",VALUE(MID(P443,FIND("/",P443)+1,FIND("/",P443,FIND("/",P443)+1)-FIND("/",P443)-1)))</f>
        <v/>
      </c>
      <c r="AG443" s="7" t="str">
        <f aca="false">IF(P443="","",VALUE(MID(P443,FIND("/",P443,FIND("/",P443)+1)+1,LEN(P443)-FIND("/",P443,FIND("/",P443)+1))))</f>
        <v/>
      </c>
      <c r="AH443" s="7" t="str">
        <f aca="false">IF(OR(P443="",AE443=""),"",IFERROR(INDEX('لیست‌ها'!$Q$3:$Q$53,MATCH(AE443,'لیست‌ها'!$P$3:$P$53,0))+IF(AF443&lt;=6,(AF443-1)*31+AG443,IF(AF443&lt;=11,186+(AF443-7)*30+AG443,336+AG443))-1,""))</f>
        <v/>
      </c>
      <c r="AI443" s="7" t="str">
        <f aca="false">IF(W443="","",W443&amp;"-"&amp;TEXT(X443,"00"))</f>
        <v/>
      </c>
      <c r="AJ443" s="7" t="str">
        <f aca="false">IF(W443="","",W443*12+X443)</f>
        <v/>
      </c>
      <c r="AK443" s="7" t="str">
        <f aca="false">IF(U443="تاخیر",V443+ROW()/100000,"")</f>
        <v/>
      </c>
    </row>
    <row r="444" customFormat="false" ht="15" hidden="false" customHeight="false" outlineLevel="0" collapsed="false">
      <c r="A444" s="7" t="str">
        <f aca="false">IF(B444="","",ROW()-3)</f>
        <v/>
      </c>
      <c r="B444" s="8"/>
      <c r="C444" s="8"/>
      <c r="D444" s="8"/>
      <c r="E444" s="9"/>
      <c r="F444" s="9"/>
      <c r="G444" s="8"/>
      <c r="H444" s="8"/>
      <c r="I444" s="8"/>
      <c r="J444" s="9"/>
      <c r="K444" s="8"/>
      <c r="L444" s="8"/>
      <c r="M444" s="8"/>
      <c r="N444" s="8"/>
      <c r="O444" s="8"/>
      <c r="P444" s="8"/>
      <c r="Q444" s="8"/>
      <c r="R444" s="9"/>
      <c r="S444" s="8"/>
      <c r="T444" s="9"/>
      <c r="U444" s="10" t="str">
        <f aca="true">IF(B444="","",IF(OR(P444&lt;&gt;"",I444="می‌باشد"),"بسته",IF(AND(L444&lt;&gt;"",W444=""),"خطای فرمت تاریخ ایجاد",IF(AND(H444&lt;&gt;"",AA444=""),"خطای فرمت مهلت",IF(AND(H444&lt;&gt;"",AD444&lt;&gt;"",TODAY()&gt;AD444),"تاخیر",IF(L444&lt;&gt;"","در حال انجام",""))))))</f>
        <v/>
      </c>
      <c r="V444" s="7" t="n">
        <f aca="true">IF(U444="تاخیر",TODAY()-AD444,IF(AND(U444="بسته",AH444&lt;&gt;"",AD444&lt;&gt;"",AH444&gt;AD444),AH444-AD444,0))</f>
        <v>0</v>
      </c>
      <c r="W444" s="7" t="str">
        <f aca="false">IF(L444="","",VALUE(LEFT(L444,FIND("/",L444)-1)))</f>
        <v/>
      </c>
      <c r="X444" s="7" t="str">
        <f aca="false">IF(L444="","",VALUE(MID(L444,FIND("/",L444)+1,FIND("/",L444,FIND("/",L444)+1)-FIND("/",L444)-1)))</f>
        <v/>
      </c>
      <c r="Y444" s="7" t="str">
        <f aca="false">IF(L444="","",VALUE(MID(L444,FIND("/",L444,FIND("/",L444)+1)+1,LEN(L444)-FIND("/",L444,FIND("/",L444)+1))))</f>
        <v/>
      </c>
      <c r="Z444" s="7" t="str">
        <f aca="false">IF(OR(L444="",W444=""),"",IFERROR(INDEX('لیست‌ها'!$Q$3:$Q$53,MATCH(W444,'لیست‌ها'!$P$3:$P$53,0))+IF(X444&lt;=6,(X444-1)*31+Y444,IF(X444&lt;=11,186+(X444-7)*30+Y444,336+Y444))-1,""))</f>
        <v/>
      </c>
      <c r="AA444" s="7" t="str">
        <f aca="false">IF(H444="","",VALUE(LEFT(H444,FIND("/",H444)-1)))</f>
        <v/>
      </c>
      <c r="AB444" s="7" t="str">
        <f aca="false">IF(H444="","",VALUE(MID(H444,FIND("/",H444)+1,FIND("/",H444,FIND("/",H444)+1)-FIND("/",H444)-1)))</f>
        <v/>
      </c>
      <c r="AC444" s="7" t="str">
        <f aca="false">IF(H444="","",VALUE(MID(H444,FIND("/",H444,FIND("/",H444)+1)+1,LEN(H444)-FIND("/",H444,FIND("/",H444)+1))))</f>
        <v/>
      </c>
      <c r="AD444" s="7" t="str">
        <f aca="false">IF(OR(H444="",AA444=""),"",IFERROR(INDEX('لیست‌ها'!$Q$3:$Q$53,MATCH(AA444,'لیست‌ها'!$P$3:$P$53,0))+IF(AB444&lt;=6,(AB444-1)*31+AC444,IF(AB444&lt;=11,186+(AB444-7)*30+AC444,336+AC444))-1,""))</f>
        <v/>
      </c>
      <c r="AE444" s="7" t="str">
        <f aca="false">IF(P444="","",VALUE(LEFT(P444,FIND("/",P444)-1)))</f>
        <v/>
      </c>
      <c r="AF444" s="7" t="str">
        <f aca="false">IF(P444="","",VALUE(MID(P444,FIND("/",P444)+1,FIND("/",P444,FIND("/",P444)+1)-FIND("/",P444)-1)))</f>
        <v/>
      </c>
      <c r="AG444" s="7" t="str">
        <f aca="false">IF(P444="","",VALUE(MID(P444,FIND("/",P444,FIND("/",P444)+1)+1,LEN(P444)-FIND("/",P444,FIND("/",P444)+1))))</f>
        <v/>
      </c>
      <c r="AH444" s="7" t="str">
        <f aca="false">IF(OR(P444="",AE444=""),"",IFERROR(INDEX('لیست‌ها'!$Q$3:$Q$53,MATCH(AE444,'لیست‌ها'!$P$3:$P$53,0))+IF(AF444&lt;=6,(AF444-1)*31+AG444,IF(AF444&lt;=11,186+(AF444-7)*30+AG444,336+AG444))-1,""))</f>
        <v/>
      </c>
      <c r="AI444" s="7" t="str">
        <f aca="false">IF(W444="","",W444&amp;"-"&amp;TEXT(X444,"00"))</f>
        <v/>
      </c>
      <c r="AJ444" s="7" t="str">
        <f aca="false">IF(W444="","",W444*12+X444)</f>
        <v/>
      </c>
      <c r="AK444" s="7" t="str">
        <f aca="false">IF(U444="تاخیر",V444+ROW()/100000,"")</f>
        <v/>
      </c>
    </row>
    <row r="445" customFormat="false" ht="15" hidden="false" customHeight="false" outlineLevel="0" collapsed="false">
      <c r="A445" s="7" t="str">
        <f aca="false">IF(B445="","",ROW()-3)</f>
        <v/>
      </c>
      <c r="B445" s="8"/>
      <c r="C445" s="8"/>
      <c r="D445" s="8"/>
      <c r="E445" s="9"/>
      <c r="F445" s="9"/>
      <c r="G445" s="8"/>
      <c r="H445" s="8"/>
      <c r="I445" s="8"/>
      <c r="J445" s="9"/>
      <c r="K445" s="8"/>
      <c r="L445" s="8"/>
      <c r="M445" s="8"/>
      <c r="N445" s="8"/>
      <c r="O445" s="8"/>
      <c r="P445" s="8"/>
      <c r="Q445" s="8"/>
      <c r="R445" s="9"/>
      <c r="S445" s="8"/>
      <c r="T445" s="9"/>
      <c r="U445" s="10" t="str">
        <f aca="true">IF(B445="","",IF(OR(P445&lt;&gt;"",I445="می‌باشد"),"بسته",IF(AND(L445&lt;&gt;"",W445=""),"خطای فرمت تاریخ ایجاد",IF(AND(H445&lt;&gt;"",AA445=""),"خطای فرمت مهلت",IF(AND(H445&lt;&gt;"",AD445&lt;&gt;"",TODAY()&gt;AD445),"تاخیر",IF(L445&lt;&gt;"","در حال انجام",""))))))</f>
        <v/>
      </c>
      <c r="V445" s="7" t="n">
        <f aca="true">IF(U445="تاخیر",TODAY()-AD445,IF(AND(U445="بسته",AH445&lt;&gt;"",AD445&lt;&gt;"",AH445&gt;AD445),AH445-AD445,0))</f>
        <v>0</v>
      </c>
      <c r="W445" s="7" t="str">
        <f aca="false">IF(L445="","",VALUE(LEFT(L445,FIND("/",L445)-1)))</f>
        <v/>
      </c>
      <c r="X445" s="7" t="str">
        <f aca="false">IF(L445="","",VALUE(MID(L445,FIND("/",L445)+1,FIND("/",L445,FIND("/",L445)+1)-FIND("/",L445)-1)))</f>
        <v/>
      </c>
      <c r="Y445" s="7" t="str">
        <f aca="false">IF(L445="","",VALUE(MID(L445,FIND("/",L445,FIND("/",L445)+1)+1,LEN(L445)-FIND("/",L445,FIND("/",L445)+1))))</f>
        <v/>
      </c>
      <c r="Z445" s="7" t="str">
        <f aca="false">IF(OR(L445="",W445=""),"",IFERROR(INDEX('لیست‌ها'!$Q$3:$Q$53,MATCH(W445,'لیست‌ها'!$P$3:$P$53,0))+IF(X445&lt;=6,(X445-1)*31+Y445,IF(X445&lt;=11,186+(X445-7)*30+Y445,336+Y445))-1,""))</f>
        <v/>
      </c>
      <c r="AA445" s="7" t="str">
        <f aca="false">IF(H445="","",VALUE(LEFT(H445,FIND("/",H445)-1)))</f>
        <v/>
      </c>
      <c r="AB445" s="7" t="str">
        <f aca="false">IF(H445="","",VALUE(MID(H445,FIND("/",H445)+1,FIND("/",H445,FIND("/",H445)+1)-FIND("/",H445)-1)))</f>
        <v/>
      </c>
      <c r="AC445" s="7" t="str">
        <f aca="false">IF(H445="","",VALUE(MID(H445,FIND("/",H445,FIND("/",H445)+1)+1,LEN(H445)-FIND("/",H445,FIND("/",H445)+1))))</f>
        <v/>
      </c>
      <c r="AD445" s="7" t="str">
        <f aca="false">IF(OR(H445="",AA445=""),"",IFERROR(INDEX('لیست‌ها'!$Q$3:$Q$53,MATCH(AA445,'لیست‌ها'!$P$3:$P$53,0))+IF(AB445&lt;=6,(AB445-1)*31+AC445,IF(AB445&lt;=11,186+(AB445-7)*30+AC445,336+AC445))-1,""))</f>
        <v/>
      </c>
      <c r="AE445" s="7" t="str">
        <f aca="false">IF(P445="","",VALUE(LEFT(P445,FIND("/",P445)-1)))</f>
        <v/>
      </c>
      <c r="AF445" s="7" t="str">
        <f aca="false">IF(P445="","",VALUE(MID(P445,FIND("/",P445)+1,FIND("/",P445,FIND("/",P445)+1)-FIND("/",P445)-1)))</f>
        <v/>
      </c>
      <c r="AG445" s="7" t="str">
        <f aca="false">IF(P445="","",VALUE(MID(P445,FIND("/",P445,FIND("/",P445)+1)+1,LEN(P445)-FIND("/",P445,FIND("/",P445)+1))))</f>
        <v/>
      </c>
      <c r="AH445" s="7" t="str">
        <f aca="false">IF(OR(P445="",AE445=""),"",IFERROR(INDEX('لیست‌ها'!$Q$3:$Q$53,MATCH(AE445,'لیست‌ها'!$P$3:$P$53,0))+IF(AF445&lt;=6,(AF445-1)*31+AG445,IF(AF445&lt;=11,186+(AF445-7)*30+AG445,336+AG445))-1,""))</f>
        <v/>
      </c>
      <c r="AI445" s="7" t="str">
        <f aca="false">IF(W445="","",W445&amp;"-"&amp;TEXT(X445,"00"))</f>
        <v/>
      </c>
      <c r="AJ445" s="7" t="str">
        <f aca="false">IF(W445="","",W445*12+X445)</f>
        <v/>
      </c>
      <c r="AK445" s="7" t="str">
        <f aca="false">IF(U445="تاخیر",V445+ROW()/100000,"")</f>
        <v/>
      </c>
    </row>
    <row r="446" customFormat="false" ht="15" hidden="false" customHeight="false" outlineLevel="0" collapsed="false">
      <c r="A446" s="7" t="str">
        <f aca="false">IF(B446="","",ROW()-3)</f>
        <v/>
      </c>
      <c r="B446" s="8"/>
      <c r="C446" s="8"/>
      <c r="D446" s="8"/>
      <c r="E446" s="9"/>
      <c r="F446" s="9"/>
      <c r="G446" s="8"/>
      <c r="H446" s="8"/>
      <c r="I446" s="8"/>
      <c r="J446" s="9"/>
      <c r="K446" s="8"/>
      <c r="L446" s="8"/>
      <c r="M446" s="8"/>
      <c r="N446" s="8"/>
      <c r="O446" s="8"/>
      <c r="P446" s="8"/>
      <c r="Q446" s="8"/>
      <c r="R446" s="9"/>
      <c r="S446" s="8"/>
      <c r="T446" s="9"/>
      <c r="U446" s="10" t="str">
        <f aca="true">IF(B446="","",IF(OR(P446&lt;&gt;"",I446="می‌باشد"),"بسته",IF(AND(L446&lt;&gt;"",W446=""),"خطای فرمت تاریخ ایجاد",IF(AND(H446&lt;&gt;"",AA446=""),"خطای فرمت مهلت",IF(AND(H446&lt;&gt;"",AD446&lt;&gt;"",TODAY()&gt;AD446),"تاخیر",IF(L446&lt;&gt;"","در حال انجام",""))))))</f>
        <v/>
      </c>
      <c r="V446" s="7" t="n">
        <f aca="true">IF(U446="تاخیر",TODAY()-AD446,IF(AND(U446="بسته",AH446&lt;&gt;"",AD446&lt;&gt;"",AH446&gt;AD446),AH446-AD446,0))</f>
        <v>0</v>
      </c>
      <c r="W446" s="7" t="str">
        <f aca="false">IF(L446="","",VALUE(LEFT(L446,FIND("/",L446)-1)))</f>
        <v/>
      </c>
      <c r="X446" s="7" t="str">
        <f aca="false">IF(L446="","",VALUE(MID(L446,FIND("/",L446)+1,FIND("/",L446,FIND("/",L446)+1)-FIND("/",L446)-1)))</f>
        <v/>
      </c>
      <c r="Y446" s="7" t="str">
        <f aca="false">IF(L446="","",VALUE(MID(L446,FIND("/",L446,FIND("/",L446)+1)+1,LEN(L446)-FIND("/",L446,FIND("/",L446)+1))))</f>
        <v/>
      </c>
      <c r="Z446" s="7" t="str">
        <f aca="false">IF(OR(L446="",W446=""),"",IFERROR(INDEX('لیست‌ها'!$Q$3:$Q$53,MATCH(W446,'لیست‌ها'!$P$3:$P$53,0))+IF(X446&lt;=6,(X446-1)*31+Y446,IF(X446&lt;=11,186+(X446-7)*30+Y446,336+Y446))-1,""))</f>
        <v/>
      </c>
      <c r="AA446" s="7" t="str">
        <f aca="false">IF(H446="","",VALUE(LEFT(H446,FIND("/",H446)-1)))</f>
        <v/>
      </c>
      <c r="AB446" s="7" t="str">
        <f aca="false">IF(H446="","",VALUE(MID(H446,FIND("/",H446)+1,FIND("/",H446,FIND("/",H446)+1)-FIND("/",H446)-1)))</f>
        <v/>
      </c>
      <c r="AC446" s="7" t="str">
        <f aca="false">IF(H446="","",VALUE(MID(H446,FIND("/",H446,FIND("/",H446)+1)+1,LEN(H446)-FIND("/",H446,FIND("/",H446)+1))))</f>
        <v/>
      </c>
      <c r="AD446" s="7" t="str">
        <f aca="false">IF(OR(H446="",AA446=""),"",IFERROR(INDEX('لیست‌ها'!$Q$3:$Q$53,MATCH(AA446,'لیست‌ها'!$P$3:$P$53,0))+IF(AB446&lt;=6,(AB446-1)*31+AC446,IF(AB446&lt;=11,186+(AB446-7)*30+AC446,336+AC446))-1,""))</f>
        <v/>
      </c>
      <c r="AE446" s="7" t="str">
        <f aca="false">IF(P446="","",VALUE(LEFT(P446,FIND("/",P446)-1)))</f>
        <v/>
      </c>
      <c r="AF446" s="7" t="str">
        <f aca="false">IF(P446="","",VALUE(MID(P446,FIND("/",P446)+1,FIND("/",P446,FIND("/",P446)+1)-FIND("/",P446)-1)))</f>
        <v/>
      </c>
      <c r="AG446" s="7" t="str">
        <f aca="false">IF(P446="","",VALUE(MID(P446,FIND("/",P446,FIND("/",P446)+1)+1,LEN(P446)-FIND("/",P446,FIND("/",P446)+1))))</f>
        <v/>
      </c>
      <c r="AH446" s="7" t="str">
        <f aca="false">IF(OR(P446="",AE446=""),"",IFERROR(INDEX('لیست‌ها'!$Q$3:$Q$53,MATCH(AE446,'لیست‌ها'!$P$3:$P$53,0))+IF(AF446&lt;=6,(AF446-1)*31+AG446,IF(AF446&lt;=11,186+(AF446-7)*30+AG446,336+AG446))-1,""))</f>
        <v/>
      </c>
      <c r="AI446" s="7" t="str">
        <f aca="false">IF(W446="","",W446&amp;"-"&amp;TEXT(X446,"00"))</f>
        <v/>
      </c>
      <c r="AJ446" s="7" t="str">
        <f aca="false">IF(W446="","",W446*12+X446)</f>
        <v/>
      </c>
      <c r="AK446" s="7" t="str">
        <f aca="false">IF(U446="تاخیر",V446+ROW()/100000,"")</f>
        <v/>
      </c>
    </row>
    <row r="447" customFormat="false" ht="15" hidden="false" customHeight="false" outlineLevel="0" collapsed="false">
      <c r="A447" s="7" t="str">
        <f aca="false">IF(B447="","",ROW()-3)</f>
        <v/>
      </c>
      <c r="B447" s="8"/>
      <c r="C447" s="8"/>
      <c r="D447" s="8"/>
      <c r="E447" s="9"/>
      <c r="F447" s="9"/>
      <c r="G447" s="8"/>
      <c r="H447" s="8"/>
      <c r="I447" s="8"/>
      <c r="J447" s="9"/>
      <c r="K447" s="8"/>
      <c r="L447" s="8"/>
      <c r="M447" s="8"/>
      <c r="N447" s="8"/>
      <c r="O447" s="8"/>
      <c r="P447" s="8"/>
      <c r="Q447" s="8"/>
      <c r="R447" s="9"/>
      <c r="S447" s="8"/>
      <c r="T447" s="9"/>
      <c r="U447" s="10" t="str">
        <f aca="true">IF(B447="","",IF(OR(P447&lt;&gt;"",I447="می‌باشد"),"بسته",IF(AND(L447&lt;&gt;"",W447=""),"خطای فرمت تاریخ ایجاد",IF(AND(H447&lt;&gt;"",AA447=""),"خطای فرمت مهلت",IF(AND(H447&lt;&gt;"",AD447&lt;&gt;"",TODAY()&gt;AD447),"تاخیر",IF(L447&lt;&gt;"","در حال انجام",""))))))</f>
        <v/>
      </c>
      <c r="V447" s="7" t="n">
        <f aca="true">IF(U447="تاخیر",TODAY()-AD447,IF(AND(U447="بسته",AH447&lt;&gt;"",AD447&lt;&gt;"",AH447&gt;AD447),AH447-AD447,0))</f>
        <v>0</v>
      </c>
      <c r="W447" s="7" t="str">
        <f aca="false">IF(L447="","",VALUE(LEFT(L447,FIND("/",L447)-1)))</f>
        <v/>
      </c>
      <c r="X447" s="7" t="str">
        <f aca="false">IF(L447="","",VALUE(MID(L447,FIND("/",L447)+1,FIND("/",L447,FIND("/",L447)+1)-FIND("/",L447)-1)))</f>
        <v/>
      </c>
      <c r="Y447" s="7" t="str">
        <f aca="false">IF(L447="","",VALUE(MID(L447,FIND("/",L447,FIND("/",L447)+1)+1,LEN(L447)-FIND("/",L447,FIND("/",L447)+1))))</f>
        <v/>
      </c>
      <c r="Z447" s="7" t="str">
        <f aca="false">IF(OR(L447="",W447=""),"",IFERROR(INDEX('لیست‌ها'!$Q$3:$Q$53,MATCH(W447,'لیست‌ها'!$P$3:$P$53,0))+IF(X447&lt;=6,(X447-1)*31+Y447,IF(X447&lt;=11,186+(X447-7)*30+Y447,336+Y447))-1,""))</f>
        <v/>
      </c>
      <c r="AA447" s="7" t="str">
        <f aca="false">IF(H447="","",VALUE(LEFT(H447,FIND("/",H447)-1)))</f>
        <v/>
      </c>
      <c r="AB447" s="7" t="str">
        <f aca="false">IF(H447="","",VALUE(MID(H447,FIND("/",H447)+1,FIND("/",H447,FIND("/",H447)+1)-FIND("/",H447)-1)))</f>
        <v/>
      </c>
      <c r="AC447" s="7" t="str">
        <f aca="false">IF(H447="","",VALUE(MID(H447,FIND("/",H447,FIND("/",H447)+1)+1,LEN(H447)-FIND("/",H447,FIND("/",H447)+1))))</f>
        <v/>
      </c>
      <c r="AD447" s="7" t="str">
        <f aca="false">IF(OR(H447="",AA447=""),"",IFERROR(INDEX('لیست‌ها'!$Q$3:$Q$53,MATCH(AA447,'لیست‌ها'!$P$3:$P$53,0))+IF(AB447&lt;=6,(AB447-1)*31+AC447,IF(AB447&lt;=11,186+(AB447-7)*30+AC447,336+AC447))-1,""))</f>
        <v/>
      </c>
      <c r="AE447" s="7" t="str">
        <f aca="false">IF(P447="","",VALUE(LEFT(P447,FIND("/",P447)-1)))</f>
        <v/>
      </c>
      <c r="AF447" s="7" t="str">
        <f aca="false">IF(P447="","",VALUE(MID(P447,FIND("/",P447)+1,FIND("/",P447,FIND("/",P447)+1)-FIND("/",P447)-1)))</f>
        <v/>
      </c>
      <c r="AG447" s="7" t="str">
        <f aca="false">IF(P447="","",VALUE(MID(P447,FIND("/",P447,FIND("/",P447)+1)+1,LEN(P447)-FIND("/",P447,FIND("/",P447)+1))))</f>
        <v/>
      </c>
      <c r="AH447" s="7" t="str">
        <f aca="false">IF(OR(P447="",AE447=""),"",IFERROR(INDEX('لیست‌ها'!$Q$3:$Q$53,MATCH(AE447,'لیست‌ها'!$P$3:$P$53,0))+IF(AF447&lt;=6,(AF447-1)*31+AG447,IF(AF447&lt;=11,186+(AF447-7)*30+AG447,336+AG447))-1,""))</f>
        <v/>
      </c>
      <c r="AI447" s="7" t="str">
        <f aca="false">IF(W447="","",W447&amp;"-"&amp;TEXT(X447,"00"))</f>
        <v/>
      </c>
      <c r="AJ447" s="7" t="str">
        <f aca="false">IF(W447="","",W447*12+X447)</f>
        <v/>
      </c>
      <c r="AK447" s="7" t="str">
        <f aca="false">IF(U447="تاخیر",V447+ROW()/100000,"")</f>
        <v/>
      </c>
    </row>
    <row r="448" customFormat="false" ht="15" hidden="false" customHeight="false" outlineLevel="0" collapsed="false">
      <c r="A448" s="7" t="str">
        <f aca="false">IF(B448="","",ROW()-3)</f>
        <v/>
      </c>
      <c r="B448" s="8"/>
      <c r="C448" s="8"/>
      <c r="D448" s="8"/>
      <c r="E448" s="9"/>
      <c r="F448" s="9"/>
      <c r="G448" s="8"/>
      <c r="H448" s="8"/>
      <c r="I448" s="8"/>
      <c r="J448" s="9"/>
      <c r="K448" s="8"/>
      <c r="L448" s="8"/>
      <c r="M448" s="8"/>
      <c r="N448" s="8"/>
      <c r="O448" s="8"/>
      <c r="P448" s="8"/>
      <c r="Q448" s="8"/>
      <c r="R448" s="9"/>
      <c r="S448" s="8"/>
      <c r="T448" s="9"/>
      <c r="U448" s="10" t="str">
        <f aca="true">IF(B448="","",IF(OR(P448&lt;&gt;"",I448="می‌باشد"),"بسته",IF(AND(L448&lt;&gt;"",W448=""),"خطای فرمت تاریخ ایجاد",IF(AND(H448&lt;&gt;"",AA448=""),"خطای فرمت مهلت",IF(AND(H448&lt;&gt;"",AD448&lt;&gt;"",TODAY()&gt;AD448),"تاخیر",IF(L448&lt;&gt;"","در حال انجام",""))))))</f>
        <v/>
      </c>
      <c r="V448" s="7" t="n">
        <f aca="true">IF(U448="تاخیر",TODAY()-AD448,IF(AND(U448="بسته",AH448&lt;&gt;"",AD448&lt;&gt;"",AH448&gt;AD448),AH448-AD448,0))</f>
        <v>0</v>
      </c>
      <c r="W448" s="7" t="str">
        <f aca="false">IF(L448="","",VALUE(LEFT(L448,FIND("/",L448)-1)))</f>
        <v/>
      </c>
      <c r="X448" s="7" t="str">
        <f aca="false">IF(L448="","",VALUE(MID(L448,FIND("/",L448)+1,FIND("/",L448,FIND("/",L448)+1)-FIND("/",L448)-1)))</f>
        <v/>
      </c>
      <c r="Y448" s="7" t="str">
        <f aca="false">IF(L448="","",VALUE(MID(L448,FIND("/",L448,FIND("/",L448)+1)+1,LEN(L448)-FIND("/",L448,FIND("/",L448)+1))))</f>
        <v/>
      </c>
      <c r="Z448" s="7" t="str">
        <f aca="false">IF(OR(L448="",W448=""),"",IFERROR(INDEX('لیست‌ها'!$Q$3:$Q$53,MATCH(W448,'لیست‌ها'!$P$3:$P$53,0))+IF(X448&lt;=6,(X448-1)*31+Y448,IF(X448&lt;=11,186+(X448-7)*30+Y448,336+Y448))-1,""))</f>
        <v/>
      </c>
      <c r="AA448" s="7" t="str">
        <f aca="false">IF(H448="","",VALUE(LEFT(H448,FIND("/",H448)-1)))</f>
        <v/>
      </c>
      <c r="AB448" s="7" t="str">
        <f aca="false">IF(H448="","",VALUE(MID(H448,FIND("/",H448)+1,FIND("/",H448,FIND("/",H448)+1)-FIND("/",H448)-1)))</f>
        <v/>
      </c>
      <c r="AC448" s="7" t="str">
        <f aca="false">IF(H448="","",VALUE(MID(H448,FIND("/",H448,FIND("/",H448)+1)+1,LEN(H448)-FIND("/",H448,FIND("/",H448)+1))))</f>
        <v/>
      </c>
      <c r="AD448" s="7" t="str">
        <f aca="false">IF(OR(H448="",AA448=""),"",IFERROR(INDEX('لیست‌ها'!$Q$3:$Q$53,MATCH(AA448,'لیست‌ها'!$P$3:$P$53,0))+IF(AB448&lt;=6,(AB448-1)*31+AC448,IF(AB448&lt;=11,186+(AB448-7)*30+AC448,336+AC448))-1,""))</f>
        <v/>
      </c>
      <c r="AE448" s="7" t="str">
        <f aca="false">IF(P448="","",VALUE(LEFT(P448,FIND("/",P448)-1)))</f>
        <v/>
      </c>
      <c r="AF448" s="7" t="str">
        <f aca="false">IF(P448="","",VALUE(MID(P448,FIND("/",P448)+1,FIND("/",P448,FIND("/",P448)+1)-FIND("/",P448)-1)))</f>
        <v/>
      </c>
      <c r="AG448" s="7" t="str">
        <f aca="false">IF(P448="","",VALUE(MID(P448,FIND("/",P448,FIND("/",P448)+1)+1,LEN(P448)-FIND("/",P448,FIND("/",P448)+1))))</f>
        <v/>
      </c>
      <c r="AH448" s="7" t="str">
        <f aca="false">IF(OR(P448="",AE448=""),"",IFERROR(INDEX('لیست‌ها'!$Q$3:$Q$53,MATCH(AE448,'لیست‌ها'!$P$3:$P$53,0))+IF(AF448&lt;=6,(AF448-1)*31+AG448,IF(AF448&lt;=11,186+(AF448-7)*30+AG448,336+AG448))-1,""))</f>
        <v/>
      </c>
      <c r="AI448" s="7" t="str">
        <f aca="false">IF(W448="","",W448&amp;"-"&amp;TEXT(X448,"00"))</f>
        <v/>
      </c>
      <c r="AJ448" s="7" t="str">
        <f aca="false">IF(W448="","",W448*12+X448)</f>
        <v/>
      </c>
      <c r="AK448" s="7" t="str">
        <f aca="false">IF(U448="تاخیر",V448+ROW()/100000,"")</f>
        <v/>
      </c>
    </row>
    <row r="449" customFormat="false" ht="15" hidden="false" customHeight="false" outlineLevel="0" collapsed="false">
      <c r="A449" s="7" t="str">
        <f aca="false">IF(B449="","",ROW()-3)</f>
        <v/>
      </c>
      <c r="B449" s="8"/>
      <c r="C449" s="8"/>
      <c r="D449" s="8"/>
      <c r="E449" s="9"/>
      <c r="F449" s="9"/>
      <c r="G449" s="8"/>
      <c r="H449" s="8"/>
      <c r="I449" s="8"/>
      <c r="J449" s="9"/>
      <c r="K449" s="8"/>
      <c r="L449" s="8"/>
      <c r="M449" s="8"/>
      <c r="N449" s="8"/>
      <c r="O449" s="8"/>
      <c r="P449" s="8"/>
      <c r="Q449" s="8"/>
      <c r="R449" s="9"/>
      <c r="S449" s="8"/>
      <c r="T449" s="9"/>
      <c r="U449" s="10" t="str">
        <f aca="true">IF(B449="","",IF(OR(P449&lt;&gt;"",I449="می‌باشد"),"بسته",IF(AND(L449&lt;&gt;"",W449=""),"خطای فرمت تاریخ ایجاد",IF(AND(H449&lt;&gt;"",AA449=""),"خطای فرمت مهلت",IF(AND(H449&lt;&gt;"",AD449&lt;&gt;"",TODAY()&gt;AD449),"تاخیر",IF(L449&lt;&gt;"","در حال انجام",""))))))</f>
        <v/>
      </c>
      <c r="V449" s="7" t="n">
        <f aca="true">IF(U449="تاخیر",TODAY()-AD449,IF(AND(U449="بسته",AH449&lt;&gt;"",AD449&lt;&gt;"",AH449&gt;AD449),AH449-AD449,0))</f>
        <v>0</v>
      </c>
      <c r="W449" s="7" t="str">
        <f aca="false">IF(L449="","",VALUE(LEFT(L449,FIND("/",L449)-1)))</f>
        <v/>
      </c>
      <c r="X449" s="7" t="str">
        <f aca="false">IF(L449="","",VALUE(MID(L449,FIND("/",L449)+1,FIND("/",L449,FIND("/",L449)+1)-FIND("/",L449)-1)))</f>
        <v/>
      </c>
      <c r="Y449" s="7" t="str">
        <f aca="false">IF(L449="","",VALUE(MID(L449,FIND("/",L449,FIND("/",L449)+1)+1,LEN(L449)-FIND("/",L449,FIND("/",L449)+1))))</f>
        <v/>
      </c>
      <c r="Z449" s="7" t="str">
        <f aca="false">IF(OR(L449="",W449=""),"",IFERROR(INDEX('لیست‌ها'!$Q$3:$Q$53,MATCH(W449,'لیست‌ها'!$P$3:$P$53,0))+IF(X449&lt;=6,(X449-1)*31+Y449,IF(X449&lt;=11,186+(X449-7)*30+Y449,336+Y449))-1,""))</f>
        <v/>
      </c>
      <c r="AA449" s="7" t="str">
        <f aca="false">IF(H449="","",VALUE(LEFT(H449,FIND("/",H449)-1)))</f>
        <v/>
      </c>
      <c r="AB449" s="7" t="str">
        <f aca="false">IF(H449="","",VALUE(MID(H449,FIND("/",H449)+1,FIND("/",H449,FIND("/",H449)+1)-FIND("/",H449)-1)))</f>
        <v/>
      </c>
      <c r="AC449" s="7" t="str">
        <f aca="false">IF(H449="","",VALUE(MID(H449,FIND("/",H449,FIND("/",H449)+1)+1,LEN(H449)-FIND("/",H449,FIND("/",H449)+1))))</f>
        <v/>
      </c>
      <c r="AD449" s="7" t="str">
        <f aca="false">IF(OR(H449="",AA449=""),"",IFERROR(INDEX('لیست‌ها'!$Q$3:$Q$53,MATCH(AA449,'لیست‌ها'!$P$3:$P$53,0))+IF(AB449&lt;=6,(AB449-1)*31+AC449,IF(AB449&lt;=11,186+(AB449-7)*30+AC449,336+AC449))-1,""))</f>
        <v/>
      </c>
      <c r="AE449" s="7" t="str">
        <f aca="false">IF(P449="","",VALUE(LEFT(P449,FIND("/",P449)-1)))</f>
        <v/>
      </c>
      <c r="AF449" s="7" t="str">
        <f aca="false">IF(P449="","",VALUE(MID(P449,FIND("/",P449)+1,FIND("/",P449,FIND("/",P449)+1)-FIND("/",P449)-1)))</f>
        <v/>
      </c>
      <c r="AG449" s="7" t="str">
        <f aca="false">IF(P449="","",VALUE(MID(P449,FIND("/",P449,FIND("/",P449)+1)+1,LEN(P449)-FIND("/",P449,FIND("/",P449)+1))))</f>
        <v/>
      </c>
      <c r="AH449" s="7" t="str">
        <f aca="false">IF(OR(P449="",AE449=""),"",IFERROR(INDEX('لیست‌ها'!$Q$3:$Q$53,MATCH(AE449,'لیست‌ها'!$P$3:$P$53,0))+IF(AF449&lt;=6,(AF449-1)*31+AG449,IF(AF449&lt;=11,186+(AF449-7)*30+AG449,336+AG449))-1,""))</f>
        <v/>
      </c>
      <c r="AI449" s="7" t="str">
        <f aca="false">IF(W449="","",W449&amp;"-"&amp;TEXT(X449,"00"))</f>
        <v/>
      </c>
      <c r="AJ449" s="7" t="str">
        <f aca="false">IF(W449="","",W449*12+X449)</f>
        <v/>
      </c>
      <c r="AK449" s="7" t="str">
        <f aca="false">IF(U449="تاخیر",V449+ROW()/100000,"")</f>
        <v/>
      </c>
    </row>
    <row r="450" customFormat="false" ht="15" hidden="false" customHeight="false" outlineLevel="0" collapsed="false">
      <c r="A450" s="7" t="str">
        <f aca="false">IF(B450="","",ROW()-3)</f>
        <v/>
      </c>
      <c r="B450" s="8"/>
      <c r="C450" s="8"/>
      <c r="D450" s="8"/>
      <c r="E450" s="9"/>
      <c r="F450" s="9"/>
      <c r="G450" s="8"/>
      <c r="H450" s="8"/>
      <c r="I450" s="8"/>
      <c r="J450" s="9"/>
      <c r="K450" s="8"/>
      <c r="L450" s="8"/>
      <c r="M450" s="8"/>
      <c r="N450" s="8"/>
      <c r="O450" s="8"/>
      <c r="P450" s="8"/>
      <c r="Q450" s="8"/>
      <c r="R450" s="9"/>
      <c r="S450" s="8"/>
      <c r="T450" s="9"/>
      <c r="U450" s="10" t="str">
        <f aca="true">IF(B450="","",IF(OR(P450&lt;&gt;"",I450="می‌باشد"),"بسته",IF(AND(L450&lt;&gt;"",W450=""),"خطای فرمت تاریخ ایجاد",IF(AND(H450&lt;&gt;"",AA450=""),"خطای فرمت مهلت",IF(AND(H450&lt;&gt;"",AD450&lt;&gt;"",TODAY()&gt;AD450),"تاخیر",IF(L450&lt;&gt;"","در حال انجام",""))))))</f>
        <v/>
      </c>
      <c r="V450" s="7" t="n">
        <f aca="true">IF(U450="تاخیر",TODAY()-AD450,IF(AND(U450="بسته",AH450&lt;&gt;"",AD450&lt;&gt;"",AH450&gt;AD450),AH450-AD450,0))</f>
        <v>0</v>
      </c>
      <c r="W450" s="7" t="str">
        <f aca="false">IF(L450="","",VALUE(LEFT(L450,FIND("/",L450)-1)))</f>
        <v/>
      </c>
      <c r="X450" s="7" t="str">
        <f aca="false">IF(L450="","",VALUE(MID(L450,FIND("/",L450)+1,FIND("/",L450,FIND("/",L450)+1)-FIND("/",L450)-1)))</f>
        <v/>
      </c>
      <c r="Y450" s="7" t="str">
        <f aca="false">IF(L450="","",VALUE(MID(L450,FIND("/",L450,FIND("/",L450)+1)+1,LEN(L450)-FIND("/",L450,FIND("/",L450)+1))))</f>
        <v/>
      </c>
      <c r="Z450" s="7" t="str">
        <f aca="false">IF(OR(L450="",W450=""),"",IFERROR(INDEX('لیست‌ها'!$Q$3:$Q$53,MATCH(W450,'لیست‌ها'!$P$3:$P$53,0))+IF(X450&lt;=6,(X450-1)*31+Y450,IF(X450&lt;=11,186+(X450-7)*30+Y450,336+Y450))-1,""))</f>
        <v/>
      </c>
      <c r="AA450" s="7" t="str">
        <f aca="false">IF(H450="","",VALUE(LEFT(H450,FIND("/",H450)-1)))</f>
        <v/>
      </c>
      <c r="AB450" s="7" t="str">
        <f aca="false">IF(H450="","",VALUE(MID(H450,FIND("/",H450)+1,FIND("/",H450,FIND("/",H450)+1)-FIND("/",H450)-1)))</f>
        <v/>
      </c>
      <c r="AC450" s="7" t="str">
        <f aca="false">IF(H450="","",VALUE(MID(H450,FIND("/",H450,FIND("/",H450)+1)+1,LEN(H450)-FIND("/",H450,FIND("/",H450)+1))))</f>
        <v/>
      </c>
      <c r="AD450" s="7" t="str">
        <f aca="false">IF(OR(H450="",AA450=""),"",IFERROR(INDEX('لیست‌ها'!$Q$3:$Q$53,MATCH(AA450,'لیست‌ها'!$P$3:$P$53,0))+IF(AB450&lt;=6,(AB450-1)*31+AC450,IF(AB450&lt;=11,186+(AB450-7)*30+AC450,336+AC450))-1,""))</f>
        <v/>
      </c>
      <c r="AE450" s="7" t="str">
        <f aca="false">IF(P450="","",VALUE(LEFT(P450,FIND("/",P450)-1)))</f>
        <v/>
      </c>
      <c r="AF450" s="7" t="str">
        <f aca="false">IF(P450="","",VALUE(MID(P450,FIND("/",P450)+1,FIND("/",P450,FIND("/",P450)+1)-FIND("/",P450)-1)))</f>
        <v/>
      </c>
      <c r="AG450" s="7" t="str">
        <f aca="false">IF(P450="","",VALUE(MID(P450,FIND("/",P450,FIND("/",P450)+1)+1,LEN(P450)-FIND("/",P450,FIND("/",P450)+1))))</f>
        <v/>
      </c>
      <c r="AH450" s="7" t="str">
        <f aca="false">IF(OR(P450="",AE450=""),"",IFERROR(INDEX('لیست‌ها'!$Q$3:$Q$53,MATCH(AE450,'لیست‌ها'!$P$3:$P$53,0))+IF(AF450&lt;=6,(AF450-1)*31+AG450,IF(AF450&lt;=11,186+(AF450-7)*30+AG450,336+AG450))-1,""))</f>
        <v/>
      </c>
      <c r="AI450" s="7" t="str">
        <f aca="false">IF(W450="","",W450&amp;"-"&amp;TEXT(X450,"00"))</f>
        <v/>
      </c>
      <c r="AJ450" s="7" t="str">
        <f aca="false">IF(W450="","",W450*12+X450)</f>
        <v/>
      </c>
      <c r="AK450" s="7" t="str">
        <f aca="false">IF(U450="تاخیر",V450+ROW()/100000,"")</f>
        <v/>
      </c>
    </row>
    <row r="451" customFormat="false" ht="15" hidden="false" customHeight="false" outlineLevel="0" collapsed="false">
      <c r="A451" s="7" t="str">
        <f aca="false">IF(B451="","",ROW()-3)</f>
        <v/>
      </c>
      <c r="B451" s="8"/>
      <c r="C451" s="8"/>
      <c r="D451" s="8"/>
      <c r="E451" s="9"/>
      <c r="F451" s="9"/>
      <c r="G451" s="8"/>
      <c r="H451" s="8"/>
      <c r="I451" s="8"/>
      <c r="J451" s="9"/>
      <c r="K451" s="8"/>
      <c r="L451" s="8"/>
      <c r="M451" s="8"/>
      <c r="N451" s="8"/>
      <c r="O451" s="8"/>
      <c r="P451" s="8"/>
      <c r="Q451" s="8"/>
      <c r="R451" s="9"/>
      <c r="S451" s="8"/>
      <c r="T451" s="9"/>
      <c r="U451" s="10" t="str">
        <f aca="true">IF(B451="","",IF(OR(P451&lt;&gt;"",I451="می‌باشد"),"بسته",IF(AND(L451&lt;&gt;"",W451=""),"خطای فرمت تاریخ ایجاد",IF(AND(H451&lt;&gt;"",AA451=""),"خطای فرمت مهلت",IF(AND(H451&lt;&gt;"",AD451&lt;&gt;"",TODAY()&gt;AD451),"تاخیر",IF(L451&lt;&gt;"","در حال انجام",""))))))</f>
        <v/>
      </c>
      <c r="V451" s="7" t="n">
        <f aca="true">IF(U451="تاخیر",TODAY()-AD451,IF(AND(U451="بسته",AH451&lt;&gt;"",AD451&lt;&gt;"",AH451&gt;AD451),AH451-AD451,0))</f>
        <v>0</v>
      </c>
      <c r="W451" s="7" t="str">
        <f aca="false">IF(L451="","",VALUE(LEFT(L451,FIND("/",L451)-1)))</f>
        <v/>
      </c>
      <c r="X451" s="7" t="str">
        <f aca="false">IF(L451="","",VALUE(MID(L451,FIND("/",L451)+1,FIND("/",L451,FIND("/",L451)+1)-FIND("/",L451)-1)))</f>
        <v/>
      </c>
      <c r="Y451" s="7" t="str">
        <f aca="false">IF(L451="","",VALUE(MID(L451,FIND("/",L451,FIND("/",L451)+1)+1,LEN(L451)-FIND("/",L451,FIND("/",L451)+1))))</f>
        <v/>
      </c>
      <c r="Z451" s="7" t="str">
        <f aca="false">IF(OR(L451="",W451=""),"",IFERROR(INDEX('لیست‌ها'!$Q$3:$Q$53,MATCH(W451,'لیست‌ها'!$P$3:$P$53,0))+IF(X451&lt;=6,(X451-1)*31+Y451,IF(X451&lt;=11,186+(X451-7)*30+Y451,336+Y451))-1,""))</f>
        <v/>
      </c>
      <c r="AA451" s="7" t="str">
        <f aca="false">IF(H451="","",VALUE(LEFT(H451,FIND("/",H451)-1)))</f>
        <v/>
      </c>
      <c r="AB451" s="7" t="str">
        <f aca="false">IF(H451="","",VALUE(MID(H451,FIND("/",H451)+1,FIND("/",H451,FIND("/",H451)+1)-FIND("/",H451)-1)))</f>
        <v/>
      </c>
      <c r="AC451" s="7" t="str">
        <f aca="false">IF(H451="","",VALUE(MID(H451,FIND("/",H451,FIND("/",H451)+1)+1,LEN(H451)-FIND("/",H451,FIND("/",H451)+1))))</f>
        <v/>
      </c>
      <c r="AD451" s="7" t="str">
        <f aca="false">IF(OR(H451="",AA451=""),"",IFERROR(INDEX('لیست‌ها'!$Q$3:$Q$53,MATCH(AA451,'لیست‌ها'!$P$3:$P$53,0))+IF(AB451&lt;=6,(AB451-1)*31+AC451,IF(AB451&lt;=11,186+(AB451-7)*30+AC451,336+AC451))-1,""))</f>
        <v/>
      </c>
      <c r="AE451" s="7" t="str">
        <f aca="false">IF(P451="","",VALUE(LEFT(P451,FIND("/",P451)-1)))</f>
        <v/>
      </c>
      <c r="AF451" s="7" t="str">
        <f aca="false">IF(P451="","",VALUE(MID(P451,FIND("/",P451)+1,FIND("/",P451,FIND("/",P451)+1)-FIND("/",P451)-1)))</f>
        <v/>
      </c>
      <c r="AG451" s="7" t="str">
        <f aca="false">IF(P451="","",VALUE(MID(P451,FIND("/",P451,FIND("/",P451)+1)+1,LEN(P451)-FIND("/",P451,FIND("/",P451)+1))))</f>
        <v/>
      </c>
      <c r="AH451" s="7" t="str">
        <f aca="false">IF(OR(P451="",AE451=""),"",IFERROR(INDEX('لیست‌ها'!$Q$3:$Q$53,MATCH(AE451,'لیست‌ها'!$P$3:$P$53,0))+IF(AF451&lt;=6,(AF451-1)*31+AG451,IF(AF451&lt;=11,186+(AF451-7)*30+AG451,336+AG451))-1,""))</f>
        <v/>
      </c>
      <c r="AI451" s="7" t="str">
        <f aca="false">IF(W451="","",W451&amp;"-"&amp;TEXT(X451,"00"))</f>
        <v/>
      </c>
      <c r="AJ451" s="7" t="str">
        <f aca="false">IF(W451="","",W451*12+X451)</f>
        <v/>
      </c>
      <c r="AK451" s="7" t="str">
        <f aca="false">IF(U451="تاخیر",V451+ROW()/100000,"")</f>
        <v/>
      </c>
    </row>
    <row r="452" customFormat="false" ht="15" hidden="false" customHeight="false" outlineLevel="0" collapsed="false">
      <c r="A452" s="7" t="str">
        <f aca="false">IF(B452="","",ROW()-3)</f>
        <v/>
      </c>
      <c r="B452" s="8"/>
      <c r="C452" s="8"/>
      <c r="D452" s="8"/>
      <c r="E452" s="9"/>
      <c r="F452" s="9"/>
      <c r="G452" s="8"/>
      <c r="H452" s="8"/>
      <c r="I452" s="8"/>
      <c r="J452" s="9"/>
      <c r="K452" s="8"/>
      <c r="L452" s="8"/>
      <c r="M452" s="8"/>
      <c r="N452" s="8"/>
      <c r="O452" s="8"/>
      <c r="P452" s="8"/>
      <c r="Q452" s="8"/>
      <c r="R452" s="9"/>
      <c r="S452" s="8"/>
      <c r="T452" s="9"/>
      <c r="U452" s="10" t="str">
        <f aca="true">IF(B452="","",IF(OR(P452&lt;&gt;"",I452="می‌باشد"),"بسته",IF(AND(L452&lt;&gt;"",W452=""),"خطای فرمت تاریخ ایجاد",IF(AND(H452&lt;&gt;"",AA452=""),"خطای فرمت مهلت",IF(AND(H452&lt;&gt;"",AD452&lt;&gt;"",TODAY()&gt;AD452),"تاخیر",IF(L452&lt;&gt;"","در حال انجام",""))))))</f>
        <v/>
      </c>
      <c r="V452" s="7" t="n">
        <f aca="true">IF(U452="تاخیر",TODAY()-AD452,IF(AND(U452="بسته",AH452&lt;&gt;"",AD452&lt;&gt;"",AH452&gt;AD452),AH452-AD452,0))</f>
        <v>0</v>
      </c>
      <c r="W452" s="7" t="str">
        <f aca="false">IF(L452="","",VALUE(LEFT(L452,FIND("/",L452)-1)))</f>
        <v/>
      </c>
      <c r="X452" s="7" t="str">
        <f aca="false">IF(L452="","",VALUE(MID(L452,FIND("/",L452)+1,FIND("/",L452,FIND("/",L452)+1)-FIND("/",L452)-1)))</f>
        <v/>
      </c>
      <c r="Y452" s="7" t="str">
        <f aca="false">IF(L452="","",VALUE(MID(L452,FIND("/",L452,FIND("/",L452)+1)+1,LEN(L452)-FIND("/",L452,FIND("/",L452)+1))))</f>
        <v/>
      </c>
      <c r="Z452" s="7" t="str">
        <f aca="false">IF(OR(L452="",W452=""),"",IFERROR(INDEX('لیست‌ها'!$Q$3:$Q$53,MATCH(W452,'لیست‌ها'!$P$3:$P$53,0))+IF(X452&lt;=6,(X452-1)*31+Y452,IF(X452&lt;=11,186+(X452-7)*30+Y452,336+Y452))-1,""))</f>
        <v/>
      </c>
      <c r="AA452" s="7" t="str">
        <f aca="false">IF(H452="","",VALUE(LEFT(H452,FIND("/",H452)-1)))</f>
        <v/>
      </c>
      <c r="AB452" s="7" t="str">
        <f aca="false">IF(H452="","",VALUE(MID(H452,FIND("/",H452)+1,FIND("/",H452,FIND("/",H452)+1)-FIND("/",H452)-1)))</f>
        <v/>
      </c>
      <c r="AC452" s="7" t="str">
        <f aca="false">IF(H452="","",VALUE(MID(H452,FIND("/",H452,FIND("/",H452)+1)+1,LEN(H452)-FIND("/",H452,FIND("/",H452)+1))))</f>
        <v/>
      </c>
      <c r="AD452" s="7" t="str">
        <f aca="false">IF(OR(H452="",AA452=""),"",IFERROR(INDEX('لیست‌ها'!$Q$3:$Q$53,MATCH(AA452,'لیست‌ها'!$P$3:$P$53,0))+IF(AB452&lt;=6,(AB452-1)*31+AC452,IF(AB452&lt;=11,186+(AB452-7)*30+AC452,336+AC452))-1,""))</f>
        <v/>
      </c>
      <c r="AE452" s="7" t="str">
        <f aca="false">IF(P452="","",VALUE(LEFT(P452,FIND("/",P452)-1)))</f>
        <v/>
      </c>
      <c r="AF452" s="7" t="str">
        <f aca="false">IF(P452="","",VALUE(MID(P452,FIND("/",P452)+1,FIND("/",P452,FIND("/",P452)+1)-FIND("/",P452)-1)))</f>
        <v/>
      </c>
      <c r="AG452" s="7" t="str">
        <f aca="false">IF(P452="","",VALUE(MID(P452,FIND("/",P452,FIND("/",P452)+1)+1,LEN(P452)-FIND("/",P452,FIND("/",P452)+1))))</f>
        <v/>
      </c>
      <c r="AH452" s="7" t="str">
        <f aca="false">IF(OR(P452="",AE452=""),"",IFERROR(INDEX('لیست‌ها'!$Q$3:$Q$53,MATCH(AE452,'لیست‌ها'!$P$3:$P$53,0))+IF(AF452&lt;=6,(AF452-1)*31+AG452,IF(AF452&lt;=11,186+(AF452-7)*30+AG452,336+AG452))-1,""))</f>
        <v/>
      </c>
      <c r="AI452" s="7" t="str">
        <f aca="false">IF(W452="","",W452&amp;"-"&amp;TEXT(X452,"00"))</f>
        <v/>
      </c>
      <c r="AJ452" s="7" t="str">
        <f aca="false">IF(W452="","",W452*12+X452)</f>
        <v/>
      </c>
      <c r="AK452" s="7" t="str">
        <f aca="false">IF(U452="تاخیر",V452+ROW()/100000,"")</f>
        <v/>
      </c>
    </row>
    <row r="453" customFormat="false" ht="15" hidden="false" customHeight="false" outlineLevel="0" collapsed="false">
      <c r="A453" s="7" t="str">
        <f aca="false">IF(B453="","",ROW()-3)</f>
        <v/>
      </c>
      <c r="B453" s="8"/>
      <c r="C453" s="8"/>
      <c r="D453" s="8"/>
      <c r="E453" s="9"/>
      <c r="F453" s="9"/>
      <c r="G453" s="8"/>
      <c r="H453" s="8"/>
      <c r="I453" s="8"/>
      <c r="J453" s="9"/>
      <c r="K453" s="8"/>
      <c r="L453" s="8"/>
      <c r="M453" s="8"/>
      <c r="N453" s="8"/>
      <c r="O453" s="8"/>
      <c r="P453" s="8"/>
      <c r="Q453" s="8"/>
      <c r="R453" s="9"/>
      <c r="S453" s="8"/>
      <c r="T453" s="9"/>
      <c r="U453" s="10" t="str">
        <f aca="true">IF(B453="","",IF(OR(P453&lt;&gt;"",I453="می‌باشد"),"بسته",IF(AND(L453&lt;&gt;"",W453=""),"خطای فرمت تاریخ ایجاد",IF(AND(H453&lt;&gt;"",AA453=""),"خطای فرمت مهلت",IF(AND(H453&lt;&gt;"",AD453&lt;&gt;"",TODAY()&gt;AD453),"تاخیر",IF(L453&lt;&gt;"","در حال انجام",""))))))</f>
        <v/>
      </c>
      <c r="V453" s="7" t="n">
        <f aca="true">IF(U453="تاخیر",TODAY()-AD453,IF(AND(U453="بسته",AH453&lt;&gt;"",AD453&lt;&gt;"",AH453&gt;AD453),AH453-AD453,0))</f>
        <v>0</v>
      </c>
      <c r="W453" s="7" t="str">
        <f aca="false">IF(L453="","",VALUE(LEFT(L453,FIND("/",L453)-1)))</f>
        <v/>
      </c>
      <c r="X453" s="7" t="str">
        <f aca="false">IF(L453="","",VALUE(MID(L453,FIND("/",L453)+1,FIND("/",L453,FIND("/",L453)+1)-FIND("/",L453)-1)))</f>
        <v/>
      </c>
      <c r="Y453" s="7" t="str">
        <f aca="false">IF(L453="","",VALUE(MID(L453,FIND("/",L453,FIND("/",L453)+1)+1,LEN(L453)-FIND("/",L453,FIND("/",L453)+1))))</f>
        <v/>
      </c>
      <c r="Z453" s="7" t="str">
        <f aca="false">IF(OR(L453="",W453=""),"",IFERROR(INDEX('لیست‌ها'!$Q$3:$Q$53,MATCH(W453,'لیست‌ها'!$P$3:$P$53,0))+IF(X453&lt;=6,(X453-1)*31+Y453,IF(X453&lt;=11,186+(X453-7)*30+Y453,336+Y453))-1,""))</f>
        <v/>
      </c>
      <c r="AA453" s="7" t="str">
        <f aca="false">IF(H453="","",VALUE(LEFT(H453,FIND("/",H453)-1)))</f>
        <v/>
      </c>
      <c r="AB453" s="7" t="str">
        <f aca="false">IF(H453="","",VALUE(MID(H453,FIND("/",H453)+1,FIND("/",H453,FIND("/",H453)+1)-FIND("/",H453)-1)))</f>
        <v/>
      </c>
      <c r="AC453" s="7" t="str">
        <f aca="false">IF(H453="","",VALUE(MID(H453,FIND("/",H453,FIND("/",H453)+1)+1,LEN(H453)-FIND("/",H453,FIND("/",H453)+1))))</f>
        <v/>
      </c>
      <c r="AD453" s="7" t="str">
        <f aca="false">IF(OR(H453="",AA453=""),"",IFERROR(INDEX('لیست‌ها'!$Q$3:$Q$53,MATCH(AA453,'لیست‌ها'!$P$3:$P$53,0))+IF(AB453&lt;=6,(AB453-1)*31+AC453,IF(AB453&lt;=11,186+(AB453-7)*30+AC453,336+AC453))-1,""))</f>
        <v/>
      </c>
      <c r="AE453" s="7" t="str">
        <f aca="false">IF(P453="","",VALUE(LEFT(P453,FIND("/",P453)-1)))</f>
        <v/>
      </c>
      <c r="AF453" s="7" t="str">
        <f aca="false">IF(P453="","",VALUE(MID(P453,FIND("/",P453)+1,FIND("/",P453,FIND("/",P453)+1)-FIND("/",P453)-1)))</f>
        <v/>
      </c>
      <c r="AG453" s="7" t="str">
        <f aca="false">IF(P453="","",VALUE(MID(P453,FIND("/",P453,FIND("/",P453)+1)+1,LEN(P453)-FIND("/",P453,FIND("/",P453)+1))))</f>
        <v/>
      </c>
      <c r="AH453" s="7" t="str">
        <f aca="false">IF(OR(P453="",AE453=""),"",IFERROR(INDEX('لیست‌ها'!$Q$3:$Q$53,MATCH(AE453,'لیست‌ها'!$P$3:$P$53,0))+IF(AF453&lt;=6,(AF453-1)*31+AG453,IF(AF453&lt;=11,186+(AF453-7)*30+AG453,336+AG453))-1,""))</f>
        <v/>
      </c>
      <c r="AI453" s="7" t="str">
        <f aca="false">IF(W453="","",W453&amp;"-"&amp;TEXT(X453,"00"))</f>
        <v/>
      </c>
      <c r="AJ453" s="7" t="str">
        <f aca="false">IF(W453="","",W453*12+X453)</f>
        <v/>
      </c>
      <c r="AK453" s="7" t="str">
        <f aca="false">IF(U453="تاخیر",V453+ROW()/100000,"")</f>
        <v/>
      </c>
    </row>
    <row r="454" customFormat="false" ht="15" hidden="false" customHeight="false" outlineLevel="0" collapsed="false">
      <c r="A454" s="7" t="str">
        <f aca="false">IF(B454="","",ROW()-3)</f>
        <v/>
      </c>
      <c r="B454" s="8"/>
      <c r="C454" s="8"/>
      <c r="D454" s="8"/>
      <c r="E454" s="9"/>
      <c r="F454" s="9"/>
      <c r="G454" s="8"/>
      <c r="H454" s="8"/>
      <c r="I454" s="8"/>
      <c r="J454" s="9"/>
      <c r="K454" s="8"/>
      <c r="L454" s="8"/>
      <c r="M454" s="8"/>
      <c r="N454" s="8"/>
      <c r="O454" s="8"/>
      <c r="P454" s="8"/>
      <c r="Q454" s="8"/>
      <c r="R454" s="9"/>
      <c r="S454" s="8"/>
      <c r="T454" s="9"/>
      <c r="U454" s="10" t="str">
        <f aca="true">IF(B454="","",IF(OR(P454&lt;&gt;"",I454="می‌باشد"),"بسته",IF(AND(L454&lt;&gt;"",W454=""),"خطای فرمت تاریخ ایجاد",IF(AND(H454&lt;&gt;"",AA454=""),"خطای فرمت مهلت",IF(AND(H454&lt;&gt;"",AD454&lt;&gt;"",TODAY()&gt;AD454),"تاخیر",IF(L454&lt;&gt;"","در حال انجام",""))))))</f>
        <v/>
      </c>
      <c r="V454" s="7" t="n">
        <f aca="true">IF(U454="تاخیر",TODAY()-AD454,IF(AND(U454="بسته",AH454&lt;&gt;"",AD454&lt;&gt;"",AH454&gt;AD454),AH454-AD454,0))</f>
        <v>0</v>
      </c>
      <c r="W454" s="7" t="str">
        <f aca="false">IF(L454="","",VALUE(LEFT(L454,FIND("/",L454)-1)))</f>
        <v/>
      </c>
      <c r="X454" s="7" t="str">
        <f aca="false">IF(L454="","",VALUE(MID(L454,FIND("/",L454)+1,FIND("/",L454,FIND("/",L454)+1)-FIND("/",L454)-1)))</f>
        <v/>
      </c>
      <c r="Y454" s="7" t="str">
        <f aca="false">IF(L454="","",VALUE(MID(L454,FIND("/",L454,FIND("/",L454)+1)+1,LEN(L454)-FIND("/",L454,FIND("/",L454)+1))))</f>
        <v/>
      </c>
      <c r="Z454" s="7" t="str">
        <f aca="false">IF(OR(L454="",W454=""),"",IFERROR(INDEX('لیست‌ها'!$Q$3:$Q$53,MATCH(W454,'لیست‌ها'!$P$3:$P$53,0))+IF(X454&lt;=6,(X454-1)*31+Y454,IF(X454&lt;=11,186+(X454-7)*30+Y454,336+Y454))-1,""))</f>
        <v/>
      </c>
      <c r="AA454" s="7" t="str">
        <f aca="false">IF(H454="","",VALUE(LEFT(H454,FIND("/",H454)-1)))</f>
        <v/>
      </c>
      <c r="AB454" s="7" t="str">
        <f aca="false">IF(H454="","",VALUE(MID(H454,FIND("/",H454)+1,FIND("/",H454,FIND("/",H454)+1)-FIND("/",H454)-1)))</f>
        <v/>
      </c>
      <c r="AC454" s="7" t="str">
        <f aca="false">IF(H454="","",VALUE(MID(H454,FIND("/",H454,FIND("/",H454)+1)+1,LEN(H454)-FIND("/",H454,FIND("/",H454)+1))))</f>
        <v/>
      </c>
      <c r="AD454" s="7" t="str">
        <f aca="false">IF(OR(H454="",AA454=""),"",IFERROR(INDEX('لیست‌ها'!$Q$3:$Q$53,MATCH(AA454,'لیست‌ها'!$P$3:$P$53,0))+IF(AB454&lt;=6,(AB454-1)*31+AC454,IF(AB454&lt;=11,186+(AB454-7)*30+AC454,336+AC454))-1,""))</f>
        <v/>
      </c>
      <c r="AE454" s="7" t="str">
        <f aca="false">IF(P454="","",VALUE(LEFT(P454,FIND("/",P454)-1)))</f>
        <v/>
      </c>
      <c r="AF454" s="7" t="str">
        <f aca="false">IF(P454="","",VALUE(MID(P454,FIND("/",P454)+1,FIND("/",P454,FIND("/",P454)+1)-FIND("/",P454)-1)))</f>
        <v/>
      </c>
      <c r="AG454" s="7" t="str">
        <f aca="false">IF(P454="","",VALUE(MID(P454,FIND("/",P454,FIND("/",P454)+1)+1,LEN(P454)-FIND("/",P454,FIND("/",P454)+1))))</f>
        <v/>
      </c>
      <c r="AH454" s="7" t="str">
        <f aca="false">IF(OR(P454="",AE454=""),"",IFERROR(INDEX('لیست‌ها'!$Q$3:$Q$53,MATCH(AE454,'لیست‌ها'!$P$3:$P$53,0))+IF(AF454&lt;=6,(AF454-1)*31+AG454,IF(AF454&lt;=11,186+(AF454-7)*30+AG454,336+AG454))-1,""))</f>
        <v/>
      </c>
      <c r="AI454" s="7" t="str">
        <f aca="false">IF(W454="","",W454&amp;"-"&amp;TEXT(X454,"00"))</f>
        <v/>
      </c>
      <c r="AJ454" s="7" t="str">
        <f aca="false">IF(W454="","",W454*12+X454)</f>
        <v/>
      </c>
      <c r="AK454" s="7" t="str">
        <f aca="false">IF(U454="تاخیر",V454+ROW()/100000,"")</f>
        <v/>
      </c>
    </row>
    <row r="455" customFormat="false" ht="15" hidden="false" customHeight="false" outlineLevel="0" collapsed="false">
      <c r="A455" s="7" t="str">
        <f aca="false">IF(B455="","",ROW()-3)</f>
        <v/>
      </c>
      <c r="B455" s="8"/>
      <c r="C455" s="8"/>
      <c r="D455" s="8"/>
      <c r="E455" s="9"/>
      <c r="F455" s="9"/>
      <c r="G455" s="8"/>
      <c r="H455" s="8"/>
      <c r="I455" s="8"/>
      <c r="J455" s="9"/>
      <c r="K455" s="8"/>
      <c r="L455" s="8"/>
      <c r="M455" s="8"/>
      <c r="N455" s="8"/>
      <c r="O455" s="8"/>
      <c r="P455" s="8"/>
      <c r="Q455" s="8"/>
      <c r="R455" s="9"/>
      <c r="S455" s="8"/>
      <c r="T455" s="9"/>
      <c r="U455" s="10" t="str">
        <f aca="true">IF(B455="","",IF(OR(P455&lt;&gt;"",I455="می‌باشد"),"بسته",IF(AND(L455&lt;&gt;"",W455=""),"خطای فرمت تاریخ ایجاد",IF(AND(H455&lt;&gt;"",AA455=""),"خطای فرمت مهلت",IF(AND(H455&lt;&gt;"",AD455&lt;&gt;"",TODAY()&gt;AD455),"تاخیر",IF(L455&lt;&gt;"","در حال انجام",""))))))</f>
        <v/>
      </c>
      <c r="V455" s="7" t="n">
        <f aca="true">IF(U455="تاخیر",TODAY()-AD455,IF(AND(U455="بسته",AH455&lt;&gt;"",AD455&lt;&gt;"",AH455&gt;AD455),AH455-AD455,0))</f>
        <v>0</v>
      </c>
      <c r="W455" s="7" t="str">
        <f aca="false">IF(L455="","",VALUE(LEFT(L455,FIND("/",L455)-1)))</f>
        <v/>
      </c>
      <c r="X455" s="7" t="str">
        <f aca="false">IF(L455="","",VALUE(MID(L455,FIND("/",L455)+1,FIND("/",L455,FIND("/",L455)+1)-FIND("/",L455)-1)))</f>
        <v/>
      </c>
      <c r="Y455" s="7" t="str">
        <f aca="false">IF(L455="","",VALUE(MID(L455,FIND("/",L455,FIND("/",L455)+1)+1,LEN(L455)-FIND("/",L455,FIND("/",L455)+1))))</f>
        <v/>
      </c>
      <c r="Z455" s="7" t="str">
        <f aca="false">IF(OR(L455="",W455=""),"",IFERROR(INDEX('لیست‌ها'!$Q$3:$Q$53,MATCH(W455,'لیست‌ها'!$P$3:$P$53,0))+IF(X455&lt;=6,(X455-1)*31+Y455,IF(X455&lt;=11,186+(X455-7)*30+Y455,336+Y455))-1,""))</f>
        <v/>
      </c>
      <c r="AA455" s="7" t="str">
        <f aca="false">IF(H455="","",VALUE(LEFT(H455,FIND("/",H455)-1)))</f>
        <v/>
      </c>
      <c r="AB455" s="7" t="str">
        <f aca="false">IF(H455="","",VALUE(MID(H455,FIND("/",H455)+1,FIND("/",H455,FIND("/",H455)+1)-FIND("/",H455)-1)))</f>
        <v/>
      </c>
      <c r="AC455" s="7" t="str">
        <f aca="false">IF(H455="","",VALUE(MID(H455,FIND("/",H455,FIND("/",H455)+1)+1,LEN(H455)-FIND("/",H455,FIND("/",H455)+1))))</f>
        <v/>
      </c>
      <c r="AD455" s="7" t="str">
        <f aca="false">IF(OR(H455="",AA455=""),"",IFERROR(INDEX('لیست‌ها'!$Q$3:$Q$53,MATCH(AA455,'لیست‌ها'!$P$3:$P$53,0))+IF(AB455&lt;=6,(AB455-1)*31+AC455,IF(AB455&lt;=11,186+(AB455-7)*30+AC455,336+AC455))-1,""))</f>
        <v/>
      </c>
      <c r="AE455" s="7" t="str">
        <f aca="false">IF(P455="","",VALUE(LEFT(P455,FIND("/",P455)-1)))</f>
        <v/>
      </c>
      <c r="AF455" s="7" t="str">
        <f aca="false">IF(P455="","",VALUE(MID(P455,FIND("/",P455)+1,FIND("/",P455,FIND("/",P455)+1)-FIND("/",P455)-1)))</f>
        <v/>
      </c>
      <c r="AG455" s="7" t="str">
        <f aca="false">IF(P455="","",VALUE(MID(P455,FIND("/",P455,FIND("/",P455)+1)+1,LEN(P455)-FIND("/",P455,FIND("/",P455)+1))))</f>
        <v/>
      </c>
      <c r="AH455" s="7" t="str">
        <f aca="false">IF(OR(P455="",AE455=""),"",IFERROR(INDEX('لیست‌ها'!$Q$3:$Q$53,MATCH(AE455,'لیست‌ها'!$P$3:$P$53,0))+IF(AF455&lt;=6,(AF455-1)*31+AG455,IF(AF455&lt;=11,186+(AF455-7)*30+AG455,336+AG455))-1,""))</f>
        <v/>
      </c>
      <c r="AI455" s="7" t="str">
        <f aca="false">IF(W455="","",W455&amp;"-"&amp;TEXT(X455,"00"))</f>
        <v/>
      </c>
      <c r="AJ455" s="7" t="str">
        <f aca="false">IF(W455="","",W455*12+X455)</f>
        <v/>
      </c>
      <c r="AK455" s="7" t="str">
        <f aca="false">IF(U455="تاخیر",V455+ROW()/100000,"")</f>
        <v/>
      </c>
    </row>
    <row r="456" customFormat="false" ht="15" hidden="false" customHeight="false" outlineLevel="0" collapsed="false">
      <c r="A456" s="7" t="str">
        <f aca="false">IF(B456="","",ROW()-3)</f>
        <v/>
      </c>
      <c r="B456" s="8"/>
      <c r="C456" s="8"/>
      <c r="D456" s="8"/>
      <c r="E456" s="9"/>
      <c r="F456" s="9"/>
      <c r="G456" s="8"/>
      <c r="H456" s="8"/>
      <c r="I456" s="8"/>
      <c r="J456" s="9"/>
      <c r="K456" s="8"/>
      <c r="L456" s="8"/>
      <c r="M456" s="8"/>
      <c r="N456" s="8"/>
      <c r="O456" s="8"/>
      <c r="P456" s="8"/>
      <c r="Q456" s="8"/>
      <c r="R456" s="9"/>
      <c r="S456" s="8"/>
      <c r="T456" s="9"/>
      <c r="U456" s="10" t="str">
        <f aca="true">IF(B456="","",IF(OR(P456&lt;&gt;"",I456="می‌باشد"),"بسته",IF(AND(L456&lt;&gt;"",W456=""),"خطای فرمت تاریخ ایجاد",IF(AND(H456&lt;&gt;"",AA456=""),"خطای فرمت مهلت",IF(AND(H456&lt;&gt;"",AD456&lt;&gt;"",TODAY()&gt;AD456),"تاخیر",IF(L456&lt;&gt;"","در حال انجام",""))))))</f>
        <v/>
      </c>
      <c r="V456" s="7" t="n">
        <f aca="true">IF(U456="تاخیر",TODAY()-AD456,IF(AND(U456="بسته",AH456&lt;&gt;"",AD456&lt;&gt;"",AH456&gt;AD456),AH456-AD456,0))</f>
        <v>0</v>
      </c>
      <c r="W456" s="7" t="str">
        <f aca="false">IF(L456="","",VALUE(LEFT(L456,FIND("/",L456)-1)))</f>
        <v/>
      </c>
      <c r="X456" s="7" t="str">
        <f aca="false">IF(L456="","",VALUE(MID(L456,FIND("/",L456)+1,FIND("/",L456,FIND("/",L456)+1)-FIND("/",L456)-1)))</f>
        <v/>
      </c>
      <c r="Y456" s="7" t="str">
        <f aca="false">IF(L456="","",VALUE(MID(L456,FIND("/",L456,FIND("/",L456)+1)+1,LEN(L456)-FIND("/",L456,FIND("/",L456)+1))))</f>
        <v/>
      </c>
      <c r="Z456" s="7" t="str">
        <f aca="false">IF(OR(L456="",W456=""),"",IFERROR(INDEX('لیست‌ها'!$Q$3:$Q$53,MATCH(W456,'لیست‌ها'!$P$3:$P$53,0))+IF(X456&lt;=6,(X456-1)*31+Y456,IF(X456&lt;=11,186+(X456-7)*30+Y456,336+Y456))-1,""))</f>
        <v/>
      </c>
      <c r="AA456" s="7" t="str">
        <f aca="false">IF(H456="","",VALUE(LEFT(H456,FIND("/",H456)-1)))</f>
        <v/>
      </c>
      <c r="AB456" s="7" t="str">
        <f aca="false">IF(H456="","",VALUE(MID(H456,FIND("/",H456)+1,FIND("/",H456,FIND("/",H456)+1)-FIND("/",H456)-1)))</f>
        <v/>
      </c>
      <c r="AC456" s="7" t="str">
        <f aca="false">IF(H456="","",VALUE(MID(H456,FIND("/",H456,FIND("/",H456)+1)+1,LEN(H456)-FIND("/",H456,FIND("/",H456)+1))))</f>
        <v/>
      </c>
      <c r="AD456" s="7" t="str">
        <f aca="false">IF(OR(H456="",AA456=""),"",IFERROR(INDEX('لیست‌ها'!$Q$3:$Q$53,MATCH(AA456,'لیست‌ها'!$P$3:$P$53,0))+IF(AB456&lt;=6,(AB456-1)*31+AC456,IF(AB456&lt;=11,186+(AB456-7)*30+AC456,336+AC456))-1,""))</f>
        <v/>
      </c>
      <c r="AE456" s="7" t="str">
        <f aca="false">IF(P456="","",VALUE(LEFT(P456,FIND("/",P456)-1)))</f>
        <v/>
      </c>
      <c r="AF456" s="7" t="str">
        <f aca="false">IF(P456="","",VALUE(MID(P456,FIND("/",P456)+1,FIND("/",P456,FIND("/",P456)+1)-FIND("/",P456)-1)))</f>
        <v/>
      </c>
      <c r="AG456" s="7" t="str">
        <f aca="false">IF(P456="","",VALUE(MID(P456,FIND("/",P456,FIND("/",P456)+1)+1,LEN(P456)-FIND("/",P456,FIND("/",P456)+1))))</f>
        <v/>
      </c>
      <c r="AH456" s="7" t="str">
        <f aca="false">IF(OR(P456="",AE456=""),"",IFERROR(INDEX('لیست‌ها'!$Q$3:$Q$53,MATCH(AE456,'لیست‌ها'!$P$3:$P$53,0))+IF(AF456&lt;=6,(AF456-1)*31+AG456,IF(AF456&lt;=11,186+(AF456-7)*30+AG456,336+AG456))-1,""))</f>
        <v/>
      </c>
      <c r="AI456" s="7" t="str">
        <f aca="false">IF(W456="","",W456&amp;"-"&amp;TEXT(X456,"00"))</f>
        <v/>
      </c>
      <c r="AJ456" s="7" t="str">
        <f aca="false">IF(W456="","",W456*12+X456)</f>
        <v/>
      </c>
      <c r="AK456" s="7" t="str">
        <f aca="false">IF(U456="تاخیر",V456+ROW()/100000,"")</f>
        <v/>
      </c>
    </row>
    <row r="457" customFormat="false" ht="15" hidden="false" customHeight="false" outlineLevel="0" collapsed="false">
      <c r="A457" s="7" t="str">
        <f aca="false">IF(B457="","",ROW()-3)</f>
        <v/>
      </c>
      <c r="B457" s="8"/>
      <c r="C457" s="8"/>
      <c r="D457" s="8"/>
      <c r="E457" s="9"/>
      <c r="F457" s="9"/>
      <c r="G457" s="8"/>
      <c r="H457" s="8"/>
      <c r="I457" s="8"/>
      <c r="J457" s="9"/>
      <c r="K457" s="8"/>
      <c r="L457" s="8"/>
      <c r="M457" s="8"/>
      <c r="N457" s="8"/>
      <c r="O457" s="8"/>
      <c r="P457" s="8"/>
      <c r="Q457" s="8"/>
      <c r="R457" s="9"/>
      <c r="S457" s="8"/>
      <c r="T457" s="9"/>
      <c r="U457" s="10" t="str">
        <f aca="true">IF(B457="","",IF(OR(P457&lt;&gt;"",I457="می‌باشد"),"بسته",IF(AND(L457&lt;&gt;"",W457=""),"خطای فرمت تاریخ ایجاد",IF(AND(H457&lt;&gt;"",AA457=""),"خطای فرمت مهلت",IF(AND(H457&lt;&gt;"",AD457&lt;&gt;"",TODAY()&gt;AD457),"تاخیر",IF(L457&lt;&gt;"","در حال انجام",""))))))</f>
        <v/>
      </c>
      <c r="V457" s="7" t="n">
        <f aca="true">IF(U457="تاخیر",TODAY()-AD457,IF(AND(U457="بسته",AH457&lt;&gt;"",AD457&lt;&gt;"",AH457&gt;AD457),AH457-AD457,0))</f>
        <v>0</v>
      </c>
      <c r="W457" s="7" t="str">
        <f aca="false">IF(L457="","",VALUE(LEFT(L457,FIND("/",L457)-1)))</f>
        <v/>
      </c>
      <c r="X457" s="7" t="str">
        <f aca="false">IF(L457="","",VALUE(MID(L457,FIND("/",L457)+1,FIND("/",L457,FIND("/",L457)+1)-FIND("/",L457)-1)))</f>
        <v/>
      </c>
      <c r="Y457" s="7" t="str">
        <f aca="false">IF(L457="","",VALUE(MID(L457,FIND("/",L457,FIND("/",L457)+1)+1,LEN(L457)-FIND("/",L457,FIND("/",L457)+1))))</f>
        <v/>
      </c>
      <c r="Z457" s="7" t="str">
        <f aca="false">IF(OR(L457="",W457=""),"",IFERROR(INDEX('لیست‌ها'!$Q$3:$Q$53,MATCH(W457,'لیست‌ها'!$P$3:$P$53,0))+IF(X457&lt;=6,(X457-1)*31+Y457,IF(X457&lt;=11,186+(X457-7)*30+Y457,336+Y457))-1,""))</f>
        <v/>
      </c>
      <c r="AA457" s="7" t="str">
        <f aca="false">IF(H457="","",VALUE(LEFT(H457,FIND("/",H457)-1)))</f>
        <v/>
      </c>
      <c r="AB457" s="7" t="str">
        <f aca="false">IF(H457="","",VALUE(MID(H457,FIND("/",H457)+1,FIND("/",H457,FIND("/",H457)+1)-FIND("/",H457)-1)))</f>
        <v/>
      </c>
      <c r="AC457" s="7" t="str">
        <f aca="false">IF(H457="","",VALUE(MID(H457,FIND("/",H457,FIND("/",H457)+1)+1,LEN(H457)-FIND("/",H457,FIND("/",H457)+1))))</f>
        <v/>
      </c>
      <c r="AD457" s="7" t="str">
        <f aca="false">IF(OR(H457="",AA457=""),"",IFERROR(INDEX('لیست‌ها'!$Q$3:$Q$53,MATCH(AA457,'لیست‌ها'!$P$3:$P$53,0))+IF(AB457&lt;=6,(AB457-1)*31+AC457,IF(AB457&lt;=11,186+(AB457-7)*30+AC457,336+AC457))-1,""))</f>
        <v/>
      </c>
      <c r="AE457" s="7" t="str">
        <f aca="false">IF(P457="","",VALUE(LEFT(P457,FIND("/",P457)-1)))</f>
        <v/>
      </c>
      <c r="AF457" s="7" t="str">
        <f aca="false">IF(P457="","",VALUE(MID(P457,FIND("/",P457)+1,FIND("/",P457,FIND("/",P457)+1)-FIND("/",P457)-1)))</f>
        <v/>
      </c>
      <c r="AG457" s="7" t="str">
        <f aca="false">IF(P457="","",VALUE(MID(P457,FIND("/",P457,FIND("/",P457)+1)+1,LEN(P457)-FIND("/",P457,FIND("/",P457)+1))))</f>
        <v/>
      </c>
      <c r="AH457" s="7" t="str">
        <f aca="false">IF(OR(P457="",AE457=""),"",IFERROR(INDEX('لیست‌ها'!$Q$3:$Q$53,MATCH(AE457,'لیست‌ها'!$P$3:$P$53,0))+IF(AF457&lt;=6,(AF457-1)*31+AG457,IF(AF457&lt;=11,186+(AF457-7)*30+AG457,336+AG457))-1,""))</f>
        <v/>
      </c>
      <c r="AI457" s="7" t="str">
        <f aca="false">IF(W457="","",W457&amp;"-"&amp;TEXT(X457,"00"))</f>
        <v/>
      </c>
      <c r="AJ457" s="7" t="str">
        <f aca="false">IF(W457="","",W457*12+X457)</f>
        <v/>
      </c>
      <c r="AK457" s="7" t="str">
        <f aca="false">IF(U457="تاخیر",V457+ROW()/100000,"")</f>
        <v/>
      </c>
    </row>
    <row r="458" customFormat="false" ht="15" hidden="false" customHeight="false" outlineLevel="0" collapsed="false">
      <c r="A458" s="7" t="str">
        <f aca="false">IF(B458="","",ROW()-3)</f>
        <v/>
      </c>
      <c r="B458" s="8"/>
      <c r="C458" s="8"/>
      <c r="D458" s="8"/>
      <c r="E458" s="9"/>
      <c r="F458" s="9"/>
      <c r="G458" s="8"/>
      <c r="H458" s="8"/>
      <c r="I458" s="8"/>
      <c r="J458" s="9"/>
      <c r="K458" s="8"/>
      <c r="L458" s="8"/>
      <c r="M458" s="8"/>
      <c r="N458" s="8"/>
      <c r="O458" s="8"/>
      <c r="P458" s="8"/>
      <c r="Q458" s="8"/>
      <c r="R458" s="9"/>
      <c r="S458" s="8"/>
      <c r="T458" s="9"/>
      <c r="U458" s="10" t="str">
        <f aca="true">IF(B458="","",IF(OR(P458&lt;&gt;"",I458="می‌باشد"),"بسته",IF(AND(L458&lt;&gt;"",W458=""),"خطای فرمت تاریخ ایجاد",IF(AND(H458&lt;&gt;"",AA458=""),"خطای فرمت مهلت",IF(AND(H458&lt;&gt;"",AD458&lt;&gt;"",TODAY()&gt;AD458),"تاخیر",IF(L458&lt;&gt;"","در حال انجام",""))))))</f>
        <v/>
      </c>
      <c r="V458" s="7" t="n">
        <f aca="true">IF(U458="تاخیر",TODAY()-AD458,IF(AND(U458="بسته",AH458&lt;&gt;"",AD458&lt;&gt;"",AH458&gt;AD458),AH458-AD458,0))</f>
        <v>0</v>
      </c>
      <c r="W458" s="7" t="str">
        <f aca="false">IF(L458="","",VALUE(LEFT(L458,FIND("/",L458)-1)))</f>
        <v/>
      </c>
      <c r="X458" s="7" t="str">
        <f aca="false">IF(L458="","",VALUE(MID(L458,FIND("/",L458)+1,FIND("/",L458,FIND("/",L458)+1)-FIND("/",L458)-1)))</f>
        <v/>
      </c>
      <c r="Y458" s="7" t="str">
        <f aca="false">IF(L458="","",VALUE(MID(L458,FIND("/",L458,FIND("/",L458)+1)+1,LEN(L458)-FIND("/",L458,FIND("/",L458)+1))))</f>
        <v/>
      </c>
      <c r="Z458" s="7" t="str">
        <f aca="false">IF(OR(L458="",W458=""),"",IFERROR(INDEX('لیست‌ها'!$Q$3:$Q$53,MATCH(W458,'لیست‌ها'!$P$3:$P$53,0))+IF(X458&lt;=6,(X458-1)*31+Y458,IF(X458&lt;=11,186+(X458-7)*30+Y458,336+Y458))-1,""))</f>
        <v/>
      </c>
      <c r="AA458" s="7" t="str">
        <f aca="false">IF(H458="","",VALUE(LEFT(H458,FIND("/",H458)-1)))</f>
        <v/>
      </c>
      <c r="AB458" s="7" t="str">
        <f aca="false">IF(H458="","",VALUE(MID(H458,FIND("/",H458)+1,FIND("/",H458,FIND("/",H458)+1)-FIND("/",H458)-1)))</f>
        <v/>
      </c>
      <c r="AC458" s="7" t="str">
        <f aca="false">IF(H458="","",VALUE(MID(H458,FIND("/",H458,FIND("/",H458)+1)+1,LEN(H458)-FIND("/",H458,FIND("/",H458)+1))))</f>
        <v/>
      </c>
      <c r="AD458" s="7" t="str">
        <f aca="false">IF(OR(H458="",AA458=""),"",IFERROR(INDEX('لیست‌ها'!$Q$3:$Q$53,MATCH(AA458,'لیست‌ها'!$P$3:$P$53,0))+IF(AB458&lt;=6,(AB458-1)*31+AC458,IF(AB458&lt;=11,186+(AB458-7)*30+AC458,336+AC458))-1,""))</f>
        <v/>
      </c>
      <c r="AE458" s="7" t="str">
        <f aca="false">IF(P458="","",VALUE(LEFT(P458,FIND("/",P458)-1)))</f>
        <v/>
      </c>
      <c r="AF458" s="7" t="str">
        <f aca="false">IF(P458="","",VALUE(MID(P458,FIND("/",P458)+1,FIND("/",P458,FIND("/",P458)+1)-FIND("/",P458)-1)))</f>
        <v/>
      </c>
      <c r="AG458" s="7" t="str">
        <f aca="false">IF(P458="","",VALUE(MID(P458,FIND("/",P458,FIND("/",P458)+1)+1,LEN(P458)-FIND("/",P458,FIND("/",P458)+1))))</f>
        <v/>
      </c>
      <c r="AH458" s="7" t="str">
        <f aca="false">IF(OR(P458="",AE458=""),"",IFERROR(INDEX('لیست‌ها'!$Q$3:$Q$53,MATCH(AE458,'لیست‌ها'!$P$3:$P$53,0))+IF(AF458&lt;=6,(AF458-1)*31+AG458,IF(AF458&lt;=11,186+(AF458-7)*30+AG458,336+AG458))-1,""))</f>
        <v/>
      </c>
      <c r="AI458" s="7" t="str">
        <f aca="false">IF(W458="","",W458&amp;"-"&amp;TEXT(X458,"00"))</f>
        <v/>
      </c>
      <c r="AJ458" s="7" t="str">
        <f aca="false">IF(W458="","",W458*12+X458)</f>
        <v/>
      </c>
      <c r="AK458" s="7" t="str">
        <f aca="false">IF(U458="تاخیر",V458+ROW()/100000,"")</f>
        <v/>
      </c>
    </row>
    <row r="459" customFormat="false" ht="15" hidden="false" customHeight="false" outlineLevel="0" collapsed="false">
      <c r="A459" s="7" t="str">
        <f aca="false">IF(B459="","",ROW()-3)</f>
        <v/>
      </c>
      <c r="B459" s="8"/>
      <c r="C459" s="8"/>
      <c r="D459" s="8"/>
      <c r="E459" s="9"/>
      <c r="F459" s="9"/>
      <c r="G459" s="8"/>
      <c r="H459" s="8"/>
      <c r="I459" s="8"/>
      <c r="J459" s="9"/>
      <c r="K459" s="8"/>
      <c r="L459" s="8"/>
      <c r="M459" s="8"/>
      <c r="N459" s="8"/>
      <c r="O459" s="8"/>
      <c r="P459" s="8"/>
      <c r="Q459" s="8"/>
      <c r="R459" s="9"/>
      <c r="S459" s="8"/>
      <c r="T459" s="9"/>
      <c r="U459" s="10" t="str">
        <f aca="true">IF(B459="","",IF(OR(P459&lt;&gt;"",I459="می‌باشد"),"بسته",IF(AND(L459&lt;&gt;"",W459=""),"خطای فرمت تاریخ ایجاد",IF(AND(H459&lt;&gt;"",AA459=""),"خطای فرمت مهلت",IF(AND(H459&lt;&gt;"",AD459&lt;&gt;"",TODAY()&gt;AD459),"تاخیر",IF(L459&lt;&gt;"","در حال انجام",""))))))</f>
        <v/>
      </c>
      <c r="V459" s="7" t="n">
        <f aca="true">IF(U459="تاخیر",TODAY()-AD459,IF(AND(U459="بسته",AH459&lt;&gt;"",AD459&lt;&gt;"",AH459&gt;AD459),AH459-AD459,0))</f>
        <v>0</v>
      </c>
      <c r="W459" s="7" t="str">
        <f aca="false">IF(L459="","",VALUE(LEFT(L459,FIND("/",L459)-1)))</f>
        <v/>
      </c>
      <c r="X459" s="7" t="str">
        <f aca="false">IF(L459="","",VALUE(MID(L459,FIND("/",L459)+1,FIND("/",L459,FIND("/",L459)+1)-FIND("/",L459)-1)))</f>
        <v/>
      </c>
      <c r="Y459" s="7" t="str">
        <f aca="false">IF(L459="","",VALUE(MID(L459,FIND("/",L459,FIND("/",L459)+1)+1,LEN(L459)-FIND("/",L459,FIND("/",L459)+1))))</f>
        <v/>
      </c>
      <c r="Z459" s="7" t="str">
        <f aca="false">IF(OR(L459="",W459=""),"",IFERROR(INDEX('لیست‌ها'!$Q$3:$Q$53,MATCH(W459,'لیست‌ها'!$P$3:$P$53,0))+IF(X459&lt;=6,(X459-1)*31+Y459,IF(X459&lt;=11,186+(X459-7)*30+Y459,336+Y459))-1,""))</f>
        <v/>
      </c>
      <c r="AA459" s="7" t="str">
        <f aca="false">IF(H459="","",VALUE(LEFT(H459,FIND("/",H459)-1)))</f>
        <v/>
      </c>
      <c r="AB459" s="7" t="str">
        <f aca="false">IF(H459="","",VALUE(MID(H459,FIND("/",H459)+1,FIND("/",H459,FIND("/",H459)+1)-FIND("/",H459)-1)))</f>
        <v/>
      </c>
      <c r="AC459" s="7" t="str">
        <f aca="false">IF(H459="","",VALUE(MID(H459,FIND("/",H459,FIND("/",H459)+1)+1,LEN(H459)-FIND("/",H459,FIND("/",H459)+1))))</f>
        <v/>
      </c>
      <c r="AD459" s="7" t="str">
        <f aca="false">IF(OR(H459="",AA459=""),"",IFERROR(INDEX('لیست‌ها'!$Q$3:$Q$53,MATCH(AA459,'لیست‌ها'!$P$3:$P$53,0))+IF(AB459&lt;=6,(AB459-1)*31+AC459,IF(AB459&lt;=11,186+(AB459-7)*30+AC459,336+AC459))-1,""))</f>
        <v/>
      </c>
      <c r="AE459" s="7" t="str">
        <f aca="false">IF(P459="","",VALUE(LEFT(P459,FIND("/",P459)-1)))</f>
        <v/>
      </c>
      <c r="AF459" s="7" t="str">
        <f aca="false">IF(P459="","",VALUE(MID(P459,FIND("/",P459)+1,FIND("/",P459,FIND("/",P459)+1)-FIND("/",P459)-1)))</f>
        <v/>
      </c>
      <c r="AG459" s="7" t="str">
        <f aca="false">IF(P459="","",VALUE(MID(P459,FIND("/",P459,FIND("/",P459)+1)+1,LEN(P459)-FIND("/",P459,FIND("/",P459)+1))))</f>
        <v/>
      </c>
      <c r="AH459" s="7" t="str">
        <f aca="false">IF(OR(P459="",AE459=""),"",IFERROR(INDEX('لیست‌ها'!$Q$3:$Q$53,MATCH(AE459,'لیست‌ها'!$P$3:$P$53,0))+IF(AF459&lt;=6,(AF459-1)*31+AG459,IF(AF459&lt;=11,186+(AF459-7)*30+AG459,336+AG459))-1,""))</f>
        <v/>
      </c>
      <c r="AI459" s="7" t="str">
        <f aca="false">IF(W459="","",W459&amp;"-"&amp;TEXT(X459,"00"))</f>
        <v/>
      </c>
      <c r="AJ459" s="7" t="str">
        <f aca="false">IF(W459="","",W459*12+X459)</f>
        <v/>
      </c>
      <c r="AK459" s="7" t="str">
        <f aca="false">IF(U459="تاخیر",V459+ROW()/100000,"")</f>
        <v/>
      </c>
    </row>
    <row r="460" customFormat="false" ht="15" hidden="false" customHeight="false" outlineLevel="0" collapsed="false">
      <c r="A460" s="7" t="str">
        <f aca="false">IF(B460="","",ROW()-3)</f>
        <v/>
      </c>
      <c r="B460" s="8"/>
      <c r="C460" s="8"/>
      <c r="D460" s="8"/>
      <c r="E460" s="9"/>
      <c r="F460" s="9"/>
      <c r="G460" s="8"/>
      <c r="H460" s="8"/>
      <c r="I460" s="8"/>
      <c r="J460" s="9"/>
      <c r="K460" s="8"/>
      <c r="L460" s="8"/>
      <c r="M460" s="8"/>
      <c r="N460" s="8"/>
      <c r="O460" s="8"/>
      <c r="P460" s="8"/>
      <c r="Q460" s="8"/>
      <c r="R460" s="9"/>
      <c r="S460" s="8"/>
      <c r="T460" s="9"/>
      <c r="U460" s="10" t="str">
        <f aca="true">IF(B460="","",IF(OR(P460&lt;&gt;"",I460="می‌باشد"),"بسته",IF(AND(L460&lt;&gt;"",W460=""),"خطای فرمت تاریخ ایجاد",IF(AND(H460&lt;&gt;"",AA460=""),"خطای فرمت مهلت",IF(AND(H460&lt;&gt;"",AD460&lt;&gt;"",TODAY()&gt;AD460),"تاخیر",IF(L460&lt;&gt;"","در حال انجام",""))))))</f>
        <v/>
      </c>
      <c r="V460" s="7" t="n">
        <f aca="true">IF(U460="تاخیر",TODAY()-AD460,IF(AND(U460="بسته",AH460&lt;&gt;"",AD460&lt;&gt;"",AH460&gt;AD460),AH460-AD460,0))</f>
        <v>0</v>
      </c>
      <c r="W460" s="7" t="str">
        <f aca="false">IF(L460="","",VALUE(LEFT(L460,FIND("/",L460)-1)))</f>
        <v/>
      </c>
      <c r="X460" s="7" t="str">
        <f aca="false">IF(L460="","",VALUE(MID(L460,FIND("/",L460)+1,FIND("/",L460,FIND("/",L460)+1)-FIND("/",L460)-1)))</f>
        <v/>
      </c>
      <c r="Y460" s="7" t="str">
        <f aca="false">IF(L460="","",VALUE(MID(L460,FIND("/",L460,FIND("/",L460)+1)+1,LEN(L460)-FIND("/",L460,FIND("/",L460)+1))))</f>
        <v/>
      </c>
      <c r="Z460" s="7" t="str">
        <f aca="false">IF(OR(L460="",W460=""),"",IFERROR(INDEX('لیست‌ها'!$Q$3:$Q$53,MATCH(W460,'لیست‌ها'!$P$3:$P$53,0))+IF(X460&lt;=6,(X460-1)*31+Y460,IF(X460&lt;=11,186+(X460-7)*30+Y460,336+Y460))-1,""))</f>
        <v/>
      </c>
      <c r="AA460" s="7" t="str">
        <f aca="false">IF(H460="","",VALUE(LEFT(H460,FIND("/",H460)-1)))</f>
        <v/>
      </c>
      <c r="AB460" s="7" t="str">
        <f aca="false">IF(H460="","",VALUE(MID(H460,FIND("/",H460)+1,FIND("/",H460,FIND("/",H460)+1)-FIND("/",H460)-1)))</f>
        <v/>
      </c>
      <c r="AC460" s="7" t="str">
        <f aca="false">IF(H460="","",VALUE(MID(H460,FIND("/",H460,FIND("/",H460)+1)+1,LEN(H460)-FIND("/",H460,FIND("/",H460)+1))))</f>
        <v/>
      </c>
      <c r="AD460" s="7" t="str">
        <f aca="false">IF(OR(H460="",AA460=""),"",IFERROR(INDEX('لیست‌ها'!$Q$3:$Q$53,MATCH(AA460,'لیست‌ها'!$P$3:$P$53,0))+IF(AB460&lt;=6,(AB460-1)*31+AC460,IF(AB460&lt;=11,186+(AB460-7)*30+AC460,336+AC460))-1,""))</f>
        <v/>
      </c>
      <c r="AE460" s="7" t="str">
        <f aca="false">IF(P460="","",VALUE(LEFT(P460,FIND("/",P460)-1)))</f>
        <v/>
      </c>
      <c r="AF460" s="7" t="str">
        <f aca="false">IF(P460="","",VALUE(MID(P460,FIND("/",P460)+1,FIND("/",P460,FIND("/",P460)+1)-FIND("/",P460)-1)))</f>
        <v/>
      </c>
      <c r="AG460" s="7" t="str">
        <f aca="false">IF(P460="","",VALUE(MID(P460,FIND("/",P460,FIND("/",P460)+1)+1,LEN(P460)-FIND("/",P460,FIND("/",P460)+1))))</f>
        <v/>
      </c>
      <c r="AH460" s="7" t="str">
        <f aca="false">IF(OR(P460="",AE460=""),"",IFERROR(INDEX('لیست‌ها'!$Q$3:$Q$53,MATCH(AE460,'لیست‌ها'!$P$3:$P$53,0))+IF(AF460&lt;=6,(AF460-1)*31+AG460,IF(AF460&lt;=11,186+(AF460-7)*30+AG460,336+AG460))-1,""))</f>
        <v/>
      </c>
      <c r="AI460" s="7" t="str">
        <f aca="false">IF(W460="","",W460&amp;"-"&amp;TEXT(X460,"00"))</f>
        <v/>
      </c>
      <c r="AJ460" s="7" t="str">
        <f aca="false">IF(W460="","",W460*12+X460)</f>
        <v/>
      </c>
      <c r="AK460" s="7" t="str">
        <f aca="false">IF(U460="تاخیر",V460+ROW()/100000,"")</f>
        <v/>
      </c>
    </row>
    <row r="461" customFormat="false" ht="15" hidden="false" customHeight="false" outlineLevel="0" collapsed="false">
      <c r="A461" s="7" t="str">
        <f aca="false">IF(B461="","",ROW()-3)</f>
        <v/>
      </c>
      <c r="B461" s="8"/>
      <c r="C461" s="8"/>
      <c r="D461" s="8"/>
      <c r="E461" s="9"/>
      <c r="F461" s="9"/>
      <c r="G461" s="8"/>
      <c r="H461" s="8"/>
      <c r="I461" s="8"/>
      <c r="J461" s="9"/>
      <c r="K461" s="8"/>
      <c r="L461" s="8"/>
      <c r="M461" s="8"/>
      <c r="N461" s="8"/>
      <c r="O461" s="8"/>
      <c r="P461" s="8"/>
      <c r="Q461" s="8"/>
      <c r="R461" s="9"/>
      <c r="S461" s="8"/>
      <c r="T461" s="9"/>
      <c r="U461" s="10" t="str">
        <f aca="true">IF(B461="","",IF(OR(P461&lt;&gt;"",I461="می‌باشد"),"بسته",IF(AND(L461&lt;&gt;"",W461=""),"خطای فرمت تاریخ ایجاد",IF(AND(H461&lt;&gt;"",AA461=""),"خطای فرمت مهلت",IF(AND(H461&lt;&gt;"",AD461&lt;&gt;"",TODAY()&gt;AD461),"تاخیر",IF(L461&lt;&gt;"","در حال انجام",""))))))</f>
        <v/>
      </c>
      <c r="V461" s="7" t="n">
        <f aca="true">IF(U461="تاخیر",TODAY()-AD461,IF(AND(U461="بسته",AH461&lt;&gt;"",AD461&lt;&gt;"",AH461&gt;AD461),AH461-AD461,0))</f>
        <v>0</v>
      </c>
      <c r="W461" s="7" t="str">
        <f aca="false">IF(L461="","",VALUE(LEFT(L461,FIND("/",L461)-1)))</f>
        <v/>
      </c>
      <c r="X461" s="7" t="str">
        <f aca="false">IF(L461="","",VALUE(MID(L461,FIND("/",L461)+1,FIND("/",L461,FIND("/",L461)+1)-FIND("/",L461)-1)))</f>
        <v/>
      </c>
      <c r="Y461" s="7" t="str">
        <f aca="false">IF(L461="","",VALUE(MID(L461,FIND("/",L461,FIND("/",L461)+1)+1,LEN(L461)-FIND("/",L461,FIND("/",L461)+1))))</f>
        <v/>
      </c>
      <c r="Z461" s="7" t="str">
        <f aca="false">IF(OR(L461="",W461=""),"",IFERROR(INDEX('لیست‌ها'!$Q$3:$Q$53,MATCH(W461,'لیست‌ها'!$P$3:$P$53,0))+IF(X461&lt;=6,(X461-1)*31+Y461,IF(X461&lt;=11,186+(X461-7)*30+Y461,336+Y461))-1,""))</f>
        <v/>
      </c>
      <c r="AA461" s="7" t="str">
        <f aca="false">IF(H461="","",VALUE(LEFT(H461,FIND("/",H461)-1)))</f>
        <v/>
      </c>
      <c r="AB461" s="7" t="str">
        <f aca="false">IF(H461="","",VALUE(MID(H461,FIND("/",H461)+1,FIND("/",H461,FIND("/",H461)+1)-FIND("/",H461)-1)))</f>
        <v/>
      </c>
      <c r="AC461" s="7" t="str">
        <f aca="false">IF(H461="","",VALUE(MID(H461,FIND("/",H461,FIND("/",H461)+1)+1,LEN(H461)-FIND("/",H461,FIND("/",H461)+1))))</f>
        <v/>
      </c>
      <c r="AD461" s="7" t="str">
        <f aca="false">IF(OR(H461="",AA461=""),"",IFERROR(INDEX('لیست‌ها'!$Q$3:$Q$53,MATCH(AA461,'لیست‌ها'!$P$3:$P$53,0))+IF(AB461&lt;=6,(AB461-1)*31+AC461,IF(AB461&lt;=11,186+(AB461-7)*30+AC461,336+AC461))-1,""))</f>
        <v/>
      </c>
      <c r="AE461" s="7" t="str">
        <f aca="false">IF(P461="","",VALUE(LEFT(P461,FIND("/",P461)-1)))</f>
        <v/>
      </c>
      <c r="AF461" s="7" t="str">
        <f aca="false">IF(P461="","",VALUE(MID(P461,FIND("/",P461)+1,FIND("/",P461,FIND("/",P461)+1)-FIND("/",P461)-1)))</f>
        <v/>
      </c>
      <c r="AG461" s="7" t="str">
        <f aca="false">IF(P461="","",VALUE(MID(P461,FIND("/",P461,FIND("/",P461)+1)+1,LEN(P461)-FIND("/",P461,FIND("/",P461)+1))))</f>
        <v/>
      </c>
      <c r="AH461" s="7" t="str">
        <f aca="false">IF(OR(P461="",AE461=""),"",IFERROR(INDEX('لیست‌ها'!$Q$3:$Q$53,MATCH(AE461,'لیست‌ها'!$P$3:$P$53,0))+IF(AF461&lt;=6,(AF461-1)*31+AG461,IF(AF461&lt;=11,186+(AF461-7)*30+AG461,336+AG461))-1,""))</f>
        <v/>
      </c>
      <c r="AI461" s="7" t="str">
        <f aca="false">IF(W461="","",W461&amp;"-"&amp;TEXT(X461,"00"))</f>
        <v/>
      </c>
      <c r="AJ461" s="7" t="str">
        <f aca="false">IF(W461="","",W461*12+X461)</f>
        <v/>
      </c>
      <c r="AK461" s="7" t="str">
        <f aca="false">IF(U461="تاخیر",V461+ROW()/100000,"")</f>
        <v/>
      </c>
    </row>
    <row r="462" customFormat="false" ht="15" hidden="false" customHeight="false" outlineLevel="0" collapsed="false">
      <c r="A462" s="7" t="str">
        <f aca="false">IF(B462="","",ROW()-3)</f>
        <v/>
      </c>
      <c r="B462" s="8"/>
      <c r="C462" s="8"/>
      <c r="D462" s="8"/>
      <c r="E462" s="9"/>
      <c r="F462" s="9"/>
      <c r="G462" s="8"/>
      <c r="H462" s="8"/>
      <c r="I462" s="8"/>
      <c r="J462" s="9"/>
      <c r="K462" s="8"/>
      <c r="L462" s="8"/>
      <c r="M462" s="8"/>
      <c r="N462" s="8"/>
      <c r="O462" s="8"/>
      <c r="P462" s="8"/>
      <c r="Q462" s="8"/>
      <c r="R462" s="9"/>
      <c r="S462" s="8"/>
      <c r="T462" s="9"/>
      <c r="U462" s="10" t="str">
        <f aca="true">IF(B462="","",IF(OR(P462&lt;&gt;"",I462="می‌باشد"),"بسته",IF(AND(L462&lt;&gt;"",W462=""),"خطای فرمت تاریخ ایجاد",IF(AND(H462&lt;&gt;"",AA462=""),"خطای فرمت مهلت",IF(AND(H462&lt;&gt;"",AD462&lt;&gt;"",TODAY()&gt;AD462),"تاخیر",IF(L462&lt;&gt;"","در حال انجام",""))))))</f>
        <v/>
      </c>
      <c r="V462" s="7" t="n">
        <f aca="true">IF(U462="تاخیر",TODAY()-AD462,IF(AND(U462="بسته",AH462&lt;&gt;"",AD462&lt;&gt;"",AH462&gt;AD462),AH462-AD462,0))</f>
        <v>0</v>
      </c>
      <c r="W462" s="7" t="str">
        <f aca="false">IF(L462="","",VALUE(LEFT(L462,FIND("/",L462)-1)))</f>
        <v/>
      </c>
      <c r="X462" s="7" t="str">
        <f aca="false">IF(L462="","",VALUE(MID(L462,FIND("/",L462)+1,FIND("/",L462,FIND("/",L462)+1)-FIND("/",L462)-1)))</f>
        <v/>
      </c>
      <c r="Y462" s="7" t="str">
        <f aca="false">IF(L462="","",VALUE(MID(L462,FIND("/",L462,FIND("/",L462)+1)+1,LEN(L462)-FIND("/",L462,FIND("/",L462)+1))))</f>
        <v/>
      </c>
      <c r="Z462" s="7" t="str">
        <f aca="false">IF(OR(L462="",W462=""),"",IFERROR(INDEX('لیست‌ها'!$Q$3:$Q$53,MATCH(W462,'لیست‌ها'!$P$3:$P$53,0))+IF(X462&lt;=6,(X462-1)*31+Y462,IF(X462&lt;=11,186+(X462-7)*30+Y462,336+Y462))-1,""))</f>
        <v/>
      </c>
      <c r="AA462" s="7" t="str">
        <f aca="false">IF(H462="","",VALUE(LEFT(H462,FIND("/",H462)-1)))</f>
        <v/>
      </c>
      <c r="AB462" s="7" t="str">
        <f aca="false">IF(H462="","",VALUE(MID(H462,FIND("/",H462)+1,FIND("/",H462,FIND("/",H462)+1)-FIND("/",H462)-1)))</f>
        <v/>
      </c>
      <c r="AC462" s="7" t="str">
        <f aca="false">IF(H462="","",VALUE(MID(H462,FIND("/",H462,FIND("/",H462)+1)+1,LEN(H462)-FIND("/",H462,FIND("/",H462)+1))))</f>
        <v/>
      </c>
      <c r="AD462" s="7" t="str">
        <f aca="false">IF(OR(H462="",AA462=""),"",IFERROR(INDEX('لیست‌ها'!$Q$3:$Q$53,MATCH(AA462,'لیست‌ها'!$P$3:$P$53,0))+IF(AB462&lt;=6,(AB462-1)*31+AC462,IF(AB462&lt;=11,186+(AB462-7)*30+AC462,336+AC462))-1,""))</f>
        <v/>
      </c>
      <c r="AE462" s="7" t="str">
        <f aca="false">IF(P462="","",VALUE(LEFT(P462,FIND("/",P462)-1)))</f>
        <v/>
      </c>
      <c r="AF462" s="7" t="str">
        <f aca="false">IF(P462="","",VALUE(MID(P462,FIND("/",P462)+1,FIND("/",P462,FIND("/",P462)+1)-FIND("/",P462)-1)))</f>
        <v/>
      </c>
      <c r="AG462" s="7" t="str">
        <f aca="false">IF(P462="","",VALUE(MID(P462,FIND("/",P462,FIND("/",P462)+1)+1,LEN(P462)-FIND("/",P462,FIND("/",P462)+1))))</f>
        <v/>
      </c>
      <c r="AH462" s="7" t="str">
        <f aca="false">IF(OR(P462="",AE462=""),"",IFERROR(INDEX('لیست‌ها'!$Q$3:$Q$53,MATCH(AE462,'لیست‌ها'!$P$3:$P$53,0))+IF(AF462&lt;=6,(AF462-1)*31+AG462,IF(AF462&lt;=11,186+(AF462-7)*30+AG462,336+AG462))-1,""))</f>
        <v/>
      </c>
      <c r="AI462" s="7" t="str">
        <f aca="false">IF(W462="","",W462&amp;"-"&amp;TEXT(X462,"00"))</f>
        <v/>
      </c>
      <c r="AJ462" s="7" t="str">
        <f aca="false">IF(W462="","",W462*12+X462)</f>
        <v/>
      </c>
      <c r="AK462" s="7" t="str">
        <f aca="false">IF(U462="تاخیر",V462+ROW()/100000,"")</f>
        <v/>
      </c>
    </row>
    <row r="463" customFormat="false" ht="15" hidden="false" customHeight="false" outlineLevel="0" collapsed="false">
      <c r="A463" s="7" t="str">
        <f aca="false">IF(B463="","",ROW()-3)</f>
        <v/>
      </c>
      <c r="B463" s="8"/>
      <c r="C463" s="8"/>
      <c r="D463" s="8"/>
      <c r="E463" s="9"/>
      <c r="F463" s="9"/>
      <c r="G463" s="8"/>
      <c r="H463" s="8"/>
      <c r="I463" s="8"/>
      <c r="J463" s="9"/>
      <c r="K463" s="8"/>
      <c r="L463" s="8"/>
      <c r="M463" s="8"/>
      <c r="N463" s="8"/>
      <c r="O463" s="8"/>
      <c r="P463" s="8"/>
      <c r="Q463" s="8"/>
      <c r="R463" s="9"/>
      <c r="S463" s="8"/>
      <c r="T463" s="9"/>
      <c r="U463" s="10" t="str">
        <f aca="true">IF(B463="","",IF(OR(P463&lt;&gt;"",I463="می‌باشد"),"بسته",IF(AND(L463&lt;&gt;"",W463=""),"خطای فرمت تاریخ ایجاد",IF(AND(H463&lt;&gt;"",AA463=""),"خطای فرمت مهلت",IF(AND(H463&lt;&gt;"",AD463&lt;&gt;"",TODAY()&gt;AD463),"تاخیر",IF(L463&lt;&gt;"","در حال انجام",""))))))</f>
        <v/>
      </c>
      <c r="V463" s="7" t="n">
        <f aca="true">IF(U463="تاخیر",TODAY()-AD463,IF(AND(U463="بسته",AH463&lt;&gt;"",AD463&lt;&gt;"",AH463&gt;AD463),AH463-AD463,0))</f>
        <v>0</v>
      </c>
      <c r="W463" s="7" t="str">
        <f aca="false">IF(L463="","",VALUE(LEFT(L463,FIND("/",L463)-1)))</f>
        <v/>
      </c>
      <c r="X463" s="7" t="str">
        <f aca="false">IF(L463="","",VALUE(MID(L463,FIND("/",L463)+1,FIND("/",L463,FIND("/",L463)+1)-FIND("/",L463)-1)))</f>
        <v/>
      </c>
      <c r="Y463" s="7" t="str">
        <f aca="false">IF(L463="","",VALUE(MID(L463,FIND("/",L463,FIND("/",L463)+1)+1,LEN(L463)-FIND("/",L463,FIND("/",L463)+1))))</f>
        <v/>
      </c>
      <c r="Z463" s="7" t="str">
        <f aca="false">IF(OR(L463="",W463=""),"",IFERROR(INDEX('لیست‌ها'!$Q$3:$Q$53,MATCH(W463,'لیست‌ها'!$P$3:$P$53,0))+IF(X463&lt;=6,(X463-1)*31+Y463,IF(X463&lt;=11,186+(X463-7)*30+Y463,336+Y463))-1,""))</f>
        <v/>
      </c>
      <c r="AA463" s="7" t="str">
        <f aca="false">IF(H463="","",VALUE(LEFT(H463,FIND("/",H463)-1)))</f>
        <v/>
      </c>
      <c r="AB463" s="7" t="str">
        <f aca="false">IF(H463="","",VALUE(MID(H463,FIND("/",H463)+1,FIND("/",H463,FIND("/",H463)+1)-FIND("/",H463)-1)))</f>
        <v/>
      </c>
      <c r="AC463" s="7" t="str">
        <f aca="false">IF(H463="","",VALUE(MID(H463,FIND("/",H463,FIND("/",H463)+1)+1,LEN(H463)-FIND("/",H463,FIND("/",H463)+1))))</f>
        <v/>
      </c>
      <c r="AD463" s="7" t="str">
        <f aca="false">IF(OR(H463="",AA463=""),"",IFERROR(INDEX('لیست‌ها'!$Q$3:$Q$53,MATCH(AA463,'لیست‌ها'!$P$3:$P$53,0))+IF(AB463&lt;=6,(AB463-1)*31+AC463,IF(AB463&lt;=11,186+(AB463-7)*30+AC463,336+AC463))-1,""))</f>
        <v/>
      </c>
      <c r="AE463" s="7" t="str">
        <f aca="false">IF(P463="","",VALUE(LEFT(P463,FIND("/",P463)-1)))</f>
        <v/>
      </c>
      <c r="AF463" s="7" t="str">
        <f aca="false">IF(P463="","",VALUE(MID(P463,FIND("/",P463)+1,FIND("/",P463,FIND("/",P463)+1)-FIND("/",P463)-1)))</f>
        <v/>
      </c>
      <c r="AG463" s="7" t="str">
        <f aca="false">IF(P463="","",VALUE(MID(P463,FIND("/",P463,FIND("/",P463)+1)+1,LEN(P463)-FIND("/",P463,FIND("/",P463)+1))))</f>
        <v/>
      </c>
      <c r="AH463" s="7" t="str">
        <f aca="false">IF(OR(P463="",AE463=""),"",IFERROR(INDEX('لیست‌ها'!$Q$3:$Q$53,MATCH(AE463,'لیست‌ها'!$P$3:$P$53,0))+IF(AF463&lt;=6,(AF463-1)*31+AG463,IF(AF463&lt;=11,186+(AF463-7)*30+AG463,336+AG463))-1,""))</f>
        <v/>
      </c>
      <c r="AI463" s="7" t="str">
        <f aca="false">IF(W463="","",W463&amp;"-"&amp;TEXT(X463,"00"))</f>
        <v/>
      </c>
      <c r="AJ463" s="7" t="str">
        <f aca="false">IF(W463="","",W463*12+X463)</f>
        <v/>
      </c>
      <c r="AK463" s="7" t="str">
        <f aca="false">IF(U463="تاخیر",V463+ROW()/100000,"")</f>
        <v/>
      </c>
    </row>
    <row r="464" customFormat="false" ht="15" hidden="false" customHeight="false" outlineLevel="0" collapsed="false">
      <c r="A464" s="7" t="str">
        <f aca="false">IF(B464="","",ROW()-3)</f>
        <v/>
      </c>
      <c r="B464" s="8"/>
      <c r="C464" s="8"/>
      <c r="D464" s="8"/>
      <c r="E464" s="9"/>
      <c r="F464" s="9"/>
      <c r="G464" s="8"/>
      <c r="H464" s="8"/>
      <c r="I464" s="8"/>
      <c r="J464" s="9"/>
      <c r="K464" s="8"/>
      <c r="L464" s="8"/>
      <c r="M464" s="8"/>
      <c r="N464" s="8"/>
      <c r="O464" s="8"/>
      <c r="P464" s="8"/>
      <c r="Q464" s="8"/>
      <c r="R464" s="9"/>
      <c r="S464" s="8"/>
      <c r="T464" s="9"/>
      <c r="U464" s="10" t="str">
        <f aca="true">IF(B464="","",IF(OR(P464&lt;&gt;"",I464="می‌باشد"),"بسته",IF(AND(L464&lt;&gt;"",W464=""),"خطای فرمت تاریخ ایجاد",IF(AND(H464&lt;&gt;"",AA464=""),"خطای فرمت مهلت",IF(AND(H464&lt;&gt;"",AD464&lt;&gt;"",TODAY()&gt;AD464),"تاخیر",IF(L464&lt;&gt;"","در حال انجام",""))))))</f>
        <v/>
      </c>
      <c r="V464" s="7" t="n">
        <f aca="true">IF(U464="تاخیر",TODAY()-AD464,IF(AND(U464="بسته",AH464&lt;&gt;"",AD464&lt;&gt;"",AH464&gt;AD464),AH464-AD464,0))</f>
        <v>0</v>
      </c>
      <c r="W464" s="7" t="str">
        <f aca="false">IF(L464="","",VALUE(LEFT(L464,FIND("/",L464)-1)))</f>
        <v/>
      </c>
      <c r="X464" s="7" t="str">
        <f aca="false">IF(L464="","",VALUE(MID(L464,FIND("/",L464)+1,FIND("/",L464,FIND("/",L464)+1)-FIND("/",L464)-1)))</f>
        <v/>
      </c>
      <c r="Y464" s="7" t="str">
        <f aca="false">IF(L464="","",VALUE(MID(L464,FIND("/",L464,FIND("/",L464)+1)+1,LEN(L464)-FIND("/",L464,FIND("/",L464)+1))))</f>
        <v/>
      </c>
      <c r="Z464" s="7" t="str">
        <f aca="false">IF(OR(L464="",W464=""),"",IFERROR(INDEX('لیست‌ها'!$Q$3:$Q$53,MATCH(W464,'لیست‌ها'!$P$3:$P$53,0))+IF(X464&lt;=6,(X464-1)*31+Y464,IF(X464&lt;=11,186+(X464-7)*30+Y464,336+Y464))-1,""))</f>
        <v/>
      </c>
      <c r="AA464" s="7" t="str">
        <f aca="false">IF(H464="","",VALUE(LEFT(H464,FIND("/",H464)-1)))</f>
        <v/>
      </c>
      <c r="AB464" s="7" t="str">
        <f aca="false">IF(H464="","",VALUE(MID(H464,FIND("/",H464)+1,FIND("/",H464,FIND("/",H464)+1)-FIND("/",H464)-1)))</f>
        <v/>
      </c>
      <c r="AC464" s="7" t="str">
        <f aca="false">IF(H464="","",VALUE(MID(H464,FIND("/",H464,FIND("/",H464)+1)+1,LEN(H464)-FIND("/",H464,FIND("/",H464)+1))))</f>
        <v/>
      </c>
      <c r="AD464" s="7" t="str">
        <f aca="false">IF(OR(H464="",AA464=""),"",IFERROR(INDEX('لیست‌ها'!$Q$3:$Q$53,MATCH(AA464,'لیست‌ها'!$P$3:$P$53,0))+IF(AB464&lt;=6,(AB464-1)*31+AC464,IF(AB464&lt;=11,186+(AB464-7)*30+AC464,336+AC464))-1,""))</f>
        <v/>
      </c>
      <c r="AE464" s="7" t="str">
        <f aca="false">IF(P464="","",VALUE(LEFT(P464,FIND("/",P464)-1)))</f>
        <v/>
      </c>
      <c r="AF464" s="7" t="str">
        <f aca="false">IF(P464="","",VALUE(MID(P464,FIND("/",P464)+1,FIND("/",P464,FIND("/",P464)+1)-FIND("/",P464)-1)))</f>
        <v/>
      </c>
      <c r="AG464" s="7" t="str">
        <f aca="false">IF(P464="","",VALUE(MID(P464,FIND("/",P464,FIND("/",P464)+1)+1,LEN(P464)-FIND("/",P464,FIND("/",P464)+1))))</f>
        <v/>
      </c>
      <c r="AH464" s="7" t="str">
        <f aca="false">IF(OR(P464="",AE464=""),"",IFERROR(INDEX('لیست‌ها'!$Q$3:$Q$53,MATCH(AE464,'لیست‌ها'!$P$3:$P$53,0))+IF(AF464&lt;=6,(AF464-1)*31+AG464,IF(AF464&lt;=11,186+(AF464-7)*30+AG464,336+AG464))-1,""))</f>
        <v/>
      </c>
      <c r="AI464" s="7" t="str">
        <f aca="false">IF(W464="","",W464&amp;"-"&amp;TEXT(X464,"00"))</f>
        <v/>
      </c>
      <c r="AJ464" s="7" t="str">
        <f aca="false">IF(W464="","",W464*12+X464)</f>
        <v/>
      </c>
      <c r="AK464" s="7" t="str">
        <f aca="false">IF(U464="تاخیر",V464+ROW()/100000,"")</f>
        <v/>
      </c>
    </row>
    <row r="465" customFormat="false" ht="15" hidden="false" customHeight="false" outlineLevel="0" collapsed="false">
      <c r="A465" s="7" t="str">
        <f aca="false">IF(B465="","",ROW()-3)</f>
        <v/>
      </c>
      <c r="B465" s="8"/>
      <c r="C465" s="8"/>
      <c r="D465" s="8"/>
      <c r="E465" s="9"/>
      <c r="F465" s="9"/>
      <c r="G465" s="8"/>
      <c r="H465" s="8"/>
      <c r="I465" s="8"/>
      <c r="J465" s="9"/>
      <c r="K465" s="8"/>
      <c r="L465" s="8"/>
      <c r="M465" s="8"/>
      <c r="N465" s="8"/>
      <c r="O465" s="8"/>
      <c r="P465" s="8"/>
      <c r="Q465" s="8"/>
      <c r="R465" s="9"/>
      <c r="S465" s="8"/>
      <c r="T465" s="9"/>
      <c r="U465" s="10" t="str">
        <f aca="true">IF(B465="","",IF(OR(P465&lt;&gt;"",I465="می‌باشد"),"بسته",IF(AND(L465&lt;&gt;"",W465=""),"خطای فرمت تاریخ ایجاد",IF(AND(H465&lt;&gt;"",AA465=""),"خطای فرمت مهلت",IF(AND(H465&lt;&gt;"",AD465&lt;&gt;"",TODAY()&gt;AD465),"تاخیر",IF(L465&lt;&gt;"","در حال انجام",""))))))</f>
        <v/>
      </c>
      <c r="V465" s="7" t="n">
        <f aca="true">IF(U465="تاخیر",TODAY()-AD465,IF(AND(U465="بسته",AH465&lt;&gt;"",AD465&lt;&gt;"",AH465&gt;AD465),AH465-AD465,0))</f>
        <v>0</v>
      </c>
      <c r="W465" s="7" t="str">
        <f aca="false">IF(L465="","",VALUE(LEFT(L465,FIND("/",L465)-1)))</f>
        <v/>
      </c>
      <c r="X465" s="7" t="str">
        <f aca="false">IF(L465="","",VALUE(MID(L465,FIND("/",L465)+1,FIND("/",L465,FIND("/",L465)+1)-FIND("/",L465)-1)))</f>
        <v/>
      </c>
      <c r="Y465" s="7" t="str">
        <f aca="false">IF(L465="","",VALUE(MID(L465,FIND("/",L465,FIND("/",L465)+1)+1,LEN(L465)-FIND("/",L465,FIND("/",L465)+1))))</f>
        <v/>
      </c>
      <c r="Z465" s="7" t="str">
        <f aca="false">IF(OR(L465="",W465=""),"",IFERROR(INDEX('لیست‌ها'!$Q$3:$Q$53,MATCH(W465,'لیست‌ها'!$P$3:$P$53,0))+IF(X465&lt;=6,(X465-1)*31+Y465,IF(X465&lt;=11,186+(X465-7)*30+Y465,336+Y465))-1,""))</f>
        <v/>
      </c>
      <c r="AA465" s="7" t="str">
        <f aca="false">IF(H465="","",VALUE(LEFT(H465,FIND("/",H465)-1)))</f>
        <v/>
      </c>
      <c r="AB465" s="7" t="str">
        <f aca="false">IF(H465="","",VALUE(MID(H465,FIND("/",H465)+1,FIND("/",H465,FIND("/",H465)+1)-FIND("/",H465)-1)))</f>
        <v/>
      </c>
      <c r="AC465" s="7" t="str">
        <f aca="false">IF(H465="","",VALUE(MID(H465,FIND("/",H465,FIND("/",H465)+1)+1,LEN(H465)-FIND("/",H465,FIND("/",H465)+1))))</f>
        <v/>
      </c>
      <c r="AD465" s="7" t="str">
        <f aca="false">IF(OR(H465="",AA465=""),"",IFERROR(INDEX('لیست‌ها'!$Q$3:$Q$53,MATCH(AA465,'لیست‌ها'!$P$3:$P$53,0))+IF(AB465&lt;=6,(AB465-1)*31+AC465,IF(AB465&lt;=11,186+(AB465-7)*30+AC465,336+AC465))-1,""))</f>
        <v/>
      </c>
      <c r="AE465" s="7" t="str">
        <f aca="false">IF(P465="","",VALUE(LEFT(P465,FIND("/",P465)-1)))</f>
        <v/>
      </c>
      <c r="AF465" s="7" t="str">
        <f aca="false">IF(P465="","",VALUE(MID(P465,FIND("/",P465)+1,FIND("/",P465,FIND("/",P465)+1)-FIND("/",P465)-1)))</f>
        <v/>
      </c>
      <c r="AG465" s="7" t="str">
        <f aca="false">IF(P465="","",VALUE(MID(P465,FIND("/",P465,FIND("/",P465)+1)+1,LEN(P465)-FIND("/",P465,FIND("/",P465)+1))))</f>
        <v/>
      </c>
      <c r="AH465" s="7" t="str">
        <f aca="false">IF(OR(P465="",AE465=""),"",IFERROR(INDEX('لیست‌ها'!$Q$3:$Q$53,MATCH(AE465,'لیست‌ها'!$P$3:$P$53,0))+IF(AF465&lt;=6,(AF465-1)*31+AG465,IF(AF465&lt;=11,186+(AF465-7)*30+AG465,336+AG465))-1,""))</f>
        <v/>
      </c>
      <c r="AI465" s="7" t="str">
        <f aca="false">IF(W465="","",W465&amp;"-"&amp;TEXT(X465,"00"))</f>
        <v/>
      </c>
      <c r="AJ465" s="7" t="str">
        <f aca="false">IF(W465="","",W465*12+X465)</f>
        <v/>
      </c>
      <c r="AK465" s="7" t="str">
        <f aca="false">IF(U465="تاخیر",V465+ROW()/100000,"")</f>
        <v/>
      </c>
    </row>
    <row r="466" customFormat="false" ht="15" hidden="false" customHeight="false" outlineLevel="0" collapsed="false">
      <c r="A466" s="7" t="str">
        <f aca="false">IF(B466="","",ROW()-3)</f>
        <v/>
      </c>
      <c r="B466" s="8"/>
      <c r="C466" s="8"/>
      <c r="D466" s="8"/>
      <c r="E466" s="9"/>
      <c r="F466" s="9"/>
      <c r="G466" s="8"/>
      <c r="H466" s="8"/>
      <c r="I466" s="8"/>
      <c r="J466" s="9"/>
      <c r="K466" s="8"/>
      <c r="L466" s="8"/>
      <c r="M466" s="8"/>
      <c r="N466" s="8"/>
      <c r="O466" s="8"/>
      <c r="P466" s="8"/>
      <c r="Q466" s="8"/>
      <c r="R466" s="9"/>
      <c r="S466" s="8"/>
      <c r="T466" s="9"/>
      <c r="U466" s="10" t="str">
        <f aca="true">IF(B466="","",IF(OR(P466&lt;&gt;"",I466="می‌باشد"),"بسته",IF(AND(L466&lt;&gt;"",W466=""),"خطای فرمت تاریخ ایجاد",IF(AND(H466&lt;&gt;"",AA466=""),"خطای فرمت مهلت",IF(AND(H466&lt;&gt;"",AD466&lt;&gt;"",TODAY()&gt;AD466),"تاخیر",IF(L466&lt;&gt;"","در حال انجام",""))))))</f>
        <v/>
      </c>
      <c r="V466" s="7" t="n">
        <f aca="true">IF(U466="تاخیر",TODAY()-AD466,IF(AND(U466="بسته",AH466&lt;&gt;"",AD466&lt;&gt;"",AH466&gt;AD466),AH466-AD466,0))</f>
        <v>0</v>
      </c>
      <c r="W466" s="7" t="str">
        <f aca="false">IF(L466="","",VALUE(LEFT(L466,FIND("/",L466)-1)))</f>
        <v/>
      </c>
      <c r="X466" s="7" t="str">
        <f aca="false">IF(L466="","",VALUE(MID(L466,FIND("/",L466)+1,FIND("/",L466,FIND("/",L466)+1)-FIND("/",L466)-1)))</f>
        <v/>
      </c>
      <c r="Y466" s="7" t="str">
        <f aca="false">IF(L466="","",VALUE(MID(L466,FIND("/",L466,FIND("/",L466)+1)+1,LEN(L466)-FIND("/",L466,FIND("/",L466)+1))))</f>
        <v/>
      </c>
      <c r="Z466" s="7" t="str">
        <f aca="false">IF(OR(L466="",W466=""),"",IFERROR(INDEX('لیست‌ها'!$Q$3:$Q$53,MATCH(W466,'لیست‌ها'!$P$3:$P$53,0))+IF(X466&lt;=6,(X466-1)*31+Y466,IF(X466&lt;=11,186+(X466-7)*30+Y466,336+Y466))-1,""))</f>
        <v/>
      </c>
      <c r="AA466" s="7" t="str">
        <f aca="false">IF(H466="","",VALUE(LEFT(H466,FIND("/",H466)-1)))</f>
        <v/>
      </c>
      <c r="AB466" s="7" t="str">
        <f aca="false">IF(H466="","",VALUE(MID(H466,FIND("/",H466)+1,FIND("/",H466,FIND("/",H466)+1)-FIND("/",H466)-1)))</f>
        <v/>
      </c>
      <c r="AC466" s="7" t="str">
        <f aca="false">IF(H466="","",VALUE(MID(H466,FIND("/",H466,FIND("/",H466)+1)+1,LEN(H466)-FIND("/",H466,FIND("/",H466)+1))))</f>
        <v/>
      </c>
      <c r="AD466" s="7" t="str">
        <f aca="false">IF(OR(H466="",AA466=""),"",IFERROR(INDEX('لیست‌ها'!$Q$3:$Q$53,MATCH(AA466,'لیست‌ها'!$P$3:$P$53,0))+IF(AB466&lt;=6,(AB466-1)*31+AC466,IF(AB466&lt;=11,186+(AB466-7)*30+AC466,336+AC466))-1,""))</f>
        <v/>
      </c>
      <c r="AE466" s="7" t="str">
        <f aca="false">IF(P466="","",VALUE(LEFT(P466,FIND("/",P466)-1)))</f>
        <v/>
      </c>
      <c r="AF466" s="7" t="str">
        <f aca="false">IF(P466="","",VALUE(MID(P466,FIND("/",P466)+1,FIND("/",P466,FIND("/",P466)+1)-FIND("/",P466)-1)))</f>
        <v/>
      </c>
      <c r="AG466" s="7" t="str">
        <f aca="false">IF(P466="","",VALUE(MID(P466,FIND("/",P466,FIND("/",P466)+1)+1,LEN(P466)-FIND("/",P466,FIND("/",P466)+1))))</f>
        <v/>
      </c>
      <c r="AH466" s="7" t="str">
        <f aca="false">IF(OR(P466="",AE466=""),"",IFERROR(INDEX('لیست‌ها'!$Q$3:$Q$53,MATCH(AE466,'لیست‌ها'!$P$3:$P$53,0))+IF(AF466&lt;=6,(AF466-1)*31+AG466,IF(AF466&lt;=11,186+(AF466-7)*30+AG466,336+AG466))-1,""))</f>
        <v/>
      </c>
      <c r="AI466" s="7" t="str">
        <f aca="false">IF(W466="","",W466&amp;"-"&amp;TEXT(X466,"00"))</f>
        <v/>
      </c>
      <c r="AJ466" s="7" t="str">
        <f aca="false">IF(W466="","",W466*12+X466)</f>
        <v/>
      </c>
      <c r="AK466" s="7" t="str">
        <f aca="false">IF(U466="تاخیر",V466+ROW()/100000,"")</f>
        <v/>
      </c>
    </row>
    <row r="467" customFormat="false" ht="15" hidden="false" customHeight="false" outlineLevel="0" collapsed="false">
      <c r="A467" s="7" t="str">
        <f aca="false">IF(B467="","",ROW()-3)</f>
        <v/>
      </c>
      <c r="B467" s="8"/>
      <c r="C467" s="8"/>
      <c r="D467" s="8"/>
      <c r="E467" s="9"/>
      <c r="F467" s="9"/>
      <c r="G467" s="8"/>
      <c r="H467" s="8"/>
      <c r="I467" s="8"/>
      <c r="J467" s="9"/>
      <c r="K467" s="8"/>
      <c r="L467" s="8"/>
      <c r="M467" s="8"/>
      <c r="N467" s="8"/>
      <c r="O467" s="8"/>
      <c r="P467" s="8"/>
      <c r="Q467" s="8"/>
      <c r="R467" s="9"/>
      <c r="S467" s="8"/>
      <c r="T467" s="9"/>
      <c r="U467" s="10" t="str">
        <f aca="true">IF(B467="","",IF(OR(P467&lt;&gt;"",I467="می‌باشد"),"بسته",IF(AND(L467&lt;&gt;"",W467=""),"خطای فرمت تاریخ ایجاد",IF(AND(H467&lt;&gt;"",AA467=""),"خطای فرمت مهلت",IF(AND(H467&lt;&gt;"",AD467&lt;&gt;"",TODAY()&gt;AD467),"تاخیر",IF(L467&lt;&gt;"","در حال انجام",""))))))</f>
        <v/>
      </c>
      <c r="V467" s="7" t="n">
        <f aca="true">IF(U467="تاخیر",TODAY()-AD467,IF(AND(U467="بسته",AH467&lt;&gt;"",AD467&lt;&gt;"",AH467&gt;AD467),AH467-AD467,0))</f>
        <v>0</v>
      </c>
      <c r="W467" s="7" t="str">
        <f aca="false">IF(L467="","",VALUE(LEFT(L467,FIND("/",L467)-1)))</f>
        <v/>
      </c>
      <c r="X467" s="7" t="str">
        <f aca="false">IF(L467="","",VALUE(MID(L467,FIND("/",L467)+1,FIND("/",L467,FIND("/",L467)+1)-FIND("/",L467)-1)))</f>
        <v/>
      </c>
      <c r="Y467" s="7" t="str">
        <f aca="false">IF(L467="","",VALUE(MID(L467,FIND("/",L467,FIND("/",L467)+1)+1,LEN(L467)-FIND("/",L467,FIND("/",L467)+1))))</f>
        <v/>
      </c>
      <c r="Z467" s="7" t="str">
        <f aca="false">IF(OR(L467="",W467=""),"",IFERROR(INDEX('لیست‌ها'!$Q$3:$Q$53,MATCH(W467,'لیست‌ها'!$P$3:$P$53,0))+IF(X467&lt;=6,(X467-1)*31+Y467,IF(X467&lt;=11,186+(X467-7)*30+Y467,336+Y467))-1,""))</f>
        <v/>
      </c>
      <c r="AA467" s="7" t="str">
        <f aca="false">IF(H467="","",VALUE(LEFT(H467,FIND("/",H467)-1)))</f>
        <v/>
      </c>
      <c r="AB467" s="7" t="str">
        <f aca="false">IF(H467="","",VALUE(MID(H467,FIND("/",H467)+1,FIND("/",H467,FIND("/",H467)+1)-FIND("/",H467)-1)))</f>
        <v/>
      </c>
      <c r="AC467" s="7" t="str">
        <f aca="false">IF(H467="","",VALUE(MID(H467,FIND("/",H467,FIND("/",H467)+1)+1,LEN(H467)-FIND("/",H467,FIND("/",H467)+1))))</f>
        <v/>
      </c>
      <c r="AD467" s="7" t="str">
        <f aca="false">IF(OR(H467="",AA467=""),"",IFERROR(INDEX('لیست‌ها'!$Q$3:$Q$53,MATCH(AA467,'لیست‌ها'!$P$3:$P$53,0))+IF(AB467&lt;=6,(AB467-1)*31+AC467,IF(AB467&lt;=11,186+(AB467-7)*30+AC467,336+AC467))-1,""))</f>
        <v/>
      </c>
      <c r="AE467" s="7" t="str">
        <f aca="false">IF(P467="","",VALUE(LEFT(P467,FIND("/",P467)-1)))</f>
        <v/>
      </c>
      <c r="AF467" s="7" t="str">
        <f aca="false">IF(P467="","",VALUE(MID(P467,FIND("/",P467)+1,FIND("/",P467,FIND("/",P467)+1)-FIND("/",P467)-1)))</f>
        <v/>
      </c>
      <c r="AG467" s="7" t="str">
        <f aca="false">IF(P467="","",VALUE(MID(P467,FIND("/",P467,FIND("/",P467)+1)+1,LEN(P467)-FIND("/",P467,FIND("/",P467)+1))))</f>
        <v/>
      </c>
      <c r="AH467" s="7" t="str">
        <f aca="false">IF(OR(P467="",AE467=""),"",IFERROR(INDEX('لیست‌ها'!$Q$3:$Q$53,MATCH(AE467,'لیست‌ها'!$P$3:$P$53,0))+IF(AF467&lt;=6,(AF467-1)*31+AG467,IF(AF467&lt;=11,186+(AF467-7)*30+AG467,336+AG467))-1,""))</f>
        <v/>
      </c>
      <c r="AI467" s="7" t="str">
        <f aca="false">IF(W467="","",W467&amp;"-"&amp;TEXT(X467,"00"))</f>
        <v/>
      </c>
      <c r="AJ467" s="7" t="str">
        <f aca="false">IF(W467="","",W467*12+X467)</f>
        <v/>
      </c>
      <c r="AK467" s="7" t="str">
        <f aca="false">IF(U467="تاخیر",V467+ROW()/100000,"")</f>
        <v/>
      </c>
    </row>
    <row r="468" customFormat="false" ht="15" hidden="false" customHeight="false" outlineLevel="0" collapsed="false">
      <c r="A468" s="7" t="str">
        <f aca="false">IF(B468="","",ROW()-3)</f>
        <v/>
      </c>
      <c r="B468" s="8"/>
      <c r="C468" s="8"/>
      <c r="D468" s="8"/>
      <c r="E468" s="9"/>
      <c r="F468" s="9"/>
      <c r="G468" s="8"/>
      <c r="H468" s="8"/>
      <c r="I468" s="8"/>
      <c r="J468" s="9"/>
      <c r="K468" s="8"/>
      <c r="L468" s="8"/>
      <c r="M468" s="8"/>
      <c r="N468" s="8"/>
      <c r="O468" s="8"/>
      <c r="P468" s="8"/>
      <c r="Q468" s="8"/>
      <c r="R468" s="9"/>
      <c r="S468" s="8"/>
      <c r="T468" s="9"/>
      <c r="U468" s="10" t="str">
        <f aca="true">IF(B468="","",IF(OR(P468&lt;&gt;"",I468="می‌باشد"),"بسته",IF(AND(L468&lt;&gt;"",W468=""),"خطای فرمت تاریخ ایجاد",IF(AND(H468&lt;&gt;"",AA468=""),"خطای فرمت مهلت",IF(AND(H468&lt;&gt;"",AD468&lt;&gt;"",TODAY()&gt;AD468),"تاخیر",IF(L468&lt;&gt;"","در حال انجام",""))))))</f>
        <v/>
      </c>
      <c r="V468" s="7" t="n">
        <f aca="true">IF(U468="تاخیر",TODAY()-AD468,IF(AND(U468="بسته",AH468&lt;&gt;"",AD468&lt;&gt;"",AH468&gt;AD468),AH468-AD468,0))</f>
        <v>0</v>
      </c>
      <c r="W468" s="7" t="str">
        <f aca="false">IF(L468="","",VALUE(LEFT(L468,FIND("/",L468)-1)))</f>
        <v/>
      </c>
      <c r="X468" s="7" t="str">
        <f aca="false">IF(L468="","",VALUE(MID(L468,FIND("/",L468)+1,FIND("/",L468,FIND("/",L468)+1)-FIND("/",L468)-1)))</f>
        <v/>
      </c>
      <c r="Y468" s="7" t="str">
        <f aca="false">IF(L468="","",VALUE(MID(L468,FIND("/",L468,FIND("/",L468)+1)+1,LEN(L468)-FIND("/",L468,FIND("/",L468)+1))))</f>
        <v/>
      </c>
      <c r="Z468" s="7" t="str">
        <f aca="false">IF(OR(L468="",W468=""),"",IFERROR(INDEX('لیست‌ها'!$Q$3:$Q$53,MATCH(W468,'لیست‌ها'!$P$3:$P$53,0))+IF(X468&lt;=6,(X468-1)*31+Y468,IF(X468&lt;=11,186+(X468-7)*30+Y468,336+Y468))-1,""))</f>
        <v/>
      </c>
      <c r="AA468" s="7" t="str">
        <f aca="false">IF(H468="","",VALUE(LEFT(H468,FIND("/",H468)-1)))</f>
        <v/>
      </c>
      <c r="AB468" s="7" t="str">
        <f aca="false">IF(H468="","",VALUE(MID(H468,FIND("/",H468)+1,FIND("/",H468,FIND("/",H468)+1)-FIND("/",H468)-1)))</f>
        <v/>
      </c>
      <c r="AC468" s="7" t="str">
        <f aca="false">IF(H468="","",VALUE(MID(H468,FIND("/",H468,FIND("/",H468)+1)+1,LEN(H468)-FIND("/",H468,FIND("/",H468)+1))))</f>
        <v/>
      </c>
      <c r="AD468" s="7" t="str">
        <f aca="false">IF(OR(H468="",AA468=""),"",IFERROR(INDEX('لیست‌ها'!$Q$3:$Q$53,MATCH(AA468,'لیست‌ها'!$P$3:$P$53,0))+IF(AB468&lt;=6,(AB468-1)*31+AC468,IF(AB468&lt;=11,186+(AB468-7)*30+AC468,336+AC468))-1,""))</f>
        <v/>
      </c>
      <c r="AE468" s="7" t="str">
        <f aca="false">IF(P468="","",VALUE(LEFT(P468,FIND("/",P468)-1)))</f>
        <v/>
      </c>
      <c r="AF468" s="7" t="str">
        <f aca="false">IF(P468="","",VALUE(MID(P468,FIND("/",P468)+1,FIND("/",P468,FIND("/",P468)+1)-FIND("/",P468)-1)))</f>
        <v/>
      </c>
      <c r="AG468" s="7" t="str">
        <f aca="false">IF(P468="","",VALUE(MID(P468,FIND("/",P468,FIND("/",P468)+1)+1,LEN(P468)-FIND("/",P468,FIND("/",P468)+1))))</f>
        <v/>
      </c>
      <c r="AH468" s="7" t="str">
        <f aca="false">IF(OR(P468="",AE468=""),"",IFERROR(INDEX('لیست‌ها'!$Q$3:$Q$53,MATCH(AE468,'لیست‌ها'!$P$3:$P$53,0))+IF(AF468&lt;=6,(AF468-1)*31+AG468,IF(AF468&lt;=11,186+(AF468-7)*30+AG468,336+AG468))-1,""))</f>
        <v/>
      </c>
      <c r="AI468" s="7" t="str">
        <f aca="false">IF(W468="","",W468&amp;"-"&amp;TEXT(X468,"00"))</f>
        <v/>
      </c>
      <c r="AJ468" s="7" t="str">
        <f aca="false">IF(W468="","",W468*12+X468)</f>
        <v/>
      </c>
      <c r="AK468" s="7" t="str">
        <f aca="false">IF(U468="تاخیر",V468+ROW()/100000,"")</f>
        <v/>
      </c>
    </row>
    <row r="469" customFormat="false" ht="15" hidden="false" customHeight="false" outlineLevel="0" collapsed="false">
      <c r="A469" s="7" t="str">
        <f aca="false">IF(B469="","",ROW()-3)</f>
        <v/>
      </c>
      <c r="B469" s="8"/>
      <c r="C469" s="8"/>
      <c r="D469" s="8"/>
      <c r="E469" s="9"/>
      <c r="F469" s="9"/>
      <c r="G469" s="8"/>
      <c r="H469" s="8"/>
      <c r="I469" s="8"/>
      <c r="J469" s="9"/>
      <c r="K469" s="8"/>
      <c r="L469" s="8"/>
      <c r="M469" s="8"/>
      <c r="N469" s="8"/>
      <c r="O469" s="8"/>
      <c r="P469" s="8"/>
      <c r="Q469" s="8"/>
      <c r="R469" s="9"/>
      <c r="S469" s="8"/>
      <c r="T469" s="9"/>
      <c r="U469" s="10" t="str">
        <f aca="true">IF(B469="","",IF(OR(P469&lt;&gt;"",I469="می‌باشد"),"بسته",IF(AND(L469&lt;&gt;"",W469=""),"خطای فرمت تاریخ ایجاد",IF(AND(H469&lt;&gt;"",AA469=""),"خطای فرمت مهلت",IF(AND(H469&lt;&gt;"",AD469&lt;&gt;"",TODAY()&gt;AD469),"تاخیر",IF(L469&lt;&gt;"","در حال انجام",""))))))</f>
        <v/>
      </c>
      <c r="V469" s="7" t="n">
        <f aca="true">IF(U469="تاخیر",TODAY()-AD469,IF(AND(U469="بسته",AH469&lt;&gt;"",AD469&lt;&gt;"",AH469&gt;AD469),AH469-AD469,0))</f>
        <v>0</v>
      </c>
      <c r="W469" s="7" t="str">
        <f aca="false">IF(L469="","",VALUE(LEFT(L469,FIND("/",L469)-1)))</f>
        <v/>
      </c>
      <c r="X469" s="7" t="str">
        <f aca="false">IF(L469="","",VALUE(MID(L469,FIND("/",L469)+1,FIND("/",L469,FIND("/",L469)+1)-FIND("/",L469)-1)))</f>
        <v/>
      </c>
      <c r="Y469" s="7" t="str">
        <f aca="false">IF(L469="","",VALUE(MID(L469,FIND("/",L469,FIND("/",L469)+1)+1,LEN(L469)-FIND("/",L469,FIND("/",L469)+1))))</f>
        <v/>
      </c>
      <c r="Z469" s="7" t="str">
        <f aca="false">IF(OR(L469="",W469=""),"",IFERROR(INDEX('لیست‌ها'!$Q$3:$Q$53,MATCH(W469,'لیست‌ها'!$P$3:$P$53,0))+IF(X469&lt;=6,(X469-1)*31+Y469,IF(X469&lt;=11,186+(X469-7)*30+Y469,336+Y469))-1,""))</f>
        <v/>
      </c>
      <c r="AA469" s="7" t="str">
        <f aca="false">IF(H469="","",VALUE(LEFT(H469,FIND("/",H469)-1)))</f>
        <v/>
      </c>
      <c r="AB469" s="7" t="str">
        <f aca="false">IF(H469="","",VALUE(MID(H469,FIND("/",H469)+1,FIND("/",H469,FIND("/",H469)+1)-FIND("/",H469)-1)))</f>
        <v/>
      </c>
      <c r="AC469" s="7" t="str">
        <f aca="false">IF(H469="","",VALUE(MID(H469,FIND("/",H469,FIND("/",H469)+1)+1,LEN(H469)-FIND("/",H469,FIND("/",H469)+1))))</f>
        <v/>
      </c>
      <c r="AD469" s="7" t="str">
        <f aca="false">IF(OR(H469="",AA469=""),"",IFERROR(INDEX('لیست‌ها'!$Q$3:$Q$53,MATCH(AA469,'لیست‌ها'!$P$3:$P$53,0))+IF(AB469&lt;=6,(AB469-1)*31+AC469,IF(AB469&lt;=11,186+(AB469-7)*30+AC469,336+AC469))-1,""))</f>
        <v/>
      </c>
      <c r="AE469" s="7" t="str">
        <f aca="false">IF(P469="","",VALUE(LEFT(P469,FIND("/",P469)-1)))</f>
        <v/>
      </c>
      <c r="AF469" s="7" t="str">
        <f aca="false">IF(P469="","",VALUE(MID(P469,FIND("/",P469)+1,FIND("/",P469,FIND("/",P469)+1)-FIND("/",P469)-1)))</f>
        <v/>
      </c>
      <c r="AG469" s="7" t="str">
        <f aca="false">IF(P469="","",VALUE(MID(P469,FIND("/",P469,FIND("/",P469)+1)+1,LEN(P469)-FIND("/",P469,FIND("/",P469)+1))))</f>
        <v/>
      </c>
      <c r="AH469" s="7" t="str">
        <f aca="false">IF(OR(P469="",AE469=""),"",IFERROR(INDEX('لیست‌ها'!$Q$3:$Q$53,MATCH(AE469,'لیست‌ها'!$P$3:$P$53,0))+IF(AF469&lt;=6,(AF469-1)*31+AG469,IF(AF469&lt;=11,186+(AF469-7)*30+AG469,336+AG469))-1,""))</f>
        <v/>
      </c>
      <c r="AI469" s="7" t="str">
        <f aca="false">IF(W469="","",W469&amp;"-"&amp;TEXT(X469,"00"))</f>
        <v/>
      </c>
      <c r="AJ469" s="7" t="str">
        <f aca="false">IF(W469="","",W469*12+X469)</f>
        <v/>
      </c>
      <c r="AK469" s="7" t="str">
        <f aca="false">IF(U469="تاخیر",V469+ROW()/100000,"")</f>
        <v/>
      </c>
    </row>
    <row r="470" customFormat="false" ht="15" hidden="false" customHeight="false" outlineLevel="0" collapsed="false">
      <c r="A470" s="7" t="str">
        <f aca="false">IF(B470="","",ROW()-3)</f>
        <v/>
      </c>
      <c r="B470" s="8"/>
      <c r="C470" s="8"/>
      <c r="D470" s="8"/>
      <c r="E470" s="9"/>
      <c r="F470" s="9"/>
      <c r="G470" s="8"/>
      <c r="H470" s="8"/>
      <c r="I470" s="8"/>
      <c r="J470" s="9"/>
      <c r="K470" s="8"/>
      <c r="L470" s="8"/>
      <c r="M470" s="8"/>
      <c r="N470" s="8"/>
      <c r="O470" s="8"/>
      <c r="P470" s="8"/>
      <c r="Q470" s="8"/>
      <c r="R470" s="9"/>
      <c r="S470" s="8"/>
      <c r="T470" s="9"/>
      <c r="U470" s="10" t="str">
        <f aca="true">IF(B470="","",IF(OR(P470&lt;&gt;"",I470="می‌باشد"),"بسته",IF(AND(L470&lt;&gt;"",W470=""),"خطای فرمت تاریخ ایجاد",IF(AND(H470&lt;&gt;"",AA470=""),"خطای فرمت مهلت",IF(AND(H470&lt;&gt;"",AD470&lt;&gt;"",TODAY()&gt;AD470),"تاخیر",IF(L470&lt;&gt;"","در حال انجام",""))))))</f>
        <v/>
      </c>
      <c r="V470" s="7" t="n">
        <f aca="true">IF(U470="تاخیر",TODAY()-AD470,IF(AND(U470="بسته",AH470&lt;&gt;"",AD470&lt;&gt;"",AH470&gt;AD470),AH470-AD470,0))</f>
        <v>0</v>
      </c>
      <c r="W470" s="7" t="str">
        <f aca="false">IF(L470="","",VALUE(LEFT(L470,FIND("/",L470)-1)))</f>
        <v/>
      </c>
      <c r="X470" s="7" t="str">
        <f aca="false">IF(L470="","",VALUE(MID(L470,FIND("/",L470)+1,FIND("/",L470,FIND("/",L470)+1)-FIND("/",L470)-1)))</f>
        <v/>
      </c>
      <c r="Y470" s="7" t="str">
        <f aca="false">IF(L470="","",VALUE(MID(L470,FIND("/",L470,FIND("/",L470)+1)+1,LEN(L470)-FIND("/",L470,FIND("/",L470)+1))))</f>
        <v/>
      </c>
      <c r="Z470" s="7" t="str">
        <f aca="false">IF(OR(L470="",W470=""),"",IFERROR(INDEX('لیست‌ها'!$Q$3:$Q$53,MATCH(W470,'لیست‌ها'!$P$3:$P$53,0))+IF(X470&lt;=6,(X470-1)*31+Y470,IF(X470&lt;=11,186+(X470-7)*30+Y470,336+Y470))-1,""))</f>
        <v/>
      </c>
      <c r="AA470" s="7" t="str">
        <f aca="false">IF(H470="","",VALUE(LEFT(H470,FIND("/",H470)-1)))</f>
        <v/>
      </c>
      <c r="AB470" s="7" t="str">
        <f aca="false">IF(H470="","",VALUE(MID(H470,FIND("/",H470)+1,FIND("/",H470,FIND("/",H470)+1)-FIND("/",H470)-1)))</f>
        <v/>
      </c>
      <c r="AC470" s="7" t="str">
        <f aca="false">IF(H470="","",VALUE(MID(H470,FIND("/",H470,FIND("/",H470)+1)+1,LEN(H470)-FIND("/",H470,FIND("/",H470)+1))))</f>
        <v/>
      </c>
      <c r="AD470" s="7" t="str">
        <f aca="false">IF(OR(H470="",AA470=""),"",IFERROR(INDEX('لیست‌ها'!$Q$3:$Q$53,MATCH(AA470,'لیست‌ها'!$P$3:$P$53,0))+IF(AB470&lt;=6,(AB470-1)*31+AC470,IF(AB470&lt;=11,186+(AB470-7)*30+AC470,336+AC470))-1,""))</f>
        <v/>
      </c>
      <c r="AE470" s="7" t="str">
        <f aca="false">IF(P470="","",VALUE(LEFT(P470,FIND("/",P470)-1)))</f>
        <v/>
      </c>
      <c r="AF470" s="7" t="str">
        <f aca="false">IF(P470="","",VALUE(MID(P470,FIND("/",P470)+1,FIND("/",P470,FIND("/",P470)+1)-FIND("/",P470)-1)))</f>
        <v/>
      </c>
      <c r="AG470" s="7" t="str">
        <f aca="false">IF(P470="","",VALUE(MID(P470,FIND("/",P470,FIND("/",P470)+1)+1,LEN(P470)-FIND("/",P470,FIND("/",P470)+1))))</f>
        <v/>
      </c>
      <c r="AH470" s="7" t="str">
        <f aca="false">IF(OR(P470="",AE470=""),"",IFERROR(INDEX('لیست‌ها'!$Q$3:$Q$53,MATCH(AE470,'لیست‌ها'!$P$3:$P$53,0))+IF(AF470&lt;=6,(AF470-1)*31+AG470,IF(AF470&lt;=11,186+(AF470-7)*30+AG470,336+AG470))-1,""))</f>
        <v/>
      </c>
      <c r="AI470" s="7" t="str">
        <f aca="false">IF(W470="","",W470&amp;"-"&amp;TEXT(X470,"00"))</f>
        <v/>
      </c>
      <c r="AJ470" s="7" t="str">
        <f aca="false">IF(W470="","",W470*12+X470)</f>
        <v/>
      </c>
      <c r="AK470" s="7" t="str">
        <f aca="false">IF(U470="تاخیر",V470+ROW()/100000,"")</f>
        <v/>
      </c>
    </row>
    <row r="471" customFormat="false" ht="15" hidden="false" customHeight="false" outlineLevel="0" collapsed="false">
      <c r="A471" s="7" t="str">
        <f aca="false">IF(B471="","",ROW()-3)</f>
        <v/>
      </c>
      <c r="B471" s="8"/>
      <c r="C471" s="8"/>
      <c r="D471" s="8"/>
      <c r="E471" s="9"/>
      <c r="F471" s="9"/>
      <c r="G471" s="8"/>
      <c r="H471" s="8"/>
      <c r="I471" s="8"/>
      <c r="J471" s="9"/>
      <c r="K471" s="8"/>
      <c r="L471" s="8"/>
      <c r="M471" s="8"/>
      <c r="N471" s="8"/>
      <c r="O471" s="8"/>
      <c r="P471" s="8"/>
      <c r="Q471" s="8"/>
      <c r="R471" s="9"/>
      <c r="S471" s="8"/>
      <c r="T471" s="9"/>
      <c r="U471" s="10" t="str">
        <f aca="true">IF(B471="","",IF(OR(P471&lt;&gt;"",I471="می‌باشد"),"بسته",IF(AND(L471&lt;&gt;"",W471=""),"خطای فرمت تاریخ ایجاد",IF(AND(H471&lt;&gt;"",AA471=""),"خطای فرمت مهلت",IF(AND(H471&lt;&gt;"",AD471&lt;&gt;"",TODAY()&gt;AD471),"تاخیر",IF(L471&lt;&gt;"","در حال انجام",""))))))</f>
        <v/>
      </c>
      <c r="V471" s="7" t="n">
        <f aca="true">IF(U471="تاخیر",TODAY()-AD471,IF(AND(U471="بسته",AH471&lt;&gt;"",AD471&lt;&gt;"",AH471&gt;AD471),AH471-AD471,0))</f>
        <v>0</v>
      </c>
      <c r="W471" s="7" t="str">
        <f aca="false">IF(L471="","",VALUE(LEFT(L471,FIND("/",L471)-1)))</f>
        <v/>
      </c>
      <c r="X471" s="7" t="str">
        <f aca="false">IF(L471="","",VALUE(MID(L471,FIND("/",L471)+1,FIND("/",L471,FIND("/",L471)+1)-FIND("/",L471)-1)))</f>
        <v/>
      </c>
      <c r="Y471" s="7" t="str">
        <f aca="false">IF(L471="","",VALUE(MID(L471,FIND("/",L471,FIND("/",L471)+1)+1,LEN(L471)-FIND("/",L471,FIND("/",L471)+1))))</f>
        <v/>
      </c>
      <c r="Z471" s="7" t="str">
        <f aca="false">IF(OR(L471="",W471=""),"",IFERROR(INDEX('لیست‌ها'!$Q$3:$Q$53,MATCH(W471,'لیست‌ها'!$P$3:$P$53,0))+IF(X471&lt;=6,(X471-1)*31+Y471,IF(X471&lt;=11,186+(X471-7)*30+Y471,336+Y471))-1,""))</f>
        <v/>
      </c>
      <c r="AA471" s="7" t="str">
        <f aca="false">IF(H471="","",VALUE(LEFT(H471,FIND("/",H471)-1)))</f>
        <v/>
      </c>
      <c r="AB471" s="7" t="str">
        <f aca="false">IF(H471="","",VALUE(MID(H471,FIND("/",H471)+1,FIND("/",H471,FIND("/",H471)+1)-FIND("/",H471)-1)))</f>
        <v/>
      </c>
      <c r="AC471" s="7" t="str">
        <f aca="false">IF(H471="","",VALUE(MID(H471,FIND("/",H471,FIND("/",H471)+1)+1,LEN(H471)-FIND("/",H471,FIND("/",H471)+1))))</f>
        <v/>
      </c>
      <c r="AD471" s="7" t="str">
        <f aca="false">IF(OR(H471="",AA471=""),"",IFERROR(INDEX('لیست‌ها'!$Q$3:$Q$53,MATCH(AA471,'لیست‌ها'!$P$3:$P$53,0))+IF(AB471&lt;=6,(AB471-1)*31+AC471,IF(AB471&lt;=11,186+(AB471-7)*30+AC471,336+AC471))-1,""))</f>
        <v/>
      </c>
      <c r="AE471" s="7" t="str">
        <f aca="false">IF(P471="","",VALUE(LEFT(P471,FIND("/",P471)-1)))</f>
        <v/>
      </c>
      <c r="AF471" s="7" t="str">
        <f aca="false">IF(P471="","",VALUE(MID(P471,FIND("/",P471)+1,FIND("/",P471,FIND("/",P471)+1)-FIND("/",P471)-1)))</f>
        <v/>
      </c>
      <c r="AG471" s="7" t="str">
        <f aca="false">IF(P471="","",VALUE(MID(P471,FIND("/",P471,FIND("/",P471)+1)+1,LEN(P471)-FIND("/",P471,FIND("/",P471)+1))))</f>
        <v/>
      </c>
      <c r="AH471" s="7" t="str">
        <f aca="false">IF(OR(P471="",AE471=""),"",IFERROR(INDEX('لیست‌ها'!$Q$3:$Q$53,MATCH(AE471,'لیست‌ها'!$P$3:$P$53,0))+IF(AF471&lt;=6,(AF471-1)*31+AG471,IF(AF471&lt;=11,186+(AF471-7)*30+AG471,336+AG471))-1,""))</f>
        <v/>
      </c>
      <c r="AI471" s="7" t="str">
        <f aca="false">IF(W471="","",W471&amp;"-"&amp;TEXT(X471,"00"))</f>
        <v/>
      </c>
      <c r="AJ471" s="7" t="str">
        <f aca="false">IF(W471="","",W471*12+X471)</f>
        <v/>
      </c>
      <c r="AK471" s="7" t="str">
        <f aca="false">IF(U471="تاخیر",V471+ROW()/100000,"")</f>
        <v/>
      </c>
    </row>
    <row r="472" customFormat="false" ht="15" hidden="false" customHeight="false" outlineLevel="0" collapsed="false">
      <c r="A472" s="7" t="str">
        <f aca="false">IF(B472="","",ROW()-3)</f>
        <v/>
      </c>
      <c r="B472" s="8"/>
      <c r="C472" s="8"/>
      <c r="D472" s="8"/>
      <c r="E472" s="9"/>
      <c r="F472" s="9"/>
      <c r="G472" s="8"/>
      <c r="H472" s="8"/>
      <c r="I472" s="8"/>
      <c r="J472" s="9"/>
      <c r="K472" s="8"/>
      <c r="L472" s="8"/>
      <c r="M472" s="8"/>
      <c r="N472" s="8"/>
      <c r="O472" s="8"/>
      <c r="P472" s="8"/>
      <c r="Q472" s="8"/>
      <c r="R472" s="9"/>
      <c r="S472" s="8"/>
      <c r="T472" s="9"/>
      <c r="U472" s="10" t="str">
        <f aca="true">IF(B472="","",IF(OR(P472&lt;&gt;"",I472="می‌باشد"),"بسته",IF(AND(L472&lt;&gt;"",W472=""),"خطای فرمت تاریخ ایجاد",IF(AND(H472&lt;&gt;"",AA472=""),"خطای فرمت مهلت",IF(AND(H472&lt;&gt;"",AD472&lt;&gt;"",TODAY()&gt;AD472),"تاخیر",IF(L472&lt;&gt;"","در حال انجام",""))))))</f>
        <v/>
      </c>
      <c r="V472" s="7" t="n">
        <f aca="true">IF(U472="تاخیر",TODAY()-AD472,IF(AND(U472="بسته",AH472&lt;&gt;"",AD472&lt;&gt;"",AH472&gt;AD472),AH472-AD472,0))</f>
        <v>0</v>
      </c>
      <c r="W472" s="7" t="str">
        <f aca="false">IF(L472="","",VALUE(LEFT(L472,FIND("/",L472)-1)))</f>
        <v/>
      </c>
      <c r="X472" s="7" t="str">
        <f aca="false">IF(L472="","",VALUE(MID(L472,FIND("/",L472)+1,FIND("/",L472,FIND("/",L472)+1)-FIND("/",L472)-1)))</f>
        <v/>
      </c>
      <c r="Y472" s="7" t="str">
        <f aca="false">IF(L472="","",VALUE(MID(L472,FIND("/",L472,FIND("/",L472)+1)+1,LEN(L472)-FIND("/",L472,FIND("/",L472)+1))))</f>
        <v/>
      </c>
      <c r="Z472" s="7" t="str">
        <f aca="false">IF(OR(L472="",W472=""),"",IFERROR(INDEX('لیست‌ها'!$Q$3:$Q$53,MATCH(W472,'لیست‌ها'!$P$3:$P$53,0))+IF(X472&lt;=6,(X472-1)*31+Y472,IF(X472&lt;=11,186+(X472-7)*30+Y472,336+Y472))-1,""))</f>
        <v/>
      </c>
      <c r="AA472" s="7" t="str">
        <f aca="false">IF(H472="","",VALUE(LEFT(H472,FIND("/",H472)-1)))</f>
        <v/>
      </c>
      <c r="AB472" s="7" t="str">
        <f aca="false">IF(H472="","",VALUE(MID(H472,FIND("/",H472)+1,FIND("/",H472,FIND("/",H472)+1)-FIND("/",H472)-1)))</f>
        <v/>
      </c>
      <c r="AC472" s="7" t="str">
        <f aca="false">IF(H472="","",VALUE(MID(H472,FIND("/",H472,FIND("/",H472)+1)+1,LEN(H472)-FIND("/",H472,FIND("/",H472)+1))))</f>
        <v/>
      </c>
      <c r="AD472" s="7" t="str">
        <f aca="false">IF(OR(H472="",AA472=""),"",IFERROR(INDEX('لیست‌ها'!$Q$3:$Q$53,MATCH(AA472,'لیست‌ها'!$P$3:$P$53,0))+IF(AB472&lt;=6,(AB472-1)*31+AC472,IF(AB472&lt;=11,186+(AB472-7)*30+AC472,336+AC472))-1,""))</f>
        <v/>
      </c>
      <c r="AE472" s="7" t="str">
        <f aca="false">IF(P472="","",VALUE(LEFT(P472,FIND("/",P472)-1)))</f>
        <v/>
      </c>
      <c r="AF472" s="7" t="str">
        <f aca="false">IF(P472="","",VALUE(MID(P472,FIND("/",P472)+1,FIND("/",P472,FIND("/",P472)+1)-FIND("/",P472)-1)))</f>
        <v/>
      </c>
      <c r="AG472" s="7" t="str">
        <f aca="false">IF(P472="","",VALUE(MID(P472,FIND("/",P472,FIND("/",P472)+1)+1,LEN(P472)-FIND("/",P472,FIND("/",P472)+1))))</f>
        <v/>
      </c>
      <c r="AH472" s="7" t="str">
        <f aca="false">IF(OR(P472="",AE472=""),"",IFERROR(INDEX('لیست‌ها'!$Q$3:$Q$53,MATCH(AE472,'لیست‌ها'!$P$3:$P$53,0))+IF(AF472&lt;=6,(AF472-1)*31+AG472,IF(AF472&lt;=11,186+(AF472-7)*30+AG472,336+AG472))-1,""))</f>
        <v/>
      </c>
      <c r="AI472" s="7" t="str">
        <f aca="false">IF(W472="","",W472&amp;"-"&amp;TEXT(X472,"00"))</f>
        <v/>
      </c>
      <c r="AJ472" s="7" t="str">
        <f aca="false">IF(W472="","",W472*12+X472)</f>
        <v/>
      </c>
      <c r="AK472" s="7" t="str">
        <f aca="false">IF(U472="تاخیر",V472+ROW()/100000,"")</f>
        <v/>
      </c>
    </row>
    <row r="473" customFormat="false" ht="15" hidden="false" customHeight="false" outlineLevel="0" collapsed="false">
      <c r="A473" s="7" t="str">
        <f aca="false">IF(B473="","",ROW()-3)</f>
        <v/>
      </c>
      <c r="B473" s="8"/>
      <c r="C473" s="8"/>
      <c r="D473" s="8"/>
      <c r="E473" s="9"/>
      <c r="F473" s="9"/>
      <c r="G473" s="8"/>
      <c r="H473" s="8"/>
      <c r="I473" s="8"/>
      <c r="J473" s="9"/>
      <c r="K473" s="8"/>
      <c r="L473" s="8"/>
      <c r="M473" s="8"/>
      <c r="N473" s="8"/>
      <c r="O473" s="8"/>
      <c r="P473" s="8"/>
      <c r="Q473" s="8"/>
      <c r="R473" s="9"/>
      <c r="S473" s="8"/>
      <c r="T473" s="9"/>
      <c r="U473" s="10" t="str">
        <f aca="true">IF(B473="","",IF(OR(P473&lt;&gt;"",I473="می‌باشد"),"بسته",IF(AND(L473&lt;&gt;"",W473=""),"خطای فرمت تاریخ ایجاد",IF(AND(H473&lt;&gt;"",AA473=""),"خطای فرمت مهلت",IF(AND(H473&lt;&gt;"",AD473&lt;&gt;"",TODAY()&gt;AD473),"تاخیر",IF(L473&lt;&gt;"","در حال انجام",""))))))</f>
        <v/>
      </c>
      <c r="V473" s="7" t="n">
        <f aca="true">IF(U473="تاخیر",TODAY()-AD473,IF(AND(U473="بسته",AH473&lt;&gt;"",AD473&lt;&gt;"",AH473&gt;AD473),AH473-AD473,0))</f>
        <v>0</v>
      </c>
      <c r="W473" s="7" t="str">
        <f aca="false">IF(L473="","",VALUE(LEFT(L473,FIND("/",L473)-1)))</f>
        <v/>
      </c>
      <c r="X473" s="7" t="str">
        <f aca="false">IF(L473="","",VALUE(MID(L473,FIND("/",L473)+1,FIND("/",L473,FIND("/",L473)+1)-FIND("/",L473)-1)))</f>
        <v/>
      </c>
      <c r="Y473" s="7" t="str">
        <f aca="false">IF(L473="","",VALUE(MID(L473,FIND("/",L473,FIND("/",L473)+1)+1,LEN(L473)-FIND("/",L473,FIND("/",L473)+1))))</f>
        <v/>
      </c>
      <c r="Z473" s="7" t="str">
        <f aca="false">IF(OR(L473="",W473=""),"",IFERROR(INDEX('لیست‌ها'!$Q$3:$Q$53,MATCH(W473,'لیست‌ها'!$P$3:$P$53,0))+IF(X473&lt;=6,(X473-1)*31+Y473,IF(X473&lt;=11,186+(X473-7)*30+Y473,336+Y473))-1,""))</f>
        <v/>
      </c>
      <c r="AA473" s="7" t="str">
        <f aca="false">IF(H473="","",VALUE(LEFT(H473,FIND("/",H473)-1)))</f>
        <v/>
      </c>
      <c r="AB473" s="7" t="str">
        <f aca="false">IF(H473="","",VALUE(MID(H473,FIND("/",H473)+1,FIND("/",H473,FIND("/",H473)+1)-FIND("/",H473)-1)))</f>
        <v/>
      </c>
      <c r="AC473" s="7" t="str">
        <f aca="false">IF(H473="","",VALUE(MID(H473,FIND("/",H473,FIND("/",H473)+1)+1,LEN(H473)-FIND("/",H473,FIND("/",H473)+1))))</f>
        <v/>
      </c>
      <c r="AD473" s="7" t="str">
        <f aca="false">IF(OR(H473="",AA473=""),"",IFERROR(INDEX('لیست‌ها'!$Q$3:$Q$53,MATCH(AA473,'لیست‌ها'!$P$3:$P$53,0))+IF(AB473&lt;=6,(AB473-1)*31+AC473,IF(AB473&lt;=11,186+(AB473-7)*30+AC473,336+AC473))-1,""))</f>
        <v/>
      </c>
      <c r="AE473" s="7" t="str">
        <f aca="false">IF(P473="","",VALUE(LEFT(P473,FIND("/",P473)-1)))</f>
        <v/>
      </c>
      <c r="AF473" s="7" t="str">
        <f aca="false">IF(P473="","",VALUE(MID(P473,FIND("/",P473)+1,FIND("/",P473,FIND("/",P473)+1)-FIND("/",P473)-1)))</f>
        <v/>
      </c>
      <c r="AG473" s="7" t="str">
        <f aca="false">IF(P473="","",VALUE(MID(P473,FIND("/",P473,FIND("/",P473)+1)+1,LEN(P473)-FIND("/",P473,FIND("/",P473)+1))))</f>
        <v/>
      </c>
      <c r="AH473" s="7" t="str">
        <f aca="false">IF(OR(P473="",AE473=""),"",IFERROR(INDEX('لیست‌ها'!$Q$3:$Q$53,MATCH(AE473,'لیست‌ها'!$P$3:$P$53,0))+IF(AF473&lt;=6,(AF473-1)*31+AG473,IF(AF473&lt;=11,186+(AF473-7)*30+AG473,336+AG473))-1,""))</f>
        <v/>
      </c>
      <c r="AI473" s="7" t="str">
        <f aca="false">IF(W473="","",W473&amp;"-"&amp;TEXT(X473,"00"))</f>
        <v/>
      </c>
      <c r="AJ473" s="7" t="str">
        <f aca="false">IF(W473="","",W473*12+X473)</f>
        <v/>
      </c>
      <c r="AK473" s="7" t="str">
        <f aca="false">IF(U473="تاخیر",V473+ROW()/100000,"")</f>
        <v/>
      </c>
    </row>
    <row r="474" customFormat="false" ht="15" hidden="false" customHeight="false" outlineLevel="0" collapsed="false">
      <c r="A474" s="7" t="str">
        <f aca="false">IF(B474="","",ROW()-3)</f>
        <v/>
      </c>
      <c r="B474" s="8"/>
      <c r="C474" s="8"/>
      <c r="D474" s="8"/>
      <c r="E474" s="9"/>
      <c r="F474" s="9"/>
      <c r="G474" s="8"/>
      <c r="H474" s="8"/>
      <c r="I474" s="8"/>
      <c r="J474" s="9"/>
      <c r="K474" s="8"/>
      <c r="L474" s="8"/>
      <c r="M474" s="8"/>
      <c r="N474" s="8"/>
      <c r="O474" s="8"/>
      <c r="P474" s="8"/>
      <c r="Q474" s="8"/>
      <c r="R474" s="9"/>
      <c r="S474" s="8"/>
      <c r="T474" s="9"/>
      <c r="U474" s="10" t="str">
        <f aca="true">IF(B474="","",IF(OR(P474&lt;&gt;"",I474="می‌باشد"),"بسته",IF(AND(L474&lt;&gt;"",W474=""),"خطای فرمت تاریخ ایجاد",IF(AND(H474&lt;&gt;"",AA474=""),"خطای فرمت مهلت",IF(AND(H474&lt;&gt;"",AD474&lt;&gt;"",TODAY()&gt;AD474),"تاخیر",IF(L474&lt;&gt;"","در حال انجام",""))))))</f>
        <v/>
      </c>
      <c r="V474" s="7" t="n">
        <f aca="true">IF(U474="تاخیر",TODAY()-AD474,IF(AND(U474="بسته",AH474&lt;&gt;"",AD474&lt;&gt;"",AH474&gt;AD474),AH474-AD474,0))</f>
        <v>0</v>
      </c>
      <c r="W474" s="7" t="str">
        <f aca="false">IF(L474="","",VALUE(LEFT(L474,FIND("/",L474)-1)))</f>
        <v/>
      </c>
      <c r="X474" s="7" t="str">
        <f aca="false">IF(L474="","",VALUE(MID(L474,FIND("/",L474)+1,FIND("/",L474,FIND("/",L474)+1)-FIND("/",L474)-1)))</f>
        <v/>
      </c>
      <c r="Y474" s="7" t="str">
        <f aca="false">IF(L474="","",VALUE(MID(L474,FIND("/",L474,FIND("/",L474)+1)+1,LEN(L474)-FIND("/",L474,FIND("/",L474)+1))))</f>
        <v/>
      </c>
      <c r="Z474" s="7" t="str">
        <f aca="false">IF(OR(L474="",W474=""),"",IFERROR(INDEX('لیست‌ها'!$Q$3:$Q$53,MATCH(W474,'لیست‌ها'!$P$3:$P$53,0))+IF(X474&lt;=6,(X474-1)*31+Y474,IF(X474&lt;=11,186+(X474-7)*30+Y474,336+Y474))-1,""))</f>
        <v/>
      </c>
      <c r="AA474" s="7" t="str">
        <f aca="false">IF(H474="","",VALUE(LEFT(H474,FIND("/",H474)-1)))</f>
        <v/>
      </c>
      <c r="AB474" s="7" t="str">
        <f aca="false">IF(H474="","",VALUE(MID(H474,FIND("/",H474)+1,FIND("/",H474,FIND("/",H474)+1)-FIND("/",H474)-1)))</f>
        <v/>
      </c>
      <c r="AC474" s="7" t="str">
        <f aca="false">IF(H474="","",VALUE(MID(H474,FIND("/",H474,FIND("/",H474)+1)+1,LEN(H474)-FIND("/",H474,FIND("/",H474)+1))))</f>
        <v/>
      </c>
      <c r="AD474" s="7" t="str">
        <f aca="false">IF(OR(H474="",AA474=""),"",IFERROR(INDEX('لیست‌ها'!$Q$3:$Q$53,MATCH(AA474,'لیست‌ها'!$P$3:$P$53,0))+IF(AB474&lt;=6,(AB474-1)*31+AC474,IF(AB474&lt;=11,186+(AB474-7)*30+AC474,336+AC474))-1,""))</f>
        <v/>
      </c>
      <c r="AE474" s="7" t="str">
        <f aca="false">IF(P474="","",VALUE(LEFT(P474,FIND("/",P474)-1)))</f>
        <v/>
      </c>
      <c r="AF474" s="7" t="str">
        <f aca="false">IF(P474="","",VALUE(MID(P474,FIND("/",P474)+1,FIND("/",P474,FIND("/",P474)+1)-FIND("/",P474)-1)))</f>
        <v/>
      </c>
      <c r="AG474" s="7" t="str">
        <f aca="false">IF(P474="","",VALUE(MID(P474,FIND("/",P474,FIND("/",P474)+1)+1,LEN(P474)-FIND("/",P474,FIND("/",P474)+1))))</f>
        <v/>
      </c>
      <c r="AH474" s="7" t="str">
        <f aca="false">IF(OR(P474="",AE474=""),"",IFERROR(INDEX('لیست‌ها'!$Q$3:$Q$53,MATCH(AE474,'لیست‌ها'!$P$3:$P$53,0))+IF(AF474&lt;=6,(AF474-1)*31+AG474,IF(AF474&lt;=11,186+(AF474-7)*30+AG474,336+AG474))-1,""))</f>
        <v/>
      </c>
      <c r="AI474" s="7" t="str">
        <f aca="false">IF(W474="","",W474&amp;"-"&amp;TEXT(X474,"00"))</f>
        <v/>
      </c>
      <c r="AJ474" s="7" t="str">
        <f aca="false">IF(W474="","",W474*12+X474)</f>
        <v/>
      </c>
      <c r="AK474" s="7" t="str">
        <f aca="false">IF(U474="تاخیر",V474+ROW()/100000,"")</f>
        <v/>
      </c>
    </row>
    <row r="475" customFormat="false" ht="15" hidden="false" customHeight="false" outlineLevel="0" collapsed="false">
      <c r="A475" s="7" t="str">
        <f aca="false">IF(B475="","",ROW()-3)</f>
        <v/>
      </c>
      <c r="B475" s="8"/>
      <c r="C475" s="8"/>
      <c r="D475" s="8"/>
      <c r="E475" s="9"/>
      <c r="F475" s="9"/>
      <c r="G475" s="8"/>
      <c r="H475" s="8"/>
      <c r="I475" s="8"/>
      <c r="J475" s="9"/>
      <c r="K475" s="8"/>
      <c r="L475" s="8"/>
      <c r="M475" s="8"/>
      <c r="N475" s="8"/>
      <c r="O475" s="8"/>
      <c r="P475" s="8"/>
      <c r="Q475" s="8"/>
      <c r="R475" s="9"/>
      <c r="S475" s="8"/>
      <c r="T475" s="9"/>
      <c r="U475" s="10" t="str">
        <f aca="true">IF(B475="","",IF(OR(P475&lt;&gt;"",I475="می‌باشد"),"بسته",IF(AND(L475&lt;&gt;"",W475=""),"خطای فرمت تاریخ ایجاد",IF(AND(H475&lt;&gt;"",AA475=""),"خطای فرمت مهلت",IF(AND(H475&lt;&gt;"",AD475&lt;&gt;"",TODAY()&gt;AD475),"تاخیر",IF(L475&lt;&gt;"","در حال انجام",""))))))</f>
        <v/>
      </c>
      <c r="V475" s="7" t="n">
        <f aca="true">IF(U475="تاخیر",TODAY()-AD475,IF(AND(U475="بسته",AH475&lt;&gt;"",AD475&lt;&gt;"",AH475&gt;AD475),AH475-AD475,0))</f>
        <v>0</v>
      </c>
      <c r="W475" s="7" t="str">
        <f aca="false">IF(L475="","",VALUE(LEFT(L475,FIND("/",L475)-1)))</f>
        <v/>
      </c>
      <c r="X475" s="7" t="str">
        <f aca="false">IF(L475="","",VALUE(MID(L475,FIND("/",L475)+1,FIND("/",L475,FIND("/",L475)+1)-FIND("/",L475)-1)))</f>
        <v/>
      </c>
      <c r="Y475" s="7" t="str">
        <f aca="false">IF(L475="","",VALUE(MID(L475,FIND("/",L475,FIND("/",L475)+1)+1,LEN(L475)-FIND("/",L475,FIND("/",L475)+1))))</f>
        <v/>
      </c>
      <c r="Z475" s="7" t="str">
        <f aca="false">IF(OR(L475="",W475=""),"",IFERROR(INDEX('لیست‌ها'!$Q$3:$Q$53,MATCH(W475,'لیست‌ها'!$P$3:$P$53,0))+IF(X475&lt;=6,(X475-1)*31+Y475,IF(X475&lt;=11,186+(X475-7)*30+Y475,336+Y475))-1,""))</f>
        <v/>
      </c>
      <c r="AA475" s="7" t="str">
        <f aca="false">IF(H475="","",VALUE(LEFT(H475,FIND("/",H475)-1)))</f>
        <v/>
      </c>
      <c r="AB475" s="7" t="str">
        <f aca="false">IF(H475="","",VALUE(MID(H475,FIND("/",H475)+1,FIND("/",H475,FIND("/",H475)+1)-FIND("/",H475)-1)))</f>
        <v/>
      </c>
      <c r="AC475" s="7" t="str">
        <f aca="false">IF(H475="","",VALUE(MID(H475,FIND("/",H475,FIND("/",H475)+1)+1,LEN(H475)-FIND("/",H475,FIND("/",H475)+1))))</f>
        <v/>
      </c>
      <c r="AD475" s="7" t="str">
        <f aca="false">IF(OR(H475="",AA475=""),"",IFERROR(INDEX('لیست‌ها'!$Q$3:$Q$53,MATCH(AA475,'لیست‌ها'!$P$3:$P$53,0))+IF(AB475&lt;=6,(AB475-1)*31+AC475,IF(AB475&lt;=11,186+(AB475-7)*30+AC475,336+AC475))-1,""))</f>
        <v/>
      </c>
      <c r="AE475" s="7" t="str">
        <f aca="false">IF(P475="","",VALUE(LEFT(P475,FIND("/",P475)-1)))</f>
        <v/>
      </c>
      <c r="AF475" s="7" t="str">
        <f aca="false">IF(P475="","",VALUE(MID(P475,FIND("/",P475)+1,FIND("/",P475,FIND("/",P475)+1)-FIND("/",P475)-1)))</f>
        <v/>
      </c>
      <c r="AG475" s="7" t="str">
        <f aca="false">IF(P475="","",VALUE(MID(P475,FIND("/",P475,FIND("/",P475)+1)+1,LEN(P475)-FIND("/",P475,FIND("/",P475)+1))))</f>
        <v/>
      </c>
      <c r="AH475" s="7" t="str">
        <f aca="false">IF(OR(P475="",AE475=""),"",IFERROR(INDEX('لیست‌ها'!$Q$3:$Q$53,MATCH(AE475,'لیست‌ها'!$P$3:$P$53,0))+IF(AF475&lt;=6,(AF475-1)*31+AG475,IF(AF475&lt;=11,186+(AF475-7)*30+AG475,336+AG475))-1,""))</f>
        <v/>
      </c>
      <c r="AI475" s="7" t="str">
        <f aca="false">IF(W475="","",W475&amp;"-"&amp;TEXT(X475,"00"))</f>
        <v/>
      </c>
      <c r="AJ475" s="7" t="str">
        <f aca="false">IF(W475="","",W475*12+X475)</f>
        <v/>
      </c>
      <c r="AK475" s="7" t="str">
        <f aca="false">IF(U475="تاخیر",V475+ROW()/100000,"")</f>
        <v/>
      </c>
    </row>
    <row r="476" customFormat="false" ht="15" hidden="false" customHeight="false" outlineLevel="0" collapsed="false">
      <c r="A476" s="7" t="str">
        <f aca="false">IF(B476="","",ROW()-3)</f>
        <v/>
      </c>
      <c r="B476" s="8"/>
      <c r="C476" s="8"/>
      <c r="D476" s="8"/>
      <c r="E476" s="9"/>
      <c r="F476" s="9"/>
      <c r="G476" s="8"/>
      <c r="H476" s="8"/>
      <c r="I476" s="8"/>
      <c r="J476" s="9"/>
      <c r="K476" s="8"/>
      <c r="L476" s="8"/>
      <c r="M476" s="8"/>
      <c r="N476" s="8"/>
      <c r="O476" s="8"/>
      <c r="P476" s="8"/>
      <c r="Q476" s="8"/>
      <c r="R476" s="9"/>
      <c r="S476" s="8"/>
      <c r="T476" s="9"/>
      <c r="U476" s="10" t="str">
        <f aca="true">IF(B476="","",IF(OR(P476&lt;&gt;"",I476="می‌باشد"),"بسته",IF(AND(L476&lt;&gt;"",W476=""),"خطای فرمت تاریخ ایجاد",IF(AND(H476&lt;&gt;"",AA476=""),"خطای فرمت مهلت",IF(AND(H476&lt;&gt;"",AD476&lt;&gt;"",TODAY()&gt;AD476),"تاخیر",IF(L476&lt;&gt;"","در حال انجام",""))))))</f>
        <v/>
      </c>
      <c r="V476" s="7" t="n">
        <f aca="true">IF(U476="تاخیر",TODAY()-AD476,IF(AND(U476="بسته",AH476&lt;&gt;"",AD476&lt;&gt;"",AH476&gt;AD476),AH476-AD476,0))</f>
        <v>0</v>
      </c>
      <c r="W476" s="7" t="str">
        <f aca="false">IF(L476="","",VALUE(LEFT(L476,FIND("/",L476)-1)))</f>
        <v/>
      </c>
      <c r="X476" s="7" t="str">
        <f aca="false">IF(L476="","",VALUE(MID(L476,FIND("/",L476)+1,FIND("/",L476,FIND("/",L476)+1)-FIND("/",L476)-1)))</f>
        <v/>
      </c>
      <c r="Y476" s="7" t="str">
        <f aca="false">IF(L476="","",VALUE(MID(L476,FIND("/",L476,FIND("/",L476)+1)+1,LEN(L476)-FIND("/",L476,FIND("/",L476)+1))))</f>
        <v/>
      </c>
      <c r="Z476" s="7" t="str">
        <f aca="false">IF(OR(L476="",W476=""),"",IFERROR(INDEX('لیست‌ها'!$Q$3:$Q$53,MATCH(W476,'لیست‌ها'!$P$3:$P$53,0))+IF(X476&lt;=6,(X476-1)*31+Y476,IF(X476&lt;=11,186+(X476-7)*30+Y476,336+Y476))-1,""))</f>
        <v/>
      </c>
      <c r="AA476" s="7" t="str">
        <f aca="false">IF(H476="","",VALUE(LEFT(H476,FIND("/",H476)-1)))</f>
        <v/>
      </c>
      <c r="AB476" s="7" t="str">
        <f aca="false">IF(H476="","",VALUE(MID(H476,FIND("/",H476)+1,FIND("/",H476,FIND("/",H476)+1)-FIND("/",H476)-1)))</f>
        <v/>
      </c>
      <c r="AC476" s="7" t="str">
        <f aca="false">IF(H476="","",VALUE(MID(H476,FIND("/",H476,FIND("/",H476)+1)+1,LEN(H476)-FIND("/",H476,FIND("/",H476)+1))))</f>
        <v/>
      </c>
      <c r="AD476" s="7" t="str">
        <f aca="false">IF(OR(H476="",AA476=""),"",IFERROR(INDEX('لیست‌ها'!$Q$3:$Q$53,MATCH(AA476,'لیست‌ها'!$P$3:$P$53,0))+IF(AB476&lt;=6,(AB476-1)*31+AC476,IF(AB476&lt;=11,186+(AB476-7)*30+AC476,336+AC476))-1,""))</f>
        <v/>
      </c>
      <c r="AE476" s="7" t="str">
        <f aca="false">IF(P476="","",VALUE(LEFT(P476,FIND("/",P476)-1)))</f>
        <v/>
      </c>
      <c r="AF476" s="7" t="str">
        <f aca="false">IF(P476="","",VALUE(MID(P476,FIND("/",P476)+1,FIND("/",P476,FIND("/",P476)+1)-FIND("/",P476)-1)))</f>
        <v/>
      </c>
      <c r="AG476" s="7" t="str">
        <f aca="false">IF(P476="","",VALUE(MID(P476,FIND("/",P476,FIND("/",P476)+1)+1,LEN(P476)-FIND("/",P476,FIND("/",P476)+1))))</f>
        <v/>
      </c>
      <c r="AH476" s="7" t="str">
        <f aca="false">IF(OR(P476="",AE476=""),"",IFERROR(INDEX('لیست‌ها'!$Q$3:$Q$53,MATCH(AE476,'لیست‌ها'!$P$3:$P$53,0))+IF(AF476&lt;=6,(AF476-1)*31+AG476,IF(AF476&lt;=11,186+(AF476-7)*30+AG476,336+AG476))-1,""))</f>
        <v/>
      </c>
      <c r="AI476" s="7" t="str">
        <f aca="false">IF(W476="","",W476&amp;"-"&amp;TEXT(X476,"00"))</f>
        <v/>
      </c>
      <c r="AJ476" s="7" t="str">
        <f aca="false">IF(W476="","",W476*12+X476)</f>
        <v/>
      </c>
      <c r="AK476" s="7" t="str">
        <f aca="false">IF(U476="تاخیر",V476+ROW()/100000,"")</f>
        <v/>
      </c>
    </row>
    <row r="477" customFormat="false" ht="15" hidden="false" customHeight="false" outlineLevel="0" collapsed="false">
      <c r="A477" s="7" t="str">
        <f aca="false">IF(B477="","",ROW()-3)</f>
        <v/>
      </c>
      <c r="B477" s="8"/>
      <c r="C477" s="8"/>
      <c r="D477" s="8"/>
      <c r="E477" s="9"/>
      <c r="F477" s="9"/>
      <c r="G477" s="8"/>
      <c r="H477" s="8"/>
      <c r="I477" s="8"/>
      <c r="J477" s="9"/>
      <c r="K477" s="8"/>
      <c r="L477" s="8"/>
      <c r="M477" s="8"/>
      <c r="N477" s="8"/>
      <c r="O477" s="8"/>
      <c r="P477" s="8"/>
      <c r="Q477" s="8"/>
      <c r="R477" s="9"/>
      <c r="S477" s="8"/>
      <c r="T477" s="9"/>
      <c r="U477" s="10" t="str">
        <f aca="true">IF(B477="","",IF(OR(P477&lt;&gt;"",I477="می‌باشد"),"بسته",IF(AND(L477&lt;&gt;"",W477=""),"خطای فرمت تاریخ ایجاد",IF(AND(H477&lt;&gt;"",AA477=""),"خطای فرمت مهلت",IF(AND(H477&lt;&gt;"",AD477&lt;&gt;"",TODAY()&gt;AD477),"تاخیر",IF(L477&lt;&gt;"","در حال انجام",""))))))</f>
        <v/>
      </c>
      <c r="V477" s="7" t="n">
        <f aca="true">IF(U477="تاخیر",TODAY()-AD477,IF(AND(U477="بسته",AH477&lt;&gt;"",AD477&lt;&gt;"",AH477&gt;AD477),AH477-AD477,0))</f>
        <v>0</v>
      </c>
      <c r="W477" s="7" t="str">
        <f aca="false">IF(L477="","",VALUE(LEFT(L477,FIND("/",L477)-1)))</f>
        <v/>
      </c>
      <c r="X477" s="7" t="str">
        <f aca="false">IF(L477="","",VALUE(MID(L477,FIND("/",L477)+1,FIND("/",L477,FIND("/",L477)+1)-FIND("/",L477)-1)))</f>
        <v/>
      </c>
      <c r="Y477" s="7" t="str">
        <f aca="false">IF(L477="","",VALUE(MID(L477,FIND("/",L477,FIND("/",L477)+1)+1,LEN(L477)-FIND("/",L477,FIND("/",L477)+1))))</f>
        <v/>
      </c>
      <c r="Z477" s="7" t="str">
        <f aca="false">IF(OR(L477="",W477=""),"",IFERROR(INDEX('لیست‌ها'!$Q$3:$Q$53,MATCH(W477,'لیست‌ها'!$P$3:$P$53,0))+IF(X477&lt;=6,(X477-1)*31+Y477,IF(X477&lt;=11,186+(X477-7)*30+Y477,336+Y477))-1,""))</f>
        <v/>
      </c>
      <c r="AA477" s="7" t="str">
        <f aca="false">IF(H477="","",VALUE(LEFT(H477,FIND("/",H477)-1)))</f>
        <v/>
      </c>
      <c r="AB477" s="7" t="str">
        <f aca="false">IF(H477="","",VALUE(MID(H477,FIND("/",H477)+1,FIND("/",H477,FIND("/",H477)+1)-FIND("/",H477)-1)))</f>
        <v/>
      </c>
      <c r="AC477" s="7" t="str">
        <f aca="false">IF(H477="","",VALUE(MID(H477,FIND("/",H477,FIND("/",H477)+1)+1,LEN(H477)-FIND("/",H477,FIND("/",H477)+1))))</f>
        <v/>
      </c>
      <c r="AD477" s="7" t="str">
        <f aca="false">IF(OR(H477="",AA477=""),"",IFERROR(INDEX('لیست‌ها'!$Q$3:$Q$53,MATCH(AA477,'لیست‌ها'!$P$3:$P$53,0))+IF(AB477&lt;=6,(AB477-1)*31+AC477,IF(AB477&lt;=11,186+(AB477-7)*30+AC477,336+AC477))-1,""))</f>
        <v/>
      </c>
      <c r="AE477" s="7" t="str">
        <f aca="false">IF(P477="","",VALUE(LEFT(P477,FIND("/",P477)-1)))</f>
        <v/>
      </c>
      <c r="AF477" s="7" t="str">
        <f aca="false">IF(P477="","",VALUE(MID(P477,FIND("/",P477)+1,FIND("/",P477,FIND("/",P477)+1)-FIND("/",P477)-1)))</f>
        <v/>
      </c>
      <c r="AG477" s="7" t="str">
        <f aca="false">IF(P477="","",VALUE(MID(P477,FIND("/",P477,FIND("/",P477)+1)+1,LEN(P477)-FIND("/",P477,FIND("/",P477)+1))))</f>
        <v/>
      </c>
      <c r="AH477" s="7" t="str">
        <f aca="false">IF(OR(P477="",AE477=""),"",IFERROR(INDEX('لیست‌ها'!$Q$3:$Q$53,MATCH(AE477,'لیست‌ها'!$P$3:$P$53,0))+IF(AF477&lt;=6,(AF477-1)*31+AG477,IF(AF477&lt;=11,186+(AF477-7)*30+AG477,336+AG477))-1,""))</f>
        <v/>
      </c>
      <c r="AI477" s="7" t="str">
        <f aca="false">IF(W477="","",W477&amp;"-"&amp;TEXT(X477,"00"))</f>
        <v/>
      </c>
      <c r="AJ477" s="7" t="str">
        <f aca="false">IF(W477="","",W477*12+X477)</f>
        <v/>
      </c>
      <c r="AK477" s="7" t="str">
        <f aca="false">IF(U477="تاخیر",V477+ROW()/100000,"")</f>
        <v/>
      </c>
    </row>
    <row r="478" customFormat="false" ht="15" hidden="false" customHeight="false" outlineLevel="0" collapsed="false">
      <c r="A478" s="7" t="str">
        <f aca="false">IF(B478="","",ROW()-3)</f>
        <v/>
      </c>
      <c r="B478" s="8"/>
      <c r="C478" s="8"/>
      <c r="D478" s="8"/>
      <c r="E478" s="9"/>
      <c r="F478" s="9"/>
      <c r="G478" s="8"/>
      <c r="H478" s="8"/>
      <c r="I478" s="8"/>
      <c r="J478" s="9"/>
      <c r="K478" s="8"/>
      <c r="L478" s="8"/>
      <c r="M478" s="8"/>
      <c r="N478" s="8"/>
      <c r="O478" s="8"/>
      <c r="P478" s="8"/>
      <c r="Q478" s="8"/>
      <c r="R478" s="9"/>
      <c r="S478" s="8"/>
      <c r="T478" s="9"/>
      <c r="U478" s="10" t="str">
        <f aca="true">IF(B478="","",IF(OR(P478&lt;&gt;"",I478="می‌باشد"),"بسته",IF(AND(L478&lt;&gt;"",W478=""),"خطای فرمت تاریخ ایجاد",IF(AND(H478&lt;&gt;"",AA478=""),"خطای فرمت مهلت",IF(AND(H478&lt;&gt;"",AD478&lt;&gt;"",TODAY()&gt;AD478),"تاخیر",IF(L478&lt;&gt;"","در حال انجام",""))))))</f>
        <v/>
      </c>
      <c r="V478" s="7" t="n">
        <f aca="true">IF(U478="تاخیر",TODAY()-AD478,IF(AND(U478="بسته",AH478&lt;&gt;"",AD478&lt;&gt;"",AH478&gt;AD478),AH478-AD478,0))</f>
        <v>0</v>
      </c>
      <c r="W478" s="7" t="str">
        <f aca="false">IF(L478="","",VALUE(LEFT(L478,FIND("/",L478)-1)))</f>
        <v/>
      </c>
      <c r="X478" s="7" t="str">
        <f aca="false">IF(L478="","",VALUE(MID(L478,FIND("/",L478)+1,FIND("/",L478,FIND("/",L478)+1)-FIND("/",L478)-1)))</f>
        <v/>
      </c>
      <c r="Y478" s="7" t="str">
        <f aca="false">IF(L478="","",VALUE(MID(L478,FIND("/",L478,FIND("/",L478)+1)+1,LEN(L478)-FIND("/",L478,FIND("/",L478)+1))))</f>
        <v/>
      </c>
      <c r="Z478" s="7" t="str">
        <f aca="false">IF(OR(L478="",W478=""),"",IFERROR(INDEX('لیست‌ها'!$Q$3:$Q$53,MATCH(W478,'لیست‌ها'!$P$3:$P$53,0))+IF(X478&lt;=6,(X478-1)*31+Y478,IF(X478&lt;=11,186+(X478-7)*30+Y478,336+Y478))-1,""))</f>
        <v/>
      </c>
      <c r="AA478" s="7" t="str">
        <f aca="false">IF(H478="","",VALUE(LEFT(H478,FIND("/",H478)-1)))</f>
        <v/>
      </c>
      <c r="AB478" s="7" t="str">
        <f aca="false">IF(H478="","",VALUE(MID(H478,FIND("/",H478)+1,FIND("/",H478,FIND("/",H478)+1)-FIND("/",H478)-1)))</f>
        <v/>
      </c>
      <c r="AC478" s="7" t="str">
        <f aca="false">IF(H478="","",VALUE(MID(H478,FIND("/",H478,FIND("/",H478)+1)+1,LEN(H478)-FIND("/",H478,FIND("/",H478)+1))))</f>
        <v/>
      </c>
      <c r="AD478" s="7" t="str">
        <f aca="false">IF(OR(H478="",AA478=""),"",IFERROR(INDEX('لیست‌ها'!$Q$3:$Q$53,MATCH(AA478,'لیست‌ها'!$P$3:$P$53,0))+IF(AB478&lt;=6,(AB478-1)*31+AC478,IF(AB478&lt;=11,186+(AB478-7)*30+AC478,336+AC478))-1,""))</f>
        <v/>
      </c>
      <c r="AE478" s="7" t="str">
        <f aca="false">IF(P478="","",VALUE(LEFT(P478,FIND("/",P478)-1)))</f>
        <v/>
      </c>
      <c r="AF478" s="7" t="str">
        <f aca="false">IF(P478="","",VALUE(MID(P478,FIND("/",P478)+1,FIND("/",P478,FIND("/",P478)+1)-FIND("/",P478)-1)))</f>
        <v/>
      </c>
      <c r="AG478" s="7" t="str">
        <f aca="false">IF(P478="","",VALUE(MID(P478,FIND("/",P478,FIND("/",P478)+1)+1,LEN(P478)-FIND("/",P478,FIND("/",P478)+1))))</f>
        <v/>
      </c>
      <c r="AH478" s="7" t="str">
        <f aca="false">IF(OR(P478="",AE478=""),"",IFERROR(INDEX('لیست‌ها'!$Q$3:$Q$53,MATCH(AE478,'لیست‌ها'!$P$3:$P$53,0))+IF(AF478&lt;=6,(AF478-1)*31+AG478,IF(AF478&lt;=11,186+(AF478-7)*30+AG478,336+AG478))-1,""))</f>
        <v/>
      </c>
      <c r="AI478" s="7" t="str">
        <f aca="false">IF(W478="","",W478&amp;"-"&amp;TEXT(X478,"00"))</f>
        <v/>
      </c>
      <c r="AJ478" s="7" t="str">
        <f aca="false">IF(W478="","",W478*12+X478)</f>
        <v/>
      </c>
      <c r="AK478" s="7" t="str">
        <f aca="false">IF(U478="تاخیر",V478+ROW()/100000,"")</f>
        <v/>
      </c>
    </row>
    <row r="479" customFormat="false" ht="15" hidden="false" customHeight="false" outlineLevel="0" collapsed="false">
      <c r="A479" s="7" t="str">
        <f aca="false">IF(B479="","",ROW()-3)</f>
        <v/>
      </c>
      <c r="B479" s="8"/>
      <c r="C479" s="8"/>
      <c r="D479" s="8"/>
      <c r="E479" s="9"/>
      <c r="F479" s="9"/>
      <c r="G479" s="8"/>
      <c r="H479" s="8"/>
      <c r="I479" s="8"/>
      <c r="J479" s="9"/>
      <c r="K479" s="8"/>
      <c r="L479" s="8"/>
      <c r="M479" s="8"/>
      <c r="N479" s="8"/>
      <c r="O479" s="8"/>
      <c r="P479" s="8"/>
      <c r="Q479" s="8"/>
      <c r="R479" s="9"/>
      <c r="S479" s="8"/>
      <c r="T479" s="9"/>
      <c r="U479" s="10" t="str">
        <f aca="true">IF(B479="","",IF(OR(P479&lt;&gt;"",I479="می‌باشد"),"بسته",IF(AND(L479&lt;&gt;"",W479=""),"خطای فرمت تاریخ ایجاد",IF(AND(H479&lt;&gt;"",AA479=""),"خطای فرمت مهلت",IF(AND(H479&lt;&gt;"",AD479&lt;&gt;"",TODAY()&gt;AD479),"تاخیر",IF(L479&lt;&gt;"","در حال انجام",""))))))</f>
        <v/>
      </c>
      <c r="V479" s="7" t="n">
        <f aca="true">IF(U479="تاخیر",TODAY()-AD479,IF(AND(U479="بسته",AH479&lt;&gt;"",AD479&lt;&gt;"",AH479&gt;AD479),AH479-AD479,0))</f>
        <v>0</v>
      </c>
      <c r="W479" s="7" t="str">
        <f aca="false">IF(L479="","",VALUE(LEFT(L479,FIND("/",L479)-1)))</f>
        <v/>
      </c>
      <c r="X479" s="7" t="str">
        <f aca="false">IF(L479="","",VALUE(MID(L479,FIND("/",L479)+1,FIND("/",L479,FIND("/",L479)+1)-FIND("/",L479)-1)))</f>
        <v/>
      </c>
      <c r="Y479" s="7" t="str">
        <f aca="false">IF(L479="","",VALUE(MID(L479,FIND("/",L479,FIND("/",L479)+1)+1,LEN(L479)-FIND("/",L479,FIND("/",L479)+1))))</f>
        <v/>
      </c>
      <c r="Z479" s="7" t="str">
        <f aca="false">IF(OR(L479="",W479=""),"",IFERROR(INDEX('لیست‌ها'!$Q$3:$Q$53,MATCH(W479,'لیست‌ها'!$P$3:$P$53,0))+IF(X479&lt;=6,(X479-1)*31+Y479,IF(X479&lt;=11,186+(X479-7)*30+Y479,336+Y479))-1,""))</f>
        <v/>
      </c>
      <c r="AA479" s="7" t="str">
        <f aca="false">IF(H479="","",VALUE(LEFT(H479,FIND("/",H479)-1)))</f>
        <v/>
      </c>
      <c r="AB479" s="7" t="str">
        <f aca="false">IF(H479="","",VALUE(MID(H479,FIND("/",H479)+1,FIND("/",H479,FIND("/",H479)+1)-FIND("/",H479)-1)))</f>
        <v/>
      </c>
      <c r="AC479" s="7" t="str">
        <f aca="false">IF(H479="","",VALUE(MID(H479,FIND("/",H479,FIND("/",H479)+1)+1,LEN(H479)-FIND("/",H479,FIND("/",H479)+1))))</f>
        <v/>
      </c>
      <c r="AD479" s="7" t="str">
        <f aca="false">IF(OR(H479="",AA479=""),"",IFERROR(INDEX('لیست‌ها'!$Q$3:$Q$53,MATCH(AA479,'لیست‌ها'!$P$3:$P$53,0))+IF(AB479&lt;=6,(AB479-1)*31+AC479,IF(AB479&lt;=11,186+(AB479-7)*30+AC479,336+AC479))-1,""))</f>
        <v/>
      </c>
      <c r="AE479" s="7" t="str">
        <f aca="false">IF(P479="","",VALUE(LEFT(P479,FIND("/",P479)-1)))</f>
        <v/>
      </c>
      <c r="AF479" s="7" t="str">
        <f aca="false">IF(P479="","",VALUE(MID(P479,FIND("/",P479)+1,FIND("/",P479,FIND("/",P479)+1)-FIND("/",P479)-1)))</f>
        <v/>
      </c>
      <c r="AG479" s="7" t="str">
        <f aca="false">IF(P479="","",VALUE(MID(P479,FIND("/",P479,FIND("/",P479)+1)+1,LEN(P479)-FIND("/",P479,FIND("/",P479)+1))))</f>
        <v/>
      </c>
      <c r="AH479" s="7" t="str">
        <f aca="false">IF(OR(P479="",AE479=""),"",IFERROR(INDEX('لیست‌ها'!$Q$3:$Q$53,MATCH(AE479,'لیست‌ها'!$P$3:$P$53,0))+IF(AF479&lt;=6,(AF479-1)*31+AG479,IF(AF479&lt;=11,186+(AF479-7)*30+AG479,336+AG479))-1,""))</f>
        <v/>
      </c>
      <c r="AI479" s="7" t="str">
        <f aca="false">IF(W479="","",W479&amp;"-"&amp;TEXT(X479,"00"))</f>
        <v/>
      </c>
      <c r="AJ479" s="7" t="str">
        <f aca="false">IF(W479="","",W479*12+X479)</f>
        <v/>
      </c>
      <c r="AK479" s="7" t="str">
        <f aca="false">IF(U479="تاخیر",V479+ROW()/100000,"")</f>
        <v/>
      </c>
    </row>
    <row r="480" customFormat="false" ht="15" hidden="false" customHeight="false" outlineLevel="0" collapsed="false">
      <c r="A480" s="7" t="str">
        <f aca="false">IF(B480="","",ROW()-3)</f>
        <v/>
      </c>
      <c r="B480" s="8"/>
      <c r="C480" s="8"/>
      <c r="D480" s="8"/>
      <c r="E480" s="9"/>
      <c r="F480" s="9"/>
      <c r="G480" s="8"/>
      <c r="H480" s="8"/>
      <c r="I480" s="8"/>
      <c r="J480" s="9"/>
      <c r="K480" s="8"/>
      <c r="L480" s="8"/>
      <c r="M480" s="8"/>
      <c r="N480" s="8"/>
      <c r="O480" s="8"/>
      <c r="P480" s="8"/>
      <c r="Q480" s="8"/>
      <c r="R480" s="9"/>
      <c r="S480" s="8"/>
      <c r="T480" s="9"/>
      <c r="U480" s="10" t="str">
        <f aca="true">IF(B480="","",IF(OR(P480&lt;&gt;"",I480="می‌باشد"),"بسته",IF(AND(L480&lt;&gt;"",W480=""),"خطای فرمت تاریخ ایجاد",IF(AND(H480&lt;&gt;"",AA480=""),"خطای فرمت مهلت",IF(AND(H480&lt;&gt;"",AD480&lt;&gt;"",TODAY()&gt;AD480),"تاخیر",IF(L480&lt;&gt;"","در حال انجام",""))))))</f>
        <v/>
      </c>
      <c r="V480" s="7" t="n">
        <f aca="true">IF(U480="تاخیر",TODAY()-AD480,IF(AND(U480="بسته",AH480&lt;&gt;"",AD480&lt;&gt;"",AH480&gt;AD480),AH480-AD480,0))</f>
        <v>0</v>
      </c>
      <c r="W480" s="7" t="str">
        <f aca="false">IF(L480="","",VALUE(LEFT(L480,FIND("/",L480)-1)))</f>
        <v/>
      </c>
      <c r="X480" s="7" t="str">
        <f aca="false">IF(L480="","",VALUE(MID(L480,FIND("/",L480)+1,FIND("/",L480,FIND("/",L480)+1)-FIND("/",L480)-1)))</f>
        <v/>
      </c>
      <c r="Y480" s="7" t="str">
        <f aca="false">IF(L480="","",VALUE(MID(L480,FIND("/",L480,FIND("/",L480)+1)+1,LEN(L480)-FIND("/",L480,FIND("/",L480)+1))))</f>
        <v/>
      </c>
      <c r="Z480" s="7" t="str">
        <f aca="false">IF(OR(L480="",W480=""),"",IFERROR(INDEX('لیست‌ها'!$Q$3:$Q$53,MATCH(W480,'لیست‌ها'!$P$3:$P$53,0))+IF(X480&lt;=6,(X480-1)*31+Y480,IF(X480&lt;=11,186+(X480-7)*30+Y480,336+Y480))-1,""))</f>
        <v/>
      </c>
      <c r="AA480" s="7" t="str">
        <f aca="false">IF(H480="","",VALUE(LEFT(H480,FIND("/",H480)-1)))</f>
        <v/>
      </c>
      <c r="AB480" s="7" t="str">
        <f aca="false">IF(H480="","",VALUE(MID(H480,FIND("/",H480)+1,FIND("/",H480,FIND("/",H480)+1)-FIND("/",H480)-1)))</f>
        <v/>
      </c>
      <c r="AC480" s="7" t="str">
        <f aca="false">IF(H480="","",VALUE(MID(H480,FIND("/",H480,FIND("/",H480)+1)+1,LEN(H480)-FIND("/",H480,FIND("/",H480)+1))))</f>
        <v/>
      </c>
      <c r="AD480" s="7" t="str">
        <f aca="false">IF(OR(H480="",AA480=""),"",IFERROR(INDEX('لیست‌ها'!$Q$3:$Q$53,MATCH(AA480,'لیست‌ها'!$P$3:$P$53,0))+IF(AB480&lt;=6,(AB480-1)*31+AC480,IF(AB480&lt;=11,186+(AB480-7)*30+AC480,336+AC480))-1,""))</f>
        <v/>
      </c>
      <c r="AE480" s="7" t="str">
        <f aca="false">IF(P480="","",VALUE(LEFT(P480,FIND("/",P480)-1)))</f>
        <v/>
      </c>
      <c r="AF480" s="7" t="str">
        <f aca="false">IF(P480="","",VALUE(MID(P480,FIND("/",P480)+1,FIND("/",P480,FIND("/",P480)+1)-FIND("/",P480)-1)))</f>
        <v/>
      </c>
      <c r="AG480" s="7" t="str">
        <f aca="false">IF(P480="","",VALUE(MID(P480,FIND("/",P480,FIND("/",P480)+1)+1,LEN(P480)-FIND("/",P480,FIND("/",P480)+1))))</f>
        <v/>
      </c>
      <c r="AH480" s="7" t="str">
        <f aca="false">IF(OR(P480="",AE480=""),"",IFERROR(INDEX('لیست‌ها'!$Q$3:$Q$53,MATCH(AE480,'لیست‌ها'!$P$3:$P$53,0))+IF(AF480&lt;=6,(AF480-1)*31+AG480,IF(AF480&lt;=11,186+(AF480-7)*30+AG480,336+AG480))-1,""))</f>
        <v/>
      </c>
      <c r="AI480" s="7" t="str">
        <f aca="false">IF(W480="","",W480&amp;"-"&amp;TEXT(X480,"00"))</f>
        <v/>
      </c>
      <c r="AJ480" s="7" t="str">
        <f aca="false">IF(W480="","",W480*12+X480)</f>
        <v/>
      </c>
      <c r="AK480" s="7" t="str">
        <f aca="false">IF(U480="تاخیر",V480+ROW()/100000,"")</f>
        <v/>
      </c>
    </row>
    <row r="481" customFormat="false" ht="15" hidden="false" customHeight="false" outlineLevel="0" collapsed="false">
      <c r="A481" s="7" t="str">
        <f aca="false">IF(B481="","",ROW()-3)</f>
        <v/>
      </c>
      <c r="B481" s="8"/>
      <c r="C481" s="8"/>
      <c r="D481" s="8"/>
      <c r="E481" s="9"/>
      <c r="F481" s="9"/>
      <c r="G481" s="8"/>
      <c r="H481" s="8"/>
      <c r="I481" s="8"/>
      <c r="J481" s="9"/>
      <c r="K481" s="8"/>
      <c r="L481" s="8"/>
      <c r="M481" s="8"/>
      <c r="N481" s="8"/>
      <c r="O481" s="8"/>
      <c r="P481" s="8"/>
      <c r="Q481" s="8"/>
      <c r="R481" s="9"/>
      <c r="S481" s="8"/>
      <c r="T481" s="9"/>
      <c r="U481" s="10" t="str">
        <f aca="true">IF(B481="","",IF(OR(P481&lt;&gt;"",I481="می‌باشد"),"بسته",IF(AND(L481&lt;&gt;"",W481=""),"خطای فرمت تاریخ ایجاد",IF(AND(H481&lt;&gt;"",AA481=""),"خطای فرمت مهلت",IF(AND(H481&lt;&gt;"",AD481&lt;&gt;"",TODAY()&gt;AD481),"تاخیر",IF(L481&lt;&gt;"","در حال انجام",""))))))</f>
        <v/>
      </c>
      <c r="V481" s="7" t="n">
        <f aca="true">IF(U481="تاخیر",TODAY()-AD481,IF(AND(U481="بسته",AH481&lt;&gt;"",AD481&lt;&gt;"",AH481&gt;AD481),AH481-AD481,0))</f>
        <v>0</v>
      </c>
      <c r="W481" s="7" t="str">
        <f aca="false">IF(L481="","",VALUE(LEFT(L481,FIND("/",L481)-1)))</f>
        <v/>
      </c>
      <c r="X481" s="7" t="str">
        <f aca="false">IF(L481="","",VALUE(MID(L481,FIND("/",L481)+1,FIND("/",L481,FIND("/",L481)+1)-FIND("/",L481)-1)))</f>
        <v/>
      </c>
      <c r="Y481" s="7" t="str">
        <f aca="false">IF(L481="","",VALUE(MID(L481,FIND("/",L481,FIND("/",L481)+1)+1,LEN(L481)-FIND("/",L481,FIND("/",L481)+1))))</f>
        <v/>
      </c>
      <c r="Z481" s="7" t="str">
        <f aca="false">IF(OR(L481="",W481=""),"",IFERROR(INDEX('لیست‌ها'!$Q$3:$Q$53,MATCH(W481,'لیست‌ها'!$P$3:$P$53,0))+IF(X481&lt;=6,(X481-1)*31+Y481,IF(X481&lt;=11,186+(X481-7)*30+Y481,336+Y481))-1,""))</f>
        <v/>
      </c>
      <c r="AA481" s="7" t="str">
        <f aca="false">IF(H481="","",VALUE(LEFT(H481,FIND("/",H481)-1)))</f>
        <v/>
      </c>
      <c r="AB481" s="7" t="str">
        <f aca="false">IF(H481="","",VALUE(MID(H481,FIND("/",H481)+1,FIND("/",H481,FIND("/",H481)+1)-FIND("/",H481)-1)))</f>
        <v/>
      </c>
      <c r="AC481" s="7" t="str">
        <f aca="false">IF(H481="","",VALUE(MID(H481,FIND("/",H481,FIND("/",H481)+1)+1,LEN(H481)-FIND("/",H481,FIND("/",H481)+1))))</f>
        <v/>
      </c>
      <c r="AD481" s="7" t="str">
        <f aca="false">IF(OR(H481="",AA481=""),"",IFERROR(INDEX('لیست‌ها'!$Q$3:$Q$53,MATCH(AA481,'لیست‌ها'!$P$3:$P$53,0))+IF(AB481&lt;=6,(AB481-1)*31+AC481,IF(AB481&lt;=11,186+(AB481-7)*30+AC481,336+AC481))-1,""))</f>
        <v/>
      </c>
      <c r="AE481" s="7" t="str">
        <f aca="false">IF(P481="","",VALUE(LEFT(P481,FIND("/",P481)-1)))</f>
        <v/>
      </c>
      <c r="AF481" s="7" t="str">
        <f aca="false">IF(P481="","",VALUE(MID(P481,FIND("/",P481)+1,FIND("/",P481,FIND("/",P481)+1)-FIND("/",P481)-1)))</f>
        <v/>
      </c>
      <c r="AG481" s="7" t="str">
        <f aca="false">IF(P481="","",VALUE(MID(P481,FIND("/",P481,FIND("/",P481)+1)+1,LEN(P481)-FIND("/",P481,FIND("/",P481)+1))))</f>
        <v/>
      </c>
      <c r="AH481" s="7" t="str">
        <f aca="false">IF(OR(P481="",AE481=""),"",IFERROR(INDEX('لیست‌ها'!$Q$3:$Q$53,MATCH(AE481,'لیست‌ها'!$P$3:$P$53,0))+IF(AF481&lt;=6,(AF481-1)*31+AG481,IF(AF481&lt;=11,186+(AF481-7)*30+AG481,336+AG481))-1,""))</f>
        <v/>
      </c>
      <c r="AI481" s="7" t="str">
        <f aca="false">IF(W481="","",W481&amp;"-"&amp;TEXT(X481,"00"))</f>
        <v/>
      </c>
      <c r="AJ481" s="7" t="str">
        <f aca="false">IF(W481="","",W481*12+X481)</f>
        <v/>
      </c>
      <c r="AK481" s="7" t="str">
        <f aca="false">IF(U481="تاخیر",V481+ROW()/100000,"")</f>
        <v/>
      </c>
    </row>
    <row r="482" customFormat="false" ht="15" hidden="false" customHeight="false" outlineLevel="0" collapsed="false">
      <c r="A482" s="7" t="str">
        <f aca="false">IF(B482="","",ROW()-3)</f>
        <v/>
      </c>
      <c r="B482" s="8"/>
      <c r="C482" s="8"/>
      <c r="D482" s="8"/>
      <c r="E482" s="9"/>
      <c r="F482" s="9"/>
      <c r="G482" s="8"/>
      <c r="H482" s="8"/>
      <c r="I482" s="8"/>
      <c r="J482" s="9"/>
      <c r="K482" s="8"/>
      <c r="L482" s="8"/>
      <c r="M482" s="8"/>
      <c r="N482" s="8"/>
      <c r="O482" s="8"/>
      <c r="P482" s="8"/>
      <c r="Q482" s="8"/>
      <c r="R482" s="9"/>
      <c r="S482" s="8"/>
      <c r="T482" s="9"/>
      <c r="U482" s="10" t="str">
        <f aca="true">IF(B482="","",IF(OR(P482&lt;&gt;"",I482="می‌باشد"),"بسته",IF(AND(L482&lt;&gt;"",W482=""),"خطای فرمت تاریخ ایجاد",IF(AND(H482&lt;&gt;"",AA482=""),"خطای فرمت مهلت",IF(AND(H482&lt;&gt;"",AD482&lt;&gt;"",TODAY()&gt;AD482),"تاخیر",IF(L482&lt;&gt;"","در حال انجام",""))))))</f>
        <v/>
      </c>
      <c r="V482" s="7" t="n">
        <f aca="true">IF(U482="تاخیر",TODAY()-AD482,IF(AND(U482="بسته",AH482&lt;&gt;"",AD482&lt;&gt;"",AH482&gt;AD482),AH482-AD482,0))</f>
        <v>0</v>
      </c>
      <c r="W482" s="7" t="str">
        <f aca="false">IF(L482="","",VALUE(LEFT(L482,FIND("/",L482)-1)))</f>
        <v/>
      </c>
      <c r="X482" s="7" t="str">
        <f aca="false">IF(L482="","",VALUE(MID(L482,FIND("/",L482)+1,FIND("/",L482,FIND("/",L482)+1)-FIND("/",L482)-1)))</f>
        <v/>
      </c>
      <c r="Y482" s="7" t="str">
        <f aca="false">IF(L482="","",VALUE(MID(L482,FIND("/",L482,FIND("/",L482)+1)+1,LEN(L482)-FIND("/",L482,FIND("/",L482)+1))))</f>
        <v/>
      </c>
      <c r="Z482" s="7" t="str">
        <f aca="false">IF(OR(L482="",W482=""),"",IFERROR(INDEX('لیست‌ها'!$Q$3:$Q$53,MATCH(W482,'لیست‌ها'!$P$3:$P$53,0))+IF(X482&lt;=6,(X482-1)*31+Y482,IF(X482&lt;=11,186+(X482-7)*30+Y482,336+Y482))-1,""))</f>
        <v/>
      </c>
      <c r="AA482" s="7" t="str">
        <f aca="false">IF(H482="","",VALUE(LEFT(H482,FIND("/",H482)-1)))</f>
        <v/>
      </c>
      <c r="AB482" s="7" t="str">
        <f aca="false">IF(H482="","",VALUE(MID(H482,FIND("/",H482)+1,FIND("/",H482,FIND("/",H482)+1)-FIND("/",H482)-1)))</f>
        <v/>
      </c>
      <c r="AC482" s="7" t="str">
        <f aca="false">IF(H482="","",VALUE(MID(H482,FIND("/",H482,FIND("/",H482)+1)+1,LEN(H482)-FIND("/",H482,FIND("/",H482)+1))))</f>
        <v/>
      </c>
      <c r="AD482" s="7" t="str">
        <f aca="false">IF(OR(H482="",AA482=""),"",IFERROR(INDEX('لیست‌ها'!$Q$3:$Q$53,MATCH(AA482,'لیست‌ها'!$P$3:$P$53,0))+IF(AB482&lt;=6,(AB482-1)*31+AC482,IF(AB482&lt;=11,186+(AB482-7)*30+AC482,336+AC482))-1,""))</f>
        <v/>
      </c>
      <c r="AE482" s="7" t="str">
        <f aca="false">IF(P482="","",VALUE(LEFT(P482,FIND("/",P482)-1)))</f>
        <v/>
      </c>
      <c r="AF482" s="7" t="str">
        <f aca="false">IF(P482="","",VALUE(MID(P482,FIND("/",P482)+1,FIND("/",P482,FIND("/",P482)+1)-FIND("/",P482)-1)))</f>
        <v/>
      </c>
      <c r="AG482" s="7" t="str">
        <f aca="false">IF(P482="","",VALUE(MID(P482,FIND("/",P482,FIND("/",P482)+1)+1,LEN(P482)-FIND("/",P482,FIND("/",P482)+1))))</f>
        <v/>
      </c>
      <c r="AH482" s="7" t="str">
        <f aca="false">IF(OR(P482="",AE482=""),"",IFERROR(INDEX('لیست‌ها'!$Q$3:$Q$53,MATCH(AE482,'لیست‌ها'!$P$3:$P$53,0))+IF(AF482&lt;=6,(AF482-1)*31+AG482,IF(AF482&lt;=11,186+(AF482-7)*30+AG482,336+AG482))-1,""))</f>
        <v/>
      </c>
      <c r="AI482" s="7" t="str">
        <f aca="false">IF(W482="","",W482&amp;"-"&amp;TEXT(X482,"00"))</f>
        <v/>
      </c>
      <c r="AJ482" s="7" t="str">
        <f aca="false">IF(W482="","",W482*12+X482)</f>
        <v/>
      </c>
      <c r="AK482" s="7" t="str">
        <f aca="false">IF(U482="تاخیر",V482+ROW()/100000,"")</f>
        <v/>
      </c>
    </row>
    <row r="483" customFormat="false" ht="15" hidden="false" customHeight="false" outlineLevel="0" collapsed="false">
      <c r="A483" s="7" t="str">
        <f aca="false">IF(B483="","",ROW()-3)</f>
        <v/>
      </c>
      <c r="B483" s="8"/>
      <c r="C483" s="8"/>
      <c r="D483" s="8"/>
      <c r="E483" s="9"/>
      <c r="F483" s="9"/>
      <c r="G483" s="8"/>
      <c r="H483" s="8"/>
      <c r="I483" s="8"/>
      <c r="J483" s="9"/>
      <c r="K483" s="8"/>
      <c r="L483" s="8"/>
      <c r="M483" s="8"/>
      <c r="N483" s="8"/>
      <c r="O483" s="8"/>
      <c r="P483" s="8"/>
      <c r="Q483" s="8"/>
      <c r="R483" s="9"/>
      <c r="S483" s="8"/>
      <c r="T483" s="9"/>
      <c r="U483" s="10" t="str">
        <f aca="true">IF(B483="","",IF(OR(P483&lt;&gt;"",I483="می‌باشد"),"بسته",IF(AND(L483&lt;&gt;"",W483=""),"خطای فرمت تاریخ ایجاد",IF(AND(H483&lt;&gt;"",AA483=""),"خطای فرمت مهلت",IF(AND(H483&lt;&gt;"",AD483&lt;&gt;"",TODAY()&gt;AD483),"تاخیر",IF(L483&lt;&gt;"","در حال انجام",""))))))</f>
        <v/>
      </c>
      <c r="V483" s="7" t="n">
        <f aca="true">IF(U483="تاخیر",TODAY()-AD483,IF(AND(U483="بسته",AH483&lt;&gt;"",AD483&lt;&gt;"",AH483&gt;AD483),AH483-AD483,0))</f>
        <v>0</v>
      </c>
      <c r="W483" s="7" t="str">
        <f aca="false">IF(L483="","",VALUE(LEFT(L483,FIND("/",L483)-1)))</f>
        <v/>
      </c>
      <c r="X483" s="7" t="str">
        <f aca="false">IF(L483="","",VALUE(MID(L483,FIND("/",L483)+1,FIND("/",L483,FIND("/",L483)+1)-FIND("/",L483)-1)))</f>
        <v/>
      </c>
      <c r="Y483" s="7" t="str">
        <f aca="false">IF(L483="","",VALUE(MID(L483,FIND("/",L483,FIND("/",L483)+1)+1,LEN(L483)-FIND("/",L483,FIND("/",L483)+1))))</f>
        <v/>
      </c>
      <c r="Z483" s="7" t="str">
        <f aca="false">IF(OR(L483="",W483=""),"",IFERROR(INDEX('لیست‌ها'!$Q$3:$Q$53,MATCH(W483,'لیست‌ها'!$P$3:$P$53,0))+IF(X483&lt;=6,(X483-1)*31+Y483,IF(X483&lt;=11,186+(X483-7)*30+Y483,336+Y483))-1,""))</f>
        <v/>
      </c>
      <c r="AA483" s="7" t="str">
        <f aca="false">IF(H483="","",VALUE(LEFT(H483,FIND("/",H483)-1)))</f>
        <v/>
      </c>
      <c r="AB483" s="7" t="str">
        <f aca="false">IF(H483="","",VALUE(MID(H483,FIND("/",H483)+1,FIND("/",H483,FIND("/",H483)+1)-FIND("/",H483)-1)))</f>
        <v/>
      </c>
      <c r="AC483" s="7" t="str">
        <f aca="false">IF(H483="","",VALUE(MID(H483,FIND("/",H483,FIND("/",H483)+1)+1,LEN(H483)-FIND("/",H483,FIND("/",H483)+1))))</f>
        <v/>
      </c>
      <c r="AD483" s="7" t="str">
        <f aca="false">IF(OR(H483="",AA483=""),"",IFERROR(INDEX('لیست‌ها'!$Q$3:$Q$53,MATCH(AA483,'لیست‌ها'!$P$3:$P$53,0))+IF(AB483&lt;=6,(AB483-1)*31+AC483,IF(AB483&lt;=11,186+(AB483-7)*30+AC483,336+AC483))-1,""))</f>
        <v/>
      </c>
      <c r="AE483" s="7" t="str">
        <f aca="false">IF(P483="","",VALUE(LEFT(P483,FIND("/",P483)-1)))</f>
        <v/>
      </c>
      <c r="AF483" s="7" t="str">
        <f aca="false">IF(P483="","",VALUE(MID(P483,FIND("/",P483)+1,FIND("/",P483,FIND("/",P483)+1)-FIND("/",P483)-1)))</f>
        <v/>
      </c>
      <c r="AG483" s="7" t="str">
        <f aca="false">IF(P483="","",VALUE(MID(P483,FIND("/",P483,FIND("/",P483)+1)+1,LEN(P483)-FIND("/",P483,FIND("/",P483)+1))))</f>
        <v/>
      </c>
      <c r="AH483" s="7" t="str">
        <f aca="false">IF(OR(P483="",AE483=""),"",IFERROR(INDEX('لیست‌ها'!$Q$3:$Q$53,MATCH(AE483,'لیست‌ها'!$P$3:$P$53,0))+IF(AF483&lt;=6,(AF483-1)*31+AG483,IF(AF483&lt;=11,186+(AF483-7)*30+AG483,336+AG483))-1,""))</f>
        <v/>
      </c>
      <c r="AI483" s="7" t="str">
        <f aca="false">IF(W483="","",W483&amp;"-"&amp;TEXT(X483,"00"))</f>
        <v/>
      </c>
      <c r="AJ483" s="7" t="str">
        <f aca="false">IF(W483="","",W483*12+X483)</f>
        <v/>
      </c>
      <c r="AK483" s="7" t="str">
        <f aca="false">IF(U483="تاخیر",V483+ROW()/100000,"")</f>
        <v/>
      </c>
    </row>
    <row r="484" customFormat="false" ht="15" hidden="false" customHeight="false" outlineLevel="0" collapsed="false">
      <c r="A484" s="7" t="str">
        <f aca="false">IF(B484="","",ROW()-3)</f>
        <v/>
      </c>
      <c r="B484" s="8"/>
      <c r="C484" s="8"/>
      <c r="D484" s="8"/>
      <c r="E484" s="9"/>
      <c r="F484" s="9"/>
      <c r="G484" s="8"/>
      <c r="H484" s="8"/>
      <c r="I484" s="8"/>
      <c r="J484" s="9"/>
      <c r="K484" s="8"/>
      <c r="L484" s="8"/>
      <c r="M484" s="8"/>
      <c r="N484" s="8"/>
      <c r="O484" s="8"/>
      <c r="P484" s="8"/>
      <c r="Q484" s="8"/>
      <c r="R484" s="9"/>
      <c r="S484" s="8"/>
      <c r="T484" s="9"/>
      <c r="U484" s="10" t="str">
        <f aca="true">IF(B484="","",IF(OR(P484&lt;&gt;"",I484="می‌باشد"),"بسته",IF(AND(L484&lt;&gt;"",W484=""),"خطای فرمت تاریخ ایجاد",IF(AND(H484&lt;&gt;"",AA484=""),"خطای فرمت مهلت",IF(AND(H484&lt;&gt;"",AD484&lt;&gt;"",TODAY()&gt;AD484),"تاخیر",IF(L484&lt;&gt;"","در حال انجام",""))))))</f>
        <v/>
      </c>
      <c r="V484" s="7" t="n">
        <f aca="true">IF(U484="تاخیر",TODAY()-AD484,IF(AND(U484="بسته",AH484&lt;&gt;"",AD484&lt;&gt;"",AH484&gt;AD484),AH484-AD484,0))</f>
        <v>0</v>
      </c>
      <c r="W484" s="7" t="str">
        <f aca="false">IF(L484="","",VALUE(LEFT(L484,FIND("/",L484)-1)))</f>
        <v/>
      </c>
      <c r="X484" s="7" t="str">
        <f aca="false">IF(L484="","",VALUE(MID(L484,FIND("/",L484)+1,FIND("/",L484,FIND("/",L484)+1)-FIND("/",L484)-1)))</f>
        <v/>
      </c>
      <c r="Y484" s="7" t="str">
        <f aca="false">IF(L484="","",VALUE(MID(L484,FIND("/",L484,FIND("/",L484)+1)+1,LEN(L484)-FIND("/",L484,FIND("/",L484)+1))))</f>
        <v/>
      </c>
      <c r="Z484" s="7" t="str">
        <f aca="false">IF(OR(L484="",W484=""),"",IFERROR(INDEX('لیست‌ها'!$Q$3:$Q$53,MATCH(W484,'لیست‌ها'!$P$3:$P$53,0))+IF(X484&lt;=6,(X484-1)*31+Y484,IF(X484&lt;=11,186+(X484-7)*30+Y484,336+Y484))-1,""))</f>
        <v/>
      </c>
      <c r="AA484" s="7" t="str">
        <f aca="false">IF(H484="","",VALUE(LEFT(H484,FIND("/",H484)-1)))</f>
        <v/>
      </c>
      <c r="AB484" s="7" t="str">
        <f aca="false">IF(H484="","",VALUE(MID(H484,FIND("/",H484)+1,FIND("/",H484,FIND("/",H484)+1)-FIND("/",H484)-1)))</f>
        <v/>
      </c>
      <c r="AC484" s="7" t="str">
        <f aca="false">IF(H484="","",VALUE(MID(H484,FIND("/",H484,FIND("/",H484)+1)+1,LEN(H484)-FIND("/",H484,FIND("/",H484)+1))))</f>
        <v/>
      </c>
      <c r="AD484" s="7" t="str">
        <f aca="false">IF(OR(H484="",AA484=""),"",IFERROR(INDEX('لیست‌ها'!$Q$3:$Q$53,MATCH(AA484,'لیست‌ها'!$P$3:$P$53,0))+IF(AB484&lt;=6,(AB484-1)*31+AC484,IF(AB484&lt;=11,186+(AB484-7)*30+AC484,336+AC484))-1,""))</f>
        <v/>
      </c>
      <c r="AE484" s="7" t="str">
        <f aca="false">IF(P484="","",VALUE(LEFT(P484,FIND("/",P484)-1)))</f>
        <v/>
      </c>
      <c r="AF484" s="7" t="str">
        <f aca="false">IF(P484="","",VALUE(MID(P484,FIND("/",P484)+1,FIND("/",P484,FIND("/",P484)+1)-FIND("/",P484)-1)))</f>
        <v/>
      </c>
      <c r="AG484" s="7" t="str">
        <f aca="false">IF(P484="","",VALUE(MID(P484,FIND("/",P484,FIND("/",P484)+1)+1,LEN(P484)-FIND("/",P484,FIND("/",P484)+1))))</f>
        <v/>
      </c>
      <c r="AH484" s="7" t="str">
        <f aca="false">IF(OR(P484="",AE484=""),"",IFERROR(INDEX('لیست‌ها'!$Q$3:$Q$53,MATCH(AE484,'لیست‌ها'!$P$3:$P$53,0))+IF(AF484&lt;=6,(AF484-1)*31+AG484,IF(AF484&lt;=11,186+(AF484-7)*30+AG484,336+AG484))-1,""))</f>
        <v/>
      </c>
      <c r="AI484" s="7" t="str">
        <f aca="false">IF(W484="","",W484&amp;"-"&amp;TEXT(X484,"00"))</f>
        <v/>
      </c>
      <c r="AJ484" s="7" t="str">
        <f aca="false">IF(W484="","",W484*12+X484)</f>
        <v/>
      </c>
      <c r="AK484" s="7" t="str">
        <f aca="false">IF(U484="تاخیر",V484+ROW()/100000,"")</f>
        <v/>
      </c>
    </row>
    <row r="485" customFormat="false" ht="15" hidden="false" customHeight="false" outlineLevel="0" collapsed="false">
      <c r="A485" s="7" t="str">
        <f aca="false">IF(B485="","",ROW()-3)</f>
        <v/>
      </c>
      <c r="B485" s="8"/>
      <c r="C485" s="8"/>
      <c r="D485" s="8"/>
      <c r="E485" s="9"/>
      <c r="F485" s="9"/>
      <c r="G485" s="8"/>
      <c r="H485" s="8"/>
      <c r="I485" s="8"/>
      <c r="J485" s="9"/>
      <c r="K485" s="8"/>
      <c r="L485" s="8"/>
      <c r="M485" s="8"/>
      <c r="N485" s="8"/>
      <c r="O485" s="8"/>
      <c r="P485" s="8"/>
      <c r="Q485" s="8"/>
      <c r="R485" s="9"/>
      <c r="S485" s="8"/>
      <c r="T485" s="9"/>
      <c r="U485" s="10" t="str">
        <f aca="true">IF(B485="","",IF(OR(P485&lt;&gt;"",I485="می‌باشد"),"بسته",IF(AND(L485&lt;&gt;"",W485=""),"خطای فرمت تاریخ ایجاد",IF(AND(H485&lt;&gt;"",AA485=""),"خطای فرمت مهلت",IF(AND(H485&lt;&gt;"",AD485&lt;&gt;"",TODAY()&gt;AD485),"تاخیر",IF(L485&lt;&gt;"","در حال انجام",""))))))</f>
        <v/>
      </c>
      <c r="V485" s="7" t="n">
        <f aca="true">IF(U485="تاخیر",TODAY()-AD485,IF(AND(U485="بسته",AH485&lt;&gt;"",AD485&lt;&gt;"",AH485&gt;AD485),AH485-AD485,0))</f>
        <v>0</v>
      </c>
      <c r="W485" s="7" t="str">
        <f aca="false">IF(L485="","",VALUE(LEFT(L485,FIND("/",L485)-1)))</f>
        <v/>
      </c>
      <c r="X485" s="7" t="str">
        <f aca="false">IF(L485="","",VALUE(MID(L485,FIND("/",L485)+1,FIND("/",L485,FIND("/",L485)+1)-FIND("/",L485)-1)))</f>
        <v/>
      </c>
      <c r="Y485" s="7" t="str">
        <f aca="false">IF(L485="","",VALUE(MID(L485,FIND("/",L485,FIND("/",L485)+1)+1,LEN(L485)-FIND("/",L485,FIND("/",L485)+1))))</f>
        <v/>
      </c>
      <c r="Z485" s="7" t="str">
        <f aca="false">IF(OR(L485="",W485=""),"",IFERROR(INDEX('لیست‌ها'!$Q$3:$Q$53,MATCH(W485,'لیست‌ها'!$P$3:$P$53,0))+IF(X485&lt;=6,(X485-1)*31+Y485,IF(X485&lt;=11,186+(X485-7)*30+Y485,336+Y485))-1,""))</f>
        <v/>
      </c>
      <c r="AA485" s="7" t="str">
        <f aca="false">IF(H485="","",VALUE(LEFT(H485,FIND("/",H485)-1)))</f>
        <v/>
      </c>
      <c r="AB485" s="7" t="str">
        <f aca="false">IF(H485="","",VALUE(MID(H485,FIND("/",H485)+1,FIND("/",H485,FIND("/",H485)+1)-FIND("/",H485)-1)))</f>
        <v/>
      </c>
      <c r="AC485" s="7" t="str">
        <f aca="false">IF(H485="","",VALUE(MID(H485,FIND("/",H485,FIND("/",H485)+1)+1,LEN(H485)-FIND("/",H485,FIND("/",H485)+1))))</f>
        <v/>
      </c>
      <c r="AD485" s="7" t="str">
        <f aca="false">IF(OR(H485="",AA485=""),"",IFERROR(INDEX('لیست‌ها'!$Q$3:$Q$53,MATCH(AA485,'لیست‌ها'!$P$3:$P$53,0))+IF(AB485&lt;=6,(AB485-1)*31+AC485,IF(AB485&lt;=11,186+(AB485-7)*30+AC485,336+AC485))-1,""))</f>
        <v/>
      </c>
      <c r="AE485" s="7" t="str">
        <f aca="false">IF(P485="","",VALUE(LEFT(P485,FIND("/",P485)-1)))</f>
        <v/>
      </c>
      <c r="AF485" s="7" t="str">
        <f aca="false">IF(P485="","",VALUE(MID(P485,FIND("/",P485)+1,FIND("/",P485,FIND("/",P485)+1)-FIND("/",P485)-1)))</f>
        <v/>
      </c>
      <c r="AG485" s="7" t="str">
        <f aca="false">IF(P485="","",VALUE(MID(P485,FIND("/",P485,FIND("/",P485)+1)+1,LEN(P485)-FIND("/",P485,FIND("/",P485)+1))))</f>
        <v/>
      </c>
      <c r="AH485" s="7" t="str">
        <f aca="false">IF(OR(P485="",AE485=""),"",IFERROR(INDEX('لیست‌ها'!$Q$3:$Q$53,MATCH(AE485,'لیست‌ها'!$P$3:$P$53,0))+IF(AF485&lt;=6,(AF485-1)*31+AG485,IF(AF485&lt;=11,186+(AF485-7)*30+AG485,336+AG485))-1,""))</f>
        <v/>
      </c>
      <c r="AI485" s="7" t="str">
        <f aca="false">IF(W485="","",W485&amp;"-"&amp;TEXT(X485,"00"))</f>
        <v/>
      </c>
      <c r="AJ485" s="7" t="str">
        <f aca="false">IF(W485="","",W485*12+X485)</f>
        <v/>
      </c>
      <c r="AK485" s="7" t="str">
        <f aca="false">IF(U485="تاخیر",V485+ROW()/100000,"")</f>
        <v/>
      </c>
    </row>
    <row r="486" customFormat="false" ht="15" hidden="false" customHeight="false" outlineLevel="0" collapsed="false">
      <c r="A486" s="7" t="str">
        <f aca="false">IF(B486="","",ROW()-3)</f>
        <v/>
      </c>
      <c r="B486" s="8"/>
      <c r="C486" s="8"/>
      <c r="D486" s="8"/>
      <c r="E486" s="9"/>
      <c r="F486" s="9"/>
      <c r="G486" s="8"/>
      <c r="H486" s="8"/>
      <c r="I486" s="8"/>
      <c r="J486" s="9"/>
      <c r="K486" s="8"/>
      <c r="L486" s="8"/>
      <c r="M486" s="8"/>
      <c r="N486" s="8"/>
      <c r="O486" s="8"/>
      <c r="P486" s="8"/>
      <c r="Q486" s="8"/>
      <c r="R486" s="9"/>
      <c r="S486" s="8"/>
      <c r="T486" s="9"/>
      <c r="U486" s="10" t="str">
        <f aca="true">IF(B486="","",IF(OR(P486&lt;&gt;"",I486="می‌باشد"),"بسته",IF(AND(L486&lt;&gt;"",W486=""),"خطای فرمت تاریخ ایجاد",IF(AND(H486&lt;&gt;"",AA486=""),"خطای فرمت مهلت",IF(AND(H486&lt;&gt;"",AD486&lt;&gt;"",TODAY()&gt;AD486),"تاخیر",IF(L486&lt;&gt;"","در حال انجام",""))))))</f>
        <v/>
      </c>
      <c r="V486" s="7" t="n">
        <f aca="true">IF(U486="تاخیر",TODAY()-AD486,IF(AND(U486="بسته",AH486&lt;&gt;"",AD486&lt;&gt;"",AH486&gt;AD486),AH486-AD486,0))</f>
        <v>0</v>
      </c>
      <c r="W486" s="7" t="str">
        <f aca="false">IF(L486="","",VALUE(LEFT(L486,FIND("/",L486)-1)))</f>
        <v/>
      </c>
      <c r="X486" s="7" t="str">
        <f aca="false">IF(L486="","",VALUE(MID(L486,FIND("/",L486)+1,FIND("/",L486,FIND("/",L486)+1)-FIND("/",L486)-1)))</f>
        <v/>
      </c>
      <c r="Y486" s="7" t="str">
        <f aca="false">IF(L486="","",VALUE(MID(L486,FIND("/",L486,FIND("/",L486)+1)+1,LEN(L486)-FIND("/",L486,FIND("/",L486)+1))))</f>
        <v/>
      </c>
      <c r="Z486" s="7" t="str">
        <f aca="false">IF(OR(L486="",W486=""),"",IFERROR(INDEX('لیست‌ها'!$Q$3:$Q$53,MATCH(W486,'لیست‌ها'!$P$3:$P$53,0))+IF(X486&lt;=6,(X486-1)*31+Y486,IF(X486&lt;=11,186+(X486-7)*30+Y486,336+Y486))-1,""))</f>
        <v/>
      </c>
      <c r="AA486" s="7" t="str">
        <f aca="false">IF(H486="","",VALUE(LEFT(H486,FIND("/",H486)-1)))</f>
        <v/>
      </c>
      <c r="AB486" s="7" t="str">
        <f aca="false">IF(H486="","",VALUE(MID(H486,FIND("/",H486)+1,FIND("/",H486,FIND("/",H486)+1)-FIND("/",H486)-1)))</f>
        <v/>
      </c>
      <c r="AC486" s="7" t="str">
        <f aca="false">IF(H486="","",VALUE(MID(H486,FIND("/",H486,FIND("/",H486)+1)+1,LEN(H486)-FIND("/",H486,FIND("/",H486)+1))))</f>
        <v/>
      </c>
      <c r="AD486" s="7" t="str">
        <f aca="false">IF(OR(H486="",AA486=""),"",IFERROR(INDEX('لیست‌ها'!$Q$3:$Q$53,MATCH(AA486,'لیست‌ها'!$P$3:$P$53,0))+IF(AB486&lt;=6,(AB486-1)*31+AC486,IF(AB486&lt;=11,186+(AB486-7)*30+AC486,336+AC486))-1,""))</f>
        <v/>
      </c>
      <c r="AE486" s="7" t="str">
        <f aca="false">IF(P486="","",VALUE(LEFT(P486,FIND("/",P486)-1)))</f>
        <v/>
      </c>
      <c r="AF486" s="7" t="str">
        <f aca="false">IF(P486="","",VALUE(MID(P486,FIND("/",P486)+1,FIND("/",P486,FIND("/",P486)+1)-FIND("/",P486)-1)))</f>
        <v/>
      </c>
      <c r="AG486" s="7" t="str">
        <f aca="false">IF(P486="","",VALUE(MID(P486,FIND("/",P486,FIND("/",P486)+1)+1,LEN(P486)-FIND("/",P486,FIND("/",P486)+1))))</f>
        <v/>
      </c>
      <c r="AH486" s="7" t="str">
        <f aca="false">IF(OR(P486="",AE486=""),"",IFERROR(INDEX('لیست‌ها'!$Q$3:$Q$53,MATCH(AE486,'لیست‌ها'!$P$3:$P$53,0))+IF(AF486&lt;=6,(AF486-1)*31+AG486,IF(AF486&lt;=11,186+(AF486-7)*30+AG486,336+AG486))-1,""))</f>
        <v/>
      </c>
      <c r="AI486" s="7" t="str">
        <f aca="false">IF(W486="","",W486&amp;"-"&amp;TEXT(X486,"00"))</f>
        <v/>
      </c>
      <c r="AJ486" s="7" t="str">
        <f aca="false">IF(W486="","",W486*12+X486)</f>
        <v/>
      </c>
      <c r="AK486" s="7" t="str">
        <f aca="false">IF(U486="تاخیر",V486+ROW()/100000,"")</f>
        <v/>
      </c>
    </row>
    <row r="487" customFormat="false" ht="15" hidden="false" customHeight="false" outlineLevel="0" collapsed="false">
      <c r="A487" s="7" t="str">
        <f aca="false">IF(B487="","",ROW()-3)</f>
        <v/>
      </c>
      <c r="B487" s="8"/>
      <c r="C487" s="8"/>
      <c r="D487" s="8"/>
      <c r="E487" s="9"/>
      <c r="F487" s="9"/>
      <c r="G487" s="8"/>
      <c r="H487" s="8"/>
      <c r="I487" s="8"/>
      <c r="J487" s="9"/>
      <c r="K487" s="8"/>
      <c r="L487" s="8"/>
      <c r="M487" s="8"/>
      <c r="N487" s="8"/>
      <c r="O487" s="8"/>
      <c r="P487" s="8"/>
      <c r="Q487" s="8"/>
      <c r="R487" s="9"/>
      <c r="S487" s="8"/>
      <c r="T487" s="9"/>
      <c r="U487" s="10" t="str">
        <f aca="true">IF(B487="","",IF(OR(P487&lt;&gt;"",I487="می‌باشد"),"بسته",IF(AND(L487&lt;&gt;"",W487=""),"خطای فرمت تاریخ ایجاد",IF(AND(H487&lt;&gt;"",AA487=""),"خطای فرمت مهلت",IF(AND(H487&lt;&gt;"",AD487&lt;&gt;"",TODAY()&gt;AD487),"تاخیر",IF(L487&lt;&gt;"","در حال انجام",""))))))</f>
        <v/>
      </c>
      <c r="V487" s="7" t="n">
        <f aca="true">IF(U487="تاخیر",TODAY()-AD487,IF(AND(U487="بسته",AH487&lt;&gt;"",AD487&lt;&gt;"",AH487&gt;AD487),AH487-AD487,0))</f>
        <v>0</v>
      </c>
      <c r="W487" s="7" t="str">
        <f aca="false">IF(L487="","",VALUE(LEFT(L487,FIND("/",L487)-1)))</f>
        <v/>
      </c>
      <c r="X487" s="7" t="str">
        <f aca="false">IF(L487="","",VALUE(MID(L487,FIND("/",L487)+1,FIND("/",L487,FIND("/",L487)+1)-FIND("/",L487)-1)))</f>
        <v/>
      </c>
      <c r="Y487" s="7" t="str">
        <f aca="false">IF(L487="","",VALUE(MID(L487,FIND("/",L487,FIND("/",L487)+1)+1,LEN(L487)-FIND("/",L487,FIND("/",L487)+1))))</f>
        <v/>
      </c>
      <c r="Z487" s="7" t="str">
        <f aca="false">IF(OR(L487="",W487=""),"",IFERROR(INDEX('لیست‌ها'!$Q$3:$Q$53,MATCH(W487,'لیست‌ها'!$P$3:$P$53,0))+IF(X487&lt;=6,(X487-1)*31+Y487,IF(X487&lt;=11,186+(X487-7)*30+Y487,336+Y487))-1,""))</f>
        <v/>
      </c>
      <c r="AA487" s="7" t="str">
        <f aca="false">IF(H487="","",VALUE(LEFT(H487,FIND("/",H487)-1)))</f>
        <v/>
      </c>
      <c r="AB487" s="7" t="str">
        <f aca="false">IF(H487="","",VALUE(MID(H487,FIND("/",H487)+1,FIND("/",H487,FIND("/",H487)+1)-FIND("/",H487)-1)))</f>
        <v/>
      </c>
      <c r="AC487" s="7" t="str">
        <f aca="false">IF(H487="","",VALUE(MID(H487,FIND("/",H487,FIND("/",H487)+1)+1,LEN(H487)-FIND("/",H487,FIND("/",H487)+1))))</f>
        <v/>
      </c>
      <c r="AD487" s="7" t="str">
        <f aca="false">IF(OR(H487="",AA487=""),"",IFERROR(INDEX('لیست‌ها'!$Q$3:$Q$53,MATCH(AA487,'لیست‌ها'!$P$3:$P$53,0))+IF(AB487&lt;=6,(AB487-1)*31+AC487,IF(AB487&lt;=11,186+(AB487-7)*30+AC487,336+AC487))-1,""))</f>
        <v/>
      </c>
      <c r="AE487" s="7" t="str">
        <f aca="false">IF(P487="","",VALUE(LEFT(P487,FIND("/",P487)-1)))</f>
        <v/>
      </c>
      <c r="AF487" s="7" t="str">
        <f aca="false">IF(P487="","",VALUE(MID(P487,FIND("/",P487)+1,FIND("/",P487,FIND("/",P487)+1)-FIND("/",P487)-1)))</f>
        <v/>
      </c>
      <c r="AG487" s="7" t="str">
        <f aca="false">IF(P487="","",VALUE(MID(P487,FIND("/",P487,FIND("/",P487)+1)+1,LEN(P487)-FIND("/",P487,FIND("/",P487)+1))))</f>
        <v/>
      </c>
      <c r="AH487" s="7" t="str">
        <f aca="false">IF(OR(P487="",AE487=""),"",IFERROR(INDEX('لیست‌ها'!$Q$3:$Q$53,MATCH(AE487,'لیست‌ها'!$P$3:$P$53,0))+IF(AF487&lt;=6,(AF487-1)*31+AG487,IF(AF487&lt;=11,186+(AF487-7)*30+AG487,336+AG487))-1,""))</f>
        <v/>
      </c>
      <c r="AI487" s="7" t="str">
        <f aca="false">IF(W487="","",W487&amp;"-"&amp;TEXT(X487,"00"))</f>
        <v/>
      </c>
      <c r="AJ487" s="7" t="str">
        <f aca="false">IF(W487="","",W487*12+X487)</f>
        <v/>
      </c>
      <c r="AK487" s="7" t="str">
        <f aca="false">IF(U487="تاخیر",V487+ROW()/100000,"")</f>
        <v/>
      </c>
    </row>
    <row r="488" customFormat="false" ht="15" hidden="false" customHeight="false" outlineLevel="0" collapsed="false">
      <c r="A488" s="7" t="str">
        <f aca="false">IF(B488="","",ROW()-3)</f>
        <v/>
      </c>
      <c r="B488" s="8"/>
      <c r="C488" s="8"/>
      <c r="D488" s="8"/>
      <c r="E488" s="9"/>
      <c r="F488" s="9"/>
      <c r="G488" s="8"/>
      <c r="H488" s="8"/>
      <c r="I488" s="8"/>
      <c r="J488" s="9"/>
      <c r="K488" s="8"/>
      <c r="L488" s="8"/>
      <c r="M488" s="8"/>
      <c r="N488" s="8"/>
      <c r="O488" s="8"/>
      <c r="P488" s="8"/>
      <c r="Q488" s="8"/>
      <c r="R488" s="9"/>
      <c r="S488" s="8"/>
      <c r="T488" s="9"/>
      <c r="U488" s="10" t="str">
        <f aca="true">IF(B488="","",IF(OR(P488&lt;&gt;"",I488="می‌باشد"),"بسته",IF(AND(L488&lt;&gt;"",W488=""),"خطای فرمت تاریخ ایجاد",IF(AND(H488&lt;&gt;"",AA488=""),"خطای فرمت مهلت",IF(AND(H488&lt;&gt;"",AD488&lt;&gt;"",TODAY()&gt;AD488),"تاخیر",IF(L488&lt;&gt;"","در حال انجام",""))))))</f>
        <v/>
      </c>
      <c r="V488" s="7" t="n">
        <f aca="true">IF(U488="تاخیر",TODAY()-AD488,IF(AND(U488="بسته",AH488&lt;&gt;"",AD488&lt;&gt;"",AH488&gt;AD488),AH488-AD488,0))</f>
        <v>0</v>
      </c>
      <c r="W488" s="7" t="str">
        <f aca="false">IF(L488="","",VALUE(LEFT(L488,FIND("/",L488)-1)))</f>
        <v/>
      </c>
      <c r="X488" s="7" t="str">
        <f aca="false">IF(L488="","",VALUE(MID(L488,FIND("/",L488)+1,FIND("/",L488,FIND("/",L488)+1)-FIND("/",L488)-1)))</f>
        <v/>
      </c>
      <c r="Y488" s="7" t="str">
        <f aca="false">IF(L488="","",VALUE(MID(L488,FIND("/",L488,FIND("/",L488)+1)+1,LEN(L488)-FIND("/",L488,FIND("/",L488)+1))))</f>
        <v/>
      </c>
      <c r="Z488" s="7" t="str">
        <f aca="false">IF(OR(L488="",W488=""),"",IFERROR(INDEX('لیست‌ها'!$Q$3:$Q$53,MATCH(W488,'لیست‌ها'!$P$3:$P$53,0))+IF(X488&lt;=6,(X488-1)*31+Y488,IF(X488&lt;=11,186+(X488-7)*30+Y488,336+Y488))-1,""))</f>
        <v/>
      </c>
      <c r="AA488" s="7" t="str">
        <f aca="false">IF(H488="","",VALUE(LEFT(H488,FIND("/",H488)-1)))</f>
        <v/>
      </c>
      <c r="AB488" s="7" t="str">
        <f aca="false">IF(H488="","",VALUE(MID(H488,FIND("/",H488)+1,FIND("/",H488,FIND("/",H488)+1)-FIND("/",H488)-1)))</f>
        <v/>
      </c>
      <c r="AC488" s="7" t="str">
        <f aca="false">IF(H488="","",VALUE(MID(H488,FIND("/",H488,FIND("/",H488)+1)+1,LEN(H488)-FIND("/",H488,FIND("/",H488)+1))))</f>
        <v/>
      </c>
      <c r="AD488" s="7" t="str">
        <f aca="false">IF(OR(H488="",AA488=""),"",IFERROR(INDEX('لیست‌ها'!$Q$3:$Q$53,MATCH(AA488,'لیست‌ها'!$P$3:$P$53,0))+IF(AB488&lt;=6,(AB488-1)*31+AC488,IF(AB488&lt;=11,186+(AB488-7)*30+AC488,336+AC488))-1,""))</f>
        <v/>
      </c>
      <c r="AE488" s="7" t="str">
        <f aca="false">IF(P488="","",VALUE(LEFT(P488,FIND("/",P488)-1)))</f>
        <v/>
      </c>
      <c r="AF488" s="7" t="str">
        <f aca="false">IF(P488="","",VALUE(MID(P488,FIND("/",P488)+1,FIND("/",P488,FIND("/",P488)+1)-FIND("/",P488)-1)))</f>
        <v/>
      </c>
      <c r="AG488" s="7" t="str">
        <f aca="false">IF(P488="","",VALUE(MID(P488,FIND("/",P488,FIND("/",P488)+1)+1,LEN(P488)-FIND("/",P488,FIND("/",P488)+1))))</f>
        <v/>
      </c>
      <c r="AH488" s="7" t="str">
        <f aca="false">IF(OR(P488="",AE488=""),"",IFERROR(INDEX('لیست‌ها'!$Q$3:$Q$53,MATCH(AE488,'لیست‌ها'!$P$3:$P$53,0))+IF(AF488&lt;=6,(AF488-1)*31+AG488,IF(AF488&lt;=11,186+(AF488-7)*30+AG488,336+AG488))-1,""))</f>
        <v/>
      </c>
      <c r="AI488" s="7" t="str">
        <f aca="false">IF(W488="","",W488&amp;"-"&amp;TEXT(X488,"00"))</f>
        <v/>
      </c>
      <c r="AJ488" s="7" t="str">
        <f aca="false">IF(W488="","",W488*12+X488)</f>
        <v/>
      </c>
      <c r="AK488" s="7" t="str">
        <f aca="false">IF(U488="تاخیر",V488+ROW()/100000,"")</f>
        <v/>
      </c>
    </row>
    <row r="489" customFormat="false" ht="15" hidden="false" customHeight="false" outlineLevel="0" collapsed="false">
      <c r="A489" s="7" t="str">
        <f aca="false">IF(B489="","",ROW()-3)</f>
        <v/>
      </c>
      <c r="B489" s="8"/>
      <c r="C489" s="8"/>
      <c r="D489" s="8"/>
      <c r="E489" s="9"/>
      <c r="F489" s="9"/>
      <c r="G489" s="8"/>
      <c r="H489" s="8"/>
      <c r="I489" s="8"/>
      <c r="J489" s="9"/>
      <c r="K489" s="8"/>
      <c r="L489" s="8"/>
      <c r="M489" s="8"/>
      <c r="N489" s="8"/>
      <c r="O489" s="8"/>
      <c r="P489" s="8"/>
      <c r="Q489" s="8"/>
      <c r="R489" s="9"/>
      <c r="S489" s="8"/>
      <c r="T489" s="9"/>
      <c r="U489" s="10" t="str">
        <f aca="true">IF(B489="","",IF(OR(P489&lt;&gt;"",I489="می‌باشد"),"بسته",IF(AND(L489&lt;&gt;"",W489=""),"خطای فرمت تاریخ ایجاد",IF(AND(H489&lt;&gt;"",AA489=""),"خطای فرمت مهلت",IF(AND(H489&lt;&gt;"",AD489&lt;&gt;"",TODAY()&gt;AD489),"تاخیر",IF(L489&lt;&gt;"","در حال انجام",""))))))</f>
        <v/>
      </c>
      <c r="V489" s="7" t="n">
        <f aca="true">IF(U489="تاخیر",TODAY()-AD489,IF(AND(U489="بسته",AH489&lt;&gt;"",AD489&lt;&gt;"",AH489&gt;AD489),AH489-AD489,0))</f>
        <v>0</v>
      </c>
      <c r="W489" s="7" t="str">
        <f aca="false">IF(L489="","",VALUE(LEFT(L489,FIND("/",L489)-1)))</f>
        <v/>
      </c>
      <c r="X489" s="7" t="str">
        <f aca="false">IF(L489="","",VALUE(MID(L489,FIND("/",L489)+1,FIND("/",L489,FIND("/",L489)+1)-FIND("/",L489)-1)))</f>
        <v/>
      </c>
      <c r="Y489" s="7" t="str">
        <f aca="false">IF(L489="","",VALUE(MID(L489,FIND("/",L489,FIND("/",L489)+1)+1,LEN(L489)-FIND("/",L489,FIND("/",L489)+1))))</f>
        <v/>
      </c>
      <c r="Z489" s="7" t="str">
        <f aca="false">IF(OR(L489="",W489=""),"",IFERROR(INDEX('لیست‌ها'!$Q$3:$Q$53,MATCH(W489,'لیست‌ها'!$P$3:$P$53,0))+IF(X489&lt;=6,(X489-1)*31+Y489,IF(X489&lt;=11,186+(X489-7)*30+Y489,336+Y489))-1,""))</f>
        <v/>
      </c>
      <c r="AA489" s="7" t="str">
        <f aca="false">IF(H489="","",VALUE(LEFT(H489,FIND("/",H489)-1)))</f>
        <v/>
      </c>
      <c r="AB489" s="7" t="str">
        <f aca="false">IF(H489="","",VALUE(MID(H489,FIND("/",H489)+1,FIND("/",H489,FIND("/",H489)+1)-FIND("/",H489)-1)))</f>
        <v/>
      </c>
      <c r="AC489" s="7" t="str">
        <f aca="false">IF(H489="","",VALUE(MID(H489,FIND("/",H489,FIND("/",H489)+1)+1,LEN(H489)-FIND("/",H489,FIND("/",H489)+1))))</f>
        <v/>
      </c>
      <c r="AD489" s="7" t="str">
        <f aca="false">IF(OR(H489="",AA489=""),"",IFERROR(INDEX('لیست‌ها'!$Q$3:$Q$53,MATCH(AA489,'لیست‌ها'!$P$3:$P$53,0))+IF(AB489&lt;=6,(AB489-1)*31+AC489,IF(AB489&lt;=11,186+(AB489-7)*30+AC489,336+AC489))-1,""))</f>
        <v/>
      </c>
      <c r="AE489" s="7" t="str">
        <f aca="false">IF(P489="","",VALUE(LEFT(P489,FIND("/",P489)-1)))</f>
        <v/>
      </c>
      <c r="AF489" s="7" t="str">
        <f aca="false">IF(P489="","",VALUE(MID(P489,FIND("/",P489)+1,FIND("/",P489,FIND("/",P489)+1)-FIND("/",P489)-1)))</f>
        <v/>
      </c>
      <c r="AG489" s="7" t="str">
        <f aca="false">IF(P489="","",VALUE(MID(P489,FIND("/",P489,FIND("/",P489)+1)+1,LEN(P489)-FIND("/",P489,FIND("/",P489)+1))))</f>
        <v/>
      </c>
      <c r="AH489" s="7" t="str">
        <f aca="false">IF(OR(P489="",AE489=""),"",IFERROR(INDEX('لیست‌ها'!$Q$3:$Q$53,MATCH(AE489,'لیست‌ها'!$P$3:$P$53,0))+IF(AF489&lt;=6,(AF489-1)*31+AG489,IF(AF489&lt;=11,186+(AF489-7)*30+AG489,336+AG489))-1,""))</f>
        <v/>
      </c>
      <c r="AI489" s="7" t="str">
        <f aca="false">IF(W489="","",W489&amp;"-"&amp;TEXT(X489,"00"))</f>
        <v/>
      </c>
      <c r="AJ489" s="7" t="str">
        <f aca="false">IF(W489="","",W489*12+X489)</f>
        <v/>
      </c>
      <c r="AK489" s="7" t="str">
        <f aca="false">IF(U489="تاخیر",V489+ROW()/100000,"")</f>
        <v/>
      </c>
    </row>
    <row r="490" customFormat="false" ht="15" hidden="false" customHeight="false" outlineLevel="0" collapsed="false">
      <c r="A490" s="7" t="str">
        <f aca="false">IF(B490="","",ROW()-3)</f>
        <v/>
      </c>
      <c r="B490" s="8"/>
      <c r="C490" s="8"/>
      <c r="D490" s="8"/>
      <c r="E490" s="9"/>
      <c r="F490" s="9"/>
      <c r="G490" s="8"/>
      <c r="H490" s="8"/>
      <c r="I490" s="8"/>
      <c r="J490" s="9"/>
      <c r="K490" s="8"/>
      <c r="L490" s="8"/>
      <c r="M490" s="8"/>
      <c r="N490" s="8"/>
      <c r="O490" s="8"/>
      <c r="P490" s="8"/>
      <c r="Q490" s="8"/>
      <c r="R490" s="9"/>
      <c r="S490" s="8"/>
      <c r="T490" s="9"/>
      <c r="U490" s="10" t="str">
        <f aca="true">IF(B490="","",IF(OR(P490&lt;&gt;"",I490="می‌باشد"),"بسته",IF(AND(L490&lt;&gt;"",W490=""),"خطای فرمت تاریخ ایجاد",IF(AND(H490&lt;&gt;"",AA490=""),"خطای فرمت مهلت",IF(AND(H490&lt;&gt;"",AD490&lt;&gt;"",TODAY()&gt;AD490),"تاخیر",IF(L490&lt;&gt;"","در حال انجام",""))))))</f>
        <v/>
      </c>
      <c r="V490" s="7" t="n">
        <f aca="true">IF(U490="تاخیر",TODAY()-AD490,IF(AND(U490="بسته",AH490&lt;&gt;"",AD490&lt;&gt;"",AH490&gt;AD490),AH490-AD490,0))</f>
        <v>0</v>
      </c>
      <c r="W490" s="7" t="str">
        <f aca="false">IF(L490="","",VALUE(LEFT(L490,FIND("/",L490)-1)))</f>
        <v/>
      </c>
      <c r="X490" s="7" t="str">
        <f aca="false">IF(L490="","",VALUE(MID(L490,FIND("/",L490)+1,FIND("/",L490,FIND("/",L490)+1)-FIND("/",L490)-1)))</f>
        <v/>
      </c>
      <c r="Y490" s="7" t="str">
        <f aca="false">IF(L490="","",VALUE(MID(L490,FIND("/",L490,FIND("/",L490)+1)+1,LEN(L490)-FIND("/",L490,FIND("/",L490)+1))))</f>
        <v/>
      </c>
      <c r="Z490" s="7" t="str">
        <f aca="false">IF(OR(L490="",W490=""),"",IFERROR(INDEX('لیست‌ها'!$Q$3:$Q$53,MATCH(W490,'لیست‌ها'!$P$3:$P$53,0))+IF(X490&lt;=6,(X490-1)*31+Y490,IF(X490&lt;=11,186+(X490-7)*30+Y490,336+Y490))-1,""))</f>
        <v/>
      </c>
      <c r="AA490" s="7" t="str">
        <f aca="false">IF(H490="","",VALUE(LEFT(H490,FIND("/",H490)-1)))</f>
        <v/>
      </c>
      <c r="AB490" s="7" t="str">
        <f aca="false">IF(H490="","",VALUE(MID(H490,FIND("/",H490)+1,FIND("/",H490,FIND("/",H490)+1)-FIND("/",H490)-1)))</f>
        <v/>
      </c>
      <c r="AC490" s="7" t="str">
        <f aca="false">IF(H490="","",VALUE(MID(H490,FIND("/",H490,FIND("/",H490)+1)+1,LEN(H490)-FIND("/",H490,FIND("/",H490)+1))))</f>
        <v/>
      </c>
      <c r="AD490" s="7" t="str">
        <f aca="false">IF(OR(H490="",AA490=""),"",IFERROR(INDEX('لیست‌ها'!$Q$3:$Q$53,MATCH(AA490,'لیست‌ها'!$P$3:$P$53,0))+IF(AB490&lt;=6,(AB490-1)*31+AC490,IF(AB490&lt;=11,186+(AB490-7)*30+AC490,336+AC490))-1,""))</f>
        <v/>
      </c>
      <c r="AE490" s="7" t="str">
        <f aca="false">IF(P490="","",VALUE(LEFT(P490,FIND("/",P490)-1)))</f>
        <v/>
      </c>
      <c r="AF490" s="7" t="str">
        <f aca="false">IF(P490="","",VALUE(MID(P490,FIND("/",P490)+1,FIND("/",P490,FIND("/",P490)+1)-FIND("/",P490)-1)))</f>
        <v/>
      </c>
      <c r="AG490" s="7" t="str">
        <f aca="false">IF(P490="","",VALUE(MID(P490,FIND("/",P490,FIND("/",P490)+1)+1,LEN(P490)-FIND("/",P490,FIND("/",P490)+1))))</f>
        <v/>
      </c>
      <c r="AH490" s="7" t="str">
        <f aca="false">IF(OR(P490="",AE490=""),"",IFERROR(INDEX('لیست‌ها'!$Q$3:$Q$53,MATCH(AE490,'لیست‌ها'!$P$3:$P$53,0))+IF(AF490&lt;=6,(AF490-1)*31+AG490,IF(AF490&lt;=11,186+(AF490-7)*30+AG490,336+AG490))-1,""))</f>
        <v/>
      </c>
      <c r="AI490" s="7" t="str">
        <f aca="false">IF(W490="","",W490&amp;"-"&amp;TEXT(X490,"00"))</f>
        <v/>
      </c>
      <c r="AJ490" s="7" t="str">
        <f aca="false">IF(W490="","",W490*12+X490)</f>
        <v/>
      </c>
      <c r="AK490" s="7" t="str">
        <f aca="false">IF(U490="تاخیر",V490+ROW()/100000,"")</f>
        <v/>
      </c>
    </row>
    <row r="491" customFormat="false" ht="15" hidden="false" customHeight="false" outlineLevel="0" collapsed="false">
      <c r="A491" s="7" t="str">
        <f aca="false">IF(B491="","",ROW()-3)</f>
        <v/>
      </c>
      <c r="B491" s="8"/>
      <c r="C491" s="8"/>
      <c r="D491" s="8"/>
      <c r="E491" s="9"/>
      <c r="F491" s="9"/>
      <c r="G491" s="8"/>
      <c r="H491" s="8"/>
      <c r="I491" s="8"/>
      <c r="J491" s="9"/>
      <c r="K491" s="8"/>
      <c r="L491" s="8"/>
      <c r="M491" s="8"/>
      <c r="N491" s="8"/>
      <c r="O491" s="8"/>
      <c r="P491" s="8"/>
      <c r="Q491" s="8"/>
      <c r="R491" s="9"/>
      <c r="S491" s="8"/>
      <c r="T491" s="9"/>
      <c r="U491" s="10" t="str">
        <f aca="true">IF(B491="","",IF(OR(P491&lt;&gt;"",I491="می‌باشد"),"بسته",IF(AND(L491&lt;&gt;"",W491=""),"خطای فرمت تاریخ ایجاد",IF(AND(H491&lt;&gt;"",AA491=""),"خطای فرمت مهلت",IF(AND(H491&lt;&gt;"",AD491&lt;&gt;"",TODAY()&gt;AD491),"تاخیر",IF(L491&lt;&gt;"","در حال انجام",""))))))</f>
        <v/>
      </c>
      <c r="V491" s="7" t="n">
        <f aca="true">IF(U491="تاخیر",TODAY()-AD491,IF(AND(U491="بسته",AH491&lt;&gt;"",AD491&lt;&gt;"",AH491&gt;AD491),AH491-AD491,0))</f>
        <v>0</v>
      </c>
      <c r="W491" s="7" t="str">
        <f aca="false">IF(L491="","",VALUE(LEFT(L491,FIND("/",L491)-1)))</f>
        <v/>
      </c>
      <c r="X491" s="7" t="str">
        <f aca="false">IF(L491="","",VALUE(MID(L491,FIND("/",L491)+1,FIND("/",L491,FIND("/",L491)+1)-FIND("/",L491)-1)))</f>
        <v/>
      </c>
      <c r="Y491" s="7" t="str">
        <f aca="false">IF(L491="","",VALUE(MID(L491,FIND("/",L491,FIND("/",L491)+1)+1,LEN(L491)-FIND("/",L491,FIND("/",L491)+1))))</f>
        <v/>
      </c>
      <c r="Z491" s="7" t="str">
        <f aca="false">IF(OR(L491="",W491=""),"",IFERROR(INDEX('لیست‌ها'!$Q$3:$Q$53,MATCH(W491,'لیست‌ها'!$P$3:$P$53,0))+IF(X491&lt;=6,(X491-1)*31+Y491,IF(X491&lt;=11,186+(X491-7)*30+Y491,336+Y491))-1,""))</f>
        <v/>
      </c>
      <c r="AA491" s="7" t="str">
        <f aca="false">IF(H491="","",VALUE(LEFT(H491,FIND("/",H491)-1)))</f>
        <v/>
      </c>
      <c r="AB491" s="7" t="str">
        <f aca="false">IF(H491="","",VALUE(MID(H491,FIND("/",H491)+1,FIND("/",H491,FIND("/",H491)+1)-FIND("/",H491)-1)))</f>
        <v/>
      </c>
      <c r="AC491" s="7" t="str">
        <f aca="false">IF(H491="","",VALUE(MID(H491,FIND("/",H491,FIND("/",H491)+1)+1,LEN(H491)-FIND("/",H491,FIND("/",H491)+1))))</f>
        <v/>
      </c>
      <c r="AD491" s="7" t="str">
        <f aca="false">IF(OR(H491="",AA491=""),"",IFERROR(INDEX('لیست‌ها'!$Q$3:$Q$53,MATCH(AA491,'لیست‌ها'!$P$3:$P$53,0))+IF(AB491&lt;=6,(AB491-1)*31+AC491,IF(AB491&lt;=11,186+(AB491-7)*30+AC491,336+AC491))-1,""))</f>
        <v/>
      </c>
      <c r="AE491" s="7" t="str">
        <f aca="false">IF(P491="","",VALUE(LEFT(P491,FIND("/",P491)-1)))</f>
        <v/>
      </c>
      <c r="AF491" s="7" t="str">
        <f aca="false">IF(P491="","",VALUE(MID(P491,FIND("/",P491)+1,FIND("/",P491,FIND("/",P491)+1)-FIND("/",P491)-1)))</f>
        <v/>
      </c>
      <c r="AG491" s="7" t="str">
        <f aca="false">IF(P491="","",VALUE(MID(P491,FIND("/",P491,FIND("/",P491)+1)+1,LEN(P491)-FIND("/",P491,FIND("/",P491)+1))))</f>
        <v/>
      </c>
      <c r="AH491" s="7" t="str">
        <f aca="false">IF(OR(P491="",AE491=""),"",IFERROR(INDEX('لیست‌ها'!$Q$3:$Q$53,MATCH(AE491,'لیست‌ها'!$P$3:$P$53,0))+IF(AF491&lt;=6,(AF491-1)*31+AG491,IF(AF491&lt;=11,186+(AF491-7)*30+AG491,336+AG491))-1,""))</f>
        <v/>
      </c>
      <c r="AI491" s="7" t="str">
        <f aca="false">IF(W491="","",W491&amp;"-"&amp;TEXT(X491,"00"))</f>
        <v/>
      </c>
      <c r="AJ491" s="7" t="str">
        <f aca="false">IF(W491="","",W491*12+X491)</f>
        <v/>
      </c>
      <c r="AK491" s="7" t="str">
        <f aca="false">IF(U491="تاخیر",V491+ROW()/100000,"")</f>
        <v/>
      </c>
    </row>
    <row r="492" customFormat="false" ht="15" hidden="false" customHeight="false" outlineLevel="0" collapsed="false">
      <c r="A492" s="7" t="str">
        <f aca="false">IF(B492="","",ROW()-3)</f>
        <v/>
      </c>
      <c r="B492" s="8"/>
      <c r="C492" s="8"/>
      <c r="D492" s="8"/>
      <c r="E492" s="9"/>
      <c r="F492" s="9"/>
      <c r="G492" s="8"/>
      <c r="H492" s="8"/>
      <c r="I492" s="8"/>
      <c r="J492" s="9"/>
      <c r="K492" s="8"/>
      <c r="L492" s="8"/>
      <c r="M492" s="8"/>
      <c r="N492" s="8"/>
      <c r="O492" s="8"/>
      <c r="P492" s="8"/>
      <c r="Q492" s="8"/>
      <c r="R492" s="9"/>
      <c r="S492" s="8"/>
      <c r="T492" s="9"/>
      <c r="U492" s="10" t="str">
        <f aca="true">IF(B492="","",IF(OR(P492&lt;&gt;"",I492="می‌باشد"),"بسته",IF(AND(L492&lt;&gt;"",W492=""),"خطای فرمت تاریخ ایجاد",IF(AND(H492&lt;&gt;"",AA492=""),"خطای فرمت مهلت",IF(AND(H492&lt;&gt;"",AD492&lt;&gt;"",TODAY()&gt;AD492),"تاخیر",IF(L492&lt;&gt;"","در حال انجام",""))))))</f>
        <v/>
      </c>
      <c r="V492" s="7" t="n">
        <f aca="true">IF(U492="تاخیر",TODAY()-AD492,IF(AND(U492="بسته",AH492&lt;&gt;"",AD492&lt;&gt;"",AH492&gt;AD492),AH492-AD492,0))</f>
        <v>0</v>
      </c>
      <c r="W492" s="7" t="str">
        <f aca="false">IF(L492="","",VALUE(LEFT(L492,FIND("/",L492)-1)))</f>
        <v/>
      </c>
      <c r="X492" s="7" t="str">
        <f aca="false">IF(L492="","",VALUE(MID(L492,FIND("/",L492)+1,FIND("/",L492,FIND("/",L492)+1)-FIND("/",L492)-1)))</f>
        <v/>
      </c>
      <c r="Y492" s="7" t="str">
        <f aca="false">IF(L492="","",VALUE(MID(L492,FIND("/",L492,FIND("/",L492)+1)+1,LEN(L492)-FIND("/",L492,FIND("/",L492)+1))))</f>
        <v/>
      </c>
      <c r="Z492" s="7" t="str">
        <f aca="false">IF(OR(L492="",W492=""),"",IFERROR(INDEX('لیست‌ها'!$Q$3:$Q$53,MATCH(W492,'لیست‌ها'!$P$3:$P$53,0))+IF(X492&lt;=6,(X492-1)*31+Y492,IF(X492&lt;=11,186+(X492-7)*30+Y492,336+Y492))-1,""))</f>
        <v/>
      </c>
      <c r="AA492" s="7" t="str">
        <f aca="false">IF(H492="","",VALUE(LEFT(H492,FIND("/",H492)-1)))</f>
        <v/>
      </c>
      <c r="AB492" s="7" t="str">
        <f aca="false">IF(H492="","",VALUE(MID(H492,FIND("/",H492)+1,FIND("/",H492,FIND("/",H492)+1)-FIND("/",H492)-1)))</f>
        <v/>
      </c>
      <c r="AC492" s="7" t="str">
        <f aca="false">IF(H492="","",VALUE(MID(H492,FIND("/",H492,FIND("/",H492)+1)+1,LEN(H492)-FIND("/",H492,FIND("/",H492)+1))))</f>
        <v/>
      </c>
      <c r="AD492" s="7" t="str">
        <f aca="false">IF(OR(H492="",AA492=""),"",IFERROR(INDEX('لیست‌ها'!$Q$3:$Q$53,MATCH(AA492,'لیست‌ها'!$P$3:$P$53,0))+IF(AB492&lt;=6,(AB492-1)*31+AC492,IF(AB492&lt;=11,186+(AB492-7)*30+AC492,336+AC492))-1,""))</f>
        <v/>
      </c>
      <c r="AE492" s="7" t="str">
        <f aca="false">IF(P492="","",VALUE(LEFT(P492,FIND("/",P492)-1)))</f>
        <v/>
      </c>
      <c r="AF492" s="7" t="str">
        <f aca="false">IF(P492="","",VALUE(MID(P492,FIND("/",P492)+1,FIND("/",P492,FIND("/",P492)+1)-FIND("/",P492)-1)))</f>
        <v/>
      </c>
      <c r="AG492" s="7" t="str">
        <f aca="false">IF(P492="","",VALUE(MID(P492,FIND("/",P492,FIND("/",P492)+1)+1,LEN(P492)-FIND("/",P492,FIND("/",P492)+1))))</f>
        <v/>
      </c>
      <c r="AH492" s="7" t="str">
        <f aca="false">IF(OR(P492="",AE492=""),"",IFERROR(INDEX('لیست‌ها'!$Q$3:$Q$53,MATCH(AE492,'لیست‌ها'!$P$3:$P$53,0))+IF(AF492&lt;=6,(AF492-1)*31+AG492,IF(AF492&lt;=11,186+(AF492-7)*30+AG492,336+AG492))-1,""))</f>
        <v/>
      </c>
      <c r="AI492" s="7" t="str">
        <f aca="false">IF(W492="","",W492&amp;"-"&amp;TEXT(X492,"00"))</f>
        <v/>
      </c>
      <c r="AJ492" s="7" t="str">
        <f aca="false">IF(W492="","",W492*12+X492)</f>
        <v/>
      </c>
      <c r="AK492" s="7" t="str">
        <f aca="false">IF(U492="تاخیر",V492+ROW()/100000,"")</f>
        <v/>
      </c>
    </row>
    <row r="493" customFormat="false" ht="15" hidden="false" customHeight="false" outlineLevel="0" collapsed="false">
      <c r="A493" s="7" t="str">
        <f aca="false">IF(B493="","",ROW()-3)</f>
        <v/>
      </c>
      <c r="B493" s="8"/>
      <c r="C493" s="8"/>
      <c r="D493" s="8"/>
      <c r="E493" s="9"/>
      <c r="F493" s="9"/>
      <c r="G493" s="8"/>
      <c r="H493" s="8"/>
      <c r="I493" s="8"/>
      <c r="J493" s="9"/>
      <c r="K493" s="8"/>
      <c r="L493" s="8"/>
      <c r="M493" s="8"/>
      <c r="N493" s="8"/>
      <c r="O493" s="8"/>
      <c r="P493" s="8"/>
      <c r="Q493" s="8"/>
      <c r="R493" s="9"/>
      <c r="S493" s="8"/>
      <c r="T493" s="9"/>
      <c r="U493" s="10" t="str">
        <f aca="true">IF(B493="","",IF(OR(P493&lt;&gt;"",I493="می‌باشد"),"بسته",IF(AND(L493&lt;&gt;"",W493=""),"خطای فرمت تاریخ ایجاد",IF(AND(H493&lt;&gt;"",AA493=""),"خطای فرمت مهلت",IF(AND(H493&lt;&gt;"",AD493&lt;&gt;"",TODAY()&gt;AD493),"تاخیر",IF(L493&lt;&gt;"","در حال انجام",""))))))</f>
        <v/>
      </c>
      <c r="V493" s="7" t="n">
        <f aca="true">IF(U493="تاخیر",TODAY()-AD493,IF(AND(U493="بسته",AH493&lt;&gt;"",AD493&lt;&gt;"",AH493&gt;AD493),AH493-AD493,0))</f>
        <v>0</v>
      </c>
      <c r="W493" s="7" t="str">
        <f aca="false">IF(L493="","",VALUE(LEFT(L493,FIND("/",L493)-1)))</f>
        <v/>
      </c>
      <c r="X493" s="7" t="str">
        <f aca="false">IF(L493="","",VALUE(MID(L493,FIND("/",L493)+1,FIND("/",L493,FIND("/",L493)+1)-FIND("/",L493)-1)))</f>
        <v/>
      </c>
      <c r="Y493" s="7" t="str">
        <f aca="false">IF(L493="","",VALUE(MID(L493,FIND("/",L493,FIND("/",L493)+1)+1,LEN(L493)-FIND("/",L493,FIND("/",L493)+1))))</f>
        <v/>
      </c>
      <c r="Z493" s="7" t="str">
        <f aca="false">IF(OR(L493="",W493=""),"",IFERROR(INDEX('لیست‌ها'!$Q$3:$Q$53,MATCH(W493,'لیست‌ها'!$P$3:$P$53,0))+IF(X493&lt;=6,(X493-1)*31+Y493,IF(X493&lt;=11,186+(X493-7)*30+Y493,336+Y493))-1,""))</f>
        <v/>
      </c>
      <c r="AA493" s="7" t="str">
        <f aca="false">IF(H493="","",VALUE(LEFT(H493,FIND("/",H493)-1)))</f>
        <v/>
      </c>
      <c r="AB493" s="7" t="str">
        <f aca="false">IF(H493="","",VALUE(MID(H493,FIND("/",H493)+1,FIND("/",H493,FIND("/",H493)+1)-FIND("/",H493)-1)))</f>
        <v/>
      </c>
      <c r="AC493" s="7" t="str">
        <f aca="false">IF(H493="","",VALUE(MID(H493,FIND("/",H493,FIND("/",H493)+1)+1,LEN(H493)-FIND("/",H493,FIND("/",H493)+1))))</f>
        <v/>
      </c>
      <c r="AD493" s="7" t="str">
        <f aca="false">IF(OR(H493="",AA493=""),"",IFERROR(INDEX('لیست‌ها'!$Q$3:$Q$53,MATCH(AA493,'لیست‌ها'!$P$3:$P$53,0))+IF(AB493&lt;=6,(AB493-1)*31+AC493,IF(AB493&lt;=11,186+(AB493-7)*30+AC493,336+AC493))-1,""))</f>
        <v/>
      </c>
      <c r="AE493" s="7" t="str">
        <f aca="false">IF(P493="","",VALUE(LEFT(P493,FIND("/",P493)-1)))</f>
        <v/>
      </c>
      <c r="AF493" s="7" t="str">
        <f aca="false">IF(P493="","",VALUE(MID(P493,FIND("/",P493)+1,FIND("/",P493,FIND("/",P493)+1)-FIND("/",P493)-1)))</f>
        <v/>
      </c>
      <c r="AG493" s="7" t="str">
        <f aca="false">IF(P493="","",VALUE(MID(P493,FIND("/",P493,FIND("/",P493)+1)+1,LEN(P493)-FIND("/",P493,FIND("/",P493)+1))))</f>
        <v/>
      </c>
      <c r="AH493" s="7" t="str">
        <f aca="false">IF(OR(P493="",AE493=""),"",IFERROR(INDEX('لیست‌ها'!$Q$3:$Q$53,MATCH(AE493,'لیست‌ها'!$P$3:$P$53,0))+IF(AF493&lt;=6,(AF493-1)*31+AG493,IF(AF493&lt;=11,186+(AF493-7)*30+AG493,336+AG493))-1,""))</f>
        <v/>
      </c>
      <c r="AI493" s="7" t="str">
        <f aca="false">IF(W493="","",W493&amp;"-"&amp;TEXT(X493,"00"))</f>
        <v/>
      </c>
      <c r="AJ493" s="7" t="str">
        <f aca="false">IF(W493="","",W493*12+X493)</f>
        <v/>
      </c>
      <c r="AK493" s="7" t="str">
        <f aca="false">IF(U493="تاخیر",V493+ROW()/100000,"")</f>
        <v/>
      </c>
    </row>
    <row r="494" customFormat="false" ht="15" hidden="false" customHeight="false" outlineLevel="0" collapsed="false">
      <c r="A494" s="7" t="str">
        <f aca="false">IF(B494="","",ROW()-3)</f>
        <v/>
      </c>
      <c r="B494" s="8"/>
      <c r="C494" s="8"/>
      <c r="D494" s="8"/>
      <c r="E494" s="9"/>
      <c r="F494" s="9"/>
      <c r="G494" s="8"/>
      <c r="H494" s="8"/>
      <c r="I494" s="8"/>
      <c r="J494" s="9"/>
      <c r="K494" s="8"/>
      <c r="L494" s="8"/>
      <c r="M494" s="8"/>
      <c r="N494" s="8"/>
      <c r="O494" s="8"/>
      <c r="P494" s="8"/>
      <c r="Q494" s="8"/>
      <c r="R494" s="9"/>
      <c r="S494" s="8"/>
      <c r="T494" s="9"/>
      <c r="U494" s="10" t="str">
        <f aca="true">IF(B494="","",IF(OR(P494&lt;&gt;"",I494="می‌باشد"),"بسته",IF(AND(L494&lt;&gt;"",W494=""),"خطای فرمت تاریخ ایجاد",IF(AND(H494&lt;&gt;"",AA494=""),"خطای فرمت مهلت",IF(AND(H494&lt;&gt;"",AD494&lt;&gt;"",TODAY()&gt;AD494),"تاخیر",IF(L494&lt;&gt;"","در حال انجام",""))))))</f>
        <v/>
      </c>
      <c r="V494" s="7" t="n">
        <f aca="true">IF(U494="تاخیر",TODAY()-AD494,IF(AND(U494="بسته",AH494&lt;&gt;"",AD494&lt;&gt;"",AH494&gt;AD494),AH494-AD494,0))</f>
        <v>0</v>
      </c>
      <c r="W494" s="7" t="str">
        <f aca="false">IF(L494="","",VALUE(LEFT(L494,FIND("/",L494)-1)))</f>
        <v/>
      </c>
      <c r="X494" s="7" t="str">
        <f aca="false">IF(L494="","",VALUE(MID(L494,FIND("/",L494)+1,FIND("/",L494,FIND("/",L494)+1)-FIND("/",L494)-1)))</f>
        <v/>
      </c>
      <c r="Y494" s="7" t="str">
        <f aca="false">IF(L494="","",VALUE(MID(L494,FIND("/",L494,FIND("/",L494)+1)+1,LEN(L494)-FIND("/",L494,FIND("/",L494)+1))))</f>
        <v/>
      </c>
      <c r="Z494" s="7" t="str">
        <f aca="false">IF(OR(L494="",W494=""),"",IFERROR(INDEX('لیست‌ها'!$Q$3:$Q$53,MATCH(W494,'لیست‌ها'!$P$3:$P$53,0))+IF(X494&lt;=6,(X494-1)*31+Y494,IF(X494&lt;=11,186+(X494-7)*30+Y494,336+Y494))-1,""))</f>
        <v/>
      </c>
      <c r="AA494" s="7" t="str">
        <f aca="false">IF(H494="","",VALUE(LEFT(H494,FIND("/",H494)-1)))</f>
        <v/>
      </c>
      <c r="AB494" s="7" t="str">
        <f aca="false">IF(H494="","",VALUE(MID(H494,FIND("/",H494)+1,FIND("/",H494,FIND("/",H494)+1)-FIND("/",H494)-1)))</f>
        <v/>
      </c>
      <c r="AC494" s="7" t="str">
        <f aca="false">IF(H494="","",VALUE(MID(H494,FIND("/",H494,FIND("/",H494)+1)+1,LEN(H494)-FIND("/",H494,FIND("/",H494)+1))))</f>
        <v/>
      </c>
      <c r="AD494" s="7" t="str">
        <f aca="false">IF(OR(H494="",AA494=""),"",IFERROR(INDEX('لیست‌ها'!$Q$3:$Q$53,MATCH(AA494,'لیست‌ها'!$P$3:$P$53,0))+IF(AB494&lt;=6,(AB494-1)*31+AC494,IF(AB494&lt;=11,186+(AB494-7)*30+AC494,336+AC494))-1,""))</f>
        <v/>
      </c>
      <c r="AE494" s="7" t="str">
        <f aca="false">IF(P494="","",VALUE(LEFT(P494,FIND("/",P494)-1)))</f>
        <v/>
      </c>
      <c r="AF494" s="7" t="str">
        <f aca="false">IF(P494="","",VALUE(MID(P494,FIND("/",P494)+1,FIND("/",P494,FIND("/",P494)+1)-FIND("/",P494)-1)))</f>
        <v/>
      </c>
      <c r="AG494" s="7" t="str">
        <f aca="false">IF(P494="","",VALUE(MID(P494,FIND("/",P494,FIND("/",P494)+1)+1,LEN(P494)-FIND("/",P494,FIND("/",P494)+1))))</f>
        <v/>
      </c>
      <c r="AH494" s="7" t="str">
        <f aca="false">IF(OR(P494="",AE494=""),"",IFERROR(INDEX('لیست‌ها'!$Q$3:$Q$53,MATCH(AE494,'لیست‌ها'!$P$3:$P$53,0))+IF(AF494&lt;=6,(AF494-1)*31+AG494,IF(AF494&lt;=11,186+(AF494-7)*30+AG494,336+AG494))-1,""))</f>
        <v/>
      </c>
      <c r="AI494" s="7" t="str">
        <f aca="false">IF(W494="","",W494&amp;"-"&amp;TEXT(X494,"00"))</f>
        <v/>
      </c>
      <c r="AJ494" s="7" t="str">
        <f aca="false">IF(W494="","",W494*12+X494)</f>
        <v/>
      </c>
      <c r="AK494" s="7" t="str">
        <f aca="false">IF(U494="تاخیر",V494+ROW()/100000,"")</f>
        <v/>
      </c>
    </row>
    <row r="495" customFormat="false" ht="15" hidden="false" customHeight="false" outlineLevel="0" collapsed="false">
      <c r="A495" s="7" t="str">
        <f aca="false">IF(B495="","",ROW()-3)</f>
        <v/>
      </c>
      <c r="B495" s="8"/>
      <c r="C495" s="8"/>
      <c r="D495" s="8"/>
      <c r="E495" s="9"/>
      <c r="F495" s="9"/>
      <c r="G495" s="8"/>
      <c r="H495" s="8"/>
      <c r="I495" s="8"/>
      <c r="J495" s="9"/>
      <c r="K495" s="8"/>
      <c r="L495" s="8"/>
      <c r="M495" s="8"/>
      <c r="N495" s="8"/>
      <c r="O495" s="8"/>
      <c r="P495" s="8"/>
      <c r="Q495" s="8"/>
      <c r="R495" s="9"/>
      <c r="S495" s="8"/>
      <c r="T495" s="9"/>
      <c r="U495" s="10" t="str">
        <f aca="true">IF(B495="","",IF(OR(P495&lt;&gt;"",I495="می‌باشد"),"بسته",IF(AND(L495&lt;&gt;"",W495=""),"خطای فرمت تاریخ ایجاد",IF(AND(H495&lt;&gt;"",AA495=""),"خطای فرمت مهلت",IF(AND(H495&lt;&gt;"",AD495&lt;&gt;"",TODAY()&gt;AD495),"تاخیر",IF(L495&lt;&gt;"","در حال انجام",""))))))</f>
        <v/>
      </c>
      <c r="V495" s="7" t="n">
        <f aca="true">IF(U495="تاخیر",TODAY()-AD495,IF(AND(U495="بسته",AH495&lt;&gt;"",AD495&lt;&gt;"",AH495&gt;AD495),AH495-AD495,0))</f>
        <v>0</v>
      </c>
      <c r="W495" s="7" t="str">
        <f aca="false">IF(L495="","",VALUE(LEFT(L495,FIND("/",L495)-1)))</f>
        <v/>
      </c>
      <c r="X495" s="7" t="str">
        <f aca="false">IF(L495="","",VALUE(MID(L495,FIND("/",L495)+1,FIND("/",L495,FIND("/",L495)+1)-FIND("/",L495)-1)))</f>
        <v/>
      </c>
      <c r="Y495" s="7" t="str">
        <f aca="false">IF(L495="","",VALUE(MID(L495,FIND("/",L495,FIND("/",L495)+1)+1,LEN(L495)-FIND("/",L495,FIND("/",L495)+1))))</f>
        <v/>
      </c>
      <c r="Z495" s="7" t="str">
        <f aca="false">IF(OR(L495="",W495=""),"",IFERROR(INDEX('لیست‌ها'!$Q$3:$Q$53,MATCH(W495,'لیست‌ها'!$P$3:$P$53,0))+IF(X495&lt;=6,(X495-1)*31+Y495,IF(X495&lt;=11,186+(X495-7)*30+Y495,336+Y495))-1,""))</f>
        <v/>
      </c>
      <c r="AA495" s="7" t="str">
        <f aca="false">IF(H495="","",VALUE(LEFT(H495,FIND("/",H495)-1)))</f>
        <v/>
      </c>
      <c r="AB495" s="7" t="str">
        <f aca="false">IF(H495="","",VALUE(MID(H495,FIND("/",H495)+1,FIND("/",H495,FIND("/",H495)+1)-FIND("/",H495)-1)))</f>
        <v/>
      </c>
      <c r="AC495" s="7" t="str">
        <f aca="false">IF(H495="","",VALUE(MID(H495,FIND("/",H495,FIND("/",H495)+1)+1,LEN(H495)-FIND("/",H495,FIND("/",H495)+1))))</f>
        <v/>
      </c>
      <c r="AD495" s="7" t="str">
        <f aca="false">IF(OR(H495="",AA495=""),"",IFERROR(INDEX('لیست‌ها'!$Q$3:$Q$53,MATCH(AA495,'لیست‌ها'!$P$3:$P$53,0))+IF(AB495&lt;=6,(AB495-1)*31+AC495,IF(AB495&lt;=11,186+(AB495-7)*30+AC495,336+AC495))-1,""))</f>
        <v/>
      </c>
      <c r="AE495" s="7" t="str">
        <f aca="false">IF(P495="","",VALUE(LEFT(P495,FIND("/",P495)-1)))</f>
        <v/>
      </c>
      <c r="AF495" s="7" t="str">
        <f aca="false">IF(P495="","",VALUE(MID(P495,FIND("/",P495)+1,FIND("/",P495,FIND("/",P495)+1)-FIND("/",P495)-1)))</f>
        <v/>
      </c>
      <c r="AG495" s="7" t="str">
        <f aca="false">IF(P495="","",VALUE(MID(P495,FIND("/",P495,FIND("/",P495)+1)+1,LEN(P495)-FIND("/",P495,FIND("/",P495)+1))))</f>
        <v/>
      </c>
      <c r="AH495" s="7" t="str">
        <f aca="false">IF(OR(P495="",AE495=""),"",IFERROR(INDEX('لیست‌ها'!$Q$3:$Q$53,MATCH(AE495,'لیست‌ها'!$P$3:$P$53,0))+IF(AF495&lt;=6,(AF495-1)*31+AG495,IF(AF495&lt;=11,186+(AF495-7)*30+AG495,336+AG495))-1,""))</f>
        <v/>
      </c>
      <c r="AI495" s="7" t="str">
        <f aca="false">IF(W495="","",W495&amp;"-"&amp;TEXT(X495,"00"))</f>
        <v/>
      </c>
      <c r="AJ495" s="7" t="str">
        <f aca="false">IF(W495="","",W495*12+X495)</f>
        <v/>
      </c>
      <c r="AK495" s="7" t="str">
        <f aca="false">IF(U495="تاخیر",V495+ROW()/100000,"")</f>
        <v/>
      </c>
    </row>
    <row r="496" customFormat="false" ht="15" hidden="false" customHeight="false" outlineLevel="0" collapsed="false">
      <c r="A496" s="7" t="str">
        <f aca="false">IF(B496="","",ROW()-3)</f>
        <v/>
      </c>
      <c r="B496" s="8"/>
      <c r="C496" s="8"/>
      <c r="D496" s="8"/>
      <c r="E496" s="9"/>
      <c r="F496" s="9"/>
      <c r="G496" s="8"/>
      <c r="H496" s="8"/>
      <c r="I496" s="8"/>
      <c r="J496" s="9"/>
      <c r="K496" s="8"/>
      <c r="L496" s="8"/>
      <c r="M496" s="8"/>
      <c r="N496" s="8"/>
      <c r="O496" s="8"/>
      <c r="P496" s="8"/>
      <c r="Q496" s="8"/>
      <c r="R496" s="9"/>
      <c r="S496" s="8"/>
      <c r="T496" s="9"/>
      <c r="U496" s="10" t="str">
        <f aca="true">IF(B496="","",IF(OR(P496&lt;&gt;"",I496="می‌باشد"),"بسته",IF(AND(L496&lt;&gt;"",W496=""),"خطای فرمت تاریخ ایجاد",IF(AND(H496&lt;&gt;"",AA496=""),"خطای فرمت مهلت",IF(AND(H496&lt;&gt;"",AD496&lt;&gt;"",TODAY()&gt;AD496),"تاخیر",IF(L496&lt;&gt;"","در حال انجام",""))))))</f>
        <v/>
      </c>
      <c r="V496" s="7" t="n">
        <f aca="true">IF(U496="تاخیر",TODAY()-AD496,IF(AND(U496="بسته",AH496&lt;&gt;"",AD496&lt;&gt;"",AH496&gt;AD496),AH496-AD496,0))</f>
        <v>0</v>
      </c>
      <c r="W496" s="7" t="str">
        <f aca="false">IF(L496="","",VALUE(LEFT(L496,FIND("/",L496)-1)))</f>
        <v/>
      </c>
      <c r="X496" s="7" t="str">
        <f aca="false">IF(L496="","",VALUE(MID(L496,FIND("/",L496)+1,FIND("/",L496,FIND("/",L496)+1)-FIND("/",L496)-1)))</f>
        <v/>
      </c>
      <c r="Y496" s="7" t="str">
        <f aca="false">IF(L496="","",VALUE(MID(L496,FIND("/",L496,FIND("/",L496)+1)+1,LEN(L496)-FIND("/",L496,FIND("/",L496)+1))))</f>
        <v/>
      </c>
      <c r="Z496" s="7" t="str">
        <f aca="false">IF(OR(L496="",W496=""),"",IFERROR(INDEX('لیست‌ها'!$Q$3:$Q$53,MATCH(W496,'لیست‌ها'!$P$3:$P$53,0))+IF(X496&lt;=6,(X496-1)*31+Y496,IF(X496&lt;=11,186+(X496-7)*30+Y496,336+Y496))-1,""))</f>
        <v/>
      </c>
      <c r="AA496" s="7" t="str">
        <f aca="false">IF(H496="","",VALUE(LEFT(H496,FIND("/",H496)-1)))</f>
        <v/>
      </c>
      <c r="AB496" s="7" t="str">
        <f aca="false">IF(H496="","",VALUE(MID(H496,FIND("/",H496)+1,FIND("/",H496,FIND("/",H496)+1)-FIND("/",H496)-1)))</f>
        <v/>
      </c>
      <c r="AC496" s="7" t="str">
        <f aca="false">IF(H496="","",VALUE(MID(H496,FIND("/",H496,FIND("/",H496)+1)+1,LEN(H496)-FIND("/",H496,FIND("/",H496)+1))))</f>
        <v/>
      </c>
      <c r="AD496" s="7" t="str">
        <f aca="false">IF(OR(H496="",AA496=""),"",IFERROR(INDEX('لیست‌ها'!$Q$3:$Q$53,MATCH(AA496,'لیست‌ها'!$P$3:$P$53,0))+IF(AB496&lt;=6,(AB496-1)*31+AC496,IF(AB496&lt;=11,186+(AB496-7)*30+AC496,336+AC496))-1,""))</f>
        <v/>
      </c>
      <c r="AE496" s="7" t="str">
        <f aca="false">IF(P496="","",VALUE(LEFT(P496,FIND("/",P496)-1)))</f>
        <v/>
      </c>
      <c r="AF496" s="7" t="str">
        <f aca="false">IF(P496="","",VALUE(MID(P496,FIND("/",P496)+1,FIND("/",P496,FIND("/",P496)+1)-FIND("/",P496)-1)))</f>
        <v/>
      </c>
      <c r="AG496" s="7" t="str">
        <f aca="false">IF(P496="","",VALUE(MID(P496,FIND("/",P496,FIND("/",P496)+1)+1,LEN(P496)-FIND("/",P496,FIND("/",P496)+1))))</f>
        <v/>
      </c>
      <c r="AH496" s="7" t="str">
        <f aca="false">IF(OR(P496="",AE496=""),"",IFERROR(INDEX('لیست‌ها'!$Q$3:$Q$53,MATCH(AE496,'لیست‌ها'!$P$3:$P$53,0))+IF(AF496&lt;=6,(AF496-1)*31+AG496,IF(AF496&lt;=11,186+(AF496-7)*30+AG496,336+AG496))-1,""))</f>
        <v/>
      </c>
      <c r="AI496" s="7" t="str">
        <f aca="false">IF(W496="","",W496&amp;"-"&amp;TEXT(X496,"00"))</f>
        <v/>
      </c>
      <c r="AJ496" s="7" t="str">
        <f aca="false">IF(W496="","",W496*12+X496)</f>
        <v/>
      </c>
      <c r="AK496" s="7" t="str">
        <f aca="false">IF(U496="تاخیر",V496+ROW()/100000,"")</f>
        <v/>
      </c>
    </row>
    <row r="497" customFormat="false" ht="15" hidden="false" customHeight="false" outlineLevel="0" collapsed="false">
      <c r="A497" s="7" t="str">
        <f aca="false">IF(B497="","",ROW()-3)</f>
        <v/>
      </c>
      <c r="B497" s="8"/>
      <c r="C497" s="8"/>
      <c r="D497" s="8"/>
      <c r="E497" s="9"/>
      <c r="F497" s="9"/>
      <c r="G497" s="8"/>
      <c r="H497" s="8"/>
      <c r="I497" s="8"/>
      <c r="J497" s="9"/>
      <c r="K497" s="8"/>
      <c r="L497" s="8"/>
      <c r="M497" s="8"/>
      <c r="N497" s="8"/>
      <c r="O497" s="8"/>
      <c r="P497" s="8"/>
      <c r="Q497" s="8"/>
      <c r="R497" s="9"/>
      <c r="S497" s="8"/>
      <c r="T497" s="9"/>
      <c r="U497" s="10" t="str">
        <f aca="true">IF(B497="","",IF(OR(P497&lt;&gt;"",I497="می‌باشد"),"بسته",IF(AND(L497&lt;&gt;"",W497=""),"خطای فرمت تاریخ ایجاد",IF(AND(H497&lt;&gt;"",AA497=""),"خطای فرمت مهلت",IF(AND(H497&lt;&gt;"",AD497&lt;&gt;"",TODAY()&gt;AD497),"تاخیر",IF(L497&lt;&gt;"","در حال انجام",""))))))</f>
        <v/>
      </c>
      <c r="V497" s="7" t="n">
        <f aca="true">IF(U497="تاخیر",TODAY()-AD497,IF(AND(U497="بسته",AH497&lt;&gt;"",AD497&lt;&gt;"",AH497&gt;AD497),AH497-AD497,0))</f>
        <v>0</v>
      </c>
      <c r="W497" s="7" t="str">
        <f aca="false">IF(L497="","",VALUE(LEFT(L497,FIND("/",L497)-1)))</f>
        <v/>
      </c>
      <c r="X497" s="7" t="str">
        <f aca="false">IF(L497="","",VALUE(MID(L497,FIND("/",L497)+1,FIND("/",L497,FIND("/",L497)+1)-FIND("/",L497)-1)))</f>
        <v/>
      </c>
      <c r="Y497" s="7" t="str">
        <f aca="false">IF(L497="","",VALUE(MID(L497,FIND("/",L497,FIND("/",L497)+1)+1,LEN(L497)-FIND("/",L497,FIND("/",L497)+1))))</f>
        <v/>
      </c>
      <c r="Z497" s="7" t="str">
        <f aca="false">IF(OR(L497="",W497=""),"",IFERROR(INDEX('لیست‌ها'!$Q$3:$Q$53,MATCH(W497,'لیست‌ها'!$P$3:$P$53,0))+IF(X497&lt;=6,(X497-1)*31+Y497,IF(X497&lt;=11,186+(X497-7)*30+Y497,336+Y497))-1,""))</f>
        <v/>
      </c>
      <c r="AA497" s="7" t="str">
        <f aca="false">IF(H497="","",VALUE(LEFT(H497,FIND("/",H497)-1)))</f>
        <v/>
      </c>
      <c r="AB497" s="7" t="str">
        <f aca="false">IF(H497="","",VALUE(MID(H497,FIND("/",H497)+1,FIND("/",H497,FIND("/",H497)+1)-FIND("/",H497)-1)))</f>
        <v/>
      </c>
      <c r="AC497" s="7" t="str">
        <f aca="false">IF(H497="","",VALUE(MID(H497,FIND("/",H497,FIND("/",H497)+1)+1,LEN(H497)-FIND("/",H497,FIND("/",H497)+1))))</f>
        <v/>
      </c>
      <c r="AD497" s="7" t="str">
        <f aca="false">IF(OR(H497="",AA497=""),"",IFERROR(INDEX('لیست‌ها'!$Q$3:$Q$53,MATCH(AA497,'لیست‌ها'!$P$3:$P$53,0))+IF(AB497&lt;=6,(AB497-1)*31+AC497,IF(AB497&lt;=11,186+(AB497-7)*30+AC497,336+AC497))-1,""))</f>
        <v/>
      </c>
      <c r="AE497" s="7" t="str">
        <f aca="false">IF(P497="","",VALUE(LEFT(P497,FIND("/",P497)-1)))</f>
        <v/>
      </c>
      <c r="AF497" s="7" t="str">
        <f aca="false">IF(P497="","",VALUE(MID(P497,FIND("/",P497)+1,FIND("/",P497,FIND("/",P497)+1)-FIND("/",P497)-1)))</f>
        <v/>
      </c>
      <c r="AG497" s="7" t="str">
        <f aca="false">IF(P497="","",VALUE(MID(P497,FIND("/",P497,FIND("/",P497)+1)+1,LEN(P497)-FIND("/",P497,FIND("/",P497)+1))))</f>
        <v/>
      </c>
      <c r="AH497" s="7" t="str">
        <f aca="false">IF(OR(P497="",AE497=""),"",IFERROR(INDEX('لیست‌ها'!$Q$3:$Q$53,MATCH(AE497,'لیست‌ها'!$P$3:$P$53,0))+IF(AF497&lt;=6,(AF497-1)*31+AG497,IF(AF497&lt;=11,186+(AF497-7)*30+AG497,336+AG497))-1,""))</f>
        <v/>
      </c>
      <c r="AI497" s="7" t="str">
        <f aca="false">IF(W497="","",W497&amp;"-"&amp;TEXT(X497,"00"))</f>
        <v/>
      </c>
      <c r="AJ497" s="7" t="str">
        <f aca="false">IF(W497="","",W497*12+X497)</f>
        <v/>
      </c>
      <c r="AK497" s="7" t="str">
        <f aca="false">IF(U497="تاخیر",V497+ROW()/100000,"")</f>
        <v/>
      </c>
    </row>
    <row r="498" customFormat="false" ht="15" hidden="false" customHeight="false" outlineLevel="0" collapsed="false">
      <c r="A498" s="7" t="str">
        <f aca="false">IF(B498="","",ROW()-3)</f>
        <v/>
      </c>
      <c r="B498" s="8"/>
      <c r="C498" s="8"/>
      <c r="D498" s="8"/>
      <c r="E498" s="9"/>
      <c r="F498" s="9"/>
      <c r="G498" s="8"/>
      <c r="H498" s="8"/>
      <c r="I498" s="8"/>
      <c r="J498" s="9"/>
      <c r="K498" s="8"/>
      <c r="L498" s="8"/>
      <c r="M498" s="8"/>
      <c r="N498" s="8"/>
      <c r="O498" s="8"/>
      <c r="P498" s="8"/>
      <c r="Q498" s="8"/>
      <c r="R498" s="9"/>
      <c r="S498" s="8"/>
      <c r="T498" s="9"/>
      <c r="U498" s="10" t="str">
        <f aca="true">IF(B498="","",IF(OR(P498&lt;&gt;"",I498="می‌باشد"),"بسته",IF(AND(L498&lt;&gt;"",W498=""),"خطای فرمت تاریخ ایجاد",IF(AND(H498&lt;&gt;"",AA498=""),"خطای فرمت مهلت",IF(AND(H498&lt;&gt;"",AD498&lt;&gt;"",TODAY()&gt;AD498),"تاخیر",IF(L498&lt;&gt;"","در حال انجام",""))))))</f>
        <v/>
      </c>
      <c r="V498" s="7" t="n">
        <f aca="true">IF(U498="تاخیر",TODAY()-AD498,IF(AND(U498="بسته",AH498&lt;&gt;"",AD498&lt;&gt;"",AH498&gt;AD498),AH498-AD498,0))</f>
        <v>0</v>
      </c>
      <c r="W498" s="7" t="str">
        <f aca="false">IF(L498="","",VALUE(LEFT(L498,FIND("/",L498)-1)))</f>
        <v/>
      </c>
      <c r="X498" s="7" t="str">
        <f aca="false">IF(L498="","",VALUE(MID(L498,FIND("/",L498)+1,FIND("/",L498,FIND("/",L498)+1)-FIND("/",L498)-1)))</f>
        <v/>
      </c>
      <c r="Y498" s="7" t="str">
        <f aca="false">IF(L498="","",VALUE(MID(L498,FIND("/",L498,FIND("/",L498)+1)+1,LEN(L498)-FIND("/",L498,FIND("/",L498)+1))))</f>
        <v/>
      </c>
      <c r="Z498" s="7" t="str">
        <f aca="false">IF(OR(L498="",W498=""),"",IFERROR(INDEX('لیست‌ها'!$Q$3:$Q$53,MATCH(W498,'لیست‌ها'!$P$3:$P$53,0))+IF(X498&lt;=6,(X498-1)*31+Y498,IF(X498&lt;=11,186+(X498-7)*30+Y498,336+Y498))-1,""))</f>
        <v/>
      </c>
      <c r="AA498" s="7" t="str">
        <f aca="false">IF(H498="","",VALUE(LEFT(H498,FIND("/",H498)-1)))</f>
        <v/>
      </c>
      <c r="AB498" s="7" t="str">
        <f aca="false">IF(H498="","",VALUE(MID(H498,FIND("/",H498)+1,FIND("/",H498,FIND("/",H498)+1)-FIND("/",H498)-1)))</f>
        <v/>
      </c>
      <c r="AC498" s="7" t="str">
        <f aca="false">IF(H498="","",VALUE(MID(H498,FIND("/",H498,FIND("/",H498)+1)+1,LEN(H498)-FIND("/",H498,FIND("/",H498)+1))))</f>
        <v/>
      </c>
      <c r="AD498" s="7" t="str">
        <f aca="false">IF(OR(H498="",AA498=""),"",IFERROR(INDEX('لیست‌ها'!$Q$3:$Q$53,MATCH(AA498,'لیست‌ها'!$P$3:$P$53,0))+IF(AB498&lt;=6,(AB498-1)*31+AC498,IF(AB498&lt;=11,186+(AB498-7)*30+AC498,336+AC498))-1,""))</f>
        <v/>
      </c>
      <c r="AE498" s="7" t="str">
        <f aca="false">IF(P498="","",VALUE(LEFT(P498,FIND("/",P498)-1)))</f>
        <v/>
      </c>
      <c r="AF498" s="7" t="str">
        <f aca="false">IF(P498="","",VALUE(MID(P498,FIND("/",P498)+1,FIND("/",P498,FIND("/",P498)+1)-FIND("/",P498)-1)))</f>
        <v/>
      </c>
      <c r="AG498" s="7" t="str">
        <f aca="false">IF(P498="","",VALUE(MID(P498,FIND("/",P498,FIND("/",P498)+1)+1,LEN(P498)-FIND("/",P498,FIND("/",P498)+1))))</f>
        <v/>
      </c>
      <c r="AH498" s="7" t="str">
        <f aca="false">IF(OR(P498="",AE498=""),"",IFERROR(INDEX('لیست‌ها'!$Q$3:$Q$53,MATCH(AE498,'لیست‌ها'!$P$3:$P$53,0))+IF(AF498&lt;=6,(AF498-1)*31+AG498,IF(AF498&lt;=11,186+(AF498-7)*30+AG498,336+AG498))-1,""))</f>
        <v/>
      </c>
      <c r="AI498" s="7" t="str">
        <f aca="false">IF(W498="","",W498&amp;"-"&amp;TEXT(X498,"00"))</f>
        <v/>
      </c>
      <c r="AJ498" s="7" t="str">
        <f aca="false">IF(W498="","",W498*12+X498)</f>
        <v/>
      </c>
      <c r="AK498" s="7" t="str">
        <f aca="false">IF(U498="تاخیر",V498+ROW()/100000,"")</f>
        <v/>
      </c>
    </row>
    <row r="499" customFormat="false" ht="15" hidden="false" customHeight="false" outlineLevel="0" collapsed="false">
      <c r="A499" s="7" t="str">
        <f aca="false">IF(B499="","",ROW()-3)</f>
        <v/>
      </c>
      <c r="B499" s="8"/>
      <c r="C499" s="8"/>
      <c r="D499" s="8"/>
      <c r="E499" s="9"/>
      <c r="F499" s="9"/>
      <c r="G499" s="8"/>
      <c r="H499" s="8"/>
      <c r="I499" s="8"/>
      <c r="J499" s="9"/>
      <c r="K499" s="8"/>
      <c r="L499" s="8"/>
      <c r="M499" s="8"/>
      <c r="N499" s="8"/>
      <c r="O499" s="8"/>
      <c r="P499" s="8"/>
      <c r="Q499" s="8"/>
      <c r="R499" s="9"/>
      <c r="S499" s="8"/>
      <c r="T499" s="9"/>
      <c r="U499" s="10" t="str">
        <f aca="true">IF(B499="","",IF(OR(P499&lt;&gt;"",I499="می‌باشد"),"بسته",IF(AND(L499&lt;&gt;"",W499=""),"خطای فرمت تاریخ ایجاد",IF(AND(H499&lt;&gt;"",AA499=""),"خطای فرمت مهلت",IF(AND(H499&lt;&gt;"",AD499&lt;&gt;"",TODAY()&gt;AD499),"تاخیر",IF(L499&lt;&gt;"","در حال انجام",""))))))</f>
        <v/>
      </c>
      <c r="V499" s="7" t="n">
        <f aca="true">IF(U499="تاخیر",TODAY()-AD499,IF(AND(U499="بسته",AH499&lt;&gt;"",AD499&lt;&gt;"",AH499&gt;AD499),AH499-AD499,0))</f>
        <v>0</v>
      </c>
      <c r="W499" s="7" t="str">
        <f aca="false">IF(L499="","",VALUE(LEFT(L499,FIND("/",L499)-1)))</f>
        <v/>
      </c>
      <c r="X499" s="7" t="str">
        <f aca="false">IF(L499="","",VALUE(MID(L499,FIND("/",L499)+1,FIND("/",L499,FIND("/",L499)+1)-FIND("/",L499)-1)))</f>
        <v/>
      </c>
      <c r="Y499" s="7" t="str">
        <f aca="false">IF(L499="","",VALUE(MID(L499,FIND("/",L499,FIND("/",L499)+1)+1,LEN(L499)-FIND("/",L499,FIND("/",L499)+1))))</f>
        <v/>
      </c>
      <c r="Z499" s="7" t="str">
        <f aca="false">IF(OR(L499="",W499=""),"",IFERROR(INDEX('لیست‌ها'!$Q$3:$Q$53,MATCH(W499,'لیست‌ها'!$P$3:$P$53,0))+IF(X499&lt;=6,(X499-1)*31+Y499,IF(X499&lt;=11,186+(X499-7)*30+Y499,336+Y499))-1,""))</f>
        <v/>
      </c>
      <c r="AA499" s="7" t="str">
        <f aca="false">IF(H499="","",VALUE(LEFT(H499,FIND("/",H499)-1)))</f>
        <v/>
      </c>
      <c r="AB499" s="7" t="str">
        <f aca="false">IF(H499="","",VALUE(MID(H499,FIND("/",H499)+1,FIND("/",H499,FIND("/",H499)+1)-FIND("/",H499)-1)))</f>
        <v/>
      </c>
      <c r="AC499" s="7" t="str">
        <f aca="false">IF(H499="","",VALUE(MID(H499,FIND("/",H499,FIND("/",H499)+1)+1,LEN(H499)-FIND("/",H499,FIND("/",H499)+1))))</f>
        <v/>
      </c>
      <c r="AD499" s="7" t="str">
        <f aca="false">IF(OR(H499="",AA499=""),"",IFERROR(INDEX('لیست‌ها'!$Q$3:$Q$53,MATCH(AA499,'لیست‌ها'!$P$3:$P$53,0))+IF(AB499&lt;=6,(AB499-1)*31+AC499,IF(AB499&lt;=11,186+(AB499-7)*30+AC499,336+AC499))-1,""))</f>
        <v/>
      </c>
      <c r="AE499" s="7" t="str">
        <f aca="false">IF(P499="","",VALUE(LEFT(P499,FIND("/",P499)-1)))</f>
        <v/>
      </c>
      <c r="AF499" s="7" t="str">
        <f aca="false">IF(P499="","",VALUE(MID(P499,FIND("/",P499)+1,FIND("/",P499,FIND("/",P499)+1)-FIND("/",P499)-1)))</f>
        <v/>
      </c>
      <c r="AG499" s="7" t="str">
        <f aca="false">IF(P499="","",VALUE(MID(P499,FIND("/",P499,FIND("/",P499)+1)+1,LEN(P499)-FIND("/",P499,FIND("/",P499)+1))))</f>
        <v/>
      </c>
      <c r="AH499" s="7" t="str">
        <f aca="false">IF(OR(P499="",AE499=""),"",IFERROR(INDEX('لیست‌ها'!$Q$3:$Q$53,MATCH(AE499,'لیست‌ها'!$P$3:$P$53,0))+IF(AF499&lt;=6,(AF499-1)*31+AG499,IF(AF499&lt;=11,186+(AF499-7)*30+AG499,336+AG499))-1,""))</f>
        <v/>
      </c>
      <c r="AI499" s="7" t="str">
        <f aca="false">IF(W499="","",W499&amp;"-"&amp;TEXT(X499,"00"))</f>
        <v/>
      </c>
      <c r="AJ499" s="7" t="str">
        <f aca="false">IF(W499="","",W499*12+X499)</f>
        <v/>
      </c>
      <c r="AK499" s="7" t="str">
        <f aca="false">IF(U499="تاخیر",V499+ROW()/100000,"")</f>
        <v/>
      </c>
    </row>
    <row r="500" customFormat="false" ht="15" hidden="false" customHeight="false" outlineLevel="0" collapsed="false">
      <c r="A500" s="7" t="str">
        <f aca="false">IF(B500="","",ROW()-3)</f>
        <v/>
      </c>
      <c r="B500" s="8"/>
      <c r="C500" s="8"/>
      <c r="D500" s="8"/>
      <c r="E500" s="9"/>
      <c r="F500" s="9"/>
      <c r="G500" s="8"/>
      <c r="H500" s="8"/>
      <c r="I500" s="8"/>
      <c r="J500" s="9"/>
      <c r="K500" s="8"/>
      <c r="L500" s="8"/>
      <c r="M500" s="8"/>
      <c r="N500" s="8"/>
      <c r="O500" s="8"/>
      <c r="P500" s="8"/>
      <c r="Q500" s="8"/>
      <c r="R500" s="9"/>
      <c r="S500" s="8"/>
      <c r="T500" s="9"/>
      <c r="U500" s="10" t="str">
        <f aca="true">IF(B500="","",IF(OR(P500&lt;&gt;"",I500="می‌باشد"),"بسته",IF(AND(L500&lt;&gt;"",W500=""),"خطای فرمت تاریخ ایجاد",IF(AND(H500&lt;&gt;"",AA500=""),"خطای فرمت مهلت",IF(AND(H500&lt;&gt;"",AD500&lt;&gt;"",TODAY()&gt;AD500),"تاخیر",IF(L500&lt;&gt;"","در حال انجام",""))))))</f>
        <v/>
      </c>
      <c r="V500" s="7" t="n">
        <f aca="true">IF(U500="تاخیر",TODAY()-AD500,IF(AND(U500="بسته",AH500&lt;&gt;"",AD500&lt;&gt;"",AH500&gt;AD500),AH500-AD500,0))</f>
        <v>0</v>
      </c>
      <c r="W500" s="7" t="str">
        <f aca="false">IF(L500="","",VALUE(LEFT(L500,FIND("/",L500)-1)))</f>
        <v/>
      </c>
      <c r="X500" s="7" t="str">
        <f aca="false">IF(L500="","",VALUE(MID(L500,FIND("/",L500)+1,FIND("/",L500,FIND("/",L500)+1)-FIND("/",L500)-1)))</f>
        <v/>
      </c>
      <c r="Y500" s="7" t="str">
        <f aca="false">IF(L500="","",VALUE(MID(L500,FIND("/",L500,FIND("/",L500)+1)+1,LEN(L500)-FIND("/",L500,FIND("/",L500)+1))))</f>
        <v/>
      </c>
      <c r="Z500" s="7" t="str">
        <f aca="false">IF(OR(L500="",W500=""),"",IFERROR(INDEX('لیست‌ها'!$Q$3:$Q$53,MATCH(W500,'لیست‌ها'!$P$3:$P$53,0))+IF(X500&lt;=6,(X500-1)*31+Y500,IF(X500&lt;=11,186+(X500-7)*30+Y500,336+Y500))-1,""))</f>
        <v/>
      </c>
      <c r="AA500" s="7" t="str">
        <f aca="false">IF(H500="","",VALUE(LEFT(H500,FIND("/",H500)-1)))</f>
        <v/>
      </c>
      <c r="AB500" s="7" t="str">
        <f aca="false">IF(H500="","",VALUE(MID(H500,FIND("/",H500)+1,FIND("/",H500,FIND("/",H500)+1)-FIND("/",H500)-1)))</f>
        <v/>
      </c>
      <c r="AC500" s="7" t="str">
        <f aca="false">IF(H500="","",VALUE(MID(H500,FIND("/",H500,FIND("/",H500)+1)+1,LEN(H500)-FIND("/",H500,FIND("/",H500)+1))))</f>
        <v/>
      </c>
      <c r="AD500" s="7" t="str">
        <f aca="false">IF(OR(H500="",AA500=""),"",IFERROR(INDEX('لیست‌ها'!$Q$3:$Q$53,MATCH(AA500,'لیست‌ها'!$P$3:$P$53,0))+IF(AB500&lt;=6,(AB500-1)*31+AC500,IF(AB500&lt;=11,186+(AB500-7)*30+AC500,336+AC500))-1,""))</f>
        <v/>
      </c>
      <c r="AE500" s="7" t="str">
        <f aca="false">IF(P500="","",VALUE(LEFT(P500,FIND("/",P500)-1)))</f>
        <v/>
      </c>
      <c r="AF500" s="7" t="str">
        <f aca="false">IF(P500="","",VALUE(MID(P500,FIND("/",P500)+1,FIND("/",P500,FIND("/",P500)+1)-FIND("/",P500)-1)))</f>
        <v/>
      </c>
      <c r="AG500" s="7" t="str">
        <f aca="false">IF(P500="","",VALUE(MID(P500,FIND("/",P500,FIND("/",P500)+1)+1,LEN(P500)-FIND("/",P500,FIND("/",P500)+1))))</f>
        <v/>
      </c>
      <c r="AH500" s="7" t="str">
        <f aca="false">IF(OR(P500="",AE500=""),"",IFERROR(INDEX('لیست‌ها'!$Q$3:$Q$53,MATCH(AE500,'لیست‌ها'!$P$3:$P$53,0))+IF(AF500&lt;=6,(AF500-1)*31+AG500,IF(AF500&lt;=11,186+(AF500-7)*30+AG500,336+AG500))-1,""))</f>
        <v/>
      </c>
      <c r="AI500" s="7" t="str">
        <f aca="false">IF(W500="","",W500&amp;"-"&amp;TEXT(X500,"00"))</f>
        <v/>
      </c>
      <c r="AJ500" s="7" t="str">
        <f aca="false">IF(W500="","",W500*12+X500)</f>
        <v/>
      </c>
      <c r="AK500" s="7" t="str">
        <f aca="false">IF(U500="تاخیر",V500+ROW()/100000,"")</f>
        <v/>
      </c>
    </row>
    <row r="501" customFormat="false" ht="15" hidden="false" customHeight="false" outlineLevel="0" collapsed="false">
      <c r="A501" s="7" t="str">
        <f aca="false">IF(B501="","",ROW()-3)</f>
        <v/>
      </c>
      <c r="B501" s="8"/>
      <c r="C501" s="8"/>
      <c r="D501" s="8"/>
      <c r="E501" s="9"/>
      <c r="F501" s="9"/>
      <c r="G501" s="8"/>
      <c r="H501" s="8"/>
      <c r="I501" s="8"/>
      <c r="J501" s="9"/>
      <c r="K501" s="8"/>
      <c r="L501" s="8"/>
      <c r="M501" s="8"/>
      <c r="N501" s="8"/>
      <c r="O501" s="8"/>
      <c r="P501" s="8"/>
      <c r="Q501" s="8"/>
      <c r="R501" s="9"/>
      <c r="S501" s="8"/>
      <c r="T501" s="9"/>
      <c r="U501" s="10" t="str">
        <f aca="true">IF(B501="","",IF(OR(P501&lt;&gt;"",I501="می‌باشد"),"بسته",IF(AND(L501&lt;&gt;"",W501=""),"خطای فرمت تاریخ ایجاد",IF(AND(H501&lt;&gt;"",AA501=""),"خطای فرمت مهلت",IF(AND(H501&lt;&gt;"",AD501&lt;&gt;"",TODAY()&gt;AD501),"تاخیر",IF(L501&lt;&gt;"","در حال انجام",""))))))</f>
        <v/>
      </c>
      <c r="V501" s="7" t="n">
        <f aca="true">IF(U501="تاخیر",TODAY()-AD501,IF(AND(U501="بسته",AH501&lt;&gt;"",AD501&lt;&gt;"",AH501&gt;AD501),AH501-AD501,0))</f>
        <v>0</v>
      </c>
      <c r="W501" s="7" t="str">
        <f aca="false">IF(L501="","",VALUE(LEFT(L501,FIND("/",L501)-1)))</f>
        <v/>
      </c>
      <c r="X501" s="7" t="str">
        <f aca="false">IF(L501="","",VALUE(MID(L501,FIND("/",L501)+1,FIND("/",L501,FIND("/",L501)+1)-FIND("/",L501)-1)))</f>
        <v/>
      </c>
      <c r="Y501" s="7" t="str">
        <f aca="false">IF(L501="","",VALUE(MID(L501,FIND("/",L501,FIND("/",L501)+1)+1,LEN(L501)-FIND("/",L501,FIND("/",L501)+1))))</f>
        <v/>
      </c>
      <c r="Z501" s="7" t="str">
        <f aca="false">IF(OR(L501="",W501=""),"",IFERROR(INDEX('لیست‌ها'!$Q$3:$Q$53,MATCH(W501,'لیست‌ها'!$P$3:$P$53,0))+IF(X501&lt;=6,(X501-1)*31+Y501,IF(X501&lt;=11,186+(X501-7)*30+Y501,336+Y501))-1,""))</f>
        <v/>
      </c>
      <c r="AA501" s="7" t="str">
        <f aca="false">IF(H501="","",VALUE(LEFT(H501,FIND("/",H501)-1)))</f>
        <v/>
      </c>
      <c r="AB501" s="7" t="str">
        <f aca="false">IF(H501="","",VALUE(MID(H501,FIND("/",H501)+1,FIND("/",H501,FIND("/",H501)+1)-FIND("/",H501)-1)))</f>
        <v/>
      </c>
      <c r="AC501" s="7" t="str">
        <f aca="false">IF(H501="","",VALUE(MID(H501,FIND("/",H501,FIND("/",H501)+1)+1,LEN(H501)-FIND("/",H501,FIND("/",H501)+1))))</f>
        <v/>
      </c>
      <c r="AD501" s="7" t="str">
        <f aca="false">IF(OR(H501="",AA501=""),"",IFERROR(INDEX('لیست‌ها'!$Q$3:$Q$53,MATCH(AA501,'لیست‌ها'!$P$3:$P$53,0))+IF(AB501&lt;=6,(AB501-1)*31+AC501,IF(AB501&lt;=11,186+(AB501-7)*30+AC501,336+AC501))-1,""))</f>
        <v/>
      </c>
      <c r="AE501" s="7" t="str">
        <f aca="false">IF(P501="","",VALUE(LEFT(P501,FIND("/",P501)-1)))</f>
        <v/>
      </c>
      <c r="AF501" s="7" t="str">
        <f aca="false">IF(P501="","",VALUE(MID(P501,FIND("/",P501)+1,FIND("/",P501,FIND("/",P501)+1)-FIND("/",P501)-1)))</f>
        <v/>
      </c>
      <c r="AG501" s="7" t="str">
        <f aca="false">IF(P501="","",VALUE(MID(P501,FIND("/",P501,FIND("/",P501)+1)+1,LEN(P501)-FIND("/",P501,FIND("/",P501)+1))))</f>
        <v/>
      </c>
      <c r="AH501" s="7" t="str">
        <f aca="false">IF(OR(P501="",AE501=""),"",IFERROR(INDEX('لیست‌ها'!$Q$3:$Q$53,MATCH(AE501,'لیست‌ها'!$P$3:$P$53,0))+IF(AF501&lt;=6,(AF501-1)*31+AG501,IF(AF501&lt;=11,186+(AF501-7)*30+AG501,336+AG501))-1,""))</f>
        <v/>
      </c>
      <c r="AI501" s="7" t="str">
        <f aca="false">IF(W501="","",W501&amp;"-"&amp;TEXT(X501,"00"))</f>
        <v/>
      </c>
      <c r="AJ501" s="7" t="str">
        <f aca="false">IF(W501="","",W501*12+X501)</f>
        <v/>
      </c>
      <c r="AK501" s="7" t="str">
        <f aca="false">IF(U501="تاخیر",V501+ROW()/100000,"")</f>
        <v/>
      </c>
    </row>
    <row r="502" customFormat="false" ht="15" hidden="false" customHeight="false" outlineLevel="0" collapsed="false">
      <c r="A502" s="7" t="str">
        <f aca="false">IF(B502="","",ROW()-3)</f>
        <v/>
      </c>
      <c r="B502" s="8"/>
      <c r="C502" s="8"/>
      <c r="D502" s="8"/>
      <c r="E502" s="9"/>
      <c r="F502" s="9"/>
      <c r="G502" s="8"/>
      <c r="H502" s="8"/>
      <c r="I502" s="8"/>
      <c r="J502" s="9"/>
      <c r="K502" s="8"/>
      <c r="L502" s="8"/>
      <c r="M502" s="8"/>
      <c r="N502" s="8"/>
      <c r="O502" s="8"/>
      <c r="P502" s="8"/>
      <c r="Q502" s="8"/>
      <c r="R502" s="9"/>
      <c r="S502" s="8"/>
      <c r="T502" s="9"/>
      <c r="U502" s="10" t="str">
        <f aca="true">IF(B502="","",IF(OR(P502&lt;&gt;"",I502="می‌باشد"),"بسته",IF(AND(L502&lt;&gt;"",W502=""),"خطای فرمت تاریخ ایجاد",IF(AND(H502&lt;&gt;"",AA502=""),"خطای فرمت مهلت",IF(AND(H502&lt;&gt;"",AD502&lt;&gt;"",TODAY()&gt;AD502),"تاخیر",IF(L502&lt;&gt;"","در حال انجام",""))))))</f>
        <v/>
      </c>
      <c r="V502" s="7" t="n">
        <f aca="true">IF(U502="تاخیر",TODAY()-AD502,IF(AND(U502="بسته",AH502&lt;&gt;"",AD502&lt;&gt;"",AH502&gt;AD502),AH502-AD502,0))</f>
        <v>0</v>
      </c>
      <c r="W502" s="7" t="str">
        <f aca="false">IF(L502="","",VALUE(LEFT(L502,FIND("/",L502)-1)))</f>
        <v/>
      </c>
      <c r="X502" s="7" t="str">
        <f aca="false">IF(L502="","",VALUE(MID(L502,FIND("/",L502)+1,FIND("/",L502,FIND("/",L502)+1)-FIND("/",L502)-1)))</f>
        <v/>
      </c>
      <c r="Y502" s="7" t="str">
        <f aca="false">IF(L502="","",VALUE(MID(L502,FIND("/",L502,FIND("/",L502)+1)+1,LEN(L502)-FIND("/",L502,FIND("/",L502)+1))))</f>
        <v/>
      </c>
      <c r="Z502" s="7" t="str">
        <f aca="false">IF(OR(L502="",W502=""),"",IFERROR(INDEX('لیست‌ها'!$Q$3:$Q$53,MATCH(W502,'لیست‌ها'!$P$3:$P$53,0))+IF(X502&lt;=6,(X502-1)*31+Y502,IF(X502&lt;=11,186+(X502-7)*30+Y502,336+Y502))-1,""))</f>
        <v/>
      </c>
      <c r="AA502" s="7" t="str">
        <f aca="false">IF(H502="","",VALUE(LEFT(H502,FIND("/",H502)-1)))</f>
        <v/>
      </c>
      <c r="AB502" s="7" t="str">
        <f aca="false">IF(H502="","",VALUE(MID(H502,FIND("/",H502)+1,FIND("/",H502,FIND("/",H502)+1)-FIND("/",H502)-1)))</f>
        <v/>
      </c>
      <c r="AC502" s="7" t="str">
        <f aca="false">IF(H502="","",VALUE(MID(H502,FIND("/",H502,FIND("/",H502)+1)+1,LEN(H502)-FIND("/",H502,FIND("/",H502)+1))))</f>
        <v/>
      </c>
      <c r="AD502" s="7" t="str">
        <f aca="false">IF(OR(H502="",AA502=""),"",IFERROR(INDEX('لیست‌ها'!$Q$3:$Q$53,MATCH(AA502,'لیست‌ها'!$P$3:$P$53,0))+IF(AB502&lt;=6,(AB502-1)*31+AC502,IF(AB502&lt;=11,186+(AB502-7)*30+AC502,336+AC502))-1,""))</f>
        <v/>
      </c>
      <c r="AE502" s="7" t="str">
        <f aca="false">IF(P502="","",VALUE(LEFT(P502,FIND("/",P502)-1)))</f>
        <v/>
      </c>
      <c r="AF502" s="7" t="str">
        <f aca="false">IF(P502="","",VALUE(MID(P502,FIND("/",P502)+1,FIND("/",P502,FIND("/",P502)+1)-FIND("/",P502)-1)))</f>
        <v/>
      </c>
      <c r="AG502" s="7" t="str">
        <f aca="false">IF(P502="","",VALUE(MID(P502,FIND("/",P502,FIND("/",P502)+1)+1,LEN(P502)-FIND("/",P502,FIND("/",P502)+1))))</f>
        <v/>
      </c>
      <c r="AH502" s="7" t="str">
        <f aca="false">IF(OR(P502="",AE502=""),"",IFERROR(INDEX('لیست‌ها'!$Q$3:$Q$53,MATCH(AE502,'لیست‌ها'!$P$3:$P$53,0))+IF(AF502&lt;=6,(AF502-1)*31+AG502,IF(AF502&lt;=11,186+(AF502-7)*30+AG502,336+AG502))-1,""))</f>
        <v/>
      </c>
      <c r="AI502" s="7" t="str">
        <f aca="false">IF(W502="","",W502&amp;"-"&amp;TEXT(X502,"00"))</f>
        <v/>
      </c>
      <c r="AJ502" s="7" t="str">
        <f aca="false">IF(W502="","",W502*12+X502)</f>
        <v/>
      </c>
      <c r="AK502" s="7" t="str">
        <f aca="false">IF(U502="تاخیر",V502+ROW()/100000,"")</f>
        <v/>
      </c>
    </row>
    <row r="503" customFormat="false" ht="15" hidden="false" customHeight="false" outlineLevel="0" collapsed="false">
      <c r="A503" s="7" t="str">
        <f aca="false">IF(B503="","",ROW()-3)</f>
        <v/>
      </c>
      <c r="B503" s="8"/>
      <c r="C503" s="8"/>
      <c r="D503" s="8"/>
      <c r="E503" s="9"/>
      <c r="F503" s="9"/>
      <c r="G503" s="8"/>
      <c r="H503" s="8"/>
      <c r="I503" s="8"/>
      <c r="J503" s="9"/>
      <c r="K503" s="8"/>
      <c r="L503" s="8"/>
      <c r="M503" s="8"/>
      <c r="N503" s="8"/>
      <c r="O503" s="8"/>
      <c r="P503" s="8"/>
      <c r="Q503" s="8"/>
      <c r="R503" s="9"/>
      <c r="S503" s="8"/>
      <c r="T503" s="9"/>
      <c r="U503" s="10" t="str">
        <f aca="true">IF(B503="","",IF(OR(P503&lt;&gt;"",I503="می‌باشد"),"بسته",IF(AND(L503&lt;&gt;"",W503=""),"خطای فرمت تاریخ ایجاد",IF(AND(H503&lt;&gt;"",AA503=""),"خطای فرمت مهلت",IF(AND(H503&lt;&gt;"",AD503&lt;&gt;"",TODAY()&gt;AD503),"تاخیر",IF(L503&lt;&gt;"","در حال انجام",""))))))</f>
        <v/>
      </c>
      <c r="V503" s="7" t="n">
        <f aca="true">IF(U503="تاخیر",TODAY()-AD503,IF(AND(U503="بسته",AH503&lt;&gt;"",AD503&lt;&gt;"",AH503&gt;AD503),AH503-AD503,0))</f>
        <v>0</v>
      </c>
      <c r="W503" s="7" t="str">
        <f aca="false">IF(L503="","",VALUE(LEFT(L503,FIND("/",L503)-1)))</f>
        <v/>
      </c>
      <c r="X503" s="7" t="str">
        <f aca="false">IF(L503="","",VALUE(MID(L503,FIND("/",L503)+1,FIND("/",L503,FIND("/",L503)+1)-FIND("/",L503)-1)))</f>
        <v/>
      </c>
      <c r="Y503" s="7" t="str">
        <f aca="false">IF(L503="","",VALUE(MID(L503,FIND("/",L503,FIND("/",L503)+1)+1,LEN(L503)-FIND("/",L503,FIND("/",L503)+1))))</f>
        <v/>
      </c>
      <c r="Z503" s="7" t="str">
        <f aca="false">IF(OR(L503="",W503=""),"",IFERROR(INDEX('لیست‌ها'!$Q$3:$Q$53,MATCH(W503,'لیست‌ها'!$P$3:$P$53,0))+IF(X503&lt;=6,(X503-1)*31+Y503,IF(X503&lt;=11,186+(X503-7)*30+Y503,336+Y503))-1,""))</f>
        <v/>
      </c>
      <c r="AA503" s="7" t="str">
        <f aca="false">IF(H503="","",VALUE(LEFT(H503,FIND("/",H503)-1)))</f>
        <v/>
      </c>
      <c r="AB503" s="7" t="str">
        <f aca="false">IF(H503="","",VALUE(MID(H503,FIND("/",H503)+1,FIND("/",H503,FIND("/",H503)+1)-FIND("/",H503)-1)))</f>
        <v/>
      </c>
      <c r="AC503" s="7" t="str">
        <f aca="false">IF(H503="","",VALUE(MID(H503,FIND("/",H503,FIND("/",H503)+1)+1,LEN(H503)-FIND("/",H503,FIND("/",H503)+1))))</f>
        <v/>
      </c>
      <c r="AD503" s="7" t="str">
        <f aca="false">IF(OR(H503="",AA503=""),"",IFERROR(INDEX('لیست‌ها'!$Q$3:$Q$53,MATCH(AA503,'لیست‌ها'!$P$3:$P$53,0))+IF(AB503&lt;=6,(AB503-1)*31+AC503,IF(AB503&lt;=11,186+(AB503-7)*30+AC503,336+AC503))-1,""))</f>
        <v/>
      </c>
      <c r="AE503" s="7" t="str">
        <f aca="false">IF(P503="","",VALUE(LEFT(P503,FIND("/",P503)-1)))</f>
        <v/>
      </c>
      <c r="AF503" s="7" t="str">
        <f aca="false">IF(P503="","",VALUE(MID(P503,FIND("/",P503)+1,FIND("/",P503,FIND("/",P503)+1)-FIND("/",P503)-1)))</f>
        <v/>
      </c>
      <c r="AG503" s="7" t="str">
        <f aca="false">IF(P503="","",VALUE(MID(P503,FIND("/",P503,FIND("/",P503)+1)+1,LEN(P503)-FIND("/",P503,FIND("/",P503)+1))))</f>
        <v/>
      </c>
      <c r="AH503" s="7" t="str">
        <f aca="false">IF(OR(P503="",AE503=""),"",IFERROR(INDEX('لیست‌ها'!$Q$3:$Q$53,MATCH(AE503,'لیست‌ها'!$P$3:$P$53,0))+IF(AF503&lt;=6,(AF503-1)*31+AG503,IF(AF503&lt;=11,186+(AF503-7)*30+AG503,336+AG503))-1,""))</f>
        <v/>
      </c>
      <c r="AI503" s="7" t="str">
        <f aca="false">IF(W503="","",W503&amp;"-"&amp;TEXT(X503,"00"))</f>
        <v/>
      </c>
      <c r="AJ503" s="7" t="str">
        <f aca="false">IF(W503="","",W503*12+X503)</f>
        <v/>
      </c>
      <c r="AK503" s="7" t="str">
        <f aca="false">IF(U503="تاخیر",V503+ROW()/100000,"")</f>
        <v/>
      </c>
    </row>
    <row r="504" customFormat="false" ht="15" hidden="false" customHeight="false" outlineLevel="0" collapsed="false">
      <c r="A504" s="7" t="str">
        <f aca="false">IF(B504="","",ROW()-3)</f>
        <v/>
      </c>
      <c r="B504" s="8"/>
      <c r="C504" s="8"/>
      <c r="D504" s="8"/>
      <c r="E504" s="9"/>
      <c r="F504" s="9"/>
      <c r="G504" s="8"/>
      <c r="H504" s="8"/>
      <c r="I504" s="8"/>
      <c r="J504" s="9"/>
      <c r="K504" s="8"/>
      <c r="L504" s="8"/>
      <c r="M504" s="8"/>
      <c r="N504" s="8"/>
      <c r="O504" s="8"/>
      <c r="P504" s="8"/>
      <c r="Q504" s="8"/>
      <c r="R504" s="9"/>
      <c r="S504" s="8"/>
      <c r="T504" s="9"/>
      <c r="U504" s="10" t="str">
        <f aca="true">IF(B504="","",IF(OR(P504&lt;&gt;"",I504="می‌باشد"),"بسته",IF(AND(L504&lt;&gt;"",W504=""),"خطای فرمت تاریخ ایجاد",IF(AND(H504&lt;&gt;"",AA504=""),"خطای فرمت مهلت",IF(AND(H504&lt;&gt;"",AD504&lt;&gt;"",TODAY()&gt;AD504),"تاخیر",IF(L504&lt;&gt;"","در حال انجام",""))))))</f>
        <v/>
      </c>
      <c r="V504" s="7" t="n">
        <f aca="true">IF(U504="تاخیر",TODAY()-AD504,IF(AND(U504="بسته",AH504&lt;&gt;"",AD504&lt;&gt;"",AH504&gt;AD504),AH504-AD504,0))</f>
        <v>0</v>
      </c>
      <c r="W504" s="7" t="str">
        <f aca="false">IF(L504="","",VALUE(LEFT(L504,FIND("/",L504)-1)))</f>
        <v/>
      </c>
      <c r="X504" s="7" t="str">
        <f aca="false">IF(L504="","",VALUE(MID(L504,FIND("/",L504)+1,FIND("/",L504,FIND("/",L504)+1)-FIND("/",L504)-1)))</f>
        <v/>
      </c>
      <c r="Y504" s="7" t="str">
        <f aca="false">IF(L504="","",VALUE(MID(L504,FIND("/",L504,FIND("/",L504)+1)+1,LEN(L504)-FIND("/",L504,FIND("/",L504)+1))))</f>
        <v/>
      </c>
      <c r="Z504" s="7" t="str">
        <f aca="false">IF(OR(L504="",W504=""),"",IFERROR(INDEX('لیست‌ها'!$Q$3:$Q$53,MATCH(W504,'لیست‌ها'!$P$3:$P$53,0))+IF(X504&lt;=6,(X504-1)*31+Y504,IF(X504&lt;=11,186+(X504-7)*30+Y504,336+Y504))-1,""))</f>
        <v/>
      </c>
      <c r="AA504" s="7" t="str">
        <f aca="false">IF(H504="","",VALUE(LEFT(H504,FIND("/",H504)-1)))</f>
        <v/>
      </c>
      <c r="AB504" s="7" t="str">
        <f aca="false">IF(H504="","",VALUE(MID(H504,FIND("/",H504)+1,FIND("/",H504,FIND("/",H504)+1)-FIND("/",H504)-1)))</f>
        <v/>
      </c>
      <c r="AC504" s="7" t="str">
        <f aca="false">IF(H504="","",VALUE(MID(H504,FIND("/",H504,FIND("/",H504)+1)+1,LEN(H504)-FIND("/",H504,FIND("/",H504)+1))))</f>
        <v/>
      </c>
      <c r="AD504" s="7" t="str">
        <f aca="false">IF(OR(H504="",AA504=""),"",IFERROR(INDEX('لیست‌ها'!$Q$3:$Q$53,MATCH(AA504,'لیست‌ها'!$P$3:$P$53,0))+IF(AB504&lt;=6,(AB504-1)*31+AC504,IF(AB504&lt;=11,186+(AB504-7)*30+AC504,336+AC504))-1,""))</f>
        <v/>
      </c>
      <c r="AE504" s="7" t="str">
        <f aca="false">IF(P504="","",VALUE(LEFT(P504,FIND("/",P504)-1)))</f>
        <v/>
      </c>
      <c r="AF504" s="7" t="str">
        <f aca="false">IF(P504="","",VALUE(MID(P504,FIND("/",P504)+1,FIND("/",P504,FIND("/",P504)+1)-FIND("/",P504)-1)))</f>
        <v/>
      </c>
      <c r="AG504" s="7" t="str">
        <f aca="false">IF(P504="","",VALUE(MID(P504,FIND("/",P504,FIND("/",P504)+1)+1,LEN(P504)-FIND("/",P504,FIND("/",P504)+1))))</f>
        <v/>
      </c>
      <c r="AH504" s="7" t="str">
        <f aca="false">IF(OR(P504="",AE504=""),"",IFERROR(INDEX('لیست‌ها'!$Q$3:$Q$53,MATCH(AE504,'لیست‌ها'!$P$3:$P$53,0))+IF(AF504&lt;=6,(AF504-1)*31+AG504,IF(AF504&lt;=11,186+(AF504-7)*30+AG504,336+AG504))-1,""))</f>
        <v/>
      </c>
      <c r="AI504" s="7" t="str">
        <f aca="false">IF(W504="","",W504&amp;"-"&amp;TEXT(X504,"00"))</f>
        <v/>
      </c>
      <c r="AJ504" s="7" t="str">
        <f aca="false">IF(W504="","",W504*12+X504)</f>
        <v/>
      </c>
      <c r="AK504" s="7" t="str">
        <f aca="false">IF(U504="تاخیر",V504+ROW()/100000,"")</f>
        <v/>
      </c>
    </row>
    <row r="505" customFormat="false" ht="15" hidden="false" customHeight="false" outlineLevel="0" collapsed="false">
      <c r="A505" s="7" t="str">
        <f aca="false">IF(B505="","",ROW()-3)</f>
        <v/>
      </c>
      <c r="B505" s="8"/>
      <c r="C505" s="8"/>
      <c r="D505" s="8"/>
      <c r="E505" s="9"/>
      <c r="F505" s="9"/>
      <c r="G505" s="8"/>
      <c r="H505" s="8"/>
      <c r="I505" s="8"/>
      <c r="J505" s="9"/>
      <c r="K505" s="8"/>
      <c r="L505" s="8"/>
      <c r="M505" s="8"/>
      <c r="N505" s="8"/>
      <c r="O505" s="8"/>
      <c r="P505" s="8"/>
      <c r="Q505" s="8"/>
      <c r="R505" s="9"/>
      <c r="S505" s="8"/>
      <c r="T505" s="9"/>
      <c r="U505" s="10" t="str">
        <f aca="true">IF(B505="","",IF(OR(P505&lt;&gt;"",I505="می‌باشد"),"بسته",IF(AND(L505&lt;&gt;"",W505=""),"خطای فرمت تاریخ ایجاد",IF(AND(H505&lt;&gt;"",AA505=""),"خطای فرمت مهلت",IF(AND(H505&lt;&gt;"",AD505&lt;&gt;"",TODAY()&gt;AD505),"تاخیر",IF(L505&lt;&gt;"","در حال انجام",""))))))</f>
        <v/>
      </c>
      <c r="V505" s="7" t="n">
        <f aca="true">IF(U505="تاخیر",TODAY()-AD505,IF(AND(U505="بسته",AH505&lt;&gt;"",AD505&lt;&gt;"",AH505&gt;AD505),AH505-AD505,0))</f>
        <v>0</v>
      </c>
      <c r="W505" s="7" t="str">
        <f aca="false">IF(L505="","",VALUE(LEFT(L505,FIND("/",L505)-1)))</f>
        <v/>
      </c>
      <c r="X505" s="7" t="str">
        <f aca="false">IF(L505="","",VALUE(MID(L505,FIND("/",L505)+1,FIND("/",L505,FIND("/",L505)+1)-FIND("/",L505)-1)))</f>
        <v/>
      </c>
      <c r="Y505" s="7" t="str">
        <f aca="false">IF(L505="","",VALUE(MID(L505,FIND("/",L505,FIND("/",L505)+1)+1,LEN(L505)-FIND("/",L505,FIND("/",L505)+1))))</f>
        <v/>
      </c>
      <c r="Z505" s="7" t="str">
        <f aca="false">IF(OR(L505="",W505=""),"",IFERROR(INDEX('لیست‌ها'!$Q$3:$Q$53,MATCH(W505,'لیست‌ها'!$P$3:$P$53,0))+IF(X505&lt;=6,(X505-1)*31+Y505,IF(X505&lt;=11,186+(X505-7)*30+Y505,336+Y505))-1,""))</f>
        <v/>
      </c>
      <c r="AA505" s="7" t="str">
        <f aca="false">IF(H505="","",VALUE(LEFT(H505,FIND("/",H505)-1)))</f>
        <v/>
      </c>
      <c r="AB505" s="7" t="str">
        <f aca="false">IF(H505="","",VALUE(MID(H505,FIND("/",H505)+1,FIND("/",H505,FIND("/",H505)+1)-FIND("/",H505)-1)))</f>
        <v/>
      </c>
      <c r="AC505" s="7" t="str">
        <f aca="false">IF(H505="","",VALUE(MID(H505,FIND("/",H505,FIND("/",H505)+1)+1,LEN(H505)-FIND("/",H505,FIND("/",H505)+1))))</f>
        <v/>
      </c>
      <c r="AD505" s="7" t="str">
        <f aca="false">IF(OR(H505="",AA505=""),"",IFERROR(INDEX('لیست‌ها'!$Q$3:$Q$53,MATCH(AA505,'لیست‌ها'!$P$3:$P$53,0))+IF(AB505&lt;=6,(AB505-1)*31+AC505,IF(AB505&lt;=11,186+(AB505-7)*30+AC505,336+AC505))-1,""))</f>
        <v/>
      </c>
      <c r="AE505" s="7" t="str">
        <f aca="false">IF(P505="","",VALUE(LEFT(P505,FIND("/",P505)-1)))</f>
        <v/>
      </c>
      <c r="AF505" s="7" t="str">
        <f aca="false">IF(P505="","",VALUE(MID(P505,FIND("/",P505)+1,FIND("/",P505,FIND("/",P505)+1)-FIND("/",P505)-1)))</f>
        <v/>
      </c>
      <c r="AG505" s="7" t="str">
        <f aca="false">IF(P505="","",VALUE(MID(P505,FIND("/",P505,FIND("/",P505)+1)+1,LEN(P505)-FIND("/",P505,FIND("/",P505)+1))))</f>
        <v/>
      </c>
      <c r="AH505" s="7" t="str">
        <f aca="false">IF(OR(P505="",AE505=""),"",IFERROR(INDEX('لیست‌ها'!$Q$3:$Q$53,MATCH(AE505,'لیست‌ها'!$P$3:$P$53,0))+IF(AF505&lt;=6,(AF505-1)*31+AG505,IF(AF505&lt;=11,186+(AF505-7)*30+AG505,336+AG505))-1,""))</f>
        <v/>
      </c>
      <c r="AI505" s="7" t="str">
        <f aca="false">IF(W505="","",W505&amp;"-"&amp;TEXT(X505,"00"))</f>
        <v/>
      </c>
      <c r="AJ505" s="7" t="str">
        <f aca="false">IF(W505="","",W505*12+X505)</f>
        <v/>
      </c>
      <c r="AK505" s="7" t="str">
        <f aca="false">IF(U505="تاخیر",V505+ROW()/100000,"")</f>
        <v/>
      </c>
    </row>
    <row r="506" customFormat="false" ht="15" hidden="false" customHeight="false" outlineLevel="0" collapsed="false">
      <c r="A506" s="7" t="str">
        <f aca="false">IF(B506="","",ROW()-3)</f>
        <v/>
      </c>
      <c r="B506" s="8"/>
      <c r="C506" s="8"/>
      <c r="D506" s="8"/>
      <c r="E506" s="9"/>
      <c r="F506" s="9"/>
      <c r="G506" s="8"/>
      <c r="H506" s="8"/>
      <c r="I506" s="8"/>
      <c r="J506" s="9"/>
      <c r="K506" s="8"/>
      <c r="L506" s="8"/>
      <c r="M506" s="8"/>
      <c r="N506" s="8"/>
      <c r="O506" s="8"/>
      <c r="P506" s="8"/>
      <c r="Q506" s="8"/>
      <c r="R506" s="9"/>
      <c r="S506" s="8"/>
      <c r="T506" s="9"/>
      <c r="U506" s="10" t="str">
        <f aca="true">IF(B506="","",IF(OR(P506&lt;&gt;"",I506="می‌باشد"),"بسته",IF(AND(L506&lt;&gt;"",W506=""),"خطای فرمت تاریخ ایجاد",IF(AND(H506&lt;&gt;"",AA506=""),"خطای فرمت مهلت",IF(AND(H506&lt;&gt;"",AD506&lt;&gt;"",TODAY()&gt;AD506),"تاخیر",IF(L506&lt;&gt;"","در حال انجام",""))))))</f>
        <v/>
      </c>
      <c r="V506" s="7" t="n">
        <f aca="true">IF(U506="تاخیر",TODAY()-AD506,IF(AND(U506="بسته",AH506&lt;&gt;"",AD506&lt;&gt;"",AH506&gt;AD506),AH506-AD506,0))</f>
        <v>0</v>
      </c>
      <c r="W506" s="7" t="str">
        <f aca="false">IF(L506="","",VALUE(LEFT(L506,FIND("/",L506)-1)))</f>
        <v/>
      </c>
      <c r="X506" s="7" t="str">
        <f aca="false">IF(L506="","",VALUE(MID(L506,FIND("/",L506)+1,FIND("/",L506,FIND("/",L506)+1)-FIND("/",L506)-1)))</f>
        <v/>
      </c>
      <c r="Y506" s="7" t="str">
        <f aca="false">IF(L506="","",VALUE(MID(L506,FIND("/",L506,FIND("/",L506)+1)+1,LEN(L506)-FIND("/",L506,FIND("/",L506)+1))))</f>
        <v/>
      </c>
      <c r="Z506" s="7" t="str">
        <f aca="false">IF(OR(L506="",W506=""),"",IFERROR(INDEX('لیست‌ها'!$Q$3:$Q$53,MATCH(W506,'لیست‌ها'!$P$3:$P$53,0))+IF(X506&lt;=6,(X506-1)*31+Y506,IF(X506&lt;=11,186+(X506-7)*30+Y506,336+Y506))-1,""))</f>
        <v/>
      </c>
      <c r="AA506" s="7" t="str">
        <f aca="false">IF(H506="","",VALUE(LEFT(H506,FIND("/",H506)-1)))</f>
        <v/>
      </c>
      <c r="AB506" s="7" t="str">
        <f aca="false">IF(H506="","",VALUE(MID(H506,FIND("/",H506)+1,FIND("/",H506,FIND("/",H506)+1)-FIND("/",H506)-1)))</f>
        <v/>
      </c>
      <c r="AC506" s="7" t="str">
        <f aca="false">IF(H506="","",VALUE(MID(H506,FIND("/",H506,FIND("/",H506)+1)+1,LEN(H506)-FIND("/",H506,FIND("/",H506)+1))))</f>
        <v/>
      </c>
      <c r="AD506" s="7" t="str">
        <f aca="false">IF(OR(H506="",AA506=""),"",IFERROR(INDEX('لیست‌ها'!$Q$3:$Q$53,MATCH(AA506,'لیست‌ها'!$P$3:$P$53,0))+IF(AB506&lt;=6,(AB506-1)*31+AC506,IF(AB506&lt;=11,186+(AB506-7)*30+AC506,336+AC506))-1,""))</f>
        <v/>
      </c>
      <c r="AE506" s="7" t="str">
        <f aca="false">IF(P506="","",VALUE(LEFT(P506,FIND("/",P506)-1)))</f>
        <v/>
      </c>
      <c r="AF506" s="7" t="str">
        <f aca="false">IF(P506="","",VALUE(MID(P506,FIND("/",P506)+1,FIND("/",P506,FIND("/",P506)+1)-FIND("/",P506)-1)))</f>
        <v/>
      </c>
      <c r="AG506" s="7" t="str">
        <f aca="false">IF(P506="","",VALUE(MID(P506,FIND("/",P506,FIND("/",P506)+1)+1,LEN(P506)-FIND("/",P506,FIND("/",P506)+1))))</f>
        <v/>
      </c>
      <c r="AH506" s="7" t="str">
        <f aca="false">IF(OR(P506="",AE506=""),"",IFERROR(INDEX('لیست‌ها'!$Q$3:$Q$53,MATCH(AE506,'لیست‌ها'!$P$3:$P$53,0))+IF(AF506&lt;=6,(AF506-1)*31+AG506,IF(AF506&lt;=11,186+(AF506-7)*30+AG506,336+AG506))-1,""))</f>
        <v/>
      </c>
      <c r="AI506" s="7" t="str">
        <f aca="false">IF(W506="","",W506&amp;"-"&amp;TEXT(X506,"00"))</f>
        <v/>
      </c>
      <c r="AJ506" s="7" t="str">
        <f aca="false">IF(W506="","",W506*12+X506)</f>
        <v/>
      </c>
      <c r="AK506" s="7" t="str">
        <f aca="false">IF(U506="تاخیر",V506+ROW()/100000,"")</f>
        <v/>
      </c>
    </row>
    <row r="507" customFormat="false" ht="15" hidden="false" customHeight="false" outlineLevel="0" collapsed="false">
      <c r="A507" s="7" t="str">
        <f aca="false">IF(B507="","",ROW()-3)</f>
        <v/>
      </c>
      <c r="B507" s="8"/>
      <c r="C507" s="8"/>
      <c r="D507" s="8"/>
      <c r="E507" s="9"/>
      <c r="F507" s="9"/>
      <c r="G507" s="8"/>
      <c r="H507" s="8"/>
      <c r="I507" s="8"/>
      <c r="J507" s="9"/>
      <c r="K507" s="8"/>
      <c r="L507" s="8"/>
      <c r="M507" s="8"/>
      <c r="N507" s="8"/>
      <c r="O507" s="8"/>
      <c r="P507" s="8"/>
      <c r="Q507" s="8"/>
      <c r="R507" s="9"/>
      <c r="S507" s="8"/>
      <c r="T507" s="9"/>
      <c r="U507" s="10" t="str">
        <f aca="true">IF(B507="","",IF(OR(P507&lt;&gt;"",I507="می‌باشد"),"بسته",IF(AND(L507&lt;&gt;"",W507=""),"خطای فرمت تاریخ ایجاد",IF(AND(H507&lt;&gt;"",AA507=""),"خطای فرمت مهلت",IF(AND(H507&lt;&gt;"",AD507&lt;&gt;"",TODAY()&gt;AD507),"تاخیر",IF(L507&lt;&gt;"","در حال انجام",""))))))</f>
        <v/>
      </c>
      <c r="V507" s="7" t="n">
        <f aca="true">IF(U507="تاخیر",TODAY()-AD507,IF(AND(U507="بسته",AH507&lt;&gt;"",AD507&lt;&gt;"",AH507&gt;AD507),AH507-AD507,0))</f>
        <v>0</v>
      </c>
      <c r="W507" s="7" t="str">
        <f aca="false">IF(L507="","",VALUE(LEFT(L507,FIND("/",L507)-1)))</f>
        <v/>
      </c>
      <c r="X507" s="7" t="str">
        <f aca="false">IF(L507="","",VALUE(MID(L507,FIND("/",L507)+1,FIND("/",L507,FIND("/",L507)+1)-FIND("/",L507)-1)))</f>
        <v/>
      </c>
      <c r="Y507" s="7" t="str">
        <f aca="false">IF(L507="","",VALUE(MID(L507,FIND("/",L507,FIND("/",L507)+1)+1,LEN(L507)-FIND("/",L507,FIND("/",L507)+1))))</f>
        <v/>
      </c>
      <c r="Z507" s="7" t="str">
        <f aca="false">IF(OR(L507="",W507=""),"",IFERROR(INDEX('لیست‌ها'!$Q$3:$Q$53,MATCH(W507,'لیست‌ها'!$P$3:$P$53,0))+IF(X507&lt;=6,(X507-1)*31+Y507,IF(X507&lt;=11,186+(X507-7)*30+Y507,336+Y507))-1,""))</f>
        <v/>
      </c>
      <c r="AA507" s="7" t="str">
        <f aca="false">IF(H507="","",VALUE(LEFT(H507,FIND("/",H507)-1)))</f>
        <v/>
      </c>
      <c r="AB507" s="7" t="str">
        <f aca="false">IF(H507="","",VALUE(MID(H507,FIND("/",H507)+1,FIND("/",H507,FIND("/",H507)+1)-FIND("/",H507)-1)))</f>
        <v/>
      </c>
      <c r="AC507" s="7" t="str">
        <f aca="false">IF(H507="","",VALUE(MID(H507,FIND("/",H507,FIND("/",H507)+1)+1,LEN(H507)-FIND("/",H507,FIND("/",H507)+1))))</f>
        <v/>
      </c>
      <c r="AD507" s="7" t="str">
        <f aca="false">IF(OR(H507="",AA507=""),"",IFERROR(INDEX('لیست‌ها'!$Q$3:$Q$53,MATCH(AA507,'لیست‌ها'!$P$3:$P$53,0))+IF(AB507&lt;=6,(AB507-1)*31+AC507,IF(AB507&lt;=11,186+(AB507-7)*30+AC507,336+AC507))-1,""))</f>
        <v/>
      </c>
      <c r="AE507" s="7" t="str">
        <f aca="false">IF(P507="","",VALUE(LEFT(P507,FIND("/",P507)-1)))</f>
        <v/>
      </c>
      <c r="AF507" s="7" t="str">
        <f aca="false">IF(P507="","",VALUE(MID(P507,FIND("/",P507)+1,FIND("/",P507,FIND("/",P507)+1)-FIND("/",P507)-1)))</f>
        <v/>
      </c>
      <c r="AG507" s="7" t="str">
        <f aca="false">IF(P507="","",VALUE(MID(P507,FIND("/",P507,FIND("/",P507)+1)+1,LEN(P507)-FIND("/",P507,FIND("/",P507)+1))))</f>
        <v/>
      </c>
      <c r="AH507" s="7" t="str">
        <f aca="false">IF(OR(P507="",AE507=""),"",IFERROR(INDEX('لیست‌ها'!$Q$3:$Q$53,MATCH(AE507,'لیست‌ها'!$P$3:$P$53,0))+IF(AF507&lt;=6,(AF507-1)*31+AG507,IF(AF507&lt;=11,186+(AF507-7)*30+AG507,336+AG507))-1,""))</f>
        <v/>
      </c>
      <c r="AI507" s="7" t="str">
        <f aca="false">IF(W507="","",W507&amp;"-"&amp;TEXT(X507,"00"))</f>
        <v/>
      </c>
      <c r="AJ507" s="7" t="str">
        <f aca="false">IF(W507="","",W507*12+X507)</f>
        <v/>
      </c>
      <c r="AK507" s="7" t="str">
        <f aca="false">IF(U507="تاخیر",V507+ROW()/100000,"")</f>
        <v/>
      </c>
    </row>
    <row r="508" customFormat="false" ht="15" hidden="false" customHeight="false" outlineLevel="0" collapsed="false">
      <c r="A508" s="7" t="str">
        <f aca="false">IF(B508="","",ROW()-3)</f>
        <v/>
      </c>
      <c r="B508" s="8"/>
      <c r="C508" s="8"/>
      <c r="D508" s="8"/>
      <c r="E508" s="9"/>
      <c r="F508" s="9"/>
      <c r="G508" s="8"/>
      <c r="H508" s="8"/>
      <c r="I508" s="8"/>
      <c r="J508" s="9"/>
      <c r="K508" s="8"/>
      <c r="L508" s="8"/>
      <c r="M508" s="8"/>
      <c r="N508" s="8"/>
      <c r="O508" s="8"/>
      <c r="P508" s="8"/>
      <c r="Q508" s="8"/>
      <c r="R508" s="9"/>
      <c r="S508" s="8"/>
      <c r="T508" s="9"/>
      <c r="U508" s="10" t="str">
        <f aca="true">IF(B508="","",IF(OR(P508&lt;&gt;"",I508="می‌باشد"),"بسته",IF(AND(L508&lt;&gt;"",W508=""),"خطای فرمت تاریخ ایجاد",IF(AND(H508&lt;&gt;"",AA508=""),"خطای فرمت مهلت",IF(AND(H508&lt;&gt;"",AD508&lt;&gt;"",TODAY()&gt;AD508),"تاخیر",IF(L508&lt;&gt;"","در حال انجام",""))))))</f>
        <v/>
      </c>
      <c r="V508" s="7" t="n">
        <f aca="true">IF(U508="تاخیر",TODAY()-AD508,IF(AND(U508="بسته",AH508&lt;&gt;"",AD508&lt;&gt;"",AH508&gt;AD508),AH508-AD508,0))</f>
        <v>0</v>
      </c>
      <c r="W508" s="7" t="str">
        <f aca="false">IF(L508="","",VALUE(LEFT(L508,FIND("/",L508)-1)))</f>
        <v/>
      </c>
      <c r="X508" s="7" t="str">
        <f aca="false">IF(L508="","",VALUE(MID(L508,FIND("/",L508)+1,FIND("/",L508,FIND("/",L508)+1)-FIND("/",L508)-1)))</f>
        <v/>
      </c>
      <c r="Y508" s="7" t="str">
        <f aca="false">IF(L508="","",VALUE(MID(L508,FIND("/",L508,FIND("/",L508)+1)+1,LEN(L508)-FIND("/",L508,FIND("/",L508)+1))))</f>
        <v/>
      </c>
      <c r="Z508" s="7" t="str">
        <f aca="false">IF(OR(L508="",W508=""),"",IFERROR(INDEX('لیست‌ها'!$Q$3:$Q$53,MATCH(W508,'لیست‌ها'!$P$3:$P$53,0))+IF(X508&lt;=6,(X508-1)*31+Y508,IF(X508&lt;=11,186+(X508-7)*30+Y508,336+Y508))-1,""))</f>
        <v/>
      </c>
      <c r="AA508" s="7" t="str">
        <f aca="false">IF(H508="","",VALUE(LEFT(H508,FIND("/",H508)-1)))</f>
        <v/>
      </c>
      <c r="AB508" s="7" t="str">
        <f aca="false">IF(H508="","",VALUE(MID(H508,FIND("/",H508)+1,FIND("/",H508,FIND("/",H508)+1)-FIND("/",H508)-1)))</f>
        <v/>
      </c>
      <c r="AC508" s="7" t="str">
        <f aca="false">IF(H508="","",VALUE(MID(H508,FIND("/",H508,FIND("/",H508)+1)+1,LEN(H508)-FIND("/",H508,FIND("/",H508)+1))))</f>
        <v/>
      </c>
      <c r="AD508" s="7" t="str">
        <f aca="false">IF(OR(H508="",AA508=""),"",IFERROR(INDEX('لیست‌ها'!$Q$3:$Q$53,MATCH(AA508,'لیست‌ها'!$P$3:$P$53,0))+IF(AB508&lt;=6,(AB508-1)*31+AC508,IF(AB508&lt;=11,186+(AB508-7)*30+AC508,336+AC508))-1,""))</f>
        <v/>
      </c>
      <c r="AE508" s="7" t="str">
        <f aca="false">IF(P508="","",VALUE(LEFT(P508,FIND("/",P508)-1)))</f>
        <v/>
      </c>
      <c r="AF508" s="7" t="str">
        <f aca="false">IF(P508="","",VALUE(MID(P508,FIND("/",P508)+1,FIND("/",P508,FIND("/",P508)+1)-FIND("/",P508)-1)))</f>
        <v/>
      </c>
      <c r="AG508" s="7" t="str">
        <f aca="false">IF(P508="","",VALUE(MID(P508,FIND("/",P508,FIND("/",P508)+1)+1,LEN(P508)-FIND("/",P508,FIND("/",P508)+1))))</f>
        <v/>
      </c>
      <c r="AH508" s="7" t="str">
        <f aca="false">IF(OR(P508="",AE508=""),"",IFERROR(INDEX('لیست‌ها'!$Q$3:$Q$53,MATCH(AE508,'لیست‌ها'!$P$3:$P$53,0))+IF(AF508&lt;=6,(AF508-1)*31+AG508,IF(AF508&lt;=11,186+(AF508-7)*30+AG508,336+AG508))-1,""))</f>
        <v/>
      </c>
      <c r="AI508" s="7" t="str">
        <f aca="false">IF(W508="","",W508&amp;"-"&amp;TEXT(X508,"00"))</f>
        <v/>
      </c>
      <c r="AJ508" s="7" t="str">
        <f aca="false">IF(W508="","",W508*12+X508)</f>
        <v/>
      </c>
      <c r="AK508" s="7" t="str">
        <f aca="false">IF(U508="تاخیر",V508+ROW()/100000,"")</f>
        <v/>
      </c>
    </row>
    <row r="509" customFormat="false" ht="15" hidden="false" customHeight="false" outlineLevel="0" collapsed="false">
      <c r="A509" s="7" t="str">
        <f aca="false">IF(B509="","",ROW()-3)</f>
        <v/>
      </c>
      <c r="B509" s="8"/>
      <c r="C509" s="8"/>
      <c r="D509" s="8"/>
      <c r="E509" s="9"/>
      <c r="F509" s="9"/>
      <c r="G509" s="8"/>
      <c r="H509" s="8"/>
      <c r="I509" s="8"/>
      <c r="J509" s="9"/>
      <c r="K509" s="8"/>
      <c r="L509" s="8"/>
      <c r="M509" s="8"/>
      <c r="N509" s="8"/>
      <c r="O509" s="8"/>
      <c r="P509" s="8"/>
      <c r="Q509" s="8"/>
      <c r="R509" s="9"/>
      <c r="S509" s="8"/>
      <c r="T509" s="9"/>
      <c r="U509" s="10" t="str">
        <f aca="true">IF(B509="","",IF(OR(P509&lt;&gt;"",I509="می‌باشد"),"بسته",IF(AND(L509&lt;&gt;"",W509=""),"خطای فرمت تاریخ ایجاد",IF(AND(H509&lt;&gt;"",AA509=""),"خطای فرمت مهلت",IF(AND(H509&lt;&gt;"",AD509&lt;&gt;"",TODAY()&gt;AD509),"تاخیر",IF(L509&lt;&gt;"","در حال انجام",""))))))</f>
        <v/>
      </c>
      <c r="V509" s="7" t="n">
        <f aca="true">IF(U509="تاخیر",TODAY()-AD509,IF(AND(U509="بسته",AH509&lt;&gt;"",AD509&lt;&gt;"",AH509&gt;AD509),AH509-AD509,0))</f>
        <v>0</v>
      </c>
      <c r="W509" s="7" t="str">
        <f aca="false">IF(L509="","",VALUE(LEFT(L509,FIND("/",L509)-1)))</f>
        <v/>
      </c>
      <c r="X509" s="7" t="str">
        <f aca="false">IF(L509="","",VALUE(MID(L509,FIND("/",L509)+1,FIND("/",L509,FIND("/",L509)+1)-FIND("/",L509)-1)))</f>
        <v/>
      </c>
      <c r="Y509" s="7" t="str">
        <f aca="false">IF(L509="","",VALUE(MID(L509,FIND("/",L509,FIND("/",L509)+1)+1,LEN(L509)-FIND("/",L509,FIND("/",L509)+1))))</f>
        <v/>
      </c>
      <c r="Z509" s="7" t="str">
        <f aca="false">IF(OR(L509="",W509=""),"",IFERROR(INDEX('لیست‌ها'!$Q$3:$Q$53,MATCH(W509,'لیست‌ها'!$P$3:$P$53,0))+IF(X509&lt;=6,(X509-1)*31+Y509,IF(X509&lt;=11,186+(X509-7)*30+Y509,336+Y509))-1,""))</f>
        <v/>
      </c>
      <c r="AA509" s="7" t="str">
        <f aca="false">IF(H509="","",VALUE(LEFT(H509,FIND("/",H509)-1)))</f>
        <v/>
      </c>
      <c r="AB509" s="7" t="str">
        <f aca="false">IF(H509="","",VALUE(MID(H509,FIND("/",H509)+1,FIND("/",H509,FIND("/",H509)+1)-FIND("/",H509)-1)))</f>
        <v/>
      </c>
      <c r="AC509" s="7" t="str">
        <f aca="false">IF(H509="","",VALUE(MID(H509,FIND("/",H509,FIND("/",H509)+1)+1,LEN(H509)-FIND("/",H509,FIND("/",H509)+1))))</f>
        <v/>
      </c>
      <c r="AD509" s="7" t="str">
        <f aca="false">IF(OR(H509="",AA509=""),"",IFERROR(INDEX('لیست‌ها'!$Q$3:$Q$53,MATCH(AA509,'لیست‌ها'!$P$3:$P$53,0))+IF(AB509&lt;=6,(AB509-1)*31+AC509,IF(AB509&lt;=11,186+(AB509-7)*30+AC509,336+AC509))-1,""))</f>
        <v/>
      </c>
      <c r="AE509" s="7" t="str">
        <f aca="false">IF(P509="","",VALUE(LEFT(P509,FIND("/",P509)-1)))</f>
        <v/>
      </c>
      <c r="AF509" s="7" t="str">
        <f aca="false">IF(P509="","",VALUE(MID(P509,FIND("/",P509)+1,FIND("/",P509,FIND("/",P509)+1)-FIND("/",P509)-1)))</f>
        <v/>
      </c>
      <c r="AG509" s="7" t="str">
        <f aca="false">IF(P509="","",VALUE(MID(P509,FIND("/",P509,FIND("/",P509)+1)+1,LEN(P509)-FIND("/",P509,FIND("/",P509)+1))))</f>
        <v/>
      </c>
      <c r="AH509" s="7" t="str">
        <f aca="false">IF(OR(P509="",AE509=""),"",IFERROR(INDEX('لیست‌ها'!$Q$3:$Q$53,MATCH(AE509,'لیست‌ها'!$P$3:$P$53,0))+IF(AF509&lt;=6,(AF509-1)*31+AG509,IF(AF509&lt;=11,186+(AF509-7)*30+AG509,336+AG509))-1,""))</f>
        <v/>
      </c>
      <c r="AI509" s="7" t="str">
        <f aca="false">IF(W509="","",W509&amp;"-"&amp;TEXT(X509,"00"))</f>
        <v/>
      </c>
      <c r="AJ509" s="7" t="str">
        <f aca="false">IF(W509="","",W509*12+X509)</f>
        <v/>
      </c>
      <c r="AK509" s="7" t="str">
        <f aca="false">IF(U509="تاخیر",V509+ROW()/100000,"")</f>
        <v/>
      </c>
    </row>
    <row r="510" customFormat="false" ht="15" hidden="false" customHeight="false" outlineLevel="0" collapsed="false">
      <c r="A510" s="7" t="str">
        <f aca="false">IF(B510="","",ROW()-3)</f>
        <v/>
      </c>
      <c r="B510" s="8"/>
      <c r="C510" s="8"/>
      <c r="D510" s="8"/>
      <c r="E510" s="9"/>
      <c r="F510" s="9"/>
      <c r="G510" s="8"/>
      <c r="H510" s="8"/>
      <c r="I510" s="8"/>
      <c r="J510" s="9"/>
      <c r="K510" s="8"/>
      <c r="L510" s="8"/>
      <c r="M510" s="8"/>
      <c r="N510" s="8"/>
      <c r="O510" s="8"/>
      <c r="P510" s="8"/>
      <c r="Q510" s="8"/>
      <c r="R510" s="9"/>
      <c r="S510" s="8"/>
      <c r="T510" s="9"/>
      <c r="U510" s="10" t="str">
        <f aca="true">IF(B510="","",IF(OR(P510&lt;&gt;"",I510="می‌باشد"),"بسته",IF(AND(L510&lt;&gt;"",W510=""),"خطای فرمت تاریخ ایجاد",IF(AND(H510&lt;&gt;"",AA510=""),"خطای فرمت مهلت",IF(AND(H510&lt;&gt;"",AD510&lt;&gt;"",TODAY()&gt;AD510),"تاخیر",IF(L510&lt;&gt;"","در حال انجام",""))))))</f>
        <v/>
      </c>
      <c r="V510" s="7" t="n">
        <f aca="true">IF(U510="تاخیر",TODAY()-AD510,IF(AND(U510="بسته",AH510&lt;&gt;"",AD510&lt;&gt;"",AH510&gt;AD510),AH510-AD510,0))</f>
        <v>0</v>
      </c>
      <c r="W510" s="7" t="str">
        <f aca="false">IF(L510="","",VALUE(LEFT(L510,FIND("/",L510)-1)))</f>
        <v/>
      </c>
      <c r="X510" s="7" t="str">
        <f aca="false">IF(L510="","",VALUE(MID(L510,FIND("/",L510)+1,FIND("/",L510,FIND("/",L510)+1)-FIND("/",L510)-1)))</f>
        <v/>
      </c>
      <c r="Y510" s="7" t="str">
        <f aca="false">IF(L510="","",VALUE(MID(L510,FIND("/",L510,FIND("/",L510)+1)+1,LEN(L510)-FIND("/",L510,FIND("/",L510)+1))))</f>
        <v/>
      </c>
      <c r="Z510" s="7" t="str">
        <f aca="false">IF(OR(L510="",W510=""),"",IFERROR(INDEX('لیست‌ها'!$Q$3:$Q$53,MATCH(W510,'لیست‌ها'!$P$3:$P$53,0))+IF(X510&lt;=6,(X510-1)*31+Y510,IF(X510&lt;=11,186+(X510-7)*30+Y510,336+Y510))-1,""))</f>
        <v/>
      </c>
      <c r="AA510" s="7" t="str">
        <f aca="false">IF(H510="","",VALUE(LEFT(H510,FIND("/",H510)-1)))</f>
        <v/>
      </c>
      <c r="AB510" s="7" t="str">
        <f aca="false">IF(H510="","",VALUE(MID(H510,FIND("/",H510)+1,FIND("/",H510,FIND("/",H510)+1)-FIND("/",H510)-1)))</f>
        <v/>
      </c>
      <c r="AC510" s="7" t="str">
        <f aca="false">IF(H510="","",VALUE(MID(H510,FIND("/",H510,FIND("/",H510)+1)+1,LEN(H510)-FIND("/",H510,FIND("/",H510)+1))))</f>
        <v/>
      </c>
      <c r="AD510" s="7" t="str">
        <f aca="false">IF(OR(H510="",AA510=""),"",IFERROR(INDEX('لیست‌ها'!$Q$3:$Q$53,MATCH(AA510,'لیست‌ها'!$P$3:$P$53,0))+IF(AB510&lt;=6,(AB510-1)*31+AC510,IF(AB510&lt;=11,186+(AB510-7)*30+AC510,336+AC510))-1,""))</f>
        <v/>
      </c>
      <c r="AE510" s="7" t="str">
        <f aca="false">IF(P510="","",VALUE(LEFT(P510,FIND("/",P510)-1)))</f>
        <v/>
      </c>
      <c r="AF510" s="7" t="str">
        <f aca="false">IF(P510="","",VALUE(MID(P510,FIND("/",P510)+1,FIND("/",P510,FIND("/",P510)+1)-FIND("/",P510)-1)))</f>
        <v/>
      </c>
      <c r="AG510" s="7" t="str">
        <f aca="false">IF(P510="","",VALUE(MID(P510,FIND("/",P510,FIND("/",P510)+1)+1,LEN(P510)-FIND("/",P510,FIND("/",P510)+1))))</f>
        <v/>
      </c>
      <c r="AH510" s="7" t="str">
        <f aca="false">IF(OR(P510="",AE510=""),"",IFERROR(INDEX('لیست‌ها'!$Q$3:$Q$53,MATCH(AE510,'لیست‌ها'!$P$3:$P$53,0))+IF(AF510&lt;=6,(AF510-1)*31+AG510,IF(AF510&lt;=11,186+(AF510-7)*30+AG510,336+AG510))-1,""))</f>
        <v/>
      </c>
      <c r="AI510" s="7" t="str">
        <f aca="false">IF(W510="","",W510&amp;"-"&amp;TEXT(X510,"00"))</f>
        <v/>
      </c>
      <c r="AJ510" s="7" t="str">
        <f aca="false">IF(W510="","",W510*12+X510)</f>
        <v/>
      </c>
      <c r="AK510" s="7" t="str">
        <f aca="false">IF(U510="تاخیر",V510+ROW()/100000,"")</f>
        <v/>
      </c>
    </row>
    <row r="511" customFormat="false" ht="15" hidden="false" customHeight="false" outlineLevel="0" collapsed="false">
      <c r="A511" s="7" t="str">
        <f aca="false">IF(B511="","",ROW()-3)</f>
        <v/>
      </c>
      <c r="B511" s="8"/>
      <c r="C511" s="8"/>
      <c r="D511" s="8"/>
      <c r="E511" s="9"/>
      <c r="F511" s="9"/>
      <c r="G511" s="8"/>
      <c r="H511" s="8"/>
      <c r="I511" s="8"/>
      <c r="J511" s="9"/>
      <c r="K511" s="8"/>
      <c r="L511" s="8"/>
      <c r="M511" s="8"/>
      <c r="N511" s="8"/>
      <c r="O511" s="8"/>
      <c r="P511" s="8"/>
      <c r="Q511" s="8"/>
      <c r="R511" s="9"/>
      <c r="S511" s="8"/>
      <c r="T511" s="9"/>
      <c r="U511" s="10" t="str">
        <f aca="true">IF(B511="","",IF(OR(P511&lt;&gt;"",I511="می‌باشد"),"بسته",IF(AND(L511&lt;&gt;"",W511=""),"خطای فرمت تاریخ ایجاد",IF(AND(H511&lt;&gt;"",AA511=""),"خطای فرمت مهلت",IF(AND(H511&lt;&gt;"",AD511&lt;&gt;"",TODAY()&gt;AD511),"تاخیر",IF(L511&lt;&gt;"","در حال انجام",""))))))</f>
        <v/>
      </c>
      <c r="V511" s="7" t="n">
        <f aca="true">IF(U511="تاخیر",TODAY()-AD511,IF(AND(U511="بسته",AH511&lt;&gt;"",AD511&lt;&gt;"",AH511&gt;AD511),AH511-AD511,0))</f>
        <v>0</v>
      </c>
      <c r="W511" s="7" t="str">
        <f aca="false">IF(L511="","",VALUE(LEFT(L511,FIND("/",L511)-1)))</f>
        <v/>
      </c>
      <c r="X511" s="7" t="str">
        <f aca="false">IF(L511="","",VALUE(MID(L511,FIND("/",L511)+1,FIND("/",L511,FIND("/",L511)+1)-FIND("/",L511)-1)))</f>
        <v/>
      </c>
      <c r="Y511" s="7" t="str">
        <f aca="false">IF(L511="","",VALUE(MID(L511,FIND("/",L511,FIND("/",L511)+1)+1,LEN(L511)-FIND("/",L511,FIND("/",L511)+1))))</f>
        <v/>
      </c>
      <c r="Z511" s="7" t="str">
        <f aca="false">IF(OR(L511="",W511=""),"",IFERROR(INDEX('لیست‌ها'!$Q$3:$Q$53,MATCH(W511,'لیست‌ها'!$P$3:$P$53,0))+IF(X511&lt;=6,(X511-1)*31+Y511,IF(X511&lt;=11,186+(X511-7)*30+Y511,336+Y511))-1,""))</f>
        <v/>
      </c>
      <c r="AA511" s="7" t="str">
        <f aca="false">IF(H511="","",VALUE(LEFT(H511,FIND("/",H511)-1)))</f>
        <v/>
      </c>
      <c r="AB511" s="7" t="str">
        <f aca="false">IF(H511="","",VALUE(MID(H511,FIND("/",H511)+1,FIND("/",H511,FIND("/",H511)+1)-FIND("/",H511)-1)))</f>
        <v/>
      </c>
      <c r="AC511" s="7" t="str">
        <f aca="false">IF(H511="","",VALUE(MID(H511,FIND("/",H511,FIND("/",H511)+1)+1,LEN(H511)-FIND("/",H511,FIND("/",H511)+1))))</f>
        <v/>
      </c>
      <c r="AD511" s="7" t="str">
        <f aca="false">IF(OR(H511="",AA511=""),"",IFERROR(INDEX('لیست‌ها'!$Q$3:$Q$53,MATCH(AA511,'لیست‌ها'!$P$3:$P$53,0))+IF(AB511&lt;=6,(AB511-1)*31+AC511,IF(AB511&lt;=11,186+(AB511-7)*30+AC511,336+AC511))-1,""))</f>
        <v/>
      </c>
      <c r="AE511" s="7" t="str">
        <f aca="false">IF(P511="","",VALUE(LEFT(P511,FIND("/",P511)-1)))</f>
        <v/>
      </c>
      <c r="AF511" s="7" t="str">
        <f aca="false">IF(P511="","",VALUE(MID(P511,FIND("/",P511)+1,FIND("/",P511,FIND("/",P511)+1)-FIND("/",P511)-1)))</f>
        <v/>
      </c>
      <c r="AG511" s="7" t="str">
        <f aca="false">IF(P511="","",VALUE(MID(P511,FIND("/",P511,FIND("/",P511)+1)+1,LEN(P511)-FIND("/",P511,FIND("/",P511)+1))))</f>
        <v/>
      </c>
      <c r="AH511" s="7" t="str">
        <f aca="false">IF(OR(P511="",AE511=""),"",IFERROR(INDEX('لیست‌ها'!$Q$3:$Q$53,MATCH(AE511,'لیست‌ها'!$P$3:$P$53,0))+IF(AF511&lt;=6,(AF511-1)*31+AG511,IF(AF511&lt;=11,186+(AF511-7)*30+AG511,336+AG511))-1,""))</f>
        <v/>
      </c>
      <c r="AI511" s="7" t="str">
        <f aca="false">IF(W511="","",W511&amp;"-"&amp;TEXT(X511,"00"))</f>
        <v/>
      </c>
      <c r="AJ511" s="7" t="str">
        <f aca="false">IF(W511="","",W511*12+X511)</f>
        <v/>
      </c>
      <c r="AK511" s="7" t="str">
        <f aca="false">IF(U511="تاخیر",V511+ROW()/100000,"")</f>
        <v/>
      </c>
    </row>
    <row r="512" customFormat="false" ht="15" hidden="false" customHeight="false" outlineLevel="0" collapsed="false">
      <c r="A512" s="7" t="str">
        <f aca="false">IF(B512="","",ROW()-3)</f>
        <v/>
      </c>
      <c r="B512" s="8"/>
      <c r="C512" s="8"/>
      <c r="D512" s="8"/>
      <c r="E512" s="9"/>
      <c r="F512" s="9"/>
      <c r="G512" s="8"/>
      <c r="H512" s="8"/>
      <c r="I512" s="8"/>
      <c r="J512" s="9"/>
      <c r="K512" s="8"/>
      <c r="L512" s="8"/>
      <c r="M512" s="8"/>
      <c r="N512" s="8"/>
      <c r="O512" s="8"/>
      <c r="P512" s="8"/>
      <c r="Q512" s="8"/>
      <c r="R512" s="9"/>
      <c r="S512" s="8"/>
      <c r="T512" s="9"/>
      <c r="U512" s="10" t="str">
        <f aca="true">IF(B512="","",IF(OR(P512&lt;&gt;"",I512="می‌باشد"),"بسته",IF(AND(L512&lt;&gt;"",W512=""),"خطای فرمت تاریخ ایجاد",IF(AND(H512&lt;&gt;"",AA512=""),"خطای فرمت مهلت",IF(AND(H512&lt;&gt;"",AD512&lt;&gt;"",TODAY()&gt;AD512),"تاخیر",IF(L512&lt;&gt;"","در حال انجام",""))))))</f>
        <v/>
      </c>
      <c r="V512" s="7" t="n">
        <f aca="true">IF(U512="تاخیر",TODAY()-AD512,IF(AND(U512="بسته",AH512&lt;&gt;"",AD512&lt;&gt;"",AH512&gt;AD512),AH512-AD512,0))</f>
        <v>0</v>
      </c>
      <c r="W512" s="7" t="str">
        <f aca="false">IF(L512="","",VALUE(LEFT(L512,FIND("/",L512)-1)))</f>
        <v/>
      </c>
      <c r="X512" s="7" t="str">
        <f aca="false">IF(L512="","",VALUE(MID(L512,FIND("/",L512)+1,FIND("/",L512,FIND("/",L512)+1)-FIND("/",L512)-1)))</f>
        <v/>
      </c>
      <c r="Y512" s="7" t="str">
        <f aca="false">IF(L512="","",VALUE(MID(L512,FIND("/",L512,FIND("/",L512)+1)+1,LEN(L512)-FIND("/",L512,FIND("/",L512)+1))))</f>
        <v/>
      </c>
      <c r="Z512" s="7" t="str">
        <f aca="false">IF(OR(L512="",W512=""),"",IFERROR(INDEX('لیست‌ها'!$Q$3:$Q$53,MATCH(W512,'لیست‌ها'!$P$3:$P$53,0))+IF(X512&lt;=6,(X512-1)*31+Y512,IF(X512&lt;=11,186+(X512-7)*30+Y512,336+Y512))-1,""))</f>
        <v/>
      </c>
      <c r="AA512" s="7" t="str">
        <f aca="false">IF(H512="","",VALUE(LEFT(H512,FIND("/",H512)-1)))</f>
        <v/>
      </c>
      <c r="AB512" s="7" t="str">
        <f aca="false">IF(H512="","",VALUE(MID(H512,FIND("/",H512)+1,FIND("/",H512,FIND("/",H512)+1)-FIND("/",H512)-1)))</f>
        <v/>
      </c>
      <c r="AC512" s="7" t="str">
        <f aca="false">IF(H512="","",VALUE(MID(H512,FIND("/",H512,FIND("/",H512)+1)+1,LEN(H512)-FIND("/",H512,FIND("/",H512)+1))))</f>
        <v/>
      </c>
      <c r="AD512" s="7" t="str">
        <f aca="false">IF(OR(H512="",AA512=""),"",IFERROR(INDEX('لیست‌ها'!$Q$3:$Q$53,MATCH(AA512,'لیست‌ها'!$P$3:$P$53,0))+IF(AB512&lt;=6,(AB512-1)*31+AC512,IF(AB512&lt;=11,186+(AB512-7)*30+AC512,336+AC512))-1,""))</f>
        <v/>
      </c>
      <c r="AE512" s="7" t="str">
        <f aca="false">IF(P512="","",VALUE(LEFT(P512,FIND("/",P512)-1)))</f>
        <v/>
      </c>
      <c r="AF512" s="7" t="str">
        <f aca="false">IF(P512="","",VALUE(MID(P512,FIND("/",P512)+1,FIND("/",P512,FIND("/",P512)+1)-FIND("/",P512)-1)))</f>
        <v/>
      </c>
      <c r="AG512" s="7" t="str">
        <f aca="false">IF(P512="","",VALUE(MID(P512,FIND("/",P512,FIND("/",P512)+1)+1,LEN(P512)-FIND("/",P512,FIND("/",P512)+1))))</f>
        <v/>
      </c>
      <c r="AH512" s="7" t="str">
        <f aca="false">IF(OR(P512="",AE512=""),"",IFERROR(INDEX('لیست‌ها'!$Q$3:$Q$53,MATCH(AE512,'لیست‌ها'!$P$3:$P$53,0))+IF(AF512&lt;=6,(AF512-1)*31+AG512,IF(AF512&lt;=11,186+(AF512-7)*30+AG512,336+AG512))-1,""))</f>
        <v/>
      </c>
      <c r="AI512" s="7" t="str">
        <f aca="false">IF(W512="","",W512&amp;"-"&amp;TEXT(X512,"00"))</f>
        <v/>
      </c>
      <c r="AJ512" s="7" t="str">
        <f aca="false">IF(W512="","",W512*12+X512)</f>
        <v/>
      </c>
      <c r="AK512" s="7" t="str">
        <f aca="false">IF(U512="تاخیر",V512+ROW()/100000,"")</f>
        <v/>
      </c>
    </row>
    <row r="513" customFormat="false" ht="15" hidden="false" customHeight="false" outlineLevel="0" collapsed="false">
      <c r="A513" s="7" t="str">
        <f aca="false">IF(B513="","",ROW()-3)</f>
        <v/>
      </c>
      <c r="B513" s="8"/>
      <c r="C513" s="8"/>
      <c r="D513" s="8"/>
      <c r="E513" s="9"/>
      <c r="F513" s="9"/>
      <c r="G513" s="8"/>
      <c r="H513" s="8"/>
      <c r="I513" s="8"/>
      <c r="J513" s="9"/>
      <c r="K513" s="8"/>
      <c r="L513" s="8"/>
      <c r="M513" s="8"/>
      <c r="N513" s="8"/>
      <c r="O513" s="8"/>
      <c r="P513" s="8"/>
      <c r="Q513" s="8"/>
      <c r="R513" s="9"/>
      <c r="S513" s="8"/>
      <c r="T513" s="9"/>
      <c r="U513" s="10" t="str">
        <f aca="true">IF(B513="","",IF(OR(P513&lt;&gt;"",I513="می‌باشد"),"بسته",IF(AND(L513&lt;&gt;"",W513=""),"خطای فرمت تاریخ ایجاد",IF(AND(H513&lt;&gt;"",AA513=""),"خطای فرمت مهلت",IF(AND(H513&lt;&gt;"",AD513&lt;&gt;"",TODAY()&gt;AD513),"تاخیر",IF(L513&lt;&gt;"","در حال انجام",""))))))</f>
        <v/>
      </c>
      <c r="V513" s="7" t="n">
        <f aca="true">IF(U513="تاخیر",TODAY()-AD513,IF(AND(U513="بسته",AH513&lt;&gt;"",AD513&lt;&gt;"",AH513&gt;AD513),AH513-AD513,0))</f>
        <v>0</v>
      </c>
      <c r="W513" s="7" t="str">
        <f aca="false">IF(L513="","",VALUE(LEFT(L513,FIND("/",L513)-1)))</f>
        <v/>
      </c>
      <c r="X513" s="7" t="str">
        <f aca="false">IF(L513="","",VALUE(MID(L513,FIND("/",L513)+1,FIND("/",L513,FIND("/",L513)+1)-FIND("/",L513)-1)))</f>
        <v/>
      </c>
      <c r="Y513" s="7" t="str">
        <f aca="false">IF(L513="","",VALUE(MID(L513,FIND("/",L513,FIND("/",L513)+1)+1,LEN(L513)-FIND("/",L513,FIND("/",L513)+1))))</f>
        <v/>
      </c>
      <c r="Z513" s="7" t="str">
        <f aca="false">IF(OR(L513="",W513=""),"",IFERROR(INDEX('لیست‌ها'!$Q$3:$Q$53,MATCH(W513,'لیست‌ها'!$P$3:$P$53,0))+IF(X513&lt;=6,(X513-1)*31+Y513,IF(X513&lt;=11,186+(X513-7)*30+Y513,336+Y513))-1,""))</f>
        <v/>
      </c>
      <c r="AA513" s="7" t="str">
        <f aca="false">IF(H513="","",VALUE(LEFT(H513,FIND("/",H513)-1)))</f>
        <v/>
      </c>
      <c r="AB513" s="7" t="str">
        <f aca="false">IF(H513="","",VALUE(MID(H513,FIND("/",H513)+1,FIND("/",H513,FIND("/",H513)+1)-FIND("/",H513)-1)))</f>
        <v/>
      </c>
      <c r="AC513" s="7" t="str">
        <f aca="false">IF(H513="","",VALUE(MID(H513,FIND("/",H513,FIND("/",H513)+1)+1,LEN(H513)-FIND("/",H513,FIND("/",H513)+1))))</f>
        <v/>
      </c>
      <c r="AD513" s="7" t="str">
        <f aca="false">IF(OR(H513="",AA513=""),"",IFERROR(INDEX('لیست‌ها'!$Q$3:$Q$53,MATCH(AA513,'لیست‌ها'!$P$3:$P$53,0))+IF(AB513&lt;=6,(AB513-1)*31+AC513,IF(AB513&lt;=11,186+(AB513-7)*30+AC513,336+AC513))-1,""))</f>
        <v/>
      </c>
      <c r="AE513" s="7" t="str">
        <f aca="false">IF(P513="","",VALUE(LEFT(P513,FIND("/",P513)-1)))</f>
        <v/>
      </c>
      <c r="AF513" s="7" t="str">
        <f aca="false">IF(P513="","",VALUE(MID(P513,FIND("/",P513)+1,FIND("/",P513,FIND("/",P513)+1)-FIND("/",P513)-1)))</f>
        <v/>
      </c>
      <c r="AG513" s="7" t="str">
        <f aca="false">IF(P513="","",VALUE(MID(P513,FIND("/",P513,FIND("/",P513)+1)+1,LEN(P513)-FIND("/",P513,FIND("/",P513)+1))))</f>
        <v/>
      </c>
      <c r="AH513" s="7" t="str">
        <f aca="false">IF(OR(P513="",AE513=""),"",IFERROR(INDEX('لیست‌ها'!$Q$3:$Q$53,MATCH(AE513,'لیست‌ها'!$P$3:$P$53,0))+IF(AF513&lt;=6,(AF513-1)*31+AG513,IF(AF513&lt;=11,186+(AF513-7)*30+AG513,336+AG513))-1,""))</f>
        <v/>
      </c>
      <c r="AI513" s="7" t="str">
        <f aca="false">IF(W513="","",W513&amp;"-"&amp;TEXT(X513,"00"))</f>
        <v/>
      </c>
      <c r="AJ513" s="7" t="str">
        <f aca="false">IF(W513="","",W513*12+X513)</f>
        <v/>
      </c>
      <c r="AK513" s="7" t="str">
        <f aca="false">IF(U513="تاخیر",V513+ROW()/100000,"")</f>
        <v/>
      </c>
    </row>
    <row r="514" customFormat="false" ht="15" hidden="false" customHeight="false" outlineLevel="0" collapsed="false">
      <c r="A514" s="7" t="str">
        <f aca="false">IF(B514="","",ROW()-3)</f>
        <v/>
      </c>
      <c r="B514" s="8"/>
      <c r="C514" s="8"/>
      <c r="D514" s="8"/>
      <c r="E514" s="9"/>
      <c r="F514" s="9"/>
      <c r="G514" s="8"/>
      <c r="H514" s="8"/>
      <c r="I514" s="8"/>
      <c r="J514" s="9"/>
      <c r="K514" s="8"/>
      <c r="L514" s="8"/>
      <c r="M514" s="8"/>
      <c r="N514" s="8"/>
      <c r="O514" s="8"/>
      <c r="P514" s="8"/>
      <c r="Q514" s="8"/>
      <c r="R514" s="9"/>
      <c r="S514" s="8"/>
      <c r="T514" s="9"/>
      <c r="U514" s="10" t="str">
        <f aca="true">IF(B514="","",IF(OR(P514&lt;&gt;"",I514="می‌باشد"),"بسته",IF(AND(L514&lt;&gt;"",W514=""),"خطای فرمت تاریخ ایجاد",IF(AND(H514&lt;&gt;"",AA514=""),"خطای فرمت مهلت",IF(AND(H514&lt;&gt;"",AD514&lt;&gt;"",TODAY()&gt;AD514),"تاخیر",IF(L514&lt;&gt;"","در حال انجام",""))))))</f>
        <v/>
      </c>
      <c r="V514" s="7" t="n">
        <f aca="true">IF(U514="تاخیر",TODAY()-AD514,IF(AND(U514="بسته",AH514&lt;&gt;"",AD514&lt;&gt;"",AH514&gt;AD514),AH514-AD514,0))</f>
        <v>0</v>
      </c>
      <c r="W514" s="7" t="str">
        <f aca="false">IF(L514="","",VALUE(LEFT(L514,FIND("/",L514)-1)))</f>
        <v/>
      </c>
      <c r="X514" s="7" t="str">
        <f aca="false">IF(L514="","",VALUE(MID(L514,FIND("/",L514)+1,FIND("/",L514,FIND("/",L514)+1)-FIND("/",L514)-1)))</f>
        <v/>
      </c>
      <c r="Y514" s="7" t="str">
        <f aca="false">IF(L514="","",VALUE(MID(L514,FIND("/",L514,FIND("/",L514)+1)+1,LEN(L514)-FIND("/",L514,FIND("/",L514)+1))))</f>
        <v/>
      </c>
      <c r="Z514" s="7" t="str">
        <f aca="false">IF(OR(L514="",W514=""),"",IFERROR(INDEX('لیست‌ها'!$Q$3:$Q$53,MATCH(W514,'لیست‌ها'!$P$3:$P$53,0))+IF(X514&lt;=6,(X514-1)*31+Y514,IF(X514&lt;=11,186+(X514-7)*30+Y514,336+Y514))-1,""))</f>
        <v/>
      </c>
      <c r="AA514" s="7" t="str">
        <f aca="false">IF(H514="","",VALUE(LEFT(H514,FIND("/",H514)-1)))</f>
        <v/>
      </c>
      <c r="AB514" s="7" t="str">
        <f aca="false">IF(H514="","",VALUE(MID(H514,FIND("/",H514)+1,FIND("/",H514,FIND("/",H514)+1)-FIND("/",H514)-1)))</f>
        <v/>
      </c>
      <c r="AC514" s="7" t="str">
        <f aca="false">IF(H514="","",VALUE(MID(H514,FIND("/",H514,FIND("/",H514)+1)+1,LEN(H514)-FIND("/",H514,FIND("/",H514)+1))))</f>
        <v/>
      </c>
      <c r="AD514" s="7" t="str">
        <f aca="false">IF(OR(H514="",AA514=""),"",IFERROR(INDEX('لیست‌ها'!$Q$3:$Q$53,MATCH(AA514,'لیست‌ها'!$P$3:$P$53,0))+IF(AB514&lt;=6,(AB514-1)*31+AC514,IF(AB514&lt;=11,186+(AB514-7)*30+AC514,336+AC514))-1,""))</f>
        <v/>
      </c>
      <c r="AE514" s="7" t="str">
        <f aca="false">IF(P514="","",VALUE(LEFT(P514,FIND("/",P514)-1)))</f>
        <v/>
      </c>
      <c r="AF514" s="7" t="str">
        <f aca="false">IF(P514="","",VALUE(MID(P514,FIND("/",P514)+1,FIND("/",P514,FIND("/",P514)+1)-FIND("/",P514)-1)))</f>
        <v/>
      </c>
      <c r="AG514" s="7" t="str">
        <f aca="false">IF(P514="","",VALUE(MID(P514,FIND("/",P514,FIND("/",P514)+1)+1,LEN(P514)-FIND("/",P514,FIND("/",P514)+1))))</f>
        <v/>
      </c>
      <c r="AH514" s="7" t="str">
        <f aca="false">IF(OR(P514="",AE514=""),"",IFERROR(INDEX('لیست‌ها'!$Q$3:$Q$53,MATCH(AE514,'لیست‌ها'!$P$3:$P$53,0))+IF(AF514&lt;=6,(AF514-1)*31+AG514,IF(AF514&lt;=11,186+(AF514-7)*30+AG514,336+AG514))-1,""))</f>
        <v/>
      </c>
      <c r="AI514" s="7" t="str">
        <f aca="false">IF(W514="","",W514&amp;"-"&amp;TEXT(X514,"00"))</f>
        <v/>
      </c>
      <c r="AJ514" s="7" t="str">
        <f aca="false">IF(W514="","",W514*12+X514)</f>
        <v/>
      </c>
      <c r="AK514" s="7" t="str">
        <f aca="false">IF(U514="تاخیر",V514+ROW()/100000,"")</f>
        <v/>
      </c>
    </row>
    <row r="515" customFormat="false" ht="15" hidden="false" customHeight="false" outlineLevel="0" collapsed="false">
      <c r="A515" s="7" t="str">
        <f aca="false">IF(B515="","",ROW()-3)</f>
        <v/>
      </c>
      <c r="B515" s="8"/>
      <c r="C515" s="8"/>
      <c r="D515" s="8"/>
      <c r="E515" s="9"/>
      <c r="F515" s="9"/>
      <c r="G515" s="8"/>
      <c r="H515" s="8"/>
      <c r="I515" s="8"/>
      <c r="J515" s="9"/>
      <c r="K515" s="8"/>
      <c r="L515" s="8"/>
      <c r="M515" s="8"/>
      <c r="N515" s="8"/>
      <c r="O515" s="8"/>
      <c r="P515" s="8"/>
      <c r="Q515" s="8"/>
      <c r="R515" s="9"/>
      <c r="S515" s="8"/>
      <c r="T515" s="9"/>
      <c r="U515" s="10" t="str">
        <f aca="true">IF(B515="","",IF(OR(P515&lt;&gt;"",I515="می‌باشد"),"بسته",IF(AND(L515&lt;&gt;"",W515=""),"خطای فرمت تاریخ ایجاد",IF(AND(H515&lt;&gt;"",AA515=""),"خطای فرمت مهلت",IF(AND(H515&lt;&gt;"",AD515&lt;&gt;"",TODAY()&gt;AD515),"تاخیر",IF(L515&lt;&gt;"","در حال انجام",""))))))</f>
        <v/>
      </c>
      <c r="V515" s="7" t="n">
        <f aca="true">IF(U515="تاخیر",TODAY()-AD515,IF(AND(U515="بسته",AH515&lt;&gt;"",AD515&lt;&gt;"",AH515&gt;AD515),AH515-AD515,0))</f>
        <v>0</v>
      </c>
      <c r="W515" s="7" t="str">
        <f aca="false">IF(L515="","",VALUE(LEFT(L515,FIND("/",L515)-1)))</f>
        <v/>
      </c>
      <c r="X515" s="7" t="str">
        <f aca="false">IF(L515="","",VALUE(MID(L515,FIND("/",L515)+1,FIND("/",L515,FIND("/",L515)+1)-FIND("/",L515)-1)))</f>
        <v/>
      </c>
      <c r="Y515" s="7" t="str">
        <f aca="false">IF(L515="","",VALUE(MID(L515,FIND("/",L515,FIND("/",L515)+1)+1,LEN(L515)-FIND("/",L515,FIND("/",L515)+1))))</f>
        <v/>
      </c>
      <c r="Z515" s="7" t="str">
        <f aca="false">IF(OR(L515="",W515=""),"",IFERROR(INDEX('لیست‌ها'!$Q$3:$Q$53,MATCH(W515,'لیست‌ها'!$P$3:$P$53,0))+IF(X515&lt;=6,(X515-1)*31+Y515,IF(X515&lt;=11,186+(X515-7)*30+Y515,336+Y515))-1,""))</f>
        <v/>
      </c>
      <c r="AA515" s="7" t="str">
        <f aca="false">IF(H515="","",VALUE(LEFT(H515,FIND("/",H515)-1)))</f>
        <v/>
      </c>
      <c r="AB515" s="7" t="str">
        <f aca="false">IF(H515="","",VALUE(MID(H515,FIND("/",H515)+1,FIND("/",H515,FIND("/",H515)+1)-FIND("/",H515)-1)))</f>
        <v/>
      </c>
      <c r="AC515" s="7" t="str">
        <f aca="false">IF(H515="","",VALUE(MID(H515,FIND("/",H515,FIND("/",H515)+1)+1,LEN(H515)-FIND("/",H515,FIND("/",H515)+1))))</f>
        <v/>
      </c>
      <c r="AD515" s="7" t="str">
        <f aca="false">IF(OR(H515="",AA515=""),"",IFERROR(INDEX('لیست‌ها'!$Q$3:$Q$53,MATCH(AA515,'لیست‌ها'!$P$3:$P$53,0))+IF(AB515&lt;=6,(AB515-1)*31+AC515,IF(AB515&lt;=11,186+(AB515-7)*30+AC515,336+AC515))-1,""))</f>
        <v/>
      </c>
      <c r="AE515" s="7" t="str">
        <f aca="false">IF(P515="","",VALUE(LEFT(P515,FIND("/",P515)-1)))</f>
        <v/>
      </c>
      <c r="AF515" s="7" t="str">
        <f aca="false">IF(P515="","",VALUE(MID(P515,FIND("/",P515)+1,FIND("/",P515,FIND("/",P515)+1)-FIND("/",P515)-1)))</f>
        <v/>
      </c>
      <c r="AG515" s="7" t="str">
        <f aca="false">IF(P515="","",VALUE(MID(P515,FIND("/",P515,FIND("/",P515)+1)+1,LEN(P515)-FIND("/",P515,FIND("/",P515)+1))))</f>
        <v/>
      </c>
      <c r="AH515" s="7" t="str">
        <f aca="false">IF(OR(P515="",AE515=""),"",IFERROR(INDEX('لیست‌ها'!$Q$3:$Q$53,MATCH(AE515,'لیست‌ها'!$P$3:$P$53,0))+IF(AF515&lt;=6,(AF515-1)*31+AG515,IF(AF515&lt;=11,186+(AF515-7)*30+AG515,336+AG515))-1,""))</f>
        <v/>
      </c>
      <c r="AI515" s="7" t="str">
        <f aca="false">IF(W515="","",W515&amp;"-"&amp;TEXT(X515,"00"))</f>
        <v/>
      </c>
      <c r="AJ515" s="7" t="str">
        <f aca="false">IF(W515="","",W515*12+X515)</f>
        <v/>
      </c>
      <c r="AK515" s="7" t="str">
        <f aca="false">IF(U515="تاخیر",V515+ROW()/100000,"")</f>
        <v/>
      </c>
    </row>
    <row r="516" customFormat="false" ht="15" hidden="false" customHeight="false" outlineLevel="0" collapsed="false">
      <c r="A516" s="7" t="str">
        <f aca="false">IF(B516="","",ROW()-3)</f>
        <v/>
      </c>
      <c r="B516" s="8"/>
      <c r="C516" s="8"/>
      <c r="D516" s="8"/>
      <c r="E516" s="9"/>
      <c r="F516" s="9"/>
      <c r="G516" s="8"/>
      <c r="H516" s="8"/>
      <c r="I516" s="8"/>
      <c r="J516" s="9"/>
      <c r="K516" s="8"/>
      <c r="L516" s="8"/>
      <c r="M516" s="8"/>
      <c r="N516" s="8"/>
      <c r="O516" s="8"/>
      <c r="P516" s="8"/>
      <c r="Q516" s="8"/>
      <c r="R516" s="9"/>
      <c r="S516" s="8"/>
      <c r="T516" s="9"/>
      <c r="U516" s="10" t="str">
        <f aca="true">IF(B516="","",IF(OR(P516&lt;&gt;"",I516="می‌باشد"),"بسته",IF(AND(L516&lt;&gt;"",W516=""),"خطای فرمت تاریخ ایجاد",IF(AND(H516&lt;&gt;"",AA516=""),"خطای فرمت مهلت",IF(AND(H516&lt;&gt;"",AD516&lt;&gt;"",TODAY()&gt;AD516),"تاخیر",IF(L516&lt;&gt;"","در حال انجام",""))))))</f>
        <v/>
      </c>
      <c r="V516" s="7" t="n">
        <f aca="true">IF(U516="تاخیر",TODAY()-AD516,IF(AND(U516="بسته",AH516&lt;&gt;"",AD516&lt;&gt;"",AH516&gt;AD516),AH516-AD516,0))</f>
        <v>0</v>
      </c>
      <c r="W516" s="7" t="str">
        <f aca="false">IF(L516="","",VALUE(LEFT(L516,FIND("/",L516)-1)))</f>
        <v/>
      </c>
      <c r="X516" s="7" t="str">
        <f aca="false">IF(L516="","",VALUE(MID(L516,FIND("/",L516)+1,FIND("/",L516,FIND("/",L516)+1)-FIND("/",L516)-1)))</f>
        <v/>
      </c>
      <c r="Y516" s="7" t="str">
        <f aca="false">IF(L516="","",VALUE(MID(L516,FIND("/",L516,FIND("/",L516)+1)+1,LEN(L516)-FIND("/",L516,FIND("/",L516)+1))))</f>
        <v/>
      </c>
      <c r="Z516" s="7" t="str">
        <f aca="false">IF(OR(L516="",W516=""),"",IFERROR(INDEX('لیست‌ها'!$Q$3:$Q$53,MATCH(W516,'لیست‌ها'!$P$3:$P$53,0))+IF(X516&lt;=6,(X516-1)*31+Y516,IF(X516&lt;=11,186+(X516-7)*30+Y516,336+Y516))-1,""))</f>
        <v/>
      </c>
      <c r="AA516" s="7" t="str">
        <f aca="false">IF(H516="","",VALUE(LEFT(H516,FIND("/",H516)-1)))</f>
        <v/>
      </c>
      <c r="AB516" s="7" t="str">
        <f aca="false">IF(H516="","",VALUE(MID(H516,FIND("/",H516)+1,FIND("/",H516,FIND("/",H516)+1)-FIND("/",H516)-1)))</f>
        <v/>
      </c>
      <c r="AC516" s="7" t="str">
        <f aca="false">IF(H516="","",VALUE(MID(H516,FIND("/",H516,FIND("/",H516)+1)+1,LEN(H516)-FIND("/",H516,FIND("/",H516)+1))))</f>
        <v/>
      </c>
      <c r="AD516" s="7" t="str">
        <f aca="false">IF(OR(H516="",AA516=""),"",IFERROR(INDEX('لیست‌ها'!$Q$3:$Q$53,MATCH(AA516,'لیست‌ها'!$P$3:$P$53,0))+IF(AB516&lt;=6,(AB516-1)*31+AC516,IF(AB516&lt;=11,186+(AB516-7)*30+AC516,336+AC516))-1,""))</f>
        <v/>
      </c>
      <c r="AE516" s="7" t="str">
        <f aca="false">IF(P516="","",VALUE(LEFT(P516,FIND("/",P516)-1)))</f>
        <v/>
      </c>
      <c r="AF516" s="7" t="str">
        <f aca="false">IF(P516="","",VALUE(MID(P516,FIND("/",P516)+1,FIND("/",P516,FIND("/",P516)+1)-FIND("/",P516)-1)))</f>
        <v/>
      </c>
      <c r="AG516" s="7" t="str">
        <f aca="false">IF(P516="","",VALUE(MID(P516,FIND("/",P516,FIND("/",P516)+1)+1,LEN(P516)-FIND("/",P516,FIND("/",P516)+1))))</f>
        <v/>
      </c>
      <c r="AH516" s="7" t="str">
        <f aca="false">IF(OR(P516="",AE516=""),"",IFERROR(INDEX('لیست‌ها'!$Q$3:$Q$53,MATCH(AE516,'لیست‌ها'!$P$3:$P$53,0))+IF(AF516&lt;=6,(AF516-1)*31+AG516,IF(AF516&lt;=11,186+(AF516-7)*30+AG516,336+AG516))-1,""))</f>
        <v/>
      </c>
      <c r="AI516" s="7" t="str">
        <f aca="false">IF(W516="","",W516&amp;"-"&amp;TEXT(X516,"00"))</f>
        <v/>
      </c>
      <c r="AJ516" s="7" t="str">
        <f aca="false">IF(W516="","",W516*12+X516)</f>
        <v/>
      </c>
      <c r="AK516" s="7" t="str">
        <f aca="false">IF(U516="تاخیر",V516+ROW()/100000,"")</f>
        <v/>
      </c>
    </row>
    <row r="517" customFormat="false" ht="15" hidden="false" customHeight="false" outlineLevel="0" collapsed="false">
      <c r="A517" s="7" t="str">
        <f aca="false">IF(B517="","",ROW()-3)</f>
        <v/>
      </c>
      <c r="B517" s="8"/>
      <c r="C517" s="8"/>
      <c r="D517" s="8"/>
      <c r="E517" s="9"/>
      <c r="F517" s="9"/>
      <c r="G517" s="8"/>
      <c r="H517" s="8"/>
      <c r="I517" s="8"/>
      <c r="J517" s="9"/>
      <c r="K517" s="8"/>
      <c r="L517" s="8"/>
      <c r="M517" s="8"/>
      <c r="N517" s="8"/>
      <c r="O517" s="8"/>
      <c r="P517" s="8"/>
      <c r="Q517" s="8"/>
      <c r="R517" s="9"/>
      <c r="S517" s="8"/>
      <c r="T517" s="9"/>
      <c r="U517" s="10" t="str">
        <f aca="true">IF(B517="","",IF(OR(P517&lt;&gt;"",I517="می‌باشد"),"بسته",IF(AND(L517&lt;&gt;"",W517=""),"خطای فرمت تاریخ ایجاد",IF(AND(H517&lt;&gt;"",AA517=""),"خطای فرمت مهلت",IF(AND(H517&lt;&gt;"",AD517&lt;&gt;"",TODAY()&gt;AD517),"تاخیر",IF(L517&lt;&gt;"","در حال انجام",""))))))</f>
        <v/>
      </c>
      <c r="V517" s="7" t="n">
        <f aca="true">IF(U517="تاخیر",TODAY()-AD517,IF(AND(U517="بسته",AH517&lt;&gt;"",AD517&lt;&gt;"",AH517&gt;AD517),AH517-AD517,0))</f>
        <v>0</v>
      </c>
      <c r="W517" s="7" t="str">
        <f aca="false">IF(L517="","",VALUE(LEFT(L517,FIND("/",L517)-1)))</f>
        <v/>
      </c>
      <c r="X517" s="7" t="str">
        <f aca="false">IF(L517="","",VALUE(MID(L517,FIND("/",L517)+1,FIND("/",L517,FIND("/",L517)+1)-FIND("/",L517)-1)))</f>
        <v/>
      </c>
      <c r="Y517" s="7" t="str">
        <f aca="false">IF(L517="","",VALUE(MID(L517,FIND("/",L517,FIND("/",L517)+1)+1,LEN(L517)-FIND("/",L517,FIND("/",L517)+1))))</f>
        <v/>
      </c>
      <c r="Z517" s="7" t="str">
        <f aca="false">IF(OR(L517="",W517=""),"",IFERROR(INDEX('لیست‌ها'!$Q$3:$Q$53,MATCH(W517,'لیست‌ها'!$P$3:$P$53,0))+IF(X517&lt;=6,(X517-1)*31+Y517,IF(X517&lt;=11,186+(X517-7)*30+Y517,336+Y517))-1,""))</f>
        <v/>
      </c>
      <c r="AA517" s="7" t="str">
        <f aca="false">IF(H517="","",VALUE(LEFT(H517,FIND("/",H517)-1)))</f>
        <v/>
      </c>
      <c r="AB517" s="7" t="str">
        <f aca="false">IF(H517="","",VALUE(MID(H517,FIND("/",H517)+1,FIND("/",H517,FIND("/",H517)+1)-FIND("/",H517)-1)))</f>
        <v/>
      </c>
      <c r="AC517" s="7" t="str">
        <f aca="false">IF(H517="","",VALUE(MID(H517,FIND("/",H517,FIND("/",H517)+1)+1,LEN(H517)-FIND("/",H517,FIND("/",H517)+1))))</f>
        <v/>
      </c>
      <c r="AD517" s="7" t="str">
        <f aca="false">IF(OR(H517="",AA517=""),"",IFERROR(INDEX('لیست‌ها'!$Q$3:$Q$53,MATCH(AA517,'لیست‌ها'!$P$3:$P$53,0))+IF(AB517&lt;=6,(AB517-1)*31+AC517,IF(AB517&lt;=11,186+(AB517-7)*30+AC517,336+AC517))-1,""))</f>
        <v/>
      </c>
      <c r="AE517" s="7" t="str">
        <f aca="false">IF(P517="","",VALUE(LEFT(P517,FIND("/",P517)-1)))</f>
        <v/>
      </c>
      <c r="AF517" s="7" t="str">
        <f aca="false">IF(P517="","",VALUE(MID(P517,FIND("/",P517)+1,FIND("/",P517,FIND("/",P517)+1)-FIND("/",P517)-1)))</f>
        <v/>
      </c>
      <c r="AG517" s="7" t="str">
        <f aca="false">IF(P517="","",VALUE(MID(P517,FIND("/",P517,FIND("/",P517)+1)+1,LEN(P517)-FIND("/",P517,FIND("/",P517)+1))))</f>
        <v/>
      </c>
      <c r="AH517" s="7" t="str">
        <f aca="false">IF(OR(P517="",AE517=""),"",IFERROR(INDEX('لیست‌ها'!$Q$3:$Q$53,MATCH(AE517,'لیست‌ها'!$P$3:$P$53,0))+IF(AF517&lt;=6,(AF517-1)*31+AG517,IF(AF517&lt;=11,186+(AF517-7)*30+AG517,336+AG517))-1,""))</f>
        <v/>
      </c>
      <c r="AI517" s="7" t="str">
        <f aca="false">IF(W517="","",W517&amp;"-"&amp;TEXT(X517,"00"))</f>
        <v/>
      </c>
      <c r="AJ517" s="7" t="str">
        <f aca="false">IF(W517="","",W517*12+X517)</f>
        <v/>
      </c>
      <c r="AK517" s="7" t="str">
        <f aca="false">IF(U517="تاخیر",V517+ROW()/100000,"")</f>
        <v/>
      </c>
    </row>
    <row r="518" customFormat="false" ht="15" hidden="false" customHeight="false" outlineLevel="0" collapsed="false">
      <c r="A518" s="7" t="str">
        <f aca="false">IF(B518="","",ROW()-3)</f>
        <v/>
      </c>
      <c r="B518" s="8"/>
      <c r="C518" s="8"/>
      <c r="D518" s="8"/>
      <c r="E518" s="9"/>
      <c r="F518" s="9"/>
      <c r="G518" s="8"/>
      <c r="H518" s="8"/>
      <c r="I518" s="8"/>
      <c r="J518" s="9"/>
      <c r="K518" s="8"/>
      <c r="L518" s="8"/>
      <c r="M518" s="8"/>
      <c r="N518" s="8"/>
      <c r="O518" s="8"/>
      <c r="P518" s="8"/>
      <c r="Q518" s="8"/>
      <c r="R518" s="9"/>
      <c r="S518" s="8"/>
      <c r="T518" s="9"/>
      <c r="U518" s="10" t="str">
        <f aca="true">IF(B518="","",IF(OR(P518&lt;&gt;"",I518="می‌باشد"),"بسته",IF(AND(L518&lt;&gt;"",W518=""),"خطای فرمت تاریخ ایجاد",IF(AND(H518&lt;&gt;"",AA518=""),"خطای فرمت مهلت",IF(AND(H518&lt;&gt;"",AD518&lt;&gt;"",TODAY()&gt;AD518),"تاخیر",IF(L518&lt;&gt;"","در حال انجام",""))))))</f>
        <v/>
      </c>
      <c r="V518" s="7" t="n">
        <f aca="true">IF(U518="تاخیر",TODAY()-AD518,IF(AND(U518="بسته",AH518&lt;&gt;"",AD518&lt;&gt;"",AH518&gt;AD518),AH518-AD518,0))</f>
        <v>0</v>
      </c>
      <c r="W518" s="7" t="str">
        <f aca="false">IF(L518="","",VALUE(LEFT(L518,FIND("/",L518)-1)))</f>
        <v/>
      </c>
      <c r="X518" s="7" t="str">
        <f aca="false">IF(L518="","",VALUE(MID(L518,FIND("/",L518)+1,FIND("/",L518,FIND("/",L518)+1)-FIND("/",L518)-1)))</f>
        <v/>
      </c>
      <c r="Y518" s="7" t="str">
        <f aca="false">IF(L518="","",VALUE(MID(L518,FIND("/",L518,FIND("/",L518)+1)+1,LEN(L518)-FIND("/",L518,FIND("/",L518)+1))))</f>
        <v/>
      </c>
      <c r="Z518" s="7" t="str">
        <f aca="false">IF(OR(L518="",W518=""),"",IFERROR(INDEX('لیست‌ها'!$Q$3:$Q$53,MATCH(W518,'لیست‌ها'!$P$3:$P$53,0))+IF(X518&lt;=6,(X518-1)*31+Y518,IF(X518&lt;=11,186+(X518-7)*30+Y518,336+Y518))-1,""))</f>
        <v/>
      </c>
      <c r="AA518" s="7" t="str">
        <f aca="false">IF(H518="","",VALUE(LEFT(H518,FIND("/",H518)-1)))</f>
        <v/>
      </c>
      <c r="AB518" s="7" t="str">
        <f aca="false">IF(H518="","",VALUE(MID(H518,FIND("/",H518)+1,FIND("/",H518,FIND("/",H518)+1)-FIND("/",H518)-1)))</f>
        <v/>
      </c>
      <c r="AC518" s="7" t="str">
        <f aca="false">IF(H518="","",VALUE(MID(H518,FIND("/",H518,FIND("/",H518)+1)+1,LEN(H518)-FIND("/",H518,FIND("/",H518)+1))))</f>
        <v/>
      </c>
      <c r="AD518" s="7" t="str">
        <f aca="false">IF(OR(H518="",AA518=""),"",IFERROR(INDEX('لیست‌ها'!$Q$3:$Q$53,MATCH(AA518,'لیست‌ها'!$P$3:$P$53,0))+IF(AB518&lt;=6,(AB518-1)*31+AC518,IF(AB518&lt;=11,186+(AB518-7)*30+AC518,336+AC518))-1,""))</f>
        <v/>
      </c>
      <c r="AE518" s="7" t="str">
        <f aca="false">IF(P518="","",VALUE(LEFT(P518,FIND("/",P518)-1)))</f>
        <v/>
      </c>
      <c r="AF518" s="7" t="str">
        <f aca="false">IF(P518="","",VALUE(MID(P518,FIND("/",P518)+1,FIND("/",P518,FIND("/",P518)+1)-FIND("/",P518)-1)))</f>
        <v/>
      </c>
      <c r="AG518" s="7" t="str">
        <f aca="false">IF(P518="","",VALUE(MID(P518,FIND("/",P518,FIND("/",P518)+1)+1,LEN(P518)-FIND("/",P518,FIND("/",P518)+1))))</f>
        <v/>
      </c>
      <c r="AH518" s="7" t="str">
        <f aca="false">IF(OR(P518="",AE518=""),"",IFERROR(INDEX('لیست‌ها'!$Q$3:$Q$53,MATCH(AE518,'لیست‌ها'!$P$3:$P$53,0))+IF(AF518&lt;=6,(AF518-1)*31+AG518,IF(AF518&lt;=11,186+(AF518-7)*30+AG518,336+AG518))-1,""))</f>
        <v/>
      </c>
      <c r="AI518" s="7" t="str">
        <f aca="false">IF(W518="","",W518&amp;"-"&amp;TEXT(X518,"00"))</f>
        <v/>
      </c>
      <c r="AJ518" s="7" t="str">
        <f aca="false">IF(W518="","",W518*12+X518)</f>
        <v/>
      </c>
      <c r="AK518" s="7" t="str">
        <f aca="false">IF(U518="تاخیر",V518+ROW()/100000,"")</f>
        <v/>
      </c>
    </row>
    <row r="519" customFormat="false" ht="15" hidden="false" customHeight="false" outlineLevel="0" collapsed="false">
      <c r="A519" s="7" t="str">
        <f aca="false">IF(B519="","",ROW()-3)</f>
        <v/>
      </c>
      <c r="B519" s="8"/>
      <c r="C519" s="8"/>
      <c r="D519" s="8"/>
      <c r="E519" s="9"/>
      <c r="F519" s="9"/>
      <c r="G519" s="8"/>
      <c r="H519" s="8"/>
      <c r="I519" s="8"/>
      <c r="J519" s="9"/>
      <c r="K519" s="8"/>
      <c r="L519" s="8"/>
      <c r="M519" s="8"/>
      <c r="N519" s="8"/>
      <c r="O519" s="8"/>
      <c r="P519" s="8"/>
      <c r="Q519" s="8"/>
      <c r="R519" s="9"/>
      <c r="S519" s="8"/>
      <c r="T519" s="9"/>
      <c r="U519" s="10" t="str">
        <f aca="true">IF(B519="","",IF(OR(P519&lt;&gt;"",I519="می‌باشد"),"بسته",IF(AND(L519&lt;&gt;"",W519=""),"خطای فرمت تاریخ ایجاد",IF(AND(H519&lt;&gt;"",AA519=""),"خطای فرمت مهلت",IF(AND(H519&lt;&gt;"",AD519&lt;&gt;"",TODAY()&gt;AD519),"تاخیر",IF(L519&lt;&gt;"","در حال انجام",""))))))</f>
        <v/>
      </c>
      <c r="V519" s="7" t="n">
        <f aca="true">IF(U519="تاخیر",TODAY()-AD519,IF(AND(U519="بسته",AH519&lt;&gt;"",AD519&lt;&gt;"",AH519&gt;AD519),AH519-AD519,0))</f>
        <v>0</v>
      </c>
      <c r="W519" s="7" t="str">
        <f aca="false">IF(L519="","",VALUE(LEFT(L519,FIND("/",L519)-1)))</f>
        <v/>
      </c>
      <c r="X519" s="7" t="str">
        <f aca="false">IF(L519="","",VALUE(MID(L519,FIND("/",L519)+1,FIND("/",L519,FIND("/",L519)+1)-FIND("/",L519)-1)))</f>
        <v/>
      </c>
      <c r="Y519" s="7" t="str">
        <f aca="false">IF(L519="","",VALUE(MID(L519,FIND("/",L519,FIND("/",L519)+1)+1,LEN(L519)-FIND("/",L519,FIND("/",L519)+1))))</f>
        <v/>
      </c>
      <c r="Z519" s="7" t="str">
        <f aca="false">IF(OR(L519="",W519=""),"",IFERROR(INDEX('لیست‌ها'!$Q$3:$Q$53,MATCH(W519,'لیست‌ها'!$P$3:$P$53,0))+IF(X519&lt;=6,(X519-1)*31+Y519,IF(X519&lt;=11,186+(X519-7)*30+Y519,336+Y519))-1,""))</f>
        <v/>
      </c>
      <c r="AA519" s="7" t="str">
        <f aca="false">IF(H519="","",VALUE(LEFT(H519,FIND("/",H519)-1)))</f>
        <v/>
      </c>
      <c r="AB519" s="7" t="str">
        <f aca="false">IF(H519="","",VALUE(MID(H519,FIND("/",H519)+1,FIND("/",H519,FIND("/",H519)+1)-FIND("/",H519)-1)))</f>
        <v/>
      </c>
      <c r="AC519" s="7" t="str">
        <f aca="false">IF(H519="","",VALUE(MID(H519,FIND("/",H519,FIND("/",H519)+1)+1,LEN(H519)-FIND("/",H519,FIND("/",H519)+1))))</f>
        <v/>
      </c>
      <c r="AD519" s="7" t="str">
        <f aca="false">IF(OR(H519="",AA519=""),"",IFERROR(INDEX('لیست‌ها'!$Q$3:$Q$53,MATCH(AA519,'لیست‌ها'!$P$3:$P$53,0))+IF(AB519&lt;=6,(AB519-1)*31+AC519,IF(AB519&lt;=11,186+(AB519-7)*30+AC519,336+AC519))-1,""))</f>
        <v/>
      </c>
      <c r="AE519" s="7" t="str">
        <f aca="false">IF(P519="","",VALUE(LEFT(P519,FIND("/",P519)-1)))</f>
        <v/>
      </c>
      <c r="AF519" s="7" t="str">
        <f aca="false">IF(P519="","",VALUE(MID(P519,FIND("/",P519)+1,FIND("/",P519,FIND("/",P519)+1)-FIND("/",P519)-1)))</f>
        <v/>
      </c>
      <c r="AG519" s="7" t="str">
        <f aca="false">IF(P519="","",VALUE(MID(P519,FIND("/",P519,FIND("/",P519)+1)+1,LEN(P519)-FIND("/",P519,FIND("/",P519)+1))))</f>
        <v/>
      </c>
      <c r="AH519" s="7" t="str">
        <f aca="false">IF(OR(P519="",AE519=""),"",IFERROR(INDEX('لیست‌ها'!$Q$3:$Q$53,MATCH(AE519,'لیست‌ها'!$P$3:$P$53,0))+IF(AF519&lt;=6,(AF519-1)*31+AG519,IF(AF519&lt;=11,186+(AF519-7)*30+AG519,336+AG519))-1,""))</f>
        <v/>
      </c>
      <c r="AI519" s="7" t="str">
        <f aca="false">IF(W519="","",W519&amp;"-"&amp;TEXT(X519,"00"))</f>
        <v/>
      </c>
      <c r="AJ519" s="7" t="str">
        <f aca="false">IF(W519="","",W519*12+X519)</f>
        <v/>
      </c>
      <c r="AK519" s="7" t="str">
        <f aca="false">IF(U519="تاخیر",V519+ROW()/100000,"")</f>
        <v/>
      </c>
    </row>
    <row r="520" customFormat="false" ht="15" hidden="false" customHeight="false" outlineLevel="0" collapsed="false">
      <c r="A520" s="7" t="str">
        <f aca="false">IF(B520="","",ROW()-3)</f>
        <v/>
      </c>
      <c r="B520" s="8"/>
      <c r="C520" s="8"/>
      <c r="D520" s="8"/>
      <c r="E520" s="9"/>
      <c r="F520" s="9"/>
      <c r="G520" s="8"/>
      <c r="H520" s="8"/>
      <c r="I520" s="8"/>
      <c r="J520" s="9"/>
      <c r="K520" s="8"/>
      <c r="L520" s="8"/>
      <c r="M520" s="8"/>
      <c r="N520" s="8"/>
      <c r="O520" s="8"/>
      <c r="P520" s="8"/>
      <c r="Q520" s="8"/>
      <c r="R520" s="9"/>
      <c r="S520" s="8"/>
      <c r="T520" s="9"/>
      <c r="U520" s="10" t="str">
        <f aca="true">IF(B520="","",IF(OR(P520&lt;&gt;"",I520="می‌باشد"),"بسته",IF(AND(L520&lt;&gt;"",W520=""),"خطای فرمت تاریخ ایجاد",IF(AND(H520&lt;&gt;"",AA520=""),"خطای فرمت مهلت",IF(AND(H520&lt;&gt;"",AD520&lt;&gt;"",TODAY()&gt;AD520),"تاخیر",IF(L520&lt;&gt;"","در حال انجام",""))))))</f>
        <v/>
      </c>
      <c r="V520" s="7" t="n">
        <f aca="true">IF(U520="تاخیر",TODAY()-AD520,IF(AND(U520="بسته",AH520&lt;&gt;"",AD520&lt;&gt;"",AH520&gt;AD520),AH520-AD520,0))</f>
        <v>0</v>
      </c>
      <c r="W520" s="7" t="str">
        <f aca="false">IF(L520="","",VALUE(LEFT(L520,FIND("/",L520)-1)))</f>
        <v/>
      </c>
      <c r="X520" s="7" t="str">
        <f aca="false">IF(L520="","",VALUE(MID(L520,FIND("/",L520)+1,FIND("/",L520,FIND("/",L520)+1)-FIND("/",L520)-1)))</f>
        <v/>
      </c>
      <c r="Y520" s="7" t="str">
        <f aca="false">IF(L520="","",VALUE(MID(L520,FIND("/",L520,FIND("/",L520)+1)+1,LEN(L520)-FIND("/",L520,FIND("/",L520)+1))))</f>
        <v/>
      </c>
      <c r="Z520" s="7" t="str">
        <f aca="false">IF(OR(L520="",W520=""),"",IFERROR(INDEX('لیست‌ها'!$Q$3:$Q$53,MATCH(W520,'لیست‌ها'!$P$3:$P$53,0))+IF(X520&lt;=6,(X520-1)*31+Y520,IF(X520&lt;=11,186+(X520-7)*30+Y520,336+Y520))-1,""))</f>
        <v/>
      </c>
      <c r="AA520" s="7" t="str">
        <f aca="false">IF(H520="","",VALUE(LEFT(H520,FIND("/",H520)-1)))</f>
        <v/>
      </c>
      <c r="AB520" s="7" t="str">
        <f aca="false">IF(H520="","",VALUE(MID(H520,FIND("/",H520)+1,FIND("/",H520,FIND("/",H520)+1)-FIND("/",H520)-1)))</f>
        <v/>
      </c>
      <c r="AC520" s="7" t="str">
        <f aca="false">IF(H520="","",VALUE(MID(H520,FIND("/",H520,FIND("/",H520)+1)+1,LEN(H520)-FIND("/",H520,FIND("/",H520)+1))))</f>
        <v/>
      </c>
      <c r="AD520" s="7" t="str">
        <f aca="false">IF(OR(H520="",AA520=""),"",IFERROR(INDEX('لیست‌ها'!$Q$3:$Q$53,MATCH(AA520,'لیست‌ها'!$P$3:$P$53,0))+IF(AB520&lt;=6,(AB520-1)*31+AC520,IF(AB520&lt;=11,186+(AB520-7)*30+AC520,336+AC520))-1,""))</f>
        <v/>
      </c>
      <c r="AE520" s="7" t="str">
        <f aca="false">IF(P520="","",VALUE(LEFT(P520,FIND("/",P520)-1)))</f>
        <v/>
      </c>
      <c r="AF520" s="7" t="str">
        <f aca="false">IF(P520="","",VALUE(MID(P520,FIND("/",P520)+1,FIND("/",P520,FIND("/",P520)+1)-FIND("/",P520)-1)))</f>
        <v/>
      </c>
      <c r="AG520" s="7" t="str">
        <f aca="false">IF(P520="","",VALUE(MID(P520,FIND("/",P520,FIND("/",P520)+1)+1,LEN(P520)-FIND("/",P520,FIND("/",P520)+1))))</f>
        <v/>
      </c>
      <c r="AH520" s="7" t="str">
        <f aca="false">IF(OR(P520="",AE520=""),"",IFERROR(INDEX('لیست‌ها'!$Q$3:$Q$53,MATCH(AE520,'لیست‌ها'!$P$3:$P$53,0))+IF(AF520&lt;=6,(AF520-1)*31+AG520,IF(AF520&lt;=11,186+(AF520-7)*30+AG520,336+AG520))-1,""))</f>
        <v/>
      </c>
      <c r="AI520" s="7" t="str">
        <f aca="false">IF(W520="","",W520&amp;"-"&amp;TEXT(X520,"00"))</f>
        <v/>
      </c>
      <c r="AJ520" s="7" t="str">
        <f aca="false">IF(W520="","",W520*12+X520)</f>
        <v/>
      </c>
      <c r="AK520" s="7" t="str">
        <f aca="false">IF(U520="تاخیر",V520+ROW()/100000,"")</f>
        <v/>
      </c>
    </row>
    <row r="521" customFormat="false" ht="15" hidden="false" customHeight="false" outlineLevel="0" collapsed="false">
      <c r="A521" s="7" t="str">
        <f aca="false">IF(B521="","",ROW()-3)</f>
        <v/>
      </c>
      <c r="B521" s="8"/>
      <c r="C521" s="8"/>
      <c r="D521" s="8"/>
      <c r="E521" s="9"/>
      <c r="F521" s="9"/>
      <c r="G521" s="8"/>
      <c r="H521" s="8"/>
      <c r="I521" s="8"/>
      <c r="J521" s="9"/>
      <c r="K521" s="8"/>
      <c r="L521" s="8"/>
      <c r="M521" s="8"/>
      <c r="N521" s="8"/>
      <c r="O521" s="8"/>
      <c r="P521" s="8"/>
      <c r="Q521" s="8"/>
      <c r="R521" s="9"/>
      <c r="S521" s="8"/>
      <c r="T521" s="9"/>
      <c r="U521" s="10" t="str">
        <f aca="true">IF(B521="","",IF(OR(P521&lt;&gt;"",I521="می‌باشد"),"بسته",IF(AND(L521&lt;&gt;"",W521=""),"خطای فرمت تاریخ ایجاد",IF(AND(H521&lt;&gt;"",AA521=""),"خطای فرمت مهلت",IF(AND(H521&lt;&gt;"",AD521&lt;&gt;"",TODAY()&gt;AD521),"تاخیر",IF(L521&lt;&gt;"","در حال انجام",""))))))</f>
        <v/>
      </c>
      <c r="V521" s="7" t="n">
        <f aca="true">IF(U521="تاخیر",TODAY()-AD521,IF(AND(U521="بسته",AH521&lt;&gt;"",AD521&lt;&gt;"",AH521&gt;AD521),AH521-AD521,0))</f>
        <v>0</v>
      </c>
      <c r="W521" s="7" t="str">
        <f aca="false">IF(L521="","",VALUE(LEFT(L521,FIND("/",L521)-1)))</f>
        <v/>
      </c>
      <c r="X521" s="7" t="str">
        <f aca="false">IF(L521="","",VALUE(MID(L521,FIND("/",L521)+1,FIND("/",L521,FIND("/",L521)+1)-FIND("/",L521)-1)))</f>
        <v/>
      </c>
      <c r="Y521" s="7" t="str">
        <f aca="false">IF(L521="","",VALUE(MID(L521,FIND("/",L521,FIND("/",L521)+1)+1,LEN(L521)-FIND("/",L521,FIND("/",L521)+1))))</f>
        <v/>
      </c>
      <c r="Z521" s="7" t="str">
        <f aca="false">IF(OR(L521="",W521=""),"",IFERROR(INDEX('لیست‌ها'!$Q$3:$Q$53,MATCH(W521,'لیست‌ها'!$P$3:$P$53,0))+IF(X521&lt;=6,(X521-1)*31+Y521,IF(X521&lt;=11,186+(X521-7)*30+Y521,336+Y521))-1,""))</f>
        <v/>
      </c>
      <c r="AA521" s="7" t="str">
        <f aca="false">IF(H521="","",VALUE(LEFT(H521,FIND("/",H521)-1)))</f>
        <v/>
      </c>
      <c r="AB521" s="7" t="str">
        <f aca="false">IF(H521="","",VALUE(MID(H521,FIND("/",H521)+1,FIND("/",H521,FIND("/",H521)+1)-FIND("/",H521)-1)))</f>
        <v/>
      </c>
      <c r="AC521" s="7" t="str">
        <f aca="false">IF(H521="","",VALUE(MID(H521,FIND("/",H521,FIND("/",H521)+1)+1,LEN(H521)-FIND("/",H521,FIND("/",H521)+1))))</f>
        <v/>
      </c>
      <c r="AD521" s="7" t="str">
        <f aca="false">IF(OR(H521="",AA521=""),"",IFERROR(INDEX('لیست‌ها'!$Q$3:$Q$53,MATCH(AA521,'لیست‌ها'!$P$3:$P$53,0))+IF(AB521&lt;=6,(AB521-1)*31+AC521,IF(AB521&lt;=11,186+(AB521-7)*30+AC521,336+AC521))-1,""))</f>
        <v/>
      </c>
      <c r="AE521" s="7" t="str">
        <f aca="false">IF(P521="","",VALUE(LEFT(P521,FIND("/",P521)-1)))</f>
        <v/>
      </c>
      <c r="AF521" s="7" t="str">
        <f aca="false">IF(P521="","",VALUE(MID(P521,FIND("/",P521)+1,FIND("/",P521,FIND("/",P521)+1)-FIND("/",P521)-1)))</f>
        <v/>
      </c>
      <c r="AG521" s="7" t="str">
        <f aca="false">IF(P521="","",VALUE(MID(P521,FIND("/",P521,FIND("/",P521)+1)+1,LEN(P521)-FIND("/",P521,FIND("/",P521)+1))))</f>
        <v/>
      </c>
      <c r="AH521" s="7" t="str">
        <f aca="false">IF(OR(P521="",AE521=""),"",IFERROR(INDEX('لیست‌ها'!$Q$3:$Q$53,MATCH(AE521,'لیست‌ها'!$P$3:$P$53,0))+IF(AF521&lt;=6,(AF521-1)*31+AG521,IF(AF521&lt;=11,186+(AF521-7)*30+AG521,336+AG521))-1,""))</f>
        <v/>
      </c>
      <c r="AI521" s="7" t="str">
        <f aca="false">IF(W521="","",W521&amp;"-"&amp;TEXT(X521,"00"))</f>
        <v/>
      </c>
      <c r="AJ521" s="7" t="str">
        <f aca="false">IF(W521="","",W521*12+X521)</f>
        <v/>
      </c>
      <c r="AK521" s="7" t="str">
        <f aca="false">IF(U521="تاخیر",V521+ROW()/100000,"")</f>
        <v/>
      </c>
    </row>
    <row r="522" customFormat="false" ht="15" hidden="false" customHeight="false" outlineLevel="0" collapsed="false">
      <c r="A522" s="7" t="str">
        <f aca="false">IF(B522="","",ROW()-3)</f>
        <v/>
      </c>
      <c r="B522" s="8"/>
      <c r="C522" s="8"/>
      <c r="D522" s="8"/>
      <c r="E522" s="9"/>
      <c r="F522" s="9"/>
      <c r="G522" s="8"/>
      <c r="H522" s="8"/>
      <c r="I522" s="8"/>
      <c r="J522" s="9"/>
      <c r="K522" s="8"/>
      <c r="L522" s="8"/>
      <c r="M522" s="8"/>
      <c r="N522" s="8"/>
      <c r="O522" s="8"/>
      <c r="P522" s="8"/>
      <c r="Q522" s="8"/>
      <c r="R522" s="9"/>
      <c r="S522" s="8"/>
      <c r="T522" s="9"/>
      <c r="U522" s="10" t="str">
        <f aca="true">IF(B522="","",IF(OR(P522&lt;&gt;"",I522="می‌باشد"),"بسته",IF(AND(L522&lt;&gt;"",W522=""),"خطای فرمت تاریخ ایجاد",IF(AND(H522&lt;&gt;"",AA522=""),"خطای فرمت مهلت",IF(AND(H522&lt;&gt;"",AD522&lt;&gt;"",TODAY()&gt;AD522),"تاخیر",IF(L522&lt;&gt;"","در حال انجام",""))))))</f>
        <v/>
      </c>
      <c r="V522" s="7" t="n">
        <f aca="true">IF(U522="تاخیر",TODAY()-AD522,IF(AND(U522="بسته",AH522&lt;&gt;"",AD522&lt;&gt;"",AH522&gt;AD522),AH522-AD522,0))</f>
        <v>0</v>
      </c>
      <c r="W522" s="7" t="str">
        <f aca="false">IF(L522="","",VALUE(LEFT(L522,FIND("/",L522)-1)))</f>
        <v/>
      </c>
      <c r="X522" s="7" t="str">
        <f aca="false">IF(L522="","",VALUE(MID(L522,FIND("/",L522)+1,FIND("/",L522,FIND("/",L522)+1)-FIND("/",L522)-1)))</f>
        <v/>
      </c>
      <c r="Y522" s="7" t="str">
        <f aca="false">IF(L522="","",VALUE(MID(L522,FIND("/",L522,FIND("/",L522)+1)+1,LEN(L522)-FIND("/",L522,FIND("/",L522)+1))))</f>
        <v/>
      </c>
      <c r="Z522" s="7" t="str">
        <f aca="false">IF(OR(L522="",W522=""),"",IFERROR(INDEX('لیست‌ها'!$Q$3:$Q$53,MATCH(W522,'لیست‌ها'!$P$3:$P$53,0))+IF(X522&lt;=6,(X522-1)*31+Y522,IF(X522&lt;=11,186+(X522-7)*30+Y522,336+Y522))-1,""))</f>
        <v/>
      </c>
      <c r="AA522" s="7" t="str">
        <f aca="false">IF(H522="","",VALUE(LEFT(H522,FIND("/",H522)-1)))</f>
        <v/>
      </c>
      <c r="AB522" s="7" t="str">
        <f aca="false">IF(H522="","",VALUE(MID(H522,FIND("/",H522)+1,FIND("/",H522,FIND("/",H522)+1)-FIND("/",H522)-1)))</f>
        <v/>
      </c>
      <c r="AC522" s="7" t="str">
        <f aca="false">IF(H522="","",VALUE(MID(H522,FIND("/",H522,FIND("/",H522)+1)+1,LEN(H522)-FIND("/",H522,FIND("/",H522)+1))))</f>
        <v/>
      </c>
      <c r="AD522" s="7" t="str">
        <f aca="false">IF(OR(H522="",AA522=""),"",IFERROR(INDEX('لیست‌ها'!$Q$3:$Q$53,MATCH(AA522,'لیست‌ها'!$P$3:$P$53,0))+IF(AB522&lt;=6,(AB522-1)*31+AC522,IF(AB522&lt;=11,186+(AB522-7)*30+AC522,336+AC522))-1,""))</f>
        <v/>
      </c>
      <c r="AE522" s="7" t="str">
        <f aca="false">IF(P522="","",VALUE(LEFT(P522,FIND("/",P522)-1)))</f>
        <v/>
      </c>
      <c r="AF522" s="7" t="str">
        <f aca="false">IF(P522="","",VALUE(MID(P522,FIND("/",P522)+1,FIND("/",P522,FIND("/",P522)+1)-FIND("/",P522)-1)))</f>
        <v/>
      </c>
      <c r="AG522" s="7" t="str">
        <f aca="false">IF(P522="","",VALUE(MID(P522,FIND("/",P522,FIND("/",P522)+1)+1,LEN(P522)-FIND("/",P522,FIND("/",P522)+1))))</f>
        <v/>
      </c>
      <c r="AH522" s="7" t="str">
        <f aca="false">IF(OR(P522="",AE522=""),"",IFERROR(INDEX('لیست‌ها'!$Q$3:$Q$53,MATCH(AE522,'لیست‌ها'!$P$3:$P$53,0))+IF(AF522&lt;=6,(AF522-1)*31+AG522,IF(AF522&lt;=11,186+(AF522-7)*30+AG522,336+AG522))-1,""))</f>
        <v/>
      </c>
      <c r="AI522" s="7" t="str">
        <f aca="false">IF(W522="","",W522&amp;"-"&amp;TEXT(X522,"00"))</f>
        <v/>
      </c>
      <c r="AJ522" s="7" t="str">
        <f aca="false">IF(W522="","",W522*12+X522)</f>
        <v/>
      </c>
      <c r="AK522" s="7" t="str">
        <f aca="false">IF(U522="تاخیر",V522+ROW()/100000,"")</f>
        <v/>
      </c>
    </row>
    <row r="523" customFormat="false" ht="15" hidden="false" customHeight="false" outlineLevel="0" collapsed="false">
      <c r="A523" s="7" t="str">
        <f aca="false">IF(B523="","",ROW()-3)</f>
        <v/>
      </c>
      <c r="B523" s="8"/>
      <c r="C523" s="8"/>
      <c r="D523" s="8"/>
      <c r="E523" s="9"/>
      <c r="F523" s="9"/>
      <c r="G523" s="8"/>
      <c r="H523" s="8"/>
      <c r="I523" s="8"/>
      <c r="J523" s="9"/>
      <c r="K523" s="8"/>
      <c r="L523" s="8"/>
      <c r="M523" s="8"/>
      <c r="N523" s="8"/>
      <c r="O523" s="8"/>
      <c r="P523" s="8"/>
      <c r="Q523" s="8"/>
      <c r="R523" s="9"/>
      <c r="S523" s="8"/>
      <c r="T523" s="9"/>
      <c r="U523" s="10" t="str">
        <f aca="true">IF(B523="","",IF(OR(P523&lt;&gt;"",I523="می‌باشد"),"بسته",IF(AND(L523&lt;&gt;"",W523=""),"خطای فرمت تاریخ ایجاد",IF(AND(H523&lt;&gt;"",AA523=""),"خطای فرمت مهلت",IF(AND(H523&lt;&gt;"",AD523&lt;&gt;"",TODAY()&gt;AD523),"تاخیر",IF(L523&lt;&gt;"","در حال انجام",""))))))</f>
        <v/>
      </c>
      <c r="V523" s="7" t="n">
        <f aca="true">IF(U523="تاخیر",TODAY()-AD523,IF(AND(U523="بسته",AH523&lt;&gt;"",AD523&lt;&gt;"",AH523&gt;AD523),AH523-AD523,0))</f>
        <v>0</v>
      </c>
      <c r="W523" s="7" t="str">
        <f aca="false">IF(L523="","",VALUE(LEFT(L523,FIND("/",L523)-1)))</f>
        <v/>
      </c>
      <c r="X523" s="7" t="str">
        <f aca="false">IF(L523="","",VALUE(MID(L523,FIND("/",L523)+1,FIND("/",L523,FIND("/",L523)+1)-FIND("/",L523)-1)))</f>
        <v/>
      </c>
      <c r="Y523" s="7" t="str">
        <f aca="false">IF(L523="","",VALUE(MID(L523,FIND("/",L523,FIND("/",L523)+1)+1,LEN(L523)-FIND("/",L523,FIND("/",L523)+1))))</f>
        <v/>
      </c>
      <c r="Z523" s="7" t="str">
        <f aca="false">IF(OR(L523="",W523=""),"",IFERROR(INDEX('لیست‌ها'!$Q$3:$Q$53,MATCH(W523,'لیست‌ها'!$P$3:$P$53,0))+IF(X523&lt;=6,(X523-1)*31+Y523,IF(X523&lt;=11,186+(X523-7)*30+Y523,336+Y523))-1,""))</f>
        <v/>
      </c>
      <c r="AA523" s="7" t="str">
        <f aca="false">IF(H523="","",VALUE(LEFT(H523,FIND("/",H523)-1)))</f>
        <v/>
      </c>
      <c r="AB523" s="7" t="str">
        <f aca="false">IF(H523="","",VALUE(MID(H523,FIND("/",H523)+1,FIND("/",H523,FIND("/",H523)+1)-FIND("/",H523)-1)))</f>
        <v/>
      </c>
      <c r="AC523" s="7" t="str">
        <f aca="false">IF(H523="","",VALUE(MID(H523,FIND("/",H523,FIND("/",H523)+1)+1,LEN(H523)-FIND("/",H523,FIND("/",H523)+1))))</f>
        <v/>
      </c>
      <c r="AD523" s="7" t="str">
        <f aca="false">IF(OR(H523="",AA523=""),"",IFERROR(INDEX('لیست‌ها'!$Q$3:$Q$53,MATCH(AA523,'لیست‌ها'!$P$3:$P$53,0))+IF(AB523&lt;=6,(AB523-1)*31+AC523,IF(AB523&lt;=11,186+(AB523-7)*30+AC523,336+AC523))-1,""))</f>
        <v/>
      </c>
      <c r="AE523" s="7" t="str">
        <f aca="false">IF(P523="","",VALUE(LEFT(P523,FIND("/",P523)-1)))</f>
        <v/>
      </c>
      <c r="AF523" s="7" t="str">
        <f aca="false">IF(P523="","",VALUE(MID(P523,FIND("/",P523)+1,FIND("/",P523,FIND("/",P523)+1)-FIND("/",P523)-1)))</f>
        <v/>
      </c>
      <c r="AG523" s="7" t="str">
        <f aca="false">IF(P523="","",VALUE(MID(P523,FIND("/",P523,FIND("/",P523)+1)+1,LEN(P523)-FIND("/",P523,FIND("/",P523)+1))))</f>
        <v/>
      </c>
      <c r="AH523" s="7" t="str">
        <f aca="false">IF(OR(P523="",AE523=""),"",IFERROR(INDEX('لیست‌ها'!$Q$3:$Q$53,MATCH(AE523,'لیست‌ها'!$P$3:$P$53,0))+IF(AF523&lt;=6,(AF523-1)*31+AG523,IF(AF523&lt;=11,186+(AF523-7)*30+AG523,336+AG523))-1,""))</f>
        <v/>
      </c>
      <c r="AI523" s="7" t="str">
        <f aca="false">IF(W523="","",W523&amp;"-"&amp;TEXT(X523,"00"))</f>
        <v/>
      </c>
      <c r="AJ523" s="7" t="str">
        <f aca="false">IF(W523="","",W523*12+X523)</f>
        <v/>
      </c>
      <c r="AK523" s="7" t="str">
        <f aca="false">IF(U523="تاخیر",V523+ROW()/100000,"")</f>
        <v/>
      </c>
    </row>
    <row r="524" customFormat="false" ht="15" hidden="false" customHeight="false" outlineLevel="0" collapsed="false">
      <c r="A524" s="7" t="str">
        <f aca="false">IF(B524="","",ROW()-3)</f>
        <v/>
      </c>
      <c r="B524" s="8"/>
      <c r="C524" s="8"/>
      <c r="D524" s="8"/>
      <c r="E524" s="9"/>
      <c r="F524" s="9"/>
      <c r="G524" s="8"/>
      <c r="H524" s="8"/>
      <c r="I524" s="8"/>
      <c r="J524" s="9"/>
      <c r="K524" s="8"/>
      <c r="L524" s="8"/>
      <c r="M524" s="8"/>
      <c r="N524" s="8"/>
      <c r="O524" s="8"/>
      <c r="P524" s="8"/>
      <c r="Q524" s="8"/>
      <c r="R524" s="9"/>
      <c r="S524" s="8"/>
      <c r="T524" s="9"/>
      <c r="U524" s="10" t="str">
        <f aca="true">IF(B524="","",IF(OR(P524&lt;&gt;"",I524="می‌باشد"),"بسته",IF(AND(L524&lt;&gt;"",W524=""),"خطای فرمت تاریخ ایجاد",IF(AND(H524&lt;&gt;"",AA524=""),"خطای فرمت مهلت",IF(AND(H524&lt;&gt;"",AD524&lt;&gt;"",TODAY()&gt;AD524),"تاخیر",IF(L524&lt;&gt;"","در حال انجام",""))))))</f>
        <v/>
      </c>
      <c r="V524" s="7" t="n">
        <f aca="true">IF(U524="تاخیر",TODAY()-AD524,IF(AND(U524="بسته",AH524&lt;&gt;"",AD524&lt;&gt;"",AH524&gt;AD524),AH524-AD524,0))</f>
        <v>0</v>
      </c>
      <c r="W524" s="7" t="str">
        <f aca="false">IF(L524="","",VALUE(LEFT(L524,FIND("/",L524)-1)))</f>
        <v/>
      </c>
      <c r="X524" s="7" t="str">
        <f aca="false">IF(L524="","",VALUE(MID(L524,FIND("/",L524)+1,FIND("/",L524,FIND("/",L524)+1)-FIND("/",L524)-1)))</f>
        <v/>
      </c>
      <c r="Y524" s="7" t="str">
        <f aca="false">IF(L524="","",VALUE(MID(L524,FIND("/",L524,FIND("/",L524)+1)+1,LEN(L524)-FIND("/",L524,FIND("/",L524)+1))))</f>
        <v/>
      </c>
      <c r="Z524" s="7" t="str">
        <f aca="false">IF(OR(L524="",W524=""),"",IFERROR(INDEX('لیست‌ها'!$Q$3:$Q$53,MATCH(W524,'لیست‌ها'!$P$3:$P$53,0))+IF(X524&lt;=6,(X524-1)*31+Y524,IF(X524&lt;=11,186+(X524-7)*30+Y524,336+Y524))-1,""))</f>
        <v/>
      </c>
      <c r="AA524" s="7" t="str">
        <f aca="false">IF(H524="","",VALUE(LEFT(H524,FIND("/",H524)-1)))</f>
        <v/>
      </c>
      <c r="AB524" s="7" t="str">
        <f aca="false">IF(H524="","",VALUE(MID(H524,FIND("/",H524)+1,FIND("/",H524,FIND("/",H524)+1)-FIND("/",H524)-1)))</f>
        <v/>
      </c>
      <c r="AC524" s="7" t="str">
        <f aca="false">IF(H524="","",VALUE(MID(H524,FIND("/",H524,FIND("/",H524)+1)+1,LEN(H524)-FIND("/",H524,FIND("/",H524)+1))))</f>
        <v/>
      </c>
      <c r="AD524" s="7" t="str">
        <f aca="false">IF(OR(H524="",AA524=""),"",IFERROR(INDEX('لیست‌ها'!$Q$3:$Q$53,MATCH(AA524,'لیست‌ها'!$P$3:$P$53,0))+IF(AB524&lt;=6,(AB524-1)*31+AC524,IF(AB524&lt;=11,186+(AB524-7)*30+AC524,336+AC524))-1,""))</f>
        <v/>
      </c>
      <c r="AE524" s="7" t="str">
        <f aca="false">IF(P524="","",VALUE(LEFT(P524,FIND("/",P524)-1)))</f>
        <v/>
      </c>
      <c r="AF524" s="7" t="str">
        <f aca="false">IF(P524="","",VALUE(MID(P524,FIND("/",P524)+1,FIND("/",P524,FIND("/",P524)+1)-FIND("/",P524)-1)))</f>
        <v/>
      </c>
      <c r="AG524" s="7" t="str">
        <f aca="false">IF(P524="","",VALUE(MID(P524,FIND("/",P524,FIND("/",P524)+1)+1,LEN(P524)-FIND("/",P524,FIND("/",P524)+1))))</f>
        <v/>
      </c>
      <c r="AH524" s="7" t="str">
        <f aca="false">IF(OR(P524="",AE524=""),"",IFERROR(INDEX('لیست‌ها'!$Q$3:$Q$53,MATCH(AE524,'لیست‌ها'!$P$3:$P$53,0))+IF(AF524&lt;=6,(AF524-1)*31+AG524,IF(AF524&lt;=11,186+(AF524-7)*30+AG524,336+AG524))-1,""))</f>
        <v/>
      </c>
      <c r="AI524" s="7" t="str">
        <f aca="false">IF(W524="","",W524&amp;"-"&amp;TEXT(X524,"00"))</f>
        <v/>
      </c>
      <c r="AJ524" s="7" t="str">
        <f aca="false">IF(W524="","",W524*12+X524)</f>
        <v/>
      </c>
      <c r="AK524" s="7" t="str">
        <f aca="false">IF(U524="تاخیر",V524+ROW()/100000,"")</f>
        <v/>
      </c>
    </row>
    <row r="525" customFormat="false" ht="15" hidden="false" customHeight="false" outlineLevel="0" collapsed="false">
      <c r="A525" s="7" t="str">
        <f aca="false">IF(B525="","",ROW()-3)</f>
        <v/>
      </c>
      <c r="B525" s="8"/>
      <c r="C525" s="8"/>
      <c r="D525" s="8"/>
      <c r="E525" s="9"/>
      <c r="F525" s="9"/>
      <c r="G525" s="8"/>
      <c r="H525" s="8"/>
      <c r="I525" s="8"/>
      <c r="J525" s="9"/>
      <c r="K525" s="8"/>
      <c r="L525" s="8"/>
      <c r="M525" s="8"/>
      <c r="N525" s="8"/>
      <c r="O525" s="8"/>
      <c r="P525" s="8"/>
      <c r="Q525" s="8"/>
      <c r="R525" s="9"/>
      <c r="S525" s="8"/>
      <c r="T525" s="9"/>
      <c r="U525" s="10" t="str">
        <f aca="true">IF(B525="","",IF(OR(P525&lt;&gt;"",I525="می‌باشد"),"بسته",IF(AND(L525&lt;&gt;"",W525=""),"خطای فرمت تاریخ ایجاد",IF(AND(H525&lt;&gt;"",AA525=""),"خطای فرمت مهلت",IF(AND(H525&lt;&gt;"",AD525&lt;&gt;"",TODAY()&gt;AD525),"تاخیر",IF(L525&lt;&gt;"","در حال انجام",""))))))</f>
        <v/>
      </c>
      <c r="V525" s="7" t="n">
        <f aca="true">IF(U525="تاخیر",TODAY()-AD525,IF(AND(U525="بسته",AH525&lt;&gt;"",AD525&lt;&gt;"",AH525&gt;AD525),AH525-AD525,0))</f>
        <v>0</v>
      </c>
      <c r="W525" s="7" t="str">
        <f aca="false">IF(L525="","",VALUE(LEFT(L525,FIND("/",L525)-1)))</f>
        <v/>
      </c>
      <c r="X525" s="7" t="str">
        <f aca="false">IF(L525="","",VALUE(MID(L525,FIND("/",L525)+1,FIND("/",L525,FIND("/",L525)+1)-FIND("/",L525)-1)))</f>
        <v/>
      </c>
      <c r="Y525" s="7" t="str">
        <f aca="false">IF(L525="","",VALUE(MID(L525,FIND("/",L525,FIND("/",L525)+1)+1,LEN(L525)-FIND("/",L525,FIND("/",L525)+1))))</f>
        <v/>
      </c>
      <c r="Z525" s="7" t="str">
        <f aca="false">IF(OR(L525="",W525=""),"",IFERROR(INDEX('لیست‌ها'!$Q$3:$Q$53,MATCH(W525,'لیست‌ها'!$P$3:$P$53,0))+IF(X525&lt;=6,(X525-1)*31+Y525,IF(X525&lt;=11,186+(X525-7)*30+Y525,336+Y525))-1,""))</f>
        <v/>
      </c>
      <c r="AA525" s="7" t="str">
        <f aca="false">IF(H525="","",VALUE(LEFT(H525,FIND("/",H525)-1)))</f>
        <v/>
      </c>
      <c r="AB525" s="7" t="str">
        <f aca="false">IF(H525="","",VALUE(MID(H525,FIND("/",H525)+1,FIND("/",H525,FIND("/",H525)+1)-FIND("/",H525)-1)))</f>
        <v/>
      </c>
      <c r="AC525" s="7" t="str">
        <f aca="false">IF(H525="","",VALUE(MID(H525,FIND("/",H525,FIND("/",H525)+1)+1,LEN(H525)-FIND("/",H525,FIND("/",H525)+1))))</f>
        <v/>
      </c>
      <c r="AD525" s="7" t="str">
        <f aca="false">IF(OR(H525="",AA525=""),"",IFERROR(INDEX('لیست‌ها'!$Q$3:$Q$53,MATCH(AA525,'لیست‌ها'!$P$3:$P$53,0))+IF(AB525&lt;=6,(AB525-1)*31+AC525,IF(AB525&lt;=11,186+(AB525-7)*30+AC525,336+AC525))-1,""))</f>
        <v/>
      </c>
      <c r="AE525" s="7" t="str">
        <f aca="false">IF(P525="","",VALUE(LEFT(P525,FIND("/",P525)-1)))</f>
        <v/>
      </c>
      <c r="AF525" s="7" t="str">
        <f aca="false">IF(P525="","",VALUE(MID(P525,FIND("/",P525)+1,FIND("/",P525,FIND("/",P525)+1)-FIND("/",P525)-1)))</f>
        <v/>
      </c>
      <c r="AG525" s="7" t="str">
        <f aca="false">IF(P525="","",VALUE(MID(P525,FIND("/",P525,FIND("/",P525)+1)+1,LEN(P525)-FIND("/",P525,FIND("/",P525)+1))))</f>
        <v/>
      </c>
      <c r="AH525" s="7" t="str">
        <f aca="false">IF(OR(P525="",AE525=""),"",IFERROR(INDEX('لیست‌ها'!$Q$3:$Q$53,MATCH(AE525,'لیست‌ها'!$P$3:$P$53,0))+IF(AF525&lt;=6,(AF525-1)*31+AG525,IF(AF525&lt;=11,186+(AF525-7)*30+AG525,336+AG525))-1,""))</f>
        <v/>
      </c>
      <c r="AI525" s="7" t="str">
        <f aca="false">IF(W525="","",W525&amp;"-"&amp;TEXT(X525,"00"))</f>
        <v/>
      </c>
      <c r="AJ525" s="7" t="str">
        <f aca="false">IF(W525="","",W525*12+X525)</f>
        <v/>
      </c>
      <c r="AK525" s="7" t="str">
        <f aca="false">IF(U525="تاخیر",V525+ROW()/100000,"")</f>
        <v/>
      </c>
    </row>
    <row r="526" customFormat="false" ht="15" hidden="false" customHeight="false" outlineLevel="0" collapsed="false">
      <c r="A526" s="7" t="str">
        <f aca="false">IF(B526="","",ROW()-3)</f>
        <v/>
      </c>
      <c r="B526" s="8"/>
      <c r="C526" s="8"/>
      <c r="D526" s="8"/>
      <c r="E526" s="9"/>
      <c r="F526" s="9"/>
      <c r="G526" s="8"/>
      <c r="H526" s="8"/>
      <c r="I526" s="8"/>
      <c r="J526" s="9"/>
      <c r="K526" s="8"/>
      <c r="L526" s="8"/>
      <c r="M526" s="8"/>
      <c r="N526" s="8"/>
      <c r="O526" s="8"/>
      <c r="P526" s="8"/>
      <c r="Q526" s="8"/>
      <c r="R526" s="9"/>
      <c r="S526" s="8"/>
      <c r="T526" s="9"/>
      <c r="U526" s="10" t="str">
        <f aca="true">IF(B526="","",IF(OR(P526&lt;&gt;"",I526="می‌باشد"),"بسته",IF(AND(L526&lt;&gt;"",W526=""),"خطای فرمت تاریخ ایجاد",IF(AND(H526&lt;&gt;"",AA526=""),"خطای فرمت مهلت",IF(AND(H526&lt;&gt;"",AD526&lt;&gt;"",TODAY()&gt;AD526),"تاخیر",IF(L526&lt;&gt;"","در حال انجام",""))))))</f>
        <v/>
      </c>
      <c r="V526" s="7" t="n">
        <f aca="true">IF(U526="تاخیر",TODAY()-AD526,IF(AND(U526="بسته",AH526&lt;&gt;"",AD526&lt;&gt;"",AH526&gt;AD526),AH526-AD526,0))</f>
        <v>0</v>
      </c>
      <c r="W526" s="7" t="str">
        <f aca="false">IF(L526="","",VALUE(LEFT(L526,FIND("/",L526)-1)))</f>
        <v/>
      </c>
      <c r="X526" s="7" t="str">
        <f aca="false">IF(L526="","",VALUE(MID(L526,FIND("/",L526)+1,FIND("/",L526,FIND("/",L526)+1)-FIND("/",L526)-1)))</f>
        <v/>
      </c>
      <c r="Y526" s="7" t="str">
        <f aca="false">IF(L526="","",VALUE(MID(L526,FIND("/",L526,FIND("/",L526)+1)+1,LEN(L526)-FIND("/",L526,FIND("/",L526)+1))))</f>
        <v/>
      </c>
      <c r="Z526" s="7" t="str">
        <f aca="false">IF(OR(L526="",W526=""),"",IFERROR(INDEX('لیست‌ها'!$Q$3:$Q$53,MATCH(W526,'لیست‌ها'!$P$3:$P$53,0))+IF(X526&lt;=6,(X526-1)*31+Y526,IF(X526&lt;=11,186+(X526-7)*30+Y526,336+Y526))-1,""))</f>
        <v/>
      </c>
      <c r="AA526" s="7" t="str">
        <f aca="false">IF(H526="","",VALUE(LEFT(H526,FIND("/",H526)-1)))</f>
        <v/>
      </c>
      <c r="AB526" s="7" t="str">
        <f aca="false">IF(H526="","",VALUE(MID(H526,FIND("/",H526)+1,FIND("/",H526,FIND("/",H526)+1)-FIND("/",H526)-1)))</f>
        <v/>
      </c>
      <c r="AC526" s="7" t="str">
        <f aca="false">IF(H526="","",VALUE(MID(H526,FIND("/",H526,FIND("/",H526)+1)+1,LEN(H526)-FIND("/",H526,FIND("/",H526)+1))))</f>
        <v/>
      </c>
      <c r="AD526" s="7" t="str">
        <f aca="false">IF(OR(H526="",AA526=""),"",IFERROR(INDEX('لیست‌ها'!$Q$3:$Q$53,MATCH(AA526,'لیست‌ها'!$P$3:$P$53,0))+IF(AB526&lt;=6,(AB526-1)*31+AC526,IF(AB526&lt;=11,186+(AB526-7)*30+AC526,336+AC526))-1,""))</f>
        <v/>
      </c>
      <c r="AE526" s="7" t="str">
        <f aca="false">IF(P526="","",VALUE(LEFT(P526,FIND("/",P526)-1)))</f>
        <v/>
      </c>
      <c r="AF526" s="7" t="str">
        <f aca="false">IF(P526="","",VALUE(MID(P526,FIND("/",P526)+1,FIND("/",P526,FIND("/",P526)+1)-FIND("/",P526)-1)))</f>
        <v/>
      </c>
      <c r="AG526" s="7" t="str">
        <f aca="false">IF(P526="","",VALUE(MID(P526,FIND("/",P526,FIND("/",P526)+1)+1,LEN(P526)-FIND("/",P526,FIND("/",P526)+1))))</f>
        <v/>
      </c>
      <c r="AH526" s="7" t="str">
        <f aca="false">IF(OR(P526="",AE526=""),"",IFERROR(INDEX('لیست‌ها'!$Q$3:$Q$53,MATCH(AE526,'لیست‌ها'!$P$3:$P$53,0))+IF(AF526&lt;=6,(AF526-1)*31+AG526,IF(AF526&lt;=11,186+(AF526-7)*30+AG526,336+AG526))-1,""))</f>
        <v/>
      </c>
      <c r="AI526" s="7" t="str">
        <f aca="false">IF(W526="","",W526&amp;"-"&amp;TEXT(X526,"00"))</f>
        <v/>
      </c>
      <c r="AJ526" s="7" t="str">
        <f aca="false">IF(W526="","",W526*12+X526)</f>
        <v/>
      </c>
      <c r="AK526" s="7" t="str">
        <f aca="false">IF(U526="تاخیر",V526+ROW()/100000,"")</f>
        <v/>
      </c>
    </row>
    <row r="527" customFormat="false" ht="15" hidden="false" customHeight="false" outlineLevel="0" collapsed="false">
      <c r="A527" s="7" t="str">
        <f aca="false">IF(B527="","",ROW()-3)</f>
        <v/>
      </c>
      <c r="B527" s="8"/>
      <c r="C527" s="8"/>
      <c r="D527" s="8"/>
      <c r="E527" s="9"/>
      <c r="F527" s="9"/>
      <c r="G527" s="8"/>
      <c r="H527" s="8"/>
      <c r="I527" s="8"/>
      <c r="J527" s="9"/>
      <c r="K527" s="8"/>
      <c r="L527" s="8"/>
      <c r="M527" s="8"/>
      <c r="N527" s="8"/>
      <c r="O527" s="8"/>
      <c r="P527" s="8"/>
      <c r="Q527" s="8"/>
      <c r="R527" s="9"/>
      <c r="S527" s="8"/>
      <c r="T527" s="9"/>
      <c r="U527" s="10" t="str">
        <f aca="true">IF(B527="","",IF(OR(P527&lt;&gt;"",I527="می‌باشد"),"بسته",IF(AND(L527&lt;&gt;"",W527=""),"خطای فرمت تاریخ ایجاد",IF(AND(H527&lt;&gt;"",AA527=""),"خطای فرمت مهلت",IF(AND(H527&lt;&gt;"",AD527&lt;&gt;"",TODAY()&gt;AD527),"تاخیر",IF(L527&lt;&gt;"","در حال انجام",""))))))</f>
        <v/>
      </c>
      <c r="V527" s="7" t="n">
        <f aca="true">IF(U527="تاخیر",TODAY()-AD527,IF(AND(U527="بسته",AH527&lt;&gt;"",AD527&lt;&gt;"",AH527&gt;AD527),AH527-AD527,0))</f>
        <v>0</v>
      </c>
      <c r="W527" s="7" t="str">
        <f aca="false">IF(L527="","",VALUE(LEFT(L527,FIND("/",L527)-1)))</f>
        <v/>
      </c>
      <c r="X527" s="7" t="str">
        <f aca="false">IF(L527="","",VALUE(MID(L527,FIND("/",L527)+1,FIND("/",L527,FIND("/",L527)+1)-FIND("/",L527)-1)))</f>
        <v/>
      </c>
      <c r="Y527" s="7" t="str">
        <f aca="false">IF(L527="","",VALUE(MID(L527,FIND("/",L527,FIND("/",L527)+1)+1,LEN(L527)-FIND("/",L527,FIND("/",L527)+1))))</f>
        <v/>
      </c>
      <c r="Z527" s="7" t="str">
        <f aca="false">IF(OR(L527="",W527=""),"",IFERROR(INDEX('لیست‌ها'!$Q$3:$Q$53,MATCH(W527,'لیست‌ها'!$P$3:$P$53,0))+IF(X527&lt;=6,(X527-1)*31+Y527,IF(X527&lt;=11,186+(X527-7)*30+Y527,336+Y527))-1,""))</f>
        <v/>
      </c>
      <c r="AA527" s="7" t="str">
        <f aca="false">IF(H527="","",VALUE(LEFT(H527,FIND("/",H527)-1)))</f>
        <v/>
      </c>
      <c r="AB527" s="7" t="str">
        <f aca="false">IF(H527="","",VALUE(MID(H527,FIND("/",H527)+1,FIND("/",H527,FIND("/",H527)+1)-FIND("/",H527)-1)))</f>
        <v/>
      </c>
      <c r="AC527" s="7" t="str">
        <f aca="false">IF(H527="","",VALUE(MID(H527,FIND("/",H527,FIND("/",H527)+1)+1,LEN(H527)-FIND("/",H527,FIND("/",H527)+1))))</f>
        <v/>
      </c>
      <c r="AD527" s="7" t="str">
        <f aca="false">IF(OR(H527="",AA527=""),"",IFERROR(INDEX('لیست‌ها'!$Q$3:$Q$53,MATCH(AA527,'لیست‌ها'!$P$3:$P$53,0))+IF(AB527&lt;=6,(AB527-1)*31+AC527,IF(AB527&lt;=11,186+(AB527-7)*30+AC527,336+AC527))-1,""))</f>
        <v/>
      </c>
      <c r="AE527" s="7" t="str">
        <f aca="false">IF(P527="","",VALUE(LEFT(P527,FIND("/",P527)-1)))</f>
        <v/>
      </c>
      <c r="AF527" s="7" t="str">
        <f aca="false">IF(P527="","",VALUE(MID(P527,FIND("/",P527)+1,FIND("/",P527,FIND("/",P527)+1)-FIND("/",P527)-1)))</f>
        <v/>
      </c>
      <c r="AG527" s="7" t="str">
        <f aca="false">IF(P527="","",VALUE(MID(P527,FIND("/",P527,FIND("/",P527)+1)+1,LEN(P527)-FIND("/",P527,FIND("/",P527)+1))))</f>
        <v/>
      </c>
      <c r="AH527" s="7" t="str">
        <f aca="false">IF(OR(P527="",AE527=""),"",IFERROR(INDEX('لیست‌ها'!$Q$3:$Q$53,MATCH(AE527,'لیست‌ها'!$P$3:$P$53,0))+IF(AF527&lt;=6,(AF527-1)*31+AG527,IF(AF527&lt;=11,186+(AF527-7)*30+AG527,336+AG527))-1,""))</f>
        <v/>
      </c>
      <c r="AI527" s="7" t="str">
        <f aca="false">IF(W527="","",W527&amp;"-"&amp;TEXT(X527,"00"))</f>
        <v/>
      </c>
      <c r="AJ527" s="7" t="str">
        <f aca="false">IF(W527="","",W527*12+X527)</f>
        <v/>
      </c>
      <c r="AK527" s="7" t="str">
        <f aca="false">IF(U527="تاخیر",V527+ROW()/100000,"")</f>
        <v/>
      </c>
    </row>
    <row r="528" customFormat="false" ht="15" hidden="false" customHeight="false" outlineLevel="0" collapsed="false">
      <c r="A528" s="7" t="str">
        <f aca="false">IF(B528="","",ROW()-3)</f>
        <v/>
      </c>
      <c r="B528" s="8"/>
      <c r="C528" s="8"/>
      <c r="D528" s="8"/>
      <c r="E528" s="9"/>
      <c r="F528" s="9"/>
      <c r="G528" s="8"/>
      <c r="H528" s="8"/>
      <c r="I528" s="8"/>
      <c r="J528" s="9"/>
      <c r="K528" s="8"/>
      <c r="L528" s="8"/>
      <c r="M528" s="8"/>
      <c r="N528" s="8"/>
      <c r="O528" s="8"/>
      <c r="P528" s="8"/>
      <c r="Q528" s="8"/>
      <c r="R528" s="9"/>
      <c r="S528" s="8"/>
      <c r="T528" s="9"/>
      <c r="U528" s="10" t="str">
        <f aca="true">IF(B528="","",IF(OR(P528&lt;&gt;"",I528="می‌باشد"),"بسته",IF(AND(L528&lt;&gt;"",W528=""),"خطای فرمت تاریخ ایجاد",IF(AND(H528&lt;&gt;"",AA528=""),"خطای فرمت مهلت",IF(AND(H528&lt;&gt;"",AD528&lt;&gt;"",TODAY()&gt;AD528),"تاخیر",IF(L528&lt;&gt;"","در حال انجام",""))))))</f>
        <v/>
      </c>
      <c r="V528" s="7" t="n">
        <f aca="true">IF(U528="تاخیر",TODAY()-AD528,IF(AND(U528="بسته",AH528&lt;&gt;"",AD528&lt;&gt;"",AH528&gt;AD528),AH528-AD528,0))</f>
        <v>0</v>
      </c>
      <c r="W528" s="7" t="str">
        <f aca="false">IF(L528="","",VALUE(LEFT(L528,FIND("/",L528)-1)))</f>
        <v/>
      </c>
      <c r="X528" s="7" t="str">
        <f aca="false">IF(L528="","",VALUE(MID(L528,FIND("/",L528)+1,FIND("/",L528,FIND("/",L528)+1)-FIND("/",L528)-1)))</f>
        <v/>
      </c>
      <c r="Y528" s="7" t="str">
        <f aca="false">IF(L528="","",VALUE(MID(L528,FIND("/",L528,FIND("/",L528)+1)+1,LEN(L528)-FIND("/",L528,FIND("/",L528)+1))))</f>
        <v/>
      </c>
      <c r="Z528" s="7" t="str">
        <f aca="false">IF(OR(L528="",W528=""),"",IFERROR(INDEX('لیست‌ها'!$Q$3:$Q$53,MATCH(W528,'لیست‌ها'!$P$3:$P$53,0))+IF(X528&lt;=6,(X528-1)*31+Y528,IF(X528&lt;=11,186+(X528-7)*30+Y528,336+Y528))-1,""))</f>
        <v/>
      </c>
      <c r="AA528" s="7" t="str">
        <f aca="false">IF(H528="","",VALUE(LEFT(H528,FIND("/",H528)-1)))</f>
        <v/>
      </c>
      <c r="AB528" s="7" t="str">
        <f aca="false">IF(H528="","",VALUE(MID(H528,FIND("/",H528)+1,FIND("/",H528,FIND("/",H528)+1)-FIND("/",H528)-1)))</f>
        <v/>
      </c>
      <c r="AC528" s="7" t="str">
        <f aca="false">IF(H528="","",VALUE(MID(H528,FIND("/",H528,FIND("/",H528)+1)+1,LEN(H528)-FIND("/",H528,FIND("/",H528)+1))))</f>
        <v/>
      </c>
      <c r="AD528" s="7" t="str">
        <f aca="false">IF(OR(H528="",AA528=""),"",IFERROR(INDEX('لیست‌ها'!$Q$3:$Q$53,MATCH(AA528,'لیست‌ها'!$P$3:$P$53,0))+IF(AB528&lt;=6,(AB528-1)*31+AC528,IF(AB528&lt;=11,186+(AB528-7)*30+AC528,336+AC528))-1,""))</f>
        <v/>
      </c>
      <c r="AE528" s="7" t="str">
        <f aca="false">IF(P528="","",VALUE(LEFT(P528,FIND("/",P528)-1)))</f>
        <v/>
      </c>
      <c r="AF528" s="7" t="str">
        <f aca="false">IF(P528="","",VALUE(MID(P528,FIND("/",P528)+1,FIND("/",P528,FIND("/",P528)+1)-FIND("/",P528)-1)))</f>
        <v/>
      </c>
      <c r="AG528" s="7" t="str">
        <f aca="false">IF(P528="","",VALUE(MID(P528,FIND("/",P528,FIND("/",P528)+1)+1,LEN(P528)-FIND("/",P528,FIND("/",P528)+1))))</f>
        <v/>
      </c>
      <c r="AH528" s="7" t="str">
        <f aca="false">IF(OR(P528="",AE528=""),"",IFERROR(INDEX('لیست‌ها'!$Q$3:$Q$53,MATCH(AE528,'لیست‌ها'!$P$3:$P$53,0))+IF(AF528&lt;=6,(AF528-1)*31+AG528,IF(AF528&lt;=11,186+(AF528-7)*30+AG528,336+AG528))-1,""))</f>
        <v/>
      </c>
      <c r="AI528" s="7" t="str">
        <f aca="false">IF(W528="","",W528&amp;"-"&amp;TEXT(X528,"00"))</f>
        <v/>
      </c>
      <c r="AJ528" s="7" t="str">
        <f aca="false">IF(W528="","",W528*12+X528)</f>
        <v/>
      </c>
      <c r="AK528" s="7" t="str">
        <f aca="false">IF(U528="تاخیر",V528+ROW()/100000,"")</f>
        <v/>
      </c>
    </row>
    <row r="529" customFormat="false" ht="15" hidden="false" customHeight="false" outlineLevel="0" collapsed="false">
      <c r="A529" s="7" t="str">
        <f aca="false">IF(B529="","",ROW()-3)</f>
        <v/>
      </c>
      <c r="B529" s="8"/>
      <c r="C529" s="8"/>
      <c r="D529" s="8"/>
      <c r="E529" s="9"/>
      <c r="F529" s="9"/>
      <c r="G529" s="8"/>
      <c r="H529" s="8"/>
      <c r="I529" s="8"/>
      <c r="J529" s="9"/>
      <c r="K529" s="8"/>
      <c r="L529" s="8"/>
      <c r="M529" s="8"/>
      <c r="N529" s="8"/>
      <c r="O529" s="8"/>
      <c r="P529" s="8"/>
      <c r="Q529" s="8"/>
      <c r="R529" s="9"/>
      <c r="S529" s="8"/>
      <c r="T529" s="9"/>
      <c r="U529" s="10" t="str">
        <f aca="true">IF(B529="","",IF(OR(P529&lt;&gt;"",I529="می‌باشد"),"بسته",IF(AND(L529&lt;&gt;"",W529=""),"خطای فرمت تاریخ ایجاد",IF(AND(H529&lt;&gt;"",AA529=""),"خطای فرمت مهلت",IF(AND(H529&lt;&gt;"",AD529&lt;&gt;"",TODAY()&gt;AD529),"تاخیر",IF(L529&lt;&gt;"","در حال انجام",""))))))</f>
        <v/>
      </c>
      <c r="V529" s="7" t="n">
        <f aca="true">IF(U529="تاخیر",TODAY()-AD529,IF(AND(U529="بسته",AH529&lt;&gt;"",AD529&lt;&gt;"",AH529&gt;AD529),AH529-AD529,0))</f>
        <v>0</v>
      </c>
      <c r="W529" s="7" t="str">
        <f aca="false">IF(L529="","",VALUE(LEFT(L529,FIND("/",L529)-1)))</f>
        <v/>
      </c>
      <c r="X529" s="7" t="str">
        <f aca="false">IF(L529="","",VALUE(MID(L529,FIND("/",L529)+1,FIND("/",L529,FIND("/",L529)+1)-FIND("/",L529)-1)))</f>
        <v/>
      </c>
      <c r="Y529" s="7" t="str">
        <f aca="false">IF(L529="","",VALUE(MID(L529,FIND("/",L529,FIND("/",L529)+1)+1,LEN(L529)-FIND("/",L529,FIND("/",L529)+1))))</f>
        <v/>
      </c>
      <c r="Z529" s="7" t="str">
        <f aca="false">IF(OR(L529="",W529=""),"",IFERROR(INDEX('لیست‌ها'!$Q$3:$Q$53,MATCH(W529,'لیست‌ها'!$P$3:$P$53,0))+IF(X529&lt;=6,(X529-1)*31+Y529,IF(X529&lt;=11,186+(X529-7)*30+Y529,336+Y529))-1,""))</f>
        <v/>
      </c>
      <c r="AA529" s="7" t="str">
        <f aca="false">IF(H529="","",VALUE(LEFT(H529,FIND("/",H529)-1)))</f>
        <v/>
      </c>
      <c r="AB529" s="7" t="str">
        <f aca="false">IF(H529="","",VALUE(MID(H529,FIND("/",H529)+1,FIND("/",H529,FIND("/",H529)+1)-FIND("/",H529)-1)))</f>
        <v/>
      </c>
      <c r="AC529" s="7" t="str">
        <f aca="false">IF(H529="","",VALUE(MID(H529,FIND("/",H529,FIND("/",H529)+1)+1,LEN(H529)-FIND("/",H529,FIND("/",H529)+1))))</f>
        <v/>
      </c>
      <c r="AD529" s="7" t="str">
        <f aca="false">IF(OR(H529="",AA529=""),"",IFERROR(INDEX('لیست‌ها'!$Q$3:$Q$53,MATCH(AA529,'لیست‌ها'!$P$3:$P$53,0))+IF(AB529&lt;=6,(AB529-1)*31+AC529,IF(AB529&lt;=11,186+(AB529-7)*30+AC529,336+AC529))-1,""))</f>
        <v/>
      </c>
      <c r="AE529" s="7" t="str">
        <f aca="false">IF(P529="","",VALUE(LEFT(P529,FIND("/",P529)-1)))</f>
        <v/>
      </c>
      <c r="AF529" s="7" t="str">
        <f aca="false">IF(P529="","",VALUE(MID(P529,FIND("/",P529)+1,FIND("/",P529,FIND("/",P529)+1)-FIND("/",P529)-1)))</f>
        <v/>
      </c>
      <c r="AG529" s="7" t="str">
        <f aca="false">IF(P529="","",VALUE(MID(P529,FIND("/",P529,FIND("/",P529)+1)+1,LEN(P529)-FIND("/",P529,FIND("/",P529)+1))))</f>
        <v/>
      </c>
      <c r="AH529" s="7" t="str">
        <f aca="false">IF(OR(P529="",AE529=""),"",IFERROR(INDEX('لیست‌ها'!$Q$3:$Q$53,MATCH(AE529,'لیست‌ها'!$P$3:$P$53,0))+IF(AF529&lt;=6,(AF529-1)*31+AG529,IF(AF529&lt;=11,186+(AF529-7)*30+AG529,336+AG529))-1,""))</f>
        <v/>
      </c>
      <c r="AI529" s="7" t="str">
        <f aca="false">IF(W529="","",W529&amp;"-"&amp;TEXT(X529,"00"))</f>
        <v/>
      </c>
      <c r="AJ529" s="7" t="str">
        <f aca="false">IF(W529="","",W529*12+X529)</f>
        <v/>
      </c>
      <c r="AK529" s="7" t="str">
        <f aca="false">IF(U529="تاخیر",V529+ROW()/100000,"")</f>
        <v/>
      </c>
    </row>
    <row r="530" customFormat="false" ht="15" hidden="false" customHeight="false" outlineLevel="0" collapsed="false">
      <c r="A530" s="7" t="str">
        <f aca="false">IF(B530="","",ROW()-3)</f>
        <v/>
      </c>
      <c r="B530" s="8"/>
      <c r="C530" s="8"/>
      <c r="D530" s="8"/>
      <c r="E530" s="9"/>
      <c r="F530" s="9"/>
      <c r="G530" s="8"/>
      <c r="H530" s="8"/>
      <c r="I530" s="8"/>
      <c r="J530" s="9"/>
      <c r="K530" s="8"/>
      <c r="L530" s="8"/>
      <c r="M530" s="8"/>
      <c r="N530" s="8"/>
      <c r="O530" s="8"/>
      <c r="P530" s="8"/>
      <c r="Q530" s="8"/>
      <c r="R530" s="9"/>
      <c r="S530" s="8"/>
      <c r="T530" s="9"/>
      <c r="U530" s="10" t="str">
        <f aca="true">IF(B530="","",IF(OR(P530&lt;&gt;"",I530="می‌باشد"),"بسته",IF(AND(L530&lt;&gt;"",W530=""),"خطای فرمت تاریخ ایجاد",IF(AND(H530&lt;&gt;"",AA530=""),"خطای فرمت مهلت",IF(AND(H530&lt;&gt;"",AD530&lt;&gt;"",TODAY()&gt;AD530),"تاخیر",IF(L530&lt;&gt;"","در حال انجام",""))))))</f>
        <v/>
      </c>
      <c r="V530" s="7" t="n">
        <f aca="true">IF(U530="تاخیر",TODAY()-AD530,IF(AND(U530="بسته",AH530&lt;&gt;"",AD530&lt;&gt;"",AH530&gt;AD530),AH530-AD530,0))</f>
        <v>0</v>
      </c>
      <c r="W530" s="7" t="str">
        <f aca="false">IF(L530="","",VALUE(LEFT(L530,FIND("/",L530)-1)))</f>
        <v/>
      </c>
      <c r="X530" s="7" t="str">
        <f aca="false">IF(L530="","",VALUE(MID(L530,FIND("/",L530)+1,FIND("/",L530,FIND("/",L530)+1)-FIND("/",L530)-1)))</f>
        <v/>
      </c>
      <c r="Y530" s="7" t="str">
        <f aca="false">IF(L530="","",VALUE(MID(L530,FIND("/",L530,FIND("/",L530)+1)+1,LEN(L530)-FIND("/",L530,FIND("/",L530)+1))))</f>
        <v/>
      </c>
      <c r="Z530" s="7" t="str">
        <f aca="false">IF(OR(L530="",W530=""),"",IFERROR(INDEX('لیست‌ها'!$Q$3:$Q$53,MATCH(W530,'لیست‌ها'!$P$3:$P$53,0))+IF(X530&lt;=6,(X530-1)*31+Y530,IF(X530&lt;=11,186+(X530-7)*30+Y530,336+Y530))-1,""))</f>
        <v/>
      </c>
      <c r="AA530" s="7" t="str">
        <f aca="false">IF(H530="","",VALUE(LEFT(H530,FIND("/",H530)-1)))</f>
        <v/>
      </c>
      <c r="AB530" s="7" t="str">
        <f aca="false">IF(H530="","",VALUE(MID(H530,FIND("/",H530)+1,FIND("/",H530,FIND("/",H530)+1)-FIND("/",H530)-1)))</f>
        <v/>
      </c>
      <c r="AC530" s="7" t="str">
        <f aca="false">IF(H530="","",VALUE(MID(H530,FIND("/",H530,FIND("/",H530)+1)+1,LEN(H530)-FIND("/",H530,FIND("/",H530)+1))))</f>
        <v/>
      </c>
      <c r="AD530" s="7" t="str">
        <f aca="false">IF(OR(H530="",AA530=""),"",IFERROR(INDEX('لیست‌ها'!$Q$3:$Q$53,MATCH(AA530,'لیست‌ها'!$P$3:$P$53,0))+IF(AB530&lt;=6,(AB530-1)*31+AC530,IF(AB530&lt;=11,186+(AB530-7)*30+AC530,336+AC530))-1,""))</f>
        <v/>
      </c>
      <c r="AE530" s="7" t="str">
        <f aca="false">IF(P530="","",VALUE(LEFT(P530,FIND("/",P530)-1)))</f>
        <v/>
      </c>
      <c r="AF530" s="7" t="str">
        <f aca="false">IF(P530="","",VALUE(MID(P530,FIND("/",P530)+1,FIND("/",P530,FIND("/",P530)+1)-FIND("/",P530)-1)))</f>
        <v/>
      </c>
      <c r="AG530" s="7" t="str">
        <f aca="false">IF(P530="","",VALUE(MID(P530,FIND("/",P530,FIND("/",P530)+1)+1,LEN(P530)-FIND("/",P530,FIND("/",P530)+1))))</f>
        <v/>
      </c>
      <c r="AH530" s="7" t="str">
        <f aca="false">IF(OR(P530="",AE530=""),"",IFERROR(INDEX('لیست‌ها'!$Q$3:$Q$53,MATCH(AE530,'لیست‌ها'!$P$3:$P$53,0))+IF(AF530&lt;=6,(AF530-1)*31+AG530,IF(AF530&lt;=11,186+(AF530-7)*30+AG530,336+AG530))-1,""))</f>
        <v/>
      </c>
      <c r="AI530" s="7" t="str">
        <f aca="false">IF(W530="","",W530&amp;"-"&amp;TEXT(X530,"00"))</f>
        <v/>
      </c>
      <c r="AJ530" s="7" t="str">
        <f aca="false">IF(W530="","",W530*12+X530)</f>
        <v/>
      </c>
      <c r="AK530" s="7" t="str">
        <f aca="false">IF(U530="تاخیر",V530+ROW()/100000,"")</f>
        <v/>
      </c>
    </row>
    <row r="531" customFormat="false" ht="15" hidden="false" customHeight="false" outlineLevel="0" collapsed="false">
      <c r="A531" s="7" t="str">
        <f aca="false">IF(B531="","",ROW()-3)</f>
        <v/>
      </c>
      <c r="B531" s="8"/>
      <c r="C531" s="8"/>
      <c r="D531" s="8"/>
      <c r="E531" s="9"/>
      <c r="F531" s="9"/>
      <c r="G531" s="8"/>
      <c r="H531" s="8"/>
      <c r="I531" s="8"/>
      <c r="J531" s="9"/>
      <c r="K531" s="8"/>
      <c r="L531" s="8"/>
      <c r="M531" s="8"/>
      <c r="N531" s="8"/>
      <c r="O531" s="8"/>
      <c r="P531" s="8"/>
      <c r="Q531" s="8"/>
      <c r="R531" s="9"/>
      <c r="S531" s="8"/>
      <c r="T531" s="9"/>
      <c r="U531" s="10" t="str">
        <f aca="true">IF(B531="","",IF(OR(P531&lt;&gt;"",I531="می‌باشد"),"بسته",IF(AND(L531&lt;&gt;"",W531=""),"خطای فرمت تاریخ ایجاد",IF(AND(H531&lt;&gt;"",AA531=""),"خطای فرمت مهلت",IF(AND(H531&lt;&gt;"",AD531&lt;&gt;"",TODAY()&gt;AD531),"تاخیر",IF(L531&lt;&gt;"","در حال انجام",""))))))</f>
        <v/>
      </c>
      <c r="V531" s="7" t="n">
        <f aca="true">IF(U531="تاخیر",TODAY()-AD531,IF(AND(U531="بسته",AH531&lt;&gt;"",AD531&lt;&gt;"",AH531&gt;AD531),AH531-AD531,0))</f>
        <v>0</v>
      </c>
      <c r="W531" s="7" t="str">
        <f aca="false">IF(L531="","",VALUE(LEFT(L531,FIND("/",L531)-1)))</f>
        <v/>
      </c>
      <c r="X531" s="7" t="str">
        <f aca="false">IF(L531="","",VALUE(MID(L531,FIND("/",L531)+1,FIND("/",L531,FIND("/",L531)+1)-FIND("/",L531)-1)))</f>
        <v/>
      </c>
      <c r="Y531" s="7" t="str">
        <f aca="false">IF(L531="","",VALUE(MID(L531,FIND("/",L531,FIND("/",L531)+1)+1,LEN(L531)-FIND("/",L531,FIND("/",L531)+1))))</f>
        <v/>
      </c>
      <c r="Z531" s="7" t="str">
        <f aca="false">IF(OR(L531="",W531=""),"",IFERROR(INDEX('لیست‌ها'!$Q$3:$Q$53,MATCH(W531,'لیست‌ها'!$P$3:$P$53,0))+IF(X531&lt;=6,(X531-1)*31+Y531,IF(X531&lt;=11,186+(X531-7)*30+Y531,336+Y531))-1,""))</f>
        <v/>
      </c>
      <c r="AA531" s="7" t="str">
        <f aca="false">IF(H531="","",VALUE(LEFT(H531,FIND("/",H531)-1)))</f>
        <v/>
      </c>
      <c r="AB531" s="7" t="str">
        <f aca="false">IF(H531="","",VALUE(MID(H531,FIND("/",H531)+1,FIND("/",H531,FIND("/",H531)+1)-FIND("/",H531)-1)))</f>
        <v/>
      </c>
      <c r="AC531" s="7" t="str">
        <f aca="false">IF(H531="","",VALUE(MID(H531,FIND("/",H531,FIND("/",H531)+1)+1,LEN(H531)-FIND("/",H531,FIND("/",H531)+1))))</f>
        <v/>
      </c>
      <c r="AD531" s="7" t="str">
        <f aca="false">IF(OR(H531="",AA531=""),"",IFERROR(INDEX('لیست‌ها'!$Q$3:$Q$53,MATCH(AA531,'لیست‌ها'!$P$3:$P$53,0))+IF(AB531&lt;=6,(AB531-1)*31+AC531,IF(AB531&lt;=11,186+(AB531-7)*30+AC531,336+AC531))-1,""))</f>
        <v/>
      </c>
      <c r="AE531" s="7" t="str">
        <f aca="false">IF(P531="","",VALUE(LEFT(P531,FIND("/",P531)-1)))</f>
        <v/>
      </c>
      <c r="AF531" s="7" t="str">
        <f aca="false">IF(P531="","",VALUE(MID(P531,FIND("/",P531)+1,FIND("/",P531,FIND("/",P531)+1)-FIND("/",P531)-1)))</f>
        <v/>
      </c>
      <c r="AG531" s="7" t="str">
        <f aca="false">IF(P531="","",VALUE(MID(P531,FIND("/",P531,FIND("/",P531)+1)+1,LEN(P531)-FIND("/",P531,FIND("/",P531)+1))))</f>
        <v/>
      </c>
      <c r="AH531" s="7" t="str">
        <f aca="false">IF(OR(P531="",AE531=""),"",IFERROR(INDEX('لیست‌ها'!$Q$3:$Q$53,MATCH(AE531,'لیست‌ها'!$P$3:$P$53,0))+IF(AF531&lt;=6,(AF531-1)*31+AG531,IF(AF531&lt;=11,186+(AF531-7)*30+AG531,336+AG531))-1,""))</f>
        <v/>
      </c>
      <c r="AI531" s="7" t="str">
        <f aca="false">IF(W531="","",W531&amp;"-"&amp;TEXT(X531,"00"))</f>
        <v/>
      </c>
      <c r="AJ531" s="7" t="str">
        <f aca="false">IF(W531="","",W531*12+X531)</f>
        <v/>
      </c>
      <c r="AK531" s="7" t="str">
        <f aca="false">IF(U531="تاخیر",V531+ROW()/100000,"")</f>
        <v/>
      </c>
    </row>
    <row r="532" customFormat="false" ht="15" hidden="false" customHeight="false" outlineLevel="0" collapsed="false">
      <c r="A532" s="7" t="str">
        <f aca="false">IF(B532="","",ROW()-3)</f>
        <v/>
      </c>
      <c r="B532" s="8"/>
      <c r="C532" s="8"/>
      <c r="D532" s="8"/>
      <c r="E532" s="9"/>
      <c r="F532" s="9"/>
      <c r="G532" s="8"/>
      <c r="H532" s="8"/>
      <c r="I532" s="8"/>
      <c r="J532" s="9"/>
      <c r="K532" s="8"/>
      <c r="L532" s="8"/>
      <c r="M532" s="8"/>
      <c r="N532" s="8"/>
      <c r="O532" s="8"/>
      <c r="P532" s="8"/>
      <c r="Q532" s="8"/>
      <c r="R532" s="9"/>
      <c r="S532" s="8"/>
      <c r="T532" s="9"/>
      <c r="U532" s="10" t="str">
        <f aca="true">IF(B532="","",IF(OR(P532&lt;&gt;"",I532="می‌باشد"),"بسته",IF(AND(L532&lt;&gt;"",W532=""),"خطای فرمت تاریخ ایجاد",IF(AND(H532&lt;&gt;"",AA532=""),"خطای فرمت مهلت",IF(AND(H532&lt;&gt;"",AD532&lt;&gt;"",TODAY()&gt;AD532),"تاخیر",IF(L532&lt;&gt;"","در حال انجام",""))))))</f>
        <v/>
      </c>
      <c r="V532" s="7" t="n">
        <f aca="true">IF(U532="تاخیر",TODAY()-AD532,IF(AND(U532="بسته",AH532&lt;&gt;"",AD532&lt;&gt;"",AH532&gt;AD532),AH532-AD532,0))</f>
        <v>0</v>
      </c>
      <c r="W532" s="7" t="str">
        <f aca="false">IF(L532="","",VALUE(LEFT(L532,FIND("/",L532)-1)))</f>
        <v/>
      </c>
      <c r="X532" s="7" t="str">
        <f aca="false">IF(L532="","",VALUE(MID(L532,FIND("/",L532)+1,FIND("/",L532,FIND("/",L532)+1)-FIND("/",L532)-1)))</f>
        <v/>
      </c>
      <c r="Y532" s="7" t="str">
        <f aca="false">IF(L532="","",VALUE(MID(L532,FIND("/",L532,FIND("/",L532)+1)+1,LEN(L532)-FIND("/",L532,FIND("/",L532)+1))))</f>
        <v/>
      </c>
      <c r="Z532" s="7" t="str">
        <f aca="false">IF(OR(L532="",W532=""),"",IFERROR(INDEX('لیست‌ها'!$Q$3:$Q$53,MATCH(W532,'لیست‌ها'!$P$3:$P$53,0))+IF(X532&lt;=6,(X532-1)*31+Y532,IF(X532&lt;=11,186+(X532-7)*30+Y532,336+Y532))-1,""))</f>
        <v/>
      </c>
      <c r="AA532" s="7" t="str">
        <f aca="false">IF(H532="","",VALUE(LEFT(H532,FIND("/",H532)-1)))</f>
        <v/>
      </c>
      <c r="AB532" s="7" t="str">
        <f aca="false">IF(H532="","",VALUE(MID(H532,FIND("/",H532)+1,FIND("/",H532,FIND("/",H532)+1)-FIND("/",H532)-1)))</f>
        <v/>
      </c>
      <c r="AC532" s="7" t="str">
        <f aca="false">IF(H532="","",VALUE(MID(H532,FIND("/",H532,FIND("/",H532)+1)+1,LEN(H532)-FIND("/",H532,FIND("/",H532)+1))))</f>
        <v/>
      </c>
      <c r="AD532" s="7" t="str">
        <f aca="false">IF(OR(H532="",AA532=""),"",IFERROR(INDEX('لیست‌ها'!$Q$3:$Q$53,MATCH(AA532,'لیست‌ها'!$P$3:$P$53,0))+IF(AB532&lt;=6,(AB532-1)*31+AC532,IF(AB532&lt;=11,186+(AB532-7)*30+AC532,336+AC532))-1,""))</f>
        <v/>
      </c>
      <c r="AE532" s="7" t="str">
        <f aca="false">IF(P532="","",VALUE(LEFT(P532,FIND("/",P532)-1)))</f>
        <v/>
      </c>
      <c r="AF532" s="7" t="str">
        <f aca="false">IF(P532="","",VALUE(MID(P532,FIND("/",P532)+1,FIND("/",P532,FIND("/",P532)+1)-FIND("/",P532)-1)))</f>
        <v/>
      </c>
      <c r="AG532" s="7" t="str">
        <f aca="false">IF(P532="","",VALUE(MID(P532,FIND("/",P532,FIND("/",P532)+1)+1,LEN(P532)-FIND("/",P532,FIND("/",P532)+1))))</f>
        <v/>
      </c>
      <c r="AH532" s="7" t="str">
        <f aca="false">IF(OR(P532="",AE532=""),"",IFERROR(INDEX('لیست‌ها'!$Q$3:$Q$53,MATCH(AE532,'لیست‌ها'!$P$3:$P$53,0))+IF(AF532&lt;=6,(AF532-1)*31+AG532,IF(AF532&lt;=11,186+(AF532-7)*30+AG532,336+AG532))-1,""))</f>
        <v/>
      </c>
      <c r="AI532" s="7" t="str">
        <f aca="false">IF(W532="","",W532&amp;"-"&amp;TEXT(X532,"00"))</f>
        <v/>
      </c>
      <c r="AJ532" s="7" t="str">
        <f aca="false">IF(W532="","",W532*12+X532)</f>
        <v/>
      </c>
      <c r="AK532" s="7" t="str">
        <f aca="false">IF(U532="تاخیر",V532+ROW()/100000,"")</f>
        <v/>
      </c>
    </row>
    <row r="533" customFormat="false" ht="15" hidden="false" customHeight="false" outlineLevel="0" collapsed="false">
      <c r="A533" s="7" t="str">
        <f aca="false">IF(B533="","",ROW()-3)</f>
        <v/>
      </c>
      <c r="B533" s="8"/>
      <c r="C533" s="8"/>
      <c r="D533" s="8"/>
      <c r="E533" s="9"/>
      <c r="F533" s="9"/>
      <c r="G533" s="8"/>
      <c r="H533" s="8"/>
      <c r="I533" s="8"/>
      <c r="J533" s="9"/>
      <c r="K533" s="8"/>
      <c r="L533" s="8"/>
      <c r="M533" s="8"/>
      <c r="N533" s="8"/>
      <c r="O533" s="8"/>
      <c r="P533" s="8"/>
      <c r="Q533" s="8"/>
      <c r="R533" s="9"/>
      <c r="S533" s="8"/>
      <c r="T533" s="9"/>
      <c r="U533" s="10" t="str">
        <f aca="true">IF(B533="","",IF(OR(P533&lt;&gt;"",I533="می‌باشد"),"بسته",IF(AND(L533&lt;&gt;"",W533=""),"خطای فرمت تاریخ ایجاد",IF(AND(H533&lt;&gt;"",AA533=""),"خطای فرمت مهلت",IF(AND(H533&lt;&gt;"",AD533&lt;&gt;"",TODAY()&gt;AD533),"تاخیر",IF(L533&lt;&gt;"","در حال انجام",""))))))</f>
        <v/>
      </c>
      <c r="V533" s="7" t="n">
        <f aca="true">IF(U533="تاخیر",TODAY()-AD533,IF(AND(U533="بسته",AH533&lt;&gt;"",AD533&lt;&gt;"",AH533&gt;AD533),AH533-AD533,0))</f>
        <v>0</v>
      </c>
      <c r="W533" s="7" t="str">
        <f aca="false">IF(L533="","",VALUE(LEFT(L533,FIND("/",L533)-1)))</f>
        <v/>
      </c>
      <c r="X533" s="7" t="str">
        <f aca="false">IF(L533="","",VALUE(MID(L533,FIND("/",L533)+1,FIND("/",L533,FIND("/",L533)+1)-FIND("/",L533)-1)))</f>
        <v/>
      </c>
      <c r="Y533" s="7" t="str">
        <f aca="false">IF(L533="","",VALUE(MID(L533,FIND("/",L533,FIND("/",L533)+1)+1,LEN(L533)-FIND("/",L533,FIND("/",L533)+1))))</f>
        <v/>
      </c>
      <c r="Z533" s="7" t="str">
        <f aca="false">IF(OR(L533="",W533=""),"",IFERROR(INDEX('لیست‌ها'!$Q$3:$Q$53,MATCH(W533,'لیست‌ها'!$P$3:$P$53,0))+IF(X533&lt;=6,(X533-1)*31+Y533,IF(X533&lt;=11,186+(X533-7)*30+Y533,336+Y533))-1,""))</f>
        <v/>
      </c>
      <c r="AA533" s="7" t="str">
        <f aca="false">IF(H533="","",VALUE(LEFT(H533,FIND("/",H533)-1)))</f>
        <v/>
      </c>
      <c r="AB533" s="7" t="str">
        <f aca="false">IF(H533="","",VALUE(MID(H533,FIND("/",H533)+1,FIND("/",H533,FIND("/",H533)+1)-FIND("/",H533)-1)))</f>
        <v/>
      </c>
      <c r="AC533" s="7" t="str">
        <f aca="false">IF(H533="","",VALUE(MID(H533,FIND("/",H533,FIND("/",H533)+1)+1,LEN(H533)-FIND("/",H533,FIND("/",H533)+1))))</f>
        <v/>
      </c>
      <c r="AD533" s="7" t="str">
        <f aca="false">IF(OR(H533="",AA533=""),"",IFERROR(INDEX('لیست‌ها'!$Q$3:$Q$53,MATCH(AA533,'لیست‌ها'!$P$3:$P$53,0))+IF(AB533&lt;=6,(AB533-1)*31+AC533,IF(AB533&lt;=11,186+(AB533-7)*30+AC533,336+AC533))-1,""))</f>
        <v/>
      </c>
      <c r="AE533" s="7" t="str">
        <f aca="false">IF(P533="","",VALUE(LEFT(P533,FIND("/",P533)-1)))</f>
        <v/>
      </c>
      <c r="AF533" s="7" t="str">
        <f aca="false">IF(P533="","",VALUE(MID(P533,FIND("/",P533)+1,FIND("/",P533,FIND("/",P533)+1)-FIND("/",P533)-1)))</f>
        <v/>
      </c>
      <c r="AG533" s="7" t="str">
        <f aca="false">IF(P533="","",VALUE(MID(P533,FIND("/",P533,FIND("/",P533)+1)+1,LEN(P533)-FIND("/",P533,FIND("/",P533)+1))))</f>
        <v/>
      </c>
      <c r="AH533" s="7" t="str">
        <f aca="false">IF(OR(P533="",AE533=""),"",IFERROR(INDEX('لیست‌ها'!$Q$3:$Q$53,MATCH(AE533,'لیست‌ها'!$P$3:$P$53,0))+IF(AF533&lt;=6,(AF533-1)*31+AG533,IF(AF533&lt;=11,186+(AF533-7)*30+AG533,336+AG533))-1,""))</f>
        <v/>
      </c>
      <c r="AI533" s="7" t="str">
        <f aca="false">IF(W533="","",W533&amp;"-"&amp;TEXT(X533,"00"))</f>
        <v/>
      </c>
      <c r="AJ533" s="7" t="str">
        <f aca="false">IF(W533="","",W533*12+X533)</f>
        <v/>
      </c>
      <c r="AK533" s="7" t="str">
        <f aca="false">IF(U533="تاخیر",V533+ROW()/100000,"")</f>
        <v/>
      </c>
    </row>
    <row r="534" customFormat="false" ht="15" hidden="false" customHeight="false" outlineLevel="0" collapsed="false">
      <c r="A534" s="7" t="str">
        <f aca="false">IF(B534="","",ROW()-3)</f>
        <v/>
      </c>
      <c r="B534" s="8"/>
      <c r="C534" s="8"/>
      <c r="D534" s="8"/>
      <c r="E534" s="9"/>
      <c r="F534" s="9"/>
      <c r="G534" s="8"/>
      <c r="H534" s="8"/>
      <c r="I534" s="8"/>
      <c r="J534" s="9"/>
      <c r="K534" s="8"/>
      <c r="L534" s="8"/>
      <c r="M534" s="8"/>
      <c r="N534" s="8"/>
      <c r="O534" s="8"/>
      <c r="P534" s="8"/>
      <c r="Q534" s="8"/>
      <c r="R534" s="9"/>
      <c r="S534" s="8"/>
      <c r="T534" s="9"/>
      <c r="U534" s="10" t="str">
        <f aca="true">IF(B534="","",IF(OR(P534&lt;&gt;"",I534="می‌باشد"),"بسته",IF(AND(L534&lt;&gt;"",W534=""),"خطای فرمت تاریخ ایجاد",IF(AND(H534&lt;&gt;"",AA534=""),"خطای فرمت مهلت",IF(AND(H534&lt;&gt;"",AD534&lt;&gt;"",TODAY()&gt;AD534),"تاخیر",IF(L534&lt;&gt;"","در حال انجام",""))))))</f>
        <v/>
      </c>
      <c r="V534" s="7" t="n">
        <f aca="true">IF(U534="تاخیر",TODAY()-AD534,IF(AND(U534="بسته",AH534&lt;&gt;"",AD534&lt;&gt;"",AH534&gt;AD534),AH534-AD534,0))</f>
        <v>0</v>
      </c>
      <c r="W534" s="7" t="str">
        <f aca="false">IF(L534="","",VALUE(LEFT(L534,FIND("/",L534)-1)))</f>
        <v/>
      </c>
      <c r="X534" s="7" t="str">
        <f aca="false">IF(L534="","",VALUE(MID(L534,FIND("/",L534)+1,FIND("/",L534,FIND("/",L534)+1)-FIND("/",L534)-1)))</f>
        <v/>
      </c>
      <c r="Y534" s="7" t="str">
        <f aca="false">IF(L534="","",VALUE(MID(L534,FIND("/",L534,FIND("/",L534)+1)+1,LEN(L534)-FIND("/",L534,FIND("/",L534)+1))))</f>
        <v/>
      </c>
      <c r="Z534" s="7" t="str">
        <f aca="false">IF(OR(L534="",W534=""),"",IFERROR(INDEX('لیست‌ها'!$Q$3:$Q$53,MATCH(W534,'لیست‌ها'!$P$3:$P$53,0))+IF(X534&lt;=6,(X534-1)*31+Y534,IF(X534&lt;=11,186+(X534-7)*30+Y534,336+Y534))-1,""))</f>
        <v/>
      </c>
      <c r="AA534" s="7" t="str">
        <f aca="false">IF(H534="","",VALUE(LEFT(H534,FIND("/",H534)-1)))</f>
        <v/>
      </c>
      <c r="AB534" s="7" t="str">
        <f aca="false">IF(H534="","",VALUE(MID(H534,FIND("/",H534)+1,FIND("/",H534,FIND("/",H534)+1)-FIND("/",H534)-1)))</f>
        <v/>
      </c>
      <c r="AC534" s="7" t="str">
        <f aca="false">IF(H534="","",VALUE(MID(H534,FIND("/",H534,FIND("/",H534)+1)+1,LEN(H534)-FIND("/",H534,FIND("/",H534)+1))))</f>
        <v/>
      </c>
      <c r="AD534" s="7" t="str">
        <f aca="false">IF(OR(H534="",AA534=""),"",IFERROR(INDEX('لیست‌ها'!$Q$3:$Q$53,MATCH(AA534,'لیست‌ها'!$P$3:$P$53,0))+IF(AB534&lt;=6,(AB534-1)*31+AC534,IF(AB534&lt;=11,186+(AB534-7)*30+AC534,336+AC534))-1,""))</f>
        <v/>
      </c>
      <c r="AE534" s="7" t="str">
        <f aca="false">IF(P534="","",VALUE(LEFT(P534,FIND("/",P534)-1)))</f>
        <v/>
      </c>
      <c r="AF534" s="7" t="str">
        <f aca="false">IF(P534="","",VALUE(MID(P534,FIND("/",P534)+1,FIND("/",P534,FIND("/",P534)+1)-FIND("/",P534)-1)))</f>
        <v/>
      </c>
      <c r="AG534" s="7" t="str">
        <f aca="false">IF(P534="","",VALUE(MID(P534,FIND("/",P534,FIND("/",P534)+1)+1,LEN(P534)-FIND("/",P534,FIND("/",P534)+1))))</f>
        <v/>
      </c>
      <c r="AH534" s="7" t="str">
        <f aca="false">IF(OR(P534="",AE534=""),"",IFERROR(INDEX('لیست‌ها'!$Q$3:$Q$53,MATCH(AE534,'لیست‌ها'!$P$3:$P$53,0))+IF(AF534&lt;=6,(AF534-1)*31+AG534,IF(AF534&lt;=11,186+(AF534-7)*30+AG534,336+AG534))-1,""))</f>
        <v/>
      </c>
      <c r="AI534" s="7" t="str">
        <f aca="false">IF(W534="","",W534&amp;"-"&amp;TEXT(X534,"00"))</f>
        <v/>
      </c>
      <c r="AJ534" s="7" t="str">
        <f aca="false">IF(W534="","",W534*12+X534)</f>
        <v/>
      </c>
      <c r="AK534" s="7" t="str">
        <f aca="false">IF(U534="تاخیر",V534+ROW()/100000,"")</f>
        <v/>
      </c>
    </row>
    <row r="535" customFormat="false" ht="15" hidden="false" customHeight="false" outlineLevel="0" collapsed="false">
      <c r="A535" s="7" t="str">
        <f aca="false">IF(B535="","",ROW()-3)</f>
        <v/>
      </c>
      <c r="B535" s="8"/>
      <c r="C535" s="8"/>
      <c r="D535" s="8"/>
      <c r="E535" s="9"/>
      <c r="F535" s="9"/>
      <c r="G535" s="8"/>
      <c r="H535" s="8"/>
      <c r="I535" s="8"/>
      <c r="J535" s="9"/>
      <c r="K535" s="8"/>
      <c r="L535" s="8"/>
      <c r="M535" s="8"/>
      <c r="N535" s="8"/>
      <c r="O535" s="8"/>
      <c r="P535" s="8"/>
      <c r="Q535" s="8"/>
      <c r="R535" s="9"/>
      <c r="S535" s="8"/>
      <c r="T535" s="9"/>
      <c r="U535" s="10" t="str">
        <f aca="true">IF(B535="","",IF(OR(P535&lt;&gt;"",I535="می‌باشد"),"بسته",IF(AND(L535&lt;&gt;"",W535=""),"خطای فرمت تاریخ ایجاد",IF(AND(H535&lt;&gt;"",AA535=""),"خطای فرمت مهلت",IF(AND(H535&lt;&gt;"",AD535&lt;&gt;"",TODAY()&gt;AD535),"تاخیر",IF(L535&lt;&gt;"","در حال انجام",""))))))</f>
        <v/>
      </c>
      <c r="V535" s="7" t="n">
        <f aca="true">IF(U535="تاخیر",TODAY()-AD535,IF(AND(U535="بسته",AH535&lt;&gt;"",AD535&lt;&gt;"",AH535&gt;AD535),AH535-AD535,0))</f>
        <v>0</v>
      </c>
      <c r="W535" s="7" t="str">
        <f aca="false">IF(L535="","",VALUE(LEFT(L535,FIND("/",L535)-1)))</f>
        <v/>
      </c>
      <c r="X535" s="7" t="str">
        <f aca="false">IF(L535="","",VALUE(MID(L535,FIND("/",L535)+1,FIND("/",L535,FIND("/",L535)+1)-FIND("/",L535)-1)))</f>
        <v/>
      </c>
      <c r="Y535" s="7" t="str">
        <f aca="false">IF(L535="","",VALUE(MID(L535,FIND("/",L535,FIND("/",L535)+1)+1,LEN(L535)-FIND("/",L535,FIND("/",L535)+1))))</f>
        <v/>
      </c>
      <c r="Z535" s="7" t="str">
        <f aca="false">IF(OR(L535="",W535=""),"",IFERROR(INDEX('لیست‌ها'!$Q$3:$Q$53,MATCH(W535,'لیست‌ها'!$P$3:$P$53,0))+IF(X535&lt;=6,(X535-1)*31+Y535,IF(X535&lt;=11,186+(X535-7)*30+Y535,336+Y535))-1,""))</f>
        <v/>
      </c>
      <c r="AA535" s="7" t="str">
        <f aca="false">IF(H535="","",VALUE(LEFT(H535,FIND("/",H535)-1)))</f>
        <v/>
      </c>
      <c r="AB535" s="7" t="str">
        <f aca="false">IF(H535="","",VALUE(MID(H535,FIND("/",H535)+1,FIND("/",H535,FIND("/",H535)+1)-FIND("/",H535)-1)))</f>
        <v/>
      </c>
      <c r="AC535" s="7" t="str">
        <f aca="false">IF(H535="","",VALUE(MID(H535,FIND("/",H535,FIND("/",H535)+1)+1,LEN(H535)-FIND("/",H535,FIND("/",H535)+1))))</f>
        <v/>
      </c>
      <c r="AD535" s="7" t="str">
        <f aca="false">IF(OR(H535="",AA535=""),"",IFERROR(INDEX('لیست‌ها'!$Q$3:$Q$53,MATCH(AA535,'لیست‌ها'!$P$3:$P$53,0))+IF(AB535&lt;=6,(AB535-1)*31+AC535,IF(AB535&lt;=11,186+(AB535-7)*30+AC535,336+AC535))-1,""))</f>
        <v/>
      </c>
      <c r="AE535" s="7" t="str">
        <f aca="false">IF(P535="","",VALUE(LEFT(P535,FIND("/",P535)-1)))</f>
        <v/>
      </c>
      <c r="AF535" s="7" t="str">
        <f aca="false">IF(P535="","",VALUE(MID(P535,FIND("/",P535)+1,FIND("/",P535,FIND("/",P535)+1)-FIND("/",P535)-1)))</f>
        <v/>
      </c>
      <c r="AG535" s="7" t="str">
        <f aca="false">IF(P535="","",VALUE(MID(P535,FIND("/",P535,FIND("/",P535)+1)+1,LEN(P535)-FIND("/",P535,FIND("/",P535)+1))))</f>
        <v/>
      </c>
      <c r="AH535" s="7" t="str">
        <f aca="false">IF(OR(P535="",AE535=""),"",IFERROR(INDEX('لیست‌ها'!$Q$3:$Q$53,MATCH(AE535,'لیست‌ها'!$P$3:$P$53,0))+IF(AF535&lt;=6,(AF535-1)*31+AG535,IF(AF535&lt;=11,186+(AF535-7)*30+AG535,336+AG535))-1,""))</f>
        <v/>
      </c>
      <c r="AI535" s="7" t="str">
        <f aca="false">IF(W535="","",W535&amp;"-"&amp;TEXT(X535,"00"))</f>
        <v/>
      </c>
      <c r="AJ535" s="7" t="str">
        <f aca="false">IF(W535="","",W535*12+X535)</f>
        <v/>
      </c>
      <c r="AK535" s="7" t="str">
        <f aca="false">IF(U535="تاخیر",V535+ROW()/100000,"")</f>
        <v/>
      </c>
    </row>
    <row r="536" customFormat="false" ht="15" hidden="false" customHeight="false" outlineLevel="0" collapsed="false">
      <c r="A536" s="7" t="str">
        <f aca="false">IF(B536="","",ROW()-3)</f>
        <v/>
      </c>
      <c r="B536" s="8"/>
      <c r="C536" s="8"/>
      <c r="D536" s="8"/>
      <c r="E536" s="9"/>
      <c r="F536" s="9"/>
      <c r="G536" s="8"/>
      <c r="H536" s="8"/>
      <c r="I536" s="8"/>
      <c r="J536" s="9"/>
      <c r="K536" s="8"/>
      <c r="L536" s="8"/>
      <c r="M536" s="8"/>
      <c r="N536" s="8"/>
      <c r="O536" s="8"/>
      <c r="P536" s="8"/>
      <c r="Q536" s="8"/>
      <c r="R536" s="9"/>
      <c r="S536" s="8"/>
      <c r="T536" s="9"/>
      <c r="U536" s="10" t="str">
        <f aca="true">IF(B536="","",IF(OR(P536&lt;&gt;"",I536="می‌باشد"),"بسته",IF(AND(L536&lt;&gt;"",W536=""),"خطای فرمت تاریخ ایجاد",IF(AND(H536&lt;&gt;"",AA536=""),"خطای فرمت مهلت",IF(AND(H536&lt;&gt;"",AD536&lt;&gt;"",TODAY()&gt;AD536),"تاخیر",IF(L536&lt;&gt;"","در حال انجام",""))))))</f>
        <v/>
      </c>
      <c r="V536" s="7" t="n">
        <f aca="true">IF(U536="تاخیر",TODAY()-AD536,IF(AND(U536="بسته",AH536&lt;&gt;"",AD536&lt;&gt;"",AH536&gt;AD536),AH536-AD536,0))</f>
        <v>0</v>
      </c>
      <c r="W536" s="7" t="str">
        <f aca="false">IF(L536="","",VALUE(LEFT(L536,FIND("/",L536)-1)))</f>
        <v/>
      </c>
      <c r="X536" s="7" t="str">
        <f aca="false">IF(L536="","",VALUE(MID(L536,FIND("/",L536)+1,FIND("/",L536,FIND("/",L536)+1)-FIND("/",L536)-1)))</f>
        <v/>
      </c>
      <c r="Y536" s="7" t="str">
        <f aca="false">IF(L536="","",VALUE(MID(L536,FIND("/",L536,FIND("/",L536)+1)+1,LEN(L536)-FIND("/",L536,FIND("/",L536)+1))))</f>
        <v/>
      </c>
      <c r="Z536" s="7" t="str">
        <f aca="false">IF(OR(L536="",W536=""),"",IFERROR(INDEX('لیست‌ها'!$Q$3:$Q$53,MATCH(W536,'لیست‌ها'!$P$3:$P$53,0))+IF(X536&lt;=6,(X536-1)*31+Y536,IF(X536&lt;=11,186+(X536-7)*30+Y536,336+Y536))-1,""))</f>
        <v/>
      </c>
      <c r="AA536" s="7" t="str">
        <f aca="false">IF(H536="","",VALUE(LEFT(H536,FIND("/",H536)-1)))</f>
        <v/>
      </c>
      <c r="AB536" s="7" t="str">
        <f aca="false">IF(H536="","",VALUE(MID(H536,FIND("/",H536)+1,FIND("/",H536,FIND("/",H536)+1)-FIND("/",H536)-1)))</f>
        <v/>
      </c>
      <c r="AC536" s="7" t="str">
        <f aca="false">IF(H536="","",VALUE(MID(H536,FIND("/",H536,FIND("/",H536)+1)+1,LEN(H536)-FIND("/",H536,FIND("/",H536)+1))))</f>
        <v/>
      </c>
      <c r="AD536" s="7" t="str">
        <f aca="false">IF(OR(H536="",AA536=""),"",IFERROR(INDEX('لیست‌ها'!$Q$3:$Q$53,MATCH(AA536,'لیست‌ها'!$P$3:$P$53,0))+IF(AB536&lt;=6,(AB536-1)*31+AC536,IF(AB536&lt;=11,186+(AB536-7)*30+AC536,336+AC536))-1,""))</f>
        <v/>
      </c>
      <c r="AE536" s="7" t="str">
        <f aca="false">IF(P536="","",VALUE(LEFT(P536,FIND("/",P536)-1)))</f>
        <v/>
      </c>
      <c r="AF536" s="7" t="str">
        <f aca="false">IF(P536="","",VALUE(MID(P536,FIND("/",P536)+1,FIND("/",P536,FIND("/",P536)+1)-FIND("/",P536)-1)))</f>
        <v/>
      </c>
      <c r="AG536" s="7" t="str">
        <f aca="false">IF(P536="","",VALUE(MID(P536,FIND("/",P536,FIND("/",P536)+1)+1,LEN(P536)-FIND("/",P536,FIND("/",P536)+1))))</f>
        <v/>
      </c>
      <c r="AH536" s="7" t="str">
        <f aca="false">IF(OR(P536="",AE536=""),"",IFERROR(INDEX('لیست‌ها'!$Q$3:$Q$53,MATCH(AE536,'لیست‌ها'!$P$3:$P$53,0))+IF(AF536&lt;=6,(AF536-1)*31+AG536,IF(AF536&lt;=11,186+(AF536-7)*30+AG536,336+AG536))-1,""))</f>
        <v/>
      </c>
      <c r="AI536" s="7" t="str">
        <f aca="false">IF(W536="","",W536&amp;"-"&amp;TEXT(X536,"00"))</f>
        <v/>
      </c>
      <c r="AJ536" s="7" t="str">
        <f aca="false">IF(W536="","",W536*12+X536)</f>
        <v/>
      </c>
      <c r="AK536" s="7" t="str">
        <f aca="false">IF(U536="تاخیر",V536+ROW()/100000,"")</f>
        <v/>
      </c>
    </row>
    <row r="537" customFormat="false" ht="15" hidden="false" customHeight="false" outlineLevel="0" collapsed="false">
      <c r="A537" s="7" t="str">
        <f aca="false">IF(B537="","",ROW()-3)</f>
        <v/>
      </c>
      <c r="B537" s="8"/>
      <c r="C537" s="8"/>
      <c r="D537" s="8"/>
      <c r="E537" s="9"/>
      <c r="F537" s="9"/>
      <c r="G537" s="8"/>
      <c r="H537" s="8"/>
      <c r="I537" s="8"/>
      <c r="J537" s="9"/>
      <c r="K537" s="8"/>
      <c r="L537" s="8"/>
      <c r="M537" s="8"/>
      <c r="N537" s="8"/>
      <c r="O537" s="8"/>
      <c r="P537" s="8"/>
      <c r="Q537" s="8"/>
      <c r="R537" s="9"/>
      <c r="S537" s="8"/>
      <c r="T537" s="9"/>
      <c r="U537" s="10" t="str">
        <f aca="true">IF(B537="","",IF(OR(P537&lt;&gt;"",I537="می‌باشد"),"بسته",IF(AND(L537&lt;&gt;"",W537=""),"خطای فرمت تاریخ ایجاد",IF(AND(H537&lt;&gt;"",AA537=""),"خطای فرمت مهلت",IF(AND(H537&lt;&gt;"",AD537&lt;&gt;"",TODAY()&gt;AD537),"تاخیر",IF(L537&lt;&gt;"","در حال انجام",""))))))</f>
        <v/>
      </c>
      <c r="V537" s="7" t="n">
        <f aca="true">IF(U537="تاخیر",TODAY()-AD537,IF(AND(U537="بسته",AH537&lt;&gt;"",AD537&lt;&gt;"",AH537&gt;AD537),AH537-AD537,0))</f>
        <v>0</v>
      </c>
      <c r="W537" s="7" t="str">
        <f aca="false">IF(L537="","",VALUE(LEFT(L537,FIND("/",L537)-1)))</f>
        <v/>
      </c>
      <c r="X537" s="7" t="str">
        <f aca="false">IF(L537="","",VALUE(MID(L537,FIND("/",L537)+1,FIND("/",L537,FIND("/",L537)+1)-FIND("/",L537)-1)))</f>
        <v/>
      </c>
      <c r="Y537" s="7" t="str">
        <f aca="false">IF(L537="","",VALUE(MID(L537,FIND("/",L537,FIND("/",L537)+1)+1,LEN(L537)-FIND("/",L537,FIND("/",L537)+1))))</f>
        <v/>
      </c>
      <c r="Z537" s="7" t="str">
        <f aca="false">IF(OR(L537="",W537=""),"",IFERROR(INDEX('لیست‌ها'!$Q$3:$Q$53,MATCH(W537,'لیست‌ها'!$P$3:$P$53,0))+IF(X537&lt;=6,(X537-1)*31+Y537,IF(X537&lt;=11,186+(X537-7)*30+Y537,336+Y537))-1,""))</f>
        <v/>
      </c>
      <c r="AA537" s="7" t="str">
        <f aca="false">IF(H537="","",VALUE(LEFT(H537,FIND("/",H537)-1)))</f>
        <v/>
      </c>
      <c r="AB537" s="7" t="str">
        <f aca="false">IF(H537="","",VALUE(MID(H537,FIND("/",H537)+1,FIND("/",H537,FIND("/",H537)+1)-FIND("/",H537)-1)))</f>
        <v/>
      </c>
      <c r="AC537" s="7" t="str">
        <f aca="false">IF(H537="","",VALUE(MID(H537,FIND("/",H537,FIND("/",H537)+1)+1,LEN(H537)-FIND("/",H537,FIND("/",H537)+1))))</f>
        <v/>
      </c>
      <c r="AD537" s="7" t="str">
        <f aca="false">IF(OR(H537="",AA537=""),"",IFERROR(INDEX('لیست‌ها'!$Q$3:$Q$53,MATCH(AA537,'لیست‌ها'!$P$3:$P$53,0))+IF(AB537&lt;=6,(AB537-1)*31+AC537,IF(AB537&lt;=11,186+(AB537-7)*30+AC537,336+AC537))-1,""))</f>
        <v/>
      </c>
      <c r="AE537" s="7" t="str">
        <f aca="false">IF(P537="","",VALUE(LEFT(P537,FIND("/",P537)-1)))</f>
        <v/>
      </c>
      <c r="AF537" s="7" t="str">
        <f aca="false">IF(P537="","",VALUE(MID(P537,FIND("/",P537)+1,FIND("/",P537,FIND("/",P537)+1)-FIND("/",P537)-1)))</f>
        <v/>
      </c>
      <c r="AG537" s="7" t="str">
        <f aca="false">IF(P537="","",VALUE(MID(P537,FIND("/",P537,FIND("/",P537)+1)+1,LEN(P537)-FIND("/",P537,FIND("/",P537)+1))))</f>
        <v/>
      </c>
      <c r="AH537" s="7" t="str">
        <f aca="false">IF(OR(P537="",AE537=""),"",IFERROR(INDEX('لیست‌ها'!$Q$3:$Q$53,MATCH(AE537,'لیست‌ها'!$P$3:$P$53,0))+IF(AF537&lt;=6,(AF537-1)*31+AG537,IF(AF537&lt;=11,186+(AF537-7)*30+AG537,336+AG537))-1,""))</f>
        <v/>
      </c>
      <c r="AI537" s="7" t="str">
        <f aca="false">IF(W537="","",W537&amp;"-"&amp;TEXT(X537,"00"))</f>
        <v/>
      </c>
      <c r="AJ537" s="7" t="str">
        <f aca="false">IF(W537="","",W537*12+X537)</f>
        <v/>
      </c>
      <c r="AK537" s="7" t="str">
        <f aca="false">IF(U537="تاخیر",V537+ROW()/100000,"")</f>
        <v/>
      </c>
    </row>
    <row r="538" customFormat="false" ht="15" hidden="false" customHeight="false" outlineLevel="0" collapsed="false">
      <c r="A538" s="7" t="str">
        <f aca="false">IF(B538="","",ROW()-3)</f>
        <v/>
      </c>
      <c r="B538" s="8"/>
      <c r="C538" s="8"/>
      <c r="D538" s="8"/>
      <c r="E538" s="9"/>
      <c r="F538" s="9"/>
      <c r="G538" s="8"/>
      <c r="H538" s="8"/>
      <c r="I538" s="8"/>
      <c r="J538" s="9"/>
      <c r="K538" s="8"/>
      <c r="L538" s="8"/>
      <c r="M538" s="8"/>
      <c r="N538" s="8"/>
      <c r="O538" s="8"/>
      <c r="P538" s="8"/>
      <c r="Q538" s="8"/>
      <c r="R538" s="9"/>
      <c r="S538" s="8"/>
      <c r="T538" s="9"/>
      <c r="U538" s="10" t="str">
        <f aca="true">IF(B538="","",IF(OR(P538&lt;&gt;"",I538="می‌باشد"),"بسته",IF(AND(L538&lt;&gt;"",W538=""),"خطای فرمت تاریخ ایجاد",IF(AND(H538&lt;&gt;"",AA538=""),"خطای فرمت مهلت",IF(AND(H538&lt;&gt;"",AD538&lt;&gt;"",TODAY()&gt;AD538),"تاخیر",IF(L538&lt;&gt;"","در حال انجام",""))))))</f>
        <v/>
      </c>
      <c r="V538" s="7" t="n">
        <f aca="true">IF(U538="تاخیر",TODAY()-AD538,IF(AND(U538="بسته",AH538&lt;&gt;"",AD538&lt;&gt;"",AH538&gt;AD538),AH538-AD538,0))</f>
        <v>0</v>
      </c>
      <c r="W538" s="7" t="str">
        <f aca="false">IF(L538="","",VALUE(LEFT(L538,FIND("/",L538)-1)))</f>
        <v/>
      </c>
      <c r="X538" s="7" t="str">
        <f aca="false">IF(L538="","",VALUE(MID(L538,FIND("/",L538)+1,FIND("/",L538,FIND("/",L538)+1)-FIND("/",L538)-1)))</f>
        <v/>
      </c>
      <c r="Y538" s="7" t="str">
        <f aca="false">IF(L538="","",VALUE(MID(L538,FIND("/",L538,FIND("/",L538)+1)+1,LEN(L538)-FIND("/",L538,FIND("/",L538)+1))))</f>
        <v/>
      </c>
      <c r="Z538" s="7" t="str">
        <f aca="false">IF(OR(L538="",W538=""),"",IFERROR(INDEX('لیست‌ها'!$Q$3:$Q$53,MATCH(W538,'لیست‌ها'!$P$3:$P$53,0))+IF(X538&lt;=6,(X538-1)*31+Y538,IF(X538&lt;=11,186+(X538-7)*30+Y538,336+Y538))-1,""))</f>
        <v/>
      </c>
      <c r="AA538" s="7" t="str">
        <f aca="false">IF(H538="","",VALUE(LEFT(H538,FIND("/",H538)-1)))</f>
        <v/>
      </c>
      <c r="AB538" s="7" t="str">
        <f aca="false">IF(H538="","",VALUE(MID(H538,FIND("/",H538)+1,FIND("/",H538,FIND("/",H538)+1)-FIND("/",H538)-1)))</f>
        <v/>
      </c>
      <c r="AC538" s="7" t="str">
        <f aca="false">IF(H538="","",VALUE(MID(H538,FIND("/",H538,FIND("/",H538)+1)+1,LEN(H538)-FIND("/",H538,FIND("/",H538)+1))))</f>
        <v/>
      </c>
      <c r="AD538" s="7" t="str">
        <f aca="false">IF(OR(H538="",AA538=""),"",IFERROR(INDEX('لیست‌ها'!$Q$3:$Q$53,MATCH(AA538,'لیست‌ها'!$P$3:$P$53,0))+IF(AB538&lt;=6,(AB538-1)*31+AC538,IF(AB538&lt;=11,186+(AB538-7)*30+AC538,336+AC538))-1,""))</f>
        <v/>
      </c>
      <c r="AE538" s="7" t="str">
        <f aca="false">IF(P538="","",VALUE(LEFT(P538,FIND("/",P538)-1)))</f>
        <v/>
      </c>
      <c r="AF538" s="7" t="str">
        <f aca="false">IF(P538="","",VALUE(MID(P538,FIND("/",P538)+1,FIND("/",P538,FIND("/",P538)+1)-FIND("/",P538)-1)))</f>
        <v/>
      </c>
      <c r="AG538" s="7" t="str">
        <f aca="false">IF(P538="","",VALUE(MID(P538,FIND("/",P538,FIND("/",P538)+1)+1,LEN(P538)-FIND("/",P538,FIND("/",P538)+1))))</f>
        <v/>
      </c>
      <c r="AH538" s="7" t="str">
        <f aca="false">IF(OR(P538="",AE538=""),"",IFERROR(INDEX('لیست‌ها'!$Q$3:$Q$53,MATCH(AE538,'لیست‌ها'!$P$3:$P$53,0))+IF(AF538&lt;=6,(AF538-1)*31+AG538,IF(AF538&lt;=11,186+(AF538-7)*30+AG538,336+AG538))-1,""))</f>
        <v/>
      </c>
      <c r="AI538" s="7" t="str">
        <f aca="false">IF(W538="","",W538&amp;"-"&amp;TEXT(X538,"00"))</f>
        <v/>
      </c>
      <c r="AJ538" s="7" t="str">
        <f aca="false">IF(W538="","",W538*12+X538)</f>
        <v/>
      </c>
      <c r="AK538" s="7" t="str">
        <f aca="false">IF(U538="تاخیر",V538+ROW()/100000,"")</f>
        <v/>
      </c>
    </row>
    <row r="539" customFormat="false" ht="15" hidden="false" customHeight="false" outlineLevel="0" collapsed="false">
      <c r="A539" s="7" t="str">
        <f aca="false">IF(B539="","",ROW()-3)</f>
        <v/>
      </c>
      <c r="B539" s="8"/>
      <c r="C539" s="8"/>
      <c r="D539" s="8"/>
      <c r="E539" s="9"/>
      <c r="F539" s="9"/>
      <c r="G539" s="8"/>
      <c r="H539" s="8"/>
      <c r="I539" s="8"/>
      <c r="J539" s="9"/>
      <c r="K539" s="8"/>
      <c r="L539" s="8"/>
      <c r="M539" s="8"/>
      <c r="N539" s="8"/>
      <c r="O539" s="8"/>
      <c r="P539" s="8"/>
      <c r="Q539" s="8"/>
      <c r="R539" s="9"/>
      <c r="S539" s="8"/>
      <c r="T539" s="9"/>
      <c r="U539" s="10" t="str">
        <f aca="true">IF(B539="","",IF(OR(P539&lt;&gt;"",I539="می‌باشد"),"بسته",IF(AND(L539&lt;&gt;"",W539=""),"خطای فرمت تاریخ ایجاد",IF(AND(H539&lt;&gt;"",AA539=""),"خطای فرمت مهلت",IF(AND(H539&lt;&gt;"",AD539&lt;&gt;"",TODAY()&gt;AD539),"تاخیر",IF(L539&lt;&gt;"","در حال انجام",""))))))</f>
        <v/>
      </c>
      <c r="V539" s="7" t="n">
        <f aca="true">IF(U539="تاخیر",TODAY()-AD539,IF(AND(U539="بسته",AH539&lt;&gt;"",AD539&lt;&gt;"",AH539&gt;AD539),AH539-AD539,0))</f>
        <v>0</v>
      </c>
      <c r="W539" s="7" t="str">
        <f aca="false">IF(L539="","",VALUE(LEFT(L539,FIND("/",L539)-1)))</f>
        <v/>
      </c>
      <c r="X539" s="7" t="str">
        <f aca="false">IF(L539="","",VALUE(MID(L539,FIND("/",L539)+1,FIND("/",L539,FIND("/",L539)+1)-FIND("/",L539)-1)))</f>
        <v/>
      </c>
      <c r="Y539" s="7" t="str">
        <f aca="false">IF(L539="","",VALUE(MID(L539,FIND("/",L539,FIND("/",L539)+1)+1,LEN(L539)-FIND("/",L539,FIND("/",L539)+1))))</f>
        <v/>
      </c>
      <c r="Z539" s="7" t="str">
        <f aca="false">IF(OR(L539="",W539=""),"",IFERROR(INDEX('لیست‌ها'!$Q$3:$Q$53,MATCH(W539,'لیست‌ها'!$P$3:$P$53,0))+IF(X539&lt;=6,(X539-1)*31+Y539,IF(X539&lt;=11,186+(X539-7)*30+Y539,336+Y539))-1,""))</f>
        <v/>
      </c>
      <c r="AA539" s="7" t="str">
        <f aca="false">IF(H539="","",VALUE(LEFT(H539,FIND("/",H539)-1)))</f>
        <v/>
      </c>
      <c r="AB539" s="7" t="str">
        <f aca="false">IF(H539="","",VALUE(MID(H539,FIND("/",H539)+1,FIND("/",H539,FIND("/",H539)+1)-FIND("/",H539)-1)))</f>
        <v/>
      </c>
      <c r="AC539" s="7" t="str">
        <f aca="false">IF(H539="","",VALUE(MID(H539,FIND("/",H539,FIND("/",H539)+1)+1,LEN(H539)-FIND("/",H539,FIND("/",H539)+1))))</f>
        <v/>
      </c>
      <c r="AD539" s="7" t="str">
        <f aca="false">IF(OR(H539="",AA539=""),"",IFERROR(INDEX('لیست‌ها'!$Q$3:$Q$53,MATCH(AA539,'لیست‌ها'!$P$3:$P$53,0))+IF(AB539&lt;=6,(AB539-1)*31+AC539,IF(AB539&lt;=11,186+(AB539-7)*30+AC539,336+AC539))-1,""))</f>
        <v/>
      </c>
      <c r="AE539" s="7" t="str">
        <f aca="false">IF(P539="","",VALUE(LEFT(P539,FIND("/",P539)-1)))</f>
        <v/>
      </c>
      <c r="AF539" s="7" t="str">
        <f aca="false">IF(P539="","",VALUE(MID(P539,FIND("/",P539)+1,FIND("/",P539,FIND("/",P539)+1)-FIND("/",P539)-1)))</f>
        <v/>
      </c>
      <c r="AG539" s="7" t="str">
        <f aca="false">IF(P539="","",VALUE(MID(P539,FIND("/",P539,FIND("/",P539)+1)+1,LEN(P539)-FIND("/",P539,FIND("/",P539)+1))))</f>
        <v/>
      </c>
      <c r="AH539" s="7" t="str">
        <f aca="false">IF(OR(P539="",AE539=""),"",IFERROR(INDEX('لیست‌ها'!$Q$3:$Q$53,MATCH(AE539,'لیست‌ها'!$P$3:$P$53,0))+IF(AF539&lt;=6,(AF539-1)*31+AG539,IF(AF539&lt;=11,186+(AF539-7)*30+AG539,336+AG539))-1,""))</f>
        <v/>
      </c>
      <c r="AI539" s="7" t="str">
        <f aca="false">IF(W539="","",W539&amp;"-"&amp;TEXT(X539,"00"))</f>
        <v/>
      </c>
      <c r="AJ539" s="7" t="str">
        <f aca="false">IF(W539="","",W539*12+X539)</f>
        <v/>
      </c>
      <c r="AK539" s="7" t="str">
        <f aca="false">IF(U539="تاخیر",V539+ROW()/100000,"")</f>
        <v/>
      </c>
    </row>
    <row r="540" customFormat="false" ht="15" hidden="false" customHeight="false" outlineLevel="0" collapsed="false">
      <c r="A540" s="7" t="str">
        <f aca="false">IF(B540="","",ROW()-3)</f>
        <v/>
      </c>
      <c r="B540" s="8"/>
      <c r="C540" s="8"/>
      <c r="D540" s="8"/>
      <c r="E540" s="9"/>
      <c r="F540" s="9"/>
      <c r="G540" s="8"/>
      <c r="H540" s="8"/>
      <c r="I540" s="8"/>
      <c r="J540" s="9"/>
      <c r="K540" s="8"/>
      <c r="L540" s="8"/>
      <c r="M540" s="8"/>
      <c r="N540" s="8"/>
      <c r="O540" s="8"/>
      <c r="P540" s="8"/>
      <c r="Q540" s="8"/>
      <c r="R540" s="9"/>
      <c r="S540" s="8"/>
      <c r="T540" s="9"/>
      <c r="U540" s="10" t="str">
        <f aca="true">IF(B540="","",IF(OR(P540&lt;&gt;"",I540="می‌باشد"),"بسته",IF(AND(L540&lt;&gt;"",W540=""),"خطای فرمت تاریخ ایجاد",IF(AND(H540&lt;&gt;"",AA540=""),"خطای فرمت مهلت",IF(AND(H540&lt;&gt;"",AD540&lt;&gt;"",TODAY()&gt;AD540),"تاخیر",IF(L540&lt;&gt;"","در حال انجام",""))))))</f>
        <v/>
      </c>
      <c r="V540" s="7" t="n">
        <f aca="true">IF(U540="تاخیر",TODAY()-AD540,IF(AND(U540="بسته",AH540&lt;&gt;"",AD540&lt;&gt;"",AH540&gt;AD540),AH540-AD540,0))</f>
        <v>0</v>
      </c>
      <c r="W540" s="7" t="str">
        <f aca="false">IF(L540="","",VALUE(LEFT(L540,FIND("/",L540)-1)))</f>
        <v/>
      </c>
      <c r="X540" s="7" t="str">
        <f aca="false">IF(L540="","",VALUE(MID(L540,FIND("/",L540)+1,FIND("/",L540,FIND("/",L540)+1)-FIND("/",L540)-1)))</f>
        <v/>
      </c>
      <c r="Y540" s="7" t="str">
        <f aca="false">IF(L540="","",VALUE(MID(L540,FIND("/",L540,FIND("/",L540)+1)+1,LEN(L540)-FIND("/",L540,FIND("/",L540)+1))))</f>
        <v/>
      </c>
      <c r="Z540" s="7" t="str">
        <f aca="false">IF(OR(L540="",W540=""),"",IFERROR(INDEX('لیست‌ها'!$Q$3:$Q$53,MATCH(W540,'لیست‌ها'!$P$3:$P$53,0))+IF(X540&lt;=6,(X540-1)*31+Y540,IF(X540&lt;=11,186+(X540-7)*30+Y540,336+Y540))-1,""))</f>
        <v/>
      </c>
      <c r="AA540" s="7" t="str">
        <f aca="false">IF(H540="","",VALUE(LEFT(H540,FIND("/",H540)-1)))</f>
        <v/>
      </c>
      <c r="AB540" s="7" t="str">
        <f aca="false">IF(H540="","",VALUE(MID(H540,FIND("/",H540)+1,FIND("/",H540,FIND("/",H540)+1)-FIND("/",H540)-1)))</f>
        <v/>
      </c>
      <c r="AC540" s="7" t="str">
        <f aca="false">IF(H540="","",VALUE(MID(H540,FIND("/",H540,FIND("/",H540)+1)+1,LEN(H540)-FIND("/",H540,FIND("/",H540)+1))))</f>
        <v/>
      </c>
      <c r="AD540" s="7" t="str">
        <f aca="false">IF(OR(H540="",AA540=""),"",IFERROR(INDEX('لیست‌ها'!$Q$3:$Q$53,MATCH(AA540,'لیست‌ها'!$P$3:$P$53,0))+IF(AB540&lt;=6,(AB540-1)*31+AC540,IF(AB540&lt;=11,186+(AB540-7)*30+AC540,336+AC540))-1,""))</f>
        <v/>
      </c>
      <c r="AE540" s="7" t="str">
        <f aca="false">IF(P540="","",VALUE(LEFT(P540,FIND("/",P540)-1)))</f>
        <v/>
      </c>
      <c r="AF540" s="7" t="str">
        <f aca="false">IF(P540="","",VALUE(MID(P540,FIND("/",P540)+1,FIND("/",P540,FIND("/",P540)+1)-FIND("/",P540)-1)))</f>
        <v/>
      </c>
      <c r="AG540" s="7" t="str">
        <f aca="false">IF(P540="","",VALUE(MID(P540,FIND("/",P540,FIND("/",P540)+1)+1,LEN(P540)-FIND("/",P540,FIND("/",P540)+1))))</f>
        <v/>
      </c>
      <c r="AH540" s="7" t="str">
        <f aca="false">IF(OR(P540="",AE540=""),"",IFERROR(INDEX('لیست‌ها'!$Q$3:$Q$53,MATCH(AE540,'لیست‌ها'!$P$3:$P$53,0))+IF(AF540&lt;=6,(AF540-1)*31+AG540,IF(AF540&lt;=11,186+(AF540-7)*30+AG540,336+AG540))-1,""))</f>
        <v/>
      </c>
      <c r="AI540" s="7" t="str">
        <f aca="false">IF(W540="","",W540&amp;"-"&amp;TEXT(X540,"00"))</f>
        <v/>
      </c>
      <c r="AJ540" s="7" t="str">
        <f aca="false">IF(W540="","",W540*12+X540)</f>
        <v/>
      </c>
      <c r="AK540" s="7" t="str">
        <f aca="false">IF(U540="تاخیر",V540+ROW()/100000,"")</f>
        <v/>
      </c>
    </row>
    <row r="541" customFormat="false" ht="15" hidden="false" customHeight="false" outlineLevel="0" collapsed="false">
      <c r="A541" s="7" t="str">
        <f aca="false">IF(B541="","",ROW()-3)</f>
        <v/>
      </c>
      <c r="B541" s="8"/>
      <c r="C541" s="8"/>
      <c r="D541" s="8"/>
      <c r="E541" s="9"/>
      <c r="F541" s="9"/>
      <c r="G541" s="8"/>
      <c r="H541" s="8"/>
      <c r="I541" s="8"/>
      <c r="J541" s="9"/>
      <c r="K541" s="8"/>
      <c r="L541" s="8"/>
      <c r="M541" s="8"/>
      <c r="N541" s="8"/>
      <c r="O541" s="8"/>
      <c r="P541" s="8"/>
      <c r="Q541" s="8"/>
      <c r="R541" s="9"/>
      <c r="S541" s="8"/>
      <c r="T541" s="9"/>
      <c r="U541" s="10" t="str">
        <f aca="true">IF(B541="","",IF(OR(P541&lt;&gt;"",I541="می‌باشد"),"بسته",IF(AND(L541&lt;&gt;"",W541=""),"خطای فرمت تاریخ ایجاد",IF(AND(H541&lt;&gt;"",AA541=""),"خطای فرمت مهلت",IF(AND(H541&lt;&gt;"",AD541&lt;&gt;"",TODAY()&gt;AD541),"تاخیر",IF(L541&lt;&gt;"","در حال انجام",""))))))</f>
        <v/>
      </c>
      <c r="V541" s="7" t="n">
        <f aca="true">IF(U541="تاخیر",TODAY()-AD541,IF(AND(U541="بسته",AH541&lt;&gt;"",AD541&lt;&gt;"",AH541&gt;AD541),AH541-AD541,0))</f>
        <v>0</v>
      </c>
      <c r="W541" s="7" t="str">
        <f aca="false">IF(L541="","",VALUE(LEFT(L541,FIND("/",L541)-1)))</f>
        <v/>
      </c>
      <c r="X541" s="7" t="str">
        <f aca="false">IF(L541="","",VALUE(MID(L541,FIND("/",L541)+1,FIND("/",L541,FIND("/",L541)+1)-FIND("/",L541)-1)))</f>
        <v/>
      </c>
      <c r="Y541" s="7" t="str">
        <f aca="false">IF(L541="","",VALUE(MID(L541,FIND("/",L541,FIND("/",L541)+1)+1,LEN(L541)-FIND("/",L541,FIND("/",L541)+1))))</f>
        <v/>
      </c>
      <c r="Z541" s="7" t="str">
        <f aca="false">IF(OR(L541="",W541=""),"",IFERROR(INDEX('لیست‌ها'!$Q$3:$Q$53,MATCH(W541,'لیست‌ها'!$P$3:$P$53,0))+IF(X541&lt;=6,(X541-1)*31+Y541,IF(X541&lt;=11,186+(X541-7)*30+Y541,336+Y541))-1,""))</f>
        <v/>
      </c>
      <c r="AA541" s="7" t="str">
        <f aca="false">IF(H541="","",VALUE(LEFT(H541,FIND("/",H541)-1)))</f>
        <v/>
      </c>
      <c r="AB541" s="7" t="str">
        <f aca="false">IF(H541="","",VALUE(MID(H541,FIND("/",H541)+1,FIND("/",H541,FIND("/",H541)+1)-FIND("/",H541)-1)))</f>
        <v/>
      </c>
      <c r="AC541" s="7" t="str">
        <f aca="false">IF(H541="","",VALUE(MID(H541,FIND("/",H541,FIND("/",H541)+1)+1,LEN(H541)-FIND("/",H541,FIND("/",H541)+1))))</f>
        <v/>
      </c>
      <c r="AD541" s="7" t="str">
        <f aca="false">IF(OR(H541="",AA541=""),"",IFERROR(INDEX('لیست‌ها'!$Q$3:$Q$53,MATCH(AA541,'لیست‌ها'!$P$3:$P$53,0))+IF(AB541&lt;=6,(AB541-1)*31+AC541,IF(AB541&lt;=11,186+(AB541-7)*30+AC541,336+AC541))-1,""))</f>
        <v/>
      </c>
      <c r="AE541" s="7" t="str">
        <f aca="false">IF(P541="","",VALUE(LEFT(P541,FIND("/",P541)-1)))</f>
        <v/>
      </c>
      <c r="AF541" s="7" t="str">
        <f aca="false">IF(P541="","",VALUE(MID(P541,FIND("/",P541)+1,FIND("/",P541,FIND("/",P541)+1)-FIND("/",P541)-1)))</f>
        <v/>
      </c>
      <c r="AG541" s="7" t="str">
        <f aca="false">IF(P541="","",VALUE(MID(P541,FIND("/",P541,FIND("/",P541)+1)+1,LEN(P541)-FIND("/",P541,FIND("/",P541)+1))))</f>
        <v/>
      </c>
      <c r="AH541" s="7" t="str">
        <f aca="false">IF(OR(P541="",AE541=""),"",IFERROR(INDEX('لیست‌ها'!$Q$3:$Q$53,MATCH(AE541,'لیست‌ها'!$P$3:$P$53,0))+IF(AF541&lt;=6,(AF541-1)*31+AG541,IF(AF541&lt;=11,186+(AF541-7)*30+AG541,336+AG541))-1,""))</f>
        <v/>
      </c>
      <c r="AI541" s="7" t="str">
        <f aca="false">IF(W541="","",W541&amp;"-"&amp;TEXT(X541,"00"))</f>
        <v/>
      </c>
      <c r="AJ541" s="7" t="str">
        <f aca="false">IF(W541="","",W541*12+X541)</f>
        <v/>
      </c>
      <c r="AK541" s="7" t="str">
        <f aca="false">IF(U541="تاخیر",V541+ROW()/100000,"")</f>
        <v/>
      </c>
    </row>
    <row r="542" customFormat="false" ht="15" hidden="false" customHeight="false" outlineLevel="0" collapsed="false">
      <c r="A542" s="7" t="str">
        <f aca="false">IF(B542="","",ROW()-3)</f>
        <v/>
      </c>
      <c r="B542" s="8"/>
      <c r="C542" s="8"/>
      <c r="D542" s="8"/>
      <c r="E542" s="9"/>
      <c r="F542" s="9"/>
      <c r="G542" s="8"/>
      <c r="H542" s="8"/>
      <c r="I542" s="8"/>
      <c r="J542" s="9"/>
      <c r="K542" s="8"/>
      <c r="L542" s="8"/>
      <c r="M542" s="8"/>
      <c r="N542" s="8"/>
      <c r="O542" s="8"/>
      <c r="P542" s="8"/>
      <c r="Q542" s="8"/>
      <c r="R542" s="9"/>
      <c r="S542" s="8"/>
      <c r="T542" s="9"/>
      <c r="U542" s="10" t="str">
        <f aca="true">IF(B542="","",IF(OR(P542&lt;&gt;"",I542="می‌باشد"),"بسته",IF(AND(L542&lt;&gt;"",W542=""),"خطای فرمت تاریخ ایجاد",IF(AND(H542&lt;&gt;"",AA542=""),"خطای فرمت مهلت",IF(AND(H542&lt;&gt;"",AD542&lt;&gt;"",TODAY()&gt;AD542),"تاخیر",IF(L542&lt;&gt;"","در حال انجام",""))))))</f>
        <v/>
      </c>
      <c r="V542" s="7" t="n">
        <f aca="true">IF(U542="تاخیر",TODAY()-AD542,IF(AND(U542="بسته",AH542&lt;&gt;"",AD542&lt;&gt;"",AH542&gt;AD542),AH542-AD542,0))</f>
        <v>0</v>
      </c>
      <c r="W542" s="7" t="str">
        <f aca="false">IF(L542="","",VALUE(LEFT(L542,FIND("/",L542)-1)))</f>
        <v/>
      </c>
      <c r="X542" s="7" t="str">
        <f aca="false">IF(L542="","",VALUE(MID(L542,FIND("/",L542)+1,FIND("/",L542,FIND("/",L542)+1)-FIND("/",L542)-1)))</f>
        <v/>
      </c>
      <c r="Y542" s="7" t="str">
        <f aca="false">IF(L542="","",VALUE(MID(L542,FIND("/",L542,FIND("/",L542)+1)+1,LEN(L542)-FIND("/",L542,FIND("/",L542)+1))))</f>
        <v/>
      </c>
      <c r="Z542" s="7" t="str">
        <f aca="false">IF(OR(L542="",W542=""),"",IFERROR(INDEX('لیست‌ها'!$Q$3:$Q$53,MATCH(W542,'لیست‌ها'!$P$3:$P$53,0))+IF(X542&lt;=6,(X542-1)*31+Y542,IF(X542&lt;=11,186+(X542-7)*30+Y542,336+Y542))-1,""))</f>
        <v/>
      </c>
      <c r="AA542" s="7" t="str">
        <f aca="false">IF(H542="","",VALUE(LEFT(H542,FIND("/",H542)-1)))</f>
        <v/>
      </c>
      <c r="AB542" s="7" t="str">
        <f aca="false">IF(H542="","",VALUE(MID(H542,FIND("/",H542)+1,FIND("/",H542,FIND("/",H542)+1)-FIND("/",H542)-1)))</f>
        <v/>
      </c>
      <c r="AC542" s="7" t="str">
        <f aca="false">IF(H542="","",VALUE(MID(H542,FIND("/",H542,FIND("/",H542)+1)+1,LEN(H542)-FIND("/",H542,FIND("/",H542)+1))))</f>
        <v/>
      </c>
      <c r="AD542" s="7" t="str">
        <f aca="false">IF(OR(H542="",AA542=""),"",IFERROR(INDEX('لیست‌ها'!$Q$3:$Q$53,MATCH(AA542,'لیست‌ها'!$P$3:$P$53,0))+IF(AB542&lt;=6,(AB542-1)*31+AC542,IF(AB542&lt;=11,186+(AB542-7)*30+AC542,336+AC542))-1,""))</f>
        <v/>
      </c>
      <c r="AE542" s="7" t="str">
        <f aca="false">IF(P542="","",VALUE(LEFT(P542,FIND("/",P542)-1)))</f>
        <v/>
      </c>
      <c r="AF542" s="7" t="str">
        <f aca="false">IF(P542="","",VALUE(MID(P542,FIND("/",P542)+1,FIND("/",P542,FIND("/",P542)+1)-FIND("/",P542)-1)))</f>
        <v/>
      </c>
      <c r="AG542" s="7" t="str">
        <f aca="false">IF(P542="","",VALUE(MID(P542,FIND("/",P542,FIND("/",P542)+1)+1,LEN(P542)-FIND("/",P542,FIND("/",P542)+1))))</f>
        <v/>
      </c>
      <c r="AH542" s="7" t="str">
        <f aca="false">IF(OR(P542="",AE542=""),"",IFERROR(INDEX('لیست‌ها'!$Q$3:$Q$53,MATCH(AE542,'لیست‌ها'!$P$3:$P$53,0))+IF(AF542&lt;=6,(AF542-1)*31+AG542,IF(AF542&lt;=11,186+(AF542-7)*30+AG542,336+AG542))-1,""))</f>
        <v/>
      </c>
      <c r="AI542" s="7" t="str">
        <f aca="false">IF(W542="","",W542&amp;"-"&amp;TEXT(X542,"00"))</f>
        <v/>
      </c>
      <c r="AJ542" s="7" t="str">
        <f aca="false">IF(W542="","",W542*12+X542)</f>
        <v/>
      </c>
      <c r="AK542" s="7" t="str">
        <f aca="false">IF(U542="تاخیر",V542+ROW()/100000,"")</f>
        <v/>
      </c>
    </row>
    <row r="543" customFormat="false" ht="15" hidden="false" customHeight="false" outlineLevel="0" collapsed="false">
      <c r="A543" s="7" t="str">
        <f aca="false">IF(B543="","",ROW()-3)</f>
        <v/>
      </c>
      <c r="B543" s="8"/>
      <c r="C543" s="8"/>
      <c r="D543" s="8"/>
      <c r="E543" s="9"/>
      <c r="F543" s="9"/>
      <c r="G543" s="8"/>
      <c r="H543" s="8"/>
      <c r="I543" s="8"/>
      <c r="J543" s="9"/>
      <c r="K543" s="8"/>
      <c r="L543" s="8"/>
      <c r="M543" s="8"/>
      <c r="N543" s="8"/>
      <c r="O543" s="8"/>
      <c r="P543" s="8"/>
      <c r="Q543" s="8"/>
      <c r="R543" s="9"/>
      <c r="S543" s="8"/>
      <c r="T543" s="9"/>
      <c r="U543" s="10" t="str">
        <f aca="true">IF(B543="","",IF(OR(P543&lt;&gt;"",I543="می‌باشد"),"بسته",IF(AND(L543&lt;&gt;"",W543=""),"خطای فرمت تاریخ ایجاد",IF(AND(H543&lt;&gt;"",AA543=""),"خطای فرمت مهلت",IF(AND(H543&lt;&gt;"",AD543&lt;&gt;"",TODAY()&gt;AD543),"تاخیر",IF(L543&lt;&gt;"","در حال انجام",""))))))</f>
        <v/>
      </c>
      <c r="V543" s="7" t="n">
        <f aca="true">IF(U543="تاخیر",TODAY()-AD543,IF(AND(U543="بسته",AH543&lt;&gt;"",AD543&lt;&gt;"",AH543&gt;AD543),AH543-AD543,0))</f>
        <v>0</v>
      </c>
      <c r="W543" s="7" t="str">
        <f aca="false">IF(L543="","",VALUE(LEFT(L543,FIND("/",L543)-1)))</f>
        <v/>
      </c>
      <c r="X543" s="7" t="str">
        <f aca="false">IF(L543="","",VALUE(MID(L543,FIND("/",L543)+1,FIND("/",L543,FIND("/",L543)+1)-FIND("/",L543)-1)))</f>
        <v/>
      </c>
      <c r="Y543" s="7" t="str">
        <f aca="false">IF(L543="","",VALUE(MID(L543,FIND("/",L543,FIND("/",L543)+1)+1,LEN(L543)-FIND("/",L543,FIND("/",L543)+1))))</f>
        <v/>
      </c>
      <c r="Z543" s="7" t="str">
        <f aca="false">IF(OR(L543="",W543=""),"",IFERROR(INDEX('لیست‌ها'!$Q$3:$Q$53,MATCH(W543,'لیست‌ها'!$P$3:$P$53,0))+IF(X543&lt;=6,(X543-1)*31+Y543,IF(X543&lt;=11,186+(X543-7)*30+Y543,336+Y543))-1,""))</f>
        <v/>
      </c>
      <c r="AA543" s="7" t="str">
        <f aca="false">IF(H543="","",VALUE(LEFT(H543,FIND("/",H543)-1)))</f>
        <v/>
      </c>
      <c r="AB543" s="7" t="str">
        <f aca="false">IF(H543="","",VALUE(MID(H543,FIND("/",H543)+1,FIND("/",H543,FIND("/",H543)+1)-FIND("/",H543)-1)))</f>
        <v/>
      </c>
      <c r="AC543" s="7" t="str">
        <f aca="false">IF(H543="","",VALUE(MID(H543,FIND("/",H543,FIND("/",H543)+1)+1,LEN(H543)-FIND("/",H543,FIND("/",H543)+1))))</f>
        <v/>
      </c>
      <c r="AD543" s="7" t="str">
        <f aca="false">IF(OR(H543="",AA543=""),"",IFERROR(INDEX('لیست‌ها'!$Q$3:$Q$53,MATCH(AA543,'لیست‌ها'!$P$3:$P$53,0))+IF(AB543&lt;=6,(AB543-1)*31+AC543,IF(AB543&lt;=11,186+(AB543-7)*30+AC543,336+AC543))-1,""))</f>
        <v/>
      </c>
      <c r="AE543" s="7" t="str">
        <f aca="false">IF(P543="","",VALUE(LEFT(P543,FIND("/",P543)-1)))</f>
        <v/>
      </c>
      <c r="AF543" s="7" t="str">
        <f aca="false">IF(P543="","",VALUE(MID(P543,FIND("/",P543)+1,FIND("/",P543,FIND("/",P543)+1)-FIND("/",P543)-1)))</f>
        <v/>
      </c>
      <c r="AG543" s="7" t="str">
        <f aca="false">IF(P543="","",VALUE(MID(P543,FIND("/",P543,FIND("/",P543)+1)+1,LEN(P543)-FIND("/",P543,FIND("/",P543)+1))))</f>
        <v/>
      </c>
      <c r="AH543" s="7" t="str">
        <f aca="false">IF(OR(P543="",AE543=""),"",IFERROR(INDEX('لیست‌ها'!$Q$3:$Q$53,MATCH(AE543,'لیست‌ها'!$P$3:$P$53,0))+IF(AF543&lt;=6,(AF543-1)*31+AG543,IF(AF543&lt;=11,186+(AF543-7)*30+AG543,336+AG543))-1,""))</f>
        <v/>
      </c>
      <c r="AI543" s="7" t="str">
        <f aca="false">IF(W543="","",W543&amp;"-"&amp;TEXT(X543,"00"))</f>
        <v/>
      </c>
      <c r="AJ543" s="7" t="str">
        <f aca="false">IF(W543="","",W543*12+X543)</f>
        <v/>
      </c>
      <c r="AK543" s="7" t="str">
        <f aca="false">IF(U543="تاخیر",V543+ROW()/100000,"")</f>
        <v/>
      </c>
    </row>
    <row r="544" customFormat="false" ht="15" hidden="false" customHeight="false" outlineLevel="0" collapsed="false">
      <c r="A544" s="7" t="str">
        <f aca="false">IF(B544="","",ROW()-3)</f>
        <v/>
      </c>
      <c r="B544" s="8"/>
      <c r="C544" s="8"/>
      <c r="D544" s="8"/>
      <c r="E544" s="9"/>
      <c r="F544" s="9"/>
      <c r="G544" s="8"/>
      <c r="H544" s="8"/>
      <c r="I544" s="8"/>
      <c r="J544" s="9"/>
      <c r="K544" s="8"/>
      <c r="L544" s="8"/>
      <c r="M544" s="8"/>
      <c r="N544" s="8"/>
      <c r="O544" s="8"/>
      <c r="P544" s="8"/>
      <c r="Q544" s="8"/>
      <c r="R544" s="9"/>
      <c r="S544" s="8"/>
      <c r="T544" s="9"/>
      <c r="U544" s="10" t="str">
        <f aca="true">IF(B544="","",IF(OR(P544&lt;&gt;"",I544="می‌باشد"),"بسته",IF(AND(L544&lt;&gt;"",W544=""),"خطای فرمت تاریخ ایجاد",IF(AND(H544&lt;&gt;"",AA544=""),"خطای فرمت مهلت",IF(AND(H544&lt;&gt;"",AD544&lt;&gt;"",TODAY()&gt;AD544),"تاخیر",IF(L544&lt;&gt;"","در حال انجام",""))))))</f>
        <v/>
      </c>
      <c r="V544" s="7" t="n">
        <f aca="true">IF(U544="تاخیر",TODAY()-AD544,IF(AND(U544="بسته",AH544&lt;&gt;"",AD544&lt;&gt;"",AH544&gt;AD544),AH544-AD544,0))</f>
        <v>0</v>
      </c>
      <c r="W544" s="7" t="str">
        <f aca="false">IF(L544="","",VALUE(LEFT(L544,FIND("/",L544)-1)))</f>
        <v/>
      </c>
      <c r="X544" s="7" t="str">
        <f aca="false">IF(L544="","",VALUE(MID(L544,FIND("/",L544)+1,FIND("/",L544,FIND("/",L544)+1)-FIND("/",L544)-1)))</f>
        <v/>
      </c>
      <c r="Y544" s="7" t="str">
        <f aca="false">IF(L544="","",VALUE(MID(L544,FIND("/",L544,FIND("/",L544)+1)+1,LEN(L544)-FIND("/",L544,FIND("/",L544)+1))))</f>
        <v/>
      </c>
      <c r="Z544" s="7" t="str">
        <f aca="false">IF(OR(L544="",W544=""),"",IFERROR(INDEX('لیست‌ها'!$Q$3:$Q$53,MATCH(W544,'لیست‌ها'!$P$3:$P$53,0))+IF(X544&lt;=6,(X544-1)*31+Y544,IF(X544&lt;=11,186+(X544-7)*30+Y544,336+Y544))-1,""))</f>
        <v/>
      </c>
      <c r="AA544" s="7" t="str">
        <f aca="false">IF(H544="","",VALUE(LEFT(H544,FIND("/",H544)-1)))</f>
        <v/>
      </c>
      <c r="AB544" s="7" t="str">
        <f aca="false">IF(H544="","",VALUE(MID(H544,FIND("/",H544)+1,FIND("/",H544,FIND("/",H544)+1)-FIND("/",H544)-1)))</f>
        <v/>
      </c>
      <c r="AC544" s="7" t="str">
        <f aca="false">IF(H544="","",VALUE(MID(H544,FIND("/",H544,FIND("/",H544)+1)+1,LEN(H544)-FIND("/",H544,FIND("/",H544)+1))))</f>
        <v/>
      </c>
      <c r="AD544" s="7" t="str">
        <f aca="false">IF(OR(H544="",AA544=""),"",IFERROR(INDEX('لیست‌ها'!$Q$3:$Q$53,MATCH(AA544,'لیست‌ها'!$P$3:$P$53,0))+IF(AB544&lt;=6,(AB544-1)*31+AC544,IF(AB544&lt;=11,186+(AB544-7)*30+AC544,336+AC544))-1,""))</f>
        <v/>
      </c>
      <c r="AE544" s="7" t="str">
        <f aca="false">IF(P544="","",VALUE(LEFT(P544,FIND("/",P544)-1)))</f>
        <v/>
      </c>
      <c r="AF544" s="7" t="str">
        <f aca="false">IF(P544="","",VALUE(MID(P544,FIND("/",P544)+1,FIND("/",P544,FIND("/",P544)+1)-FIND("/",P544)-1)))</f>
        <v/>
      </c>
      <c r="AG544" s="7" t="str">
        <f aca="false">IF(P544="","",VALUE(MID(P544,FIND("/",P544,FIND("/",P544)+1)+1,LEN(P544)-FIND("/",P544,FIND("/",P544)+1))))</f>
        <v/>
      </c>
      <c r="AH544" s="7" t="str">
        <f aca="false">IF(OR(P544="",AE544=""),"",IFERROR(INDEX('لیست‌ها'!$Q$3:$Q$53,MATCH(AE544,'لیست‌ها'!$P$3:$P$53,0))+IF(AF544&lt;=6,(AF544-1)*31+AG544,IF(AF544&lt;=11,186+(AF544-7)*30+AG544,336+AG544))-1,""))</f>
        <v/>
      </c>
      <c r="AI544" s="7" t="str">
        <f aca="false">IF(W544="","",W544&amp;"-"&amp;TEXT(X544,"00"))</f>
        <v/>
      </c>
      <c r="AJ544" s="7" t="str">
        <f aca="false">IF(W544="","",W544*12+X544)</f>
        <v/>
      </c>
      <c r="AK544" s="7" t="str">
        <f aca="false">IF(U544="تاخیر",V544+ROW()/100000,"")</f>
        <v/>
      </c>
    </row>
    <row r="545" customFormat="false" ht="15" hidden="false" customHeight="false" outlineLevel="0" collapsed="false">
      <c r="A545" s="7" t="str">
        <f aca="false">IF(B545="","",ROW()-3)</f>
        <v/>
      </c>
      <c r="B545" s="8"/>
      <c r="C545" s="8"/>
      <c r="D545" s="8"/>
      <c r="E545" s="9"/>
      <c r="F545" s="9"/>
      <c r="G545" s="8"/>
      <c r="H545" s="8"/>
      <c r="I545" s="8"/>
      <c r="J545" s="9"/>
      <c r="K545" s="8"/>
      <c r="L545" s="8"/>
      <c r="M545" s="8"/>
      <c r="N545" s="8"/>
      <c r="O545" s="8"/>
      <c r="P545" s="8"/>
      <c r="Q545" s="8"/>
      <c r="R545" s="9"/>
      <c r="S545" s="8"/>
      <c r="T545" s="9"/>
      <c r="U545" s="10" t="str">
        <f aca="true">IF(B545="","",IF(OR(P545&lt;&gt;"",I545="می‌باشد"),"بسته",IF(AND(L545&lt;&gt;"",W545=""),"خطای فرمت تاریخ ایجاد",IF(AND(H545&lt;&gt;"",AA545=""),"خطای فرمت مهلت",IF(AND(H545&lt;&gt;"",AD545&lt;&gt;"",TODAY()&gt;AD545),"تاخیر",IF(L545&lt;&gt;"","در حال انجام",""))))))</f>
        <v/>
      </c>
      <c r="V545" s="7" t="n">
        <f aca="true">IF(U545="تاخیر",TODAY()-AD545,IF(AND(U545="بسته",AH545&lt;&gt;"",AD545&lt;&gt;"",AH545&gt;AD545),AH545-AD545,0))</f>
        <v>0</v>
      </c>
      <c r="W545" s="7" t="str">
        <f aca="false">IF(L545="","",VALUE(LEFT(L545,FIND("/",L545)-1)))</f>
        <v/>
      </c>
      <c r="X545" s="7" t="str">
        <f aca="false">IF(L545="","",VALUE(MID(L545,FIND("/",L545)+1,FIND("/",L545,FIND("/",L545)+1)-FIND("/",L545)-1)))</f>
        <v/>
      </c>
      <c r="Y545" s="7" t="str">
        <f aca="false">IF(L545="","",VALUE(MID(L545,FIND("/",L545,FIND("/",L545)+1)+1,LEN(L545)-FIND("/",L545,FIND("/",L545)+1))))</f>
        <v/>
      </c>
      <c r="Z545" s="7" t="str">
        <f aca="false">IF(OR(L545="",W545=""),"",IFERROR(INDEX('لیست‌ها'!$Q$3:$Q$53,MATCH(W545,'لیست‌ها'!$P$3:$P$53,0))+IF(X545&lt;=6,(X545-1)*31+Y545,IF(X545&lt;=11,186+(X545-7)*30+Y545,336+Y545))-1,""))</f>
        <v/>
      </c>
      <c r="AA545" s="7" t="str">
        <f aca="false">IF(H545="","",VALUE(LEFT(H545,FIND("/",H545)-1)))</f>
        <v/>
      </c>
      <c r="AB545" s="7" t="str">
        <f aca="false">IF(H545="","",VALUE(MID(H545,FIND("/",H545)+1,FIND("/",H545,FIND("/",H545)+1)-FIND("/",H545)-1)))</f>
        <v/>
      </c>
      <c r="AC545" s="7" t="str">
        <f aca="false">IF(H545="","",VALUE(MID(H545,FIND("/",H545,FIND("/",H545)+1)+1,LEN(H545)-FIND("/",H545,FIND("/",H545)+1))))</f>
        <v/>
      </c>
      <c r="AD545" s="7" t="str">
        <f aca="false">IF(OR(H545="",AA545=""),"",IFERROR(INDEX('لیست‌ها'!$Q$3:$Q$53,MATCH(AA545,'لیست‌ها'!$P$3:$P$53,0))+IF(AB545&lt;=6,(AB545-1)*31+AC545,IF(AB545&lt;=11,186+(AB545-7)*30+AC545,336+AC545))-1,""))</f>
        <v/>
      </c>
      <c r="AE545" s="7" t="str">
        <f aca="false">IF(P545="","",VALUE(LEFT(P545,FIND("/",P545)-1)))</f>
        <v/>
      </c>
      <c r="AF545" s="7" t="str">
        <f aca="false">IF(P545="","",VALUE(MID(P545,FIND("/",P545)+1,FIND("/",P545,FIND("/",P545)+1)-FIND("/",P545)-1)))</f>
        <v/>
      </c>
      <c r="AG545" s="7" t="str">
        <f aca="false">IF(P545="","",VALUE(MID(P545,FIND("/",P545,FIND("/",P545)+1)+1,LEN(P545)-FIND("/",P545,FIND("/",P545)+1))))</f>
        <v/>
      </c>
      <c r="AH545" s="7" t="str">
        <f aca="false">IF(OR(P545="",AE545=""),"",IFERROR(INDEX('لیست‌ها'!$Q$3:$Q$53,MATCH(AE545,'لیست‌ها'!$P$3:$P$53,0))+IF(AF545&lt;=6,(AF545-1)*31+AG545,IF(AF545&lt;=11,186+(AF545-7)*30+AG545,336+AG545))-1,""))</f>
        <v/>
      </c>
      <c r="AI545" s="7" t="str">
        <f aca="false">IF(W545="","",W545&amp;"-"&amp;TEXT(X545,"00"))</f>
        <v/>
      </c>
      <c r="AJ545" s="7" t="str">
        <f aca="false">IF(W545="","",W545*12+X545)</f>
        <v/>
      </c>
      <c r="AK545" s="7" t="str">
        <f aca="false">IF(U545="تاخیر",V545+ROW()/100000,"")</f>
        <v/>
      </c>
    </row>
    <row r="546" customFormat="false" ht="15" hidden="false" customHeight="false" outlineLevel="0" collapsed="false">
      <c r="A546" s="7" t="str">
        <f aca="false">IF(B546="","",ROW()-3)</f>
        <v/>
      </c>
      <c r="B546" s="8"/>
      <c r="C546" s="8"/>
      <c r="D546" s="8"/>
      <c r="E546" s="9"/>
      <c r="F546" s="9"/>
      <c r="G546" s="8"/>
      <c r="H546" s="8"/>
      <c r="I546" s="8"/>
      <c r="J546" s="9"/>
      <c r="K546" s="8"/>
      <c r="L546" s="8"/>
      <c r="M546" s="8"/>
      <c r="N546" s="8"/>
      <c r="O546" s="8"/>
      <c r="P546" s="8"/>
      <c r="Q546" s="8"/>
      <c r="R546" s="9"/>
      <c r="S546" s="8"/>
      <c r="T546" s="9"/>
      <c r="U546" s="10" t="str">
        <f aca="true">IF(B546="","",IF(OR(P546&lt;&gt;"",I546="می‌باشد"),"بسته",IF(AND(L546&lt;&gt;"",W546=""),"خطای فرمت تاریخ ایجاد",IF(AND(H546&lt;&gt;"",AA546=""),"خطای فرمت مهلت",IF(AND(H546&lt;&gt;"",AD546&lt;&gt;"",TODAY()&gt;AD546),"تاخیر",IF(L546&lt;&gt;"","در حال انجام",""))))))</f>
        <v/>
      </c>
      <c r="V546" s="7" t="n">
        <f aca="true">IF(U546="تاخیر",TODAY()-AD546,IF(AND(U546="بسته",AH546&lt;&gt;"",AD546&lt;&gt;"",AH546&gt;AD546),AH546-AD546,0))</f>
        <v>0</v>
      </c>
      <c r="W546" s="7" t="str">
        <f aca="false">IF(L546="","",VALUE(LEFT(L546,FIND("/",L546)-1)))</f>
        <v/>
      </c>
      <c r="X546" s="7" t="str">
        <f aca="false">IF(L546="","",VALUE(MID(L546,FIND("/",L546)+1,FIND("/",L546,FIND("/",L546)+1)-FIND("/",L546)-1)))</f>
        <v/>
      </c>
      <c r="Y546" s="7" t="str">
        <f aca="false">IF(L546="","",VALUE(MID(L546,FIND("/",L546,FIND("/",L546)+1)+1,LEN(L546)-FIND("/",L546,FIND("/",L546)+1))))</f>
        <v/>
      </c>
      <c r="Z546" s="7" t="str">
        <f aca="false">IF(OR(L546="",W546=""),"",IFERROR(INDEX('لیست‌ها'!$Q$3:$Q$53,MATCH(W546,'لیست‌ها'!$P$3:$P$53,0))+IF(X546&lt;=6,(X546-1)*31+Y546,IF(X546&lt;=11,186+(X546-7)*30+Y546,336+Y546))-1,""))</f>
        <v/>
      </c>
      <c r="AA546" s="7" t="str">
        <f aca="false">IF(H546="","",VALUE(LEFT(H546,FIND("/",H546)-1)))</f>
        <v/>
      </c>
      <c r="AB546" s="7" t="str">
        <f aca="false">IF(H546="","",VALUE(MID(H546,FIND("/",H546)+1,FIND("/",H546,FIND("/",H546)+1)-FIND("/",H546)-1)))</f>
        <v/>
      </c>
      <c r="AC546" s="7" t="str">
        <f aca="false">IF(H546="","",VALUE(MID(H546,FIND("/",H546,FIND("/",H546)+1)+1,LEN(H546)-FIND("/",H546,FIND("/",H546)+1))))</f>
        <v/>
      </c>
      <c r="AD546" s="7" t="str">
        <f aca="false">IF(OR(H546="",AA546=""),"",IFERROR(INDEX('لیست‌ها'!$Q$3:$Q$53,MATCH(AA546,'لیست‌ها'!$P$3:$P$53,0))+IF(AB546&lt;=6,(AB546-1)*31+AC546,IF(AB546&lt;=11,186+(AB546-7)*30+AC546,336+AC546))-1,""))</f>
        <v/>
      </c>
      <c r="AE546" s="7" t="str">
        <f aca="false">IF(P546="","",VALUE(LEFT(P546,FIND("/",P546)-1)))</f>
        <v/>
      </c>
      <c r="AF546" s="7" t="str">
        <f aca="false">IF(P546="","",VALUE(MID(P546,FIND("/",P546)+1,FIND("/",P546,FIND("/",P546)+1)-FIND("/",P546)-1)))</f>
        <v/>
      </c>
      <c r="AG546" s="7" t="str">
        <f aca="false">IF(P546="","",VALUE(MID(P546,FIND("/",P546,FIND("/",P546)+1)+1,LEN(P546)-FIND("/",P546,FIND("/",P546)+1))))</f>
        <v/>
      </c>
      <c r="AH546" s="7" t="str">
        <f aca="false">IF(OR(P546="",AE546=""),"",IFERROR(INDEX('لیست‌ها'!$Q$3:$Q$53,MATCH(AE546,'لیست‌ها'!$P$3:$P$53,0))+IF(AF546&lt;=6,(AF546-1)*31+AG546,IF(AF546&lt;=11,186+(AF546-7)*30+AG546,336+AG546))-1,""))</f>
        <v/>
      </c>
      <c r="AI546" s="7" t="str">
        <f aca="false">IF(W546="","",W546&amp;"-"&amp;TEXT(X546,"00"))</f>
        <v/>
      </c>
      <c r="AJ546" s="7" t="str">
        <f aca="false">IF(W546="","",W546*12+X546)</f>
        <v/>
      </c>
      <c r="AK546" s="7" t="str">
        <f aca="false">IF(U546="تاخیر",V546+ROW()/100000,"")</f>
        <v/>
      </c>
    </row>
    <row r="547" customFormat="false" ht="15" hidden="false" customHeight="false" outlineLevel="0" collapsed="false">
      <c r="A547" s="7" t="str">
        <f aca="false">IF(B547="","",ROW()-3)</f>
        <v/>
      </c>
      <c r="B547" s="8"/>
      <c r="C547" s="8"/>
      <c r="D547" s="8"/>
      <c r="E547" s="9"/>
      <c r="F547" s="9"/>
      <c r="G547" s="8"/>
      <c r="H547" s="8"/>
      <c r="I547" s="8"/>
      <c r="J547" s="9"/>
      <c r="K547" s="8"/>
      <c r="L547" s="8"/>
      <c r="M547" s="8"/>
      <c r="N547" s="8"/>
      <c r="O547" s="8"/>
      <c r="P547" s="8"/>
      <c r="Q547" s="8"/>
      <c r="R547" s="9"/>
      <c r="S547" s="8"/>
      <c r="T547" s="9"/>
      <c r="U547" s="10" t="str">
        <f aca="true">IF(B547="","",IF(OR(P547&lt;&gt;"",I547="می‌باشد"),"بسته",IF(AND(L547&lt;&gt;"",W547=""),"خطای فرمت تاریخ ایجاد",IF(AND(H547&lt;&gt;"",AA547=""),"خطای فرمت مهلت",IF(AND(H547&lt;&gt;"",AD547&lt;&gt;"",TODAY()&gt;AD547),"تاخیر",IF(L547&lt;&gt;"","در حال انجام",""))))))</f>
        <v/>
      </c>
      <c r="V547" s="7" t="n">
        <f aca="true">IF(U547="تاخیر",TODAY()-AD547,IF(AND(U547="بسته",AH547&lt;&gt;"",AD547&lt;&gt;"",AH547&gt;AD547),AH547-AD547,0))</f>
        <v>0</v>
      </c>
      <c r="W547" s="7" t="str">
        <f aca="false">IF(L547="","",VALUE(LEFT(L547,FIND("/",L547)-1)))</f>
        <v/>
      </c>
      <c r="X547" s="7" t="str">
        <f aca="false">IF(L547="","",VALUE(MID(L547,FIND("/",L547)+1,FIND("/",L547,FIND("/",L547)+1)-FIND("/",L547)-1)))</f>
        <v/>
      </c>
      <c r="Y547" s="7" t="str">
        <f aca="false">IF(L547="","",VALUE(MID(L547,FIND("/",L547,FIND("/",L547)+1)+1,LEN(L547)-FIND("/",L547,FIND("/",L547)+1))))</f>
        <v/>
      </c>
      <c r="Z547" s="7" t="str">
        <f aca="false">IF(OR(L547="",W547=""),"",IFERROR(INDEX('لیست‌ها'!$Q$3:$Q$53,MATCH(W547,'لیست‌ها'!$P$3:$P$53,0))+IF(X547&lt;=6,(X547-1)*31+Y547,IF(X547&lt;=11,186+(X547-7)*30+Y547,336+Y547))-1,""))</f>
        <v/>
      </c>
      <c r="AA547" s="7" t="str">
        <f aca="false">IF(H547="","",VALUE(LEFT(H547,FIND("/",H547)-1)))</f>
        <v/>
      </c>
      <c r="AB547" s="7" t="str">
        <f aca="false">IF(H547="","",VALUE(MID(H547,FIND("/",H547)+1,FIND("/",H547,FIND("/",H547)+1)-FIND("/",H547)-1)))</f>
        <v/>
      </c>
      <c r="AC547" s="7" t="str">
        <f aca="false">IF(H547="","",VALUE(MID(H547,FIND("/",H547,FIND("/",H547)+1)+1,LEN(H547)-FIND("/",H547,FIND("/",H547)+1))))</f>
        <v/>
      </c>
      <c r="AD547" s="7" t="str">
        <f aca="false">IF(OR(H547="",AA547=""),"",IFERROR(INDEX('لیست‌ها'!$Q$3:$Q$53,MATCH(AA547,'لیست‌ها'!$P$3:$P$53,0))+IF(AB547&lt;=6,(AB547-1)*31+AC547,IF(AB547&lt;=11,186+(AB547-7)*30+AC547,336+AC547))-1,""))</f>
        <v/>
      </c>
      <c r="AE547" s="7" t="str">
        <f aca="false">IF(P547="","",VALUE(LEFT(P547,FIND("/",P547)-1)))</f>
        <v/>
      </c>
      <c r="AF547" s="7" t="str">
        <f aca="false">IF(P547="","",VALUE(MID(P547,FIND("/",P547)+1,FIND("/",P547,FIND("/",P547)+1)-FIND("/",P547)-1)))</f>
        <v/>
      </c>
      <c r="AG547" s="7" t="str">
        <f aca="false">IF(P547="","",VALUE(MID(P547,FIND("/",P547,FIND("/",P547)+1)+1,LEN(P547)-FIND("/",P547,FIND("/",P547)+1))))</f>
        <v/>
      </c>
      <c r="AH547" s="7" t="str">
        <f aca="false">IF(OR(P547="",AE547=""),"",IFERROR(INDEX('لیست‌ها'!$Q$3:$Q$53,MATCH(AE547,'لیست‌ها'!$P$3:$P$53,0))+IF(AF547&lt;=6,(AF547-1)*31+AG547,IF(AF547&lt;=11,186+(AF547-7)*30+AG547,336+AG547))-1,""))</f>
        <v/>
      </c>
      <c r="AI547" s="7" t="str">
        <f aca="false">IF(W547="","",W547&amp;"-"&amp;TEXT(X547,"00"))</f>
        <v/>
      </c>
      <c r="AJ547" s="7" t="str">
        <f aca="false">IF(W547="","",W547*12+X547)</f>
        <v/>
      </c>
      <c r="AK547" s="7" t="str">
        <f aca="false">IF(U547="تاخیر",V547+ROW()/100000,"")</f>
        <v/>
      </c>
    </row>
    <row r="548" customFormat="false" ht="15" hidden="false" customHeight="false" outlineLevel="0" collapsed="false">
      <c r="A548" s="7" t="str">
        <f aca="false">IF(B548="","",ROW()-3)</f>
        <v/>
      </c>
      <c r="B548" s="8"/>
      <c r="C548" s="8"/>
      <c r="D548" s="8"/>
      <c r="E548" s="9"/>
      <c r="F548" s="9"/>
      <c r="G548" s="8"/>
      <c r="H548" s="8"/>
      <c r="I548" s="8"/>
      <c r="J548" s="9"/>
      <c r="K548" s="8"/>
      <c r="L548" s="8"/>
      <c r="M548" s="8"/>
      <c r="N548" s="8"/>
      <c r="O548" s="8"/>
      <c r="P548" s="8"/>
      <c r="Q548" s="8"/>
      <c r="R548" s="9"/>
      <c r="S548" s="8"/>
      <c r="T548" s="9"/>
      <c r="U548" s="10" t="str">
        <f aca="true">IF(B548="","",IF(OR(P548&lt;&gt;"",I548="می‌باشد"),"بسته",IF(AND(L548&lt;&gt;"",W548=""),"خطای فرمت تاریخ ایجاد",IF(AND(H548&lt;&gt;"",AA548=""),"خطای فرمت مهلت",IF(AND(H548&lt;&gt;"",AD548&lt;&gt;"",TODAY()&gt;AD548),"تاخیر",IF(L548&lt;&gt;"","در حال انجام",""))))))</f>
        <v/>
      </c>
      <c r="V548" s="7" t="n">
        <f aca="true">IF(U548="تاخیر",TODAY()-AD548,IF(AND(U548="بسته",AH548&lt;&gt;"",AD548&lt;&gt;"",AH548&gt;AD548),AH548-AD548,0))</f>
        <v>0</v>
      </c>
      <c r="W548" s="7" t="str">
        <f aca="false">IF(L548="","",VALUE(LEFT(L548,FIND("/",L548)-1)))</f>
        <v/>
      </c>
      <c r="X548" s="7" t="str">
        <f aca="false">IF(L548="","",VALUE(MID(L548,FIND("/",L548)+1,FIND("/",L548,FIND("/",L548)+1)-FIND("/",L548)-1)))</f>
        <v/>
      </c>
      <c r="Y548" s="7" t="str">
        <f aca="false">IF(L548="","",VALUE(MID(L548,FIND("/",L548,FIND("/",L548)+1)+1,LEN(L548)-FIND("/",L548,FIND("/",L548)+1))))</f>
        <v/>
      </c>
      <c r="Z548" s="7" t="str">
        <f aca="false">IF(OR(L548="",W548=""),"",IFERROR(INDEX('لیست‌ها'!$Q$3:$Q$53,MATCH(W548,'لیست‌ها'!$P$3:$P$53,0))+IF(X548&lt;=6,(X548-1)*31+Y548,IF(X548&lt;=11,186+(X548-7)*30+Y548,336+Y548))-1,""))</f>
        <v/>
      </c>
      <c r="AA548" s="7" t="str">
        <f aca="false">IF(H548="","",VALUE(LEFT(H548,FIND("/",H548)-1)))</f>
        <v/>
      </c>
      <c r="AB548" s="7" t="str">
        <f aca="false">IF(H548="","",VALUE(MID(H548,FIND("/",H548)+1,FIND("/",H548,FIND("/",H548)+1)-FIND("/",H548)-1)))</f>
        <v/>
      </c>
      <c r="AC548" s="7" t="str">
        <f aca="false">IF(H548="","",VALUE(MID(H548,FIND("/",H548,FIND("/",H548)+1)+1,LEN(H548)-FIND("/",H548,FIND("/",H548)+1))))</f>
        <v/>
      </c>
      <c r="AD548" s="7" t="str">
        <f aca="false">IF(OR(H548="",AA548=""),"",IFERROR(INDEX('لیست‌ها'!$Q$3:$Q$53,MATCH(AA548,'لیست‌ها'!$P$3:$P$53,0))+IF(AB548&lt;=6,(AB548-1)*31+AC548,IF(AB548&lt;=11,186+(AB548-7)*30+AC548,336+AC548))-1,""))</f>
        <v/>
      </c>
      <c r="AE548" s="7" t="str">
        <f aca="false">IF(P548="","",VALUE(LEFT(P548,FIND("/",P548)-1)))</f>
        <v/>
      </c>
      <c r="AF548" s="7" t="str">
        <f aca="false">IF(P548="","",VALUE(MID(P548,FIND("/",P548)+1,FIND("/",P548,FIND("/",P548)+1)-FIND("/",P548)-1)))</f>
        <v/>
      </c>
      <c r="AG548" s="7" t="str">
        <f aca="false">IF(P548="","",VALUE(MID(P548,FIND("/",P548,FIND("/",P548)+1)+1,LEN(P548)-FIND("/",P548,FIND("/",P548)+1))))</f>
        <v/>
      </c>
      <c r="AH548" s="7" t="str">
        <f aca="false">IF(OR(P548="",AE548=""),"",IFERROR(INDEX('لیست‌ها'!$Q$3:$Q$53,MATCH(AE548,'لیست‌ها'!$P$3:$P$53,0))+IF(AF548&lt;=6,(AF548-1)*31+AG548,IF(AF548&lt;=11,186+(AF548-7)*30+AG548,336+AG548))-1,""))</f>
        <v/>
      </c>
      <c r="AI548" s="7" t="str">
        <f aca="false">IF(W548="","",W548&amp;"-"&amp;TEXT(X548,"00"))</f>
        <v/>
      </c>
      <c r="AJ548" s="7" t="str">
        <f aca="false">IF(W548="","",W548*12+X548)</f>
        <v/>
      </c>
      <c r="AK548" s="7" t="str">
        <f aca="false">IF(U548="تاخیر",V548+ROW()/100000,"")</f>
        <v/>
      </c>
    </row>
    <row r="549" customFormat="false" ht="15" hidden="false" customHeight="false" outlineLevel="0" collapsed="false">
      <c r="A549" s="7" t="str">
        <f aca="false">IF(B549="","",ROW()-3)</f>
        <v/>
      </c>
      <c r="B549" s="8"/>
      <c r="C549" s="8"/>
      <c r="D549" s="8"/>
      <c r="E549" s="9"/>
      <c r="F549" s="9"/>
      <c r="G549" s="8"/>
      <c r="H549" s="8"/>
      <c r="I549" s="8"/>
      <c r="J549" s="9"/>
      <c r="K549" s="8"/>
      <c r="L549" s="8"/>
      <c r="M549" s="8"/>
      <c r="N549" s="8"/>
      <c r="O549" s="8"/>
      <c r="P549" s="8"/>
      <c r="Q549" s="8"/>
      <c r="R549" s="9"/>
      <c r="S549" s="8"/>
      <c r="T549" s="9"/>
      <c r="U549" s="10" t="str">
        <f aca="true">IF(B549="","",IF(OR(P549&lt;&gt;"",I549="می‌باشد"),"بسته",IF(AND(L549&lt;&gt;"",W549=""),"خطای فرمت تاریخ ایجاد",IF(AND(H549&lt;&gt;"",AA549=""),"خطای فرمت مهلت",IF(AND(H549&lt;&gt;"",AD549&lt;&gt;"",TODAY()&gt;AD549),"تاخیر",IF(L549&lt;&gt;"","در حال انجام",""))))))</f>
        <v/>
      </c>
      <c r="V549" s="7" t="n">
        <f aca="true">IF(U549="تاخیر",TODAY()-AD549,IF(AND(U549="بسته",AH549&lt;&gt;"",AD549&lt;&gt;"",AH549&gt;AD549),AH549-AD549,0))</f>
        <v>0</v>
      </c>
      <c r="W549" s="7" t="str">
        <f aca="false">IF(L549="","",VALUE(LEFT(L549,FIND("/",L549)-1)))</f>
        <v/>
      </c>
      <c r="X549" s="7" t="str">
        <f aca="false">IF(L549="","",VALUE(MID(L549,FIND("/",L549)+1,FIND("/",L549,FIND("/",L549)+1)-FIND("/",L549)-1)))</f>
        <v/>
      </c>
      <c r="Y549" s="7" t="str">
        <f aca="false">IF(L549="","",VALUE(MID(L549,FIND("/",L549,FIND("/",L549)+1)+1,LEN(L549)-FIND("/",L549,FIND("/",L549)+1))))</f>
        <v/>
      </c>
      <c r="Z549" s="7" t="str">
        <f aca="false">IF(OR(L549="",W549=""),"",IFERROR(INDEX('لیست‌ها'!$Q$3:$Q$53,MATCH(W549,'لیست‌ها'!$P$3:$P$53,0))+IF(X549&lt;=6,(X549-1)*31+Y549,IF(X549&lt;=11,186+(X549-7)*30+Y549,336+Y549))-1,""))</f>
        <v/>
      </c>
      <c r="AA549" s="7" t="str">
        <f aca="false">IF(H549="","",VALUE(LEFT(H549,FIND("/",H549)-1)))</f>
        <v/>
      </c>
      <c r="AB549" s="7" t="str">
        <f aca="false">IF(H549="","",VALUE(MID(H549,FIND("/",H549)+1,FIND("/",H549,FIND("/",H549)+1)-FIND("/",H549)-1)))</f>
        <v/>
      </c>
      <c r="AC549" s="7" t="str">
        <f aca="false">IF(H549="","",VALUE(MID(H549,FIND("/",H549,FIND("/",H549)+1)+1,LEN(H549)-FIND("/",H549,FIND("/",H549)+1))))</f>
        <v/>
      </c>
      <c r="AD549" s="7" t="str">
        <f aca="false">IF(OR(H549="",AA549=""),"",IFERROR(INDEX('لیست‌ها'!$Q$3:$Q$53,MATCH(AA549,'لیست‌ها'!$P$3:$P$53,0))+IF(AB549&lt;=6,(AB549-1)*31+AC549,IF(AB549&lt;=11,186+(AB549-7)*30+AC549,336+AC549))-1,""))</f>
        <v/>
      </c>
      <c r="AE549" s="7" t="str">
        <f aca="false">IF(P549="","",VALUE(LEFT(P549,FIND("/",P549)-1)))</f>
        <v/>
      </c>
      <c r="AF549" s="7" t="str">
        <f aca="false">IF(P549="","",VALUE(MID(P549,FIND("/",P549)+1,FIND("/",P549,FIND("/",P549)+1)-FIND("/",P549)-1)))</f>
        <v/>
      </c>
      <c r="AG549" s="7" t="str">
        <f aca="false">IF(P549="","",VALUE(MID(P549,FIND("/",P549,FIND("/",P549)+1)+1,LEN(P549)-FIND("/",P549,FIND("/",P549)+1))))</f>
        <v/>
      </c>
      <c r="AH549" s="7" t="str">
        <f aca="false">IF(OR(P549="",AE549=""),"",IFERROR(INDEX('لیست‌ها'!$Q$3:$Q$53,MATCH(AE549,'لیست‌ها'!$P$3:$P$53,0))+IF(AF549&lt;=6,(AF549-1)*31+AG549,IF(AF549&lt;=11,186+(AF549-7)*30+AG549,336+AG549))-1,""))</f>
        <v/>
      </c>
      <c r="AI549" s="7" t="str">
        <f aca="false">IF(W549="","",W549&amp;"-"&amp;TEXT(X549,"00"))</f>
        <v/>
      </c>
      <c r="AJ549" s="7" t="str">
        <f aca="false">IF(W549="","",W549*12+X549)</f>
        <v/>
      </c>
      <c r="AK549" s="7" t="str">
        <f aca="false">IF(U549="تاخیر",V549+ROW()/100000,"")</f>
        <v/>
      </c>
    </row>
    <row r="550" customFormat="false" ht="15" hidden="false" customHeight="false" outlineLevel="0" collapsed="false">
      <c r="A550" s="7" t="str">
        <f aca="false">IF(B550="","",ROW()-3)</f>
        <v/>
      </c>
      <c r="B550" s="8"/>
      <c r="C550" s="8"/>
      <c r="D550" s="8"/>
      <c r="E550" s="9"/>
      <c r="F550" s="9"/>
      <c r="G550" s="8"/>
      <c r="H550" s="8"/>
      <c r="I550" s="8"/>
      <c r="J550" s="9"/>
      <c r="K550" s="8"/>
      <c r="L550" s="8"/>
      <c r="M550" s="8"/>
      <c r="N550" s="8"/>
      <c r="O550" s="8"/>
      <c r="P550" s="8"/>
      <c r="Q550" s="8"/>
      <c r="R550" s="9"/>
      <c r="S550" s="8"/>
      <c r="T550" s="9"/>
      <c r="U550" s="10" t="str">
        <f aca="true">IF(B550="","",IF(OR(P550&lt;&gt;"",I550="می‌باشد"),"بسته",IF(AND(L550&lt;&gt;"",W550=""),"خطای فرمت تاریخ ایجاد",IF(AND(H550&lt;&gt;"",AA550=""),"خطای فرمت مهلت",IF(AND(H550&lt;&gt;"",AD550&lt;&gt;"",TODAY()&gt;AD550),"تاخیر",IF(L550&lt;&gt;"","در حال انجام",""))))))</f>
        <v/>
      </c>
      <c r="V550" s="7" t="n">
        <f aca="true">IF(U550="تاخیر",TODAY()-AD550,IF(AND(U550="بسته",AH550&lt;&gt;"",AD550&lt;&gt;"",AH550&gt;AD550),AH550-AD550,0))</f>
        <v>0</v>
      </c>
      <c r="W550" s="7" t="str">
        <f aca="false">IF(L550="","",VALUE(LEFT(L550,FIND("/",L550)-1)))</f>
        <v/>
      </c>
      <c r="X550" s="7" t="str">
        <f aca="false">IF(L550="","",VALUE(MID(L550,FIND("/",L550)+1,FIND("/",L550,FIND("/",L550)+1)-FIND("/",L550)-1)))</f>
        <v/>
      </c>
      <c r="Y550" s="7" t="str">
        <f aca="false">IF(L550="","",VALUE(MID(L550,FIND("/",L550,FIND("/",L550)+1)+1,LEN(L550)-FIND("/",L550,FIND("/",L550)+1))))</f>
        <v/>
      </c>
      <c r="Z550" s="7" t="str">
        <f aca="false">IF(OR(L550="",W550=""),"",IFERROR(INDEX('لیست‌ها'!$Q$3:$Q$53,MATCH(W550,'لیست‌ها'!$P$3:$P$53,0))+IF(X550&lt;=6,(X550-1)*31+Y550,IF(X550&lt;=11,186+(X550-7)*30+Y550,336+Y550))-1,""))</f>
        <v/>
      </c>
      <c r="AA550" s="7" t="str">
        <f aca="false">IF(H550="","",VALUE(LEFT(H550,FIND("/",H550)-1)))</f>
        <v/>
      </c>
      <c r="AB550" s="7" t="str">
        <f aca="false">IF(H550="","",VALUE(MID(H550,FIND("/",H550)+1,FIND("/",H550,FIND("/",H550)+1)-FIND("/",H550)-1)))</f>
        <v/>
      </c>
      <c r="AC550" s="7" t="str">
        <f aca="false">IF(H550="","",VALUE(MID(H550,FIND("/",H550,FIND("/",H550)+1)+1,LEN(H550)-FIND("/",H550,FIND("/",H550)+1))))</f>
        <v/>
      </c>
      <c r="AD550" s="7" t="str">
        <f aca="false">IF(OR(H550="",AA550=""),"",IFERROR(INDEX('لیست‌ها'!$Q$3:$Q$53,MATCH(AA550,'لیست‌ها'!$P$3:$P$53,0))+IF(AB550&lt;=6,(AB550-1)*31+AC550,IF(AB550&lt;=11,186+(AB550-7)*30+AC550,336+AC550))-1,""))</f>
        <v/>
      </c>
      <c r="AE550" s="7" t="str">
        <f aca="false">IF(P550="","",VALUE(LEFT(P550,FIND("/",P550)-1)))</f>
        <v/>
      </c>
      <c r="AF550" s="7" t="str">
        <f aca="false">IF(P550="","",VALUE(MID(P550,FIND("/",P550)+1,FIND("/",P550,FIND("/",P550)+1)-FIND("/",P550)-1)))</f>
        <v/>
      </c>
      <c r="AG550" s="7" t="str">
        <f aca="false">IF(P550="","",VALUE(MID(P550,FIND("/",P550,FIND("/",P550)+1)+1,LEN(P550)-FIND("/",P550,FIND("/",P550)+1))))</f>
        <v/>
      </c>
      <c r="AH550" s="7" t="str">
        <f aca="false">IF(OR(P550="",AE550=""),"",IFERROR(INDEX('لیست‌ها'!$Q$3:$Q$53,MATCH(AE550,'لیست‌ها'!$P$3:$P$53,0))+IF(AF550&lt;=6,(AF550-1)*31+AG550,IF(AF550&lt;=11,186+(AF550-7)*30+AG550,336+AG550))-1,""))</f>
        <v/>
      </c>
      <c r="AI550" s="7" t="str">
        <f aca="false">IF(W550="","",W550&amp;"-"&amp;TEXT(X550,"00"))</f>
        <v/>
      </c>
      <c r="AJ550" s="7" t="str">
        <f aca="false">IF(W550="","",W550*12+X550)</f>
        <v/>
      </c>
      <c r="AK550" s="7" t="str">
        <f aca="false">IF(U550="تاخیر",V550+ROW()/100000,"")</f>
        <v/>
      </c>
    </row>
    <row r="551" customFormat="false" ht="15" hidden="false" customHeight="false" outlineLevel="0" collapsed="false">
      <c r="A551" s="7" t="str">
        <f aca="false">IF(B551="","",ROW()-3)</f>
        <v/>
      </c>
      <c r="B551" s="8"/>
      <c r="C551" s="8"/>
      <c r="D551" s="8"/>
      <c r="E551" s="9"/>
      <c r="F551" s="9"/>
      <c r="G551" s="8"/>
      <c r="H551" s="8"/>
      <c r="I551" s="8"/>
      <c r="J551" s="9"/>
      <c r="K551" s="8"/>
      <c r="L551" s="8"/>
      <c r="M551" s="8"/>
      <c r="N551" s="8"/>
      <c r="O551" s="8"/>
      <c r="P551" s="8"/>
      <c r="Q551" s="8"/>
      <c r="R551" s="9"/>
      <c r="S551" s="8"/>
      <c r="T551" s="9"/>
      <c r="U551" s="10" t="str">
        <f aca="true">IF(B551="","",IF(OR(P551&lt;&gt;"",I551="می‌باشد"),"بسته",IF(AND(L551&lt;&gt;"",W551=""),"خطای فرمت تاریخ ایجاد",IF(AND(H551&lt;&gt;"",AA551=""),"خطای فرمت مهلت",IF(AND(H551&lt;&gt;"",AD551&lt;&gt;"",TODAY()&gt;AD551),"تاخیر",IF(L551&lt;&gt;"","در حال انجام",""))))))</f>
        <v/>
      </c>
      <c r="V551" s="7" t="n">
        <f aca="true">IF(U551="تاخیر",TODAY()-AD551,IF(AND(U551="بسته",AH551&lt;&gt;"",AD551&lt;&gt;"",AH551&gt;AD551),AH551-AD551,0))</f>
        <v>0</v>
      </c>
      <c r="W551" s="7" t="str">
        <f aca="false">IF(L551="","",VALUE(LEFT(L551,FIND("/",L551)-1)))</f>
        <v/>
      </c>
      <c r="X551" s="7" t="str">
        <f aca="false">IF(L551="","",VALUE(MID(L551,FIND("/",L551)+1,FIND("/",L551,FIND("/",L551)+1)-FIND("/",L551)-1)))</f>
        <v/>
      </c>
      <c r="Y551" s="7" t="str">
        <f aca="false">IF(L551="","",VALUE(MID(L551,FIND("/",L551,FIND("/",L551)+1)+1,LEN(L551)-FIND("/",L551,FIND("/",L551)+1))))</f>
        <v/>
      </c>
      <c r="Z551" s="7" t="str">
        <f aca="false">IF(OR(L551="",W551=""),"",IFERROR(INDEX('لیست‌ها'!$Q$3:$Q$53,MATCH(W551,'لیست‌ها'!$P$3:$P$53,0))+IF(X551&lt;=6,(X551-1)*31+Y551,IF(X551&lt;=11,186+(X551-7)*30+Y551,336+Y551))-1,""))</f>
        <v/>
      </c>
      <c r="AA551" s="7" t="str">
        <f aca="false">IF(H551="","",VALUE(LEFT(H551,FIND("/",H551)-1)))</f>
        <v/>
      </c>
      <c r="AB551" s="7" t="str">
        <f aca="false">IF(H551="","",VALUE(MID(H551,FIND("/",H551)+1,FIND("/",H551,FIND("/",H551)+1)-FIND("/",H551)-1)))</f>
        <v/>
      </c>
      <c r="AC551" s="7" t="str">
        <f aca="false">IF(H551="","",VALUE(MID(H551,FIND("/",H551,FIND("/",H551)+1)+1,LEN(H551)-FIND("/",H551,FIND("/",H551)+1))))</f>
        <v/>
      </c>
      <c r="AD551" s="7" t="str">
        <f aca="false">IF(OR(H551="",AA551=""),"",IFERROR(INDEX('لیست‌ها'!$Q$3:$Q$53,MATCH(AA551,'لیست‌ها'!$P$3:$P$53,0))+IF(AB551&lt;=6,(AB551-1)*31+AC551,IF(AB551&lt;=11,186+(AB551-7)*30+AC551,336+AC551))-1,""))</f>
        <v/>
      </c>
      <c r="AE551" s="7" t="str">
        <f aca="false">IF(P551="","",VALUE(LEFT(P551,FIND("/",P551)-1)))</f>
        <v/>
      </c>
      <c r="AF551" s="7" t="str">
        <f aca="false">IF(P551="","",VALUE(MID(P551,FIND("/",P551)+1,FIND("/",P551,FIND("/",P551)+1)-FIND("/",P551)-1)))</f>
        <v/>
      </c>
      <c r="AG551" s="7" t="str">
        <f aca="false">IF(P551="","",VALUE(MID(P551,FIND("/",P551,FIND("/",P551)+1)+1,LEN(P551)-FIND("/",P551,FIND("/",P551)+1))))</f>
        <v/>
      </c>
      <c r="AH551" s="7" t="str">
        <f aca="false">IF(OR(P551="",AE551=""),"",IFERROR(INDEX('لیست‌ها'!$Q$3:$Q$53,MATCH(AE551,'لیست‌ها'!$P$3:$P$53,0))+IF(AF551&lt;=6,(AF551-1)*31+AG551,IF(AF551&lt;=11,186+(AF551-7)*30+AG551,336+AG551))-1,""))</f>
        <v/>
      </c>
      <c r="AI551" s="7" t="str">
        <f aca="false">IF(W551="","",W551&amp;"-"&amp;TEXT(X551,"00"))</f>
        <v/>
      </c>
      <c r="AJ551" s="7" t="str">
        <f aca="false">IF(W551="","",W551*12+X551)</f>
        <v/>
      </c>
      <c r="AK551" s="7" t="str">
        <f aca="false">IF(U551="تاخیر",V551+ROW()/100000,"")</f>
        <v/>
      </c>
    </row>
    <row r="552" customFormat="false" ht="15" hidden="false" customHeight="false" outlineLevel="0" collapsed="false">
      <c r="A552" s="7" t="str">
        <f aca="false">IF(B552="","",ROW()-3)</f>
        <v/>
      </c>
      <c r="B552" s="8"/>
      <c r="C552" s="8"/>
      <c r="D552" s="8"/>
      <c r="E552" s="9"/>
      <c r="F552" s="9"/>
      <c r="G552" s="8"/>
      <c r="H552" s="8"/>
      <c r="I552" s="8"/>
      <c r="J552" s="9"/>
      <c r="K552" s="8"/>
      <c r="L552" s="8"/>
      <c r="M552" s="8"/>
      <c r="N552" s="8"/>
      <c r="O552" s="8"/>
      <c r="P552" s="8"/>
      <c r="Q552" s="8"/>
      <c r="R552" s="9"/>
      <c r="S552" s="8"/>
      <c r="T552" s="9"/>
      <c r="U552" s="10" t="str">
        <f aca="true">IF(B552="","",IF(OR(P552&lt;&gt;"",I552="می‌باشد"),"بسته",IF(AND(L552&lt;&gt;"",W552=""),"خطای فرمت تاریخ ایجاد",IF(AND(H552&lt;&gt;"",AA552=""),"خطای فرمت مهلت",IF(AND(H552&lt;&gt;"",AD552&lt;&gt;"",TODAY()&gt;AD552),"تاخیر",IF(L552&lt;&gt;"","در حال انجام",""))))))</f>
        <v/>
      </c>
      <c r="V552" s="7" t="n">
        <f aca="true">IF(U552="تاخیر",TODAY()-AD552,IF(AND(U552="بسته",AH552&lt;&gt;"",AD552&lt;&gt;"",AH552&gt;AD552),AH552-AD552,0))</f>
        <v>0</v>
      </c>
      <c r="W552" s="7" t="str">
        <f aca="false">IF(L552="","",VALUE(LEFT(L552,FIND("/",L552)-1)))</f>
        <v/>
      </c>
      <c r="X552" s="7" t="str">
        <f aca="false">IF(L552="","",VALUE(MID(L552,FIND("/",L552)+1,FIND("/",L552,FIND("/",L552)+1)-FIND("/",L552)-1)))</f>
        <v/>
      </c>
      <c r="Y552" s="7" t="str">
        <f aca="false">IF(L552="","",VALUE(MID(L552,FIND("/",L552,FIND("/",L552)+1)+1,LEN(L552)-FIND("/",L552,FIND("/",L552)+1))))</f>
        <v/>
      </c>
      <c r="Z552" s="7" t="str">
        <f aca="false">IF(OR(L552="",W552=""),"",IFERROR(INDEX('لیست‌ها'!$Q$3:$Q$53,MATCH(W552,'لیست‌ها'!$P$3:$P$53,0))+IF(X552&lt;=6,(X552-1)*31+Y552,IF(X552&lt;=11,186+(X552-7)*30+Y552,336+Y552))-1,""))</f>
        <v/>
      </c>
      <c r="AA552" s="7" t="str">
        <f aca="false">IF(H552="","",VALUE(LEFT(H552,FIND("/",H552)-1)))</f>
        <v/>
      </c>
      <c r="AB552" s="7" t="str">
        <f aca="false">IF(H552="","",VALUE(MID(H552,FIND("/",H552)+1,FIND("/",H552,FIND("/",H552)+1)-FIND("/",H552)-1)))</f>
        <v/>
      </c>
      <c r="AC552" s="7" t="str">
        <f aca="false">IF(H552="","",VALUE(MID(H552,FIND("/",H552,FIND("/",H552)+1)+1,LEN(H552)-FIND("/",H552,FIND("/",H552)+1))))</f>
        <v/>
      </c>
      <c r="AD552" s="7" t="str">
        <f aca="false">IF(OR(H552="",AA552=""),"",IFERROR(INDEX('لیست‌ها'!$Q$3:$Q$53,MATCH(AA552,'لیست‌ها'!$P$3:$P$53,0))+IF(AB552&lt;=6,(AB552-1)*31+AC552,IF(AB552&lt;=11,186+(AB552-7)*30+AC552,336+AC552))-1,""))</f>
        <v/>
      </c>
      <c r="AE552" s="7" t="str">
        <f aca="false">IF(P552="","",VALUE(LEFT(P552,FIND("/",P552)-1)))</f>
        <v/>
      </c>
      <c r="AF552" s="7" t="str">
        <f aca="false">IF(P552="","",VALUE(MID(P552,FIND("/",P552)+1,FIND("/",P552,FIND("/",P552)+1)-FIND("/",P552)-1)))</f>
        <v/>
      </c>
      <c r="AG552" s="7" t="str">
        <f aca="false">IF(P552="","",VALUE(MID(P552,FIND("/",P552,FIND("/",P552)+1)+1,LEN(P552)-FIND("/",P552,FIND("/",P552)+1))))</f>
        <v/>
      </c>
      <c r="AH552" s="7" t="str">
        <f aca="false">IF(OR(P552="",AE552=""),"",IFERROR(INDEX('لیست‌ها'!$Q$3:$Q$53,MATCH(AE552,'لیست‌ها'!$P$3:$P$53,0))+IF(AF552&lt;=6,(AF552-1)*31+AG552,IF(AF552&lt;=11,186+(AF552-7)*30+AG552,336+AG552))-1,""))</f>
        <v/>
      </c>
      <c r="AI552" s="7" t="str">
        <f aca="false">IF(W552="","",W552&amp;"-"&amp;TEXT(X552,"00"))</f>
        <v/>
      </c>
      <c r="AJ552" s="7" t="str">
        <f aca="false">IF(W552="","",W552*12+X552)</f>
        <v/>
      </c>
      <c r="AK552" s="7" t="str">
        <f aca="false">IF(U552="تاخیر",V552+ROW()/100000,"")</f>
        <v/>
      </c>
    </row>
    <row r="553" customFormat="false" ht="15" hidden="false" customHeight="false" outlineLevel="0" collapsed="false">
      <c r="A553" s="7" t="str">
        <f aca="false">IF(B553="","",ROW()-3)</f>
        <v/>
      </c>
      <c r="B553" s="8"/>
      <c r="C553" s="8"/>
      <c r="D553" s="8"/>
      <c r="E553" s="9"/>
      <c r="F553" s="9"/>
      <c r="G553" s="8"/>
      <c r="H553" s="8"/>
      <c r="I553" s="8"/>
      <c r="J553" s="9"/>
      <c r="K553" s="8"/>
      <c r="L553" s="8"/>
      <c r="M553" s="8"/>
      <c r="N553" s="8"/>
      <c r="O553" s="8"/>
      <c r="P553" s="8"/>
      <c r="Q553" s="8"/>
      <c r="R553" s="9"/>
      <c r="S553" s="8"/>
      <c r="T553" s="9"/>
      <c r="U553" s="10" t="str">
        <f aca="true">IF(B553="","",IF(OR(P553&lt;&gt;"",I553="می‌باشد"),"بسته",IF(AND(L553&lt;&gt;"",W553=""),"خطای فرمت تاریخ ایجاد",IF(AND(H553&lt;&gt;"",AA553=""),"خطای فرمت مهلت",IF(AND(H553&lt;&gt;"",AD553&lt;&gt;"",TODAY()&gt;AD553),"تاخیر",IF(L553&lt;&gt;"","در حال انجام",""))))))</f>
        <v/>
      </c>
      <c r="V553" s="7" t="n">
        <f aca="true">IF(U553="تاخیر",TODAY()-AD553,IF(AND(U553="بسته",AH553&lt;&gt;"",AD553&lt;&gt;"",AH553&gt;AD553),AH553-AD553,0))</f>
        <v>0</v>
      </c>
      <c r="W553" s="7" t="str">
        <f aca="false">IF(L553="","",VALUE(LEFT(L553,FIND("/",L553)-1)))</f>
        <v/>
      </c>
      <c r="X553" s="7" t="str">
        <f aca="false">IF(L553="","",VALUE(MID(L553,FIND("/",L553)+1,FIND("/",L553,FIND("/",L553)+1)-FIND("/",L553)-1)))</f>
        <v/>
      </c>
      <c r="Y553" s="7" t="str">
        <f aca="false">IF(L553="","",VALUE(MID(L553,FIND("/",L553,FIND("/",L553)+1)+1,LEN(L553)-FIND("/",L553,FIND("/",L553)+1))))</f>
        <v/>
      </c>
      <c r="Z553" s="7" t="str">
        <f aca="false">IF(OR(L553="",W553=""),"",IFERROR(INDEX('لیست‌ها'!$Q$3:$Q$53,MATCH(W553,'لیست‌ها'!$P$3:$P$53,0))+IF(X553&lt;=6,(X553-1)*31+Y553,IF(X553&lt;=11,186+(X553-7)*30+Y553,336+Y553))-1,""))</f>
        <v/>
      </c>
      <c r="AA553" s="7" t="str">
        <f aca="false">IF(H553="","",VALUE(LEFT(H553,FIND("/",H553)-1)))</f>
        <v/>
      </c>
      <c r="AB553" s="7" t="str">
        <f aca="false">IF(H553="","",VALUE(MID(H553,FIND("/",H553)+1,FIND("/",H553,FIND("/",H553)+1)-FIND("/",H553)-1)))</f>
        <v/>
      </c>
      <c r="AC553" s="7" t="str">
        <f aca="false">IF(H553="","",VALUE(MID(H553,FIND("/",H553,FIND("/",H553)+1)+1,LEN(H553)-FIND("/",H553,FIND("/",H553)+1))))</f>
        <v/>
      </c>
      <c r="AD553" s="7" t="str">
        <f aca="false">IF(OR(H553="",AA553=""),"",IFERROR(INDEX('لیست‌ها'!$Q$3:$Q$53,MATCH(AA553,'لیست‌ها'!$P$3:$P$53,0))+IF(AB553&lt;=6,(AB553-1)*31+AC553,IF(AB553&lt;=11,186+(AB553-7)*30+AC553,336+AC553))-1,""))</f>
        <v/>
      </c>
      <c r="AE553" s="7" t="str">
        <f aca="false">IF(P553="","",VALUE(LEFT(P553,FIND("/",P553)-1)))</f>
        <v/>
      </c>
      <c r="AF553" s="7" t="str">
        <f aca="false">IF(P553="","",VALUE(MID(P553,FIND("/",P553)+1,FIND("/",P553,FIND("/",P553)+1)-FIND("/",P553)-1)))</f>
        <v/>
      </c>
      <c r="AG553" s="7" t="str">
        <f aca="false">IF(P553="","",VALUE(MID(P553,FIND("/",P553,FIND("/",P553)+1)+1,LEN(P553)-FIND("/",P553,FIND("/",P553)+1))))</f>
        <v/>
      </c>
      <c r="AH553" s="7" t="str">
        <f aca="false">IF(OR(P553="",AE553=""),"",IFERROR(INDEX('لیست‌ها'!$Q$3:$Q$53,MATCH(AE553,'لیست‌ها'!$P$3:$P$53,0))+IF(AF553&lt;=6,(AF553-1)*31+AG553,IF(AF553&lt;=11,186+(AF553-7)*30+AG553,336+AG553))-1,""))</f>
        <v/>
      </c>
      <c r="AI553" s="7" t="str">
        <f aca="false">IF(W553="","",W553&amp;"-"&amp;TEXT(X553,"00"))</f>
        <v/>
      </c>
      <c r="AJ553" s="7" t="str">
        <f aca="false">IF(W553="","",W553*12+X553)</f>
        <v/>
      </c>
      <c r="AK553" s="7" t="str">
        <f aca="false">IF(U553="تاخیر",V553+ROW()/100000,"")</f>
        <v/>
      </c>
    </row>
    <row r="554" customFormat="false" ht="15" hidden="false" customHeight="false" outlineLevel="0" collapsed="false">
      <c r="A554" s="7" t="str">
        <f aca="false">IF(B554="","",ROW()-3)</f>
        <v/>
      </c>
      <c r="B554" s="8"/>
      <c r="C554" s="8"/>
      <c r="D554" s="8"/>
      <c r="E554" s="9"/>
      <c r="F554" s="9"/>
      <c r="G554" s="8"/>
      <c r="H554" s="8"/>
      <c r="I554" s="8"/>
      <c r="J554" s="9"/>
      <c r="K554" s="8"/>
      <c r="L554" s="8"/>
      <c r="M554" s="8"/>
      <c r="N554" s="8"/>
      <c r="O554" s="8"/>
      <c r="P554" s="8"/>
      <c r="Q554" s="8"/>
      <c r="R554" s="9"/>
      <c r="S554" s="8"/>
      <c r="T554" s="9"/>
      <c r="U554" s="10" t="str">
        <f aca="true">IF(B554="","",IF(OR(P554&lt;&gt;"",I554="می‌باشد"),"بسته",IF(AND(L554&lt;&gt;"",W554=""),"خطای فرمت تاریخ ایجاد",IF(AND(H554&lt;&gt;"",AA554=""),"خطای فرمت مهلت",IF(AND(H554&lt;&gt;"",AD554&lt;&gt;"",TODAY()&gt;AD554),"تاخیر",IF(L554&lt;&gt;"","در حال انجام",""))))))</f>
        <v/>
      </c>
      <c r="V554" s="7" t="n">
        <f aca="true">IF(U554="تاخیر",TODAY()-AD554,IF(AND(U554="بسته",AH554&lt;&gt;"",AD554&lt;&gt;"",AH554&gt;AD554),AH554-AD554,0))</f>
        <v>0</v>
      </c>
      <c r="W554" s="7" t="str">
        <f aca="false">IF(L554="","",VALUE(LEFT(L554,FIND("/",L554)-1)))</f>
        <v/>
      </c>
      <c r="X554" s="7" t="str">
        <f aca="false">IF(L554="","",VALUE(MID(L554,FIND("/",L554)+1,FIND("/",L554,FIND("/",L554)+1)-FIND("/",L554)-1)))</f>
        <v/>
      </c>
      <c r="Y554" s="7" t="str">
        <f aca="false">IF(L554="","",VALUE(MID(L554,FIND("/",L554,FIND("/",L554)+1)+1,LEN(L554)-FIND("/",L554,FIND("/",L554)+1))))</f>
        <v/>
      </c>
      <c r="Z554" s="7" t="str">
        <f aca="false">IF(OR(L554="",W554=""),"",IFERROR(INDEX('لیست‌ها'!$Q$3:$Q$53,MATCH(W554,'لیست‌ها'!$P$3:$P$53,0))+IF(X554&lt;=6,(X554-1)*31+Y554,IF(X554&lt;=11,186+(X554-7)*30+Y554,336+Y554))-1,""))</f>
        <v/>
      </c>
      <c r="AA554" s="7" t="str">
        <f aca="false">IF(H554="","",VALUE(LEFT(H554,FIND("/",H554)-1)))</f>
        <v/>
      </c>
      <c r="AB554" s="7" t="str">
        <f aca="false">IF(H554="","",VALUE(MID(H554,FIND("/",H554)+1,FIND("/",H554,FIND("/",H554)+1)-FIND("/",H554)-1)))</f>
        <v/>
      </c>
      <c r="AC554" s="7" t="str">
        <f aca="false">IF(H554="","",VALUE(MID(H554,FIND("/",H554,FIND("/",H554)+1)+1,LEN(H554)-FIND("/",H554,FIND("/",H554)+1))))</f>
        <v/>
      </c>
      <c r="AD554" s="7" t="str">
        <f aca="false">IF(OR(H554="",AA554=""),"",IFERROR(INDEX('لیست‌ها'!$Q$3:$Q$53,MATCH(AA554,'لیست‌ها'!$P$3:$P$53,0))+IF(AB554&lt;=6,(AB554-1)*31+AC554,IF(AB554&lt;=11,186+(AB554-7)*30+AC554,336+AC554))-1,""))</f>
        <v/>
      </c>
      <c r="AE554" s="7" t="str">
        <f aca="false">IF(P554="","",VALUE(LEFT(P554,FIND("/",P554)-1)))</f>
        <v/>
      </c>
      <c r="AF554" s="7" t="str">
        <f aca="false">IF(P554="","",VALUE(MID(P554,FIND("/",P554)+1,FIND("/",P554,FIND("/",P554)+1)-FIND("/",P554)-1)))</f>
        <v/>
      </c>
      <c r="AG554" s="7" t="str">
        <f aca="false">IF(P554="","",VALUE(MID(P554,FIND("/",P554,FIND("/",P554)+1)+1,LEN(P554)-FIND("/",P554,FIND("/",P554)+1))))</f>
        <v/>
      </c>
      <c r="AH554" s="7" t="str">
        <f aca="false">IF(OR(P554="",AE554=""),"",IFERROR(INDEX('لیست‌ها'!$Q$3:$Q$53,MATCH(AE554,'لیست‌ها'!$P$3:$P$53,0))+IF(AF554&lt;=6,(AF554-1)*31+AG554,IF(AF554&lt;=11,186+(AF554-7)*30+AG554,336+AG554))-1,""))</f>
        <v/>
      </c>
      <c r="AI554" s="7" t="str">
        <f aca="false">IF(W554="","",W554&amp;"-"&amp;TEXT(X554,"00"))</f>
        <v/>
      </c>
      <c r="AJ554" s="7" t="str">
        <f aca="false">IF(W554="","",W554*12+X554)</f>
        <v/>
      </c>
      <c r="AK554" s="7" t="str">
        <f aca="false">IF(U554="تاخیر",V554+ROW()/100000,"")</f>
        <v/>
      </c>
    </row>
    <row r="555" customFormat="false" ht="15" hidden="false" customHeight="false" outlineLevel="0" collapsed="false">
      <c r="A555" s="7" t="str">
        <f aca="false">IF(B555="","",ROW()-3)</f>
        <v/>
      </c>
      <c r="B555" s="8"/>
      <c r="C555" s="8"/>
      <c r="D555" s="8"/>
      <c r="E555" s="9"/>
      <c r="F555" s="9"/>
      <c r="G555" s="8"/>
      <c r="H555" s="8"/>
      <c r="I555" s="8"/>
      <c r="J555" s="9"/>
      <c r="K555" s="8"/>
      <c r="L555" s="8"/>
      <c r="M555" s="8"/>
      <c r="N555" s="8"/>
      <c r="O555" s="8"/>
      <c r="P555" s="8"/>
      <c r="Q555" s="8"/>
      <c r="R555" s="9"/>
      <c r="S555" s="8"/>
      <c r="T555" s="9"/>
      <c r="U555" s="10" t="str">
        <f aca="true">IF(B555="","",IF(OR(P555&lt;&gt;"",I555="می‌باشد"),"بسته",IF(AND(L555&lt;&gt;"",W555=""),"خطای فرمت تاریخ ایجاد",IF(AND(H555&lt;&gt;"",AA555=""),"خطای فرمت مهلت",IF(AND(H555&lt;&gt;"",AD555&lt;&gt;"",TODAY()&gt;AD555),"تاخیر",IF(L555&lt;&gt;"","در حال انجام",""))))))</f>
        <v/>
      </c>
      <c r="V555" s="7" t="n">
        <f aca="true">IF(U555="تاخیر",TODAY()-AD555,IF(AND(U555="بسته",AH555&lt;&gt;"",AD555&lt;&gt;"",AH555&gt;AD555),AH555-AD555,0))</f>
        <v>0</v>
      </c>
      <c r="W555" s="7" t="str">
        <f aca="false">IF(L555="","",VALUE(LEFT(L555,FIND("/",L555)-1)))</f>
        <v/>
      </c>
      <c r="X555" s="7" t="str">
        <f aca="false">IF(L555="","",VALUE(MID(L555,FIND("/",L555)+1,FIND("/",L555,FIND("/",L555)+1)-FIND("/",L555)-1)))</f>
        <v/>
      </c>
      <c r="Y555" s="7" t="str">
        <f aca="false">IF(L555="","",VALUE(MID(L555,FIND("/",L555,FIND("/",L555)+1)+1,LEN(L555)-FIND("/",L555,FIND("/",L555)+1))))</f>
        <v/>
      </c>
      <c r="Z555" s="7" t="str">
        <f aca="false">IF(OR(L555="",W555=""),"",IFERROR(INDEX('لیست‌ها'!$Q$3:$Q$53,MATCH(W555,'لیست‌ها'!$P$3:$P$53,0))+IF(X555&lt;=6,(X555-1)*31+Y555,IF(X555&lt;=11,186+(X555-7)*30+Y555,336+Y555))-1,""))</f>
        <v/>
      </c>
      <c r="AA555" s="7" t="str">
        <f aca="false">IF(H555="","",VALUE(LEFT(H555,FIND("/",H555)-1)))</f>
        <v/>
      </c>
      <c r="AB555" s="7" t="str">
        <f aca="false">IF(H555="","",VALUE(MID(H555,FIND("/",H555)+1,FIND("/",H555,FIND("/",H555)+1)-FIND("/",H555)-1)))</f>
        <v/>
      </c>
      <c r="AC555" s="7" t="str">
        <f aca="false">IF(H555="","",VALUE(MID(H555,FIND("/",H555,FIND("/",H555)+1)+1,LEN(H555)-FIND("/",H555,FIND("/",H555)+1))))</f>
        <v/>
      </c>
      <c r="AD555" s="7" t="str">
        <f aca="false">IF(OR(H555="",AA555=""),"",IFERROR(INDEX('لیست‌ها'!$Q$3:$Q$53,MATCH(AA555,'لیست‌ها'!$P$3:$P$53,0))+IF(AB555&lt;=6,(AB555-1)*31+AC555,IF(AB555&lt;=11,186+(AB555-7)*30+AC555,336+AC555))-1,""))</f>
        <v/>
      </c>
      <c r="AE555" s="7" t="str">
        <f aca="false">IF(P555="","",VALUE(LEFT(P555,FIND("/",P555)-1)))</f>
        <v/>
      </c>
      <c r="AF555" s="7" t="str">
        <f aca="false">IF(P555="","",VALUE(MID(P555,FIND("/",P555)+1,FIND("/",P555,FIND("/",P555)+1)-FIND("/",P555)-1)))</f>
        <v/>
      </c>
      <c r="AG555" s="7" t="str">
        <f aca="false">IF(P555="","",VALUE(MID(P555,FIND("/",P555,FIND("/",P555)+1)+1,LEN(P555)-FIND("/",P555,FIND("/",P555)+1))))</f>
        <v/>
      </c>
      <c r="AH555" s="7" t="str">
        <f aca="false">IF(OR(P555="",AE555=""),"",IFERROR(INDEX('لیست‌ها'!$Q$3:$Q$53,MATCH(AE555,'لیست‌ها'!$P$3:$P$53,0))+IF(AF555&lt;=6,(AF555-1)*31+AG555,IF(AF555&lt;=11,186+(AF555-7)*30+AG555,336+AG555))-1,""))</f>
        <v/>
      </c>
      <c r="AI555" s="7" t="str">
        <f aca="false">IF(W555="","",W555&amp;"-"&amp;TEXT(X555,"00"))</f>
        <v/>
      </c>
      <c r="AJ555" s="7" t="str">
        <f aca="false">IF(W555="","",W555*12+X555)</f>
        <v/>
      </c>
      <c r="AK555" s="7" t="str">
        <f aca="false">IF(U555="تاخیر",V555+ROW()/100000,"")</f>
        <v/>
      </c>
    </row>
    <row r="556" customFormat="false" ht="15" hidden="false" customHeight="false" outlineLevel="0" collapsed="false">
      <c r="A556" s="7" t="str">
        <f aca="false">IF(B556="","",ROW()-3)</f>
        <v/>
      </c>
      <c r="B556" s="8"/>
      <c r="C556" s="8"/>
      <c r="D556" s="8"/>
      <c r="E556" s="9"/>
      <c r="F556" s="9"/>
      <c r="G556" s="8"/>
      <c r="H556" s="8"/>
      <c r="I556" s="8"/>
      <c r="J556" s="9"/>
      <c r="K556" s="8"/>
      <c r="L556" s="8"/>
      <c r="M556" s="8"/>
      <c r="N556" s="8"/>
      <c r="O556" s="8"/>
      <c r="P556" s="8"/>
      <c r="Q556" s="8"/>
      <c r="R556" s="9"/>
      <c r="S556" s="8"/>
      <c r="T556" s="9"/>
      <c r="U556" s="10" t="str">
        <f aca="true">IF(B556="","",IF(OR(P556&lt;&gt;"",I556="می‌باشد"),"بسته",IF(AND(L556&lt;&gt;"",W556=""),"خطای فرمت تاریخ ایجاد",IF(AND(H556&lt;&gt;"",AA556=""),"خطای فرمت مهلت",IF(AND(H556&lt;&gt;"",AD556&lt;&gt;"",TODAY()&gt;AD556),"تاخیر",IF(L556&lt;&gt;"","در حال انجام",""))))))</f>
        <v/>
      </c>
      <c r="V556" s="7" t="n">
        <f aca="true">IF(U556="تاخیر",TODAY()-AD556,IF(AND(U556="بسته",AH556&lt;&gt;"",AD556&lt;&gt;"",AH556&gt;AD556),AH556-AD556,0))</f>
        <v>0</v>
      </c>
      <c r="W556" s="7" t="str">
        <f aca="false">IF(L556="","",VALUE(LEFT(L556,FIND("/",L556)-1)))</f>
        <v/>
      </c>
      <c r="X556" s="7" t="str">
        <f aca="false">IF(L556="","",VALUE(MID(L556,FIND("/",L556)+1,FIND("/",L556,FIND("/",L556)+1)-FIND("/",L556)-1)))</f>
        <v/>
      </c>
      <c r="Y556" s="7" t="str">
        <f aca="false">IF(L556="","",VALUE(MID(L556,FIND("/",L556,FIND("/",L556)+1)+1,LEN(L556)-FIND("/",L556,FIND("/",L556)+1))))</f>
        <v/>
      </c>
      <c r="Z556" s="7" t="str">
        <f aca="false">IF(OR(L556="",W556=""),"",IFERROR(INDEX('لیست‌ها'!$Q$3:$Q$53,MATCH(W556,'لیست‌ها'!$P$3:$P$53,0))+IF(X556&lt;=6,(X556-1)*31+Y556,IF(X556&lt;=11,186+(X556-7)*30+Y556,336+Y556))-1,""))</f>
        <v/>
      </c>
      <c r="AA556" s="7" t="str">
        <f aca="false">IF(H556="","",VALUE(LEFT(H556,FIND("/",H556)-1)))</f>
        <v/>
      </c>
      <c r="AB556" s="7" t="str">
        <f aca="false">IF(H556="","",VALUE(MID(H556,FIND("/",H556)+1,FIND("/",H556,FIND("/",H556)+1)-FIND("/",H556)-1)))</f>
        <v/>
      </c>
      <c r="AC556" s="7" t="str">
        <f aca="false">IF(H556="","",VALUE(MID(H556,FIND("/",H556,FIND("/",H556)+1)+1,LEN(H556)-FIND("/",H556,FIND("/",H556)+1))))</f>
        <v/>
      </c>
      <c r="AD556" s="7" t="str">
        <f aca="false">IF(OR(H556="",AA556=""),"",IFERROR(INDEX('لیست‌ها'!$Q$3:$Q$53,MATCH(AA556,'لیست‌ها'!$P$3:$P$53,0))+IF(AB556&lt;=6,(AB556-1)*31+AC556,IF(AB556&lt;=11,186+(AB556-7)*30+AC556,336+AC556))-1,""))</f>
        <v/>
      </c>
      <c r="AE556" s="7" t="str">
        <f aca="false">IF(P556="","",VALUE(LEFT(P556,FIND("/",P556)-1)))</f>
        <v/>
      </c>
      <c r="AF556" s="7" t="str">
        <f aca="false">IF(P556="","",VALUE(MID(P556,FIND("/",P556)+1,FIND("/",P556,FIND("/",P556)+1)-FIND("/",P556)-1)))</f>
        <v/>
      </c>
      <c r="AG556" s="7" t="str">
        <f aca="false">IF(P556="","",VALUE(MID(P556,FIND("/",P556,FIND("/",P556)+1)+1,LEN(P556)-FIND("/",P556,FIND("/",P556)+1))))</f>
        <v/>
      </c>
      <c r="AH556" s="7" t="str">
        <f aca="false">IF(OR(P556="",AE556=""),"",IFERROR(INDEX('لیست‌ها'!$Q$3:$Q$53,MATCH(AE556,'لیست‌ها'!$P$3:$P$53,0))+IF(AF556&lt;=6,(AF556-1)*31+AG556,IF(AF556&lt;=11,186+(AF556-7)*30+AG556,336+AG556))-1,""))</f>
        <v/>
      </c>
      <c r="AI556" s="7" t="str">
        <f aca="false">IF(W556="","",W556&amp;"-"&amp;TEXT(X556,"00"))</f>
        <v/>
      </c>
      <c r="AJ556" s="7" t="str">
        <f aca="false">IF(W556="","",W556*12+X556)</f>
        <v/>
      </c>
      <c r="AK556" s="7" t="str">
        <f aca="false">IF(U556="تاخیر",V556+ROW()/100000,"")</f>
        <v/>
      </c>
    </row>
    <row r="557" customFormat="false" ht="15" hidden="false" customHeight="false" outlineLevel="0" collapsed="false">
      <c r="A557" s="7" t="str">
        <f aca="false">IF(B557="","",ROW()-3)</f>
        <v/>
      </c>
      <c r="B557" s="8"/>
      <c r="C557" s="8"/>
      <c r="D557" s="8"/>
      <c r="E557" s="9"/>
      <c r="F557" s="9"/>
      <c r="G557" s="8"/>
      <c r="H557" s="8"/>
      <c r="I557" s="8"/>
      <c r="J557" s="9"/>
      <c r="K557" s="8"/>
      <c r="L557" s="8"/>
      <c r="M557" s="8"/>
      <c r="N557" s="8"/>
      <c r="O557" s="8"/>
      <c r="P557" s="8"/>
      <c r="Q557" s="8"/>
      <c r="R557" s="9"/>
      <c r="S557" s="8"/>
      <c r="T557" s="9"/>
      <c r="U557" s="10" t="str">
        <f aca="true">IF(B557="","",IF(OR(P557&lt;&gt;"",I557="می‌باشد"),"بسته",IF(AND(L557&lt;&gt;"",W557=""),"خطای فرمت تاریخ ایجاد",IF(AND(H557&lt;&gt;"",AA557=""),"خطای فرمت مهلت",IF(AND(H557&lt;&gt;"",AD557&lt;&gt;"",TODAY()&gt;AD557),"تاخیر",IF(L557&lt;&gt;"","در حال انجام",""))))))</f>
        <v/>
      </c>
      <c r="V557" s="7" t="n">
        <f aca="true">IF(U557="تاخیر",TODAY()-AD557,IF(AND(U557="بسته",AH557&lt;&gt;"",AD557&lt;&gt;"",AH557&gt;AD557),AH557-AD557,0))</f>
        <v>0</v>
      </c>
      <c r="W557" s="7" t="str">
        <f aca="false">IF(L557="","",VALUE(LEFT(L557,FIND("/",L557)-1)))</f>
        <v/>
      </c>
      <c r="X557" s="7" t="str">
        <f aca="false">IF(L557="","",VALUE(MID(L557,FIND("/",L557)+1,FIND("/",L557,FIND("/",L557)+1)-FIND("/",L557)-1)))</f>
        <v/>
      </c>
      <c r="Y557" s="7" t="str">
        <f aca="false">IF(L557="","",VALUE(MID(L557,FIND("/",L557,FIND("/",L557)+1)+1,LEN(L557)-FIND("/",L557,FIND("/",L557)+1))))</f>
        <v/>
      </c>
      <c r="Z557" s="7" t="str">
        <f aca="false">IF(OR(L557="",W557=""),"",IFERROR(INDEX('لیست‌ها'!$Q$3:$Q$53,MATCH(W557,'لیست‌ها'!$P$3:$P$53,0))+IF(X557&lt;=6,(X557-1)*31+Y557,IF(X557&lt;=11,186+(X557-7)*30+Y557,336+Y557))-1,""))</f>
        <v/>
      </c>
      <c r="AA557" s="7" t="str">
        <f aca="false">IF(H557="","",VALUE(LEFT(H557,FIND("/",H557)-1)))</f>
        <v/>
      </c>
      <c r="AB557" s="7" t="str">
        <f aca="false">IF(H557="","",VALUE(MID(H557,FIND("/",H557)+1,FIND("/",H557,FIND("/",H557)+1)-FIND("/",H557)-1)))</f>
        <v/>
      </c>
      <c r="AC557" s="7" t="str">
        <f aca="false">IF(H557="","",VALUE(MID(H557,FIND("/",H557,FIND("/",H557)+1)+1,LEN(H557)-FIND("/",H557,FIND("/",H557)+1))))</f>
        <v/>
      </c>
      <c r="AD557" s="7" t="str">
        <f aca="false">IF(OR(H557="",AA557=""),"",IFERROR(INDEX('لیست‌ها'!$Q$3:$Q$53,MATCH(AA557,'لیست‌ها'!$P$3:$P$53,0))+IF(AB557&lt;=6,(AB557-1)*31+AC557,IF(AB557&lt;=11,186+(AB557-7)*30+AC557,336+AC557))-1,""))</f>
        <v/>
      </c>
      <c r="AE557" s="7" t="str">
        <f aca="false">IF(P557="","",VALUE(LEFT(P557,FIND("/",P557)-1)))</f>
        <v/>
      </c>
      <c r="AF557" s="7" t="str">
        <f aca="false">IF(P557="","",VALUE(MID(P557,FIND("/",P557)+1,FIND("/",P557,FIND("/",P557)+1)-FIND("/",P557)-1)))</f>
        <v/>
      </c>
      <c r="AG557" s="7" t="str">
        <f aca="false">IF(P557="","",VALUE(MID(P557,FIND("/",P557,FIND("/",P557)+1)+1,LEN(P557)-FIND("/",P557,FIND("/",P557)+1))))</f>
        <v/>
      </c>
      <c r="AH557" s="7" t="str">
        <f aca="false">IF(OR(P557="",AE557=""),"",IFERROR(INDEX('لیست‌ها'!$Q$3:$Q$53,MATCH(AE557,'لیست‌ها'!$P$3:$P$53,0))+IF(AF557&lt;=6,(AF557-1)*31+AG557,IF(AF557&lt;=11,186+(AF557-7)*30+AG557,336+AG557))-1,""))</f>
        <v/>
      </c>
      <c r="AI557" s="7" t="str">
        <f aca="false">IF(W557="","",W557&amp;"-"&amp;TEXT(X557,"00"))</f>
        <v/>
      </c>
      <c r="AJ557" s="7" t="str">
        <f aca="false">IF(W557="","",W557*12+X557)</f>
        <v/>
      </c>
      <c r="AK557" s="7" t="str">
        <f aca="false">IF(U557="تاخیر",V557+ROW()/100000,"")</f>
        <v/>
      </c>
    </row>
    <row r="558" customFormat="false" ht="15" hidden="false" customHeight="false" outlineLevel="0" collapsed="false">
      <c r="A558" s="7" t="str">
        <f aca="false">IF(B558="","",ROW()-3)</f>
        <v/>
      </c>
      <c r="B558" s="8"/>
      <c r="C558" s="8"/>
      <c r="D558" s="8"/>
      <c r="E558" s="9"/>
      <c r="F558" s="9"/>
      <c r="G558" s="8"/>
      <c r="H558" s="8"/>
      <c r="I558" s="8"/>
      <c r="J558" s="9"/>
      <c r="K558" s="8"/>
      <c r="L558" s="8"/>
      <c r="M558" s="8"/>
      <c r="N558" s="8"/>
      <c r="O558" s="8"/>
      <c r="P558" s="8"/>
      <c r="Q558" s="8"/>
      <c r="R558" s="9"/>
      <c r="S558" s="8"/>
      <c r="T558" s="9"/>
      <c r="U558" s="10" t="str">
        <f aca="true">IF(B558="","",IF(OR(P558&lt;&gt;"",I558="می‌باشد"),"بسته",IF(AND(L558&lt;&gt;"",W558=""),"خطای فرمت تاریخ ایجاد",IF(AND(H558&lt;&gt;"",AA558=""),"خطای فرمت مهلت",IF(AND(H558&lt;&gt;"",AD558&lt;&gt;"",TODAY()&gt;AD558),"تاخیر",IF(L558&lt;&gt;"","در حال انجام",""))))))</f>
        <v/>
      </c>
      <c r="V558" s="7" t="n">
        <f aca="true">IF(U558="تاخیر",TODAY()-AD558,IF(AND(U558="بسته",AH558&lt;&gt;"",AD558&lt;&gt;"",AH558&gt;AD558),AH558-AD558,0))</f>
        <v>0</v>
      </c>
      <c r="W558" s="7" t="str">
        <f aca="false">IF(L558="","",VALUE(LEFT(L558,FIND("/",L558)-1)))</f>
        <v/>
      </c>
      <c r="X558" s="7" t="str">
        <f aca="false">IF(L558="","",VALUE(MID(L558,FIND("/",L558)+1,FIND("/",L558,FIND("/",L558)+1)-FIND("/",L558)-1)))</f>
        <v/>
      </c>
      <c r="Y558" s="7" t="str">
        <f aca="false">IF(L558="","",VALUE(MID(L558,FIND("/",L558,FIND("/",L558)+1)+1,LEN(L558)-FIND("/",L558,FIND("/",L558)+1))))</f>
        <v/>
      </c>
      <c r="Z558" s="7" t="str">
        <f aca="false">IF(OR(L558="",W558=""),"",IFERROR(INDEX('لیست‌ها'!$Q$3:$Q$53,MATCH(W558,'لیست‌ها'!$P$3:$P$53,0))+IF(X558&lt;=6,(X558-1)*31+Y558,IF(X558&lt;=11,186+(X558-7)*30+Y558,336+Y558))-1,""))</f>
        <v/>
      </c>
      <c r="AA558" s="7" t="str">
        <f aca="false">IF(H558="","",VALUE(LEFT(H558,FIND("/",H558)-1)))</f>
        <v/>
      </c>
      <c r="AB558" s="7" t="str">
        <f aca="false">IF(H558="","",VALUE(MID(H558,FIND("/",H558)+1,FIND("/",H558,FIND("/",H558)+1)-FIND("/",H558)-1)))</f>
        <v/>
      </c>
      <c r="AC558" s="7" t="str">
        <f aca="false">IF(H558="","",VALUE(MID(H558,FIND("/",H558,FIND("/",H558)+1)+1,LEN(H558)-FIND("/",H558,FIND("/",H558)+1))))</f>
        <v/>
      </c>
      <c r="AD558" s="7" t="str">
        <f aca="false">IF(OR(H558="",AA558=""),"",IFERROR(INDEX('لیست‌ها'!$Q$3:$Q$53,MATCH(AA558,'لیست‌ها'!$P$3:$P$53,0))+IF(AB558&lt;=6,(AB558-1)*31+AC558,IF(AB558&lt;=11,186+(AB558-7)*30+AC558,336+AC558))-1,""))</f>
        <v/>
      </c>
      <c r="AE558" s="7" t="str">
        <f aca="false">IF(P558="","",VALUE(LEFT(P558,FIND("/",P558)-1)))</f>
        <v/>
      </c>
      <c r="AF558" s="7" t="str">
        <f aca="false">IF(P558="","",VALUE(MID(P558,FIND("/",P558)+1,FIND("/",P558,FIND("/",P558)+1)-FIND("/",P558)-1)))</f>
        <v/>
      </c>
      <c r="AG558" s="7" t="str">
        <f aca="false">IF(P558="","",VALUE(MID(P558,FIND("/",P558,FIND("/",P558)+1)+1,LEN(P558)-FIND("/",P558,FIND("/",P558)+1))))</f>
        <v/>
      </c>
      <c r="AH558" s="7" t="str">
        <f aca="false">IF(OR(P558="",AE558=""),"",IFERROR(INDEX('لیست‌ها'!$Q$3:$Q$53,MATCH(AE558,'لیست‌ها'!$P$3:$P$53,0))+IF(AF558&lt;=6,(AF558-1)*31+AG558,IF(AF558&lt;=11,186+(AF558-7)*30+AG558,336+AG558))-1,""))</f>
        <v/>
      </c>
      <c r="AI558" s="7" t="str">
        <f aca="false">IF(W558="","",W558&amp;"-"&amp;TEXT(X558,"00"))</f>
        <v/>
      </c>
      <c r="AJ558" s="7" t="str">
        <f aca="false">IF(W558="","",W558*12+X558)</f>
        <v/>
      </c>
      <c r="AK558" s="7" t="str">
        <f aca="false">IF(U558="تاخیر",V558+ROW()/100000,"")</f>
        <v/>
      </c>
    </row>
    <row r="559" customFormat="false" ht="15" hidden="false" customHeight="false" outlineLevel="0" collapsed="false">
      <c r="A559" s="7" t="str">
        <f aca="false">IF(B559="","",ROW()-3)</f>
        <v/>
      </c>
      <c r="B559" s="8"/>
      <c r="C559" s="8"/>
      <c r="D559" s="8"/>
      <c r="E559" s="9"/>
      <c r="F559" s="9"/>
      <c r="G559" s="8"/>
      <c r="H559" s="8"/>
      <c r="I559" s="8"/>
      <c r="J559" s="9"/>
      <c r="K559" s="8"/>
      <c r="L559" s="8"/>
      <c r="M559" s="8"/>
      <c r="N559" s="8"/>
      <c r="O559" s="8"/>
      <c r="P559" s="8"/>
      <c r="Q559" s="8"/>
      <c r="R559" s="9"/>
      <c r="S559" s="8"/>
      <c r="T559" s="9"/>
      <c r="U559" s="10" t="str">
        <f aca="true">IF(B559="","",IF(OR(P559&lt;&gt;"",I559="می‌باشد"),"بسته",IF(AND(L559&lt;&gt;"",W559=""),"خطای فرمت تاریخ ایجاد",IF(AND(H559&lt;&gt;"",AA559=""),"خطای فرمت مهلت",IF(AND(H559&lt;&gt;"",AD559&lt;&gt;"",TODAY()&gt;AD559),"تاخیر",IF(L559&lt;&gt;"","در حال انجام",""))))))</f>
        <v/>
      </c>
      <c r="V559" s="7" t="n">
        <f aca="true">IF(U559="تاخیر",TODAY()-AD559,IF(AND(U559="بسته",AH559&lt;&gt;"",AD559&lt;&gt;"",AH559&gt;AD559),AH559-AD559,0))</f>
        <v>0</v>
      </c>
      <c r="W559" s="7" t="str">
        <f aca="false">IF(L559="","",VALUE(LEFT(L559,FIND("/",L559)-1)))</f>
        <v/>
      </c>
      <c r="X559" s="7" t="str">
        <f aca="false">IF(L559="","",VALUE(MID(L559,FIND("/",L559)+1,FIND("/",L559,FIND("/",L559)+1)-FIND("/",L559)-1)))</f>
        <v/>
      </c>
      <c r="Y559" s="7" t="str">
        <f aca="false">IF(L559="","",VALUE(MID(L559,FIND("/",L559,FIND("/",L559)+1)+1,LEN(L559)-FIND("/",L559,FIND("/",L559)+1))))</f>
        <v/>
      </c>
      <c r="Z559" s="7" t="str">
        <f aca="false">IF(OR(L559="",W559=""),"",IFERROR(INDEX('لیست‌ها'!$Q$3:$Q$53,MATCH(W559,'لیست‌ها'!$P$3:$P$53,0))+IF(X559&lt;=6,(X559-1)*31+Y559,IF(X559&lt;=11,186+(X559-7)*30+Y559,336+Y559))-1,""))</f>
        <v/>
      </c>
      <c r="AA559" s="7" t="str">
        <f aca="false">IF(H559="","",VALUE(LEFT(H559,FIND("/",H559)-1)))</f>
        <v/>
      </c>
      <c r="AB559" s="7" t="str">
        <f aca="false">IF(H559="","",VALUE(MID(H559,FIND("/",H559)+1,FIND("/",H559,FIND("/",H559)+1)-FIND("/",H559)-1)))</f>
        <v/>
      </c>
      <c r="AC559" s="7" t="str">
        <f aca="false">IF(H559="","",VALUE(MID(H559,FIND("/",H559,FIND("/",H559)+1)+1,LEN(H559)-FIND("/",H559,FIND("/",H559)+1))))</f>
        <v/>
      </c>
      <c r="AD559" s="7" t="str">
        <f aca="false">IF(OR(H559="",AA559=""),"",IFERROR(INDEX('لیست‌ها'!$Q$3:$Q$53,MATCH(AA559,'لیست‌ها'!$P$3:$P$53,0))+IF(AB559&lt;=6,(AB559-1)*31+AC559,IF(AB559&lt;=11,186+(AB559-7)*30+AC559,336+AC559))-1,""))</f>
        <v/>
      </c>
      <c r="AE559" s="7" t="str">
        <f aca="false">IF(P559="","",VALUE(LEFT(P559,FIND("/",P559)-1)))</f>
        <v/>
      </c>
      <c r="AF559" s="7" t="str">
        <f aca="false">IF(P559="","",VALUE(MID(P559,FIND("/",P559)+1,FIND("/",P559,FIND("/",P559)+1)-FIND("/",P559)-1)))</f>
        <v/>
      </c>
      <c r="AG559" s="7" t="str">
        <f aca="false">IF(P559="","",VALUE(MID(P559,FIND("/",P559,FIND("/",P559)+1)+1,LEN(P559)-FIND("/",P559,FIND("/",P559)+1))))</f>
        <v/>
      </c>
      <c r="AH559" s="7" t="str">
        <f aca="false">IF(OR(P559="",AE559=""),"",IFERROR(INDEX('لیست‌ها'!$Q$3:$Q$53,MATCH(AE559,'لیست‌ها'!$P$3:$P$53,0))+IF(AF559&lt;=6,(AF559-1)*31+AG559,IF(AF559&lt;=11,186+(AF559-7)*30+AG559,336+AG559))-1,""))</f>
        <v/>
      </c>
      <c r="AI559" s="7" t="str">
        <f aca="false">IF(W559="","",W559&amp;"-"&amp;TEXT(X559,"00"))</f>
        <v/>
      </c>
      <c r="AJ559" s="7" t="str">
        <f aca="false">IF(W559="","",W559*12+X559)</f>
        <v/>
      </c>
      <c r="AK559" s="7" t="str">
        <f aca="false">IF(U559="تاخیر",V559+ROW()/100000,"")</f>
        <v/>
      </c>
    </row>
    <row r="560" customFormat="false" ht="15" hidden="false" customHeight="false" outlineLevel="0" collapsed="false">
      <c r="A560" s="7" t="str">
        <f aca="false">IF(B560="","",ROW()-3)</f>
        <v/>
      </c>
      <c r="B560" s="8"/>
      <c r="C560" s="8"/>
      <c r="D560" s="8"/>
      <c r="E560" s="9"/>
      <c r="F560" s="9"/>
      <c r="G560" s="8"/>
      <c r="H560" s="8"/>
      <c r="I560" s="8"/>
      <c r="J560" s="9"/>
      <c r="K560" s="8"/>
      <c r="L560" s="8"/>
      <c r="M560" s="8"/>
      <c r="N560" s="8"/>
      <c r="O560" s="8"/>
      <c r="P560" s="8"/>
      <c r="Q560" s="8"/>
      <c r="R560" s="9"/>
      <c r="S560" s="8"/>
      <c r="T560" s="9"/>
      <c r="U560" s="10" t="str">
        <f aca="true">IF(B560="","",IF(OR(P560&lt;&gt;"",I560="می‌باشد"),"بسته",IF(AND(L560&lt;&gt;"",W560=""),"خطای فرمت تاریخ ایجاد",IF(AND(H560&lt;&gt;"",AA560=""),"خطای فرمت مهلت",IF(AND(H560&lt;&gt;"",AD560&lt;&gt;"",TODAY()&gt;AD560),"تاخیر",IF(L560&lt;&gt;"","در حال انجام",""))))))</f>
        <v/>
      </c>
      <c r="V560" s="7" t="n">
        <f aca="true">IF(U560="تاخیر",TODAY()-AD560,IF(AND(U560="بسته",AH560&lt;&gt;"",AD560&lt;&gt;"",AH560&gt;AD560),AH560-AD560,0))</f>
        <v>0</v>
      </c>
      <c r="W560" s="7" t="str">
        <f aca="false">IF(L560="","",VALUE(LEFT(L560,FIND("/",L560)-1)))</f>
        <v/>
      </c>
      <c r="X560" s="7" t="str">
        <f aca="false">IF(L560="","",VALUE(MID(L560,FIND("/",L560)+1,FIND("/",L560,FIND("/",L560)+1)-FIND("/",L560)-1)))</f>
        <v/>
      </c>
      <c r="Y560" s="7" t="str">
        <f aca="false">IF(L560="","",VALUE(MID(L560,FIND("/",L560,FIND("/",L560)+1)+1,LEN(L560)-FIND("/",L560,FIND("/",L560)+1))))</f>
        <v/>
      </c>
      <c r="Z560" s="7" t="str">
        <f aca="false">IF(OR(L560="",W560=""),"",IFERROR(INDEX('لیست‌ها'!$Q$3:$Q$53,MATCH(W560,'لیست‌ها'!$P$3:$P$53,0))+IF(X560&lt;=6,(X560-1)*31+Y560,IF(X560&lt;=11,186+(X560-7)*30+Y560,336+Y560))-1,""))</f>
        <v/>
      </c>
      <c r="AA560" s="7" t="str">
        <f aca="false">IF(H560="","",VALUE(LEFT(H560,FIND("/",H560)-1)))</f>
        <v/>
      </c>
      <c r="AB560" s="7" t="str">
        <f aca="false">IF(H560="","",VALUE(MID(H560,FIND("/",H560)+1,FIND("/",H560,FIND("/",H560)+1)-FIND("/",H560)-1)))</f>
        <v/>
      </c>
      <c r="AC560" s="7" t="str">
        <f aca="false">IF(H560="","",VALUE(MID(H560,FIND("/",H560,FIND("/",H560)+1)+1,LEN(H560)-FIND("/",H560,FIND("/",H560)+1))))</f>
        <v/>
      </c>
      <c r="AD560" s="7" t="str">
        <f aca="false">IF(OR(H560="",AA560=""),"",IFERROR(INDEX('لیست‌ها'!$Q$3:$Q$53,MATCH(AA560,'لیست‌ها'!$P$3:$P$53,0))+IF(AB560&lt;=6,(AB560-1)*31+AC560,IF(AB560&lt;=11,186+(AB560-7)*30+AC560,336+AC560))-1,""))</f>
        <v/>
      </c>
      <c r="AE560" s="7" t="str">
        <f aca="false">IF(P560="","",VALUE(LEFT(P560,FIND("/",P560)-1)))</f>
        <v/>
      </c>
      <c r="AF560" s="7" t="str">
        <f aca="false">IF(P560="","",VALUE(MID(P560,FIND("/",P560)+1,FIND("/",P560,FIND("/",P560)+1)-FIND("/",P560)-1)))</f>
        <v/>
      </c>
      <c r="AG560" s="7" t="str">
        <f aca="false">IF(P560="","",VALUE(MID(P560,FIND("/",P560,FIND("/",P560)+1)+1,LEN(P560)-FIND("/",P560,FIND("/",P560)+1))))</f>
        <v/>
      </c>
      <c r="AH560" s="7" t="str">
        <f aca="false">IF(OR(P560="",AE560=""),"",IFERROR(INDEX('لیست‌ها'!$Q$3:$Q$53,MATCH(AE560,'لیست‌ها'!$P$3:$P$53,0))+IF(AF560&lt;=6,(AF560-1)*31+AG560,IF(AF560&lt;=11,186+(AF560-7)*30+AG560,336+AG560))-1,""))</f>
        <v/>
      </c>
      <c r="AI560" s="7" t="str">
        <f aca="false">IF(W560="","",W560&amp;"-"&amp;TEXT(X560,"00"))</f>
        <v/>
      </c>
      <c r="AJ560" s="7" t="str">
        <f aca="false">IF(W560="","",W560*12+X560)</f>
        <v/>
      </c>
      <c r="AK560" s="7" t="str">
        <f aca="false">IF(U560="تاخیر",V560+ROW()/100000,"")</f>
        <v/>
      </c>
    </row>
    <row r="561" customFormat="false" ht="15" hidden="false" customHeight="false" outlineLevel="0" collapsed="false">
      <c r="A561" s="7" t="str">
        <f aca="false">IF(B561="","",ROW()-3)</f>
        <v/>
      </c>
      <c r="B561" s="8"/>
      <c r="C561" s="8"/>
      <c r="D561" s="8"/>
      <c r="E561" s="9"/>
      <c r="F561" s="9"/>
      <c r="G561" s="8"/>
      <c r="H561" s="8"/>
      <c r="I561" s="8"/>
      <c r="J561" s="9"/>
      <c r="K561" s="8"/>
      <c r="L561" s="8"/>
      <c r="M561" s="8"/>
      <c r="N561" s="8"/>
      <c r="O561" s="8"/>
      <c r="P561" s="8"/>
      <c r="Q561" s="8"/>
      <c r="R561" s="9"/>
      <c r="S561" s="8"/>
      <c r="T561" s="9"/>
      <c r="U561" s="10" t="str">
        <f aca="true">IF(B561="","",IF(OR(P561&lt;&gt;"",I561="می‌باشد"),"بسته",IF(AND(L561&lt;&gt;"",W561=""),"خطای فرمت تاریخ ایجاد",IF(AND(H561&lt;&gt;"",AA561=""),"خطای فرمت مهلت",IF(AND(H561&lt;&gt;"",AD561&lt;&gt;"",TODAY()&gt;AD561),"تاخیر",IF(L561&lt;&gt;"","در حال انجام",""))))))</f>
        <v/>
      </c>
      <c r="V561" s="7" t="n">
        <f aca="true">IF(U561="تاخیر",TODAY()-AD561,IF(AND(U561="بسته",AH561&lt;&gt;"",AD561&lt;&gt;"",AH561&gt;AD561),AH561-AD561,0))</f>
        <v>0</v>
      </c>
      <c r="W561" s="7" t="str">
        <f aca="false">IF(L561="","",VALUE(LEFT(L561,FIND("/",L561)-1)))</f>
        <v/>
      </c>
      <c r="X561" s="7" t="str">
        <f aca="false">IF(L561="","",VALUE(MID(L561,FIND("/",L561)+1,FIND("/",L561,FIND("/",L561)+1)-FIND("/",L561)-1)))</f>
        <v/>
      </c>
      <c r="Y561" s="7" t="str">
        <f aca="false">IF(L561="","",VALUE(MID(L561,FIND("/",L561,FIND("/",L561)+1)+1,LEN(L561)-FIND("/",L561,FIND("/",L561)+1))))</f>
        <v/>
      </c>
      <c r="Z561" s="7" t="str">
        <f aca="false">IF(OR(L561="",W561=""),"",IFERROR(INDEX('لیست‌ها'!$Q$3:$Q$53,MATCH(W561,'لیست‌ها'!$P$3:$P$53,0))+IF(X561&lt;=6,(X561-1)*31+Y561,IF(X561&lt;=11,186+(X561-7)*30+Y561,336+Y561))-1,""))</f>
        <v/>
      </c>
      <c r="AA561" s="7" t="str">
        <f aca="false">IF(H561="","",VALUE(LEFT(H561,FIND("/",H561)-1)))</f>
        <v/>
      </c>
      <c r="AB561" s="7" t="str">
        <f aca="false">IF(H561="","",VALUE(MID(H561,FIND("/",H561)+1,FIND("/",H561,FIND("/",H561)+1)-FIND("/",H561)-1)))</f>
        <v/>
      </c>
      <c r="AC561" s="7" t="str">
        <f aca="false">IF(H561="","",VALUE(MID(H561,FIND("/",H561,FIND("/",H561)+1)+1,LEN(H561)-FIND("/",H561,FIND("/",H561)+1))))</f>
        <v/>
      </c>
      <c r="AD561" s="7" t="str">
        <f aca="false">IF(OR(H561="",AA561=""),"",IFERROR(INDEX('لیست‌ها'!$Q$3:$Q$53,MATCH(AA561,'لیست‌ها'!$P$3:$P$53,0))+IF(AB561&lt;=6,(AB561-1)*31+AC561,IF(AB561&lt;=11,186+(AB561-7)*30+AC561,336+AC561))-1,""))</f>
        <v/>
      </c>
      <c r="AE561" s="7" t="str">
        <f aca="false">IF(P561="","",VALUE(LEFT(P561,FIND("/",P561)-1)))</f>
        <v/>
      </c>
      <c r="AF561" s="7" t="str">
        <f aca="false">IF(P561="","",VALUE(MID(P561,FIND("/",P561)+1,FIND("/",P561,FIND("/",P561)+1)-FIND("/",P561)-1)))</f>
        <v/>
      </c>
      <c r="AG561" s="7" t="str">
        <f aca="false">IF(P561="","",VALUE(MID(P561,FIND("/",P561,FIND("/",P561)+1)+1,LEN(P561)-FIND("/",P561,FIND("/",P561)+1))))</f>
        <v/>
      </c>
      <c r="AH561" s="7" t="str">
        <f aca="false">IF(OR(P561="",AE561=""),"",IFERROR(INDEX('لیست‌ها'!$Q$3:$Q$53,MATCH(AE561,'لیست‌ها'!$P$3:$P$53,0))+IF(AF561&lt;=6,(AF561-1)*31+AG561,IF(AF561&lt;=11,186+(AF561-7)*30+AG561,336+AG561))-1,""))</f>
        <v/>
      </c>
      <c r="AI561" s="7" t="str">
        <f aca="false">IF(W561="","",W561&amp;"-"&amp;TEXT(X561,"00"))</f>
        <v/>
      </c>
      <c r="AJ561" s="7" t="str">
        <f aca="false">IF(W561="","",W561*12+X561)</f>
        <v/>
      </c>
      <c r="AK561" s="7" t="str">
        <f aca="false">IF(U561="تاخیر",V561+ROW()/100000,"")</f>
        <v/>
      </c>
    </row>
    <row r="562" customFormat="false" ht="15" hidden="false" customHeight="false" outlineLevel="0" collapsed="false">
      <c r="A562" s="7" t="str">
        <f aca="false">IF(B562="","",ROW()-3)</f>
        <v/>
      </c>
      <c r="B562" s="8"/>
      <c r="C562" s="8"/>
      <c r="D562" s="8"/>
      <c r="E562" s="9"/>
      <c r="F562" s="9"/>
      <c r="G562" s="8"/>
      <c r="H562" s="8"/>
      <c r="I562" s="8"/>
      <c r="J562" s="9"/>
      <c r="K562" s="8"/>
      <c r="L562" s="8"/>
      <c r="M562" s="8"/>
      <c r="N562" s="8"/>
      <c r="O562" s="8"/>
      <c r="P562" s="8"/>
      <c r="Q562" s="8"/>
      <c r="R562" s="9"/>
      <c r="S562" s="8"/>
      <c r="T562" s="9"/>
      <c r="U562" s="10" t="str">
        <f aca="true">IF(B562="","",IF(OR(P562&lt;&gt;"",I562="می‌باشد"),"بسته",IF(AND(L562&lt;&gt;"",W562=""),"خطای فرمت تاریخ ایجاد",IF(AND(H562&lt;&gt;"",AA562=""),"خطای فرمت مهلت",IF(AND(H562&lt;&gt;"",AD562&lt;&gt;"",TODAY()&gt;AD562),"تاخیر",IF(L562&lt;&gt;"","در حال انجام",""))))))</f>
        <v/>
      </c>
      <c r="V562" s="7" t="n">
        <f aca="true">IF(U562="تاخیر",TODAY()-AD562,IF(AND(U562="بسته",AH562&lt;&gt;"",AD562&lt;&gt;"",AH562&gt;AD562),AH562-AD562,0))</f>
        <v>0</v>
      </c>
      <c r="W562" s="7" t="str">
        <f aca="false">IF(L562="","",VALUE(LEFT(L562,FIND("/",L562)-1)))</f>
        <v/>
      </c>
      <c r="X562" s="7" t="str">
        <f aca="false">IF(L562="","",VALUE(MID(L562,FIND("/",L562)+1,FIND("/",L562,FIND("/",L562)+1)-FIND("/",L562)-1)))</f>
        <v/>
      </c>
      <c r="Y562" s="7" t="str">
        <f aca="false">IF(L562="","",VALUE(MID(L562,FIND("/",L562,FIND("/",L562)+1)+1,LEN(L562)-FIND("/",L562,FIND("/",L562)+1))))</f>
        <v/>
      </c>
      <c r="Z562" s="7" t="str">
        <f aca="false">IF(OR(L562="",W562=""),"",IFERROR(INDEX('لیست‌ها'!$Q$3:$Q$53,MATCH(W562,'لیست‌ها'!$P$3:$P$53,0))+IF(X562&lt;=6,(X562-1)*31+Y562,IF(X562&lt;=11,186+(X562-7)*30+Y562,336+Y562))-1,""))</f>
        <v/>
      </c>
      <c r="AA562" s="7" t="str">
        <f aca="false">IF(H562="","",VALUE(LEFT(H562,FIND("/",H562)-1)))</f>
        <v/>
      </c>
      <c r="AB562" s="7" t="str">
        <f aca="false">IF(H562="","",VALUE(MID(H562,FIND("/",H562)+1,FIND("/",H562,FIND("/",H562)+1)-FIND("/",H562)-1)))</f>
        <v/>
      </c>
      <c r="AC562" s="7" t="str">
        <f aca="false">IF(H562="","",VALUE(MID(H562,FIND("/",H562,FIND("/",H562)+1)+1,LEN(H562)-FIND("/",H562,FIND("/",H562)+1))))</f>
        <v/>
      </c>
      <c r="AD562" s="7" t="str">
        <f aca="false">IF(OR(H562="",AA562=""),"",IFERROR(INDEX('لیست‌ها'!$Q$3:$Q$53,MATCH(AA562,'لیست‌ها'!$P$3:$P$53,0))+IF(AB562&lt;=6,(AB562-1)*31+AC562,IF(AB562&lt;=11,186+(AB562-7)*30+AC562,336+AC562))-1,""))</f>
        <v/>
      </c>
      <c r="AE562" s="7" t="str">
        <f aca="false">IF(P562="","",VALUE(LEFT(P562,FIND("/",P562)-1)))</f>
        <v/>
      </c>
      <c r="AF562" s="7" t="str">
        <f aca="false">IF(P562="","",VALUE(MID(P562,FIND("/",P562)+1,FIND("/",P562,FIND("/",P562)+1)-FIND("/",P562)-1)))</f>
        <v/>
      </c>
      <c r="AG562" s="7" t="str">
        <f aca="false">IF(P562="","",VALUE(MID(P562,FIND("/",P562,FIND("/",P562)+1)+1,LEN(P562)-FIND("/",P562,FIND("/",P562)+1))))</f>
        <v/>
      </c>
      <c r="AH562" s="7" t="str">
        <f aca="false">IF(OR(P562="",AE562=""),"",IFERROR(INDEX('لیست‌ها'!$Q$3:$Q$53,MATCH(AE562,'لیست‌ها'!$P$3:$P$53,0))+IF(AF562&lt;=6,(AF562-1)*31+AG562,IF(AF562&lt;=11,186+(AF562-7)*30+AG562,336+AG562))-1,""))</f>
        <v/>
      </c>
      <c r="AI562" s="7" t="str">
        <f aca="false">IF(W562="","",W562&amp;"-"&amp;TEXT(X562,"00"))</f>
        <v/>
      </c>
      <c r="AJ562" s="7" t="str">
        <f aca="false">IF(W562="","",W562*12+X562)</f>
        <v/>
      </c>
      <c r="AK562" s="7" t="str">
        <f aca="false">IF(U562="تاخیر",V562+ROW()/100000,"")</f>
        <v/>
      </c>
    </row>
    <row r="563" customFormat="false" ht="15" hidden="false" customHeight="false" outlineLevel="0" collapsed="false">
      <c r="A563" s="7" t="str">
        <f aca="false">IF(B563="","",ROW()-3)</f>
        <v/>
      </c>
      <c r="B563" s="8"/>
      <c r="C563" s="8"/>
      <c r="D563" s="8"/>
      <c r="E563" s="9"/>
      <c r="F563" s="9"/>
      <c r="G563" s="8"/>
      <c r="H563" s="8"/>
      <c r="I563" s="8"/>
      <c r="J563" s="9"/>
      <c r="K563" s="8"/>
      <c r="L563" s="8"/>
      <c r="M563" s="8"/>
      <c r="N563" s="8"/>
      <c r="O563" s="8"/>
      <c r="P563" s="8"/>
      <c r="Q563" s="8"/>
      <c r="R563" s="9"/>
      <c r="S563" s="8"/>
      <c r="T563" s="9"/>
      <c r="U563" s="10" t="str">
        <f aca="true">IF(B563="","",IF(OR(P563&lt;&gt;"",I563="می‌باشد"),"بسته",IF(AND(L563&lt;&gt;"",W563=""),"خطای فرمت تاریخ ایجاد",IF(AND(H563&lt;&gt;"",AA563=""),"خطای فرمت مهلت",IF(AND(H563&lt;&gt;"",AD563&lt;&gt;"",TODAY()&gt;AD563),"تاخیر",IF(L563&lt;&gt;"","در حال انجام",""))))))</f>
        <v/>
      </c>
      <c r="V563" s="7" t="n">
        <f aca="true">IF(U563="تاخیر",TODAY()-AD563,IF(AND(U563="بسته",AH563&lt;&gt;"",AD563&lt;&gt;"",AH563&gt;AD563),AH563-AD563,0))</f>
        <v>0</v>
      </c>
      <c r="W563" s="7" t="str">
        <f aca="false">IF(L563="","",VALUE(LEFT(L563,FIND("/",L563)-1)))</f>
        <v/>
      </c>
      <c r="X563" s="7" t="str">
        <f aca="false">IF(L563="","",VALUE(MID(L563,FIND("/",L563)+1,FIND("/",L563,FIND("/",L563)+1)-FIND("/",L563)-1)))</f>
        <v/>
      </c>
      <c r="Y563" s="7" t="str">
        <f aca="false">IF(L563="","",VALUE(MID(L563,FIND("/",L563,FIND("/",L563)+1)+1,LEN(L563)-FIND("/",L563,FIND("/",L563)+1))))</f>
        <v/>
      </c>
      <c r="Z563" s="7" t="str">
        <f aca="false">IF(OR(L563="",W563=""),"",IFERROR(INDEX('لیست‌ها'!$Q$3:$Q$53,MATCH(W563,'لیست‌ها'!$P$3:$P$53,0))+IF(X563&lt;=6,(X563-1)*31+Y563,IF(X563&lt;=11,186+(X563-7)*30+Y563,336+Y563))-1,""))</f>
        <v/>
      </c>
      <c r="AA563" s="7" t="str">
        <f aca="false">IF(H563="","",VALUE(LEFT(H563,FIND("/",H563)-1)))</f>
        <v/>
      </c>
      <c r="AB563" s="7" t="str">
        <f aca="false">IF(H563="","",VALUE(MID(H563,FIND("/",H563)+1,FIND("/",H563,FIND("/",H563)+1)-FIND("/",H563)-1)))</f>
        <v/>
      </c>
      <c r="AC563" s="7" t="str">
        <f aca="false">IF(H563="","",VALUE(MID(H563,FIND("/",H563,FIND("/",H563)+1)+1,LEN(H563)-FIND("/",H563,FIND("/",H563)+1))))</f>
        <v/>
      </c>
      <c r="AD563" s="7" t="str">
        <f aca="false">IF(OR(H563="",AA563=""),"",IFERROR(INDEX('لیست‌ها'!$Q$3:$Q$53,MATCH(AA563,'لیست‌ها'!$P$3:$P$53,0))+IF(AB563&lt;=6,(AB563-1)*31+AC563,IF(AB563&lt;=11,186+(AB563-7)*30+AC563,336+AC563))-1,""))</f>
        <v/>
      </c>
      <c r="AE563" s="7" t="str">
        <f aca="false">IF(P563="","",VALUE(LEFT(P563,FIND("/",P563)-1)))</f>
        <v/>
      </c>
      <c r="AF563" s="7" t="str">
        <f aca="false">IF(P563="","",VALUE(MID(P563,FIND("/",P563)+1,FIND("/",P563,FIND("/",P563)+1)-FIND("/",P563)-1)))</f>
        <v/>
      </c>
      <c r="AG563" s="7" t="str">
        <f aca="false">IF(P563="","",VALUE(MID(P563,FIND("/",P563,FIND("/",P563)+1)+1,LEN(P563)-FIND("/",P563,FIND("/",P563)+1))))</f>
        <v/>
      </c>
      <c r="AH563" s="7" t="str">
        <f aca="false">IF(OR(P563="",AE563=""),"",IFERROR(INDEX('لیست‌ها'!$Q$3:$Q$53,MATCH(AE563,'لیست‌ها'!$P$3:$P$53,0))+IF(AF563&lt;=6,(AF563-1)*31+AG563,IF(AF563&lt;=11,186+(AF563-7)*30+AG563,336+AG563))-1,""))</f>
        <v/>
      </c>
      <c r="AI563" s="7" t="str">
        <f aca="false">IF(W563="","",W563&amp;"-"&amp;TEXT(X563,"00"))</f>
        <v/>
      </c>
      <c r="AJ563" s="7" t="str">
        <f aca="false">IF(W563="","",W563*12+X563)</f>
        <v/>
      </c>
      <c r="AK563" s="7" t="str">
        <f aca="false">IF(U563="تاخیر",V563+ROW()/100000,"")</f>
        <v/>
      </c>
    </row>
    <row r="564" customFormat="false" ht="15" hidden="false" customHeight="false" outlineLevel="0" collapsed="false">
      <c r="A564" s="7" t="str">
        <f aca="false">IF(B564="","",ROW()-3)</f>
        <v/>
      </c>
      <c r="B564" s="8"/>
      <c r="C564" s="8"/>
      <c r="D564" s="8"/>
      <c r="E564" s="9"/>
      <c r="F564" s="9"/>
      <c r="G564" s="8"/>
      <c r="H564" s="8"/>
      <c r="I564" s="8"/>
      <c r="J564" s="9"/>
      <c r="K564" s="8"/>
      <c r="L564" s="8"/>
      <c r="M564" s="8"/>
      <c r="N564" s="8"/>
      <c r="O564" s="8"/>
      <c r="P564" s="8"/>
      <c r="Q564" s="8"/>
      <c r="R564" s="9"/>
      <c r="S564" s="8"/>
      <c r="T564" s="9"/>
      <c r="U564" s="10" t="str">
        <f aca="true">IF(B564="","",IF(OR(P564&lt;&gt;"",I564="می‌باشد"),"بسته",IF(AND(L564&lt;&gt;"",W564=""),"خطای فرمت تاریخ ایجاد",IF(AND(H564&lt;&gt;"",AA564=""),"خطای فرمت مهلت",IF(AND(H564&lt;&gt;"",AD564&lt;&gt;"",TODAY()&gt;AD564),"تاخیر",IF(L564&lt;&gt;"","در حال انجام",""))))))</f>
        <v/>
      </c>
      <c r="V564" s="7" t="n">
        <f aca="true">IF(U564="تاخیر",TODAY()-AD564,IF(AND(U564="بسته",AH564&lt;&gt;"",AD564&lt;&gt;"",AH564&gt;AD564),AH564-AD564,0))</f>
        <v>0</v>
      </c>
      <c r="W564" s="7" t="str">
        <f aca="false">IF(L564="","",VALUE(LEFT(L564,FIND("/",L564)-1)))</f>
        <v/>
      </c>
      <c r="X564" s="7" t="str">
        <f aca="false">IF(L564="","",VALUE(MID(L564,FIND("/",L564)+1,FIND("/",L564,FIND("/",L564)+1)-FIND("/",L564)-1)))</f>
        <v/>
      </c>
      <c r="Y564" s="7" t="str">
        <f aca="false">IF(L564="","",VALUE(MID(L564,FIND("/",L564,FIND("/",L564)+1)+1,LEN(L564)-FIND("/",L564,FIND("/",L564)+1))))</f>
        <v/>
      </c>
      <c r="Z564" s="7" t="str">
        <f aca="false">IF(OR(L564="",W564=""),"",IFERROR(INDEX('لیست‌ها'!$Q$3:$Q$53,MATCH(W564,'لیست‌ها'!$P$3:$P$53,0))+IF(X564&lt;=6,(X564-1)*31+Y564,IF(X564&lt;=11,186+(X564-7)*30+Y564,336+Y564))-1,""))</f>
        <v/>
      </c>
      <c r="AA564" s="7" t="str">
        <f aca="false">IF(H564="","",VALUE(LEFT(H564,FIND("/",H564)-1)))</f>
        <v/>
      </c>
      <c r="AB564" s="7" t="str">
        <f aca="false">IF(H564="","",VALUE(MID(H564,FIND("/",H564)+1,FIND("/",H564,FIND("/",H564)+1)-FIND("/",H564)-1)))</f>
        <v/>
      </c>
      <c r="AC564" s="7" t="str">
        <f aca="false">IF(H564="","",VALUE(MID(H564,FIND("/",H564,FIND("/",H564)+1)+1,LEN(H564)-FIND("/",H564,FIND("/",H564)+1))))</f>
        <v/>
      </c>
      <c r="AD564" s="7" t="str">
        <f aca="false">IF(OR(H564="",AA564=""),"",IFERROR(INDEX('لیست‌ها'!$Q$3:$Q$53,MATCH(AA564,'لیست‌ها'!$P$3:$P$53,0))+IF(AB564&lt;=6,(AB564-1)*31+AC564,IF(AB564&lt;=11,186+(AB564-7)*30+AC564,336+AC564))-1,""))</f>
        <v/>
      </c>
      <c r="AE564" s="7" t="str">
        <f aca="false">IF(P564="","",VALUE(LEFT(P564,FIND("/",P564)-1)))</f>
        <v/>
      </c>
      <c r="AF564" s="7" t="str">
        <f aca="false">IF(P564="","",VALUE(MID(P564,FIND("/",P564)+1,FIND("/",P564,FIND("/",P564)+1)-FIND("/",P564)-1)))</f>
        <v/>
      </c>
      <c r="AG564" s="7" t="str">
        <f aca="false">IF(P564="","",VALUE(MID(P564,FIND("/",P564,FIND("/",P564)+1)+1,LEN(P564)-FIND("/",P564,FIND("/",P564)+1))))</f>
        <v/>
      </c>
      <c r="AH564" s="7" t="str">
        <f aca="false">IF(OR(P564="",AE564=""),"",IFERROR(INDEX('لیست‌ها'!$Q$3:$Q$53,MATCH(AE564,'لیست‌ها'!$P$3:$P$53,0))+IF(AF564&lt;=6,(AF564-1)*31+AG564,IF(AF564&lt;=11,186+(AF564-7)*30+AG564,336+AG564))-1,""))</f>
        <v/>
      </c>
      <c r="AI564" s="7" t="str">
        <f aca="false">IF(W564="","",W564&amp;"-"&amp;TEXT(X564,"00"))</f>
        <v/>
      </c>
      <c r="AJ564" s="7" t="str">
        <f aca="false">IF(W564="","",W564*12+X564)</f>
        <v/>
      </c>
      <c r="AK564" s="7" t="str">
        <f aca="false">IF(U564="تاخیر",V564+ROW()/100000,"")</f>
        <v/>
      </c>
    </row>
    <row r="565" customFormat="false" ht="15" hidden="false" customHeight="false" outlineLevel="0" collapsed="false">
      <c r="A565" s="7" t="str">
        <f aca="false">IF(B565="","",ROW()-3)</f>
        <v/>
      </c>
      <c r="B565" s="8"/>
      <c r="C565" s="8"/>
      <c r="D565" s="8"/>
      <c r="E565" s="9"/>
      <c r="F565" s="9"/>
      <c r="G565" s="8"/>
      <c r="H565" s="8"/>
      <c r="I565" s="8"/>
      <c r="J565" s="9"/>
      <c r="K565" s="8"/>
      <c r="L565" s="8"/>
      <c r="M565" s="8"/>
      <c r="N565" s="8"/>
      <c r="O565" s="8"/>
      <c r="P565" s="8"/>
      <c r="Q565" s="8"/>
      <c r="R565" s="9"/>
      <c r="S565" s="8"/>
      <c r="T565" s="9"/>
      <c r="U565" s="10" t="str">
        <f aca="true">IF(B565="","",IF(OR(P565&lt;&gt;"",I565="می‌باشد"),"بسته",IF(AND(L565&lt;&gt;"",W565=""),"خطای فرمت تاریخ ایجاد",IF(AND(H565&lt;&gt;"",AA565=""),"خطای فرمت مهلت",IF(AND(H565&lt;&gt;"",AD565&lt;&gt;"",TODAY()&gt;AD565),"تاخیر",IF(L565&lt;&gt;"","در حال انجام",""))))))</f>
        <v/>
      </c>
      <c r="V565" s="7" t="n">
        <f aca="true">IF(U565="تاخیر",TODAY()-AD565,IF(AND(U565="بسته",AH565&lt;&gt;"",AD565&lt;&gt;"",AH565&gt;AD565),AH565-AD565,0))</f>
        <v>0</v>
      </c>
      <c r="W565" s="7" t="str">
        <f aca="false">IF(L565="","",VALUE(LEFT(L565,FIND("/",L565)-1)))</f>
        <v/>
      </c>
      <c r="X565" s="7" t="str">
        <f aca="false">IF(L565="","",VALUE(MID(L565,FIND("/",L565)+1,FIND("/",L565,FIND("/",L565)+1)-FIND("/",L565)-1)))</f>
        <v/>
      </c>
      <c r="Y565" s="7" t="str">
        <f aca="false">IF(L565="","",VALUE(MID(L565,FIND("/",L565,FIND("/",L565)+1)+1,LEN(L565)-FIND("/",L565,FIND("/",L565)+1))))</f>
        <v/>
      </c>
      <c r="Z565" s="7" t="str">
        <f aca="false">IF(OR(L565="",W565=""),"",IFERROR(INDEX('لیست‌ها'!$Q$3:$Q$53,MATCH(W565,'لیست‌ها'!$P$3:$P$53,0))+IF(X565&lt;=6,(X565-1)*31+Y565,IF(X565&lt;=11,186+(X565-7)*30+Y565,336+Y565))-1,""))</f>
        <v/>
      </c>
      <c r="AA565" s="7" t="str">
        <f aca="false">IF(H565="","",VALUE(LEFT(H565,FIND("/",H565)-1)))</f>
        <v/>
      </c>
      <c r="AB565" s="7" t="str">
        <f aca="false">IF(H565="","",VALUE(MID(H565,FIND("/",H565)+1,FIND("/",H565,FIND("/",H565)+1)-FIND("/",H565)-1)))</f>
        <v/>
      </c>
      <c r="AC565" s="7" t="str">
        <f aca="false">IF(H565="","",VALUE(MID(H565,FIND("/",H565,FIND("/",H565)+1)+1,LEN(H565)-FIND("/",H565,FIND("/",H565)+1))))</f>
        <v/>
      </c>
      <c r="AD565" s="7" t="str">
        <f aca="false">IF(OR(H565="",AA565=""),"",IFERROR(INDEX('لیست‌ها'!$Q$3:$Q$53,MATCH(AA565,'لیست‌ها'!$P$3:$P$53,0))+IF(AB565&lt;=6,(AB565-1)*31+AC565,IF(AB565&lt;=11,186+(AB565-7)*30+AC565,336+AC565))-1,""))</f>
        <v/>
      </c>
      <c r="AE565" s="7" t="str">
        <f aca="false">IF(P565="","",VALUE(LEFT(P565,FIND("/",P565)-1)))</f>
        <v/>
      </c>
      <c r="AF565" s="7" t="str">
        <f aca="false">IF(P565="","",VALUE(MID(P565,FIND("/",P565)+1,FIND("/",P565,FIND("/",P565)+1)-FIND("/",P565)-1)))</f>
        <v/>
      </c>
      <c r="AG565" s="7" t="str">
        <f aca="false">IF(P565="","",VALUE(MID(P565,FIND("/",P565,FIND("/",P565)+1)+1,LEN(P565)-FIND("/",P565,FIND("/",P565)+1))))</f>
        <v/>
      </c>
      <c r="AH565" s="7" t="str">
        <f aca="false">IF(OR(P565="",AE565=""),"",IFERROR(INDEX('لیست‌ها'!$Q$3:$Q$53,MATCH(AE565,'لیست‌ها'!$P$3:$P$53,0))+IF(AF565&lt;=6,(AF565-1)*31+AG565,IF(AF565&lt;=11,186+(AF565-7)*30+AG565,336+AG565))-1,""))</f>
        <v/>
      </c>
      <c r="AI565" s="7" t="str">
        <f aca="false">IF(W565="","",W565&amp;"-"&amp;TEXT(X565,"00"))</f>
        <v/>
      </c>
      <c r="AJ565" s="7" t="str">
        <f aca="false">IF(W565="","",W565*12+X565)</f>
        <v/>
      </c>
      <c r="AK565" s="7" t="str">
        <f aca="false">IF(U565="تاخیر",V565+ROW()/100000,"")</f>
        <v/>
      </c>
    </row>
    <row r="566" customFormat="false" ht="15" hidden="false" customHeight="false" outlineLevel="0" collapsed="false">
      <c r="A566" s="7" t="str">
        <f aca="false">IF(B566="","",ROW()-3)</f>
        <v/>
      </c>
      <c r="B566" s="8"/>
      <c r="C566" s="8"/>
      <c r="D566" s="8"/>
      <c r="E566" s="9"/>
      <c r="F566" s="9"/>
      <c r="G566" s="8"/>
      <c r="H566" s="8"/>
      <c r="I566" s="8"/>
      <c r="J566" s="9"/>
      <c r="K566" s="8"/>
      <c r="L566" s="8"/>
      <c r="M566" s="8"/>
      <c r="N566" s="8"/>
      <c r="O566" s="8"/>
      <c r="P566" s="8"/>
      <c r="Q566" s="8"/>
      <c r="R566" s="9"/>
      <c r="S566" s="8"/>
      <c r="T566" s="9"/>
      <c r="U566" s="10" t="str">
        <f aca="true">IF(B566="","",IF(OR(P566&lt;&gt;"",I566="می‌باشد"),"بسته",IF(AND(L566&lt;&gt;"",W566=""),"خطای فرمت تاریخ ایجاد",IF(AND(H566&lt;&gt;"",AA566=""),"خطای فرمت مهلت",IF(AND(H566&lt;&gt;"",AD566&lt;&gt;"",TODAY()&gt;AD566),"تاخیر",IF(L566&lt;&gt;"","در حال انجام",""))))))</f>
        <v/>
      </c>
      <c r="V566" s="7" t="n">
        <f aca="true">IF(U566="تاخیر",TODAY()-AD566,IF(AND(U566="بسته",AH566&lt;&gt;"",AD566&lt;&gt;"",AH566&gt;AD566),AH566-AD566,0))</f>
        <v>0</v>
      </c>
      <c r="W566" s="7" t="str">
        <f aca="false">IF(L566="","",VALUE(LEFT(L566,FIND("/",L566)-1)))</f>
        <v/>
      </c>
      <c r="X566" s="7" t="str">
        <f aca="false">IF(L566="","",VALUE(MID(L566,FIND("/",L566)+1,FIND("/",L566,FIND("/",L566)+1)-FIND("/",L566)-1)))</f>
        <v/>
      </c>
      <c r="Y566" s="7" t="str">
        <f aca="false">IF(L566="","",VALUE(MID(L566,FIND("/",L566,FIND("/",L566)+1)+1,LEN(L566)-FIND("/",L566,FIND("/",L566)+1))))</f>
        <v/>
      </c>
      <c r="Z566" s="7" t="str">
        <f aca="false">IF(OR(L566="",W566=""),"",IFERROR(INDEX('لیست‌ها'!$Q$3:$Q$53,MATCH(W566,'لیست‌ها'!$P$3:$P$53,0))+IF(X566&lt;=6,(X566-1)*31+Y566,IF(X566&lt;=11,186+(X566-7)*30+Y566,336+Y566))-1,""))</f>
        <v/>
      </c>
      <c r="AA566" s="7" t="str">
        <f aca="false">IF(H566="","",VALUE(LEFT(H566,FIND("/",H566)-1)))</f>
        <v/>
      </c>
      <c r="AB566" s="7" t="str">
        <f aca="false">IF(H566="","",VALUE(MID(H566,FIND("/",H566)+1,FIND("/",H566,FIND("/",H566)+1)-FIND("/",H566)-1)))</f>
        <v/>
      </c>
      <c r="AC566" s="7" t="str">
        <f aca="false">IF(H566="","",VALUE(MID(H566,FIND("/",H566,FIND("/",H566)+1)+1,LEN(H566)-FIND("/",H566,FIND("/",H566)+1))))</f>
        <v/>
      </c>
      <c r="AD566" s="7" t="str">
        <f aca="false">IF(OR(H566="",AA566=""),"",IFERROR(INDEX('لیست‌ها'!$Q$3:$Q$53,MATCH(AA566,'لیست‌ها'!$P$3:$P$53,0))+IF(AB566&lt;=6,(AB566-1)*31+AC566,IF(AB566&lt;=11,186+(AB566-7)*30+AC566,336+AC566))-1,""))</f>
        <v/>
      </c>
      <c r="AE566" s="7" t="str">
        <f aca="false">IF(P566="","",VALUE(LEFT(P566,FIND("/",P566)-1)))</f>
        <v/>
      </c>
      <c r="AF566" s="7" t="str">
        <f aca="false">IF(P566="","",VALUE(MID(P566,FIND("/",P566)+1,FIND("/",P566,FIND("/",P566)+1)-FIND("/",P566)-1)))</f>
        <v/>
      </c>
      <c r="AG566" s="7" t="str">
        <f aca="false">IF(P566="","",VALUE(MID(P566,FIND("/",P566,FIND("/",P566)+1)+1,LEN(P566)-FIND("/",P566,FIND("/",P566)+1))))</f>
        <v/>
      </c>
      <c r="AH566" s="7" t="str">
        <f aca="false">IF(OR(P566="",AE566=""),"",IFERROR(INDEX('لیست‌ها'!$Q$3:$Q$53,MATCH(AE566,'لیست‌ها'!$P$3:$P$53,0))+IF(AF566&lt;=6,(AF566-1)*31+AG566,IF(AF566&lt;=11,186+(AF566-7)*30+AG566,336+AG566))-1,""))</f>
        <v/>
      </c>
      <c r="AI566" s="7" t="str">
        <f aca="false">IF(W566="","",W566&amp;"-"&amp;TEXT(X566,"00"))</f>
        <v/>
      </c>
      <c r="AJ566" s="7" t="str">
        <f aca="false">IF(W566="","",W566*12+X566)</f>
        <v/>
      </c>
      <c r="AK566" s="7" t="str">
        <f aca="false">IF(U566="تاخیر",V566+ROW()/100000,"")</f>
        <v/>
      </c>
    </row>
    <row r="567" customFormat="false" ht="15" hidden="false" customHeight="false" outlineLevel="0" collapsed="false">
      <c r="A567" s="7" t="str">
        <f aca="false">IF(B567="","",ROW()-3)</f>
        <v/>
      </c>
      <c r="B567" s="8"/>
      <c r="C567" s="8"/>
      <c r="D567" s="8"/>
      <c r="E567" s="9"/>
      <c r="F567" s="9"/>
      <c r="G567" s="8"/>
      <c r="H567" s="8"/>
      <c r="I567" s="8"/>
      <c r="J567" s="9"/>
      <c r="K567" s="8"/>
      <c r="L567" s="8"/>
      <c r="M567" s="8"/>
      <c r="N567" s="8"/>
      <c r="O567" s="8"/>
      <c r="P567" s="8"/>
      <c r="Q567" s="8"/>
      <c r="R567" s="9"/>
      <c r="S567" s="8"/>
      <c r="T567" s="9"/>
      <c r="U567" s="10" t="str">
        <f aca="true">IF(B567="","",IF(OR(P567&lt;&gt;"",I567="می‌باشد"),"بسته",IF(AND(L567&lt;&gt;"",W567=""),"خطای فرمت تاریخ ایجاد",IF(AND(H567&lt;&gt;"",AA567=""),"خطای فرمت مهلت",IF(AND(H567&lt;&gt;"",AD567&lt;&gt;"",TODAY()&gt;AD567),"تاخیر",IF(L567&lt;&gt;"","در حال انجام",""))))))</f>
        <v/>
      </c>
      <c r="V567" s="7" t="n">
        <f aca="true">IF(U567="تاخیر",TODAY()-AD567,IF(AND(U567="بسته",AH567&lt;&gt;"",AD567&lt;&gt;"",AH567&gt;AD567),AH567-AD567,0))</f>
        <v>0</v>
      </c>
      <c r="W567" s="7" t="str">
        <f aca="false">IF(L567="","",VALUE(LEFT(L567,FIND("/",L567)-1)))</f>
        <v/>
      </c>
      <c r="X567" s="7" t="str">
        <f aca="false">IF(L567="","",VALUE(MID(L567,FIND("/",L567)+1,FIND("/",L567,FIND("/",L567)+1)-FIND("/",L567)-1)))</f>
        <v/>
      </c>
      <c r="Y567" s="7" t="str">
        <f aca="false">IF(L567="","",VALUE(MID(L567,FIND("/",L567,FIND("/",L567)+1)+1,LEN(L567)-FIND("/",L567,FIND("/",L567)+1))))</f>
        <v/>
      </c>
      <c r="Z567" s="7" t="str">
        <f aca="false">IF(OR(L567="",W567=""),"",IFERROR(INDEX('لیست‌ها'!$Q$3:$Q$53,MATCH(W567,'لیست‌ها'!$P$3:$P$53,0))+IF(X567&lt;=6,(X567-1)*31+Y567,IF(X567&lt;=11,186+(X567-7)*30+Y567,336+Y567))-1,""))</f>
        <v/>
      </c>
      <c r="AA567" s="7" t="str">
        <f aca="false">IF(H567="","",VALUE(LEFT(H567,FIND("/",H567)-1)))</f>
        <v/>
      </c>
      <c r="AB567" s="7" t="str">
        <f aca="false">IF(H567="","",VALUE(MID(H567,FIND("/",H567)+1,FIND("/",H567,FIND("/",H567)+1)-FIND("/",H567)-1)))</f>
        <v/>
      </c>
      <c r="AC567" s="7" t="str">
        <f aca="false">IF(H567="","",VALUE(MID(H567,FIND("/",H567,FIND("/",H567)+1)+1,LEN(H567)-FIND("/",H567,FIND("/",H567)+1))))</f>
        <v/>
      </c>
      <c r="AD567" s="7" t="str">
        <f aca="false">IF(OR(H567="",AA567=""),"",IFERROR(INDEX('لیست‌ها'!$Q$3:$Q$53,MATCH(AA567,'لیست‌ها'!$P$3:$P$53,0))+IF(AB567&lt;=6,(AB567-1)*31+AC567,IF(AB567&lt;=11,186+(AB567-7)*30+AC567,336+AC567))-1,""))</f>
        <v/>
      </c>
      <c r="AE567" s="7" t="str">
        <f aca="false">IF(P567="","",VALUE(LEFT(P567,FIND("/",P567)-1)))</f>
        <v/>
      </c>
      <c r="AF567" s="7" t="str">
        <f aca="false">IF(P567="","",VALUE(MID(P567,FIND("/",P567)+1,FIND("/",P567,FIND("/",P567)+1)-FIND("/",P567)-1)))</f>
        <v/>
      </c>
      <c r="AG567" s="7" t="str">
        <f aca="false">IF(P567="","",VALUE(MID(P567,FIND("/",P567,FIND("/",P567)+1)+1,LEN(P567)-FIND("/",P567,FIND("/",P567)+1))))</f>
        <v/>
      </c>
      <c r="AH567" s="7" t="str">
        <f aca="false">IF(OR(P567="",AE567=""),"",IFERROR(INDEX('لیست‌ها'!$Q$3:$Q$53,MATCH(AE567,'لیست‌ها'!$P$3:$P$53,0))+IF(AF567&lt;=6,(AF567-1)*31+AG567,IF(AF567&lt;=11,186+(AF567-7)*30+AG567,336+AG567))-1,""))</f>
        <v/>
      </c>
      <c r="AI567" s="7" t="str">
        <f aca="false">IF(W567="","",W567&amp;"-"&amp;TEXT(X567,"00"))</f>
        <v/>
      </c>
      <c r="AJ567" s="7" t="str">
        <f aca="false">IF(W567="","",W567*12+X567)</f>
        <v/>
      </c>
      <c r="AK567" s="7" t="str">
        <f aca="false">IF(U567="تاخیر",V567+ROW()/100000,"")</f>
        <v/>
      </c>
    </row>
    <row r="568" customFormat="false" ht="15" hidden="false" customHeight="false" outlineLevel="0" collapsed="false">
      <c r="A568" s="7" t="str">
        <f aca="false">IF(B568="","",ROW()-3)</f>
        <v/>
      </c>
      <c r="B568" s="8"/>
      <c r="C568" s="8"/>
      <c r="D568" s="8"/>
      <c r="E568" s="9"/>
      <c r="F568" s="9"/>
      <c r="G568" s="8"/>
      <c r="H568" s="8"/>
      <c r="I568" s="8"/>
      <c r="J568" s="9"/>
      <c r="K568" s="8"/>
      <c r="L568" s="8"/>
      <c r="M568" s="8"/>
      <c r="N568" s="8"/>
      <c r="O568" s="8"/>
      <c r="P568" s="8"/>
      <c r="Q568" s="8"/>
      <c r="R568" s="9"/>
      <c r="S568" s="8"/>
      <c r="T568" s="9"/>
      <c r="U568" s="10" t="str">
        <f aca="true">IF(B568="","",IF(OR(P568&lt;&gt;"",I568="می‌باشد"),"بسته",IF(AND(L568&lt;&gt;"",W568=""),"خطای فرمت تاریخ ایجاد",IF(AND(H568&lt;&gt;"",AA568=""),"خطای فرمت مهلت",IF(AND(H568&lt;&gt;"",AD568&lt;&gt;"",TODAY()&gt;AD568),"تاخیر",IF(L568&lt;&gt;"","در حال انجام",""))))))</f>
        <v/>
      </c>
      <c r="V568" s="7" t="n">
        <f aca="true">IF(U568="تاخیر",TODAY()-AD568,IF(AND(U568="بسته",AH568&lt;&gt;"",AD568&lt;&gt;"",AH568&gt;AD568),AH568-AD568,0))</f>
        <v>0</v>
      </c>
      <c r="W568" s="7" t="str">
        <f aca="false">IF(L568="","",VALUE(LEFT(L568,FIND("/",L568)-1)))</f>
        <v/>
      </c>
      <c r="X568" s="7" t="str">
        <f aca="false">IF(L568="","",VALUE(MID(L568,FIND("/",L568)+1,FIND("/",L568,FIND("/",L568)+1)-FIND("/",L568)-1)))</f>
        <v/>
      </c>
      <c r="Y568" s="7" t="str">
        <f aca="false">IF(L568="","",VALUE(MID(L568,FIND("/",L568,FIND("/",L568)+1)+1,LEN(L568)-FIND("/",L568,FIND("/",L568)+1))))</f>
        <v/>
      </c>
      <c r="Z568" s="7" t="str">
        <f aca="false">IF(OR(L568="",W568=""),"",IFERROR(INDEX('لیست‌ها'!$Q$3:$Q$53,MATCH(W568,'لیست‌ها'!$P$3:$P$53,0))+IF(X568&lt;=6,(X568-1)*31+Y568,IF(X568&lt;=11,186+(X568-7)*30+Y568,336+Y568))-1,""))</f>
        <v/>
      </c>
      <c r="AA568" s="7" t="str">
        <f aca="false">IF(H568="","",VALUE(LEFT(H568,FIND("/",H568)-1)))</f>
        <v/>
      </c>
      <c r="AB568" s="7" t="str">
        <f aca="false">IF(H568="","",VALUE(MID(H568,FIND("/",H568)+1,FIND("/",H568,FIND("/",H568)+1)-FIND("/",H568)-1)))</f>
        <v/>
      </c>
      <c r="AC568" s="7" t="str">
        <f aca="false">IF(H568="","",VALUE(MID(H568,FIND("/",H568,FIND("/",H568)+1)+1,LEN(H568)-FIND("/",H568,FIND("/",H568)+1))))</f>
        <v/>
      </c>
      <c r="AD568" s="7" t="str">
        <f aca="false">IF(OR(H568="",AA568=""),"",IFERROR(INDEX('لیست‌ها'!$Q$3:$Q$53,MATCH(AA568,'لیست‌ها'!$P$3:$P$53,0))+IF(AB568&lt;=6,(AB568-1)*31+AC568,IF(AB568&lt;=11,186+(AB568-7)*30+AC568,336+AC568))-1,""))</f>
        <v/>
      </c>
      <c r="AE568" s="7" t="str">
        <f aca="false">IF(P568="","",VALUE(LEFT(P568,FIND("/",P568)-1)))</f>
        <v/>
      </c>
      <c r="AF568" s="7" t="str">
        <f aca="false">IF(P568="","",VALUE(MID(P568,FIND("/",P568)+1,FIND("/",P568,FIND("/",P568)+1)-FIND("/",P568)-1)))</f>
        <v/>
      </c>
      <c r="AG568" s="7" t="str">
        <f aca="false">IF(P568="","",VALUE(MID(P568,FIND("/",P568,FIND("/",P568)+1)+1,LEN(P568)-FIND("/",P568,FIND("/",P568)+1))))</f>
        <v/>
      </c>
      <c r="AH568" s="7" t="str">
        <f aca="false">IF(OR(P568="",AE568=""),"",IFERROR(INDEX('لیست‌ها'!$Q$3:$Q$53,MATCH(AE568,'لیست‌ها'!$P$3:$P$53,0))+IF(AF568&lt;=6,(AF568-1)*31+AG568,IF(AF568&lt;=11,186+(AF568-7)*30+AG568,336+AG568))-1,""))</f>
        <v/>
      </c>
      <c r="AI568" s="7" t="str">
        <f aca="false">IF(W568="","",W568&amp;"-"&amp;TEXT(X568,"00"))</f>
        <v/>
      </c>
      <c r="AJ568" s="7" t="str">
        <f aca="false">IF(W568="","",W568*12+X568)</f>
        <v/>
      </c>
      <c r="AK568" s="7" t="str">
        <f aca="false">IF(U568="تاخیر",V568+ROW()/100000,"")</f>
        <v/>
      </c>
    </row>
    <row r="569" customFormat="false" ht="15" hidden="false" customHeight="false" outlineLevel="0" collapsed="false">
      <c r="A569" s="7" t="str">
        <f aca="false">IF(B569="","",ROW()-3)</f>
        <v/>
      </c>
      <c r="B569" s="8"/>
      <c r="C569" s="8"/>
      <c r="D569" s="8"/>
      <c r="E569" s="9"/>
      <c r="F569" s="9"/>
      <c r="G569" s="8"/>
      <c r="H569" s="8"/>
      <c r="I569" s="8"/>
      <c r="J569" s="9"/>
      <c r="K569" s="8"/>
      <c r="L569" s="8"/>
      <c r="M569" s="8"/>
      <c r="N569" s="8"/>
      <c r="O569" s="8"/>
      <c r="P569" s="8"/>
      <c r="Q569" s="8"/>
      <c r="R569" s="9"/>
      <c r="S569" s="8"/>
      <c r="T569" s="9"/>
      <c r="U569" s="10" t="str">
        <f aca="true">IF(B569="","",IF(OR(P569&lt;&gt;"",I569="می‌باشد"),"بسته",IF(AND(L569&lt;&gt;"",W569=""),"خطای فرمت تاریخ ایجاد",IF(AND(H569&lt;&gt;"",AA569=""),"خطای فرمت مهلت",IF(AND(H569&lt;&gt;"",AD569&lt;&gt;"",TODAY()&gt;AD569),"تاخیر",IF(L569&lt;&gt;"","در حال انجام",""))))))</f>
        <v/>
      </c>
      <c r="V569" s="7" t="n">
        <f aca="true">IF(U569="تاخیر",TODAY()-AD569,IF(AND(U569="بسته",AH569&lt;&gt;"",AD569&lt;&gt;"",AH569&gt;AD569),AH569-AD569,0))</f>
        <v>0</v>
      </c>
      <c r="W569" s="7" t="str">
        <f aca="false">IF(L569="","",VALUE(LEFT(L569,FIND("/",L569)-1)))</f>
        <v/>
      </c>
      <c r="X569" s="7" t="str">
        <f aca="false">IF(L569="","",VALUE(MID(L569,FIND("/",L569)+1,FIND("/",L569,FIND("/",L569)+1)-FIND("/",L569)-1)))</f>
        <v/>
      </c>
      <c r="Y569" s="7" t="str">
        <f aca="false">IF(L569="","",VALUE(MID(L569,FIND("/",L569,FIND("/",L569)+1)+1,LEN(L569)-FIND("/",L569,FIND("/",L569)+1))))</f>
        <v/>
      </c>
      <c r="Z569" s="7" t="str">
        <f aca="false">IF(OR(L569="",W569=""),"",IFERROR(INDEX('لیست‌ها'!$Q$3:$Q$53,MATCH(W569,'لیست‌ها'!$P$3:$P$53,0))+IF(X569&lt;=6,(X569-1)*31+Y569,IF(X569&lt;=11,186+(X569-7)*30+Y569,336+Y569))-1,""))</f>
        <v/>
      </c>
      <c r="AA569" s="7" t="str">
        <f aca="false">IF(H569="","",VALUE(LEFT(H569,FIND("/",H569)-1)))</f>
        <v/>
      </c>
      <c r="AB569" s="7" t="str">
        <f aca="false">IF(H569="","",VALUE(MID(H569,FIND("/",H569)+1,FIND("/",H569,FIND("/",H569)+1)-FIND("/",H569)-1)))</f>
        <v/>
      </c>
      <c r="AC569" s="7" t="str">
        <f aca="false">IF(H569="","",VALUE(MID(H569,FIND("/",H569,FIND("/",H569)+1)+1,LEN(H569)-FIND("/",H569,FIND("/",H569)+1))))</f>
        <v/>
      </c>
      <c r="AD569" s="7" t="str">
        <f aca="false">IF(OR(H569="",AA569=""),"",IFERROR(INDEX('لیست‌ها'!$Q$3:$Q$53,MATCH(AA569,'لیست‌ها'!$P$3:$P$53,0))+IF(AB569&lt;=6,(AB569-1)*31+AC569,IF(AB569&lt;=11,186+(AB569-7)*30+AC569,336+AC569))-1,""))</f>
        <v/>
      </c>
      <c r="AE569" s="7" t="str">
        <f aca="false">IF(P569="","",VALUE(LEFT(P569,FIND("/",P569)-1)))</f>
        <v/>
      </c>
      <c r="AF569" s="7" t="str">
        <f aca="false">IF(P569="","",VALUE(MID(P569,FIND("/",P569)+1,FIND("/",P569,FIND("/",P569)+1)-FIND("/",P569)-1)))</f>
        <v/>
      </c>
      <c r="AG569" s="7" t="str">
        <f aca="false">IF(P569="","",VALUE(MID(P569,FIND("/",P569,FIND("/",P569)+1)+1,LEN(P569)-FIND("/",P569,FIND("/",P569)+1))))</f>
        <v/>
      </c>
      <c r="AH569" s="7" t="str">
        <f aca="false">IF(OR(P569="",AE569=""),"",IFERROR(INDEX('لیست‌ها'!$Q$3:$Q$53,MATCH(AE569,'لیست‌ها'!$P$3:$P$53,0))+IF(AF569&lt;=6,(AF569-1)*31+AG569,IF(AF569&lt;=11,186+(AF569-7)*30+AG569,336+AG569))-1,""))</f>
        <v/>
      </c>
      <c r="AI569" s="7" t="str">
        <f aca="false">IF(W569="","",W569&amp;"-"&amp;TEXT(X569,"00"))</f>
        <v/>
      </c>
      <c r="AJ569" s="7" t="str">
        <f aca="false">IF(W569="","",W569*12+X569)</f>
        <v/>
      </c>
      <c r="AK569" s="7" t="str">
        <f aca="false">IF(U569="تاخیر",V569+ROW()/100000,"")</f>
        <v/>
      </c>
    </row>
    <row r="570" customFormat="false" ht="15" hidden="false" customHeight="false" outlineLevel="0" collapsed="false">
      <c r="A570" s="7" t="str">
        <f aca="false">IF(B570="","",ROW()-3)</f>
        <v/>
      </c>
      <c r="B570" s="8"/>
      <c r="C570" s="8"/>
      <c r="D570" s="8"/>
      <c r="E570" s="9"/>
      <c r="F570" s="9"/>
      <c r="G570" s="8"/>
      <c r="H570" s="8"/>
      <c r="I570" s="8"/>
      <c r="J570" s="9"/>
      <c r="K570" s="8"/>
      <c r="L570" s="8"/>
      <c r="M570" s="8"/>
      <c r="N570" s="8"/>
      <c r="O570" s="8"/>
      <c r="P570" s="8"/>
      <c r="Q570" s="8"/>
      <c r="R570" s="9"/>
      <c r="S570" s="8"/>
      <c r="T570" s="9"/>
      <c r="U570" s="10" t="str">
        <f aca="true">IF(B570="","",IF(OR(P570&lt;&gt;"",I570="می‌باشد"),"بسته",IF(AND(L570&lt;&gt;"",W570=""),"خطای فرمت تاریخ ایجاد",IF(AND(H570&lt;&gt;"",AA570=""),"خطای فرمت مهلت",IF(AND(H570&lt;&gt;"",AD570&lt;&gt;"",TODAY()&gt;AD570),"تاخیر",IF(L570&lt;&gt;"","در حال انجام",""))))))</f>
        <v/>
      </c>
      <c r="V570" s="7" t="n">
        <f aca="true">IF(U570="تاخیر",TODAY()-AD570,IF(AND(U570="بسته",AH570&lt;&gt;"",AD570&lt;&gt;"",AH570&gt;AD570),AH570-AD570,0))</f>
        <v>0</v>
      </c>
      <c r="W570" s="7" t="str">
        <f aca="false">IF(L570="","",VALUE(LEFT(L570,FIND("/",L570)-1)))</f>
        <v/>
      </c>
      <c r="X570" s="7" t="str">
        <f aca="false">IF(L570="","",VALUE(MID(L570,FIND("/",L570)+1,FIND("/",L570,FIND("/",L570)+1)-FIND("/",L570)-1)))</f>
        <v/>
      </c>
      <c r="Y570" s="7" t="str">
        <f aca="false">IF(L570="","",VALUE(MID(L570,FIND("/",L570,FIND("/",L570)+1)+1,LEN(L570)-FIND("/",L570,FIND("/",L570)+1))))</f>
        <v/>
      </c>
      <c r="Z570" s="7" t="str">
        <f aca="false">IF(OR(L570="",W570=""),"",IFERROR(INDEX('لیست‌ها'!$Q$3:$Q$53,MATCH(W570,'لیست‌ها'!$P$3:$P$53,0))+IF(X570&lt;=6,(X570-1)*31+Y570,IF(X570&lt;=11,186+(X570-7)*30+Y570,336+Y570))-1,""))</f>
        <v/>
      </c>
      <c r="AA570" s="7" t="str">
        <f aca="false">IF(H570="","",VALUE(LEFT(H570,FIND("/",H570)-1)))</f>
        <v/>
      </c>
      <c r="AB570" s="7" t="str">
        <f aca="false">IF(H570="","",VALUE(MID(H570,FIND("/",H570)+1,FIND("/",H570,FIND("/",H570)+1)-FIND("/",H570)-1)))</f>
        <v/>
      </c>
      <c r="AC570" s="7" t="str">
        <f aca="false">IF(H570="","",VALUE(MID(H570,FIND("/",H570,FIND("/",H570)+1)+1,LEN(H570)-FIND("/",H570,FIND("/",H570)+1))))</f>
        <v/>
      </c>
      <c r="AD570" s="7" t="str">
        <f aca="false">IF(OR(H570="",AA570=""),"",IFERROR(INDEX('لیست‌ها'!$Q$3:$Q$53,MATCH(AA570,'لیست‌ها'!$P$3:$P$53,0))+IF(AB570&lt;=6,(AB570-1)*31+AC570,IF(AB570&lt;=11,186+(AB570-7)*30+AC570,336+AC570))-1,""))</f>
        <v/>
      </c>
      <c r="AE570" s="7" t="str">
        <f aca="false">IF(P570="","",VALUE(LEFT(P570,FIND("/",P570)-1)))</f>
        <v/>
      </c>
      <c r="AF570" s="7" t="str">
        <f aca="false">IF(P570="","",VALUE(MID(P570,FIND("/",P570)+1,FIND("/",P570,FIND("/",P570)+1)-FIND("/",P570)-1)))</f>
        <v/>
      </c>
      <c r="AG570" s="7" t="str">
        <f aca="false">IF(P570="","",VALUE(MID(P570,FIND("/",P570,FIND("/",P570)+1)+1,LEN(P570)-FIND("/",P570,FIND("/",P570)+1))))</f>
        <v/>
      </c>
      <c r="AH570" s="7" t="str">
        <f aca="false">IF(OR(P570="",AE570=""),"",IFERROR(INDEX('لیست‌ها'!$Q$3:$Q$53,MATCH(AE570,'لیست‌ها'!$P$3:$P$53,0))+IF(AF570&lt;=6,(AF570-1)*31+AG570,IF(AF570&lt;=11,186+(AF570-7)*30+AG570,336+AG570))-1,""))</f>
        <v/>
      </c>
      <c r="AI570" s="7" t="str">
        <f aca="false">IF(W570="","",W570&amp;"-"&amp;TEXT(X570,"00"))</f>
        <v/>
      </c>
      <c r="AJ570" s="7" t="str">
        <f aca="false">IF(W570="","",W570*12+X570)</f>
        <v/>
      </c>
      <c r="AK570" s="7" t="str">
        <f aca="false">IF(U570="تاخیر",V570+ROW()/100000,"")</f>
        <v/>
      </c>
    </row>
    <row r="571" customFormat="false" ht="15" hidden="false" customHeight="false" outlineLevel="0" collapsed="false">
      <c r="A571" s="7" t="str">
        <f aca="false">IF(B571="","",ROW()-3)</f>
        <v/>
      </c>
      <c r="B571" s="8"/>
      <c r="C571" s="8"/>
      <c r="D571" s="8"/>
      <c r="E571" s="9"/>
      <c r="F571" s="9"/>
      <c r="G571" s="8"/>
      <c r="H571" s="8"/>
      <c r="I571" s="8"/>
      <c r="J571" s="9"/>
      <c r="K571" s="8"/>
      <c r="L571" s="8"/>
      <c r="M571" s="8"/>
      <c r="N571" s="8"/>
      <c r="O571" s="8"/>
      <c r="P571" s="8"/>
      <c r="Q571" s="8"/>
      <c r="R571" s="9"/>
      <c r="S571" s="8"/>
      <c r="T571" s="9"/>
      <c r="U571" s="10" t="str">
        <f aca="true">IF(B571="","",IF(OR(P571&lt;&gt;"",I571="می‌باشد"),"بسته",IF(AND(L571&lt;&gt;"",W571=""),"خطای فرمت تاریخ ایجاد",IF(AND(H571&lt;&gt;"",AA571=""),"خطای فرمت مهلت",IF(AND(H571&lt;&gt;"",AD571&lt;&gt;"",TODAY()&gt;AD571),"تاخیر",IF(L571&lt;&gt;"","در حال انجام",""))))))</f>
        <v/>
      </c>
      <c r="V571" s="7" t="n">
        <f aca="true">IF(U571="تاخیر",TODAY()-AD571,IF(AND(U571="بسته",AH571&lt;&gt;"",AD571&lt;&gt;"",AH571&gt;AD571),AH571-AD571,0))</f>
        <v>0</v>
      </c>
      <c r="W571" s="7" t="str">
        <f aca="false">IF(L571="","",VALUE(LEFT(L571,FIND("/",L571)-1)))</f>
        <v/>
      </c>
      <c r="X571" s="7" t="str">
        <f aca="false">IF(L571="","",VALUE(MID(L571,FIND("/",L571)+1,FIND("/",L571,FIND("/",L571)+1)-FIND("/",L571)-1)))</f>
        <v/>
      </c>
      <c r="Y571" s="7" t="str">
        <f aca="false">IF(L571="","",VALUE(MID(L571,FIND("/",L571,FIND("/",L571)+1)+1,LEN(L571)-FIND("/",L571,FIND("/",L571)+1))))</f>
        <v/>
      </c>
      <c r="Z571" s="7" t="str">
        <f aca="false">IF(OR(L571="",W571=""),"",IFERROR(INDEX('لیست‌ها'!$Q$3:$Q$53,MATCH(W571,'لیست‌ها'!$P$3:$P$53,0))+IF(X571&lt;=6,(X571-1)*31+Y571,IF(X571&lt;=11,186+(X571-7)*30+Y571,336+Y571))-1,""))</f>
        <v/>
      </c>
      <c r="AA571" s="7" t="str">
        <f aca="false">IF(H571="","",VALUE(LEFT(H571,FIND("/",H571)-1)))</f>
        <v/>
      </c>
      <c r="AB571" s="7" t="str">
        <f aca="false">IF(H571="","",VALUE(MID(H571,FIND("/",H571)+1,FIND("/",H571,FIND("/",H571)+1)-FIND("/",H571)-1)))</f>
        <v/>
      </c>
      <c r="AC571" s="7" t="str">
        <f aca="false">IF(H571="","",VALUE(MID(H571,FIND("/",H571,FIND("/",H571)+1)+1,LEN(H571)-FIND("/",H571,FIND("/",H571)+1))))</f>
        <v/>
      </c>
      <c r="AD571" s="7" t="str">
        <f aca="false">IF(OR(H571="",AA571=""),"",IFERROR(INDEX('لیست‌ها'!$Q$3:$Q$53,MATCH(AA571,'لیست‌ها'!$P$3:$P$53,0))+IF(AB571&lt;=6,(AB571-1)*31+AC571,IF(AB571&lt;=11,186+(AB571-7)*30+AC571,336+AC571))-1,""))</f>
        <v/>
      </c>
      <c r="AE571" s="7" t="str">
        <f aca="false">IF(P571="","",VALUE(LEFT(P571,FIND("/",P571)-1)))</f>
        <v/>
      </c>
      <c r="AF571" s="7" t="str">
        <f aca="false">IF(P571="","",VALUE(MID(P571,FIND("/",P571)+1,FIND("/",P571,FIND("/",P571)+1)-FIND("/",P571)-1)))</f>
        <v/>
      </c>
      <c r="AG571" s="7" t="str">
        <f aca="false">IF(P571="","",VALUE(MID(P571,FIND("/",P571,FIND("/",P571)+1)+1,LEN(P571)-FIND("/",P571,FIND("/",P571)+1))))</f>
        <v/>
      </c>
      <c r="AH571" s="7" t="str">
        <f aca="false">IF(OR(P571="",AE571=""),"",IFERROR(INDEX('لیست‌ها'!$Q$3:$Q$53,MATCH(AE571,'لیست‌ها'!$P$3:$P$53,0))+IF(AF571&lt;=6,(AF571-1)*31+AG571,IF(AF571&lt;=11,186+(AF571-7)*30+AG571,336+AG571))-1,""))</f>
        <v/>
      </c>
      <c r="AI571" s="7" t="str">
        <f aca="false">IF(W571="","",W571&amp;"-"&amp;TEXT(X571,"00"))</f>
        <v/>
      </c>
      <c r="AJ571" s="7" t="str">
        <f aca="false">IF(W571="","",W571*12+X571)</f>
        <v/>
      </c>
      <c r="AK571" s="7" t="str">
        <f aca="false">IF(U571="تاخیر",V571+ROW()/100000,"")</f>
        <v/>
      </c>
    </row>
    <row r="572" customFormat="false" ht="15" hidden="false" customHeight="false" outlineLevel="0" collapsed="false">
      <c r="A572" s="7" t="str">
        <f aca="false">IF(B572="","",ROW()-3)</f>
        <v/>
      </c>
      <c r="B572" s="8"/>
      <c r="C572" s="8"/>
      <c r="D572" s="8"/>
      <c r="E572" s="9"/>
      <c r="F572" s="9"/>
      <c r="G572" s="8"/>
      <c r="H572" s="8"/>
      <c r="I572" s="8"/>
      <c r="J572" s="9"/>
      <c r="K572" s="8"/>
      <c r="L572" s="8"/>
      <c r="M572" s="8"/>
      <c r="N572" s="8"/>
      <c r="O572" s="8"/>
      <c r="P572" s="8"/>
      <c r="Q572" s="8"/>
      <c r="R572" s="9"/>
      <c r="S572" s="8"/>
      <c r="T572" s="9"/>
      <c r="U572" s="10" t="str">
        <f aca="true">IF(B572="","",IF(OR(P572&lt;&gt;"",I572="می‌باشد"),"بسته",IF(AND(L572&lt;&gt;"",W572=""),"خطای فرمت تاریخ ایجاد",IF(AND(H572&lt;&gt;"",AA572=""),"خطای فرمت مهلت",IF(AND(H572&lt;&gt;"",AD572&lt;&gt;"",TODAY()&gt;AD572),"تاخیر",IF(L572&lt;&gt;"","در حال انجام",""))))))</f>
        <v/>
      </c>
      <c r="V572" s="7" t="n">
        <f aca="true">IF(U572="تاخیر",TODAY()-AD572,IF(AND(U572="بسته",AH572&lt;&gt;"",AD572&lt;&gt;"",AH572&gt;AD572),AH572-AD572,0))</f>
        <v>0</v>
      </c>
      <c r="W572" s="7" t="str">
        <f aca="false">IF(L572="","",VALUE(LEFT(L572,FIND("/",L572)-1)))</f>
        <v/>
      </c>
      <c r="X572" s="7" t="str">
        <f aca="false">IF(L572="","",VALUE(MID(L572,FIND("/",L572)+1,FIND("/",L572,FIND("/",L572)+1)-FIND("/",L572)-1)))</f>
        <v/>
      </c>
      <c r="Y572" s="7" t="str">
        <f aca="false">IF(L572="","",VALUE(MID(L572,FIND("/",L572,FIND("/",L572)+1)+1,LEN(L572)-FIND("/",L572,FIND("/",L572)+1))))</f>
        <v/>
      </c>
      <c r="Z572" s="7" t="str">
        <f aca="false">IF(OR(L572="",W572=""),"",IFERROR(INDEX('لیست‌ها'!$Q$3:$Q$53,MATCH(W572,'لیست‌ها'!$P$3:$P$53,0))+IF(X572&lt;=6,(X572-1)*31+Y572,IF(X572&lt;=11,186+(X572-7)*30+Y572,336+Y572))-1,""))</f>
        <v/>
      </c>
      <c r="AA572" s="7" t="str">
        <f aca="false">IF(H572="","",VALUE(LEFT(H572,FIND("/",H572)-1)))</f>
        <v/>
      </c>
      <c r="AB572" s="7" t="str">
        <f aca="false">IF(H572="","",VALUE(MID(H572,FIND("/",H572)+1,FIND("/",H572,FIND("/",H572)+1)-FIND("/",H572)-1)))</f>
        <v/>
      </c>
      <c r="AC572" s="7" t="str">
        <f aca="false">IF(H572="","",VALUE(MID(H572,FIND("/",H572,FIND("/",H572)+1)+1,LEN(H572)-FIND("/",H572,FIND("/",H572)+1))))</f>
        <v/>
      </c>
      <c r="AD572" s="7" t="str">
        <f aca="false">IF(OR(H572="",AA572=""),"",IFERROR(INDEX('لیست‌ها'!$Q$3:$Q$53,MATCH(AA572,'لیست‌ها'!$P$3:$P$53,0))+IF(AB572&lt;=6,(AB572-1)*31+AC572,IF(AB572&lt;=11,186+(AB572-7)*30+AC572,336+AC572))-1,""))</f>
        <v/>
      </c>
      <c r="AE572" s="7" t="str">
        <f aca="false">IF(P572="","",VALUE(LEFT(P572,FIND("/",P572)-1)))</f>
        <v/>
      </c>
      <c r="AF572" s="7" t="str">
        <f aca="false">IF(P572="","",VALUE(MID(P572,FIND("/",P572)+1,FIND("/",P572,FIND("/",P572)+1)-FIND("/",P572)-1)))</f>
        <v/>
      </c>
      <c r="AG572" s="7" t="str">
        <f aca="false">IF(P572="","",VALUE(MID(P572,FIND("/",P572,FIND("/",P572)+1)+1,LEN(P572)-FIND("/",P572,FIND("/",P572)+1))))</f>
        <v/>
      </c>
      <c r="AH572" s="7" t="str">
        <f aca="false">IF(OR(P572="",AE572=""),"",IFERROR(INDEX('لیست‌ها'!$Q$3:$Q$53,MATCH(AE572,'لیست‌ها'!$P$3:$P$53,0))+IF(AF572&lt;=6,(AF572-1)*31+AG572,IF(AF572&lt;=11,186+(AF572-7)*30+AG572,336+AG572))-1,""))</f>
        <v/>
      </c>
      <c r="AI572" s="7" t="str">
        <f aca="false">IF(W572="","",W572&amp;"-"&amp;TEXT(X572,"00"))</f>
        <v/>
      </c>
      <c r="AJ572" s="7" t="str">
        <f aca="false">IF(W572="","",W572*12+X572)</f>
        <v/>
      </c>
      <c r="AK572" s="7" t="str">
        <f aca="false">IF(U572="تاخیر",V572+ROW()/100000,"")</f>
        <v/>
      </c>
    </row>
    <row r="573" customFormat="false" ht="15" hidden="false" customHeight="false" outlineLevel="0" collapsed="false">
      <c r="A573" s="7" t="str">
        <f aca="false">IF(B573="","",ROW()-3)</f>
        <v/>
      </c>
      <c r="B573" s="8"/>
      <c r="C573" s="8"/>
      <c r="D573" s="8"/>
      <c r="E573" s="9"/>
      <c r="F573" s="9"/>
      <c r="G573" s="8"/>
      <c r="H573" s="8"/>
      <c r="I573" s="8"/>
      <c r="J573" s="9"/>
      <c r="K573" s="8"/>
      <c r="L573" s="8"/>
      <c r="M573" s="8"/>
      <c r="N573" s="8"/>
      <c r="O573" s="8"/>
      <c r="P573" s="8"/>
      <c r="Q573" s="8"/>
      <c r="R573" s="9"/>
      <c r="S573" s="8"/>
      <c r="T573" s="9"/>
      <c r="U573" s="10" t="str">
        <f aca="true">IF(B573="","",IF(OR(P573&lt;&gt;"",I573="می‌باشد"),"بسته",IF(AND(L573&lt;&gt;"",W573=""),"خطای فرمت تاریخ ایجاد",IF(AND(H573&lt;&gt;"",AA573=""),"خطای فرمت مهلت",IF(AND(H573&lt;&gt;"",AD573&lt;&gt;"",TODAY()&gt;AD573),"تاخیر",IF(L573&lt;&gt;"","در حال انجام",""))))))</f>
        <v/>
      </c>
      <c r="V573" s="7" t="n">
        <f aca="true">IF(U573="تاخیر",TODAY()-AD573,IF(AND(U573="بسته",AH573&lt;&gt;"",AD573&lt;&gt;"",AH573&gt;AD573),AH573-AD573,0))</f>
        <v>0</v>
      </c>
      <c r="W573" s="7" t="str">
        <f aca="false">IF(L573="","",VALUE(LEFT(L573,FIND("/",L573)-1)))</f>
        <v/>
      </c>
      <c r="X573" s="7" t="str">
        <f aca="false">IF(L573="","",VALUE(MID(L573,FIND("/",L573)+1,FIND("/",L573,FIND("/",L573)+1)-FIND("/",L573)-1)))</f>
        <v/>
      </c>
      <c r="Y573" s="7" t="str">
        <f aca="false">IF(L573="","",VALUE(MID(L573,FIND("/",L573,FIND("/",L573)+1)+1,LEN(L573)-FIND("/",L573,FIND("/",L573)+1))))</f>
        <v/>
      </c>
      <c r="Z573" s="7" t="str">
        <f aca="false">IF(OR(L573="",W573=""),"",IFERROR(INDEX('لیست‌ها'!$Q$3:$Q$53,MATCH(W573,'لیست‌ها'!$P$3:$P$53,0))+IF(X573&lt;=6,(X573-1)*31+Y573,IF(X573&lt;=11,186+(X573-7)*30+Y573,336+Y573))-1,""))</f>
        <v/>
      </c>
      <c r="AA573" s="7" t="str">
        <f aca="false">IF(H573="","",VALUE(LEFT(H573,FIND("/",H573)-1)))</f>
        <v/>
      </c>
      <c r="AB573" s="7" t="str">
        <f aca="false">IF(H573="","",VALUE(MID(H573,FIND("/",H573)+1,FIND("/",H573,FIND("/",H573)+1)-FIND("/",H573)-1)))</f>
        <v/>
      </c>
      <c r="AC573" s="7" t="str">
        <f aca="false">IF(H573="","",VALUE(MID(H573,FIND("/",H573,FIND("/",H573)+1)+1,LEN(H573)-FIND("/",H573,FIND("/",H573)+1))))</f>
        <v/>
      </c>
      <c r="AD573" s="7" t="str">
        <f aca="false">IF(OR(H573="",AA573=""),"",IFERROR(INDEX('لیست‌ها'!$Q$3:$Q$53,MATCH(AA573,'لیست‌ها'!$P$3:$P$53,0))+IF(AB573&lt;=6,(AB573-1)*31+AC573,IF(AB573&lt;=11,186+(AB573-7)*30+AC573,336+AC573))-1,""))</f>
        <v/>
      </c>
      <c r="AE573" s="7" t="str">
        <f aca="false">IF(P573="","",VALUE(LEFT(P573,FIND("/",P573)-1)))</f>
        <v/>
      </c>
      <c r="AF573" s="7" t="str">
        <f aca="false">IF(P573="","",VALUE(MID(P573,FIND("/",P573)+1,FIND("/",P573,FIND("/",P573)+1)-FIND("/",P573)-1)))</f>
        <v/>
      </c>
      <c r="AG573" s="7" t="str">
        <f aca="false">IF(P573="","",VALUE(MID(P573,FIND("/",P573,FIND("/",P573)+1)+1,LEN(P573)-FIND("/",P573,FIND("/",P573)+1))))</f>
        <v/>
      </c>
      <c r="AH573" s="7" t="str">
        <f aca="false">IF(OR(P573="",AE573=""),"",IFERROR(INDEX('لیست‌ها'!$Q$3:$Q$53,MATCH(AE573,'لیست‌ها'!$P$3:$P$53,0))+IF(AF573&lt;=6,(AF573-1)*31+AG573,IF(AF573&lt;=11,186+(AF573-7)*30+AG573,336+AG573))-1,""))</f>
        <v/>
      </c>
      <c r="AI573" s="7" t="str">
        <f aca="false">IF(W573="","",W573&amp;"-"&amp;TEXT(X573,"00"))</f>
        <v/>
      </c>
      <c r="AJ573" s="7" t="str">
        <f aca="false">IF(W573="","",W573*12+X573)</f>
        <v/>
      </c>
      <c r="AK573" s="7" t="str">
        <f aca="false">IF(U573="تاخیر",V573+ROW()/100000,"")</f>
        <v/>
      </c>
    </row>
    <row r="574" customFormat="false" ht="15" hidden="false" customHeight="false" outlineLevel="0" collapsed="false">
      <c r="A574" s="7" t="str">
        <f aca="false">IF(B574="","",ROW()-3)</f>
        <v/>
      </c>
      <c r="B574" s="8"/>
      <c r="C574" s="8"/>
      <c r="D574" s="8"/>
      <c r="E574" s="9"/>
      <c r="F574" s="9"/>
      <c r="G574" s="8"/>
      <c r="H574" s="8"/>
      <c r="I574" s="8"/>
      <c r="J574" s="9"/>
      <c r="K574" s="8"/>
      <c r="L574" s="8"/>
      <c r="M574" s="8"/>
      <c r="N574" s="8"/>
      <c r="O574" s="8"/>
      <c r="P574" s="8"/>
      <c r="Q574" s="8"/>
      <c r="R574" s="9"/>
      <c r="S574" s="8"/>
      <c r="T574" s="9"/>
      <c r="U574" s="10" t="str">
        <f aca="true">IF(B574="","",IF(OR(P574&lt;&gt;"",I574="می‌باشد"),"بسته",IF(AND(L574&lt;&gt;"",W574=""),"خطای فرمت تاریخ ایجاد",IF(AND(H574&lt;&gt;"",AA574=""),"خطای فرمت مهلت",IF(AND(H574&lt;&gt;"",AD574&lt;&gt;"",TODAY()&gt;AD574),"تاخیر",IF(L574&lt;&gt;"","در حال انجام",""))))))</f>
        <v/>
      </c>
      <c r="V574" s="7" t="n">
        <f aca="true">IF(U574="تاخیر",TODAY()-AD574,IF(AND(U574="بسته",AH574&lt;&gt;"",AD574&lt;&gt;"",AH574&gt;AD574),AH574-AD574,0))</f>
        <v>0</v>
      </c>
      <c r="W574" s="7" t="str">
        <f aca="false">IF(L574="","",VALUE(LEFT(L574,FIND("/",L574)-1)))</f>
        <v/>
      </c>
      <c r="X574" s="7" t="str">
        <f aca="false">IF(L574="","",VALUE(MID(L574,FIND("/",L574)+1,FIND("/",L574,FIND("/",L574)+1)-FIND("/",L574)-1)))</f>
        <v/>
      </c>
      <c r="Y574" s="7" t="str">
        <f aca="false">IF(L574="","",VALUE(MID(L574,FIND("/",L574,FIND("/",L574)+1)+1,LEN(L574)-FIND("/",L574,FIND("/",L574)+1))))</f>
        <v/>
      </c>
      <c r="Z574" s="7" t="str">
        <f aca="false">IF(OR(L574="",W574=""),"",IFERROR(INDEX('لیست‌ها'!$Q$3:$Q$53,MATCH(W574,'لیست‌ها'!$P$3:$P$53,0))+IF(X574&lt;=6,(X574-1)*31+Y574,IF(X574&lt;=11,186+(X574-7)*30+Y574,336+Y574))-1,""))</f>
        <v/>
      </c>
      <c r="AA574" s="7" t="str">
        <f aca="false">IF(H574="","",VALUE(LEFT(H574,FIND("/",H574)-1)))</f>
        <v/>
      </c>
      <c r="AB574" s="7" t="str">
        <f aca="false">IF(H574="","",VALUE(MID(H574,FIND("/",H574)+1,FIND("/",H574,FIND("/",H574)+1)-FIND("/",H574)-1)))</f>
        <v/>
      </c>
      <c r="AC574" s="7" t="str">
        <f aca="false">IF(H574="","",VALUE(MID(H574,FIND("/",H574,FIND("/",H574)+1)+1,LEN(H574)-FIND("/",H574,FIND("/",H574)+1))))</f>
        <v/>
      </c>
      <c r="AD574" s="7" t="str">
        <f aca="false">IF(OR(H574="",AA574=""),"",IFERROR(INDEX('لیست‌ها'!$Q$3:$Q$53,MATCH(AA574,'لیست‌ها'!$P$3:$P$53,0))+IF(AB574&lt;=6,(AB574-1)*31+AC574,IF(AB574&lt;=11,186+(AB574-7)*30+AC574,336+AC574))-1,""))</f>
        <v/>
      </c>
      <c r="AE574" s="7" t="str">
        <f aca="false">IF(P574="","",VALUE(LEFT(P574,FIND("/",P574)-1)))</f>
        <v/>
      </c>
      <c r="AF574" s="7" t="str">
        <f aca="false">IF(P574="","",VALUE(MID(P574,FIND("/",P574)+1,FIND("/",P574,FIND("/",P574)+1)-FIND("/",P574)-1)))</f>
        <v/>
      </c>
      <c r="AG574" s="7" t="str">
        <f aca="false">IF(P574="","",VALUE(MID(P574,FIND("/",P574,FIND("/",P574)+1)+1,LEN(P574)-FIND("/",P574,FIND("/",P574)+1))))</f>
        <v/>
      </c>
      <c r="AH574" s="7" t="str">
        <f aca="false">IF(OR(P574="",AE574=""),"",IFERROR(INDEX('لیست‌ها'!$Q$3:$Q$53,MATCH(AE574,'لیست‌ها'!$P$3:$P$53,0))+IF(AF574&lt;=6,(AF574-1)*31+AG574,IF(AF574&lt;=11,186+(AF574-7)*30+AG574,336+AG574))-1,""))</f>
        <v/>
      </c>
      <c r="AI574" s="7" t="str">
        <f aca="false">IF(W574="","",W574&amp;"-"&amp;TEXT(X574,"00"))</f>
        <v/>
      </c>
      <c r="AJ574" s="7" t="str">
        <f aca="false">IF(W574="","",W574*12+X574)</f>
        <v/>
      </c>
      <c r="AK574" s="7" t="str">
        <f aca="false">IF(U574="تاخیر",V574+ROW()/100000,"")</f>
        <v/>
      </c>
    </row>
    <row r="575" customFormat="false" ht="15" hidden="false" customHeight="false" outlineLevel="0" collapsed="false">
      <c r="A575" s="7" t="str">
        <f aca="false">IF(B575="","",ROW()-3)</f>
        <v/>
      </c>
      <c r="B575" s="8"/>
      <c r="C575" s="8"/>
      <c r="D575" s="8"/>
      <c r="E575" s="9"/>
      <c r="F575" s="9"/>
      <c r="G575" s="8"/>
      <c r="H575" s="8"/>
      <c r="I575" s="8"/>
      <c r="J575" s="9"/>
      <c r="K575" s="8"/>
      <c r="L575" s="8"/>
      <c r="M575" s="8"/>
      <c r="N575" s="8"/>
      <c r="O575" s="8"/>
      <c r="P575" s="8"/>
      <c r="Q575" s="8"/>
      <c r="R575" s="9"/>
      <c r="S575" s="8"/>
      <c r="T575" s="9"/>
      <c r="U575" s="10" t="str">
        <f aca="true">IF(B575="","",IF(OR(P575&lt;&gt;"",I575="می‌باشد"),"بسته",IF(AND(L575&lt;&gt;"",W575=""),"خطای فرمت تاریخ ایجاد",IF(AND(H575&lt;&gt;"",AA575=""),"خطای فرمت مهلت",IF(AND(H575&lt;&gt;"",AD575&lt;&gt;"",TODAY()&gt;AD575),"تاخیر",IF(L575&lt;&gt;"","در حال انجام",""))))))</f>
        <v/>
      </c>
      <c r="V575" s="7" t="n">
        <f aca="true">IF(U575="تاخیر",TODAY()-AD575,IF(AND(U575="بسته",AH575&lt;&gt;"",AD575&lt;&gt;"",AH575&gt;AD575),AH575-AD575,0))</f>
        <v>0</v>
      </c>
      <c r="W575" s="7" t="str">
        <f aca="false">IF(L575="","",VALUE(LEFT(L575,FIND("/",L575)-1)))</f>
        <v/>
      </c>
      <c r="X575" s="7" t="str">
        <f aca="false">IF(L575="","",VALUE(MID(L575,FIND("/",L575)+1,FIND("/",L575,FIND("/",L575)+1)-FIND("/",L575)-1)))</f>
        <v/>
      </c>
      <c r="Y575" s="7" t="str">
        <f aca="false">IF(L575="","",VALUE(MID(L575,FIND("/",L575,FIND("/",L575)+1)+1,LEN(L575)-FIND("/",L575,FIND("/",L575)+1))))</f>
        <v/>
      </c>
      <c r="Z575" s="7" t="str">
        <f aca="false">IF(OR(L575="",W575=""),"",IFERROR(INDEX('لیست‌ها'!$Q$3:$Q$53,MATCH(W575,'لیست‌ها'!$P$3:$P$53,0))+IF(X575&lt;=6,(X575-1)*31+Y575,IF(X575&lt;=11,186+(X575-7)*30+Y575,336+Y575))-1,""))</f>
        <v/>
      </c>
      <c r="AA575" s="7" t="str">
        <f aca="false">IF(H575="","",VALUE(LEFT(H575,FIND("/",H575)-1)))</f>
        <v/>
      </c>
      <c r="AB575" s="7" t="str">
        <f aca="false">IF(H575="","",VALUE(MID(H575,FIND("/",H575)+1,FIND("/",H575,FIND("/",H575)+1)-FIND("/",H575)-1)))</f>
        <v/>
      </c>
      <c r="AC575" s="7" t="str">
        <f aca="false">IF(H575="","",VALUE(MID(H575,FIND("/",H575,FIND("/",H575)+1)+1,LEN(H575)-FIND("/",H575,FIND("/",H575)+1))))</f>
        <v/>
      </c>
      <c r="AD575" s="7" t="str">
        <f aca="false">IF(OR(H575="",AA575=""),"",IFERROR(INDEX('لیست‌ها'!$Q$3:$Q$53,MATCH(AA575,'لیست‌ها'!$P$3:$P$53,0))+IF(AB575&lt;=6,(AB575-1)*31+AC575,IF(AB575&lt;=11,186+(AB575-7)*30+AC575,336+AC575))-1,""))</f>
        <v/>
      </c>
      <c r="AE575" s="7" t="str">
        <f aca="false">IF(P575="","",VALUE(LEFT(P575,FIND("/",P575)-1)))</f>
        <v/>
      </c>
      <c r="AF575" s="7" t="str">
        <f aca="false">IF(P575="","",VALUE(MID(P575,FIND("/",P575)+1,FIND("/",P575,FIND("/",P575)+1)-FIND("/",P575)-1)))</f>
        <v/>
      </c>
      <c r="AG575" s="7" t="str">
        <f aca="false">IF(P575="","",VALUE(MID(P575,FIND("/",P575,FIND("/",P575)+1)+1,LEN(P575)-FIND("/",P575,FIND("/",P575)+1))))</f>
        <v/>
      </c>
      <c r="AH575" s="7" t="str">
        <f aca="false">IF(OR(P575="",AE575=""),"",IFERROR(INDEX('لیست‌ها'!$Q$3:$Q$53,MATCH(AE575,'لیست‌ها'!$P$3:$P$53,0))+IF(AF575&lt;=6,(AF575-1)*31+AG575,IF(AF575&lt;=11,186+(AF575-7)*30+AG575,336+AG575))-1,""))</f>
        <v/>
      </c>
      <c r="AI575" s="7" t="str">
        <f aca="false">IF(W575="","",W575&amp;"-"&amp;TEXT(X575,"00"))</f>
        <v/>
      </c>
      <c r="AJ575" s="7" t="str">
        <f aca="false">IF(W575="","",W575*12+X575)</f>
        <v/>
      </c>
      <c r="AK575" s="7" t="str">
        <f aca="false">IF(U575="تاخیر",V575+ROW()/100000,"")</f>
        <v/>
      </c>
    </row>
    <row r="576" customFormat="false" ht="15" hidden="false" customHeight="false" outlineLevel="0" collapsed="false">
      <c r="A576" s="7" t="str">
        <f aca="false">IF(B576="","",ROW()-3)</f>
        <v/>
      </c>
      <c r="B576" s="8"/>
      <c r="C576" s="8"/>
      <c r="D576" s="8"/>
      <c r="E576" s="9"/>
      <c r="F576" s="9"/>
      <c r="G576" s="8"/>
      <c r="H576" s="8"/>
      <c r="I576" s="8"/>
      <c r="J576" s="9"/>
      <c r="K576" s="8"/>
      <c r="L576" s="8"/>
      <c r="M576" s="8"/>
      <c r="N576" s="8"/>
      <c r="O576" s="8"/>
      <c r="P576" s="8"/>
      <c r="Q576" s="8"/>
      <c r="R576" s="9"/>
      <c r="S576" s="8"/>
      <c r="T576" s="9"/>
      <c r="U576" s="10" t="str">
        <f aca="true">IF(B576="","",IF(OR(P576&lt;&gt;"",I576="می‌باشد"),"بسته",IF(AND(L576&lt;&gt;"",W576=""),"خطای فرمت تاریخ ایجاد",IF(AND(H576&lt;&gt;"",AA576=""),"خطای فرمت مهلت",IF(AND(H576&lt;&gt;"",AD576&lt;&gt;"",TODAY()&gt;AD576),"تاخیر",IF(L576&lt;&gt;"","در حال انجام",""))))))</f>
        <v/>
      </c>
      <c r="V576" s="7" t="n">
        <f aca="true">IF(U576="تاخیر",TODAY()-AD576,IF(AND(U576="بسته",AH576&lt;&gt;"",AD576&lt;&gt;"",AH576&gt;AD576),AH576-AD576,0))</f>
        <v>0</v>
      </c>
      <c r="W576" s="7" t="str">
        <f aca="false">IF(L576="","",VALUE(LEFT(L576,FIND("/",L576)-1)))</f>
        <v/>
      </c>
      <c r="X576" s="7" t="str">
        <f aca="false">IF(L576="","",VALUE(MID(L576,FIND("/",L576)+1,FIND("/",L576,FIND("/",L576)+1)-FIND("/",L576)-1)))</f>
        <v/>
      </c>
      <c r="Y576" s="7" t="str">
        <f aca="false">IF(L576="","",VALUE(MID(L576,FIND("/",L576,FIND("/",L576)+1)+1,LEN(L576)-FIND("/",L576,FIND("/",L576)+1))))</f>
        <v/>
      </c>
      <c r="Z576" s="7" t="str">
        <f aca="false">IF(OR(L576="",W576=""),"",IFERROR(INDEX('لیست‌ها'!$Q$3:$Q$53,MATCH(W576,'لیست‌ها'!$P$3:$P$53,0))+IF(X576&lt;=6,(X576-1)*31+Y576,IF(X576&lt;=11,186+(X576-7)*30+Y576,336+Y576))-1,""))</f>
        <v/>
      </c>
      <c r="AA576" s="7" t="str">
        <f aca="false">IF(H576="","",VALUE(LEFT(H576,FIND("/",H576)-1)))</f>
        <v/>
      </c>
      <c r="AB576" s="7" t="str">
        <f aca="false">IF(H576="","",VALUE(MID(H576,FIND("/",H576)+1,FIND("/",H576,FIND("/",H576)+1)-FIND("/",H576)-1)))</f>
        <v/>
      </c>
      <c r="AC576" s="7" t="str">
        <f aca="false">IF(H576="","",VALUE(MID(H576,FIND("/",H576,FIND("/",H576)+1)+1,LEN(H576)-FIND("/",H576,FIND("/",H576)+1))))</f>
        <v/>
      </c>
      <c r="AD576" s="7" t="str">
        <f aca="false">IF(OR(H576="",AA576=""),"",IFERROR(INDEX('لیست‌ها'!$Q$3:$Q$53,MATCH(AA576,'لیست‌ها'!$P$3:$P$53,0))+IF(AB576&lt;=6,(AB576-1)*31+AC576,IF(AB576&lt;=11,186+(AB576-7)*30+AC576,336+AC576))-1,""))</f>
        <v/>
      </c>
      <c r="AE576" s="7" t="str">
        <f aca="false">IF(P576="","",VALUE(LEFT(P576,FIND("/",P576)-1)))</f>
        <v/>
      </c>
      <c r="AF576" s="7" t="str">
        <f aca="false">IF(P576="","",VALUE(MID(P576,FIND("/",P576)+1,FIND("/",P576,FIND("/",P576)+1)-FIND("/",P576)-1)))</f>
        <v/>
      </c>
      <c r="AG576" s="7" t="str">
        <f aca="false">IF(P576="","",VALUE(MID(P576,FIND("/",P576,FIND("/",P576)+1)+1,LEN(P576)-FIND("/",P576,FIND("/",P576)+1))))</f>
        <v/>
      </c>
      <c r="AH576" s="7" t="str">
        <f aca="false">IF(OR(P576="",AE576=""),"",IFERROR(INDEX('لیست‌ها'!$Q$3:$Q$53,MATCH(AE576,'لیست‌ها'!$P$3:$P$53,0))+IF(AF576&lt;=6,(AF576-1)*31+AG576,IF(AF576&lt;=11,186+(AF576-7)*30+AG576,336+AG576))-1,""))</f>
        <v/>
      </c>
      <c r="AI576" s="7" t="str">
        <f aca="false">IF(W576="","",W576&amp;"-"&amp;TEXT(X576,"00"))</f>
        <v/>
      </c>
      <c r="AJ576" s="7" t="str">
        <f aca="false">IF(W576="","",W576*12+X576)</f>
        <v/>
      </c>
      <c r="AK576" s="7" t="str">
        <f aca="false">IF(U576="تاخیر",V576+ROW()/100000,"")</f>
        <v/>
      </c>
    </row>
    <row r="577" customFormat="false" ht="15" hidden="false" customHeight="false" outlineLevel="0" collapsed="false">
      <c r="A577" s="7" t="str">
        <f aca="false">IF(B577="","",ROW()-3)</f>
        <v/>
      </c>
      <c r="B577" s="8"/>
      <c r="C577" s="8"/>
      <c r="D577" s="8"/>
      <c r="E577" s="9"/>
      <c r="F577" s="9"/>
      <c r="G577" s="8"/>
      <c r="H577" s="8"/>
      <c r="I577" s="8"/>
      <c r="J577" s="9"/>
      <c r="K577" s="8"/>
      <c r="L577" s="8"/>
      <c r="M577" s="8"/>
      <c r="N577" s="8"/>
      <c r="O577" s="8"/>
      <c r="P577" s="8"/>
      <c r="Q577" s="8"/>
      <c r="R577" s="9"/>
      <c r="S577" s="8"/>
      <c r="T577" s="9"/>
      <c r="U577" s="10" t="str">
        <f aca="true">IF(B577="","",IF(OR(P577&lt;&gt;"",I577="می‌باشد"),"بسته",IF(AND(L577&lt;&gt;"",W577=""),"خطای فرمت تاریخ ایجاد",IF(AND(H577&lt;&gt;"",AA577=""),"خطای فرمت مهلت",IF(AND(H577&lt;&gt;"",AD577&lt;&gt;"",TODAY()&gt;AD577),"تاخیر",IF(L577&lt;&gt;"","در حال انجام",""))))))</f>
        <v/>
      </c>
      <c r="V577" s="7" t="n">
        <f aca="true">IF(U577="تاخیر",TODAY()-AD577,IF(AND(U577="بسته",AH577&lt;&gt;"",AD577&lt;&gt;"",AH577&gt;AD577),AH577-AD577,0))</f>
        <v>0</v>
      </c>
      <c r="W577" s="7" t="str">
        <f aca="false">IF(L577="","",VALUE(LEFT(L577,FIND("/",L577)-1)))</f>
        <v/>
      </c>
      <c r="X577" s="7" t="str">
        <f aca="false">IF(L577="","",VALUE(MID(L577,FIND("/",L577)+1,FIND("/",L577,FIND("/",L577)+1)-FIND("/",L577)-1)))</f>
        <v/>
      </c>
      <c r="Y577" s="7" t="str">
        <f aca="false">IF(L577="","",VALUE(MID(L577,FIND("/",L577,FIND("/",L577)+1)+1,LEN(L577)-FIND("/",L577,FIND("/",L577)+1))))</f>
        <v/>
      </c>
      <c r="Z577" s="7" t="str">
        <f aca="false">IF(OR(L577="",W577=""),"",IFERROR(INDEX('لیست‌ها'!$Q$3:$Q$53,MATCH(W577,'لیست‌ها'!$P$3:$P$53,0))+IF(X577&lt;=6,(X577-1)*31+Y577,IF(X577&lt;=11,186+(X577-7)*30+Y577,336+Y577))-1,""))</f>
        <v/>
      </c>
      <c r="AA577" s="7" t="str">
        <f aca="false">IF(H577="","",VALUE(LEFT(H577,FIND("/",H577)-1)))</f>
        <v/>
      </c>
      <c r="AB577" s="7" t="str">
        <f aca="false">IF(H577="","",VALUE(MID(H577,FIND("/",H577)+1,FIND("/",H577,FIND("/",H577)+1)-FIND("/",H577)-1)))</f>
        <v/>
      </c>
      <c r="AC577" s="7" t="str">
        <f aca="false">IF(H577="","",VALUE(MID(H577,FIND("/",H577,FIND("/",H577)+1)+1,LEN(H577)-FIND("/",H577,FIND("/",H577)+1))))</f>
        <v/>
      </c>
      <c r="AD577" s="7" t="str">
        <f aca="false">IF(OR(H577="",AA577=""),"",IFERROR(INDEX('لیست‌ها'!$Q$3:$Q$53,MATCH(AA577,'لیست‌ها'!$P$3:$P$53,0))+IF(AB577&lt;=6,(AB577-1)*31+AC577,IF(AB577&lt;=11,186+(AB577-7)*30+AC577,336+AC577))-1,""))</f>
        <v/>
      </c>
      <c r="AE577" s="7" t="str">
        <f aca="false">IF(P577="","",VALUE(LEFT(P577,FIND("/",P577)-1)))</f>
        <v/>
      </c>
      <c r="AF577" s="7" t="str">
        <f aca="false">IF(P577="","",VALUE(MID(P577,FIND("/",P577)+1,FIND("/",P577,FIND("/",P577)+1)-FIND("/",P577)-1)))</f>
        <v/>
      </c>
      <c r="AG577" s="7" t="str">
        <f aca="false">IF(P577="","",VALUE(MID(P577,FIND("/",P577,FIND("/",P577)+1)+1,LEN(P577)-FIND("/",P577,FIND("/",P577)+1))))</f>
        <v/>
      </c>
      <c r="AH577" s="7" t="str">
        <f aca="false">IF(OR(P577="",AE577=""),"",IFERROR(INDEX('لیست‌ها'!$Q$3:$Q$53,MATCH(AE577,'لیست‌ها'!$P$3:$P$53,0))+IF(AF577&lt;=6,(AF577-1)*31+AG577,IF(AF577&lt;=11,186+(AF577-7)*30+AG577,336+AG577))-1,""))</f>
        <v/>
      </c>
      <c r="AI577" s="7" t="str">
        <f aca="false">IF(W577="","",W577&amp;"-"&amp;TEXT(X577,"00"))</f>
        <v/>
      </c>
      <c r="AJ577" s="7" t="str">
        <f aca="false">IF(W577="","",W577*12+X577)</f>
        <v/>
      </c>
      <c r="AK577" s="7" t="str">
        <f aca="false">IF(U577="تاخیر",V577+ROW()/100000,"")</f>
        <v/>
      </c>
    </row>
    <row r="578" customFormat="false" ht="15" hidden="false" customHeight="false" outlineLevel="0" collapsed="false">
      <c r="A578" s="7" t="str">
        <f aca="false">IF(B578="","",ROW()-3)</f>
        <v/>
      </c>
      <c r="B578" s="8"/>
      <c r="C578" s="8"/>
      <c r="D578" s="8"/>
      <c r="E578" s="9"/>
      <c r="F578" s="9"/>
      <c r="G578" s="8"/>
      <c r="H578" s="8"/>
      <c r="I578" s="8"/>
      <c r="J578" s="9"/>
      <c r="K578" s="8"/>
      <c r="L578" s="8"/>
      <c r="M578" s="8"/>
      <c r="N578" s="8"/>
      <c r="O578" s="8"/>
      <c r="P578" s="8"/>
      <c r="Q578" s="8"/>
      <c r="R578" s="9"/>
      <c r="S578" s="8"/>
      <c r="T578" s="9"/>
      <c r="U578" s="10" t="str">
        <f aca="true">IF(B578="","",IF(OR(P578&lt;&gt;"",I578="می‌باشد"),"بسته",IF(AND(L578&lt;&gt;"",W578=""),"خطای فرمت تاریخ ایجاد",IF(AND(H578&lt;&gt;"",AA578=""),"خطای فرمت مهلت",IF(AND(H578&lt;&gt;"",AD578&lt;&gt;"",TODAY()&gt;AD578),"تاخیر",IF(L578&lt;&gt;"","در حال انجام",""))))))</f>
        <v/>
      </c>
      <c r="V578" s="7" t="n">
        <f aca="true">IF(U578="تاخیر",TODAY()-AD578,IF(AND(U578="بسته",AH578&lt;&gt;"",AD578&lt;&gt;"",AH578&gt;AD578),AH578-AD578,0))</f>
        <v>0</v>
      </c>
      <c r="W578" s="7" t="str">
        <f aca="false">IF(L578="","",VALUE(LEFT(L578,FIND("/",L578)-1)))</f>
        <v/>
      </c>
      <c r="X578" s="7" t="str">
        <f aca="false">IF(L578="","",VALUE(MID(L578,FIND("/",L578)+1,FIND("/",L578,FIND("/",L578)+1)-FIND("/",L578)-1)))</f>
        <v/>
      </c>
      <c r="Y578" s="7" t="str">
        <f aca="false">IF(L578="","",VALUE(MID(L578,FIND("/",L578,FIND("/",L578)+1)+1,LEN(L578)-FIND("/",L578,FIND("/",L578)+1))))</f>
        <v/>
      </c>
      <c r="Z578" s="7" t="str">
        <f aca="false">IF(OR(L578="",W578=""),"",IFERROR(INDEX('لیست‌ها'!$Q$3:$Q$53,MATCH(W578,'لیست‌ها'!$P$3:$P$53,0))+IF(X578&lt;=6,(X578-1)*31+Y578,IF(X578&lt;=11,186+(X578-7)*30+Y578,336+Y578))-1,""))</f>
        <v/>
      </c>
      <c r="AA578" s="7" t="str">
        <f aca="false">IF(H578="","",VALUE(LEFT(H578,FIND("/",H578)-1)))</f>
        <v/>
      </c>
      <c r="AB578" s="7" t="str">
        <f aca="false">IF(H578="","",VALUE(MID(H578,FIND("/",H578)+1,FIND("/",H578,FIND("/",H578)+1)-FIND("/",H578)-1)))</f>
        <v/>
      </c>
      <c r="AC578" s="7" t="str">
        <f aca="false">IF(H578="","",VALUE(MID(H578,FIND("/",H578,FIND("/",H578)+1)+1,LEN(H578)-FIND("/",H578,FIND("/",H578)+1))))</f>
        <v/>
      </c>
      <c r="AD578" s="7" t="str">
        <f aca="false">IF(OR(H578="",AA578=""),"",IFERROR(INDEX('لیست‌ها'!$Q$3:$Q$53,MATCH(AA578,'لیست‌ها'!$P$3:$P$53,0))+IF(AB578&lt;=6,(AB578-1)*31+AC578,IF(AB578&lt;=11,186+(AB578-7)*30+AC578,336+AC578))-1,""))</f>
        <v/>
      </c>
      <c r="AE578" s="7" t="str">
        <f aca="false">IF(P578="","",VALUE(LEFT(P578,FIND("/",P578)-1)))</f>
        <v/>
      </c>
      <c r="AF578" s="7" t="str">
        <f aca="false">IF(P578="","",VALUE(MID(P578,FIND("/",P578)+1,FIND("/",P578,FIND("/",P578)+1)-FIND("/",P578)-1)))</f>
        <v/>
      </c>
      <c r="AG578" s="7" t="str">
        <f aca="false">IF(P578="","",VALUE(MID(P578,FIND("/",P578,FIND("/",P578)+1)+1,LEN(P578)-FIND("/",P578,FIND("/",P578)+1))))</f>
        <v/>
      </c>
      <c r="AH578" s="7" t="str">
        <f aca="false">IF(OR(P578="",AE578=""),"",IFERROR(INDEX('لیست‌ها'!$Q$3:$Q$53,MATCH(AE578,'لیست‌ها'!$P$3:$P$53,0))+IF(AF578&lt;=6,(AF578-1)*31+AG578,IF(AF578&lt;=11,186+(AF578-7)*30+AG578,336+AG578))-1,""))</f>
        <v/>
      </c>
      <c r="AI578" s="7" t="str">
        <f aca="false">IF(W578="","",W578&amp;"-"&amp;TEXT(X578,"00"))</f>
        <v/>
      </c>
      <c r="AJ578" s="7" t="str">
        <f aca="false">IF(W578="","",W578*12+X578)</f>
        <v/>
      </c>
      <c r="AK578" s="7" t="str">
        <f aca="false">IF(U578="تاخیر",V578+ROW()/100000,"")</f>
        <v/>
      </c>
    </row>
    <row r="579" customFormat="false" ht="15" hidden="false" customHeight="false" outlineLevel="0" collapsed="false">
      <c r="A579" s="7" t="str">
        <f aca="false">IF(B579="","",ROW()-3)</f>
        <v/>
      </c>
      <c r="B579" s="8"/>
      <c r="C579" s="8"/>
      <c r="D579" s="8"/>
      <c r="E579" s="9"/>
      <c r="F579" s="9"/>
      <c r="G579" s="8"/>
      <c r="H579" s="8"/>
      <c r="I579" s="8"/>
      <c r="J579" s="9"/>
      <c r="K579" s="8"/>
      <c r="L579" s="8"/>
      <c r="M579" s="8"/>
      <c r="N579" s="8"/>
      <c r="O579" s="8"/>
      <c r="P579" s="8"/>
      <c r="Q579" s="8"/>
      <c r="R579" s="9"/>
      <c r="S579" s="8"/>
      <c r="T579" s="9"/>
      <c r="U579" s="10" t="str">
        <f aca="true">IF(B579="","",IF(OR(P579&lt;&gt;"",I579="می‌باشد"),"بسته",IF(AND(L579&lt;&gt;"",W579=""),"خطای فرمت تاریخ ایجاد",IF(AND(H579&lt;&gt;"",AA579=""),"خطای فرمت مهلت",IF(AND(H579&lt;&gt;"",AD579&lt;&gt;"",TODAY()&gt;AD579),"تاخیر",IF(L579&lt;&gt;"","در حال انجام",""))))))</f>
        <v/>
      </c>
      <c r="V579" s="7" t="n">
        <f aca="true">IF(U579="تاخیر",TODAY()-AD579,IF(AND(U579="بسته",AH579&lt;&gt;"",AD579&lt;&gt;"",AH579&gt;AD579),AH579-AD579,0))</f>
        <v>0</v>
      </c>
      <c r="W579" s="7" t="str">
        <f aca="false">IF(L579="","",VALUE(LEFT(L579,FIND("/",L579)-1)))</f>
        <v/>
      </c>
      <c r="X579" s="7" t="str">
        <f aca="false">IF(L579="","",VALUE(MID(L579,FIND("/",L579)+1,FIND("/",L579,FIND("/",L579)+1)-FIND("/",L579)-1)))</f>
        <v/>
      </c>
      <c r="Y579" s="7" t="str">
        <f aca="false">IF(L579="","",VALUE(MID(L579,FIND("/",L579,FIND("/",L579)+1)+1,LEN(L579)-FIND("/",L579,FIND("/",L579)+1))))</f>
        <v/>
      </c>
      <c r="Z579" s="7" t="str">
        <f aca="false">IF(OR(L579="",W579=""),"",IFERROR(INDEX('لیست‌ها'!$Q$3:$Q$53,MATCH(W579,'لیست‌ها'!$P$3:$P$53,0))+IF(X579&lt;=6,(X579-1)*31+Y579,IF(X579&lt;=11,186+(X579-7)*30+Y579,336+Y579))-1,""))</f>
        <v/>
      </c>
      <c r="AA579" s="7" t="str">
        <f aca="false">IF(H579="","",VALUE(LEFT(H579,FIND("/",H579)-1)))</f>
        <v/>
      </c>
      <c r="AB579" s="7" t="str">
        <f aca="false">IF(H579="","",VALUE(MID(H579,FIND("/",H579)+1,FIND("/",H579,FIND("/",H579)+1)-FIND("/",H579)-1)))</f>
        <v/>
      </c>
      <c r="AC579" s="7" t="str">
        <f aca="false">IF(H579="","",VALUE(MID(H579,FIND("/",H579,FIND("/",H579)+1)+1,LEN(H579)-FIND("/",H579,FIND("/",H579)+1))))</f>
        <v/>
      </c>
      <c r="AD579" s="7" t="str">
        <f aca="false">IF(OR(H579="",AA579=""),"",IFERROR(INDEX('لیست‌ها'!$Q$3:$Q$53,MATCH(AA579,'لیست‌ها'!$P$3:$P$53,0))+IF(AB579&lt;=6,(AB579-1)*31+AC579,IF(AB579&lt;=11,186+(AB579-7)*30+AC579,336+AC579))-1,""))</f>
        <v/>
      </c>
      <c r="AE579" s="7" t="str">
        <f aca="false">IF(P579="","",VALUE(LEFT(P579,FIND("/",P579)-1)))</f>
        <v/>
      </c>
      <c r="AF579" s="7" t="str">
        <f aca="false">IF(P579="","",VALUE(MID(P579,FIND("/",P579)+1,FIND("/",P579,FIND("/",P579)+1)-FIND("/",P579)-1)))</f>
        <v/>
      </c>
      <c r="AG579" s="7" t="str">
        <f aca="false">IF(P579="","",VALUE(MID(P579,FIND("/",P579,FIND("/",P579)+1)+1,LEN(P579)-FIND("/",P579,FIND("/",P579)+1))))</f>
        <v/>
      </c>
      <c r="AH579" s="7" t="str">
        <f aca="false">IF(OR(P579="",AE579=""),"",IFERROR(INDEX('لیست‌ها'!$Q$3:$Q$53,MATCH(AE579,'لیست‌ها'!$P$3:$P$53,0))+IF(AF579&lt;=6,(AF579-1)*31+AG579,IF(AF579&lt;=11,186+(AF579-7)*30+AG579,336+AG579))-1,""))</f>
        <v/>
      </c>
      <c r="AI579" s="7" t="str">
        <f aca="false">IF(W579="","",W579&amp;"-"&amp;TEXT(X579,"00"))</f>
        <v/>
      </c>
      <c r="AJ579" s="7" t="str">
        <f aca="false">IF(W579="","",W579*12+X579)</f>
        <v/>
      </c>
      <c r="AK579" s="7" t="str">
        <f aca="false">IF(U579="تاخیر",V579+ROW()/100000,"")</f>
        <v/>
      </c>
    </row>
    <row r="580" customFormat="false" ht="15" hidden="false" customHeight="false" outlineLevel="0" collapsed="false">
      <c r="A580" s="7" t="str">
        <f aca="false">IF(B580="","",ROW()-3)</f>
        <v/>
      </c>
      <c r="B580" s="8"/>
      <c r="C580" s="8"/>
      <c r="D580" s="8"/>
      <c r="E580" s="9"/>
      <c r="F580" s="9"/>
      <c r="G580" s="8"/>
      <c r="H580" s="8"/>
      <c r="I580" s="8"/>
      <c r="J580" s="9"/>
      <c r="K580" s="8"/>
      <c r="L580" s="8"/>
      <c r="M580" s="8"/>
      <c r="N580" s="8"/>
      <c r="O580" s="8"/>
      <c r="P580" s="8"/>
      <c r="Q580" s="8"/>
      <c r="R580" s="9"/>
      <c r="S580" s="8"/>
      <c r="T580" s="9"/>
      <c r="U580" s="10" t="str">
        <f aca="true">IF(B580="","",IF(OR(P580&lt;&gt;"",I580="می‌باشد"),"بسته",IF(AND(L580&lt;&gt;"",W580=""),"خطای فرمت تاریخ ایجاد",IF(AND(H580&lt;&gt;"",AA580=""),"خطای فرمت مهلت",IF(AND(H580&lt;&gt;"",AD580&lt;&gt;"",TODAY()&gt;AD580),"تاخیر",IF(L580&lt;&gt;"","در حال انجام",""))))))</f>
        <v/>
      </c>
      <c r="V580" s="7" t="n">
        <f aca="true">IF(U580="تاخیر",TODAY()-AD580,IF(AND(U580="بسته",AH580&lt;&gt;"",AD580&lt;&gt;"",AH580&gt;AD580),AH580-AD580,0))</f>
        <v>0</v>
      </c>
      <c r="W580" s="7" t="str">
        <f aca="false">IF(L580="","",VALUE(LEFT(L580,FIND("/",L580)-1)))</f>
        <v/>
      </c>
      <c r="X580" s="7" t="str">
        <f aca="false">IF(L580="","",VALUE(MID(L580,FIND("/",L580)+1,FIND("/",L580,FIND("/",L580)+1)-FIND("/",L580)-1)))</f>
        <v/>
      </c>
      <c r="Y580" s="7" t="str">
        <f aca="false">IF(L580="","",VALUE(MID(L580,FIND("/",L580,FIND("/",L580)+1)+1,LEN(L580)-FIND("/",L580,FIND("/",L580)+1))))</f>
        <v/>
      </c>
      <c r="Z580" s="7" t="str">
        <f aca="false">IF(OR(L580="",W580=""),"",IFERROR(INDEX('لیست‌ها'!$Q$3:$Q$53,MATCH(W580,'لیست‌ها'!$P$3:$P$53,0))+IF(X580&lt;=6,(X580-1)*31+Y580,IF(X580&lt;=11,186+(X580-7)*30+Y580,336+Y580))-1,""))</f>
        <v/>
      </c>
      <c r="AA580" s="7" t="str">
        <f aca="false">IF(H580="","",VALUE(LEFT(H580,FIND("/",H580)-1)))</f>
        <v/>
      </c>
      <c r="AB580" s="7" t="str">
        <f aca="false">IF(H580="","",VALUE(MID(H580,FIND("/",H580)+1,FIND("/",H580,FIND("/",H580)+1)-FIND("/",H580)-1)))</f>
        <v/>
      </c>
      <c r="AC580" s="7" t="str">
        <f aca="false">IF(H580="","",VALUE(MID(H580,FIND("/",H580,FIND("/",H580)+1)+1,LEN(H580)-FIND("/",H580,FIND("/",H580)+1))))</f>
        <v/>
      </c>
      <c r="AD580" s="7" t="str">
        <f aca="false">IF(OR(H580="",AA580=""),"",IFERROR(INDEX('لیست‌ها'!$Q$3:$Q$53,MATCH(AA580,'لیست‌ها'!$P$3:$P$53,0))+IF(AB580&lt;=6,(AB580-1)*31+AC580,IF(AB580&lt;=11,186+(AB580-7)*30+AC580,336+AC580))-1,""))</f>
        <v/>
      </c>
      <c r="AE580" s="7" t="str">
        <f aca="false">IF(P580="","",VALUE(LEFT(P580,FIND("/",P580)-1)))</f>
        <v/>
      </c>
      <c r="AF580" s="7" t="str">
        <f aca="false">IF(P580="","",VALUE(MID(P580,FIND("/",P580)+1,FIND("/",P580,FIND("/",P580)+1)-FIND("/",P580)-1)))</f>
        <v/>
      </c>
      <c r="AG580" s="7" t="str">
        <f aca="false">IF(P580="","",VALUE(MID(P580,FIND("/",P580,FIND("/",P580)+1)+1,LEN(P580)-FIND("/",P580,FIND("/",P580)+1))))</f>
        <v/>
      </c>
      <c r="AH580" s="7" t="str">
        <f aca="false">IF(OR(P580="",AE580=""),"",IFERROR(INDEX('لیست‌ها'!$Q$3:$Q$53,MATCH(AE580,'لیست‌ها'!$P$3:$P$53,0))+IF(AF580&lt;=6,(AF580-1)*31+AG580,IF(AF580&lt;=11,186+(AF580-7)*30+AG580,336+AG580))-1,""))</f>
        <v/>
      </c>
      <c r="AI580" s="7" t="str">
        <f aca="false">IF(W580="","",W580&amp;"-"&amp;TEXT(X580,"00"))</f>
        <v/>
      </c>
      <c r="AJ580" s="7" t="str">
        <f aca="false">IF(W580="","",W580*12+X580)</f>
        <v/>
      </c>
      <c r="AK580" s="7" t="str">
        <f aca="false">IF(U580="تاخیر",V580+ROW()/100000,"")</f>
        <v/>
      </c>
    </row>
    <row r="581" customFormat="false" ht="15" hidden="false" customHeight="false" outlineLevel="0" collapsed="false">
      <c r="A581" s="7" t="str">
        <f aca="false">IF(B581="","",ROW()-3)</f>
        <v/>
      </c>
      <c r="B581" s="8"/>
      <c r="C581" s="8"/>
      <c r="D581" s="8"/>
      <c r="E581" s="9"/>
      <c r="F581" s="9"/>
      <c r="G581" s="8"/>
      <c r="H581" s="8"/>
      <c r="I581" s="8"/>
      <c r="J581" s="9"/>
      <c r="K581" s="8"/>
      <c r="L581" s="8"/>
      <c r="M581" s="8"/>
      <c r="N581" s="8"/>
      <c r="O581" s="8"/>
      <c r="P581" s="8"/>
      <c r="Q581" s="8"/>
      <c r="R581" s="9"/>
      <c r="S581" s="8"/>
      <c r="T581" s="9"/>
      <c r="U581" s="10" t="str">
        <f aca="true">IF(B581="","",IF(OR(P581&lt;&gt;"",I581="می‌باشد"),"بسته",IF(AND(L581&lt;&gt;"",W581=""),"خطای فرمت تاریخ ایجاد",IF(AND(H581&lt;&gt;"",AA581=""),"خطای فرمت مهلت",IF(AND(H581&lt;&gt;"",AD581&lt;&gt;"",TODAY()&gt;AD581),"تاخیر",IF(L581&lt;&gt;"","در حال انجام",""))))))</f>
        <v/>
      </c>
      <c r="V581" s="7" t="n">
        <f aca="true">IF(U581="تاخیر",TODAY()-AD581,IF(AND(U581="بسته",AH581&lt;&gt;"",AD581&lt;&gt;"",AH581&gt;AD581),AH581-AD581,0))</f>
        <v>0</v>
      </c>
      <c r="W581" s="7" t="str">
        <f aca="false">IF(L581="","",VALUE(LEFT(L581,FIND("/",L581)-1)))</f>
        <v/>
      </c>
      <c r="X581" s="7" t="str">
        <f aca="false">IF(L581="","",VALUE(MID(L581,FIND("/",L581)+1,FIND("/",L581,FIND("/",L581)+1)-FIND("/",L581)-1)))</f>
        <v/>
      </c>
      <c r="Y581" s="7" t="str">
        <f aca="false">IF(L581="","",VALUE(MID(L581,FIND("/",L581,FIND("/",L581)+1)+1,LEN(L581)-FIND("/",L581,FIND("/",L581)+1))))</f>
        <v/>
      </c>
      <c r="Z581" s="7" t="str">
        <f aca="false">IF(OR(L581="",W581=""),"",IFERROR(INDEX('لیست‌ها'!$Q$3:$Q$53,MATCH(W581,'لیست‌ها'!$P$3:$P$53,0))+IF(X581&lt;=6,(X581-1)*31+Y581,IF(X581&lt;=11,186+(X581-7)*30+Y581,336+Y581))-1,""))</f>
        <v/>
      </c>
      <c r="AA581" s="7" t="str">
        <f aca="false">IF(H581="","",VALUE(LEFT(H581,FIND("/",H581)-1)))</f>
        <v/>
      </c>
      <c r="AB581" s="7" t="str">
        <f aca="false">IF(H581="","",VALUE(MID(H581,FIND("/",H581)+1,FIND("/",H581,FIND("/",H581)+1)-FIND("/",H581)-1)))</f>
        <v/>
      </c>
      <c r="AC581" s="7" t="str">
        <f aca="false">IF(H581="","",VALUE(MID(H581,FIND("/",H581,FIND("/",H581)+1)+1,LEN(H581)-FIND("/",H581,FIND("/",H581)+1))))</f>
        <v/>
      </c>
      <c r="AD581" s="7" t="str">
        <f aca="false">IF(OR(H581="",AA581=""),"",IFERROR(INDEX('لیست‌ها'!$Q$3:$Q$53,MATCH(AA581,'لیست‌ها'!$P$3:$P$53,0))+IF(AB581&lt;=6,(AB581-1)*31+AC581,IF(AB581&lt;=11,186+(AB581-7)*30+AC581,336+AC581))-1,""))</f>
        <v/>
      </c>
      <c r="AE581" s="7" t="str">
        <f aca="false">IF(P581="","",VALUE(LEFT(P581,FIND("/",P581)-1)))</f>
        <v/>
      </c>
      <c r="AF581" s="7" t="str">
        <f aca="false">IF(P581="","",VALUE(MID(P581,FIND("/",P581)+1,FIND("/",P581,FIND("/",P581)+1)-FIND("/",P581)-1)))</f>
        <v/>
      </c>
      <c r="AG581" s="7" t="str">
        <f aca="false">IF(P581="","",VALUE(MID(P581,FIND("/",P581,FIND("/",P581)+1)+1,LEN(P581)-FIND("/",P581,FIND("/",P581)+1))))</f>
        <v/>
      </c>
      <c r="AH581" s="7" t="str">
        <f aca="false">IF(OR(P581="",AE581=""),"",IFERROR(INDEX('لیست‌ها'!$Q$3:$Q$53,MATCH(AE581,'لیست‌ها'!$P$3:$P$53,0))+IF(AF581&lt;=6,(AF581-1)*31+AG581,IF(AF581&lt;=11,186+(AF581-7)*30+AG581,336+AG581))-1,""))</f>
        <v/>
      </c>
      <c r="AI581" s="7" t="str">
        <f aca="false">IF(W581="","",W581&amp;"-"&amp;TEXT(X581,"00"))</f>
        <v/>
      </c>
      <c r="AJ581" s="7" t="str">
        <f aca="false">IF(W581="","",W581*12+X581)</f>
        <v/>
      </c>
      <c r="AK581" s="7" t="str">
        <f aca="false">IF(U581="تاخیر",V581+ROW()/100000,"")</f>
        <v/>
      </c>
    </row>
    <row r="582" customFormat="false" ht="15" hidden="false" customHeight="false" outlineLevel="0" collapsed="false">
      <c r="A582" s="7" t="str">
        <f aca="false">IF(B582="","",ROW()-3)</f>
        <v/>
      </c>
      <c r="B582" s="8"/>
      <c r="C582" s="8"/>
      <c r="D582" s="8"/>
      <c r="E582" s="9"/>
      <c r="F582" s="9"/>
      <c r="G582" s="8"/>
      <c r="H582" s="8"/>
      <c r="I582" s="8"/>
      <c r="J582" s="9"/>
      <c r="K582" s="8"/>
      <c r="L582" s="8"/>
      <c r="M582" s="8"/>
      <c r="N582" s="8"/>
      <c r="O582" s="8"/>
      <c r="P582" s="8"/>
      <c r="Q582" s="8"/>
      <c r="R582" s="9"/>
      <c r="S582" s="8"/>
      <c r="T582" s="9"/>
      <c r="U582" s="10" t="str">
        <f aca="true">IF(B582="","",IF(OR(P582&lt;&gt;"",I582="می‌باشد"),"بسته",IF(AND(L582&lt;&gt;"",W582=""),"خطای فرمت تاریخ ایجاد",IF(AND(H582&lt;&gt;"",AA582=""),"خطای فرمت مهلت",IF(AND(H582&lt;&gt;"",AD582&lt;&gt;"",TODAY()&gt;AD582),"تاخیر",IF(L582&lt;&gt;"","در حال انجام",""))))))</f>
        <v/>
      </c>
      <c r="V582" s="7" t="n">
        <f aca="true">IF(U582="تاخیر",TODAY()-AD582,IF(AND(U582="بسته",AH582&lt;&gt;"",AD582&lt;&gt;"",AH582&gt;AD582),AH582-AD582,0))</f>
        <v>0</v>
      </c>
      <c r="W582" s="7" t="str">
        <f aca="false">IF(L582="","",VALUE(LEFT(L582,FIND("/",L582)-1)))</f>
        <v/>
      </c>
      <c r="X582" s="7" t="str">
        <f aca="false">IF(L582="","",VALUE(MID(L582,FIND("/",L582)+1,FIND("/",L582,FIND("/",L582)+1)-FIND("/",L582)-1)))</f>
        <v/>
      </c>
      <c r="Y582" s="7" t="str">
        <f aca="false">IF(L582="","",VALUE(MID(L582,FIND("/",L582,FIND("/",L582)+1)+1,LEN(L582)-FIND("/",L582,FIND("/",L582)+1))))</f>
        <v/>
      </c>
      <c r="Z582" s="7" t="str">
        <f aca="false">IF(OR(L582="",W582=""),"",IFERROR(INDEX('لیست‌ها'!$Q$3:$Q$53,MATCH(W582,'لیست‌ها'!$P$3:$P$53,0))+IF(X582&lt;=6,(X582-1)*31+Y582,IF(X582&lt;=11,186+(X582-7)*30+Y582,336+Y582))-1,""))</f>
        <v/>
      </c>
      <c r="AA582" s="7" t="str">
        <f aca="false">IF(H582="","",VALUE(LEFT(H582,FIND("/",H582)-1)))</f>
        <v/>
      </c>
      <c r="AB582" s="7" t="str">
        <f aca="false">IF(H582="","",VALUE(MID(H582,FIND("/",H582)+1,FIND("/",H582,FIND("/",H582)+1)-FIND("/",H582)-1)))</f>
        <v/>
      </c>
      <c r="AC582" s="7" t="str">
        <f aca="false">IF(H582="","",VALUE(MID(H582,FIND("/",H582,FIND("/",H582)+1)+1,LEN(H582)-FIND("/",H582,FIND("/",H582)+1))))</f>
        <v/>
      </c>
      <c r="AD582" s="7" t="str">
        <f aca="false">IF(OR(H582="",AA582=""),"",IFERROR(INDEX('لیست‌ها'!$Q$3:$Q$53,MATCH(AA582,'لیست‌ها'!$P$3:$P$53,0))+IF(AB582&lt;=6,(AB582-1)*31+AC582,IF(AB582&lt;=11,186+(AB582-7)*30+AC582,336+AC582))-1,""))</f>
        <v/>
      </c>
      <c r="AE582" s="7" t="str">
        <f aca="false">IF(P582="","",VALUE(LEFT(P582,FIND("/",P582)-1)))</f>
        <v/>
      </c>
      <c r="AF582" s="7" t="str">
        <f aca="false">IF(P582="","",VALUE(MID(P582,FIND("/",P582)+1,FIND("/",P582,FIND("/",P582)+1)-FIND("/",P582)-1)))</f>
        <v/>
      </c>
      <c r="AG582" s="7" t="str">
        <f aca="false">IF(P582="","",VALUE(MID(P582,FIND("/",P582,FIND("/",P582)+1)+1,LEN(P582)-FIND("/",P582,FIND("/",P582)+1))))</f>
        <v/>
      </c>
      <c r="AH582" s="7" t="str">
        <f aca="false">IF(OR(P582="",AE582=""),"",IFERROR(INDEX('لیست‌ها'!$Q$3:$Q$53,MATCH(AE582,'لیست‌ها'!$P$3:$P$53,0))+IF(AF582&lt;=6,(AF582-1)*31+AG582,IF(AF582&lt;=11,186+(AF582-7)*30+AG582,336+AG582))-1,""))</f>
        <v/>
      </c>
      <c r="AI582" s="7" t="str">
        <f aca="false">IF(W582="","",W582&amp;"-"&amp;TEXT(X582,"00"))</f>
        <v/>
      </c>
      <c r="AJ582" s="7" t="str">
        <f aca="false">IF(W582="","",W582*12+X582)</f>
        <v/>
      </c>
      <c r="AK582" s="7" t="str">
        <f aca="false">IF(U582="تاخیر",V582+ROW()/100000,"")</f>
        <v/>
      </c>
    </row>
    <row r="583" customFormat="false" ht="15" hidden="false" customHeight="false" outlineLevel="0" collapsed="false">
      <c r="A583" s="7" t="str">
        <f aca="false">IF(B583="","",ROW()-3)</f>
        <v/>
      </c>
      <c r="B583" s="8"/>
      <c r="C583" s="8"/>
      <c r="D583" s="8"/>
      <c r="E583" s="9"/>
      <c r="F583" s="9"/>
      <c r="G583" s="8"/>
      <c r="H583" s="8"/>
      <c r="I583" s="8"/>
      <c r="J583" s="9"/>
      <c r="K583" s="8"/>
      <c r="L583" s="8"/>
      <c r="M583" s="8"/>
      <c r="N583" s="8"/>
      <c r="O583" s="8"/>
      <c r="P583" s="8"/>
      <c r="Q583" s="8"/>
      <c r="R583" s="9"/>
      <c r="S583" s="8"/>
      <c r="T583" s="9"/>
      <c r="U583" s="10" t="str">
        <f aca="true">IF(B583="","",IF(OR(P583&lt;&gt;"",I583="می‌باشد"),"بسته",IF(AND(L583&lt;&gt;"",W583=""),"خطای فرمت تاریخ ایجاد",IF(AND(H583&lt;&gt;"",AA583=""),"خطای فرمت مهلت",IF(AND(H583&lt;&gt;"",AD583&lt;&gt;"",TODAY()&gt;AD583),"تاخیر",IF(L583&lt;&gt;"","در حال انجام",""))))))</f>
        <v/>
      </c>
      <c r="V583" s="7" t="n">
        <f aca="true">IF(U583="تاخیر",TODAY()-AD583,IF(AND(U583="بسته",AH583&lt;&gt;"",AD583&lt;&gt;"",AH583&gt;AD583),AH583-AD583,0))</f>
        <v>0</v>
      </c>
      <c r="W583" s="7" t="str">
        <f aca="false">IF(L583="","",VALUE(LEFT(L583,FIND("/",L583)-1)))</f>
        <v/>
      </c>
      <c r="X583" s="7" t="str">
        <f aca="false">IF(L583="","",VALUE(MID(L583,FIND("/",L583)+1,FIND("/",L583,FIND("/",L583)+1)-FIND("/",L583)-1)))</f>
        <v/>
      </c>
      <c r="Y583" s="7" t="str">
        <f aca="false">IF(L583="","",VALUE(MID(L583,FIND("/",L583,FIND("/",L583)+1)+1,LEN(L583)-FIND("/",L583,FIND("/",L583)+1))))</f>
        <v/>
      </c>
      <c r="Z583" s="7" t="str">
        <f aca="false">IF(OR(L583="",W583=""),"",IFERROR(INDEX('لیست‌ها'!$Q$3:$Q$53,MATCH(W583,'لیست‌ها'!$P$3:$P$53,0))+IF(X583&lt;=6,(X583-1)*31+Y583,IF(X583&lt;=11,186+(X583-7)*30+Y583,336+Y583))-1,""))</f>
        <v/>
      </c>
      <c r="AA583" s="7" t="str">
        <f aca="false">IF(H583="","",VALUE(LEFT(H583,FIND("/",H583)-1)))</f>
        <v/>
      </c>
      <c r="AB583" s="7" t="str">
        <f aca="false">IF(H583="","",VALUE(MID(H583,FIND("/",H583)+1,FIND("/",H583,FIND("/",H583)+1)-FIND("/",H583)-1)))</f>
        <v/>
      </c>
      <c r="AC583" s="7" t="str">
        <f aca="false">IF(H583="","",VALUE(MID(H583,FIND("/",H583,FIND("/",H583)+1)+1,LEN(H583)-FIND("/",H583,FIND("/",H583)+1))))</f>
        <v/>
      </c>
      <c r="AD583" s="7" t="str">
        <f aca="false">IF(OR(H583="",AA583=""),"",IFERROR(INDEX('لیست‌ها'!$Q$3:$Q$53,MATCH(AA583,'لیست‌ها'!$P$3:$P$53,0))+IF(AB583&lt;=6,(AB583-1)*31+AC583,IF(AB583&lt;=11,186+(AB583-7)*30+AC583,336+AC583))-1,""))</f>
        <v/>
      </c>
      <c r="AE583" s="7" t="str">
        <f aca="false">IF(P583="","",VALUE(LEFT(P583,FIND("/",P583)-1)))</f>
        <v/>
      </c>
      <c r="AF583" s="7" t="str">
        <f aca="false">IF(P583="","",VALUE(MID(P583,FIND("/",P583)+1,FIND("/",P583,FIND("/",P583)+1)-FIND("/",P583)-1)))</f>
        <v/>
      </c>
      <c r="AG583" s="7" t="str">
        <f aca="false">IF(P583="","",VALUE(MID(P583,FIND("/",P583,FIND("/",P583)+1)+1,LEN(P583)-FIND("/",P583,FIND("/",P583)+1))))</f>
        <v/>
      </c>
      <c r="AH583" s="7" t="str">
        <f aca="false">IF(OR(P583="",AE583=""),"",IFERROR(INDEX('لیست‌ها'!$Q$3:$Q$53,MATCH(AE583,'لیست‌ها'!$P$3:$P$53,0))+IF(AF583&lt;=6,(AF583-1)*31+AG583,IF(AF583&lt;=11,186+(AF583-7)*30+AG583,336+AG583))-1,""))</f>
        <v/>
      </c>
      <c r="AI583" s="7" t="str">
        <f aca="false">IF(W583="","",W583&amp;"-"&amp;TEXT(X583,"00"))</f>
        <v/>
      </c>
      <c r="AJ583" s="7" t="str">
        <f aca="false">IF(W583="","",W583*12+X583)</f>
        <v/>
      </c>
      <c r="AK583" s="7" t="str">
        <f aca="false">IF(U583="تاخیر",V583+ROW()/100000,"")</f>
        <v/>
      </c>
    </row>
    <row r="584" customFormat="false" ht="15" hidden="false" customHeight="false" outlineLevel="0" collapsed="false">
      <c r="A584" s="7" t="str">
        <f aca="false">IF(B584="","",ROW()-3)</f>
        <v/>
      </c>
      <c r="B584" s="8"/>
      <c r="C584" s="8"/>
      <c r="D584" s="8"/>
      <c r="E584" s="9"/>
      <c r="F584" s="9"/>
      <c r="G584" s="8"/>
      <c r="H584" s="8"/>
      <c r="I584" s="8"/>
      <c r="J584" s="9"/>
      <c r="K584" s="8"/>
      <c r="L584" s="8"/>
      <c r="M584" s="8"/>
      <c r="N584" s="8"/>
      <c r="O584" s="8"/>
      <c r="P584" s="8"/>
      <c r="Q584" s="8"/>
      <c r="R584" s="9"/>
      <c r="S584" s="8"/>
      <c r="T584" s="9"/>
      <c r="U584" s="10" t="str">
        <f aca="true">IF(B584="","",IF(OR(P584&lt;&gt;"",I584="می‌باشد"),"بسته",IF(AND(L584&lt;&gt;"",W584=""),"خطای فرمت تاریخ ایجاد",IF(AND(H584&lt;&gt;"",AA584=""),"خطای فرمت مهلت",IF(AND(H584&lt;&gt;"",AD584&lt;&gt;"",TODAY()&gt;AD584),"تاخیر",IF(L584&lt;&gt;"","در حال انجام",""))))))</f>
        <v/>
      </c>
      <c r="V584" s="7" t="n">
        <f aca="true">IF(U584="تاخیر",TODAY()-AD584,IF(AND(U584="بسته",AH584&lt;&gt;"",AD584&lt;&gt;"",AH584&gt;AD584),AH584-AD584,0))</f>
        <v>0</v>
      </c>
      <c r="W584" s="7" t="str">
        <f aca="false">IF(L584="","",VALUE(LEFT(L584,FIND("/",L584)-1)))</f>
        <v/>
      </c>
      <c r="X584" s="7" t="str">
        <f aca="false">IF(L584="","",VALUE(MID(L584,FIND("/",L584)+1,FIND("/",L584,FIND("/",L584)+1)-FIND("/",L584)-1)))</f>
        <v/>
      </c>
      <c r="Y584" s="7" t="str">
        <f aca="false">IF(L584="","",VALUE(MID(L584,FIND("/",L584,FIND("/",L584)+1)+1,LEN(L584)-FIND("/",L584,FIND("/",L584)+1))))</f>
        <v/>
      </c>
      <c r="Z584" s="7" t="str">
        <f aca="false">IF(OR(L584="",W584=""),"",IFERROR(INDEX('لیست‌ها'!$Q$3:$Q$53,MATCH(W584,'لیست‌ها'!$P$3:$P$53,0))+IF(X584&lt;=6,(X584-1)*31+Y584,IF(X584&lt;=11,186+(X584-7)*30+Y584,336+Y584))-1,""))</f>
        <v/>
      </c>
      <c r="AA584" s="7" t="str">
        <f aca="false">IF(H584="","",VALUE(LEFT(H584,FIND("/",H584)-1)))</f>
        <v/>
      </c>
      <c r="AB584" s="7" t="str">
        <f aca="false">IF(H584="","",VALUE(MID(H584,FIND("/",H584)+1,FIND("/",H584,FIND("/",H584)+1)-FIND("/",H584)-1)))</f>
        <v/>
      </c>
      <c r="AC584" s="7" t="str">
        <f aca="false">IF(H584="","",VALUE(MID(H584,FIND("/",H584,FIND("/",H584)+1)+1,LEN(H584)-FIND("/",H584,FIND("/",H584)+1))))</f>
        <v/>
      </c>
      <c r="AD584" s="7" t="str">
        <f aca="false">IF(OR(H584="",AA584=""),"",IFERROR(INDEX('لیست‌ها'!$Q$3:$Q$53,MATCH(AA584,'لیست‌ها'!$P$3:$P$53,0))+IF(AB584&lt;=6,(AB584-1)*31+AC584,IF(AB584&lt;=11,186+(AB584-7)*30+AC584,336+AC584))-1,""))</f>
        <v/>
      </c>
      <c r="AE584" s="7" t="str">
        <f aca="false">IF(P584="","",VALUE(LEFT(P584,FIND("/",P584)-1)))</f>
        <v/>
      </c>
      <c r="AF584" s="7" t="str">
        <f aca="false">IF(P584="","",VALUE(MID(P584,FIND("/",P584)+1,FIND("/",P584,FIND("/",P584)+1)-FIND("/",P584)-1)))</f>
        <v/>
      </c>
      <c r="AG584" s="7" t="str">
        <f aca="false">IF(P584="","",VALUE(MID(P584,FIND("/",P584,FIND("/",P584)+1)+1,LEN(P584)-FIND("/",P584,FIND("/",P584)+1))))</f>
        <v/>
      </c>
      <c r="AH584" s="7" t="str">
        <f aca="false">IF(OR(P584="",AE584=""),"",IFERROR(INDEX('لیست‌ها'!$Q$3:$Q$53,MATCH(AE584,'لیست‌ها'!$P$3:$P$53,0))+IF(AF584&lt;=6,(AF584-1)*31+AG584,IF(AF584&lt;=11,186+(AF584-7)*30+AG584,336+AG584))-1,""))</f>
        <v/>
      </c>
      <c r="AI584" s="7" t="str">
        <f aca="false">IF(W584="","",W584&amp;"-"&amp;TEXT(X584,"00"))</f>
        <v/>
      </c>
      <c r="AJ584" s="7" t="str">
        <f aca="false">IF(W584="","",W584*12+X584)</f>
        <v/>
      </c>
      <c r="AK584" s="7" t="str">
        <f aca="false">IF(U584="تاخیر",V584+ROW()/100000,"")</f>
        <v/>
      </c>
    </row>
    <row r="585" customFormat="false" ht="15" hidden="false" customHeight="false" outlineLevel="0" collapsed="false">
      <c r="A585" s="7" t="str">
        <f aca="false">IF(B585="","",ROW()-3)</f>
        <v/>
      </c>
      <c r="B585" s="8"/>
      <c r="C585" s="8"/>
      <c r="D585" s="8"/>
      <c r="E585" s="9"/>
      <c r="F585" s="9"/>
      <c r="G585" s="8"/>
      <c r="H585" s="8"/>
      <c r="I585" s="8"/>
      <c r="J585" s="9"/>
      <c r="K585" s="8"/>
      <c r="L585" s="8"/>
      <c r="M585" s="8"/>
      <c r="N585" s="8"/>
      <c r="O585" s="8"/>
      <c r="P585" s="8"/>
      <c r="Q585" s="8"/>
      <c r="R585" s="9"/>
      <c r="S585" s="8"/>
      <c r="T585" s="9"/>
      <c r="U585" s="10" t="str">
        <f aca="true">IF(B585="","",IF(OR(P585&lt;&gt;"",I585="می‌باشد"),"بسته",IF(AND(L585&lt;&gt;"",W585=""),"خطای فرمت تاریخ ایجاد",IF(AND(H585&lt;&gt;"",AA585=""),"خطای فرمت مهلت",IF(AND(H585&lt;&gt;"",AD585&lt;&gt;"",TODAY()&gt;AD585),"تاخیر",IF(L585&lt;&gt;"","در حال انجام",""))))))</f>
        <v/>
      </c>
      <c r="V585" s="7" t="n">
        <f aca="true">IF(U585="تاخیر",TODAY()-AD585,IF(AND(U585="بسته",AH585&lt;&gt;"",AD585&lt;&gt;"",AH585&gt;AD585),AH585-AD585,0))</f>
        <v>0</v>
      </c>
      <c r="W585" s="7" t="str">
        <f aca="false">IF(L585="","",VALUE(LEFT(L585,FIND("/",L585)-1)))</f>
        <v/>
      </c>
      <c r="X585" s="7" t="str">
        <f aca="false">IF(L585="","",VALUE(MID(L585,FIND("/",L585)+1,FIND("/",L585,FIND("/",L585)+1)-FIND("/",L585)-1)))</f>
        <v/>
      </c>
      <c r="Y585" s="7" t="str">
        <f aca="false">IF(L585="","",VALUE(MID(L585,FIND("/",L585,FIND("/",L585)+1)+1,LEN(L585)-FIND("/",L585,FIND("/",L585)+1))))</f>
        <v/>
      </c>
      <c r="Z585" s="7" t="str">
        <f aca="false">IF(OR(L585="",W585=""),"",IFERROR(INDEX('لیست‌ها'!$Q$3:$Q$53,MATCH(W585,'لیست‌ها'!$P$3:$P$53,0))+IF(X585&lt;=6,(X585-1)*31+Y585,IF(X585&lt;=11,186+(X585-7)*30+Y585,336+Y585))-1,""))</f>
        <v/>
      </c>
      <c r="AA585" s="7" t="str">
        <f aca="false">IF(H585="","",VALUE(LEFT(H585,FIND("/",H585)-1)))</f>
        <v/>
      </c>
      <c r="AB585" s="7" t="str">
        <f aca="false">IF(H585="","",VALUE(MID(H585,FIND("/",H585)+1,FIND("/",H585,FIND("/",H585)+1)-FIND("/",H585)-1)))</f>
        <v/>
      </c>
      <c r="AC585" s="7" t="str">
        <f aca="false">IF(H585="","",VALUE(MID(H585,FIND("/",H585,FIND("/",H585)+1)+1,LEN(H585)-FIND("/",H585,FIND("/",H585)+1))))</f>
        <v/>
      </c>
      <c r="AD585" s="7" t="str">
        <f aca="false">IF(OR(H585="",AA585=""),"",IFERROR(INDEX('لیست‌ها'!$Q$3:$Q$53,MATCH(AA585,'لیست‌ها'!$P$3:$P$53,0))+IF(AB585&lt;=6,(AB585-1)*31+AC585,IF(AB585&lt;=11,186+(AB585-7)*30+AC585,336+AC585))-1,""))</f>
        <v/>
      </c>
      <c r="AE585" s="7" t="str">
        <f aca="false">IF(P585="","",VALUE(LEFT(P585,FIND("/",P585)-1)))</f>
        <v/>
      </c>
      <c r="AF585" s="7" t="str">
        <f aca="false">IF(P585="","",VALUE(MID(P585,FIND("/",P585)+1,FIND("/",P585,FIND("/",P585)+1)-FIND("/",P585)-1)))</f>
        <v/>
      </c>
      <c r="AG585" s="7" t="str">
        <f aca="false">IF(P585="","",VALUE(MID(P585,FIND("/",P585,FIND("/",P585)+1)+1,LEN(P585)-FIND("/",P585,FIND("/",P585)+1))))</f>
        <v/>
      </c>
      <c r="AH585" s="7" t="str">
        <f aca="false">IF(OR(P585="",AE585=""),"",IFERROR(INDEX('لیست‌ها'!$Q$3:$Q$53,MATCH(AE585,'لیست‌ها'!$P$3:$P$53,0))+IF(AF585&lt;=6,(AF585-1)*31+AG585,IF(AF585&lt;=11,186+(AF585-7)*30+AG585,336+AG585))-1,""))</f>
        <v/>
      </c>
      <c r="AI585" s="7" t="str">
        <f aca="false">IF(W585="","",W585&amp;"-"&amp;TEXT(X585,"00"))</f>
        <v/>
      </c>
      <c r="AJ585" s="7" t="str">
        <f aca="false">IF(W585="","",W585*12+X585)</f>
        <v/>
      </c>
      <c r="AK585" s="7" t="str">
        <f aca="false">IF(U585="تاخیر",V585+ROW()/100000,"")</f>
        <v/>
      </c>
    </row>
    <row r="586" customFormat="false" ht="15" hidden="false" customHeight="false" outlineLevel="0" collapsed="false">
      <c r="A586" s="7" t="str">
        <f aca="false">IF(B586="","",ROW()-3)</f>
        <v/>
      </c>
      <c r="B586" s="8"/>
      <c r="C586" s="8"/>
      <c r="D586" s="8"/>
      <c r="E586" s="9"/>
      <c r="F586" s="9"/>
      <c r="G586" s="8"/>
      <c r="H586" s="8"/>
      <c r="I586" s="8"/>
      <c r="J586" s="9"/>
      <c r="K586" s="8"/>
      <c r="L586" s="8"/>
      <c r="M586" s="8"/>
      <c r="N586" s="8"/>
      <c r="O586" s="8"/>
      <c r="P586" s="8"/>
      <c r="Q586" s="8"/>
      <c r="R586" s="9"/>
      <c r="S586" s="8"/>
      <c r="T586" s="9"/>
      <c r="U586" s="10" t="str">
        <f aca="true">IF(B586="","",IF(OR(P586&lt;&gt;"",I586="می‌باشد"),"بسته",IF(AND(L586&lt;&gt;"",W586=""),"خطای فرمت تاریخ ایجاد",IF(AND(H586&lt;&gt;"",AA586=""),"خطای فرمت مهلت",IF(AND(H586&lt;&gt;"",AD586&lt;&gt;"",TODAY()&gt;AD586),"تاخیر",IF(L586&lt;&gt;"","در حال انجام",""))))))</f>
        <v/>
      </c>
      <c r="V586" s="7" t="n">
        <f aca="true">IF(U586="تاخیر",TODAY()-AD586,IF(AND(U586="بسته",AH586&lt;&gt;"",AD586&lt;&gt;"",AH586&gt;AD586),AH586-AD586,0))</f>
        <v>0</v>
      </c>
      <c r="W586" s="7" t="str">
        <f aca="false">IF(L586="","",VALUE(LEFT(L586,FIND("/",L586)-1)))</f>
        <v/>
      </c>
      <c r="X586" s="7" t="str">
        <f aca="false">IF(L586="","",VALUE(MID(L586,FIND("/",L586)+1,FIND("/",L586,FIND("/",L586)+1)-FIND("/",L586)-1)))</f>
        <v/>
      </c>
      <c r="Y586" s="7" t="str">
        <f aca="false">IF(L586="","",VALUE(MID(L586,FIND("/",L586,FIND("/",L586)+1)+1,LEN(L586)-FIND("/",L586,FIND("/",L586)+1))))</f>
        <v/>
      </c>
      <c r="Z586" s="7" t="str">
        <f aca="false">IF(OR(L586="",W586=""),"",IFERROR(INDEX('لیست‌ها'!$Q$3:$Q$53,MATCH(W586,'لیست‌ها'!$P$3:$P$53,0))+IF(X586&lt;=6,(X586-1)*31+Y586,IF(X586&lt;=11,186+(X586-7)*30+Y586,336+Y586))-1,""))</f>
        <v/>
      </c>
      <c r="AA586" s="7" t="str">
        <f aca="false">IF(H586="","",VALUE(LEFT(H586,FIND("/",H586)-1)))</f>
        <v/>
      </c>
      <c r="AB586" s="7" t="str">
        <f aca="false">IF(H586="","",VALUE(MID(H586,FIND("/",H586)+1,FIND("/",H586,FIND("/",H586)+1)-FIND("/",H586)-1)))</f>
        <v/>
      </c>
      <c r="AC586" s="7" t="str">
        <f aca="false">IF(H586="","",VALUE(MID(H586,FIND("/",H586,FIND("/",H586)+1)+1,LEN(H586)-FIND("/",H586,FIND("/",H586)+1))))</f>
        <v/>
      </c>
      <c r="AD586" s="7" t="str">
        <f aca="false">IF(OR(H586="",AA586=""),"",IFERROR(INDEX('لیست‌ها'!$Q$3:$Q$53,MATCH(AA586,'لیست‌ها'!$P$3:$P$53,0))+IF(AB586&lt;=6,(AB586-1)*31+AC586,IF(AB586&lt;=11,186+(AB586-7)*30+AC586,336+AC586))-1,""))</f>
        <v/>
      </c>
      <c r="AE586" s="7" t="str">
        <f aca="false">IF(P586="","",VALUE(LEFT(P586,FIND("/",P586)-1)))</f>
        <v/>
      </c>
      <c r="AF586" s="7" t="str">
        <f aca="false">IF(P586="","",VALUE(MID(P586,FIND("/",P586)+1,FIND("/",P586,FIND("/",P586)+1)-FIND("/",P586)-1)))</f>
        <v/>
      </c>
      <c r="AG586" s="7" t="str">
        <f aca="false">IF(P586="","",VALUE(MID(P586,FIND("/",P586,FIND("/",P586)+1)+1,LEN(P586)-FIND("/",P586,FIND("/",P586)+1))))</f>
        <v/>
      </c>
      <c r="AH586" s="7" t="str">
        <f aca="false">IF(OR(P586="",AE586=""),"",IFERROR(INDEX('لیست‌ها'!$Q$3:$Q$53,MATCH(AE586,'لیست‌ها'!$P$3:$P$53,0))+IF(AF586&lt;=6,(AF586-1)*31+AG586,IF(AF586&lt;=11,186+(AF586-7)*30+AG586,336+AG586))-1,""))</f>
        <v/>
      </c>
      <c r="AI586" s="7" t="str">
        <f aca="false">IF(W586="","",W586&amp;"-"&amp;TEXT(X586,"00"))</f>
        <v/>
      </c>
      <c r="AJ586" s="7" t="str">
        <f aca="false">IF(W586="","",W586*12+X586)</f>
        <v/>
      </c>
      <c r="AK586" s="7" t="str">
        <f aca="false">IF(U586="تاخیر",V586+ROW()/100000,"")</f>
        <v/>
      </c>
    </row>
    <row r="587" customFormat="false" ht="15" hidden="false" customHeight="false" outlineLevel="0" collapsed="false">
      <c r="A587" s="7" t="str">
        <f aca="false">IF(B587="","",ROW()-3)</f>
        <v/>
      </c>
      <c r="B587" s="8"/>
      <c r="C587" s="8"/>
      <c r="D587" s="8"/>
      <c r="E587" s="9"/>
      <c r="F587" s="9"/>
      <c r="G587" s="8"/>
      <c r="H587" s="8"/>
      <c r="I587" s="8"/>
      <c r="J587" s="9"/>
      <c r="K587" s="8"/>
      <c r="L587" s="8"/>
      <c r="M587" s="8"/>
      <c r="N587" s="8"/>
      <c r="O587" s="8"/>
      <c r="P587" s="8"/>
      <c r="Q587" s="8"/>
      <c r="R587" s="9"/>
      <c r="S587" s="8"/>
      <c r="T587" s="9"/>
      <c r="U587" s="10" t="str">
        <f aca="true">IF(B587="","",IF(OR(P587&lt;&gt;"",I587="می‌باشد"),"بسته",IF(AND(L587&lt;&gt;"",W587=""),"خطای فرمت تاریخ ایجاد",IF(AND(H587&lt;&gt;"",AA587=""),"خطای فرمت مهلت",IF(AND(H587&lt;&gt;"",AD587&lt;&gt;"",TODAY()&gt;AD587),"تاخیر",IF(L587&lt;&gt;"","در حال انجام",""))))))</f>
        <v/>
      </c>
      <c r="V587" s="7" t="n">
        <f aca="true">IF(U587="تاخیر",TODAY()-AD587,IF(AND(U587="بسته",AH587&lt;&gt;"",AD587&lt;&gt;"",AH587&gt;AD587),AH587-AD587,0))</f>
        <v>0</v>
      </c>
      <c r="W587" s="7" t="str">
        <f aca="false">IF(L587="","",VALUE(LEFT(L587,FIND("/",L587)-1)))</f>
        <v/>
      </c>
      <c r="X587" s="7" t="str">
        <f aca="false">IF(L587="","",VALUE(MID(L587,FIND("/",L587)+1,FIND("/",L587,FIND("/",L587)+1)-FIND("/",L587)-1)))</f>
        <v/>
      </c>
      <c r="Y587" s="7" t="str">
        <f aca="false">IF(L587="","",VALUE(MID(L587,FIND("/",L587,FIND("/",L587)+1)+1,LEN(L587)-FIND("/",L587,FIND("/",L587)+1))))</f>
        <v/>
      </c>
      <c r="Z587" s="7" t="str">
        <f aca="false">IF(OR(L587="",W587=""),"",IFERROR(INDEX('لیست‌ها'!$Q$3:$Q$53,MATCH(W587,'لیست‌ها'!$P$3:$P$53,0))+IF(X587&lt;=6,(X587-1)*31+Y587,IF(X587&lt;=11,186+(X587-7)*30+Y587,336+Y587))-1,""))</f>
        <v/>
      </c>
      <c r="AA587" s="7" t="str">
        <f aca="false">IF(H587="","",VALUE(LEFT(H587,FIND("/",H587)-1)))</f>
        <v/>
      </c>
      <c r="AB587" s="7" t="str">
        <f aca="false">IF(H587="","",VALUE(MID(H587,FIND("/",H587)+1,FIND("/",H587,FIND("/",H587)+1)-FIND("/",H587)-1)))</f>
        <v/>
      </c>
      <c r="AC587" s="7" t="str">
        <f aca="false">IF(H587="","",VALUE(MID(H587,FIND("/",H587,FIND("/",H587)+1)+1,LEN(H587)-FIND("/",H587,FIND("/",H587)+1))))</f>
        <v/>
      </c>
      <c r="AD587" s="7" t="str">
        <f aca="false">IF(OR(H587="",AA587=""),"",IFERROR(INDEX('لیست‌ها'!$Q$3:$Q$53,MATCH(AA587,'لیست‌ها'!$P$3:$P$53,0))+IF(AB587&lt;=6,(AB587-1)*31+AC587,IF(AB587&lt;=11,186+(AB587-7)*30+AC587,336+AC587))-1,""))</f>
        <v/>
      </c>
      <c r="AE587" s="7" t="str">
        <f aca="false">IF(P587="","",VALUE(LEFT(P587,FIND("/",P587)-1)))</f>
        <v/>
      </c>
      <c r="AF587" s="7" t="str">
        <f aca="false">IF(P587="","",VALUE(MID(P587,FIND("/",P587)+1,FIND("/",P587,FIND("/",P587)+1)-FIND("/",P587)-1)))</f>
        <v/>
      </c>
      <c r="AG587" s="7" t="str">
        <f aca="false">IF(P587="","",VALUE(MID(P587,FIND("/",P587,FIND("/",P587)+1)+1,LEN(P587)-FIND("/",P587,FIND("/",P587)+1))))</f>
        <v/>
      </c>
      <c r="AH587" s="7" t="str">
        <f aca="false">IF(OR(P587="",AE587=""),"",IFERROR(INDEX('لیست‌ها'!$Q$3:$Q$53,MATCH(AE587,'لیست‌ها'!$P$3:$P$53,0))+IF(AF587&lt;=6,(AF587-1)*31+AG587,IF(AF587&lt;=11,186+(AF587-7)*30+AG587,336+AG587))-1,""))</f>
        <v/>
      </c>
      <c r="AI587" s="7" t="str">
        <f aca="false">IF(W587="","",W587&amp;"-"&amp;TEXT(X587,"00"))</f>
        <v/>
      </c>
      <c r="AJ587" s="7" t="str">
        <f aca="false">IF(W587="","",W587*12+X587)</f>
        <v/>
      </c>
      <c r="AK587" s="7" t="str">
        <f aca="false">IF(U587="تاخیر",V587+ROW()/100000,"")</f>
        <v/>
      </c>
    </row>
    <row r="588" customFormat="false" ht="15" hidden="false" customHeight="false" outlineLevel="0" collapsed="false">
      <c r="A588" s="7" t="str">
        <f aca="false">IF(B588="","",ROW()-3)</f>
        <v/>
      </c>
      <c r="B588" s="8"/>
      <c r="C588" s="8"/>
      <c r="D588" s="8"/>
      <c r="E588" s="9"/>
      <c r="F588" s="9"/>
      <c r="G588" s="8"/>
      <c r="H588" s="8"/>
      <c r="I588" s="8"/>
      <c r="J588" s="9"/>
      <c r="K588" s="8"/>
      <c r="L588" s="8"/>
      <c r="M588" s="8"/>
      <c r="N588" s="8"/>
      <c r="O588" s="8"/>
      <c r="P588" s="8"/>
      <c r="Q588" s="8"/>
      <c r="R588" s="9"/>
      <c r="S588" s="8"/>
      <c r="T588" s="9"/>
      <c r="U588" s="10" t="str">
        <f aca="true">IF(B588="","",IF(OR(P588&lt;&gt;"",I588="می‌باشد"),"بسته",IF(AND(L588&lt;&gt;"",W588=""),"خطای فرمت تاریخ ایجاد",IF(AND(H588&lt;&gt;"",AA588=""),"خطای فرمت مهلت",IF(AND(H588&lt;&gt;"",AD588&lt;&gt;"",TODAY()&gt;AD588),"تاخیر",IF(L588&lt;&gt;"","در حال انجام",""))))))</f>
        <v/>
      </c>
      <c r="V588" s="7" t="n">
        <f aca="true">IF(U588="تاخیر",TODAY()-AD588,IF(AND(U588="بسته",AH588&lt;&gt;"",AD588&lt;&gt;"",AH588&gt;AD588),AH588-AD588,0))</f>
        <v>0</v>
      </c>
      <c r="W588" s="7" t="str">
        <f aca="false">IF(L588="","",VALUE(LEFT(L588,FIND("/",L588)-1)))</f>
        <v/>
      </c>
      <c r="X588" s="7" t="str">
        <f aca="false">IF(L588="","",VALUE(MID(L588,FIND("/",L588)+1,FIND("/",L588,FIND("/",L588)+1)-FIND("/",L588)-1)))</f>
        <v/>
      </c>
      <c r="Y588" s="7" t="str">
        <f aca="false">IF(L588="","",VALUE(MID(L588,FIND("/",L588,FIND("/",L588)+1)+1,LEN(L588)-FIND("/",L588,FIND("/",L588)+1))))</f>
        <v/>
      </c>
      <c r="Z588" s="7" t="str">
        <f aca="false">IF(OR(L588="",W588=""),"",IFERROR(INDEX('لیست‌ها'!$Q$3:$Q$53,MATCH(W588,'لیست‌ها'!$P$3:$P$53,0))+IF(X588&lt;=6,(X588-1)*31+Y588,IF(X588&lt;=11,186+(X588-7)*30+Y588,336+Y588))-1,""))</f>
        <v/>
      </c>
      <c r="AA588" s="7" t="str">
        <f aca="false">IF(H588="","",VALUE(LEFT(H588,FIND("/",H588)-1)))</f>
        <v/>
      </c>
      <c r="AB588" s="7" t="str">
        <f aca="false">IF(H588="","",VALUE(MID(H588,FIND("/",H588)+1,FIND("/",H588,FIND("/",H588)+1)-FIND("/",H588)-1)))</f>
        <v/>
      </c>
      <c r="AC588" s="7" t="str">
        <f aca="false">IF(H588="","",VALUE(MID(H588,FIND("/",H588,FIND("/",H588)+1)+1,LEN(H588)-FIND("/",H588,FIND("/",H588)+1))))</f>
        <v/>
      </c>
      <c r="AD588" s="7" t="str">
        <f aca="false">IF(OR(H588="",AA588=""),"",IFERROR(INDEX('لیست‌ها'!$Q$3:$Q$53,MATCH(AA588,'لیست‌ها'!$P$3:$P$53,0))+IF(AB588&lt;=6,(AB588-1)*31+AC588,IF(AB588&lt;=11,186+(AB588-7)*30+AC588,336+AC588))-1,""))</f>
        <v/>
      </c>
      <c r="AE588" s="7" t="str">
        <f aca="false">IF(P588="","",VALUE(LEFT(P588,FIND("/",P588)-1)))</f>
        <v/>
      </c>
      <c r="AF588" s="7" t="str">
        <f aca="false">IF(P588="","",VALUE(MID(P588,FIND("/",P588)+1,FIND("/",P588,FIND("/",P588)+1)-FIND("/",P588)-1)))</f>
        <v/>
      </c>
      <c r="AG588" s="7" t="str">
        <f aca="false">IF(P588="","",VALUE(MID(P588,FIND("/",P588,FIND("/",P588)+1)+1,LEN(P588)-FIND("/",P588,FIND("/",P588)+1))))</f>
        <v/>
      </c>
      <c r="AH588" s="7" t="str">
        <f aca="false">IF(OR(P588="",AE588=""),"",IFERROR(INDEX('لیست‌ها'!$Q$3:$Q$53,MATCH(AE588,'لیست‌ها'!$P$3:$P$53,0))+IF(AF588&lt;=6,(AF588-1)*31+AG588,IF(AF588&lt;=11,186+(AF588-7)*30+AG588,336+AG588))-1,""))</f>
        <v/>
      </c>
      <c r="AI588" s="7" t="str">
        <f aca="false">IF(W588="","",W588&amp;"-"&amp;TEXT(X588,"00"))</f>
        <v/>
      </c>
      <c r="AJ588" s="7" t="str">
        <f aca="false">IF(W588="","",W588*12+X588)</f>
        <v/>
      </c>
      <c r="AK588" s="7" t="str">
        <f aca="false">IF(U588="تاخیر",V588+ROW()/100000,"")</f>
        <v/>
      </c>
    </row>
    <row r="589" customFormat="false" ht="15" hidden="false" customHeight="false" outlineLevel="0" collapsed="false">
      <c r="A589" s="7" t="str">
        <f aca="false">IF(B589="","",ROW()-3)</f>
        <v/>
      </c>
      <c r="B589" s="8"/>
      <c r="C589" s="8"/>
      <c r="D589" s="8"/>
      <c r="E589" s="9"/>
      <c r="F589" s="9"/>
      <c r="G589" s="8"/>
      <c r="H589" s="8"/>
      <c r="I589" s="8"/>
      <c r="J589" s="9"/>
      <c r="K589" s="8"/>
      <c r="L589" s="8"/>
      <c r="M589" s="8"/>
      <c r="N589" s="8"/>
      <c r="O589" s="8"/>
      <c r="P589" s="8"/>
      <c r="Q589" s="8"/>
      <c r="R589" s="9"/>
      <c r="S589" s="8"/>
      <c r="T589" s="9"/>
      <c r="U589" s="10" t="str">
        <f aca="true">IF(B589="","",IF(OR(P589&lt;&gt;"",I589="می‌باشد"),"بسته",IF(AND(L589&lt;&gt;"",W589=""),"خطای فرمت تاریخ ایجاد",IF(AND(H589&lt;&gt;"",AA589=""),"خطای فرمت مهلت",IF(AND(H589&lt;&gt;"",AD589&lt;&gt;"",TODAY()&gt;AD589),"تاخیر",IF(L589&lt;&gt;"","در حال انجام",""))))))</f>
        <v/>
      </c>
      <c r="V589" s="7" t="n">
        <f aca="true">IF(U589="تاخیر",TODAY()-AD589,IF(AND(U589="بسته",AH589&lt;&gt;"",AD589&lt;&gt;"",AH589&gt;AD589),AH589-AD589,0))</f>
        <v>0</v>
      </c>
      <c r="W589" s="7" t="str">
        <f aca="false">IF(L589="","",VALUE(LEFT(L589,FIND("/",L589)-1)))</f>
        <v/>
      </c>
      <c r="X589" s="7" t="str">
        <f aca="false">IF(L589="","",VALUE(MID(L589,FIND("/",L589)+1,FIND("/",L589,FIND("/",L589)+1)-FIND("/",L589)-1)))</f>
        <v/>
      </c>
      <c r="Y589" s="7" t="str">
        <f aca="false">IF(L589="","",VALUE(MID(L589,FIND("/",L589,FIND("/",L589)+1)+1,LEN(L589)-FIND("/",L589,FIND("/",L589)+1))))</f>
        <v/>
      </c>
      <c r="Z589" s="7" t="str">
        <f aca="false">IF(OR(L589="",W589=""),"",IFERROR(INDEX('لیست‌ها'!$Q$3:$Q$53,MATCH(W589,'لیست‌ها'!$P$3:$P$53,0))+IF(X589&lt;=6,(X589-1)*31+Y589,IF(X589&lt;=11,186+(X589-7)*30+Y589,336+Y589))-1,""))</f>
        <v/>
      </c>
      <c r="AA589" s="7" t="str">
        <f aca="false">IF(H589="","",VALUE(LEFT(H589,FIND("/",H589)-1)))</f>
        <v/>
      </c>
      <c r="AB589" s="7" t="str">
        <f aca="false">IF(H589="","",VALUE(MID(H589,FIND("/",H589)+1,FIND("/",H589,FIND("/",H589)+1)-FIND("/",H589)-1)))</f>
        <v/>
      </c>
      <c r="AC589" s="7" t="str">
        <f aca="false">IF(H589="","",VALUE(MID(H589,FIND("/",H589,FIND("/",H589)+1)+1,LEN(H589)-FIND("/",H589,FIND("/",H589)+1))))</f>
        <v/>
      </c>
      <c r="AD589" s="7" t="str">
        <f aca="false">IF(OR(H589="",AA589=""),"",IFERROR(INDEX('لیست‌ها'!$Q$3:$Q$53,MATCH(AA589,'لیست‌ها'!$P$3:$P$53,0))+IF(AB589&lt;=6,(AB589-1)*31+AC589,IF(AB589&lt;=11,186+(AB589-7)*30+AC589,336+AC589))-1,""))</f>
        <v/>
      </c>
      <c r="AE589" s="7" t="str">
        <f aca="false">IF(P589="","",VALUE(LEFT(P589,FIND("/",P589)-1)))</f>
        <v/>
      </c>
      <c r="AF589" s="7" t="str">
        <f aca="false">IF(P589="","",VALUE(MID(P589,FIND("/",P589)+1,FIND("/",P589,FIND("/",P589)+1)-FIND("/",P589)-1)))</f>
        <v/>
      </c>
      <c r="AG589" s="7" t="str">
        <f aca="false">IF(P589="","",VALUE(MID(P589,FIND("/",P589,FIND("/",P589)+1)+1,LEN(P589)-FIND("/",P589,FIND("/",P589)+1))))</f>
        <v/>
      </c>
      <c r="AH589" s="7" t="str">
        <f aca="false">IF(OR(P589="",AE589=""),"",IFERROR(INDEX('لیست‌ها'!$Q$3:$Q$53,MATCH(AE589,'لیست‌ها'!$P$3:$P$53,0))+IF(AF589&lt;=6,(AF589-1)*31+AG589,IF(AF589&lt;=11,186+(AF589-7)*30+AG589,336+AG589))-1,""))</f>
        <v/>
      </c>
      <c r="AI589" s="7" t="str">
        <f aca="false">IF(W589="","",W589&amp;"-"&amp;TEXT(X589,"00"))</f>
        <v/>
      </c>
      <c r="AJ589" s="7" t="str">
        <f aca="false">IF(W589="","",W589*12+X589)</f>
        <v/>
      </c>
      <c r="AK589" s="7" t="str">
        <f aca="false">IF(U589="تاخیر",V589+ROW()/100000,"")</f>
        <v/>
      </c>
    </row>
    <row r="590" customFormat="false" ht="15" hidden="false" customHeight="false" outlineLevel="0" collapsed="false">
      <c r="A590" s="7" t="str">
        <f aca="false">IF(B590="","",ROW()-3)</f>
        <v/>
      </c>
      <c r="B590" s="8"/>
      <c r="C590" s="8"/>
      <c r="D590" s="8"/>
      <c r="E590" s="9"/>
      <c r="F590" s="9"/>
      <c r="G590" s="8"/>
      <c r="H590" s="8"/>
      <c r="I590" s="8"/>
      <c r="J590" s="9"/>
      <c r="K590" s="8"/>
      <c r="L590" s="8"/>
      <c r="M590" s="8"/>
      <c r="N590" s="8"/>
      <c r="O590" s="8"/>
      <c r="P590" s="8"/>
      <c r="Q590" s="8"/>
      <c r="R590" s="9"/>
      <c r="S590" s="8"/>
      <c r="T590" s="9"/>
      <c r="U590" s="10" t="str">
        <f aca="true">IF(B590="","",IF(OR(P590&lt;&gt;"",I590="می‌باشد"),"بسته",IF(AND(L590&lt;&gt;"",W590=""),"خطای فرمت تاریخ ایجاد",IF(AND(H590&lt;&gt;"",AA590=""),"خطای فرمت مهلت",IF(AND(H590&lt;&gt;"",AD590&lt;&gt;"",TODAY()&gt;AD590),"تاخیر",IF(L590&lt;&gt;"","در حال انجام",""))))))</f>
        <v/>
      </c>
      <c r="V590" s="7" t="n">
        <f aca="true">IF(U590="تاخیر",TODAY()-AD590,IF(AND(U590="بسته",AH590&lt;&gt;"",AD590&lt;&gt;"",AH590&gt;AD590),AH590-AD590,0))</f>
        <v>0</v>
      </c>
      <c r="W590" s="7" t="str">
        <f aca="false">IF(L590="","",VALUE(LEFT(L590,FIND("/",L590)-1)))</f>
        <v/>
      </c>
      <c r="X590" s="7" t="str">
        <f aca="false">IF(L590="","",VALUE(MID(L590,FIND("/",L590)+1,FIND("/",L590,FIND("/",L590)+1)-FIND("/",L590)-1)))</f>
        <v/>
      </c>
      <c r="Y590" s="7" t="str">
        <f aca="false">IF(L590="","",VALUE(MID(L590,FIND("/",L590,FIND("/",L590)+1)+1,LEN(L590)-FIND("/",L590,FIND("/",L590)+1))))</f>
        <v/>
      </c>
      <c r="Z590" s="7" t="str">
        <f aca="false">IF(OR(L590="",W590=""),"",IFERROR(INDEX('لیست‌ها'!$Q$3:$Q$53,MATCH(W590,'لیست‌ها'!$P$3:$P$53,0))+IF(X590&lt;=6,(X590-1)*31+Y590,IF(X590&lt;=11,186+(X590-7)*30+Y590,336+Y590))-1,""))</f>
        <v/>
      </c>
      <c r="AA590" s="7" t="str">
        <f aca="false">IF(H590="","",VALUE(LEFT(H590,FIND("/",H590)-1)))</f>
        <v/>
      </c>
      <c r="AB590" s="7" t="str">
        <f aca="false">IF(H590="","",VALUE(MID(H590,FIND("/",H590)+1,FIND("/",H590,FIND("/",H590)+1)-FIND("/",H590)-1)))</f>
        <v/>
      </c>
      <c r="AC590" s="7" t="str">
        <f aca="false">IF(H590="","",VALUE(MID(H590,FIND("/",H590,FIND("/",H590)+1)+1,LEN(H590)-FIND("/",H590,FIND("/",H590)+1))))</f>
        <v/>
      </c>
      <c r="AD590" s="7" t="str">
        <f aca="false">IF(OR(H590="",AA590=""),"",IFERROR(INDEX('لیست‌ها'!$Q$3:$Q$53,MATCH(AA590,'لیست‌ها'!$P$3:$P$53,0))+IF(AB590&lt;=6,(AB590-1)*31+AC590,IF(AB590&lt;=11,186+(AB590-7)*30+AC590,336+AC590))-1,""))</f>
        <v/>
      </c>
      <c r="AE590" s="7" t="str">
        <f aca="false">IF(P590="","",VALUE(LEFT(P590,FIND("/",P590)-1)))</f>
        <v/>
      </c>
      <c r="AF590" s="7" t="str">
        <f aca="false">IF(P590="","",VALUE(MID(P590,FIND("/",P590)+1,FIND("/",P590,FIND("/",P590)+1)-FIND("/",P590)-1)))</f>
        <v/>
      </c>
      <c r="AG590" s="7" t="str">
        <f aca="false">IF(P590="","",VALUE(MID(P590,FIND("/",P590,FIND("/",P590)+1)+1,LEN(P590)-FIND("/",P590,FIND("/",P590)+1))))</f>
        <v/>
      </c>
      <c r="AH590" s="7" t="str">
        <f aca="false">IF(OR(P590="",AE590=""),"",IFERROR(INDEX('لیست‌ها'!$Q$3:$Q$53,MATCH(AE590,'لیست‌ها'!$P$3:$P$53,0))+IF(AF590&lt;=6,(AF590-1)*31+AG590,IF(AF590&lt;=11,186+(AF590-7)*30+AG590,336+AG590))-1,""))</f>
        <v/>
      </c>
      <c r="AI590" s="7" t="str">
        <f aca="false">IF(W590="","",W590&amp;"-"&amp;TEXT(X590,"00"))</f>
        <v/>
      </c>
      <c r="AJ590" s="7" t="str">
        <f aca="false">IF(W590="","",W590*12+X590)</f>
        <v/>
      </c>
      <c r="AK590" s="7" t="str">
        <f aca="false">IF(U590="تاخیر",V590+ROW()/100000,"")</f>
        <v/>
      </c>
    </row>
    <row r="591" customFormat="false" ht="15" hidden="false" customHeight="false" outlineLevel="0" collapsed="false">
      <c r="A591" s="7" t="str">
        <f aca="false">IF(B591="","",ROW()-3)</f>
        <v/>
      </c>
      <c r="B591" s="8"/>
      <c r="C591" s="8"/>
      <c r="D591" s="8"/>
      <c r="E591" s="9"/>
      <c r="F591" s="9"/>
      <c r="G591" s="8"/>
      <c r="H591" s="8"/>
      <c r="I591" s="8"/>
      <c r="J591" s="9"/>
      <c r="K591" s="8"/>
      <c r="L591" s="8"/>
      <c r="M591" s="8"/>
      <c r="N591" s="8"/>
      <c r="O591" s="8"/>
      <c r="P591" s="8"/>
      <c r="Q591" s="8"/>
      <c r="R591" s="9"/>
      <c r="S591" s="8"/>
      <c r="T591" s="9"/>
      <c r="U591" s="10" t="str">
        <f aca="true">IF(B591="","",IF(OR(P591&lt;&gt;"",I591="می‌باشد"),"بسته",IF(AND(L591&lt;&gt;"",W591=""),"خطای فرمت تاریخ ایجاد",IF(AND(H591&lt;&gt;"",AA591=""),"خطای فرمت مهلت",IF(AND(H591&lt;&gt;"",AD591&lt;&gt;"",TODAY()&gt;AD591),"تاخیر",IF(L591&lt;&gt;"","در حال انجام",""))))))</f>
        <v/>
      </c>
      <c r="V591" s="7" t="n">
        <f aca="true">IF(U591="تاخیر",TODAY()-AD591,IF(AND(U591="بسته",AH591&lt;&gt;"",AD591&lt;&gt;"",AH591&gt;AD591),AH591-AD591,0))</f>
        <v>0</v>
      </c>
      <c r="W591" s="7" t="str">
        <f aca="false">IF(L591="","",VALUE(LEFT(L591,FIND("/",L591)-1)))</f>
        <v/>
      </c>
      <c r="X591" s="7" t="str">
        <f aca="false">IF(L591="","",VALUE(MID(L591,FIND("/",L591)+1,FIND("/",L591,FIND("/",L591)+1)-FIND("/",L591)-1)))</f>
        <v/>
      </c>
      <c r="Y591" s="7" t="str">
        <f aca="false">IF(L591="","",VALUE(MID(L591,FIND("/",L591,FIND("/",L591)+1)+1,LEN(L591)-FIND("/",L591,FIND("/",L591)+1))))</f>
        <v/>
      </c>
      <c r="Z591" s="7" t="str">
        <f aca="false">IF(OR(L591="",W591=""),"",IFERROR(INDEX('لیست‌ها'!$Q$3:$Q$53,MATCH(W591,'لیست‌ها'!$P$3:$P$53,0))+IF(X591&lt;=6,(X591-1)*31+Y591,IF(X591&lt;=11,186+(X591-7)*30+Y591,336+Y591))-1,""))</f>
        <v/>
      </c>
      <c r="AA591" s="7" t="str">
        <f aca="false">IF(H591="","",VALUE(LEFT(H591,FIND("/",H591)-1)))</f>
        <v/>
      </c>
      <c r="AB591" s="7" t="str">
        <f aca="false">IF(H591="","",VALUE(MID(H591,FIND("/",H591)+1,FIND("/",H591,FIND("/",H591)+1)-FIND("/",H591)-1)))</f>
        <v/>
      </c>
      <c r="AC591" s="7" t="str">
        <f aca="false">IF(H591="","",VALUE(MID(H591,FIND("/",H591,FIND("/",H591)+1)+1,LEN(H591)-FIND("/",H591,FIND("/",H591)+1))))</f>
        <v/>
      </c>
      <c r="AD591" s="7" t="str">
        <f aca="false">IF(OR(H591="",AA591=""),"",IFERROR(INDEX('لیست‌ها'!$Q$3:$Q$53,MATCH(AA591,'لیست‌ها'!$P$3:$P$53,0))+IF(AB591&lt;=6,(AB591-1)*31+AC591,IF(AB591&lt;=11,186+(AB591-7)*30+AC591,336+AC591))-1,""))</f>
        <v/>
      </c>
      <c r="AE591" s="7" t="str">
        <f aca="false">IF(P591="","",VALUE(LEFT(P591,FIND("/",P591)-1)))</f>
        <v/>
      </c>
      <c r="AF591" s="7" t="str">
        <f aca="false">IF(P591="","",VALUE(MID(P591,FIND("/",P591)+1,FIND("/",P591,FIND("/",P591)+1)-FIND("/",P591)-1)))</f>
        <v/>
      </c>
      <c r="AG591" s="7" t="str">
        <f aca="false">IF(P591="","",VALUE(MID(P591,FIND("/",P591,FIND("/",P591)+1)+1,LEN(P591)-FIND("/",P591,FIND("/",P591)+1))))</f>
        <v/>
      </c>
      <c r="AH591" s="7" t="str">
        <f aca="false">IF(OR(P591="",AE591=""),"",IFERROR(INDEX('لیست‌ها'!$Q$3:$Q$53,MATCH(AE591,'لیست‌ها'!$P$3:$P$53,0))+IF(AF591&lt;=6,(AF591-1)*31+AG591,IF(AF591&lt;=11,186+(AF591-7)*30+AG591,336+AG591))-1,""))</f>
        <v/>
      </c>
      <c r="AI591" s="7" t="str">
        <f aca="false">IF(W591="","",W591&amp;"-"&amp;TEXT(X591,"00"))</f>
        <v/>
      </c>
      <c r="AJ591" s="7" t="str">
        <f aca="false">IF(W591="","",W591*12+X591)</f>
        <v/>
      </c>
      <c r="AK591" s="7" t="str">
        <f aca="false">IF(U591="تاخیر",V591+ROW()/100000,"")</f>
        <v/>
      </c>
    </row>
    <row r="592" customFormat="false" ht="15" hidden="false" customHeight="false" outlineLevel="0" collapsed="false">
      <c r="A592" s="7" t="str">
        <f aca="false">IF(B592="","",ROW()-3)</f>
        <v/>
      </c>
      <c r="B592" s="8"/>
      <c r="C592" s="8"/>
      <c r="D592" s="8"/>
      <c r="E592" s="9"/>
      <c r="F592" s="9"/>
      <c r="G592" s="8"/>
      <c r="H592" s="8"/>
      <c r="I592" s="8"/>
      <c r="J592" s="9"/>
      <c r="K592" s="8"/>
      <c r="L592" s="8"/>
      <c r="M592" s="8"/>
      <c r="N592" s="8"/>
      <c r="O592" s="8"/>
      <c r="P592" s="8"/>
      <c r="Q592" s="8"/>
      <c r="R592" s="9"/>
      <c r="S592" s="8"/>
      <c r="T592" s="9"/>
      <c r="U592" s="10" t="str">
        <f aca="true">IF(B592="","",IF(OR(P592&lt;&gt;"",I592="می‌باشد"),"بسته",IF(AND(L592&lt;&gt;"",W592=""),"خطای فرمت تاریخ ایجاد",IF(AND(H592&lt;&gt;"",AA592=""),"خطای فرمت مهلت",IF(AND(H592&lt;&gt;"",AD592&lt;&gt;"",TODAY()&gt;AD592),"تاخیر",IF(L592&lt;&gt;"","در حال انجام",""))))))</f>
        <v/>
      </c>
      <c r="V592" s="7" t="n">
        <f aca="true">IF(U592="تاخیر",TODAY()-AD592,IF(AND(U592="بسته",AH592&lt;&gt;"",AD592&lt;&gt;"",AH592&gt;AD592),AH592-AD592,0))</f>
        <v>0</v>
      </c>
      <c r="W592" s="7" t="str">
        <f aca="false">IF(L592="","",VALUE(LEFT(L592,FIND("/",L592)-1)))</f>
        <v/>
      </c>
      <c r="X592" s="7" t="str">
        <f aca="false">IF(L592="","",VALUE(MID(L592,FIND("/",L592)+1,FIND("/",L592,FIND("/",L592)+1)-FIND("/",L592)-1)))</f>
        <v/>
      </c>
      <c r="Y592" s="7" t="str">
        <f aca="false">IF(L592="","",VALUE(MID(L592,FIND("/",L592,FIND("/",L592)+1)+1,LEN(L592)-FIND("/",L592,FIND("/",L592)+1))))</f>
        <v/>
      </c>
      <c r="Z592" s="7" t="str">
        <f aca="false">IF(OR(L592="",W592=""),"",IFERROR(INDEX('لیست‌ها'!$Q$3:$Q$53,MATCH(W592,'لیست‌ها'!$P$3:$P$53,0))+IF(X592&lt;=6,(X592-1)*31+Y592,IF(X592&lt;=11,186+(X592-7)*30+Y592,336+Y592))-1,""))</f>
        <v/>
      </c>
      <c r="AA592" s="7" t="str">
        <f aca="false">IF(H592="","",VALUE(LEFT(H592,FIND("/",H592)-1)))</f>
        <v/>
      </c>
      <c r="AB592" s="7" t="str">
        <f aca="false">IF(H592="","",VALUE(MID(H592,FIND("/",H592)+1,FIND("/",H592,FIND("/",H592)+1)-FIND("/",H592)-1)))</f>
        <v/>
      </c>
      <c r="AC592" s="7" t="str">
        <f aca="false">IF(H592="","",VALUE(MID(H592,FIND("/",H592,FIND("/",H592)+1)+1,LEN(H592)-FIND("/",H592,FIND("/",H592)+1))))</f>
        <v/>
      </c>
      <c r="AD592" s="7" t="str">
        <f aca="false">IF(OR(H592="",AA592=""),"",IFERROR(INDEX('لیست‌ها'!$Q$3:$Q$53,MATCH(AA592,'لیست‌ها'!$P$3:$P$53,0))+IF(AB592&lt;=6,(AB592-1)*31+AC592,IF(AB592&lt;=11,186+(AB592-7)*30+AC592,336+AC592))-1,""))</f>
        <v/>
      </c>
      <c r="AE592" s="7" t="str">
        <f aca="false">IF(P592="","",VALUE(LEFT(P592,FIND("/",P592)-1)))</f>
        <v/>
      </c>
      <c r="AF592" s="7" t="str">
        <f aca="false">IF(P592="","",VALUE(MID(P592,FIND("/",P592)+1,FIND("/",P592,FIND("/",P592)+1)-FIND("/",P592)-1)))</f>
        <v/>
      </c>
      <c r="AG592" s="7" t="str">
        <f aca="false">IF(P592="","",VALUE(MID(P592,FIND("/",P592,FIND("/",P592)+1)+1,LEN(P592)-FIND("/",P592,FIND("/",P592)+1))))</f>
        <v/>
      </c>
      <c r="AH592" s="7" t="str">
        <f aca="false">IF(OR(P592="",AE592=""),"",IFERROR(INDEX('لیست‌ها'!$Q$3:$Q$53,MATCH(AE592,'لیست‌ها'!$P$3:$P$53,0))+IF(AF592&lt;=6,(AF592-1)*31+AG592,IF(AF592&lt;=11,186+(AF592-7)*30+AG592,336+AG592))-1,""))</f>
        <v/>
      </c>
      <c r="AI592" s="7" t="str">
        <f aca="false">IF(W592="","",W592&amp;"-"&amp;TEXT(X592,"00"))</f>
        <v/>
      </c>
      <c r="AJ592" s="7" t="str">
        <f aca="false">IF(W592="","",W592*12+X592)</f>
        <v/>
      </c>
      <c r="AK592" s="7" t="str">
        <f aca="false">IF(U592="تاخیر",V592+ROW()/100000,"")</f>
        <v/>
      </c>
    </row>
    <row r="593" customFormat="false" ht="15" hidden="false" customHeight="false" outlineLevel="0" collapsed="false">
      <c r="A593" s="7" t="str">
        <f aca="false">IF(B593="","",ROW()-3)</f>
        <v/>
      </c>
      <c r="B593" s="8"/>
      <c r="C593" s="8"/>
      <c r="D593" s="8"/>
      <c r="E593" s="9"/>
      <c r="F593" s="9"/>
      <c r="G593" s="8"/>
      <c r="H593" s="8"/>
      <c r="I593" s="8"/>
      <c r="J593" s="9"/>
      <c r="K593" s="8"/>
      <c r="L593" s="8"/>
      <c r="M593" s="8"/>
      <c r="N593" s="8"/>
      <c r="O593" s="8"/>
      <c r="P593" s="8"/>
      <c r="Q593" s="8"/>
      <c r="R593" s="9"/>
      <c r="S593" s="8"/>
      <c r="T593" s="9"/>
      <c r="U593" s="10" t="str">
        <f aca="true">IF(B593="","",IF(OR(P593&lt;&gt;"",I593="می‌باشد"),"بسته",IF(AND(L593&lt;&gt;"",W593=""),"خطای فرمت تاریخ ایجاد",IF(AND(H593&lt;&gt;"",AA593=""),"خطای فرمت مهلت",IF(AND(H593&lt;&gt;"",AD593&lt;&gt;"",TODAY()&gt;AD593),"تاخیر",IF(L593&lt;&gt;"","در حال انجام",""))))))</f>
        <v/>
      </c>
      <c r="V593" s="7" t="n">
        <f aca="true">IF(U593="تاخیر",TODAY()-AD593,IF(AND(U593="بسته",AH593&lt;&gt;"",AD593&lt;&gt;"",AH593&gt;AD593),AH593-AD593,0))</f>
        <v>0</v>
      </c>
      <c r="W593" s="7" t="str">
        <f aca="false">IF(L593="","",VALUE(LEFT(L593,FIND("/",L593)-1)))</f>
        <v/>
      </c>
      <c r="X593" s="7" t="str">
        <f aca="false">IF(L593="","",VALUE(MID(L593,FIND("/",L593)+1,FIND("/",L593,FIND("/",L593)+1)-FIND("/",L593)-1)))</f>
        <v/>
      </c>
      <c r="Y593" s="7" t="str">
        <f aca="false">IF(L593="","",VALUE(MID(L593,FIND("/",L593,FIND("/",L593)+1)+1,LEN(L593)-FIND("/",L593,FIND("/",L593)+1))))</f>
        <v/>
      </c>
      <c r="Z593" s="7" t="str">
        <f aca="false">IF(OR(L593="",W593=""),"",IFERROR(INDEX('لیست‌ها'!$Q$3:$Q$53,MATCH(W593,'لیست‌ها'!$P$3:$P$53,0))+IF(X593&lt;=6,(X593-1)*31+Y593,IF(X593&lt;=11,186+(X593-7)*30+Y593,336+Y593))-1,""))</f>
        <v/>
      </c>
      <c r="AA593" s="7" t="str">
        <f aca="false">IF(H593="","",VALUE(LEFT(H593,FIND("/",H593)-1)))</f>
        <v/>
      </c>
      <c r="AB593" s="7" t="str">
        <f aca="false">IF(H593="","",VALUE(MID(H593,FIND("/",H593)+1,FIND("/",H593,FIND("/",H593)+1)-FIND("/",H593)-1)))</f>
        <v/>
      </c>
      <c r="AC593" s="7" t="str">
        <f aca="false">IF(H593="","",VALUE(MID(H593,FIND("/",H593,FIND("/",H593)+1)+1,LEN(H593)-FIND("/",H593,FIND("/",H593)+1))))</f>
        <v/>
      </c>
      <c r="AD593" s="7" t="str">
        <f aca="false">IF(OR(H593="",AA593=""),"",IFERROR(INDEX('لیست‌ها'!$Q$3:$Q$53,MATCH(AA593,'لیست‌ها'!$P$3:$P$53,0))+IF(AB593&lt;=6,(AB593-1)*31+AC593,IF(AB593&lt;=11,186+(AB593-7)*30+AC593,336+AC593))-1,""))</f>
        <v/>
      </c>
      <c r="AE593" s="7" t="str">
        <f aca="false">IF(P593="","",VALUE(LEFT(P593,FIND("/",P593)-1)))</f>
        <v/>
      </c>
      <c r="AF593" s="7" t="str">
        <f aca="false">IF(P593="","",VALUE(MID(P593,FIND("/",P593)+1,FIND("/",P593,FIND("/",P593)+1)-FIND("/",P593)-1)))</f>
        <v/>
      </c>
      <c r="AG593" s="7" t="str">
        <f aca="false">IF(P593="","",VALUE(MID(P593,FIND("/",P593,FIND("/",P593)+1)+1,LEN(P593)-FIND("/",P593,FIND("/",P593)+1))))</f>
        <v/>
      </c>
      <c r="AH593" s="7" t="str">
        <f aca="false">IF(OR(P593="",AE593=""),"",IFERROR(INDEX('لیست‌ها'!$Q$3:$Q$53,MATCH(AE593,'لیست‌ها'!$P$3:$P$53,0))+IF(AF593&lt;=6,(AF593-1)*31+AG593,IF(AF593&lt;=11,186+(AF593-7)*30+AG593,336+AG593))-1,""))</f>
        <v/>
      </c>
      <c r="AI593" s="7" t="str">
        <f aca="false">IF(W593="","",W593&amp;"-"&amp;TEXT(X593,"00"))</f>
        <v/>
      </c>
      <c r="AJ593" s="7" t="str">
        <f aca="false">IF(W593="","",W593*12+X593)</f>
        <v/>
      </c>
      <c r="AK593" s="7" t="str">
        <f aca="false">IF(U593="تاخیر",V593+ROW()/100000,"")</f>
        <v/>
      </c>
    </row>
    <row r="594" customFormat="false" ht="15" hidden="false" customHeight="false" outlineLevel="0" collapsed="false">
      <c r="A594" s="7" t="str">
        <f aca="false">IF(B594="","",ROW()-3)</f>
        <v/>
      </c>
      <c r="B594" s="8"/>
      <c r="C594" s="8"/>
      <c r="D594" s="8"/>
      <c r="E594" s="9"/>
      <c r="F594" s="9"/>
      <c r="G594" s="8"/>
      <c r="H594" s="8"/>
      <c r="I594" s="8"/>
      <c r="J594" s="9"/>
      <c r="K594" s="8"/>
      <c r="L594" s="8"/>
      <c r="M594" s="8"/>
      <c r="N594" s="8"/>
      <c r="O594" s="8"/>
      <c r="P594" s="8"/>
      <c r="Q594" s="8"/>
      <c r="R594" s="9"/>
      <c r="S594" s="8"/>
      <c r="T594" s="9"/>
      <c r="U594" s="10" t="str">
        <f aca="true">IF(B594="","",IF(OR(P594&lt;&gt;"",I594="می‌باشد"),"بسته",IF(AND(L594&lt;&gt;"",W594=""),"خطای فرمت تاریخ ایجاد",IF(AND(H594&lt;&gt;"",AA594=""),"خطای فرمت مهلت",IF(AND(H594&lt;&gt;"",AD594&lt;&gt;"",TODAY()&gt;AD594),"تاخیر",IF(L594&lt;&gt;"","در حال انجام",""))))))</f>
        <v/>
      </c>
      <c r="V594" s="7" t="n">
        <f aca="true">IF(U594="تاخیر",TODAY()-AD594,IF(AND(U594="بسته",AH594&lt;&gt;"",AD594&lt;&gt;"",AH594&gt;AD594),AH594-AD594,0))</f>
        <v>0</v>
      </c>
      <c r="W594" s="7" t="str">
        <f aca="false">IF(L594="","",VALUE(LEFT(L594,FIND("/",L594)-1)))</f>
        <v/>
      </c>
      <c r="X594" s="7" t="str">
        <f aca="false">IF(L594="","",VALUE(MID(L594,FIND("/",L594)+1,FIND("/",L594,FIND("/",L594)+1)-FIND("/",L594)-1)))</f>
        <v/>
      </c>
      <c r="Y594" s="7" t="str">
        <f aca="false">IF(L594="","",VALUE(MID(L594,FIND("/",L594,FIND("/",L594)+1)+1,LEN(L594)-FIND("/",L594,FIND("/",L594)+1))))</f>
        <v/>
      </c>
      <c r="Z594" s="7" t="str">
        <f aca="false">IF(OR(L594="",W594=""),"",IFERROR(INDEX('لیست‌ها'!$Q$3:$Q$53,MATCH(W594,'لیست‌ها'!$P$3:$P$53,0))+IF(X594&lt;=6,(X594-1)*31+Y594,IF(X594&lt;=11,186+(X594-7)*30+Y594,336+Y594))-1,""))</f>
        <v/>
      </c>
      <c r="AA594" s="7" t="str">
        <f aca="false">IF(H594="","",VALUE(LEFT(H594,FIND("/",H594)-1)))</f>
        <v/>
      </c>
      <c r="AB594" s="7" t="str">
        <f aca="false">IF(H594="","",VALUE(MID(H594,FIND("/",H594)+1,FIND("/",H594,FIND("/",H594)+1)-FIND("/",H594)-1)))</f>
        <v/>
      </c>
      <c r="AC594" s="7" t="str">
        <f aca="false">IF(H594="","",VALUE(MID(H594,FIND("/",H594,FIND("/",H594)+1)+1,LEN(H594)-FIND("/",H594,FIND("/",H594)+1))))</f>
        <v/>
      </c>
      <c r="AD594" s="7" t="str">
        <f aca="false">IF(OR(H594="",AA594=""),"",IFERROR(INDEX('لیست‌ها'!$Q$3:$Q$53,MATCH(AA594,'لیست‌ها'!$P$3:$P$53,0))+IF(AB594&lt;=6,(AB594-1)*31+AC594,IF(AB594&lt;=11,186+(AB594-7)*30+AC594,336+AC594))-1,""))</f>
        <v/>
      </c>
      <c r="AE594" s="7" t="str">
        <f aca="false">IF(P594="","",VALUE(LEFT(P594,FIND("/",P594)-1)))</f>
        <v/>
      </c>
      <c r="AF594" s="7" t="str">
        <f aca="false">IF(P594="","",VALUE(MID(P594,FIND("/",P594)+1,FIND("/",P594,FIND("/",P594)+1)-FIND("/",P594)-1)))</f>
        <v/>
      </c>
      <c r="AG594" s="7" t="str">
        <f aca="false">IF(P594="","",VALUE(MID(P594,FIND("/",P594,FIND("/",P594)+1)+1,LEN(P594)-FIND("/",P594,FIND("/",P594)+1))))</f>
        <v/>
      </c>
      <c r="AH594" s="7" t="str">
        <f aca="false">IF(OR(P594="",AE594=""),"",IFERROR(INDEX('لیست‌ها'!$Q$3:$Q$53,MATCH(AE594,'لیست‌ها'!$P$3:$P$53,0))+IF(AF594&lt;=6,(AF594-1)*31+AG594,IF(AF594&lt;=11,186+(AF594-7)*30+AG594,336+AG594))-1,""))</f>
        <v/>
      </c>
      <c r="AI594" s="7" t="str">
        <f aca="false">IF(W594="","",W594&amp;"-"&amp;TEXT(X594,"00"))</f>
        <v/>
      </c>
      <c r="AJ594" s="7" t="str">
        <f aca="false">IF(W594="","",W594*12+X594)</f>
        <v/>
      </c>
      <c r="AK594" s="7" t="str">
        <f aca="false">IF(U594="تاخیر",V594+ROW()/100000,"")</f>
        <v/>
      </c>
    </row>
    <row r="595" customFormat="false" ht="15" hidden="false" customHeight="false" outlineLevel="0" collapsed="false">
      <c r="A595" s="7" t="str">
        <f aca="false">IF(B595="","",ROW()-3)</f>
        <v/>
      </c>
      <c r="B595" s="8"/>
      <c r="C595" s="8"/>
      <c r="D595" s="8"/>
      <c r="E595" s="9"/>
      <c r="F595" s="9"/>
      <c r="G595" s="8"/>
      <c r="H595" s="8"/>
      <c r="I595" s="8"/>
      <c r="J595" s="9"/>
      <c r="K595" s="8"/>
      <c r="L595" s="8"/>
      <c r="M595" s="8"/>
      <c r="N595" s="8"/>
      <c r="O595" s="8"/>
      <c r="P595" s="8"/>
      <c r="Q595" s="8"/>
      <c r="R595" s="9"/>
      <c r="S595" s="8"/>
      <c r="T595" s="9"/>
      <c r="U595" s="10" t="str">
        <f aca="true">IF(B595="","",IF(OR(P595&lt;&gt;"",I595="می‌باشد"),"بسته",IF(AND(L595&lt;&gt;"",W595=""),"خطای فرمت تاریخ ایجاد",IF(AND(H595&lt;&gt;"",AA595=""),"خطای فرمت مهلت",IF(AND(H595&lt;&gt;"",AD595&lt;&gt;"",TODAY()&gt;AD595),"تاخیر",IF(L595&lt;&gt;"","در حال انجام",""))))))</f>
        <v/>
      </c>
      <c r="V595" s="7" t="n">
        <f aca="true">IF(U595="تاخیر",TODAY()-AD595,IF(AND(U595="بسته",AH595&lt;&gt;"",AD595&lt;&gt;"",AH595&gt;AD595),AH595-AD595,0))</f>
        <v>0</v>
      </c>
      <c r="W595" s="7" t="str">
        <f aca="false">IF(L595="","",VALUE(LEFT(L595,FIND("/",L595)-1)))</f>
        <v/>
      </c>
      <c r="X595" s="7" t="str">
        <f aca="false">IF(L595="","",VALUE(MID(L595,FIND("/",L595)+1,FIND("/",L595,FIND("/",L595)+1)-FIND("/",L595)-1)))</f>
        <v/>
      </c>
      <c r="Y595" s="7" t="str">
        <f aca="false">IF(L595="","",VALUE(MID(L595,FIND("/",L595,FIND("/",L595)+1)+1,LEN(L595)-FIND("/",L595,FIND("/",L595)+1))))</f>
        <v/>
      </c>
      <c r="Z595" s="7" t="str">
        <f aca="false">IF(OR(L595="",W595=""),"",IFERROR(INDEX('لیست‌ها'!$Q$3:$Q$53,MATCH(W595,'لیست‌ها'!$P$3:$P$53,0))+IF(X595&lt;=6,(X595-1)*31+Y595,IF(X595&lt;=11,186+(X595-7)*30+Y595,336+Y595))-1,""))</f>
        <v/>
      </c>
      <c r="AA595" s="7" t="str">
        <f aca="false">IF(H595="","",VALUE(LEFT(H595,FIND("/",H595)-1)))</f>
        <v/>
      </c>
      <c r="AB595" s="7" t="str">
        <f aca="false">IF(H595="","",VALUE(MID(H595,FIND("/",H595)+1,FIND("/",H595,FIND("/",H595)+1)-FIND("/",H595)-1)))</f>
        <v/>
      </c>
      <c r="AC595" s="7" t="str">
        <f aca="false">IF(H595="","",VALUE(MID(H595,FIND("/",H595,FIND("/",H595)+1)+1,LEN(H595)-FIND("/",H595,FIND("/",H595)+1))))</f>
        <v/>
      </c>
      <c r="AD595" s="7" t="str">
        <f aca="false">IF(OR(H595="",AA595=""),"",IFERROR(INDEX('لیست‌ها'!$Q$3:$Q$53,MATCH(AA595,'لیست‌ها'!$P$3:$P$53,0))+IF(AB595&lt;=6,(AB595-1)*31+AC595,IF(AB595&lt;=11,186+(AB595-7)*30+AC595,336+AC595))-1,""))</f>
        <v/>
      </c>
      <c r="AE595" s="7" t="str">
        <f aca="false">IF(P595="","",VALUE(LEFT(P595,FIND("/",P595)-1)))</f>
        <v/>
      </c>
      <c r="AF595" s="7" t="str">
        <f aca="false">IF(P595="","",VALUE(MID(P595,FIND("/",P595)+1,FIND("/",P595,FIND("/",P595)+1)-FIND("/",P595)-1)))</f>
        <v/>
      </c>
      <c r="AG595" s="7" t="str">
        <f aca="false">IF(P595="","",VALUE(MID(P595,FIND("/",P595,FIND("/",P595)+1)+1,LEN(P595)-FIND("/",P595,FIND("/",P595)+1))))</f>
        <v/>
      </c>
      <c r="AH595" s="7" t="str">
        <f aca="false">IF(OR(P595="",AE595=""),"",IFERROR(INDEX('لیست‌ها'!$Q$3:$Q$53,MATCH(AE595,'لیست‌ها'!$P$3:$P$53,0))+IF(AF595&lt;=6,(AF595-1)*31+AG595,IF(AF595&lt;=11,186+(AF595-7)*30+AG595,336+AG595))-1,""))</f>
        <v/>
      </c>
      <c r="AI595" s="7" t="str">
        <f aca="false">IF(W595="","",W595&amp;"-"&amp;TEXT(X595,"00"))</f>
        <v/>
      </c>
      <c r="AJ595" s="7" t="str">
        <f aca="false">IF(W595="","",W595*12+X595)</f>
        <v/>
      </c>
      <c r="AK595" s="7" t="str">
        <f aca="false">IF(U595="تاخیر",V595+ROW()/100000,"")</f>
        <v/>
      </c>
    </row>
    <row r="596" customFormat="false" ht="15" hidden="false" customHeight="false" outlineLevel="0" collapsed="false">
      <c r="A596" s="7" t="str">
        <f aca="false">IF(B596="","",ROW()-3)</f>
        <v/>
      </c>
      <c r="B596" s="8"/>
      <c r="C596" s="8"/>
      <c r="D596" s="8"/>
      <c r="E596" s="9"/>
      <c r="F596" s="9"/>
      <c r="G596" s="8"/>
      <c r="H596" s="8"/>
      <c r="I596" s="8"/>
      <c r="J596" s="9"/>
      <c r="K596" s="8"/>
      <c r="L596" s="8"/>
      <c r="M596" s="8"/>
      <c r="N596" s="8"/>
      <c r="O596" s="8"/>
      <c r="P596" s="8"/>
      <c r="Q596" s="8"/>
      <c r="R596" s="9"/>
      <c r="S596" s="8"/>
      <c r="T596" s="9"/>
      <c r="U596" s="10" t="str">
        <f aca="true">IF(B596="","",IF(OR(P596&lt;&gt;"",I596="می‌باشد"),"بسته",IF(AND(L596&lt;&gt;"",W596=""),"خطای فرمت تاریخ ایجاد",IF(AND(H596&lt;&gt;"",AA596=""),"خطای فرمت مهلت",IF(AND(H596&lt;&gt;"",AD596&lt;&gt;"",TODAY()&gt;AD596),"تاخیر",IF(L596&lt;&gt;"","در حال انجام",""))))))</f>
        <v/>
      </c>
      <c r="V596" s="7" t="n">
        <f aca="true">IF(U596="تاخیر",TODAY()-AD596,IF(AND(U596="بسته",AH596&lt;&gt;"",AD596&lt;&gt;"",AH596&gt;AD596),AH596-AD596,0))</f>
        <v>0</v>
      </c>
      <c r="W596" s="7" t="str">
        <f aca="false">IF(L596="","",VALUE(LEFT(L596,FIND("/",L596)-1)))</f>
        <v/>
      </c>
      <c r="X596" s="7" t="str">
        <f aca="false">IF(L596="","",VALUE(MID(L596,FIND("/",L596)+1,FIND("/",L596,FIND("/",L596)+1)-FIND("/",L596)-1)))</f>
        <v/>
      </c>
      <c r="Y596" s="7" t="str">
        <f aca="false">IF(L596="","",VALUE(MID(L596,FIND("/",L596,FIND("/",L596)+1)+1,LEN(L596)-FIND("/",L596,FIND("/",L596)+1))))</f>
        <v/>
      </c>
      <c r="Z596" s="7" t="str">
        <f aca="false">IF(OR(L596="",W596=""),"",IFERROR(INDEX('لیست‌ها'!$Q$3:$Q$53,MATCH(W596,'لیست‌ها'!$P$3:$P$53,0))+IF(X596&lt;=6,(X596-1)*31+Y596,IF(X596&lt;=11,186+(X596-7)*30+Y596,336+Y596))-1,""))</f>
        <v/>
      </c>
      <c r="AA596" s="7" t="str">
        <f aca="false">IF(H596="","",VALUE(LEFT(H596,FIND("/",H596)-1)))</f>
        <v/>
      </c>
      <c r="AB596" s="7" t="str">
        <f aca="false">IF(H596="","",VALUE(MID(H596,FIND("/",H596)+1,FIND("/",H596,FIND("/",H596)+1)-FIND("/",H596)-1)))</f>
        <v/>
      </c>
      <c r="AC596" s="7" t="str">
        <f aca="false">IF(H596="","",VALUE(MID(H596,FIND("/",H596,FIND("/",H596)+1)+1,LEN(H596)-FIND("/",H596,FIND("/",H596)+1))))</f>
        <v/>
      </c>
      <c r="AD596" s="7" t="str">
        <f aca="false">IF(OR(H596="",AA596=""),"",IFERROR(INDEX('لیست‌ها'!$Q$3:$Q$53,MATCH(AA596,'لیست‌ها'!$P$3:$P$53,0))+IF(AB596&lt;=6,(AB596-1)*31+AC596,IF(AB596&lt;=11,186+(AB596-7)*30+AC596,336+AC596))-1,""))</f>
        <v/>
      </c>
      <c r="AE596" s="7" t="str">
        <f aca="false">IF(P596="","",VALUE(LEFT(P596,FIND("/",P596)-1)))</f>
        <v/>
      </c>
      <c r="AF596" s="7" t="str">
        <f aca="false">IF(P596="","",VALUE(MID(P596,FIND("/",P596)+1,FIND("/",P596,FIND("/",P596)+1)-FIND("/",P596)-1)))</f>
        <v/>
      </c>
      <c r="AG596" s="7" t="str">
        <f aca="false">IF(P596="","",VALUE(MID(P596,FIND("/",P596,FIND("/",P596)+1)+1,LEN(P596)-FIND("/",P596,FIND("/",P596)+1))))</f>
        <v/>
      </c>
      <c r="AH596" s="7" t="str">
        <f aca="false">IF(OR(P596="",AE596=""),"",IFERROR(INDEX('لیست‌ها'!$Q$3:$Q$53,MATCH(AE596,'لیست‌ها'!$P$3:$P$53,0))+IF(AF596&lt;=6,(AF596-1)*31+AG596,IF(AF596&lt;=11,186+(AF596-7)*30+AG596,336+AG596))-1,""))</f>
        <v/>
      </c>
      <c r="AI596" s="7" t="str">
        <f aca="false">IF(W596="","",W596&amp;"-"&amp;TEXT(X596,"00"))</f>
        <v/>
      </c>
      <c r="AJ596" s="7" t="str">
        <f aca="false">IF(W596="","",W596*12+X596)</f>
        <v/>
      </c>
      <c r="AK596" s="7" t="str">
        <f aca="false">IF(U596="تاخیر",V596+ROW()/100000,"")</f>
        <v/>
      </c>
    </row>
    <row r="597" customFormat="false" ht="15" hidden="false" customHeight="false" outlineLevel="0" collapsed="false">
      <c r="A597" s="7" t="str">
        <f aca="false">IF(B597="","",ROW()-3)</f>
        <v/>
      </c>
      <c r="B597" s="8"/>
      <c r="C597" s="8"/>
      <c r="D597" s="8"/>
      <c r="E597" s="9"/>
      <c r="F597" s="9"/>
      <c r="G597" s="8"/>
      <c r="H597" s="8"/>
      <c r="I597" s="8"/>
      <c r="J597" s="9"/>
      <c r="K597" s="8"/>
      <c r="L597" s="8"/>
      <c r="M597" s="8"/>
      <c r="N597" s="8"/>
      <c r="O597" s="8"/>
      <c r="P597" s="8"/>
      <c r="Q597" s="8"/>
      <c r="R597" s="9"/>
      <c r="S597" s="8"/>
      <c r="T597" s="9"/>
      <c r="U597" s="10" t="str">
        <f aca="true">IF(B597="","",IF(OR(P597&lt;&gt;"",I597="می‌باشد"),"بسته",IF(AND(L597&lt;&gt;"",W597=""),"خطای فرمت تاریخ ایجاد",IF(AND(H597&lt;&gt;"",AA597=""),"خطای فرمت مهلت",IF(AND(H597&lt;&gt;"",AD597&lt;&gt;"",TODAY()&gt;AD597),"تاخیر",IF(L597&lt;&gt;"","در حال انجام",""))))))</f>
        <v/>
      </c>
      <c r="V597" s="7" t="n">
        <f aca="true">IF(U597="تاخیر",TODAY()-AD597,IF(AND(U597="بسته",AH597&lt;&gt;"",AD597&lt;&gt;"",AH597&gt;AD597),AH597-AD597,0))</f>
        <v>0</v>
      </c>
      <c r="W597" s="7" t="str">
        <f aca="false">IF(L597="","",VALUE(LEFT(L597,FIND("/",L597)-1)))</f>
        <v/>
      </c>
      <c r="X597" s="7" t="str">
        <f aca="false">IF(L597="","",VALUE(MID(L597,FIND("/",L597)+1,FIND("/",L597,FIND("/",L597)+1)-FIND("/",L597)-1)))</f>
        <v/>
      </c>
      <c r="Y597" s="7" t="str">
        <f aca="false">IF(L597="","",VALUE(MID(L597,FIND("/",L597,FIND("/",L597)+1)+1,LEN(L597)-FIND("/",L597,FIND("/",L597)+1))))</f>
        <v/>
      </c>
      <c r="Z597" s="7" t="str">
        <f aca="false">IF(OR(L597="",W597=""),"",IFERROR(INDEX('لیست‌ها'!$Q$3:$Q$53,MATCH(W597,'لیست‌ها'!$P$3:$P$53,0))+IF(X597&lt;=6,(X597-1)*31+Y597,IF(X597&lt;=11,186+(X597-7)*30+Y597,336+Y597))-1,""))</f>
        <v/>
      </c>
      <c r="AA597" s="7" t="str">
        <f aca="false">IF(H597="","",VALUE(LEFT(H597,FIND("/",H597)-1)))</f>
        <v/>
      </c>
      <c r="AB597" s="7" t="str">
        <f aca="false">IF(H597="","",VALUE(MID(H597,FIND("/",H597)+1,FIND("/",H597,FIND("/",H597)+1)-FIND("/",H597)-1)))</f>
        <v/>
      </c>
      <c r="AC597" s="7" t="str">
        <f aca="false">IF(H597="","",VALUE(MID(H597,FIND("/",H597,FIND("/",H597)+1)+1,LEN(H597)-FIND("/",H597,FIND("/",H597)+1))))</f>
        <v/>
      </c>
      <c r="AD597" s="7" t="str">
        <f aca="false">IF(OR(H597="",AA597=""),"",IFERROR(INDEX('لیست‌ها'!$Q$3:$Q$53,MATCH(AA597,'لیست‌ها'!$P$3:$P$53,0))+IF(AB597&lt;=6,(AB597-1)*31+AC597,IF(AB597&lt;=11,186+(AB597-7)*30+AC597,336+AC597))-1,""))</f>
        <v/>
      </c>
      <c r="AE597" s="7" t="str">
        <f aca="false">IF(P597="","",VALUE(LEFT(P597,FIND("/",P597)-1)))</f>
        <v/>
      </c>
      <c r="AF597" s="7" t="str">
        <f aca="false">IF(P597="","",VALUE(MID(P597,FIND("/",P597)+1,FIND("/",P597,FIND("/",P597)+1)-FIND("/",P597)-1)))</f>
        <v/>
      </c>
      <c r="AG597" s="7" t="str">
        <f aca="false">IF(P597="","",VALUE(MID(P597,FIND("/",P597,FIND("/",P597)+1)+1,LEN(P597)-FIND("/",P597,FIND("/",P597)+1))))</f>
        <v/>
      </c>
      <c r="AH597" s="7" t="str">
        <f aca="false">IF(OR(P597="",AE597=""),"",IFERROR(INDEX('لیست‌ها'!$Q$3:$Q$53,MATCH(AE597,'لیست‌ها'!$P$3:$P$53,0))+IF(AF597&lt;=6,(AF597-1)*31+AG597,IF(AF597&lt;=11,186+(AF597-7)*30+AG597,336+AG597))-1,""))</f>
        <v/>
      </c>
      <c r="AI597" s="7" t="str">
        <f aca="false">IF(W597="","",W597&amp;"-"&amp;TEXT(X597,"00"))</f>
        <v/>
      </c>
      <c r="AJ597" s="7" t="str">
        <f aca="false">IF(W597="","",W597*12+X597)</f>
        <v/>
      </c>
      <c r="AK597" s="7" t="str">
        <f aca="false">IF(U597="تاخیر",V597+ROW()/100000,"")</f>
        <v/>
      </c>
    </row>
    <row r="598" customFormat="false" ht="15" hidden="false" customHeight="false" outlineLevel="0" collapsed="false">
      <c r="A598" s="7" t="str">
        <f aca="false">IF(B598="","",ROW()-3)</f>
        <v/>
      </c>
      <c r="B598" s="8"/>
      <c r="C598" s="8"/>
      <c r="D598" s="8"/>
      <c r="E598" s="9"/>
      <c r="F598" s="9"/>
      <c r="G598" s="8"/>
      <c r="H598" s="8"/>
      <c r="I598" s="8"/>
      <c r="J598" s="9"/>
      <c r="K598" s="8"/>
      <c r="L598" s="8"/>
      <c r="M598" s="8"/>
      <c r="N598" s="8"/>
      <c r="O598" s="8"/>
      <c r="P598" s="8"/>
      <c r="Q598" s="8"/>
      <c r="R598" s="9"/>
      <c r="S598" s="8"/>
      <c r="T598" s="9"/>
      <c r="U598" s="10" t="str">
        <f aca="true">IF(B598="","",IF(OR(P598&lt;&gt;"",I598="می‌باشد"),"بسته",IF(AND(L598&lt;&gt;"",W598=""),"خطای فرمت تاریخ ایجاد",IF(AND(H598&lt;&gt;"",AA598=""),"خطای فرمت مهلت",IF(AND(H598&lt;&gt;"",AD598&lt;&gt;"",TODAY()&gt;AD598),"تاخیر",IF(L598&lt;&gt;"","در حال انجام",""))))))</f>
        <v/>
      </c>
      <c r="V598" s="7" t="n">
        <f aca="true">IF(U598="تاخیر",TODAY()-AD598,IF(AND(U598="بسته",AH598&lt;&gt;"",AD598&lt;&gt;"",AH598&gt;AD598),AH598-AD598,0))</f>
        <v>0</v>
      </c>
      <c r="W598" s="7" t="str">
        <f aca="false">IF(L598="","",VALUE(LEFT(L598,FIND("/",L598)-1)))</f>
        <v/>
      </c>
      <c r="X598" s="7" t="str">
        <f aca="false">IF(L598="","",VALUE(MID(L598,FIND("/",L598)+1,FIND("/",L598,FIND("/",L598)+1)-FIND("/",L598)-1)))</f>
        <v/>
      </c>
      <c r="Y598" s="7" t="str">
        <f aca="false">IF(L598="","",VALUE(MID(L598,FIND("/",L598,FIND("/",L598)+1)+1,LEN(L598)-FIND("/",L598,FIND("/",L598)+1))))</f>
        <v/>
      </c>
      <c r="Z598" s="7" t="str">
        <f aca="false">IF(OR(L598="",W598=""),"",IFERROR(INDEX('لیست‌ها'!$Q$3:$Q$53,MATCH(W598,'لیست‌ها'!$P$3:$P$53,0))+IF(X598&lt;=6,(X598-1)*31+Y598,IF(X598&lt;=11,186+(X598-7)*30+Y598,336+Y598))-1,""))</f>
        <v/>
      </c>
      <c r="AA598" s="7" t="str">
        <f aca="false">IF(H598="","",VALUE(LEFT(H598,FIND("/",H598)-1)))</f>
        <v/>
      </c>
      <c r="AB598" s="7" t="str">
        <f aca="false">IF(H598="","",VALUE(MID(H598,FIND("/",H598)+1,FIND("/",H598,FIND("/",H598)+1)-FIND("/",H598)-1)))</f>
        <v/>
      </c>
      <c r="AC598" s="7" t="str">
        <f aca="false">IF(H598="","",VALUE(MID(H598,FIND("/",H598,FIND("/",H598)+1)+1,LEN(H598)-FIND("/",H598,FIND("/",H598)+1))))</f>
        <v/>
      </c>
      <c r="AD598" s="7" t="str">
        <f aca="false">IF(OR(H598="",AA598=""),"",IFERROR(INDEX('لیست‌ها'!$Q$3:$Q$53,MATCH(AA598,'لیست‌ها'!$P$3:$P$53,0))+IF(AB598&lt;=6,(AB598-1)*31+AC598,IF(AB598&lt;=11,186+(AB598-7)*30+AC598,336+AC598))-1,""))</f>
        <v/>
      </c>
      <c r="AE598" s="7" t="str">
        <f aca="false">IF(P598="","",VALUE(LEFT(P598,FIND("/",P598)-1)))</f>
        <v/>
      </c>
      <c r="AF598" s="7" t="str">
        <f aca="false">IF(P598="","",VALUE(MID(P598,FIND("/",P598)+1,FIND("/",P598,FIND("/",P598)+1)-FIND("/",P598)-1)))</f>
        <v/>
      </c>
      <c r="AG598" s="7" t="str">
        <f aca="false">IF(P598="","",VALUE(MID(P598,FIND("/",P598,FIND("/",P598)+1)+1,LEN(P598)-FIND("/",P598,FIND("/",P598)+1))))</f>
        <v/>
      </c>
      <c r="AH598" s="7" t="str">
        <f aca="false">IF(OR(P598="",AE598=""),"",IFERROR(INDEX('لیست‌ها'!$Q$3:$Q$53,MATCH(AE598,'لیست‌ها'!$P$3:$P$53,0))+IF(AF598&lt;=6,(AF598-1)*31+AG598,IF(AF598&lt;=11,186+(AF598-7)*30+AG598,336+AG598))-1,""))</f>
        <v/>
      </c>
      <c r="AI598" s="7" t="str">
        <f aca="false">IF(W598="","",W598&amp;"-"&amp;TEXT(X598,"00"))</f>
        <v/>
      </c>
      <c r="AJ598" s="7" t="str">
        <f aca="false">IF(W598="","",W598*12+X598)</f>
        <v/>
      </c>
      <c r="AK598" s="7" t="str">
        <f aca="false">IF(U598="تاخیر",V598+ROW()/100000,"")</f>
        <v/>
      </c>
    </row>
    <row r="599" customFormat="false" ht="15" hidden="false" customHeight="false" outlineLevel="0" collapsed="false">
      <c r="A599" s="7" t="str">
        <f aca="false">IF(B599="","",ROW()-3)</f>
        <v/>
      </c>
      <c r="B599" s="8"/>
      <c r="C599" s="8"/>
      <c r="D599" s="8"/>
      <c r="E599" s="9"/>
      <c r="F599" s="9"/>
      <c r="G599" s="8"/>
      <c r="H599" s="8"/>
      <c r="I599" s="8"/>
      <c r="J599" s="9"/>
      <c r="K599" s="8"/>
      <c r="L599" s="8"/>
      <c r="M599" s="8"/>
      <c r="N599" s="8"/>
      <c r="O599" s="8"/>
      <c r="P599" s="8"/>
      <c r="Q599" s="8"/>
      <c r="R599" s="9"/>
      <c r="S599" s="8"/>
      <c r="T599" s="9"/>
      <c r="U599" s="10" t="str">
        <f aca="true">IF(B599="","",IF(OR(P599&lt;&gt;"",I599="می‌باشد"),"بسته",IF(AND(L599&lt;&gt;"",W599=""),"خطای فرمت تاریخ ایجاد",IF(AND(H599&lt;&gt;"",AA599=""),"خطای فرمت مهلت",IF(AND(H599&lt;&gt;"",AD599&lt;&gt;"",TODAY()&gt;AD599),"تاخیر",IF(L599&lt;&gt;"","در حال انجام",""))))))</f>
        <v/>
      </c>
      <c r="V599" s="7" t="n">
        <f aca="true">IF(U599="تاخیر",TODAY()-AD599,IF(AND(U599="بسته",AH599&lt;&gt;"",AD599&lt;&gt;"",AH599&gt;AD599),AH599-AD599,0))</f>
        <v>0</v>
      </c>
      <c r="W599" s="7" t="str">
        <f aca="false">IF(L599="","",VALUE(LEFT(L599,FIND("/",L599)-1)))</f>
        <v/>
      </c>
      <c r="X599" s="7" t="str">
        <f aca="false">IF(L599="","",VALUE(MID(L599,FIND("/",L599)+1,FIND("/",L599,FIND("/",L599)+1)-FIND("/",L599)-1)))</f>
        <v/>
      </c>
      <c r="Y599" s="7" t="str">
        <f aca="false">IF(L599="","",VALUE(MID(L599,FIND("/",L599,FIND("/",L599)+1)+1,LEN(L599)-FIND("/",L599,FIND("/",L599)+1))))</f>
        <v/>
      </c>
      <c r="Z599" s="7" t="str">
        <f aca="false">IF(OR(L599="",W599=""),"",IFERROR(INDEX('لیست‌ها'!$Q$3:$Q$53,MATCH(W599,'لیست‌ها'!$P$3:$P$53,0))+IF(X599&lt;=6,(X599-1)*31+Y599,IF(X599&lt;=11,186+(X599-7)*30+Y599,336+Y599))-1,""))</f>
        <v/>
      </c>
      <c r="AA599" s="7" t="str">
        <f aca="false">IF(H599="","",VALUE(LEFT(H599,FIND("/",H599)-1)))</f>
        <v/>
      </c>
      <c r="AB599" s="7" t="str">
        <f aca="false">IF(H599="","",VALUE(MID(H599,FIND("/",H599)+1,FIND("/",H599,FIND("/",H599)+1)-FIND("/",H599)-1)))</f>
        <v/>
      </c>
      <c r="AC599" s="7" t="str">
        <f aca="false">IF(H599="","",VALUE(MID(H599,FIND("/",H599,FIND("/",H599)+1)+1,LEN(H599)-FIND("/",H599,FIND("/",H599)+1))))</f>
        <v/>
      </c>
      <c r="AD599" s="7" t="str">
        <f aca="false">IF(OR(H599="",AA599=""),"",IFERROR(INDEX('لیست‌ها'!$Q$3:$Q$53,MATCH(AA599,'لیست‌ها'!$P$3:$P$53,0))+IF(AB599&lt;=6,(AB599-1)*31+AC599,IF(AB599&lt;=11,186+(AB599-7)*30+AC599,336+AC599))-1,""))</f>
        <v/>
      </c>
      <c r="AE599" s="7" t="str">
        <f aca="false">IF(P599="","",VALUE(LEFT(P599,FIND("/",P599)-1)))</f>
        <v/>
      </c>
      <c r="AF599" s="7" t="str">
        <f aca="false">IF(P599="","",VALUE(MID(P599,FIND("/",P599)+1,FIND("/",P599,FIND("/",P599)+1)-FIND("/",P599)-1)))</f>
        <v/>
      </c>
      <c r="AG599" s="7" t="str">
        <f aca="false">IF(P599="","",VALUE(MID(P599,FIND("/",P599,FIND("/",P599)+1)+1,LEN(P599)-FIND("/",P599,FIND("/",P599)+1))))</f>
        <v/>
      </c>
      <c r="AH599" s="7" t="str">
        <f aca="false">IF(OR(P599="",AE599=""),"",IFERROR(INDEX('لیست‌ها'!$Q$3:$Q$53,MATCH(AE599,'لیست‌ها'!$P$3:$P$53,0))+IF(AF599&lt;=6,(AF599-1)*31+AG599,IF(AF599&lt;=11,186+(AF599-7)*30+AG599,336+AG599))-1,""))</f>
        <v/>
      </c>
      <c r="AI599" s="7" t="str">
        <f aca="false">IF(W599="","",W599&amp;"-"&amp;TEXT(X599,"00"))</f>
        <v/>
      </c>
      <c r="AJ599" s="7" t="str">
        <f aca="false">IF(W599="","",W599*12+X599)</f>
        <v/>
      </c>
      <c r="AK599" s="7" t="str">
        <f aca="false">IF(U599="تاخیر",V599+ROW()/100000,"")</f>
        <v/>
      </c>
    </row>
    <row r="600" customFormat="false" ht="15" hidden="false" customHeight="false" outlineLevel="0" collapsed="false">
      <c r="A600" s="7" t="str">
        <f aca="false">IF(B600="","",ROW()-3)</f>
        <v/>
      </c>
      <c r="B600" s="8"/>
      <c r="C600" s="8"/>
      <c r="D600" s="8"/>
      <c r="E600" s="9"/>
      <c r="F600" s="9"/>
      <c r="G600" s="8"/>
      <c r="H600" s="8"/>
      <c r="I600" s="8"/>
      <c r="J600" s="9"/>
      <c r="K600" s="8"/>
      <c r="L600" s="8"/>
      <c r="M600" s="8"/>
      <c r="N600" s="8"/>
      <c r="O600" s="8"/>
      <c r="P600" s="8"/>
      <c r="Q600" s="8"/>
      <c r="R600" s="9"/>
      <c r="S600" s="8"/>
      <c r="T600" s="9"/>
      <c r="U600" s="10" t="str">
        <f aca="true">IF(B600="","",IF(OR(P600&lt;&gt;"",I600="می‌باشد"),"بسته",IF(AND(L600&lt;&gt;"",W600=""),"خطای فرمت تاریخ ایجاد",IF(AND(H600&lt;&gt;"",AA600=""),"خطای فرمت مهلت",IF(AND(H600&lt;&gt;"",AD600&lt;&gt;"",TODAY()&gt;AD600),"تاخیر",IF(L600&lt;&gt;"","در حال انجام",""))))))</f>
        <v/>
      </c>
      <c r="V600" s="7" t="n">
        <f aca="true">IF(U600="تاخیر",TODAY()-AD600,IF(AND(U600="بسته",AH600&lt;&gt;"",AD600&lt;&gt;"",AH600&gt;AD600),AH600-AD600,0))</f>
        <v>0</v>
      </c>
      <c r="W600" s="7" t="str">
        <f aca="false">IF(L600="","",VALUE(LEFT(L600,FIND("/",L600)-1)))</f>
        <v/>
      </c>
      <c r="X600" s="7" t="str">
        <f aca="false">IF(L600="","",VALUE(MID(L600,FIND("/",L600)+1,FIND("/",L600,FIND("/",L600)+1)-FIND("/",L600)-1)))</f>
        <v/>
      </c>
      <c r="Y600" s="7" t="str">
        <f aca="false">IF(L600="","",VALUE(MID(L600,FIND("/",L600,FIND("/",L600)+1)+1,LEN(L600)-FIND("/",L600,FIND("/",L600)+1))))</f>
        <v/>
      </c>
      <c r="Z600" s="7" t="str">
        <f aca="false">IF(OR(L600="",W600=""),"",IFERROR(INDEX('لیست‌ها'!$Q$3:$Q$53,MATCH(W600,'لیست‌ها'!$P$3:$P$53,0))+IF(X600&lt;=6,(X600-1)*31+Y600,IF(X600&lt;=11,186+(X600-7)*30+Y600,336+Y600))-1,""))</f>
        <v/>
      </c>
      <c r="AA600" s="7" t="str">
        <f aca="false">IF(H600="","",VALUE(LEFT(H600,FIND("/",H600)-1)))</f>
        <v/>
      </c>
      <c r="AB600" s="7" t="str">
        <f aca="false">IF(H600="","",VALUE(MID(H600,FIND("/",H600)+1,FIND("/",H600,FIND("/",H600)+1)-FIND("/",H600)-1)))</f>
        <v/>
      </c>
      <c r="AC600" s="7" t="str">
        <f aca="false">IF(H600="","",VALUE(MID(H600,FIND("/",H600,FIND("/",H600)+1)+1,LEN(H600)-FIND("/",H600,FIND("/",H600)+1))))</f>
        <v/>
      </c>
      <c r="AD600" s="7" t="str">
        <f aca="false">IF(OR(H600="",AA600=""),"",IFERROR(INDEX('لیست‌ها'!$Q$3:$Q$53,MATCH(AA600,'لیست‌ها'!$P$3:$P$53,0))+IF(AB600&lt;=6,(AB600-1)*31+AC600,IF(AB600&lt;=11,186+(AB600-7)*30+AC600,336+AC600))-1,""))</f>
        <v/>
      </c>
      <c r="AE600" s="7" t="str">
        <f aca="false">IF(P600="","",VALUE(LEFT(P600,FIND("/",P600)-1)))</f>
        <v/>
      </c>
      <c r="AF600" s="7" t="str">
        <f aca="false">IF(P600="","",VALUE(MID(P600,FIND("/",P600)+1,FIND("/",P600,FIND("/",P600)+1)-FIND("/",P600)-1)))</f>
        <v/>
      </c>
      <c r="AG600" s="7" t="str">
        <f aca="false">IF(P600="","",VALUE(MID(P600,FIND("/",P600,FIND("/",P600)+1)+1,LEN(P600)-FIND("/",P600,FIND("/",P600)+1))))</f>
        <v/>
      </c>
      <c r="AH600" s="7" t="str">
        <f aca="false">IF(OR(P600="",AE600=""),"",IFERROR(INDEX('لیست‌ها'!$Q$3:$Q$53,MATCH(AE600,'لیست‌ها'!$P$3:$P$53,0))+IF(AF600&lt;=6,(AF600-1)*31+AG600,IF(AF600&lt;=11,186+(AF600-7)*30+AG600,336+AG600))-1,""))</f>
        <v/>
      </c>
      <c r="AI600" s="7" t="str">
        <f aca="false">IF(W600="","",W600&amp;"-"&amp;TEXT(X600,"00"))</f>
        <v/>
      </c>
      <c r="AJ600" s="7" t="str">
        <f aca="false">IF(W600="","",W600*12+X600)</f>
        <v/>
      </c>
      <c r="AK600" s="7" t="str">
        <f aca="false">IF(U600="تاخیر",V600+ROW()/100000,"")</f>
        <v/>
      </c>
    </row>
    <row r="601" customFormat="false" ht="15" hidden="false" customHeight="false" outlineLevel="0" collapsed="false">
      <c r="A601" s="7" t="str">
        <f aca="false">IF(B601="","",ROW()-3)</f>
        <v/>
      </c>
      <c r="B601" s="8"/>
      <c r="C601" s="8"/>
      <c r="D601" s="8"/>
      <c r="E601" s="9"/>
      <c r="F601" s="9"/>
      <c r="G601" s="8"/>
      <c r="H601" s="8"/>
      <c r="I601" s="8"/>
      <c r="J601" s="9"/>
      <c r="K601" s="8"/>
      <c r="L601" s="8"/>
      <c r="M601" s="8"/>
      <c r="N601" s="8"/>
      <c r="O601" s="8"/>
      <c r="P601" s="8"/>
      <c r="Q601" s="8"/>
      <c r="R601" s="9"/>
      <c r="S601" s="8"/>
      <c r="T601" s="9"/>
      <c r="U601" s="10" t="str">
        <f aca="true">IF(B601="","",IF(OR(P601&lt;&gt;"",I601="می‌باشد"),"بسته",IF(AND(L601&lt;&gt;"",W601=""),"خطای فرمت تاریخ ایجاد",IF(AND(H601&lt;&gt;"",AA601=""),"خطای فرمت مهلت",IF(AND(H601&lt;&gt;"",AD601&lt;&gt;"",TODAY()&gt;AD601),"تاخیر",IF(L601&lt;&gt;"","در حال انجام",""))))))</f>
        <v/>
      </c>
      <c r="V601" s="7" t="n">
        <f aca="true">IF(U601="تاخیر",TODAY()-AD601,IF(AND(U601="بسته",AH601&lt;&gt;"",AD601&lt;&gt;"",AH601&gt;AD601),AH601-AD601,0))</f>
        <v>0</v>
      </c>
      <c r="W601" s="7" t="str">
        <f aca="false">IF(L601="","",VALUE(LEFT(L601,FIND("/",L601)-1)))</f>
        <v/>
      </c>
      <c r="X601" s="7" t="str">
        <f aca="false">IF(L601="","",VALUE(MID(L601,FIND("/",L601)+1,FIND("/",L601,FIND("/",L601)+1)-FIND("/",L601)-1)))</f>
        <v/>
      </c>
      <c r="Y601" s="7" t="str">
        <f aca="false">IF(L601="","",VALUE(MID(L601,FIND("/",L601,FIND("/",L601)+1)+1,LEN(L601)-FIND("/",L601,FIND("/",L601)+1))))</f>
        <v/>
      </c>
      <c r="Z601" s="7" t="str">
        <f aca="false">IF(OR(L601="",W601=""),"",IFERROR(INDEX('لیست‌ها'!$Q$3:$Q$53,MATCH(W601,'لیست‌ها'!$P$3:$P$53,0))+IF(X601&lt;=6,(X601-1)*31+Y601,IF(X601&lt;=11,186+(X601-7)*30+Y601,336+Y601))-1,""))</f>
        <v/>
      </c>
      <c r="AA601" s="7" t="str">
        <f aca="false">IF(H601="","",VALUE(LEFT(H601,FIND("/",H601)-1)))</f>
        <v/>
      </c>
      <c r="AB601" s="7" t="str">
        <f aca="false">IF(H601="","",VALUE(MID(H601,FIND("/",H601)+1,FIND("/",H601,FIND("/",H601)+1)-FIND("/",H601)-1)))</f>
        <v/>
      </c>
      <c r="AC601" s="7" t="str">
        <f aca="false">IF(H601="","",VALUE(MID(H601,FIND("/",H601,FIND("/",H601)+1)+1,LEN(H601)-FIND("/",H601,FIND("/",H601)+1))))</f>
        <v/>
      </c>
      <c r="AD601" s="7" t="str">
        <f aca="false">IF(OR(H601="",AA601=""),"",IFERROR(INDEX('لیست‌ها'!$Q$3:$Q$53,MATCH(AA601,'لیست‌ها'!$P$3:$P$53,0))+IF(AB601&lt;=6,(AB601-1)*31+AC601,IF(AB601&lt;=11,186+(AB601-7)*30+AC601,336+AC601))-1,""))</f>
        <v/>
      </c>
      <c r="AE601" s="7" t="str">
        <f aca="false">IF(P601="","",VALUE(LEFT(P601,FIND("/",P601)-1)))</f>
        <v/>
      </c>
      <c r="AF601" s="7" t="str">
        <f aca="false">IF(P601="","",VALUE(MID(P601,FIND("/",P601)+1,FIND("/",P601,FIND("/",P601)+1)-FIND("/",P601)-1)))</f>
        <v/>
      </c>
      <c r="AG601" s="7" t="str">
        <f aca="false">IF(P601="","",VALUE(MID(P601,FIND("/",P601,FIND("/",P601)+1)+1,LEN(P601)-FIND("/",P601,FIND("/",P601)+1))))</f>
        <v/>
      </c>
      <c r="AH601" s="7" t="str">
        <f aca="false">IF(OR(P601="",AE601=""),"",IFERROR(INDEX('لیست‌ها'!$Q$3:$Q$53,MATCH(AE601,'لیست‌ها'!$P$3:$P$53,0))+IF(AF601&lt;=6,(AF601-1)*31+AG601,IF(AF601&lt;=11,186+(AF601-7)*30+AG601,336+AG601))-1,""))</f>
        <v/>
      </c>
      <c r="AI601" s="7" t="str">
        <f aca="false">IF(W601="","",W601&amp;"-"&amp;TEXT(X601,"00"))</f>
        <v/>
      </c>
      <c r="AJ601" s="7" t="str">
        <f aca="false">IF(W601="","",W601*12+X601)</f>
        <v/>
      </c>
      <c r="AK601" s="7" t="str">
        <f aca="false">IF(U601="تاخیر",V601+ROW()/100000,"")</f>
        <v/>
      </c>
    </row>
    <row r="602" customFormat="false" ht="15" hidden="false" customHeight="false" outlineLevel="0" collapsed="false">
      <c r="A602" s="7" t="str">
        <f aca="false">IF(B602="","",ROW()-3)</f>
        <v/>
      </c>
      <c r="B602" s="8"/>
      <c r="C602" s="8"/>
      <c r="D602" s="8"/>
      <c r="E602" s="9"/>
      <c r="F602" s="9"/>
      <c r="G602" s="8"/>
      <c r="H602" s="8"/>
      <c r="I602" s="8"/>
      <c r="J602" s="9"/>
      <c r="K602" s="8"/>
      <c r="L602" s="8"/>
      <c r="M602" s="8"/>
      <c r="N602" s="8"/>
      <c r="O602" s="8"/>
      <c r="P602" s="8"/>
      <c r="Q602" s="8"/>
      <c r="R602" s="9"/>
      <c r="S602" s="8"/>
      <c r="T602" s="9"/>
      <c r="U602" s="10" t="str">
        <f aca="true">IF(B602="","",IF(OR(P602&lt;&gt;"",I602="می‌باشد"),"بسته",IF(AND(L602&lt;&gt;"",W602=""),"خطای فرمت تاریخ ایجاد",IF(AND(H602&lt;&gt;"",AA602=""),"خطای فرمت مهلت",IF(AND(H602&lt;&gt;"",AD602&lt;&gt;"",TODAY()&gt;AD602),"تاخیر",IF(L602&lt;&gt;"","در حال انجام",""))))))</f>
        <v/>
      </c>
      <c r="V602" s="7" t="n">
        <f aca="true">IF(U602="تاخیر",TODAY()-AD602,IF(AND(U602="بسته",AH602&lt;&gt;"",AD602&lt;&gt;"",AH602&gt;AD602),AH602-AD602,0))</f>
        <v>0</v>
      </c>
      <c r="W602" s="7" t="str">
        <f aca="false">IF(L602="","",VALUE(LEFT(L602,FIND("/",L602)-1)))</f>
        <v/>
      </c>
      <c r="X602" s="7" t="str">
        <f aca="false">IF(L602="","",VALUE(MID(L602,FIND("/",L602)+1,FIND("/",L602,FIND("/",L602)+1)-FIND("/",L602)-1)))</f>
        <v/>
      </c>
      <c r="Y602" s="7" t="str">
        <f aca="false">IF(L602="","",VALUE(MID(L602,FIND("/",L602,FIND("/",L602)+1)+1,LEN(L602)-FIND("/",L602,FIND("/",L602)+1))))</f>
        <v/>
      </c>
      <c r="Z602" s="7" t="str">
        <f aca="false">IF(OR(L602="",W602=""),"",IFERROR(INDEX('لیست‌ها'!$Q$3:$Q$53,MATCH(W602,'لیست‌ها'!$P$3:$P$53,0))+IF(X602&lt;=6,(X602-1)*31+Y602,IF(X602&lt;=11,186+(X602-7)*30+Y602,336+Y602))-1,""))</f>
        <v/>
      </c>
      <c r="AA602" s="7" t="str">
        <f aca="false">IF(H602="","",VALUE(LEFT(H602,FIND("/",H602)-1)))</f>
        <v/>
      </c>
      <c r="AB602" s="7" t="str">
        <f aca="false">IF(H602="","",VALUE(MID(H602,FIND("/",H602)+1,FIND("/",H602,FIND("/",H602)+1)-FIND("/",H602)-1)))</f>
        <v/>
      </c>
      <c r="AC602" s="7" t="str">
        <f aca="false">IF(H602="","",VALUE(MID(H602,FIND("/",H602,FIND("/",H602)+1)+1,LEN(H602)-FIND("/",H602,FIND("/",H602)+1))))</f>
        <v/>
      </c>
      <c r="AD602" s="7" t="str">
        <f aca="false">IF(OR(H602="",AA602=""),"",IFERROR(INDEX('لیست‌ها'!$Q$3:$Q$53,MATCH(AA602,'لیست‌ها'!$P$3:$P$53,0))+IF(AB602&lt;=6,(AB602-1)*31+AC602,IF(AB602&lt;=11,186+(AB602-7)*30+AC602,336+AC602))-1,""))</f>
        <v/>
      </c>
      <c r="AE602" s="7" t="str">
        <f aca="false">IF(P602="","",VALUE(LEFT(P602,FIND("/",P602)-1)))</f>
        <v/>
      </c>
      <c r="AF602" s="7" t="str">
        <f aca="false">IF(P602="","",VALUE(MID(P602,FIND("/",P602)+1,FIND("/",P602,FIND("/",P602)+1)-FIND("/",P602)-1)))</f>
        <v/>
      </c>
      <c r="AG602" s="7" t="str">
        <f aca="false">IF(P602="","",VALUE(MID(P602,FIND("/",P602,FIND("/",P602)+1)+1,LEN(P602)-FIND("/",P602,FIND("/",P602)+1))))</f>
        <v/>
      </c>
      <c r="AH602" s="7" t="str">
        <f aca="false">IF(OR(P602="",AE602=""),"",IFERROR(INDEX('لیست‌ها'!$Q$3:$Q$53,MATCH(AE602,'لیست‌ها'!$P$3:$P$53,0))+IF(AF602&lt;=6,(AF602-1)*31+AG602,IF(AF602&lt;=11,186+(AF602-7)*30+AG602,336+AG602))-1,""))</f>
        <v/>
      </c>
      <c r="AI602" s="7" t="str">
        <f aca="false">IF(W602="","",W602&amp;"-"&amp;TEXT(X602,"00"))</f>
        <v/>
      </c>
      <c r="AJ602" s="7" t="str">
        <f aca="false">IF(W602="","",W602*12+X602)</f>
        <v/>
      </c>
      <c r="AK602" s="7" t="str">
        <f aca="false">IF(U602="تاخیر",V602+ROW()/100000,"")</f>
        <v/>
      </c>
    </row>
    <row r="603" customFormat="false" ht="15" hidden="false" customHeight="false" outlineLevel="0" collapsed="false">
      <c r="A603" s="7" t="str">
        <f aca="false">IF(B603="","",ROW()-3)</f>
        <v/>
      </c>
      <c r="B603" s="8"/>
      <c r="C603" s="8"/>
      <c r="D603" s="8"/>
      <c r="E603" s="9"/>
      <c r="F603" s="9"/>
      <c r="G603" s="8"/>
      <c r="H603" s="8"/>
      <c r="I603" s="8"/>
      <c r="J603" s="9"/>
      <c r="K603" s="8"/>
      <c r="L603" s="8"/>
      <c r="M603" s="8"/>
      <c r="N603" s="8"/>
      <c r="O603" s="8"/>
      <c r="P603" s="8"/>
      <c r="Q603" s="8"/>
      <c r="R603" s="9"/>
      <c r="S603" s="8"/>
      <c r="T603" s="9"/>
      <c r="U603" s="10" t="str">
        <f aca="true">IF(B603="","",IF(OR(P603&lt;&gt;"",I603="می‌باشد"),"بسته",IF(AND(L603&lt;&gt;"",W603=""),"خطای فرمت تاریخ ایجاد",IF(AND(H603&lt;&gt;"",AA603=""),"خطای فرمت مهلت",IF(AND(H603&lt;&gt;"",AD603&lt;&gt;"",TODAY()&gt;AD603),"تاخیر",IF(L603&lt;&gt;"","در حال انجام",""))))))</f>
        <v/>
      </c>
      <c r="V603" s="7" t="n">
        <f aca="true">IF(U603="تاخیر",TODAY()-AD603,IF(AND(U603="بسته",AH603&lt;&gt;"",AD603&lt;&gt;"",AH603&gt;AD603),AH603-AD603,0))</f>
        <v>0</v>
      </c>
      <c r="W603" s="7" t="str">
        <f aca="false">IF(L603="","",VALUE(LEFT(L603,FIND("/",L603)-1)))</f>
        <v/>
      </c>
      <c r="X603" s="7" t="str">
        <f aca="false">IF(L603="","",VALUE(MID(L603,FIND("/",L603)+1,FIND("/",L603,FIND("/",L603)+1)-FIND("/",L603)-1)))</f>
        <v/>
      </c>
      <c r="Y603" s="7" t="str">
        <f aca="false">IF(L603="","",VALUE(MID(L603,FIND("/",L603,FIND("/",L603)+1)+1,LEN(L603)-FIND("/",L603,FIND("/",L603)+1))))</f>
        <v/>
      </c>
      <c r="Z603" s="7" t="str">
        <f aca="false">IF(OR(L603="",W603=""),"",IFERROR(INDEX('لیست‌ها'!$Q$3:$Q$53,MATCH(W603,'لیست‌ها'!$P$3:$P$53,0))+IF(X603&lt;=6,(X603-1)*31+Y603,IF(X603&lt;=11,186+(X603-7)*30+Y603,336+Y603))-1,""))</f>
        <v/>
      </c>
      <c r="AA603" s="7" t="str">
        <f aca="false">IF(H603="","",VALUE(LEFT(H603,FIND("/",H603)-1)))</f>
        <v/>
      </c>
      <c r="AB603" s="7" t="str">
        <f aca="false">IF(H603="","",VALUE(MID(H603,FIND("/",H603)+1,FIND("/",H603,FIND("/",H603)+1)-FIND("/",H603)-1)))</f>
        <v/>
      </c>
      <c r="AC603" s="7" t="str">
        <f aca="false">IF(H603="","",VALUE(MID(H603,FIND("/",H603,FIND("/",H603)+1)+1,LEN(H603)-FIND("/",H603,FIND("/",H603)+1))))</f>
        <v/>
      </c>
      <c r="AD603" s="7" t="str">
        <f aca="false">IF(OR(H603="",AA603=""),"",IFERROR(INDEX('لیست‌ها'!$Q$3:$Q$53,MATCH(AA603,'لیست‌ها'!$P$3:$P$53,0))+IF(AB603&lt;=6,(AB603-1)*31+AC603,IF(AB603&lt;=11,186+(AB603-7)*30+AC603,336+AC603))-1,""))</f>
        <v/>
      </c>
      <c r="AE603" s="7" t="str">
        <f aca="false">IF(P603="","",VALUE(LEFT(P603,FIND("/",P603)-1)))</f>
        <v/>
      </c>
      <c r="AF603" s="7" t="str">
        <f aca="false">IF(P603="","",VALUE(MID(P603,FIND("/",P603)+1,FIND("/",P603,FIND("/",P603)+1)-FIND("/",P603)-1)))</f>
        <v/>
      </c>
      <c r="AG603" s="7" t="str">
        <f aca="false">IF(P603="","",VALUE(MID(P603,FIND("/",P603,FIND("/",P603)+1)+1,LEN(P603)-FIND("/",P603,FIND("/",P603)+1))))</f>
        <v/>
      </c>
      <c r="AH603" s="7" t="str">
        <f aca="false">IF(OR(P603="",AE603=""),"",IFERROR(INDEX('لیست‌ها'!$Q$3:$Q$53,MATCH(AE603,'لیست‌ها'!$P$3:$P$53,0))+IF(AF603&lt;=6,(AF603-1)*31+AG603,IF(AF603&lt;=11,186+(AF603-7)*30+AG603,336+AG603))-1,""))</f>
        <v/>
      </c>
      <c r="AI603" s="7" t="str">
        <f aca="false">IF(W603="","",W603&amp;"-"&amp;TEXT(X603,"00"))</f>
        <v/>
      </c>
      <c r="AJ603" s="7" t="str">
        <f aca="false">IF(W603="","",W603*12+X603)</f>
        <v/>
      </c>
      <c r="AK603" s="7" t="str">
        <f aca="false">IF(U603="تاخیر",V603+ROW()/100000,"")</f>
        <v/>
      </c>
    </row>
    <row r="604" customFormat="false" ht="15" hidden="false" customHeight="false" outlineLevel="0" collapsed="false">
      <c r="A604" s="7" t="str">
        <f aca="false">IF(B604="","",ROW()-3)</f>
        <v/>
      </c>
      <c r="B604" s="8"/>
      <c r="C604" s="8"/>
      <c r="D604" s="8"/>
      <c r="E604" s="9"/>
      <c r="F604" s="9"/>
      <c r="G604" s="8"/>
      <c r="H604" s="8"/>
      <c r="I604" s="8"/>
      <c r="J604" s="9"/>
      <c r="K604" s="8"/>
      <c r="L604" s="8"/>
      <c r="M604" s="8"/>
      <c r="N604" s="8"/>
      <c r="O604" s="8"/>
      <c r="P604" s="8"/>
      <c r="Q604" s="8"/>
      <c r="R604" s="9"/>
      <c r="S604" s="8"/>
      <c r="T604" s="9"/>
      <c r="U604" s="10" t="str">
        <f aca="true">IF(B604="","",IF(OR(P604&lt;&gt;"",I604="می‌باشد"),"بسته",IF(AND(L604&lt;&gt;"",W604=""),"خطای فرمت تاریخ ایجاد",IF(AND(H604&lt;&gt;"",AA604=""),"خطای فرمت مهلت",IF(AND(H604&lt;&gt;"",AD604&lt;&gt;"",TODAY()&gt;AD604),"تاخیر",IF(L604&lt;&gt;"","در حال انجام",""))))))</f>
        <v/>
      </c>
      <c r="V604" s="7" t="n">
        <f aca="true">IF(U604="تاخیر",TODAY()-AD604,IF(AND(U604="بسته",AH604&lt;&gt;"",AD604&lt;&gt;"",AH604&gt;AD604),AH604-AD604,0))</f>
        <v>0</v>
      </c>
      <c r="W604" s="7" t="str">
        <f aca="false">IF(L604="","",VALUE(LEFT(L604,FIND("/",L604)-1)))</f>
        <v/>
      </c>
      <c r="X604" s="7" t="str">
        <f aca="false">IF(L604="","",VALUE(MID(L604,FIND("/",L604)+1,FIND("/",L604,FIND("/",L604)+1)-FIND("/",L604)-1)))</f>
        <v/>
      </c>
      <c r="Y604" s="7" t="str">
        <f aca="false">IF(L604="","",VALUE(MID(L604,FIND("/",L604,FIND("/",L604)+1)+1,LEN(L604)-FIND("/",L604,FIND("/",L604)+1))))</f>
        <v/>
      </c>
      <c r="Z604" s="7" t="str">
        <f aca="false">IF(OR(L604="",W604=""),"",IFERROR(INDEX('لیست‌ها'!$Q$3:$Q$53,MATCH(W604,'لیست‌ها'!$P$3:$P$53,0))+IF(X604&lt;=6,(X604-1)*31+Y604,IF(X604&lt;=11,186+(X604-7)*30+Y604,336+Y604))-1,""))</f>
        <v/>
      </c>
      <c r="AA604" s="7" t="str">
        <f aca="false">IF(H604="","",VALUE(LEFT(H604,FIND("/",H604)-1)))</f>
        <v/>
      </c>
      <c r="AB604" s="7" t="str">
        <f aca="false">IF(H604="","",VALUE(MID(H604,FIND("/",H604)+1,FIND("/",H604,FIND("/",H604)+1)-FIND("/",H604)-1)))</f>
        <v/>
      </c>
      <c r="AC604" s="7" t="str">
        <f aca="false">IF(H604="","",VALUE(MID(H604,FIND("/",H604,FIND("/",H604)+1)+1,LEN(H604)-FIND("/",H604,FIND("/",H604)+1))))</f>
        <v/>
      </c>
      <c r="AD604" s="7" t="str">
        <f aca="false">IF(OR(H604="",AA604=""),"",IFERROR(INDEX('لیست‌ها'!$Q$3:$Q$53,MATCH(AA604,'لیست‌ها'!$P$3:$P$53,0))+IF(AB604&lt;=6,(AB604-1)*31+AC604,IF(AB604&lt;=11,186+(AB604-7)*30+AC604,336+AC604))-1,""))</f>
        <v/>
      </c>
      <c r="AE604" s="7" t="str">
        <f aca="false">IF(P604="","",VALUE(LEFT(P604,FIND("/",P604)-1)))</f>
        <v/>
      </c>
      <c r="AF604" s="7" t="str">
        <f aca="false">IF(P604="","",VALUE(MID(P604,FIND("/",P604)+1,FIND("/",P604,FIND("/",P604)+1)-FIND("/",P604)-1)))</f>
        <v/>
      </c>
      <c r="AG604" s="7" t="str">
        <f aca="false">IF(P604="","",VALUE(MID(P604,FIND("/",P604,FIND("/",P604)+1)+1,LEN(P604)-FIND("/",P604,FIND("/",P604)+1))))</f>
        <v/>
      </c>
      <c r="AH604" s="7" t="str">
        <f aca="false">IF(OR(P604="",AE604=""),"",IFERROR(INDEX('لیست‌ها'!$Q$3:$Q$53,MATCH(AE604,'لیست‌ها'!$P$3:$P$53,0))+IF(AF604&lt;=6,(AF604-1)*31+AG604,IF(AF604&lt;=11,186+(AF604-7)*30+AG604,336+AG604))-1,""))</f>
        <v/>
      </c>
      <c r="AI604" s="7" t="str">
        <f aca="false">IF(W604="","",W604&amp;"-"&amp;TEXT(X604,"00"))</f>
        <v/>
      </c>
      <c r="AJ604" s="7" t="str">
        <f aca="false">IF(W604="","",W604*12+X604)</f>
        <v/>
      </c>
      <c r="AK604" s="7" t="str">
        <f aca="false">IF(U604="تاخیر",V604+ROW()/100000,"")</f>
        <v/>
      </c>
    </row>
    <row r="605" customFormat="false" ht="15" hidden="false" customHeight="false" outlineLevel="0" collapsed="false">
      <c r="A605" s="7" t="str">
        <f aca="false">IF(B605="","",ROW()-3)</f>
        <v/>
      </c>
      <c r="B605" s="8"/>
      <c r="C605" s="8"/>
      <c r="D605" s="8"/>
      <c r="E605" s="9"/>
      <c r="F605" s="9"/>
      <c r="G605" s="8"/>
      <c r="H605" s="8"/>
      <c r="I605" s="8"/>
      <c r="J605" s="9"/>
      <c r="K605" s="8"/>
      <c r="L605" s="8"/>
      <c r="M605" s="8"/>
      <c r="N605" s="8"/>
      <c r="O605" s="8"/>
      <c r="P605" s="8"/>
      <c r="Q605" s="8"/>
      <c r="R605" s="9"/>
      <c r="S605" s="8"/>
      <c r="T605" s="9"/>
      <c r="U605" s="10" t="str">
        <f aca="true">IF(B605="","",IF(OR(P605&lt;&gt;"",I605="می‌باشد"),"بسته",IF(AND(L605&lt;&gt;"",W605=""),"خطای فرمت تاریخ ایجاد",IF(AND(H605&lt;&gt;"",AA605=""),"خطای فرمت مهلت",IF(AND(H605&lt;&gt;"",AD605&lt;&gt;"",TODAY()&gt;AD605),"تاخیر",IF(L605&lt;&gt;"","در حال انجام",""))))))</f>
        <v/>
      </c>
      <c r="V605" s="7" t="n">
        <f aca="true">IF(U605="تاخیر",TODAY()-AD605,IF(AND(U605="بسته",AH605&lt;&gt;"",AD605&lt;&gt;"",AH605&gt;AD605),AH605-AD605,0))</f>
        <v>0</v>
      </c>
      <c r="W605" s="7" t="str">
        <f aca="false">IF(L605="","",VALUE(LEFT(L605,FIND("/",L605)-1)))</f>
        <v/>
      </c>
      <c r="X605" s="7" t="str">
        <f aca="false">IF(L605="","",VALUE(MID(L605,FIND("/",L605)+1,FIND("/",L605,FIND("/",L605)+1)-FIND("/",L605)-1)))</f>
        <v/>
      </c>
      <c r="Y605" s="7" t="str">
        <f aca="false">IF(L605="","",VALUE(MID(L605,FIND("/",L605,FIND("/",L605)+1)+1,LEN(L605)-FIND("/",L605,FIND("/",L605)+1))))</f>
        <v/>
      </c>
      <c r="Z605" s="7" t="str">
        <f aca="false">IF(OR(L605="",W605=""),"",IFERROR(INDEX('لیست‌ها'!$Q$3:$Q$53,MATCH(W605,'لیست‌ها'!$P$3:$P$53,0))+IF(X605&lt;=6,(X605-1)*31+Y605,IF(X605&lt;=11,186+(X605-7)*30+Y605,336+Y605))-1,""))</f>
        <v/>
      </c>
      <c r="AA605" s="7" t="str">
        <f aca="false">IF(H605="","",VALUE(LEFT(H605,FIND("/",H605)-1)))</f>
        <v/>
      </c>
      <c r="AB605" s="7" t="str">
        <f aca="false">IF(H605="","",VALUE(MID(H605,FIND("/",H605)+1,FIND("/",H605,FIND("/",H605)+1)-FIND("/",H605)-1)))</f>
        <v/>
      </c>
      <c r="AC605" s="7" t="str">
        <f aca="false">IF(H605="","",VALUE(MID(H605,FIND("/",H605,FIND("/",H605)+1)+1,LEN(H605)-FIND("/",H605,FIND("/",H605)+1))))</f>
        <v/>
      </c>
      <c r="AD605" s="7" t="str">
        <f aca="false">IF(OR(H605="",AA605=""),"",IFERROR(INDEX('لیست‌ها'!$Q$3:$Q$53,MATCH(AA605,'لیست‌ها'!$P$3:$P$53,0))+IF(AB605&lt;=6,(AB605-1)*31+AC605,IF(AB605&lt;=11,186+(AB605-7)*30+AC605,336+AC605))-1,""))</f>
        <v/>
      </c>
      <c r="AE605" s="7" t="str">
        <f aca="false">IF(P605="","",VALUE(LEFT(P605,FIND("/",P605)-1)))</f>
        <v/>
      </c>
      <c r="AF605" s="7" t="str">
        <f aca="false">IF(P605="","",VALUE(MID(P605,FIND("/",P605)+1,FIND("/",P605,FIND("/",P605)+1)-FIND("/",P605)-1)))</f>
        <v/>
      </c>
      <c r="AG605" s="7" t="str">
        <f aca="false">IF(P605="","",VALUE(MID(P605,FIND("/",P605,FIND("/",P605)+1)+1,LEN(P605)-FIND("/",P605,FIND("/",P605)+1))))</f>
        <v/>
      </c>
      <c r="AH605" s="7" t="str">
        <f aca="false">IF(OR(P605="",AE605=""),"",IFERROR(INDEX('لیست‌ها'!$Q$3:$Q$53,MATCH(AE605,'لیست‌ها'!$P$3:$P$53,0))+IF(AF605&lt;=6,(AF605-1)*31+AG605,IF(AF605&lt;=11,186+(AF605-7)*30+AG605,336+AG605))-1,""))</f>
        <v/>
      </c>
      <c r="AI605" s="7" t="str">
        <f aca="false">IF(W605="","",W605&amp;"-"&amp;TEXT(X605,"00"))</f>
        <v/>
      </c>
      <c r="AJ605" s="7" t="str">
        <f aca="false">IF(W605="","",W605*12+X605)</f>
        <v/>
      </c>
      <c r="AK605" s="7" t="str">
        <f aca="false">IF(U605="تاخیر",V605+ROW()/100000,"")</f>
        <v/>
      </c>
    </row>
    <row r="606" customFormat="false" ht="15" hidden="false" customHeight="false" outlineLevel="0" collapsed="false">
      <c r="A606" s="7" t="str">
        <f aca="false">IF(B606="","",ROW()-3)</f>
        <v/>
      </c>
      <c r="B606" s="8"/>
      <c r="C606" s="8"/>
      <c r="D606" s="8"/>
      <c r="E606" s="9"/>
      <c r="F606" s="9"/>
      <c r="G606" s="8"/>
      <c r="H606" s="8"/>
      <c r="I606" s="8"/>
      <c r="J606" s="9"/>
      <c r="K606" s="8"/>
      <c r="L606" s="8"/>
      <c r="M606" s="8"/>
      <c r="N606" s="8"/>
      <c r="O606" s="8"/>
      <c r="P606" s="8"/>
      <c r="Q606" s="8"/>
      <c r="R606" s="9"/>
      <c r="S606" s="8"/>
      <c r="T606" s="9"/>
      <c r="U606" s="10" t="str">
        <f aca="true">IF(B606="","",IF(OR(P606&lt;&gt;"",I606="می‌باشد"),"بسته",IF(AND(L606&lt;&gt;"",W606=""),"خطای فرمت تاریخ ایجاد",IF(AND(H606&lt;&gt;"",AA606=""),"خطای فرمت مهلت",IF(AND(H606&lt;&gt;"",AD606&lt;&gt;"",TODAY()&gt;AD606),"تاخیر",IF(L606&lt;&gt;"","در حال انجام",""))))))</f>
        <v/>
      </c>
      <c r="V606" s="7" t="n">
        <f aca="true">IF(U606="تاخیر",TODAY()-AD606,IF(AND(U606="بسته",AH606&lt;&gt;"",AD606&lt;&gt;"",AH606&gt;AD606),AH606-AD606,0))</f>
        <v>0</v>
      </c>
      <c r="W606" s="7" t="str">
        <f aca="false">IF(L606="","",VALUE(LEFT(L606,FIND("/",L606)-1)))</f>
        <v/>
      </c>
      <c r="X606" s="7" t="str">
        <f aca="false">IF(L606="","",VALUE(MID(L606,FIND("/",L606)+1,FIND("/",L606,FIND("/",L606)+1)-FIND("/",L606)-1)))</f>
        <v/>
      </c>
      <c r="Y606" s="7" t="str">
        <f aca="false">IF(L606="","",VALUE(MID(L606,FIND("/",L606,FIND("/",L606)+1)+1,LEN(L606)-FIND("/",L606,FIND("/",L606)+1))))</f>
        <v/>
      </c>
      <c r="Z606" s="7" t="str">
        <f aca="false">IF(OR(L606="",W606=""),"",IFERROR(INDEX('لیست‌ها'!$Q$3:$Q$53,MATCH(W606,'لیست‌ها'!$P$3:$P$53,0))+IF(X606&lt;=6,(X606-1)*31+Y606,IF(X606&lt;=11,186+(X606-7)*30+Y606,336+Y606))-1,""))</f>
        <v/>
      </c>
      <c r="AA606" s="7" t="str">
        <f aca="false">IF(H606="","",VALUE(LEFT(H606,FIND("/",H606)-1)))</f>
        <v/>
      </c>
      <c r="AB606" s="7" t="str">
        <f aca="false">IF(H606="","",VALUE(MID(H606,FIND("/",H606)+1,FIND("/",H606,FIND("/",H606)+1)-FIND("/",H606)-1)))</f>
        <v/>
      </c>
      <c r="AC606" s="7" t="str">
        <f aca="false">IF(H606="","",VALUE(MID(H606,FIND("/",H606,FIND("/",H606)+1)+1,LEN(H606)-FIND("/",H606,FIND("/",H606)+1))))</f>
        <v/>
      </c>
      <c r="AD606" s="7" t="str">
        <f aca="false">IF(OR(H606="",AA606=""),"",IFERROR(INDEX('لیست‌ها'!$Q$3:$Q$53,MATCH(AA606,'لیست‌ها'!$P$3:$P$53,0))+IF(AB606&lt;=6,(AB606-1)*31+AC606,IF(AB606&lt;=11,186+(AB606-7)*30+AC606,336+AC606))-1,""))</f>
        <v/>
      </c>
      <c r="AE606" s="7" t="str">
        <f aca="false">IF(P606="","",VALUE(LEFT(P606,FIND("/",P606)-1)))</f>
        <v/>
      </c>
      <c r="AF606" s="7" t="str">
        <f aca="false">IF(P606="","",VALUE(MID(P606,FIND("/",P606)+1,FIND("/",P606,FIND("/",P606)+1)-FIND("/",P606)-1)))</f>
        <v/>
      </c>
      <c r="AG606" s="7" t="str">
        <f aca="false">IF(P606="","",VALUE(MID(P606,FIND("/",P606,FIND("/",P606)+1)+1,LEN(P606)-FIND("/",P606,FIND("/",P606)+1))))</f>
        <v/>
      </c>
      <c r="AH606" s="7" t="str">
        <f aca="false">IF(OR(P606="",AE606=""),"",IFERROR(INDEX('لیست‌ها'!$Q$3:$Q$53,MATCH(AE606,'لیست‌ها'!$P$3:$P$53,0))+IF(AF606&lt;=6,(AF606-1)*31+AG606,IF(AF606&lt;=11,186+(AF606-7)*30+AG606,336+AG606))-1,""))</f>
        <v/>
      </c>
      <c r="AI606" s="7" t="str">
        <f aca="false">IF(W606="","",W606&amp;"-"&amp;TEXT(X606,"00"))</f>
        <v/>
      </c>
      <c r="AJ606" s="7" t="str">
        <f aca="false">IF(W606="","",W606*12+X606)</f>
        <v/>
      </c>
      <c r="AK606" s="7" t="str">
        <f aca="false">IF(U606="تاخیر",V606+ROW()/100000,"")</f>
        <v/>
      </c>
    </row>
    <row r="607" customFormat="false" ht="15" hidden="false" customHeight="false" outlineLevel="0" collapsed="false">
      <c r="A607" s="7" t="str">
        <f aca="false">IF(B607="","",ROW()-3)</f>
        <v/>
      </c>
      <c r="B607" s="8"/>
      <c r="C607" s="8"/>
      <c r="D607" s="8"/>
      <c r="E607" s="9"/>
      <c r="F607" s="9"/>
      <c r="G607" s="8"/>
      <c r="H607" s="8"/>
      <c r="I607" s="8"/>
      <c r="J607" s="9"/>
      <c r="K607" s="8"/>
      <c r="L607" s="8"/>
      <c r="M607" s="8"/>
      <c r="N607" s="8"/>
      <c r="O607" s="8"/>
      <c r="P607" s="8"/>
      <c r="Q607" s="8"/>
      <c r="R607" s="9"/>
      <c r="S607" s="8"/>
      <c r="T607" s="9"/>
      <c r="U607" s="10" t="str">
        <f aca="true">IF(B607="","",IF(OR(P607&lt;&gt;"",I607="می‌باشد"),"بسته",IF(AND(L607&lt;&gt;"",W607=""),"خطای فرمت تاریخ ایجاد",IF(AND(H607&lt;&gt;"",AA607=""),"خطای فرمت مهلت",IF(AND(H607&lt;&gt;"",AD607&lt;&gt;"",TODAY()&gt;AD607),"تاخیر",IF(L607&lt;&gt;"","در حال انجام",""))))))</f>
        <v/>
      </c>
      <c r="V607" s="7" t="n">
        <f aca="true">IF(U607="تاخیر",TODAY()-AD607,IF(AND(U607="بسته",AH607&lt;&gt;"",AD607&lt;&gt;"",AH607&gt;AD607),AH607-AD607,0))</f>
        <v>0</v>
      </c>
      <c r="W607" s="7" t="str">
        <f aca="false">IF(L607="","",VALUE(LEFT(L607,FIND("/",L607)-1)))</f>
        <v/>
      </c>
      <c r="X607" s="7" t="str">
        <f aca="false">IF(L607="","",VALUE(MID(L607,FIND("/",L607)+1,FIND("/",L607,FIND("/",L607)+1)-FIND("/",L607)-1)))</f>
        <v/>
      </c>
      <c r="Y607" s="7" t="str">
        <f aca="false">IF(L607="","",VALUE(MID(L607,FIND("/",L607,FIND("/",L607)+1)+1,LEN(L607)-FIND("/",L607,FIND("/",L607)+1))))</f>
        <v/>
      </c>
      <c r="Z607" s="7" t="str">
        <f aca="false">IF(OR(L607="",W607=""),"",IFERROR(INDEX('لیست‌ها'!$Q$3:$Q$53,MATCH(W607,'لیست‌ها'!$P$3:$P$53,0))+IF(X607&lt;=6,(X607-1)*31+Y607,IF(X607&lt;=11,186+(X607-7)*30+Y607,336+Y607))-1,""))</f>
        <v/>
      </c>
      <c r="AA607" s="7" t="str">
        <f aca="false">IF(H607="","",VALUE(LEFT(H607,FIND("/",H607)-1)))</f>
        <v/>
      </c>
      <c r="AB607" s="7" t="str">
        <f aca="false">IF(H607="","",VALUE(MID(H607,FIND("/",H607)+1,FIND("/",H607,FIND("/",H607)+1)-FIND("/",H607)-1)))</f>
        <v/>
      </c>
      <c r="AC607" s="7" t="str">
        <f aca="false">IF(H607="","",VALUE(MID(H607,FIND("/",H607,FIND("/",H607)+1)+1,LEN(H607)-FIND("/",H607,FIND("/",H607)+1))))</f>
        <v/>
      </c>
      <c r="AD607" s="7" t="str">
        <f aca="false">IF(OR(H607="",AA607=""),"",IFERROR(INDEX('لیست‌ها'!$Q$3:$Q$53,MATCH(AA607,'لیست‌ها'!$P$3:$P$53,0))+IF(AB607&lt;=6,(AB607-1)*31+AC607,IF(AB607&lt;=11,186+(AB607-7)*30+AC607,336+AC607))-1,""))</f>
        <v/>
      </c>
      <c r="AE607" s="7" t="str">
        <f aca="false">IF(P607="","",VALUE(LEFT(P607,FIND("/",P607)-1)))</f>
        <v/>
      </c>
      <c r="AF607" s="7" t="str">
        <f aca="false">IF(P607="","",VALUE(MID(P607,FIND("/",P607)+1,FIND("/",P607,FIND("/",P607)+1)-FIND("/",P607)-1)))</f>
        <v/>
      </c>
      <c r="AG607" s="7" t="str">
        <f aca="false">IF(P607="","",VALUE(MID(P607,FIND("/",P607,FIND("/",P607)+1)+1,LEN(P607)-FIND("/",P607,FIND("/",P607)+1))))</f>
        <v/>
      </c>
      <c r="AH607" s="7" t="str">
        <f aca="false">IF(OR(P607="",AE607=""),"",IFERROR(INDEX('لیست‌ها'!$Q$3:$Q$53,MATCH(AE607,'لیست‌ها'!$P$3:$P$53,0))+IF(AF607&lt;=6,(AF607-1)*31+AG607,IF(AF607&lt;=11,186+(AF607-7)*30+AG607,336+AG607))-1,""))</f>
        <v/>
      </c>
      <c r="AI607" s="7" t="str">
        <f aca="false">IF(W607="","",W607&amp;"-"&amp;TEXT(X607,"00"))</f>
        <v/>
      </c>
      <c r="AJ607" s="7" t="str">
        <f aca="false">IF(W607="","",W607*12+X607)</f>
        <v/>
      </c>
      <c r="AK607" s="7" t="str">
        <f aca="false">IF(U607="تاخیر",V607+ROW()/100000,"")</f>
        <v/>
      </c>
    </row>
    <row r="608" customFormat="false" ht="15" hidden="false" customHeight="false" outlineLevel="0" collapsed="false">
      <c r="A608" s="7" t="str">
        <f aca="false">IF(B608="","",ROW()-3)</f>
        <v/>
      </c>
      <c r="B608" s="8"/>
      <c r="C608" s="8"/>
      <c r="D608" s="8"/>
      <c r="E608" s="9"/>
      <c r="F608" s="9"/>
      <c r="G608" s="8"/>
      <c r="H608" s="8"/>
      <c r="I608" s="8"/>
      <c r="J608" s="9"/>
      <c r="K608" s="8"/>
      <c r="L608" s="8"/>
      <c r="M608" s="8"/>
      <c r="N608" s="8"/>
      <c r="O608" s="8"/>
      <c r="P608" s="8"/>
      <c r="Q608" s="8"/>
      <c r="R608" s="9"/>
      <c r="S608" s="8"/>
      <c r="T608" s="9"/>
      <c r="U608" s="10" t="str">
        <f aca="true">IF(B608="","",IF(OR(P608&lt;&gt;"",I608="می‌باشد"),"بسته",IF(AND(L608&lt;&gt;"",W608=""),"خطای فرمت تاریخ ایجاد",IF(AND(H608&lt;&gt;"",AA608=""),"خطای فرمت مهلت",IF(AND(H608&lt;&gt;"",AD608&lt;&gt;"",TODAY()&gt;AD608),"تاخیر",IF(L608&lt;&gt;"","در حال انجام",""))))))</f>
        <v/>
      </c>
      <c r="V608" s="7" t="n">
        <f aca="true">IF(U608="تاخیر",TODAY()-AD608,IF(AND(U608="بسته",AH608&lt;&gt;"",AD608&lt;&gt;"",AH608&gt;AD608),AH608-AD608,0))</f>
        <v>0</v>
      </c>
      <c r="W608" s="7" t="str">
        <f aca="false">IF(L608="","",VALUE(LEFT(L608,FIND("/",L608)-1)))</f>
        <v/>
      </c>
      <c r="X608" s="7" t="str">
        <f aca="false">IF(L608="","",VALUE(MID(L608,FIND("/",L608)+1,FIND("/",L608,FIND("/",L608)+1)-FIND("/",L608)-1)))</f>
        <v/>
      </c>
      <c r="Y608" s="7" t="str">
        <f aca="false">IF(L608="","",VALUE(MID(L608,FIND("/",L608,FIND("/",L608)+1)+1,LEN(L608)-FIND("/",L608,FIND("/",L608)+1))))</f>
        <v/>
      </c>
      <c r="Z608" s="7" t="str">
        <f aca="false">IF(OR(L608="",W608=""),"",IFERROR(INDEX('لیست‌ها'!$Q$3:$Q$53,MATCH(W608,'لیست‌ها'!$P$3:$P$53,0))+IF(X608&lt;=6,(X608-1)*31+Y608,IF(X608&lt;=11,186+(X608-7)*30+Y608,336+Y608))-1,""))</f>
        <v/>
      </c>
      <c r="AA608" s="7" t="str">
        <f aca="false">IF(H608="","",VALUE(LEFT(H608,FIND("/",H608)-1)))</f>
        <v/>
      </c>
      <c r="AB608" s="7" t="str">
        <f aca="false">IF(H608="","",VALUE(MID(H608,FIND("/",H608)+1,FIND("/",H608,FIND("/",H608)+1)-FIND("/",H608)-1)))</f>
        <v/>
      </c>
      <c r="AC608" s="7" t="str">
        <f aca="false">IF(H608="","",VALUE(MID(H608,FIND("/",H608,FIND("/",H608)+1)+1,LEN(H608)-FIND("/",H608,FIND("/",H608)+1))))</f>
        <v/>
      </c>
      <c r="AD608" s="7" t="str">
        <f aca="false">IF(OR(H608="",AA608=""),"",IFERROR(INDEX('لیست‌ها'!$Q$3:$Q$53,MATCH(AA608,'لیست‌ها'!$P$3:$P$53,0))+IF(AB608&lt;=6,(AB608-1)*31+AC608,IF(AB608&lt;=11,186+(AB608-7)*30+AC608,336+AC608))-1,""))</f>
        <v/>
      </c>
      <c r="AE608" s="7" t="str">
        <f aca="false">IF(P608="","",VALUE(LEFT(P608,FIND("/",P608)-1)))</f>
        <v/>
      </c>
      <c r="AF608" s="7" t="str">
        <f aca="false">IF(P608="","",VALUE(MID(P608,FIND("/",P608)+1,FIND("/",P608,FIND("/",P608)+1)-FIND("/",P608)-1)))</f>
        <v/>
      </c>
      <c r="AG608" s="7" t="str">
        <f aca="false">IF(P608="","",VALUE(MID(P608,FIND("/",P608,FIND("/",P608)+1)+1,LEN(P608)-FIND("/",P608,FIND("/",P608)+1))))</f>
        <v/>
      </c>
      <c r="AH608" s="7" t="str">
        <f aca="false">IF(OR(P608="",AE608=""),"",IFERROR(INDEX('لیست‌ها'!$Q$3:$Q$53,MATCH(AE608,'لیست‌ها'!$P$3:$P$53,0))+IF(AF608&lt;=6,(AF608-1)*31+AG608,IF(AF608&lt;=11,186+(AF608-7)*30+AG608,336+AG608))-1,""))</f>
        <v/>
      </c>
      <c r="AI608" s="7" t="str">
        <f aca="false">IF(W608="","",W608&amp;"-"&amp;TEXT(X608,"00"))</f>
        <v/>
      </c>
      <c r="AJ608" s="7" t="str">
        <f aca="false">IF(W608="","",W608*12+X608)</f>
        <v/>
      </c>
      <c r="AK608" s="7" t="str">
        <f aca="false">IF(U608="تاخیر",V608+ROW()/100000,"")</f>
        <v/>
      </c>
    </row>
    <row r="609" customFormat="false" ht="15" hidden="false" customHeight="false" outlineLevel="0" collapsed="false">
      <c r="A609" s="7" t="str">
        <f aca="false">IF(B609="","",ROW()-3)</f>
        <v/>
      </c>
      <c r="B609" s="8"/>
      <c r="C609" s="8"/>
      <c r="D609" s="8"/>
      <c r="E609" s="9"/>
      <c r="F609" s="9"/>
      <c r="G609" s="8"/>
      <c r="H609" s="8"/>
      <c r="I609" s="8"/>
      <c r="J609" s="9"/>
      <c r="K609" s="8"/>
      <c r="L609" s="8"/>
      <c r="M609" s="8"/>
      <c r="N609" s="8"/>
      <c r="O609" s="8"/>
      <c r="P609" s="8"/>
      <c r="Q609" s="8"/>
      <c r="R609" s="9"/>
      <c r="S609" s="8"/>
      <c r="T609" s="9"/>
      <c r="U609" s="10" t="str">
        <f aca="true">IF(B609="","",IF(OR(P609&lt;&gt;"",I609="می‌باشد"),"بسته",IF(AND(L609&lt;&gt;"",W609=""),"خطای فرمت تاریخ ایجاد",IF(AND(H609&lt;&gt;"",AA609=""),"خطای فرمت مهلت",IF(AND(H609&lt;&gt;"",AD609&lt;&gt;"",TODAY()&gt;AD609),"تاخیر",IF(L609&lt;&gt;"","در حال انجام",""))))))</f>
        <v/>
      </c>
      <c r="V609" s="7" t="n">
        <f aca="true">IF(U609="تاخیر",TODAY()-AD609,IF(AND(U609="بسته",AH609&lt;&gt;"",AD609&lt;&gt;"",AH609&gt;AD609),AH609-AD609,0))</f>
        <v>0</v>
      </c>
      <c r="W609" s="7" t="str">
        <f aca="false">IF(L609="","",VALUE(LEFT(L609,FIND("/",L609)-1)))</f>
        <v/>
      </c>
      <c r="X609" s="7" t="str">
        <f aca="false">IF(L609="","",VALUE(MID(L609,FIND("/",L609)+1,FIND("/",L609,FIND("/",L609)+1)-FIND("/",L609)-1)))</f>
        <v/>
      </c>
      <c r="Y609" s="7" t="str">
        <f aca="false">IF(L609="","",VALUE(MID(L609,FIND("/",L609,FIND("/",L609)+1)+1,LEN(L609)-FIND("/",L609,FIND("/",L609)+1))))</f>
        <v/>
      </c>
      <c r="Z609" s="7" t="str">
        <f aca="false">IF(OR(L609="",W609=""),"",IFERROR(INDEX('لیست‌ها'!$Q$3:$Q$53,MATCH(W609,'لیست‌ها'!$P$3:$P$53,0))+IF(X609&lt;=6,(X609-1)*31+Y609,IF(X609&lt;=11,186+(X609-7)*30+Y609,336+Y609))-1,""))</f>
        <v/>
      </c>
      <c r="AA609" s="7" t="str">
        <f aca="false">IF(H609="","",VALUE(LEFT(H609,FIND("/",H609)-1)))</f>
        <v/>
      </c>
      <c r="AB609" s="7" t="str">
        <f aca="false">IF(H609="","",VALUE(MID(H609,FIND("/",H609)+1,FIND("/",H609,FIND("/",H609)+1)-FIND("/",H609)-1)))</f>
        <v/>
      </c>
      <c r="AC609" s="7" t="str">
        <f aca="false">IF(H609="","",VALUE(MID(H609,FIND("/",H609,FIND("/",H609)+1)+1,LEN(H609)-FIND("/",H609,FIND("/",H609)+1))))</f>
        <v/>
      </c>
      <c r="AD609" s="7" t="str">
        <f aca="false">IF(OR(H609="",AA609=""),"",IFERROR(INDEX('لیست‌ها'!$Q$3:$Q$53,MATCH(AA609,'لیست‌ها'!$P$3:$P$53,0))+IF(AB609&lt;=6,(AB609-1)*31+AC609,IF(AB609&lt;=11,186+(AB609-7)*30+AC609,336+AC609))-1,""))</f>
        <v/>
      </c>
      <c r="AE609" s="7" t="str">
        <f aca="false">IF(P609="","",VALUE(LEFT(P609,FIND("/",P609)-1)))</f>
        <v/>
      </c>
      <c r="AF609" s="7" t="str">
        <f aca="false">IF(P609="","",VALUE(MID(P609,FIND("/",P609)+1,FIND("/",P609,FIND("/",P609)+1)-FIND("/",P609)-1)))</f>
        <v/>
      </c>
      <c r="AG609" s="7" t="str">
        <f aca="false">IF(P609="","",VALUE(MID(P609,FIND("/",P609,FIND("/",P609)+1)+1,LEN(P609)-FIND("/",P609,FIND("/",P609)+1))))</f>
        <v/>
      </c>
      <c r="AH609" s="7" t="str">
        <f aca="false">IF(OR(P609="",AE609=""),"",IFERROR(INDEX('لیست‌ها'!$Q$3:$Q$53,MATCH(AE609,'لیست‌ها'!$P$3:$P$53,0))+IF(AF609&lt;=6,(AF609-1)*31+AG609,IF(AF609&lt;=11,186+(AF609-7)*30+AG609,336+AG609))-1,""))</f>
        <v/>
      </c>
      <c r="AI609" s="7" t="str">
        <f aca="false">IF(W609="","",W609&amp;"-"&amp;TEXT(X609,"00"))</f>
        <v/>
      </c>
      <c r="AJ609" s="7" t="str">
        <f aca="false">IF(W609="","",W609*12+X609)</f>
        <v/>
      </c>
      <c r="AK609" s="7" t="str">
        <f aca="false">IF(U609="تاخیر",V609+ROW()/100000,"")</f>
        <v/>
      </c>
    </row>
    <row r="610" customFormat="false" ht="15" hidden="false" customHeight="false" outlineLevel="0" collapsed="false">
      <c r="A610" s="7" t="str">
        <f aca="false">IF(B610="","",ROW()-3)</f>
        <v/>
      </c>
      <c r="B610" s="8"/>
      <c r="C610" s="8"/>
      <c r="D610" s="8"/>
      <c r="E610" s="9"/>
      <c r="F610" s="9"/>
      <c r="G610" s="8"/>
      <c r="H610" s="8"/>
      <c r="I610" s="8"/>
      <c r="J610" s="9"/>
      <c r="K610" s="8"/>
      <c r="L610" s="8"/>
      <c r="M610" s="8"/>
      <c r="N610" s="8"/>
      <c r="O610" s="8"/>
      <c r="P610" s="8"/>
      <c r="Q610" s="8"/>
      <c r="R610" s="9"/>
      <c r="S610" s="8"/>
      <c r="T610" s="9"/>
      <c r="U610" s="10" t="str">
        <f aca="true">IF(B610="","",IF(OR(P610&lt;&gt;"",I610="می‌باشد"),"بسته",IF(AND(L610&lt;&gt;"",W610=""),"خطای فرمت تاریخ ایجاد",IF(AND(H610&lt;&gt;"",AA610=""),"خطای فرمت مهلت",IF(AND(H610&lt;&gt;"",AD610&lt;&gt;"",TODAY()&gt;AD610),"تاخیر",IF(L610&lt;&gt;"","در حال انجام",""))))))</f>
        <v/>
      </c>
      <c r="V610" s="7" t="n">
        <f aca="true">IF(U610="تاخیر",TODAY()-AD610,IF(AND(U610="بسته",AH610&lt;&gt;"",AD610&lt;&gt;"",AH610&gt;AD610),AH610-AD610,0))</f>
        <v>0</v>
      </c>
      <c r="W610" s="7" t="str">
        <f aca="false">IF(L610="","",VALUE(LEFT(L610,FIND("/",L610)-1)))</f>
        <v/>
      </c>
      <c r="X610" s="7" t="str">
        <f aca="false">IF(L610="","",VALUE(MID(L610,FIND("/",L610)+1,FIND("/",L610,FIND("/",L610)+1)-FIND("/",L610)-1)))</f>
        <v/>
      </c>
      <c r="Y610" s="7" t="str">
        <f aca="false">IF(L610="","",VALUE(MID(L610,FIND("/",L610,FIND("/",L610)+1)+1,LEN(L610)-FIND("/",L610,FIND("/",L610)+1))))</f>
        <v/>
      </c>
      <c r="Z610" s="7" t="str">
        <f aca="false">IF(OR(L610="",W610=""),"",IFERROR(INDEX('لیست‌ها'!$Q$3:$Q$53,MATCH(W610,'لیست‌ها'!$P$3:$P$53,0))+IF(X610&lt;=6,(X610-1)*31+Y610,IF(X610&lt;=11,186+(X610-7)*30+Y610,336+Y610))-1,""))</f>
        <v/>
      </c>
      <c r="AA610" s="7" t="str">
        <f aca="false">IF(H610="","",VALUE(LEFT(H610,FIND("/",H610)-1)))</f>
        <v/>
      </c>
      <c r="AB610" s="7" t="str">
        <f aca="false">IF(H610="","",VALUE(MID(H610,FIND("/",H610)+1,FIND("/",H610,FIND("/",H610)+1)-FIND("/",H610)-1)))</f>
        <v/>
      </c>
      <c r="AC610" s="7" t="str">
        <f aca="false">IF(H610="","",VALUE(MID(H610,FIND("/",H610,FIND("/",H610)+1)+1,LEN(H610)-FIND("/",H610,FIND("/",H610)+1))))</f>
        <v/>
      </c>
      <c r="AD610" s="7" t="str">
        <f aca="false">IF(OR(H610="",AA610=""),"",IFERROR(INDEX('لیست‌ها'!$Q$3:$Q$53,MATCH(AA610,'لیست‌ها'!$P$3:$P$53,0))+IF(AB610&lt;=6,(AB610-1)*31+AC610,IF(AB610&lt;=11,186+(AB610-7)*30+AC610,336+AC610))-1,""))</f>
        <v/>
      </c>
      <c r="AE610" s="7" t="str">
        <f aca="false">IF(P610="","",VALUE(LEFT(P610,FIND("/",P610)-1)))</f>
        <v/>
      </c>
      <c r="AF610" s="7" t="str">
        <f aca="false">IF(P610="","",VALUE(MID(P610,FIND("/",P610)+1,FIND("/",P610,FIND("/",P610)+1)-FIND("/",P610)-1)))</f>
        <v/>
      </c>
      <c r="AG610" s="7" t="str">
        <f aca="false">IF(P610="","",VALUE(MID(P610,FIND("/",P610,FIND("/",P610)+1)+1,LEN(P610)-FIND("/",P610,FIND("/",P610)+1))))</f>
        <v/>
      </c>
      <c r="AH610" s="7" t="str">
        <f aca="false">IF(OR(P610="",AE610=""),"",IFERROR(INDEX('لیست‌ها'!$Q$3:$Q$53,MATCH(AE610,'لیست‌ها'!$P$3:$P$53,0))+IF(AF610&lt;=6,(AF610-1)*31+AG610,IF(AF610&lt;=11,186+(AF610-7)*30+AG610,336+AG610))-1,""))</f>
        <v/>
      </c>
      <c r="AI610" s="7" t="str">
        <f aca="false">IF(W610="","",W610&amp;"-"&amp;TEXT(X610,"00"))</f>
        <v/>
      </c>
      <c r="AJ610" s="7" t="str">
        <f aca="false">IF(W610="","",W610*12+X610)</f>
        <v/>
      </c>
      <c r="AK610" s="7" t="str">
        <f aca="false">IF(U610="تاخیر",V610+ROW()/100000,"")</f>
        <v/>
      </c>
    </row>
    <row r="611" customFormat="false" ht="15" hidden="false" customHeight="false" outlineLevel="0" collapsed="false">
      <c r="A611" s="7" t="str">
        <f aca="false">IF(B611="","",ROW()-3)</f>
        <v/>
      </c>
      <c r="B611" s="8"/>
      <c r="C611" s="8"/>
      <c r="D611" s="8"/>
      <c r="E611" s="9"/>
      <c r="F611" s="9"/>
      <c r="G611" s="8"/>
      <c r="H611" s="8"/>
      <c r="I611" s="8"/>
      <c r="J611" s="9"/>
      <c r="K611" s="8"/>
      <c r="L611" s="8"/>
      <c r="M611" s="8"/>
      <c r="N611" s="8"/>
      <c r="O611" s="8"/>
      <c r="P611" s="8"/>
      <c r="Q611" s="8"/>
      <c r="R611" s="9"/>
      <c r="S611" s="8"/>
      <c r="T611" s="9"/>
      <c r="U611" s="10" t="str">
        <f aca="true">IF(B611="","",IF(OR(P611&lt;&gt;"",I611="می‌باشد"),"بسته",IF(AND(L611&lt;&gt;"",W611=""),"خطای فرمت تاریخ ایجاد",IF(AND(H611&lt;&gt;"",AA611=""),"خطای فرمت مهلت",IF(AND(H611&lt;&gt;"",AD611&lt;&gt;"",TODAY()&gt;AD611),"تاخیر",IF(L611&lt;&gt;"","در حال انجام",""))))))</f>
        <v/>
      </c>
      <c r="V611" s="7" t="n">
        <f aca="true">IF(U611="تاخیر",TODAY()-AD611,IF(AND(U611="بسته",AH611&lt;&gt;"",AD611&lt;&gt;"",AH611&gt;AD611),AH611-AD611,0))</f>
        <v>0</v>
      </c>
      <c r="W611" s="7" t="str">
        <f aca="false">IF(L611="","",VALUE(LEFT(L611,FIND("/",L611)-1)))</f>
        <v/>
      </c>
      <c r="X611" s="7" t="str">
        <f aca="false">IF(L611="","",VALUE(MID(L611,FIND("/",L611)+1,FIND("/",L611,FIND("/",L611)+1)-FIND("/",L611)-1)))</f>
        <v/>
      </c>
      <c r="Y611" s="7" t="str">
        <f aca="false">IF(L611="","",VALUE(MID(L611,FIND("/",L611,FIND("/",L611)+1)+1,LEN(L611)-FIND("/",L611,FIND("/",L611)+1))))</f>
        <v/>
      </c>
      <c r="Z611" s="7" t="str">
        <f aca="false">IF(OR(L611="",W611=""),"",IFERROR(INDEX('لیست‌ها'!$Q$3:$Q$53,MATCH(W611,'لیست‌ها'!$P$3:$P$53,0))+IF(X611&lt;=6,(X611-1)*31+Y611,IF(X611&lt;=11,186+(X611-7)*30+Y611,336+Y611))-1,""))</f>
        <v/>
      </c>
      <c r="AA611" s="7" t="str">
        <f aca="false">IF(H611="","",VALUE(LEFT(H611,FIND("/",H611)-1)))</f>
        <v/>
      </c>
      <c r="AB611" s="7" t="str">
        <f aca="false">IF(H611="","",VALUE(MID(H611,FIND("/",H611)+1,FIND("/",H611,FIND("/",H611)+1)-FIND("/",H611)-1)))</f>
        <v/>
      </c>
      <c r="AC611" s="7" t="str">
        <f aca="false">IF(H611="","",VALUE(MID(H611,FIND("/",H611,FIND("/",H611)+1)+1,LEN(H611)-FIND("/",H611,FIND("/",H611)+1))))</f>
        <v/>
      </c>
      <c r="AD611" s="7" t="str">
        <f aca="false">IF(OR(H611="",AA611=""),"",IFERROR(INDEX('لیست‌ها'!$Q$3:$Q$53,MATCH(AA611,'لیست‌ها'!$P$3:$P$53,0))+IF(AB611&lt;=6,(AB611-1)*31+AC611,IF(AB611&lt;=11,186+(AB611-7)*30+AC611,336+AC611))-1,""))</f>
        <v/>
      </c>
      <c r="AE611" s="7" t="str">
        <f aca="false">IF(P611="","",VALUE(LEFT(P611,FIND("/",P611)-1)))</f>
        <v/>
      </c>
      <c r="AF611" s="7" t="str">
        <f aca="false">IF(P611="","",VALUE(MID(P611,FIND("/",P611)+1,FIND("/",P611,FIND("/",P611)+1)-FIND("/",P611)-1)))</f>
        <v/>
      </c>
      <c r="AG611" s="7" t="str">
        <f aca="false">IF(P611="","",VALUE(MID(P611,FIND("/",P611,FIND("/",P611)+1)+1,LEN(P611)-FIND("/",P611,FIND("/",P611)+1))))</f>
        <v/>
      </c>
      <c r="AH611" s="7" t="str">
        <f aca="false">IF(OR(P611="",AE611=""),"",IFERROR(INDEX('لیست‌ها'!$Q$3:$Q$53,MATCH(AE611,'لیست‌ها'!$P$3:$P$53,0))+IF(AF611&lt;=6,(AF611-1)*31+AG611,IF(AF611&lt;=11,186+(AF611-7)*30+AG611,336+AG611))-1,""))</f>
        <v/>
      </c>
      <c r="AI611" s="7" t="str">
        <f aca="false">IF(W611="","",W611&amp;"-"&amp;TEXT(X611,"00"))</f>
        <v/>
      </c>
      <c r="AJ611" s="7" t="str">
        <f aca="false">IF(W611="","",W611*12+X611)</f>
        <v/>
      </c>
      <c r="AK611" s="7" t="str">
        <f aca="false">IF(U611="تاخیر",V611+ROW()/100000,"")</f>
        <v/>
      </c>
    </row>
    <row r="612" customFormat="false" ht="15" hidden="false" customHeight="false" outlineLevel="0" collapsed="false">
      <c r="A612" s="7" t="str">
        <f aca="false">IF(B612="","",ROW()-3)</f>
        <v/>
      </c>
      <c r="B612" s="8"/>
      <c r="C612" s="8"/>
      <c r="D612" s="8"/>
      <c r="E612" s="9"/>
      <c r="F612" s="9"/>
      <c r="G612" s="8"/>
      <c r="H612" s="8"/>
      <c r="I612" s="8"/>
      <c r="J612" s="9"/>
      <c r="K612" s="8"/>
      <c r="L612" s="8"/>
      <c r="M612" s="8"/>
      <c r="N612" s="8"/>
      <c r="O612" s="8"/>
      <c r="P612" s="8"/>
      <c r="Q612" s="8"/>
      <c r="R612" s="9"/>
      <c r="S612" s="8"/>
      <c r="T612" s="9"/>
      <c r="U612" s="10" t="str">
        <f aca="true">IF(B612="","",IF(OR(P612&lt;&gt;"",I612="می‌باشد"),"بسته",IF(AND(L612&lt;&gt;"",W612=""),"خطای فرمت تاریخ ایجاد",IF(AND(H612&lt;&gt;"",AA612=""),"خطای فرمت مهلت",IF(AND(H612&lt;&gt;"",AD612&lt;&gt;"",TODAY()&gt;AD612),"تاخیر",IF(L612&lt;&gt;"","در حال انجام",""))))))</f>
        <v/>
      </c>
      <c r="V612" s="7" t="n">
        <f aca="true">IF(U612="تاخیر",TODAY()-AD612,IF(AND(U612="بسته",AH612&lt;&gt;"",AD612&lt;&gt;"",AH612&gt;AD612),AH612-AD612,0))</f>
        <v>0</v>
      </c>
      <c r="W612" s="7" t="str">
        <f aca="false">IF(L612="","",VALUE(LEFT(L612,FIND("/",L612)-1)))</f>
        <v/>
      </c>
      <c r="X612" s="7" t="str">
        <f aca="false">IF(L612="","",VALUE(MID(L612,FIND("/",L612)+1,FIND("/",L612,FIND("/",L612)+1)-FIND("/",L612)-1)))</f>
        <v/>
      </c>
      <c r="Y612" s="7" t="str">
        <f aca="false">IF(L612="","",VALUE(MID(L612,FIND("/",L612,FIND("/",L612)+1)+1,LEN(L612)-FIND("/",L612,FIND("/",L612)+1))))</f>
        <v/>
      </c>
      <c r="Z612" s="7" t="str">
        <f aca="false">IF(OR(L612="",W612=""),"",IFERROR(INDEX('لیست‌ها'!$Q$3:$Q$53,MATCH(W612,'لیست‌ها'!$P$3:$P$53,0))+IF(X612&lt;=6,(X612-1)*31+Y612,IF(X612&lt;=11,186+(X612-7)*30+Y612,336+Y612))-1,""))</f>
        <v/>
      </c>
      <c r="AA612" s="7" t="str">
        <f aca="false">IF(H612="","",VALUE(LEFT(H612,FIND("/",H612)-1)))</f>
        <v/>
      </c>
      <c r="AB612" s="7" t="str">
        <f aca="false">IF(H612="","",VALUE(MID(H612,FIND("/",H612)+1,FIND("/",H612,FIND("/",H612)+1)-FIND("/",H612)-1)))</f>
        <v/>
      </c>
      <c r="AC612" s="7" t="str">
        <f aca="false">IF(H612="","",VALUE(MID(H612,FIND("/",H612,FIND("/",H612)+1)+1,LEN(H612)-FIND("/",H612,FIND("/",H612)+1))))</f>
        <v/>
      </c>
      <c r="AD612" s="7" t="str">
        <f aca="false">IF(OR(H612="",AA612=""),"",IFERROR(INDEX('لیست‌ها'!$Q$3:$Q$53,MATCH(AA612,'لیست‌ها'!$P$3:$P$53,0))+IF(AB612&lt;=6,(AB612-1)*31+AC612,IF(AB612&lt;=11,186+(AB612-7)*30+AC612,336+AC612))-1,""))</f>
        <v/>
      </c>
      <c r="AE612" s="7" t="str">
        <f aca="false">IF(P612="","",VALUE(LEFT(P612,FIND("/",P612)-1)))</f>
        <v/>
      </c>
      <c r="AF612" s="7" t="str">
        <f aca="false">IF(P612="","",VALUE(MID(P612,FIND("/",P612)+1,FIND("/",P612,FIND("/",P612)+1)-FIND("/",P612)-1)))</f>
        <v/>
      </c>
      <c r="AG612" s="7" t="str">
        <f aca="false">IF(P612="","",VALUE(MID(P612,FIND("/",P612,FIND("/",P612)+1)+1,LEN(P612)-FIND("/",P612,FIND("/",P612)+1))))</f>
        <v/>
      </c>
      <c r="AH612" s="7" t="str">
        <f aca="false">IF(OR(P612="",AE612=""),"",IFERROR(INDEX('لیست‌ها'!$Q$3:$Q$53,MATCH(AE612,'لیست‌ها'!$P$3:$P$53,0))+IF(AF612&lt;=6,(AF612-1)*31+AG612,IF(AF612&lt;=11,186+(AF612-7)*30+AG612,336+AG612))-1,""))</f>
        <v/>
      </c>
      <c r="AI612" s="7" t="str">
        <f aca="false">IF(W612="","",W612&amp;"-"&amp;TEXT(X612,"00"))</f>
        <v/>
      </c>
      <c r="AJ612" s="7" t="str">
        <f aca="false">IF(W612="","",W612*12+X612)</f>
        <v/>
      </c>
      <c r="AK612" s="7" t="str">
        <f aca="false">IF(U612="تاخیر",V612+ROW()/100000,"")</f>
        <v/>
      </c>
    </row>
    <row r="613" customFormat="false" ht="15" hidden="false" customHeight="false" outlineLevel="0" collapsed="false">
      <c r="A613" s="7" t="str">
        <f aca="false">IF(B613="","",ROW()-3)</f>
        <v/>
      </c>
      <c r="B613" s="8"/>
      <c r="C613" s="8"/>
      <c r="D613" s="8"/>
      <c r="E613" s="9"/>
      <c r="F613" s="9"/>
      <c r="G613" s="8"/>
      <c r="H613" s="8"/>
      <c r="I613" s="8"/>
      <c r="J613" s="9"/>
      <c r="K613" s="8"/>
      <c r="L613" s="8"/>
      <c r="M613" s="8"/>
      <c r="N613" s="8"/>
      <c r="O613" s="8"/>
      <c r="P613" s="8"/>
      <c r="Q613" s="8"/>
      <c r="R613" s="9"/>
      <c r="S613" s="8"/>
      <c r="T613" s="9"/>
      <c r="U613" s="10" t="str">
        <f aca="true">IF(B613="","",IF(OR(P613&lt;&gt;"",I613="می‌باشد"),"بسته",IF(AND(L613&lt;&gt;"",W613=""),"خطای فرمت تاریخ ایجاد",IF(AND(H613&lt;&gt;"",AA613=""),"خطای فرمت مهلت",IF(AND(H613&lt;&gt;"",AD613&lt;&gt;"",TODAY()&gt;AD613),"تاخیر",IF(L613&lt;&gt;"","در حال انجام",""))))))</f>
        <v/>
      </c>
      <c r="V613" s="7" t="n">
        <f aca="true">IF(U613="تاخیر",TODAY()-AD613,IF(AND(U613="بسته",AH613&lt;&gt;"",AD613&lt;&gt;"",AH613&gt;AD613),AH613-AD613,0))</f>
        <v>0</v>
      </c>
      <c r="W613" s="7" t="str">
        <f aca="false">IF(L613="","",VALUE(LEFT(L613,FIND("/",L613)-1)))</f>
        <v/>
      </c>
      <c r="X613" s="7" t="str">
        <f aca="false">IF(L613="","",VALUE(MID(L613,FIND("/",L613)+1,FIND("/",L613,FIND("/",L613)+1)-FIND("/",L613)-1)))</f>
        <v/>
      </c>
      <c r="Y613" s="7" t="str">
        <f aca="false">IF(L613="","",VALUE(MID(L613,FIND("/",L613,FIND("/",L613)+1)+1,LEN(L613)-FIND("/",L613,FIND("/",L613)+1))))</f>
        <v/>
      </c>
      <c r="Z613" s="7" t="str">
        <f aca="false">IF(OR(L613="",W613=""),"",IFERROR(INDEX('لیست‌ها'!$Q$3:$Q$53,MATCH(W613,'لیست‌ها'!$P$3:$P$53,0))+IF(X613&lt;=6,(X613-1)*31+Y613,IF(X613&lt;=11,186+(X613-7)*30+Y613,336+Y613))-1,""))</f>
        <v/>
      </c>
      <c r="AA613" s="7" t="str">
        <f aca="false">IF(H613="","",VALUE(LEFT(H613,FIND("/",H613)-1)))</f>
        <v/>
      </c>
      <c r="AB613" s="7" t="str">
        <f aca="false">IF(H613="","",VALUE(MID(H613,FIND("/",H613)+1,FIND("/",H613,FIND("/",H613)+1)-FIND("/",H613)-1)))</f>
        <v/>
      </c>
      <c r="AC613" s="7" t="str">
        <f aca="false">IF(H613="","",VALUE(MID(H613,FIND("/",H613,FIND("/",H613)+1)+1,LEN(H613)-FIND("/",H613,FIND("/",H613)+1))))</f>
        <v/>
      </c>
      <c r="AD613" s="7" t="str">
        <f aca="false">IF(OR(H613="",AA613=""),"",IFERROR(INDEX('لیست‌ها'!$Q$3:$Q$53,MATCH(AA613,'لیست‌ها'!$P$3:$P$53,0))+IF(AB613&lt;=6,(AB613-1)*31+AC613,IF(AB613&lt;=11,186+(AB613-7)*30+AC613,336+AC613))-1,""))</f>
        <v/>
      </c>
      <c r="AE613" s="7" t="str">
        <f aca="false">IF(P613="","",VALUE(LEFT(P613,FIND("/",P613)-1)))</f>
        <v/>
      </c>
      <c r="AF613" s="7" t="str">
        <f aca="false">IF(P613="","",VALUE(MID(P613,FIND("/",P613)+1,FIND("/",P613,FIND("/",P613)+1)-FIND("/",P613)-1)))</f>
        <v/>
      </c>
      <c r="AG613" s="7" t="str">
        <f aca="false">IF(P613="","",VALUE(MID(P613,FIND("/",P613,FIND("/",P613)+1)+1,LEN(P613)-FIND("/",P613,FIND("/",P613)+1))))</f>
        <v/>
      </c>
      <c r="AH613" s="7" t="str">
        <f aca="false">IF(OR(P613="",AE613=""),"",IFERROR(INDEX('لیست‌ها'!$Q$3:$Q$53,MATCH(AE613,'لیست‌ها'!$P$3:$P$53,0))+IF(AF613&lt;=6,(AF613-1)*31+AG613,IF(AF613&lt;=11,186+(AF613-7)*30+AG613,336+AG613))-1,""))</f>
        <v/>
      </c>
      <c r="AI613" s="7" t="str">
        <f aca="false">IF(W613="","",W613&amp;"-"&amp;TEXT(X613,"00"))</f>
        <v/>
      </c>
      <c r="AJ613" s="7" t="str">
        <f aca="false">IF(W613="","",W613*12+X613)</f>
        <v/>
      </c>
      <c r="AK613" s="7" t="str">
        <f aca="false">IF(U613="تاخیر",V613+ROW()/100000,"")</f>
        <v/>
      </c>
    </row>
    <row r="614" customFormat="false" ht="15" hidden="false" customHeight="false" outlineLevel="0" collapsed="false">
      <c r="A614" s="7" t="str">
        <f aca="false">IF(B614="","",ROW()-3)</f>
        <v/>
      </c>
      <c r="B614" s="8"/>
      <c r="C614" s="8"/>
      <c r="D614" s="8"/>
      <c r="E614" s="9"/>
      <c r="F614" s="9"/>
      <c r="G614" s="8"/>
      <c r="H614" s="8"/>
      <c r="I614" s="8"/>
      <c r="J614" s="9"/>
      <c r="K614" s="8"/>
      <c r="L614" s="8"/>
      <c r="M614" s="8"/>
      <c r="N614" s="8"/>
      <c r="O614" s="8"/>
      <c r="P614" s="8"/>
      <c r="Q614" s="8"/>
      <c r="R614" s="9"/>
      <c r="S614" s="8"/>
      <c r="T614" s="9"/>
      <c r="U614" s="10" t="str">
        <f aca="true">IF(B614="","",IF(OR(P614&lt;&gt;"",I614="می‌باشد"),"بسته",IF(AND(L614&lt;&gt;"",W614=""),"خطای فرمت تاریخ ایجاد",IF(AND(H614&lt;&gt;"",AA614=""),"خطای فرمت مهلت",IF(AND(H614&lt;&gt;"",AD614&lt;&gt;"",TODAY()&gt;AD614),"تاخیر",IF(L614&lt;&gt;"","در حال انجام",""))))))</f>
        <v/>
      </c>
      <c r="V614" s="7" t="n">
        <f aca="true">IF(U614="تاخیر",TODAY()-AD614,IF(AND(U614="بسته",AH614&lt;&gt;"",AD614&lt;&gt;"",AH614&gt;AD614),AH614-AD614,0))</f>
        <v>0</v>
      </c>
      <c r="W614" s="7" t="str">
        <f aca="false">IF(L614="","",VALUE(LEFT(L614,FIND("/",L614)-1)))</f>
        <v/>
      </c>
      <c r="X614" s="7" t="str">
        <f aca="false">IF(L614="","",VALUE(MID(L614,FIND("/",L614)+1,FIND("/",L614,FIND("/",L614)+1)-FIND("/",L614)-1)))</f>
        <v/>
      </c>
      <c r="Y614" s="7" t="str">
        <f aca="false">IF(L614="","",VALUE(MID(L614,FIND("/",L614,FIND("/",L614)+1)+1,LEN(L614)-FIND("/",L614,FIND("/",L614)+1))))</f>
        <v/>
      </c>
      <c r="Z614" s="7" t="str">
        <f aca="false">IF(OR(L614="",W614=""),"",IFERROR(INDEX('لیست‌ها'!$Q$3:$Q$53,MATCH(W614,'لیست‌ها'!$P$3:$P$53,0))+IF(X614&lt;=6,(X614-1)*31+Y614,IF(X614&lt;=11,186+(X614-7)*30+Y614,336+Y614))-1,""))</f>
        <v/>
      </c>
      <c r="AA614" s="7" t="str">
        <f aca="false">IF(H614="","",VALUE(LEFT(H614,FIND("/",H614)-1)))</f>
        <v/>
      </c>
      <c r="AB614" s="7" t="str">
        <f aca="false">IF(H614="","",VALUE(MID(H614,FIND("/",H614)+1,FIND("/",H614,FIND("/",H614)+1)-FIND("/",H614)-1)))</f>
        <v/>
      </c>
      <c r="AC614" s="7" t="str">
        <f aca="false">IF(H614="","",VALUE(MID(H614,FIND("/",H614,FIND("/",H614)+1)+1,LEN(H614)-FIND("/",H614,FIND("/",H614)+1))))</f>
        <v/>
      </c>
      <c r="AD614" s="7" t="str">
        <f aca="false">IF(OR(H614="",AA614=""),"",IFERROR(INDEX('لیست‌ها'!$Q$3:$Q$53,MATCH(AA614,'لیست‌ها'!$P$3:$P$53,0))+IF(AB614&lt;=6,(AB614-1)*31+AC614,IF(AB614&lt;=11,186+(AB614-7)*30+AC614,336+AC614))-1,""))</f>
        <v/>
      </c>
      <c r="AE614" s="7" t="str">
        <f aca="false">IF(P614="","",VALUE(LEFT(P614,FIND("/",P614)-1)))</f>
        <v/>
      </c>
      <c r="AF614" s="7" t="str">
        <f aca="false">IF(P614="","",VALUE(MID(P614,FIND("/",P614)+1,FIND("/",P614,FIND("/",P614)+1)-FIND("/",P614)-1)))</f>
        <v/>
      </c>
      <c r="AG614" s="7" t="str">
        <f aca="false">IF(P614="","",VALUE(MID(P614,FIND("/",P614,FIND("/",P614)+1)+1,LEN(P614)-FIND("/",P614,FIND("/",P614)+1))))</f>
        <v/>
      </c>
      <c r="AH614" s="7" t="str">
        <f aca="false">IF(OR(P614="",AE614=""),"",IFERROR(INDEX('لیست‌ها'!$Q$3:$Q$53,MATCH(AE614,'لیست‌ها'!$P$3:$P$53,0))+IF(AF614&lt;=6,(AF614-1)*31+AG614,IF(AF614&lt;=11,186+(AF614-7)*30+AG614,336+AG614))-1,""))</f>
        <v/>
      </c>
      <c r="AI614" s="7" t="str">
        <f aca="false">IF(W614="","",W614&amp;"-"&amp;TEXT(X614,"00"))</f>
        <v/>
      </c>
      <c r="AJ614" s="7" t="str">
        <f aca="false">IF(W614="","",W614*12+X614)</f>
        <v/>
      </c>
      <c r="AK614" s="7" t="str">
        <f aca="false">IF(U614="تاخیر",V614+ROW()/100000,"")</f>
        <v/>
      </c>
    </row>
    <row r="615" customFormat="false" ht="15" hidden="false" customHeight="false" outlineLevel="0" collapsed="false">
      <c r="A615" s="7" t="str">
        <f aca="false">IF(B615="","",ROW()-3)</f>
        <v/>
      </c>
      <c r="B615" s="8"/>
      <c r="C615" s="8"/>
      <c r="D615" s="8"/>
      <c r="E615" s="9"/>
      <c r="F615" s="9"/>
      <c r="G615" s="8"/>
      <c r="H615" s="8"/>
      <c r="I615" s="8"/>
      <c r="J615" s="9"/>
      <c r="K615" s="8"/>
      <c r="L615" s="8"/>
      <c r="M615" s="8"/>
      <c r="N615" s="8"/>
      <c r="O615" s="8"/>
      <c r="P615" s="8"/>
      <c r="Q615" s="8"/>
      <c r="R615" s="9"/>
      <c r="S615" s="8"/>
      <c r="T615" s="9"/>
      <c r="U615" s="10" t="str">
        <f aca="true">IF(B615="","",IF(OR(P615&lt;&gt;"",I615="می‌باشد"),"بسته",IF(AND(L615&lt;&gt;"",W615=""),"خطای فرمت تاریخ ایجاد",IF(AND(H615&lt;&gt;"",AA615=""),"خطای فرمت مهلت",IF(AND(H615&lt;&gt;"",AD615&lt;&gt;"",TODAY()&gt;AD615),"تاخیر",IF(L615&lt;&gt;"","در حال انجام",""))))))</f>
        <v/>
      </c>
      <c r="V615" s="7" t="n">
        <f aca="true">IF(U615="تاخیر",TODAY()-AD615,IF(AND(U615="بسته",AH615&lt;&gt;"",AD615&lt;&gt;"",AH615&gt;AD615),AH615-AD615,0))</f>
        <v>0</v>
      </c>
      <c r="W615" s="7" t="str">
        <f aca="false">IF(L615="","",VALUE(LEFT(L615,FIND("/",L615)-1)))</f>
        <v/>
      </c>
      <c r="X615" s="7" t="str">
        <f aca="false">IF(L615="","",VALUE(MID(L615,FIND("/",L615)+1,FIND("/",L615,FIND("/",L615)+1)-FIND("/",L615)-1)))</f>
        <v/>
      </c>
      <c r="Y615" s="7" t="str">
        <f aca="false">IF(L615="","",VALUE(MID(L615,FIND("/",L615,FIND("/",L615)+1)+1,LEN(L615)-FIND("/",L615,FIND("/",L615)+1))))</f>
        <v/>
      </c>
      <c r="Z615" s="7" t="str">
        <f aca="false">IF(OR(L615="",W615=""),"",IFERROR(INDEX('لیست‌ها'!$Q$3:$Q$53,MATCH(W615,'لیست‌ها'!$P$3:$P$53,0))+IF(X615&lt;=6,(X615-1)*31+Y615,IF(X615&lt;=11,186+(X615-7)*30+Y615,336+Y615))-1,""))</f>
        <v/>
      </c>
      <c r="AA615" s="7" t="str">
        <f aca="false">IF(H615="","",VALUE(LEFT(H615,FIND("/",H615)-1)))</f>
        <v/>
      </c>
      <c r="AB615" s="7" t="str">
        <f aca="false">IF(H615="","",VALUE(MID(H615,FIND("/",H615)+1,FIND("/",H615,FIND("/",H615)+1)-FIND("/",H615)-1)))</f>
        <v/>
      </c>
      <c r="AC615" s="7" t="str">
        <f aca="false">IF(H615="","",VALUE(MID(H615,FIND("/",H615,FIND("/",H615)+1)+1,LEN(H615)-FIND("/",H615,FIND("/",H615)+1))))</f>
        <v/>
      </c>
      <c r="AD615" s="7" t="str">
        <f aca="false">IF(OR(H615="",AA615=""),"",IFERROR(INDEX('لیست‌ها'!$Q$3:$Q$53,MATCH(AA615,'لیست‌ها'!$P$3:$P$53,0))+IF(AB615&lt;=6,(AB615-1)*31+AC615,IF(AB615&lt;=11,186+(AB615-7)*30+AC615,336+AC615))-1,""))</f>
        <v/>
      </c>
      <c r="AE615" s="7" t="str">
        <f aca="false">IF(P615="","",VALUE(LEFT(P615,FIND("/",P615)-1)))</f>
        <v/>
      </c>
      <c r="AF615" s="7" t="str">
        <f aca="false">IF(P615="","",VALUE(MID(P615,FIND("/",P615)+1,FIND("/",P615,FIND("/",P615)+1)-FIND("/",P615)-1)))</f>
        <v/>
      </c>
      <c r="AG615" s="7" t="str">
        <f aca="false">IF(P615="","",VALUE(MID(P615,FIND("/",P615,FIND("/",P615)+1)+1,LEN(P615)-FIND("/",P615,FIND("/",P615)+1))))</f>
        <v/>
      </c>
      <c r="AH615" s="7" t="str">
        <f aca="false">IF(OR(P615="",AE615=""),"",IFERROR(INDEX('لیست‌ها'!$Q$3:$Q$53,MATCH(AE615,'لیست‌ها'!$P$3:$P$53,0))+IF(AF615&lt;=6,(AF615-1)*31+AG615,IF(AF615&lt;=11,186+(AF615-7)*30+AG615,336+AG615))-1,""))</f>
        <v/>
      </c>
      <c r="AI615" s="7" t="str">
        <f aca="false">IF(W615="","",W615&amp;"-"&amp;TEXT(X615,"00"))</f>
        <v/>
      </c>
      <c r="AJ615" s="7" t="str">
        <f aca="false">IF(W615="","",W615*12+X615)</f>
        <v/>
      </c>
      <c r="AK615" s="7" t="str">
        <f aca="false">IF(U615="تاخیر",V615+ROW()/100000,"")</f>
        <v/>
      </c>
    </row>
    <row r="616" customFormat="false" ht="15" hidden="false" customHeight="false" outlineLevel="0" collapsed="false">
      <c r="A616" s="7" t="str">
        <f aca="false">IF(B616="","",ROW()-3)</f>
        <v/>
      </c>
      <c r="B616" s="8"/>
      <c r="C616" s="8"/>
      <c r="D616" s="8"/>
      <c r="E616" s="9"/>
      <c r="F616" s="9"/>
      <c r="G616" s="8"/>
      <c r="H616" s="8"/>
      <c r="I616" s="8"/>
      <c r="J616" s="9"/>
      <c r="K616" s="8"/>
      <c r="L616" s="8"/>
      <c r="M616" s="8"/>
      <c r="N616" s="8"/>
      <c r="O616" s="8"/>
      <c r="P616" s="8"/>
      <c r="Q616" s="8"/>
      <c r="R616" s="9"/>
      <c r="S616" s="8"/>
      <c r="T616" s="9"/>
      <c r="U616" s="10" t="str">
        <f aca="true">IF(B616="","",IF(OR(P616&lt;&gt;"",I616="می‌باشد"),"بسته",IF(AND(L616&lt;&gt;"",W616=""),"خطای فرمت تاریخ ایجاد",IF(AND(H616&lt;&gt;"",AA616=""),"خطای فرمت مهلت",IF(AND(H616&lt;&gt;"",AD616&lt;&gt;"",TODAY()&gt;AD616),"تاخیر",IF(L616&lt;&gt;"","در حال انجام",""))))))</f>
        <v/>
      </c>
      <c r="V616" s="7" t="n">
        <f aca="true">IF(U616="تاخیر",TODAY()-AD616,IF(AND(U616="بسته",AH616&lt;&gt;"",AD616&lt;&gt;"",AH616&gt;AD616),AH616-AD616,0))</f>
        <v>0</v>
      </c>
      <c r="W616" s="7" t="str">
        <f aca="false">IF(L616="","",VALUE(LEFT(L616,FIND("/",L616)-1)))</f>
        <v/>
      </c>
      <c r="X616" s="7" t="str">
        <f aca="false">IF(L616="","",VALUE(MID(L616,FIND("/",L616)+1,FIND("/",L616,FIND("/",L616)+1)-FIND("/",L616)-1)))</f>
        <v/>
      </c>
      <c r="Y616" s="7" t="str">
        <f aca="false">IF(L616="","",VALUE(MID(L616,FIND("/",L616,FIND("/",L616)+1)+1,LEN(L616)-FIND("/",L616,FIND("/",L616)+1))))</f>
        <v/>
      </c>
      <c r="Z616" s="7" t="str">
        <f aca="false">IF(OR(L616="",W616=""),"",IFERROR(INDEX('لیست‌ها'!$Q$3:$Q$53,MATCH(W616,'لیست‌ها'!$P$3:$P$53,0))+IF(X616&lt;=6,(X616-1)*31+Y616,IF(X616&lt;=11,186+(X616-7)*30+Y616,336+Y616))-1,""))</f>
        <v/>
      </c>
      <c r="AA616" s="7" t="str">
        <f aca="false">IF(H616="","",VALUE(LEFT(H616,FIND("/",H616)-1)))</f>
        <v/>
      </c>
      <c r="AB616" s="7" t="str">
        <f aca="false">IF(H616="","",VALUE(MID(H616,FIND("/",H616)+1,FIND("/",H616,FIND("/",H616)+1)-FIND("/",H616)-1)))</f>
        <v/>
      </c>
      <c r="AC616" s="7" t="str">
        <f aca="false">IF(H616="","",VALUE(MID(H616,FIND("/",H616,FIND("/",H616)+1)+1,LEN(H616)-FIND("/",H616,FIND("/",H616)+1))))</f>
        <v/>
      </c>
      <c r="AD616" s="7" t="str">
        <f aca="false">IF(OR(H616="",AA616=""),"",IFERROR(INDEX('لیست‌ها'!$Q$3:$Q$53,MATCH(AA616,'لیست‌ها'!$P$3:$P$53,0))+IF(AB616&lt;=6,(AB616-1)*31+AC616,IF(AB616&lt;=11,186+(AB616-7)*30+AC616,336+AC616))-1,""))</f>
        <v/>
      </c>
      <c r="AE616" s="7" t="str">
        <f aca="false">IF(P616="","",VALUE(LEFT(P616,FIND("/",P616)-1)))</f>
        <v/>
      </c>
      <c r="AF616" s="7" t="str">
        <f aca="false">IF(P616="","",VALUE(MID(P616,FIND("/",P616)+1,FIND("/",P616,FIND("/",P616)+1)-FIND("/",P616)-1)))</f>
        <v/>
      </c>
      <c r="AG616" s="7" t="str">
        <f aca="false">IF(P616="","",VALUE(MID(P616,FIND("/",P616,FIND("/",P616)+1)+1,LEN(P616)-FIND("/",P616,FIND("/",P616)+1))))</f>
        <v/>
      </c>
      <c r="AH616" s="7" t="str">
        <f aca="false">IF(OR(P616="",AE616=""),"",IFERROR(INDEX('لیست‌ها'!$Q$3:$Q$53,MATCH(AE616,'لیست‌ها'!$P$3:$P$53,0))+IF(AF616&lt;=6,(AF616-1)*31+AG616,IF(AF616&lt;=11,186+(AF616-7)*30+AG616,336+AG616))-1,""))</f>
        <v/>
      </c>
      <c r="AI616" s="7" t="str">
        <f aca="false">IF(W616="","",W616&amp;"-"&amp;TEXT(X616,"00"))</f>
        <v/>
      </c>
      <c r="AJ616" s="7" t="str">
        <f aca="false">IF(W616="","",W616*12+X616)</f>
        <v/>
      </c>
      <c r="AK616" s="7" t="str">
        <f aca="false">IF(U616="تاخیر",V616+ROW()/100000,"")</f>
        <v/>
      </c>
    </row>
    <row r="617" customFormat="false" ht="15" hidden="false" customHeight="false" outlineLevel="0" collapsed="false">
      <c r="A617" s="7" t="str">
        <f aca="false">IF(B617="","",ROW()-3)</f>
        <v/>
      </c>
      <c r="B617" s="8"/>
      <c r="C617" s="8"/>
      <c r="D617" s="8"/>
      <c r="E617" s="9"/>
      <c r="F617" s="9"/>
      <c r="G617" s="8"/>
      <c r="H617" s="8"/>
      <c r="I617" s="8"/>
      <c r="J617" s="9"/>
      <c r="K617" s="8"/>
      <c r="L617" s="8"/>
      <c r="M617" s="8"/>
      <c r="N617" s="8"/>
      <c r="O617" s="8"/>
      <c r="P617" s="8"/>
      <c r="Q617" s="8"/>
      <c r="R617" s="9"/>
      <c r="S617" s="8"/>
      <c r="T617" s="9"/>
      <c r="U617" s="10" t="str">
        <f aca="true">IF(B617="","",IF(OR(P617&lt;&gt;"",I617="می‌باشد"),"بسته",IF(AND(L617&lt;&gt;"",W617=""),"خطای فرمت تاریخ ایجاد",IF(AND(H617&lt;&gt;"",AA617=""),"خطای فرمت مهلت",IF(AND(H617&lt;&gt;"",AD617&lt;&gt;"",TODAY()&gt;AD617),"تاخیر",IF(L617&lt;&gt;"","در حال انجام",""))))))</f>
        <v/>
      </c>
      <c r="V617" s="7" t="n">
        <f aca="true">IF(U617="تاخیر",TODAY()-AD617,IF(AND(U617="بسته",AH617&lt;&gt;"",AD617&lt;&gt;"",AH617&gt;AD617),AH617-AD617,0))</f>
        <v>0</v>
      </c>
      <c r="W617" s="7" t="str">
        <f aca="false">IF(L617="","",VALUE(LEFT(L617,FIND("/",L617)-1)))</f>
        <v/>
      </c>
      <c r="X617" s="7" t="str">
        <f aca="false">IF(L617="","",VALUE(MID(L617,FIND("/",L617)+1,FIND("/",L617,FIND("/",L617)+1)-FIND("/",L617)-1)))</f>
        <v/>
      </c>
      <c r="Y617" s="7" t="str">
        <f aca="false">IF(L617="","",VALUE(MID(L617,FIND("/",L617,FIND("/",L617)+1)+1,LEN(L617)-FIND("/",L617,FIND("/",L617)+1))))</f>
        <v/>
      </c>
      <c r="Z617" s="7" t="str">
        <f aca="false">IF(OR(L617="",W617=""),"",IFERROR(INDEX('لیست‌ها'!$Q$3:$Q$53,MATCH(W617,'لیست‌ها'!$P$3:$P$53,0))+IF(X617&lt;=6,(X617-1)*31+Y617,IF(X617&lt;=11,186+(X617-7)*30+Y617,336+Y617))-1,""))</f>
        <v/>
      </c>
      <c r="AA617" s="7" t="str">
        <f aca="false">IF(H617="","",VALUE(LEFT(H617,FIND("/",H617)-1)))</f>
        <v/>
      </c>
      <c r="AB617" s="7" t="str">
        <f aca="false">IF(H617="","",VALUE(MID(H617,FIND("/",H617)+1,FIND("/",H617,FIND("/",H617)+1)-FIND("/",H617)-1)))</f>
        <v/>
      </c>
      <c r="AC617" s="7" t="str">
        <f aca="false">IF(H617="","",VALUE(MID(H617,FIND("/",H617,FIND("/",H617)+1)+1,LEN(H617)-FIND("/",H617,FIND("/",H617)+1))))</f>
        <v/>
      </c>
      <c r="AD617" s="7" t="str">
        <f aca="false">IF(OR(H617="",AA617=""),"",IFERROR(INDEX('لیست‌ها'!$Q$3:$Q$53,MATCH(AA617,'لیست‌ها'!$P$3:$P$53,0))+IF(AB617&lt;=6,(AB617-1)*31+AC617,IF(AB617&lt;=11,186+(AB617-7)*30+AC617,336+AC617))-1,""))</f>
        <v/>
      </c>
      <c r="AE617" s="7" t="str">
        <f aca="false">IF(P617="","",VALUE(LEFT(P617,FIND("/",P617)-1)))</f>
        <v/>
      </c>
      <c r="AF617" s="7" t="str">
        <f aca="false">IF(P617="","",VALUE(MID(P617,FIND("/",P617)+1,FIND("/",P617,FIND("/",P617)+1)-FIND("/",P617)-1)))</f>
        <v/>
      </c>
      <c r="AG617" s="7" t="str">
        <f aca="false">IF(P617="","",VALUE(MID(P617,FIND("/",P617,FIND("/",P617)+1)+1,LEN(P617)-FIND("/",P617,FIND("/",P617)+1))))</f>
        <v/>
      </c>
      <c r="AH617" s="7" t="str">
        <f aca="false">IF(OR(P617="",AE617=""),"",IFERROR(INDEX('لیست‌ها'!$Q$3:$Q$53,MATCH(AE617,'لیست‌ها'!$P$3:$P$53,0))+IF(AF617&lt;=6,(AF617-1)*31+AG617,IF(AF617&lt;=11,186+(AF617-7)*30+AG617,336+AG617))-1,""))</f>
        <v/>
      </c>
      <c r="AI617" s="7" t="str">
        <f aca="false">IF(W617="","",W617&amp;"-"&amp;TEXT(X617,"00"))</f>
        <v/>
      </c>
      <c r="AJ617" s="7" t="str">
        <f aca="false">IF(W617="","",W617*12+X617)</f>
        <v/>
      </c>
      <c r="AK617" s="7" t="str">
        <f aca="false">IF(U617="تاخیر",V617+ROW()/100000,"")</f>
        <v/>
      </c>
    </row>
    <row r="618" customFormat="false" ht="15" hidden="false" customHeight="false" outlineLevel="0" collapsed="false">
      <c r="A618" s="7" t="str">
        <f aca="false">IF(B618="","",ROW()-3)</f>
        <v/>
      </c>
      <c r="B618" s="8"/>
      <c r="C618" s="8"/>
      <c r="D618" s="8"/>
      <c r="E618" s="9"/>
      <c r="F618" s="9"/>
      <c r="G618" s="8"/>
      <c r="H618" s="8"/>
      <c r="I618" s="8"/>
      <c r="J618" s="9"/>
      <c r="K618" s="8"/>
      <c r="L618" s="8"/>
      <c r="M618" s="8"/>
      <c r="N618" s="8"/>
      <c r="O618" s="8"/>
      <c r="P618" s="8"/>
      <c r="Q618" s="8"/>
      <c r="R618" s="9"/>
      <c r="S618" s="8"/>
      <c r="T618" s="9"/>
      <c r="U618" s="10" t="str">
        <f aca="true">IF(B618="","",IF(OR(P618&lt;&gt;"",I618="می‌باشد"),"بسته",IF(AND(L618&lt;&gt;"",W618=""),"خطای فرمت تاریخ ایجاد",IF(AND(H618&lt;&gt;"",AA618=""),"خطای فرمت مهلت",IF(AND(H618&lt;&gt;"",AD618&lt;&gt;"",TODAY()&gt;AD618),"تاخیر",IF(L618&lt;&gt;"","در حال انجام",""))))))</f>
        <v/>
      </c>
      <c r="V618" s="7" t="n">
        <f aca="true">IF(U618="تاخیر",TODAY()-AD618,IF(AND(U618="بسته",AH618&lt;&gt;"",AD618&lt;&gt;"",AH618&gt;AD618),AH618-AD618,0))</f>
        <v>0</v>
      </c>
      <c r="W618" s="7" t="str">
        <f aca="false">IF(L618="","",VALUE(LEFT(L618,FIND("/",L618)-1)))</f>
        <v/>
      </c>
      <c r="X618" s="7" t="str">
        <f aca="false">IF(L618="","",VALUE(MID(L618,FIND("/",L618)+1,FIND("/",L618,FIND("/",L618)+1)-FIND("/",L618)-1)))</f>
        <v/>
      </c>
      <c r="Y618" s="7" t="str">
        <f aca="false">IF(L618="","",VALUE(MID(L618,FIND("/",L618,FIND("/",L618)+1)+1,LEN(L618)-FIND("/",L618,FIND("/",L618)+1))))</f>
        <v/>
      </c>
      <c r="Z618" s="7" t="str">
        <f aca="false">IF(OR(L618="",W618=""),"",IFERROR(INDEX('لیست‌ها'!$Q$3:$Q$53,MATCH(W618,'لیست‌ها'!$P$3:$P$53,0))+IF(X618&lt;=6,(X618-1)*31+Y618,IF(X618&lt;=11,186+(X618-7)*30+Y618,336+Y618))-1,""))</f>
        <v/>
      </c>
      <c r="AA618" s="7" t="str">
        <f aca="false">IF(H618="","",VALUE(LEFT(H618,FIND("/",H618)-1)))</f>
        <v/>
      </c>
      <c r="AB618" s="7" t="str">
        <f aca="false">IF(H618="","",VALUE(MID(H618,FIND("/",H618)+1,FIND("/",H618,FIND("/",H618)+1)-FIND("/",H618)-1)))</f>
        <v/>
      </c>
      <c r="AC618" s="7" t="str">
        <f aca="false">IF(H618="","",VALUE(MID(H618,FIND("/",H618,FIND("/",H618)+1)+1,LEN(H618)-FIND("/",H618,FIND("/",H618)+1))))</f>
        <v/>
      </c>
      <c r="AD618" s="7" t="str">
        <f aca="false">IF(OR(H618="",AA618=""),"",IFERROR(INDEX('لیست‌ها'!$Q$3:$Q$53,MATCH(AA618,'لیست‌ها'!$P$3:$P$53,0))+IF(AB618&lt;=6,(AB618-1)*31+AC618,IF(AB618&lt;=11,186+(AB618-7)*30+AC618,336+AC618))-1,""))</f>
        <v/>
      </c>
      <c r="AE618" s="7" t="str">
        <f aca="false">IF(P618="","",VALUE(LEFT(P618,FIND("/",P618)-1)))</f>
        <v/>
      </c>
      <c r="AF618" s="7" t="str">
        <f aca="false">IF(P618="","",VALUE(MID(P618,FIND("/",P618)+1,FIND("/",P618,FIND("/",P618)+1)-FIND("/",P618)-1)))</f>
        <v/>
      </c>
      <c r="AG618" s="7" t="str">
        <f aca="false">IF(P618="","",VALUE(MID(P618,FIND("/",P618,FIND("/",P618)+1)+1,LEN(P618)-FIND("/",P618,FIND("/",P618)+1))))</f>
        <v/>
      </c>
      <c r="AH618" s="7" t="str">
        <f aca="false">IF(OR(P618="",AE618=""),"",IFERROR(INDEX('لیست‌ها'!$Q$3:$Q$53,MATCH(AE618,'لیست‌ها'!$P$3:$P$53,0))+IF(AF618&lt;=6,(AF618-1)*31+AG618,IF(AF618&lt;=11,186+(AF618-7)*30+AG618,336+AG618))-1,""))</f>
        <v/>
      </c>
      <c r="AI618" s="7" t="str">
        <f aca="false">IF(W618="","",W618&amp;"-"&amp;TEXT(X618,"00"))</f>
        <v/>
      </c>
      <c r="AJ618" s="7" t="str">
        <f aca="false">IF(W618="","",W618*12+X618)</f>
        <v/>
      </c>
      <c r="AK618" s="7" t="str">
        <f aca="false">IF(U618="تاخیر",V618+ROW()/100000,"")</f>
        <v/>
      </c>
    </row>
    <row r="619" customFormat="false" ht="15" hidden="false" customHeight="false" outlineLevel="0" collapsed="false">
      <c r="A619" s="7" t="str">
        <f aca="false">IF(B619="","",ROW()-3)</f>
        <v/>
      </c>
      <c r="B619" s="8"/>
      <c r="C619" s="8"/>
      <c r="D619" s="8"/>
      <c r="E619" s="9"/>
      <c r="F619" s="9"/>
      <c r="G619" s="8"/>
      <c r="H619" s="8"/>
      <c r="I619" s="8"/>
      <c r="J619" s="9"/>
      <c r="K619" s="8"/>
      <c r="L619" s="8"/>
      <c r="M619" s="8"/>
      <c r="N619" s="8"/>
      <c r="O619" s="8"/>
      <c r="P619" s="8"/>
      <c r="Q619" s="8"/>
      <c r="R619" s="9"/>
      <c r="S619" s="8"/>
      <c r="T619" s="9"/>
      <c r="U619" s="10" t="str">
        <f aca="true">IF(B619="","",IF(OR(P619&lt;&gt;"",I619="می‌باشد"),"بسته",IF(AND(L619&lt;&gt;"",W619=""),"خطای فرمت تاریخ ایجاد",IF(AND(H619&lt;&gt;"",AA619=""),"خطای فرمت مهلت",IF(AND(H619&lt;&gt;"",AD619&lt;&gt;"",TODAY()&gt;AD619),"تاخیر",IF(L619&lt;&gt;"","در حال انجام",""))))))</f>
        <v/>
      </c>
      <c r="V619" s="7" t="n">
        <f aca="true">IF(U619="تاخیر",TODAY()-AD619,IF(AND(U619="بسته",AH619&lt;&gt;"",AD619&lt;&gt;"",AH619&gt;AD619),AH619-AD619,0))</f>
        <v>0</v>
      </c>
      <c r="W619" s="7" t="str">
        <f aca="false">IF(L619="","",VALUE(LEFT(L619,FIND("/",L619)-1)))</f>
        <v/>
      </c>
      <c r="X619" s="7" t="str">
        <f aca="false">IF(L619="","",VALUE(MID(L619,FIND("/",L619)+1,FIND("/",L619,FIND("/",L619)+1)-FIND("/",L619)-1)))</f>
        <v/>
      </c>
      <c r="Y619" s="7" t="str">
        <f aca="false">IF(L619="","",VALUE(MID(L619,FIND("/",L619,FIND("/",L619)+1)+1,LEN(L619)-FIND("/",L619,FIND("/",L619)+1))))</f>
        <v/>
      </c>
      <c r="Z619" s="7" t="str">
        <f aca="false">IF(OR(L619="",W619=""),"",IFERROR(INDEX('لیست‌ها'!$Q$3:$Q$53,MATCH(W619,'لیست‌ها'!$P$3:$P$53,0))+IF(X619&lt;=6,(X619-1)*31+Y619,IF(X619&lt;=11,186+(X619-7)*30+Y619,336+Y619))-1,""))</f>
        <v/>
      </c>
      <c r="AA619" s="7" t="str">
        <f aca="false">IF(H619="","",VALUE(LEFT(H619,FIND("/",H619)-1)))</f>
        <v/>
      </c>
      <c r="AB619" s="7" t="str">
        <f aca="false">IF(H619="","",VALUE(MID(H619,FIND("/",H619)+1,FIND("/",H619,FIND("/",H619)+1)-FIND("/",H619)-1)))</f>
        <v/>
      </c>
      <c r="AC619" s="7" t="str">
        <f aca="false">IF(H619="","",VALUE(MID(H619,FIND("/",H619,FIND("/",H619)+1)+1,LEN(H619)-FIND("/",H619,FIND("/",H619)+1))))</f>
        <v/>
      </c>
      <c r="AD619" s="7" t="str">
        <f aca="false">IF(OR(H619="",AA619=""),"",IFERROR(INDEX('لیست‌ها'!$Q$3:$Q$53,MATCH(AA619,'لیست‌ها'!$P$3:$P$53,0))+IF(AB619&lt;=6,(AB619-1)*31+AC619,IF(AB619&lt;=11,186+(AB619-7)*30+AC619,336+AC619))-1,""))</f>
        <v/>
      </c>
      <c r="AE619" s="7" t="str">
        <f aca="false">IF(P619="","",VALUE(LEFT(P619,FIND("/",P619)-1)))</f>
        <v/>
      </c>
      <c r="AF619" s="7" t="str">
        <f aca="false">IF(P619="","",VALUE(MID(P619,FIND("/",P619)+1,FIND("/",P619,FIND("/",P619)+1)-FIND("/",P619)-1)))</f>
        <v/>
      </c>
      <c r="AG619" s="7" t="str">
        <f aca="false">IF(P619="","",VALUE(MID(P619,FIND("/",P619,FIND("/",P619)+1)+1,LEN(P619)-FIND("/",P619,FIND("/",P619)+1))))</f>
        <v/>
      </c>
      <c r="AH619" s="7" t="str">
        <f aca="false">IF(OR(P619="",AE619=""),"",IFERROR(INDEX('لیست‌ها'!$Q$3:$Q$53,MATCH(AE619,'لیست‌ها'!$P$3:$P$53,0))+IF(AF619&lt;=6,(AF619-1)*31+AG619,IF(AF619&lt;=11,186+(AF619-7)*30+AG619,336+AG619))-1,""))</f>
        <v/>
      </c>
      <c r="AI619" s="7" t="str">
        <f aca="false">IF(W619="","",W619&amp;"-"&amp;TEXT(X619,"00"))</f>
        <v/>
      </c>
      <c r="AJ619" s="7" t="str">
        <f aca="false">IF(W619="","",W619*12+X619)</f>
        <v/>
      </c>
      <c r="AK619" s="7" t="str">
        <f aca="false">IF(U619="تاخیر",V619+ROW()/100000,"")</f>
        <v/>
      </c>
    </row>
    <row r="620" customFormat="false" ht="15" hidden="false" customHeight="false" outlineLevel="0" collapsed="false">
      <c r="A620" s="7" t="str">
        <f aca="false">IF(B620="","",ROW()-3)</f>
        <v/>
      </c>
      <c r="B620" s="8"/>
      <c r="C620" s="8"/>
      <c r="D620" s="8"/>
      <c r="E620" s="9"/>
      <c r="F620" s="9"/>
      <c r="G620" s="8"/>
      <c r="H620" s="8"/>
      <c r="I620" s="8"/>
      <c r="J620" s="9"/>
      <c r="K620" s="8"/>
      <c r="L620" s="8"/>
      <c r="M620" s="8"/>
      <c r="N620" s="8"/>
      <c r="O620" s="8"/>
      <c r="P620" s="8"/>
      <c r="Q620" s="8"/>
      <c r="R620" s="9"/>
      <c r="S620" s="8"/>
      <c r="T620" s="9"/>
      <c r="U620" s="10" t="str">
        <f aca="true">IF(B620="","",IF(OR(P620&lt;&gt;"",I620="می‌باشد"),"بسته",IF(AND(L620&lt;&gt;"",W620=""),"خطای فرمت تاریخ ایجاد",IF(AND(H620&lt;&gt;"",AA620=""),"خطای فرمت مهلت",IF(AND(H620&lt;&gt;"",AD620&lt;&gt;"",TODAY()&gt;AD620),"تاخیر",IF(L620&lt;&gt;"","در حال انجام",""))))))</f>
        <v/>
      </c>
      <c r="V620" s="7" t="n">
        <f aca="true">IF(U620="تاخیر",TODAY()-AD620,IF(AND(U620="بسته",AH620&lt;&gt;"",AD620&lt;&gt;"",AH620&gt;AD620),AH620-AD620,0))</f>
        <v>0</v>
      </c>
      <c r="W620" s="7" t="str">
        <f aca="false">IF(L620="","",VALUE(LEFT(L620,FIND("/",L620)-1)))</f>
        <v/>
      </c>
      <c r="X620" s="7" t="str">
        <f aca="false">IF(L620="","",VALUE(MID(L620,FIND("/",L620)+1,FIND("/",L620,FIND("/",L620)+1)-FIND("/",L620)-1)))</f>
        <v/>
      </c>
      <c r="Y620" s="7" t="str">
        <f aca="false">IF(L620="","",VALUE(MID(L620,FIND("/",L620,FIND("/",L620)+1)+1,LEN(L620)-FIND("/",L620,FIND("/",L620)+1))))</f>
        <v/>
      </c>
      <c r="Z620" s="7" t="str">
        <f aca="false">IF(OR(L620="",W620=""),"",IFERROR(INDEX('لیست‌ها'!$Q$3:$Q$53,MATCH(W620,'لیست‌ها'!$P$3:$P$53,0))+IF(X620&lt;=6,(X620-1)*31+Y620,IF(X620&lt;=11,186+(X620-7)*30+Y620,336+Y620))-1,""))</f>
        <v/>
      </c>
      <c r="AA620" s="7" t="str">
        <f aca="false">IF(H620="","",VALUE(LEFT(H620,FIND("/",H620)-1)))</f>
        <v/>
      </c>
      <c r="AB620" s="7" t="str">
        <f aca="false">IF(H620="","",VALUE(MID(H620,FIND("/",H620)+1,FIND("/",H620,FIND("/",H620)+1)-FIND("/",H620)-1)))</f>
        <v/>
      </c>
      <c r="AC620" s="7" t="str">
        <f aca="false">IF(H620="","",VALUE(MID(H620,FIND("/",H620,FIND("/",H620)+1)+1,LEN(H620)-FIND("/",H620,FIND("/",H620)+1))))</f>
        <v/>
      </c>
      <c r="AD620" s="7" t="str">
        <f aca="false">IF(OR(H620="",AA620=""),"",IFERROR(INDEX('لیست‌ها'!$Q$3:$Q$53,MATCH(AA620,'لیست‌ها'!$P$3:$P$53,0))+IF(AB620&lt;=6,(AB620-1)*31+AC620,IF(AB620&lt;=11,186+(AB620-7)*30+AC620,336+AC620))-1,""))</f>
        <v/>
      </c>
      <c r="AE620" s="7" t="str">
        <f aca="false">IF(P620="","",VALUE(LEFT(P620,FIND("/",P620)-1)))</f>
        <v/>
      </c>
      <c r="AF620" s="7" t="str">
        <f aca="false">IF(P620="","",VALUE(MID(P620,FIND("/",P620)+1,FIND("/",P620,FIND("/",P620)+1)-FIND("/",P620)-1)))</f>
        <v/>
      </c>
      <c r="AG620" s="7" t="str">
        <f aca="false">IF(P620="","",VALUE(MID(P620,FIND("/",P620,FIND("/",P620)+1)+1,LEN(P620)-FIND("/",P620,FIND("/",P620)+1))))</f>
        <v/>
      </c>
      <c r="AH620" s="7" t="str">
        <f aca="false">IF(OR(P620="",AE620=""),"",IFERROR(INDEX('لیست‌ها'!$Q$3:$Q$53,MATCH(AE620,'لیست‌ها'!$P$3:$P$53,0))+IF(AF620&lt;=6,(AF620-1)*31+AG620,IF(AF620&lt;=11,186+(AF620-7)*30+AG620,336+AG620))-1,""))</f>
        <v/>
      </c>
      <c r="AI620" s="7" t="str">
        <f aca="false">IF(W620="","",W620&amp;"-"&amp;TEXT(X620,"00"))</f>
        <v/>
      </c>
      <c r="AJ620" s="7" t="str">
        <f aca="false">IF(W620="","",W620*12+X620)</f>
        <v/>
      </c>
      <c r="AK620" s="7" t="str">
        <f aca="false">IF(U620="تاخیر",V620+ROW()/100000,"")</f>
        <v/>
      </c>
    </row>
    <row r="621" customFormat="false" ht="15" hidden="false" customHeight="false" outlineLevel="0" collapsed="false">
      <c r="A621" s="7" t="str">
        <f aca="false">IF(B621="","",ROW()-3)</f>
        <v/>
      </c>
      <c r="B621" s="8"/>
      <c r="C621" s="8"/>
      <c r="D621" s="8"/>
      <c r="E621" s="9"/>
      <c r="F621" s="9"/>
      <c r="G621" s="8"/>
      <c r="H621" s="8"/>
      <c r="I621" s="8"/>
      <c r="J621" s="9"/>
      <c r="K621" s="8"/>
      <c r="L621" s="8"/>
      <c r="M621" s="8"/>
      <c r="N621" s="8"/>
      <c r="O621" s="8"/>
      <c r="P621" s="8"/>
      <c r="Q621" s="8"/>
      <c r="R621" s="9"/>
      <c r="S621" s="8"/>
      <c r="T621" s="9"/>
      <c r="U621" s="10" t="str">
        <f aca="true">IF(B621="","",IF(OR(P621&lt;&gt;"",I621="می‌باشد"),"بسته",IF(AND(L621&lt;&gt;"",W621=""),"خطای فرمت تاریخ ایجاد",IF(AND(H621&lt;&gt;"",AA621=""),"خطای فرمت مهلت",IF(AND(H621&lt;&gt;"",AD621&lt;&gt;"",TODAY()&gt;AD621),"تاخیر",IF(L621&lt;&gt;"","در حال انجام",""))))))</f>
        <v/>
      </c>
      <c r="V621" s="7" t="n">
        <f aca="true">IF(U621="تاخیر",TODAY()-AD621,IF(AND(U621="بسته",AH621&lt;&gt;"",AD621&lt;&gt;"",AH621&gt;AD621),AH621-AD621,0))</f>
        <v>0</v>
      </c>
      <c r="W621" s="7" t="str">
        <f aca="false">IF(L621="","",VALUE(LEFT(L621,FIND("/",L621)-1)))</f>
        <v/>
      </c>
      <c r="X621" s="7" t="str">
        <f aca="false">IF(L621="","",VALUE(MID(L621,FIND("/",L621)+1,FIND("/",L621,FIND("/",L621)+1)-FIND("/",L621)-1)))</f>
        <v/>
      </c>
      <c r="Y621" s="7" t="str">
        <f aca="false">IF(L621="","",VALUE(MID(L621,FIND("/",L621,FIND("/",L621)+1)+1,LEN(L621)-FIND("/",L621,FIND("/",L621)+1))))</f>
        <v/>
      </c>
      <c r="Z621" s="7" t="str">
        <f aca="false">IF(OR(L621="",W621=""),"",IFERROR(INDEX('لیست‌ها'!$Q$3:$Q$53,MATCH(W621,'لیست‌ها'!$P$3:$P$53,0))+IF(X621&lt;=6,(X621-1)*31+Y621,IF(X621&lt;=11,186+(X621-7)*30+Y621,336+Y621))-1,""))</f>
        <v/>
      </c>
      <c r="AA621" s="7" t="str">
        <f aca="false">IF(H621="","",VALUE(LEFT(H621,FIND("/",H621)-1)))</f>
        <v/>
      </c>
      <c r="AB621" s="7" t="str">
        <f aca="false">IF(H621="","",VALUE(MID(H621,FIND("/",H621)+1,FIND("/",H621,FIND("/",H621)+1)-FIND("/",H621)-1)))</f>
        <v/>
      </c>
      <c r="AC621" s="7" t="str">
        <f aca="false">IF(H621="","",VALUE(MID(H621,FIND("/",H621,FIND("/",H621)+1)+1,LEN(H621)-FIND("/",H621,FIND("/",H621)+1))))</f>
        <v/>
      </c>
      <c r="AD621" s="7" t="str">
        <f aca="false">IF(OR(H621="",AA621=""),"",IFERROR(INDEX('لیست‌ها'!$Q$3:$Q$53,MATCH(AA621,'لیست‌ها'!$P$3:$P$53,0))+IF(AB621&lt;=6,(AB621-1)*31+AC621,IF(AB621&lt;=11,186+(AB621-7)*30+AC621,336+AC621))-1,""))</f>
        <v/>
      </c>
      <c r="AE621" s="7" t="str">
        <f aca="false">IF(P621="","",VALUE(LEFT(P621,FIND("/",P621)-1)))</f>
        <v/>
      </c>
      <c r="AF621" s="7" t="str">
        <f aca="false">IF(P621="","",VALUE(MID(P621,FIND("/",P621)+1,FIND("/",P621,FIND("/",P621)+1)-FIND("/",P621)-1)))</f>
        <v/>
      </c>
      <c r="AG621" s="7" t="str">
        <f aca="false">IF(P621="","",VALUE(MID(P621,FIND("/",P621,FIND("/",P621)+1)+1,LEN(P621)-FIND("/",P621,FIND("/",P621)+1))))</f>
        <v/>
      </c>
      <c r="AH621" s="7" t="str">
        <f aca="false">IF(OR(P621="",AE621=""),"",IFERROR(INDEX('لیست‌ها'!$Q$3:$Q$53,MATCH(AE621,'لیست‌ها'!$P$3:$P$53,0))+IF(AF621&lt;=6,(AF621-1)*31+AG621,IF(AF621&lt;=11,186+(AF621-7)*30+AG621,336+AG621))-1,""))</f>
        <v/>
      </c>
      <c r="AI621" s="7" t="str">
        <f aca="false">IF(W621="","",W621&amp;"-"&amp;TEXT(X621,"00"))</f>
        <v/>
      </c>
      <c r="AJ621" s="7" t="str">
        <f aca="false">IF(W621="","",W621*12+X621)</f>
        <v/>
      </c>
      <c r="AK621" s="7" t="str">
        <f aca="false">IF(U621="تاخیر",V621+ROW()/100000,"")</f>
        <v/>
      </c>
    </row>
    <row r="622" customFormat="false" ht="15" hidden="false" customHeight="false" outlineLevel="0" collapsed="false">
      <c r="A622" s="7" t="str">
        <f aca="false">IF(B622="","",ROW()-3)</f>
        <v/>
      </c>
      <c r="B622" s="8"/>
      <c r="C622" s="8"/>
      <c r="D622" s="8"/>
      <c r="E622" s="9"/>
      <c r="F622" s="9"/>
      <c r="G622" s="8"/>
      <c r="H622" s="8"/>
      <c r="I622" s="8"/>
      <c r="J622" s="9"/>
      <c r="K622" s="8"/>
      <c r="L622" s="8"/>
      <c r="M622" s="8"/>
      <c r="N622" s="8"/>
      <c r="O622" s="8"/>
      <c r="P622" s="8"/>
      <c r="Q622" s="8"/>
      <c r="R622" s="9"/>
      <c r="S622" s="8"/>
      <c r="T622" s="9"/>
      <c r="U622" s="10" t="str">
        <f aca="true">IF(B622="","",IF(OR(P622&lt;&gt;"",I622="می‌باشد"),"بسته",IF(AND(L622&lt;&gt;"",W622=""),"خطای فرمت تاریخ ایجاد",IF(AND(H622&lt;&gt;"",AA622=""),"خطای فرمت مهلت",IF(AND(H622&lt;&gt;"",AD622&lt;&gt;"",TODAY()&gt;AD622),"تاخیر",IF(L622&lt;&gt;"","در حال انجام",""))))))</f>
        <v/>
      </c>
      <c r="V622" s="7" t="n">
        <f aca="true">IF(U622="تاخیر",TODAY()-AD622,IF(AND(U622="بسته",AH622&lt;&gt;"",AD622&lt;&gt;"",AH622&gt;AD622),AH622-AD622,0))</f>
        <v>0</v>
      </c>
      <c r="W622" s="7" t="str">
        <f aca="false">IF(L622="","",VALUE(LEFT(L622,FIND("/",L622)-1)))</f>
        <v/>
      </c>
      <c r="X622" s="7" t="str">
        <f aca="false">IF(L622="","",VALUE(MID(L622,FIND("/",L622)+1,FIND("/",L622,FIND("/",L622)+1)-FIND("/",L622)-1)))</f>
        <v/>
      </c>
      <c r="Y622" s="7" t="str">
        <f aca="false">IF(L622="","",VALUE(MID(L622,FIND("/",L622,FIND("/",L622)+1)+1,LEN(L622)-FIND("/",L622,FIND("/",L622)+1))))</f>
        <v/>
      </c>
      <c r="Z622" s="7" t="str">
        <f aca="false">IF(OR(L622="",W622=""),"",IFERROR(INDEX('لیست‌ها'!$Q$3:$Q$53,MATCH(W622,'لیست‌ها'!$P$3:$P$53,0))+IF(X622&lt;=6,(X622-1)*31+Y622,IF(X622&lt;=11,186+(X622-7)*30+Y622,336+Y622))-1,""))</f>
        <v/>
      </c>
      <c r="AA622" s="7" t="str">
        <f aca="false">IF(H622="","",VALUE(LEFT(H622,FIND("/",H622)-1)))</f>
        <v/>
      </c>
      <c r="AB622" s="7" t="str">
        <f aca="false">IF(H622="","",VALUE(MID(H622,FIND("/",H622)+1,FIND("/",H622,FIND("/",H622)+1)-FIND("/",H622)-1)))</f>
        <v/>
      </c>
      <c r="AC622" s="7" t="str">
        <f aca="false">IF(H622="","",VALUE(MID(H622,FIND("/",H622,FIND("/",H622)+1)+1,LEN(H622)-FIND("/",H622,FIND("/",H622)+1))))</f>
        <v/>
      </c>
      <c r="AD622" s="7" t="str">
        <f aca="false">IF(OR(H622="",AA622=""),"",IFERROR(INDEX('لیست‌ها'!$Q$3:$Q$53,MATCH(AA622,'لیست‌ها'!$P$3:$P$53,0))+IF(AB622&lt;=6,(AB622-1)*31+AC622,IF(AB622&lt;=11,186+(AB622-7)*30+AC622,336+AC622))-1,""))</f>
        <v/>
      </c>
      <c r="AE622" s="7" t="str">
        <f aca="false">IF(P622="","",VALUE(LEFT(P622,FIND("/",P622)-1)))</f>
        <v/>
      </c>
      <c r="AF622" s="7" t="str">
        <f aca="false">IF(P622="","",VALUE(MID(P622,FIND("/",P622)+1,FIND("/",P622,FIND("/",P622)+1)-FIND("/",P622)-1)))</f>
        <v/>
      </c>
      <c r="AG622" s="7" t="str">
        <f aca="false">IF(P622="","",VALUE(MID(P622,FIND("/",P622,FIND("/",P622)+1)+1,LEN(P622)-FIND("/",P622,FIND("/",P622)+1))))</f>
        <v/>
      </c>
      <c r="AH622" s="7" t="str">
        <f aca="false">IF(OR(P622="",AE622=""),"",IFERROR(INDEX('لیست‌ها'!$Q$3:$Q$53,MATCH(AE622,'لیست‌ها'!$P$3:$P$53,0))+IF(AF622&lt;=6,(AF622-1)*31+AG622,IF(AF622&lt;=11,186+(AF622-7)*30+AG622,336+AG622))-1,""))</f>
        <v/>
      </c>
      <c r="AI622" s="7" t="str">
        <f aca="false">IF(W622="","",W622&amp;"-"&amp;TEXT(X622,"00"))</f>
        <v/>
      </c>
      <c r="AJ622" s="7" t="str">
        <f aca="false">IF(W622="","",W622*12+X622)</f>
        <v/>
      </c>
      <c r="AK622" s="7" t="str">
        <f aca="false">IF(U622="تاخیر",V622+ROW()/100000,"")</f>
        <v/>
      </c>
    </row>
    <row r="623" customFormat="false" ht="15" hidden="false" customHeight="false" outlineLevel="0" collapsed="false">
      <c r="A623" s="7" t="str">
        <f aca="false">IF(B623="","",ROW()-3)</f>
        <v/>
      </c>
      <c r="B623" s="8"/>
      <c r="C623" s="8"/>
      <c r="D623" s="8"/>
      <c r="E623" s="9"/>
      <c r="F623" s="9"/>
      <c r="G623" s="8"/>
      <c r="H623" s="8"/>
      <c r="I623" s="8"/>
      <c r="J623" s="9"/>
      <c r="K623" s="8"/>
      <c r="L623" s="8"/>
      <c r="M623" s="8"/>
      <c r="N623" s="8"/>
      <c r="O623" s="8"/>
      <c r="P623" s="8"/>
      <c r="Q623" s="8"/>
      <c r="R623" s="9"/>
      <c r="S623" s="8"/>
      <c r="T623" s="9"/>
      <c r="U623" s="10" t="str">
        <f aca="true">IF(B623="","",IF(OR(P623&lt;&gt;"",I623="می‌باشد"),"بسته",IF(AND(L623&lt;&gt;"",W623=""),"خطای فرمت تاریخ ایجاد",IF(AND(H623&lt;&gt;"",AA623=""),"خطای فرمت مهلت",IF(AND(H623&lt;&gt;"",AD623&lt;&gt;"",TODAY()&gt;AD623),"تاخیر",IF(L623&lt;&gt;"","در حال انجام",""))))))</f>
        <v/>
      </c>
      <c r="V623" s="7" t="n">
        <f aca="true">IF(U623="تاخیر",TODAY()-AD623,IF(AND(U623="بسته",AH623&lt;&gt;"",AD623&lt;&gt;"",AH623&gt;AD623),AH623-AD623,0))</f>
        <v>0</v>
      </c>
      <c r="W623" s="7" t="str">
        <f aca="false">IF(L623="","",VALUE(LEFT(L623,FIND("/",L623)-1)))</f>
        <v/>
      </c>
      <c r="X623" s="7" t="str">
        <f aca="false">IF(L623="","",VALUE(MID(L623,FIND("/",L623)+1,FIND("/",L623,FIND("/",L623)+1)-FIND("/",L623)-1)))</f>
        <v/>
      </c>
      <c r="Y623" s="7" t="str">
        <f aca="false">IF(L623="","",VALUE(MID(L623,FIND("/",L623,FIND("/",L623)+1)+1,LEN(L623)-FIND("/",L623,FIND("/",L623)+1))))</f>
        <v/>
      </c>
      <c r="Z623" s="7" t="str">
        <f aca="false">IF(OR(L623="",W623=""),"",IFERROR(INDEX('لیست‌ها'!$Q$3:$Q$53,MATCH(W623,'لیست‌ها'!$P$3:$P$53,0))+IF(X623&lt;=6,(X623-1)*31+Y623,IF(X623&lt;=11,186+(X623-7)*30+Y623,336+Y623))-1,""))</f>
        <v/>
      </c>
      <c r="AA623" s="7" t="str">
        <f aca="false">IF(H623="","",VALUE(LEFT(H623,FIND("/",H623)-1)))</f>
        <v/>
      </c>
      <c r="AB623" s="7" t="str">
        <f aca="false">IF(H623="","",VALUE(MID(H623,FIND("/",H623)+1,FIND("/",H623,FIND("/",H623)+1)-FIND("/",H623)-1)))</f>
        <v/>
      </c>
      <c r="AC623" s="7" t="str">
        <f aca="false">IF(H623="","",VALUE(MID(H623,FIND("/",H623,FIND("/",H623)+1)+1,LEN(H623)-FIND("/",H623,FIND("/",H623)+1))))</f>
        <v/>
      </c>
      <c r="AD623" s="7" t="str">
        <f aca="false">IF(OR(H623="",AA623=""),"",IFERROR(INDEX('لیست‌ها'!$Q$3:$Q$53,MATCH(AA623,'لیست‌ها'!$P$3:$P$53,0))+IF(AB623&lt;=6,(AB623-1)*31+AC623,IF(AB623&lt;=11,186+(AB623-7)*30+AC623,336+AC623))-1,""))</f>
        <v/>
      </c>
      <c r="AE623" s="7" t="str">
        <f aca="false">IF(P623="","",VALUE(LEFT(P623,FIND("/",P623)-1)))</f>
        <v/>
      </c>
      <c r="AF623" s="7" t="str">
        <f aca="false">IF(P623="","",VALUE(MID(P623,FIND("/",P623)+1,FIND("/",P623,FIND("/",P623)+1)-FIND("/",P623)-1)))</f>
        <v/>
      </c>
      <c r="AG623" s="7" t="str">
        <f aca="false">IF(P623="","",VALUE(MID(P623,FIND("/",P623,FIND("/",P623)+1)+1,LEN(P623)-FIND("/",P623,FIND("/",P623)+1))))</f>
        <v/>
      </c>
      <c r="AH623" s="7" t="str">
        <f aca="false">IF(OR(P623="",AE623=""),"",IFERROR(INDEX('لیست‌ها'!$Q$3:$Q$53,MATCH(AE623,'لیست‌ها'!$P$3:$P$53,0))+IF(AF623&lt;=6,(AF623-1)*31+AG623,IF(AF623&lt;=11,186+(AF623-7)*30+AG623,336+AG623))-1,""))</f>
        <v/>
      </c>
      <c r="AI623" s="7" t="str">
        <f aca="false">IF(W623="","",W623&amp;"-"&amp;TEXT(X623,"00"))</f>
        <v/>
      </c>
      <c r="AJ623" s="7" t="str">
        <f aca="false">IF(W623="","",W623*12+X623)</f>
        <v/>
      </c>
      <c r="AK623" s="7" t="str">
        <f aca="false">IF(U623="تاخیر",V623+ROW()/100000,"")</f>
        <v/>
      </c>
    </row>
    <row r="624" customFormat="false" ht="15" hidden="false" customHeight="false" outlineLevel="0" collapsed="false">
      <c r="A624" s="7" t="str">
        <f aca="false">IF(B624="","",ROW()-3)</f>
        <v/>
      </c>
      <c r="B624" s="8"/>
      <c r="C624" s="8"/>
      <c r="D624" s="8"/>
      <c r="E624" s="9"/>
      <c r="F624" s="9"/>
      <c r="G624" s="8"/>
      <c r="H624" s="8"/>
      <c r="I624" s="8"/>
      <c r="J624" s="9"/>
      <c r="K624" s="8"/>
      <c r="L624" s="8"/>
      <c r="M624" s="8"/>
      <c r="N624" s="8"/>
      <c r="O624" s="8"/>
      <c r="P624" s="8"/>
      <c r="Q624" s="8"/>
      <c r="R624" s="9"/>
      <c r="S624" s="8"/>
      <c r="T624" s="9"/>
      <c r="U624" s="10" t="str">
        <f aca="true">IF(B624="","",IF(OR(P624&lt;&gt;"",I624="می‌باشد"),"بسته",IF(AND(L624&lt;&gt;"",W624=""),"خطای فرمت تاریخ ایجاد",IF(AND(H624&lt;&gt;"",AA624=""),"خطای فرمت مهلت",IF(AND(H624&lt;&gt;"",AD624&lt;&gt;"",TODAY()&gt;AD624),"تاخیر",IF(L624&lt;&gt;"","در حال انجام",""))))))</f>
        <v/>
      </c>
      <c r="V624" s="7" t="n">
        <f aca="true">IF(U624="تاخیر",TODAY()-AD624,IF(AND(U624="بسته",AH624&lt;&gt;"",AD624&lt;&gt;"",AH624&gt;AD624),AH624-AD624,0))</f>
        <v>0</v>
      </c>
      <c r="W624" s="7" t="str">
        <f aca="false">IF(L624="","",VALUE(LEFT(L624,FIND("/",L624)-1)))</f>
        <v/>
      </c>
      <c r="X624" s="7" t="str">
        <f aca="false">IF(L624="","",VALUE(MID(L624,FIND("/",L624)+1,FIND("/",L624,FIND("/",L624)+1)-FIND("/",L624)-1)))</f>
        <v/>
      </c>
      <c r="Y624" s="7" t="str">
        <f aca="false">IF(L624="","",VALUE(MID(L624,FIND("/",L624,FIND("/",L624)+1)+1,LEN(L624)-FIND("/",L624,FIND("/",L624)+1))))</f>
        <v/>
      </c>
      <c r="Z624" s="7" t="str">
        <f aca="false">IF(OR(L624="",W624=""),"",IFERROR(INDEX('لیست‌ها'!$Q$3:$Q$53,MATCH(W624,'لیست‌ها'!$P$3:$P$53,0))+IF(X624&lt;=6,(X624-1)*31+Y624,IF(X624&lt;=11,186+(X624-7)*30+Y624,336+Y624))-1,""))</f>
        <v/>
      </c>
      <c r="AA624" s="7" t="str">
        <f aca="false">IF(H624="","",VALUE(LEFT(H624,FIND("/",H624)-1)))</f>
        <v/>
      </c>
      <c r="AB624" s="7" t="str">
        <f aca="false">IF(H624="","",VALUE(MID(H624,FIND("/",H624)+1,FIND("/",H624,FIND("/",H624)+1)-FIND("/",H624)-1)))</f>
        <v/>
      </c>
      <c r="AC624" s="7" t="str">
        <f aca="false">IF(H624="","",VALUE(MID(H624,FIND("/",H624,FIND("/",H624)+1)+1,LEN(H624)-FIND("/",H624,FIND("/",H624)+1))))</f>
        <v/>
      </c>
      <c r="AD624" s="7" t="str">
        <f aca="false">IF(OR(H624="",AA624=""),"",IFERROR(INDEX('لیست‌ها'!$Q$3:$Q$53,MATCH(AA624,'لیست‌ها'!$P$3:$P$53,0))+IF(AB624&lt;=6,(AB624-1)*31+AC624,IF(AB624&lt;=11,186+(AB624-7)*30+AC624,336+AC624))-1,""))</f>
        <v/>
      </c>
      <c r="AE624" s="7" t="str">
        <f aca="false">IF(P624="","",VALUE(LEFT(P624,FIND("/",P624)-1)))</f>
        <v/>
      </c>
      <c r="AF624" s="7" t="str">
        <f aca="false">IF(P624="","",VALUE(MID(P624,FIND("/",P624)+1,FIND("/",P624,FIND("/",P624)+1)-FIND("/",P624)-1)))</f>
        <v/>
      </c>
      <c r="AG624" s="7" t="str">
        <f aca="false">IF(P624="","",VALUE(MID(P624,FIND("/",P624,FIND("/",P624)+1)+1,LEN(P624)-FIND("/",P624,FIND("/",P624)+1))))</f>
        <v/>
      </c>
      <c r="AH624" s="7" t="str">
        <f aca="false">IF(OR(P624="",AE624=""),"",IFERROR(INDEX('لیست‌ها'!$Q$3:$Q$53,MATCH(AE624,'لیست‌ها'!$P$3:$P$53,0))+IF(AF624&lt;=6,(AF624-1)*31+AG624,IF(AF624&lt;=11,186+(AF624-7)*30+AG624,336+AG624))-1,""))</f>
        <v/>
      </c>
      <c r="AI624" s="7" t="str">
        <f aca="false">IF(W624="","",W624&amp;"-"&amp;TEXT(X624,"00"))</f>
        <v/>
      </c>
      <c r="AJ624" s="7" t="str">
        <f aca="false">IF(W624="","",W624*12+X624)</f>
        <v/>
      </c>
      <c r="AK624" s="7" t="str">
        <f aca="false">IF(U624="تاخیر",V624+ROW()/100000,"")</f>
        <v/>
      </c>
    </row>
    <row r="625" customFormat="false" ht="15" hidden="false" customHeight="false" outlineLevel="0" collapsed="false">
      <c r="A625" s="7" t="str">
        <f aca="false">IF(B625="","",ROW()-3)</f>
        <v/>
      </c>
      <c r="B625" s="8"/>
      <c r="C625" s="8"/>
      <c r="D625" s="8"/>
      <c r="E625" s="9"/>
      <c r="F625" s="9"/>
      <c r="G625" s="8"/>
      <c r="H625" s="8"/>
      <c r="I625" s="8"/>
      <c r="J625" s="9"/>
      <c r="K625" s="8"/>
      <c r="L625" s="8"/>
      <c r="M625" s="8"/>
      <c r="N625" s="8"/>
      <c r="O625" s="8"/>
      <c r="P625" s="8"/>
      <c r="Q625" s="8"/>
      <c r="R625" s="9"/>
      <c r="S625" s="8"/>
      <c r="T625" s="9"/>
      <c r="U625" s="10" t="str">
        <f aca="true">IF(B625="","",IF(OR(P625&lt;&gt;"",I625="می‌باشد"),"بسته",IF(AND(L625&lt;&gt;"",W625=""),"خطای فرمت تاریخ ایجاد",IF(AND(H625&lt;&gt;"",AA625=""),"خطای فرمت مهلت",IF(AND(H625&lt;&gt;"",AD625&lt;&gt;"",TODAY()&gt;AD625),"تاخیر",IF(L625&lt;&gt;"","در حال انجام",""))))))</f>
        <v/>
      </c>
      <c r="V625" s="7" t="n">
        <f aca="true">IF(U625="تاخیر",TODAY()-AD625,IF(AND(U625="بسته",AH625&lt;&gt;"",AD625&lt;&gt;"",AH625&gt;AD625),AH625-AD625,0))</f>
        <v>0</v>
      </c>
      <c r="W625" s="7" t="str">
        <f aca="false">IF(L625="","",VALUE(LEFT(L625,FIND("/",L625)-1)))</f>
        <v/>
      </c>
      <c r="X625" s="7" t="str">
        <f aca="false">IF(L625="","",VALUE(MID(L625,FIND("/",L625)+1,FIND("/",L625,FIND("/",L625)+1)-FIND("/",L625)-1)))</f>
        <v/>
      </c>
      <c r="Y625" s="7" t="str">
        <f aca="false">IF(L625="","",VALUE(MID(L625,FIND("/",L625,FIND("/",L625)+1)+1,LEN(L625)-FIND("/",L625,FIND("/",L625)+1))))</f>
        <v/>
      </c>
      <c r="Z625" s="7" t="str">
        <f aca="false">IF(OR(L625="",W625=""),"",IFERROR(INDEX('لیست‌ها'!$Q$3:$Q$53,MATCH(W625,'لیست‌ها'!$P$3:$P$53,0))+IF(X625&lt;=6,(X625-1)*31+Y625,IF(X625&lt;=11,186+(X625-7)*30+Y625,336+Y625))-1,""))</f>
        <v/>
      </c>
      <c r="AA625" s="7" t="str">
        <f aca="false">IF(H625="","",VALUE(LEFT(H625,FIND("/",H625)-1)))</f>
        <v/>
      </c>
      <c r="AB625" s="7" t="str">
        <f aca="false">IF(H625="","",VALUE(MID(H625,FIND("/",H625)+1,FIND("/",H625,FIND("/",H625)+1)-FIND("/",H625)-1)))</f>
        <v/>
      </c>
      <c r="AC625" s="7" t="str">
        <f aca="false">IF(H625="","",VALUE(MID(H625,FIND("/",H625,FIND("/",H625)+1)+1,LEN(H625)-FIND("/",H625,FIND("/",H625)+1))))</f>
        <v/>
      </c>
      <c r="AD625" s="7" t="str">
        <f aca="false">IF(OR(H625="",AA625=""),"",IFERROR(INDEX('لیست‌ها'!$Q$3:$Q$53,MATCH(AA625,'لیست‌ها'!$P$3:$P$53,0))+IF(AB625&lt;=6,(AB625-1)*31+AC625,IF(AB625&lt;=11,186+(AB625-7)*30+AC625,336+AC625))-1,""))</f>
        <v/>
      </c>
      <c r="AE625" s="7" t="str">
        <f aca="false">IF(P625="","",VALUE(LEFT(P625,FIND("/",P625)-1)))</f>
        <v/>
      </c>
      <c r="AF625" s="7" t="str">
        <f aca="false">IF(P625="","",VALUE(MID(P625,FIND("/",P625)+1,FIND("/",P625,FIND("/",P625)+1)-FIND("/",P625)-1)))</f>
        <v/>
      </c>
      <c r="AG625" s="7" t="str">
        <f aca="false">IF(P625="","",VALUE(MID(P625,FIND("/",P625,FIND("/",P625)+1)+1,LEN(P625)-FIND("/",P625,FIND("/",P625)+1))))</f>
        <v/>
      </c>
      <c r="AH625" s="7" t="str">
        <f aca="false">IF(OR(P625="",AE625=""),"",IFERROR(INDEX('لیست‌ها'!$Q$3:$Q$53,MATCH(AE625,'لیست‌ها'!$P$3:$P$53,0))+IF(AF625&lt;=6,(AF625-1)*31+AG625,IF(AF625&lt;=11,186+(AF625-7)*30+AG625,336+AG625))-1,""))</f>
        <v/>
      </c>
      <c r="AI625" s="7" t="str">
        <f aca="false">IF(W625="","",W625&amp;"-"&amp;TEXT(X625,"00"))</f>
        <v/>
      </c>
      <c r="AJ625" s="7" t="str">
        <f aca="false">IF(W625="","",W625*12+X625)</f>
        <v/>
      </c>
      <c r="AK625" s="7" t="str">
        <f aca="false">IF(U625="تاخیر",V625+ROW()/100000,"")</f>
        <v/>
      </c>
    </row>
    <row r="626" customFormat="false" ht="15" hidden="false" customHeight="false" outlineLevel="0" collapsed="false">
      <c r="A626" s="7" t="str">
        <f aca="false">IF(B626="","",ROW()-3)</f>
        <v/>
      </c>
      <c r="B626" s="8"/>
      <c r="C626" s="8"/>
      <c r="D626" s="8"/>
      <c r="E626" s="9"/>
      <c r="F626" s="9"/>
      <c r="G626" s="8"/>
      <c r="H626" s="8"/>
      <c r="I626" s="8"/>
      <c r="J626" s="9"/>
      <c r="K626" s="8"/>
      <c r="L626" s="8"/>
      <c r="M626" s="8"/>
      <c r="N626" s="8"/>
      <c r="O626" s="8"/>
      <c r="P626" s="8"/>
      <c r="Q626" s="8"/>
      <c r="R626" s="9"/>
      <c r="S626" s="8"/>
      <c r="T626" s="9"/>
      <c r="U626" s="10" t="str">
        <f aca="true">IF(B626="","",IF(OR(P626&lt;&gt;"",I626="می‌باشد"),"بسته",IF(AND(L626&lt;&gt;"",W626=""),"خطای فرمت تاریخ ایجاد",IF(AND(H626&lt;&gt;"",AA626=""),"خطای فرمت مهلت",IF(AND(H626&lt;&gt;"",AD626&lt;&gt;"",TODAY()&gt;AD626),"تاخیر",IF(L626&lt;&gt;"","در حال انجام",""))))))</f>
        <v/>
      </c>
      <c r="V626" s="7" t="n">
        <f aca="true">IF(U626="تاخیر",TODAY()-AD626,IF(AND(U626="بسته",AH626&lt;&gt;"",AD626&lt;&gt;"",AH626&gt;AD626),AH626-AD626,0))</f>
        <v>0</v>
      </c>
      <c r="W626" s="7" t="str">
        <f aca="false">IF(L626="","",VALUE(LEFT(L626,FIND("/",L626)-1)))</f>
        <v/>
      </c>
      <c r="X626" s="7" t="str">
        <f aca="false">IF(L626="","",VALUE(MID(L626,FIND("/",L626)+1,FIND("/",L626,FIND("/",L626)+1)-FIND("/",L626)-1)))</f>
        <v/>
      </c>
      <c r="Y626" s="7" t="str">
        <f aca="false">IF(L626="","",VALUE(MID(L626,FIND("/",L626,FIND("/",L626)+1)+1,LEN(L626)-FIND("/",L626,FIND("/",L626)+1))))</f>
        <v/>
      </c>
      <c r="Z626" s="7" t="str">
        <f aca="false">IF(OR(L626="",W626=""),"",IFERROR(INDEX('لیست‌ها'!$Q$3:$Q$53,MATCH(W626,'لیست‌ها'!$P$3:$P$53,0))+IF(X626&lt;=6,(X626-1)*31+Y626,IF(X626&lt;=11,186+(X626-7)*30+Y626,336+Y626))-1,""))</f>
        <v/>
      </c>
      <c r="AA626" s="7" t="str">
        <f aca="false">IF(H626="","",VALUE(LEFT(H626,FIND("/",H626)-1)))</f>
        <v/>
      </c>
      <c r="AB626" s="7" t="str">
        <f aca="false">IF(H626="","",VALUE(MID(H626,FIND("/",H626)+1,FIND("/",H626,FIND("/",H626)+1)-FIND("/",H626)-1)))</f>
        <v/>
      </c>
      <c r="AC626" s="7" t="str">
        <f aca="false">IF(H626="","",VALUE(MID(H626,FIND("/",H626,FIND("/",H626)+1)+1,LEN(H626)-FIND("/",H626,FIND("/",H626)+1))))</f>
        <v/>
      </c>
      <c r="AD626" s="7" t="str">
        <f aca="false">IF(OR(H626="",AA626=""),"",IFERROR(INDEX('لیست‌ها'!$Q$3:$Q$53,MATCH(AA626,'لیست‌ها'!$P$3:$P$53,0))+IF(AB626&lt;=6,(AB626-1)*31+AC626,IF(AB626&lt;=11,186+(AB626-7)*30+AC626,336+AC626))-1,""))</f>
        <v/>
      </c>
      <c r="AE626" s="7" t="str">
        <f aca="false">IF(P626="","",VALUE(LEFT(P626,FIND("/",P626)-1)))</f>
        <v/>
      </c>
      <c r="AF626" s="7" t="str">
        <f aca="false">IF(P626="","",VALUE(MID(P626,FIND("/",P626)+1,FIND("/",P626,FIND("/",P626)+1)-FIND("/",P626)-1)))</f>
        <v/>
      </c>
      <c r="AG626" s="7" t="str">
        <f aca="false">IF(P626="","",VALUE(MID(P626,FIND("/",P626,FIND("/",P626)+1)+1,LEN(P626)-FIND("/",P626,FIND("/",P626)+1))))</f>
        <v/>
      </c>
      <c r="AH626" s="7" t="str">
        <f aca="false">IF(OR(P626="",AE626=""),"",IFERROR(INDEX('لیست‌ها'!$Q$3:$Q$53,MATCH(AE626,'لیست‌ها'!$P$3:$P$53,0))+IF(AF626&lt;=6,(AF626-1)*31+AG626,IF(AF626&lt;=11,186+(AF626-7)*30+AG626,336+AG626))-1,""))</f>
        <v/>
      </c>
      <c r="AI626" s="7" t="str">
        <f aca="false">IF(W626="","",W626&amp;"-"&amp;TEXT(X626,"00"))</f>
        <v/>
      </c>
      <c r="AJ626" s="7" t="str">
        <f aca="false">IF(W626="","",W626*12+X626)</f>
        <v/>
      </c>
      <c r="AK626" s="7" t="str">
        <f aca="false">IF(U626="تاخیر",V626+ROW()/100000,"")</f>
        <v/>
      </c>
    </row>
    <row r="627" customFormat="false" ht="15" hidden="false" customHeight="false" outlineLevel="0" collapsed="false">
      <c r="A627" s="7" t="str">
        <f aca="false">IF(B627="","",ROW()-3)</f>
        <v/>
      </c>
      <c r="B627" s="8"/>
      <c r="C627" s="8"/>
      <c r="D627" s="8"/>
      <c r="E627" s="9"/>
      <c r="F627" s="9"/>
      <c r="G627" s="8"/>
      <c r="H627" s="8"/>
      <c r="I627" s="8"/>
      <c r="J627" s="9"/>
      <c r="K627" s="8"/>
      <c r="L627" s="8"/>
      <c r="M627" s="8"/>
      <c r="N627" s="8"/>
      <c r="O627" s="8"/>
      <c r="P627" s="8"/>
      <c r="Q627" s="8"/>
      <c r="R627" s="9"/>
      <c r="S627" s="8"/>
      <c r="T627" s="9"/>
      <c r="U627" s="10" t="str">
        <f aca="true">IF(B627="","",IF(OR(P627&lt;&gt;"",I627="می‌باشد"),"بسته",IF(AND(L627&lt;&gt;"",W627=""),"خطای فرمت تاریخ ایجاد",IF(AND(H627&lt;&gt;"",AA627=""),"خطای فرمت مهلت",IF(AND(H627&lt;&gt;"",AD627&lt;&gt;"",TODAY()&gt;AD627),"تاخیر",IF(L627&lt;&gt;"","در حال انجام",""))))))</f>
        <v/>
      </c>
      <c r="V627" s="7" t="n">
        <f aca="true">IF(U627="تاخیر",TODAY()-AD627,IF(AND(U627="بسته",AH627&lt;&gt;"",AD627&lt;&gt;"",AH627&gt;AD627),AH627-AD627,0))</f>
        <v>0</v>
      </c>
      <c r="W627" s="7" t="str">
        <f aca="false">IF(L627="","",VALUE(LEFT(L627,FIND("/",L627)-1)))</f>
        <v/>
      </c>
      <c r="X627" s="7" t="str">
        <f aca="false">IF(L627="","",VALUE(MID(L627,FIND("/",L627)+1,FIND("/",L627,FIND("/",L627)+1)-FIND("/",L627)-1)))</f>
        <v/>
      </c>
      <c r="Y627" s="7" t="str">
        <f aca="false">IF(L627="","",VALUE(MID(L627,FIND("/",L627,FIND("/",L627)+1)+1,LEN(L627)-FIND("/",L627,FIND("/",L627)+1))))</f>
        <v/>
      </c>
      <c r="Z627" s="7" t="str">
        <f aca="false">IF(OR(L627="",W627=""),"",IFERROR(INDEX('لیست‌ها'!$Q$3:$Q$53,MATCH(W627,'لیست‌ها'!$P$3:$P$53,0))+IF(X627&lt;=6,(X627-1)*31+Y627,IF(X627&lt;=11,186+(X627-7)*30+Y627,336+Y627))-1,""))</f>
        <v/>
      </c>
      <c r="AA627" s="7" t="str">
        <f aca="false">IF(H627="","",VALUE(LEFT(H627,FIND("/",H627)-1)))</f>
        <v/>
      </c>
      <c r="AB627" s="7" t="str">
        <f aca="false">IF(H627="","",VALUE(MID(H627,FIND("/",H627)+1,FIND("/",H627,FIND("/",H627)+1)-FIND("/",H627)-1)))</f>
        <v/>
      </c>
      <c r="AC627" s="7" t="str">
        <f aca="false">IF(H627="","",VALUE(MID(H627,FIND("/",H627,FIND("/",H627)+1)+1,LEN(H627)-FIND("/",H627,FIND("/",H627)+1))))</f>
        <v/>
      </c>
      <c r="AD627" s="7" t="str">
        <f aca="false">IF(OR(H627="",AA627=""),"",IFERROR(INDEX('لیست‌ها'!$Q$3:$Q$53,MATCH(AA627,'لیست‌ها'!$P$3:$P$53,0))+IF(AB627&lt;=6,(AB627-1)*31+AC627,IF(AB627&lt;=11,186+(AB627-7)*30+AC627,336+AC627))-1,""))</f>
        <v/>
      </c>
      <c r="AE627" s="7" t="str">
        <f aca="false">IF(P627="","",VALUE(LEFT(P627,FIND("/",P627)-1)))</f>
        <v/>
      </c>
      <c r="AF627" s="7" t="str">
        <f aca="false">IF(P627="","",VALUE(MID(P627,FIND("/",P627)+1,FIND("/",P627,FIND("/",P627)+1)-FIND("/",P627)-1)))</f>
        <v/>
      </c>
      <c r="AG627" s="7" t="str">
        <f aca="false">IF(P627="","",VALUE(MID(P627,FIND("/",P627,FIND("/",P627)+1)+1,LEN(P627)-FIND("/",P627,FIND("/",P627)+1))))</f>
        <v/>
      </c>
      <c r="AH627" s="7" t="str">
        <f aca="false">IF(OR(P627="",AE627=""),"",IFERROR(INDEX('لیست‌ها'!$Q$3:$Q$53,MATCH(AE627,'لیست‌ها'!$P$3:$P$53,0))+IF(AF627&lt;=6,(AF627-1)*31+AG627,IF(AF627&lt;=11,186+(AF627-7)*30+AG627,336+AG627))-1,""))</f>
        <v/>
      </c>
      <c r="AI627" s="7" t="str">
        <f aca="false">IF(W627="","",W627&amp;"-"&amp;TEXT(X627,"00"))</f>
        <v/>
      </c>
      <c r="AJ627" s="7" t="str">
        <f aca="false">IF(W627="","",W627*12+X627)</f>
        <v/>
      </c>
      <c r="AK627" s="7" t="str">
        <f aca="false">IF(U627="تاخیر",V627+ROW()/100000,"")</f>
        <v/>
      </c>
    </row>
    <row r="628" customFormat="false" ht="15" hidden="false" customHeight="false" outlineLevel="0" collapsed="false">
      <c r="A628" s="7" t="str">
        <f aca="false">IF(B628="","",ROW()-3)</f>
        <v/>
      </c>
      <c r="B628" s="8"/>
      <c r="C628" s="8"/>
      <c r="D628" s="8"/>
      <c r="E628" s="9"/>
      <c r="F628" s="9"/>
      <c r="G628" s="8"/>
      <c r="H628" s="8"/>
      <c r="I628" s="8"/>
      <c r="J628" s="9"/>
      <c r="K628" s="8"/>
      <c r="L628" s="8"/>
      <c r="M628" s="8"/>
      <c r="N628" s="8"/>
      <c r="O628" s="8"/>
      <c r="P628" s="8"/>
      <c r="Q628" s="8"/>
      <c r="R628" s="9"/>
      <c r="S628" s="8"/>
      <c r="T628" s="9"/>
      <c r="U628" s="10" t="str">
        <f aca="true">IF(B628="","",IF(OR(P628&lt;&gt;"",I628="می‌باشد"),"بسته",IF(AND(L628&lt;&gt;"",W628=""),"خطای فرمت تاریخ ایجاد",IF(AND(H628&lt;&gt;"",AA628=""),"خطای فرمت مهلت",IF(AND(H628&lt;&gt;"",AD628&lt;&gt;"",TODAY()&gt;AD628),"تاخیر",IF(L628&lt;&gt;"","در حال انجام",""))))))</f>
        <v/>
      </c>
      <c r="V628" s="7" t="n">
        <f aca="true">IF(U628="تاخیر",TODAY()-AD628,IF(AND(U628="بسته",AH628&lt;&gt;"",AD628&lt;&gt;"",AH628&gt;AD628),AH628-AD628,0))</f>
        <v>0</v>
      </c>
      <c r="W628" s="7" t="str">
        <f aca="false">IF(L628="","",VALUE(LEFT(L628,FIND("/",L628)-1)))</f>
        <v/>
      </c>
      <c r="X628" s="7" t="str">
        <f aca="false">IF(L628="","",VALUE(MID(L628,FIND("/",L628)+1,FIND("/",L628,FIND("/",L628)+1)-FIND("/",L628)-1)))</f>
        <v/>
      </c>
      <c r="Y628" s="7" t="str">
        <f aca="false">IF(L628="","",VALUE(MID(L628,FIND("/",L628,FIND("/",L628)+1)+1,LEN(L628)-FIND("/",L628,FIND("/",L628)+1))))</f>
        <v/>
      </c>
      <c r="Z628" s="7" t="str">
        <f aca="false">IF(OR(L628="",W628=""),"",IFERROR(INDEX('لیست‌ها'!$Q$3:$Q$53,MATCH(W628,'لیست‌ها'!$P$3:$P$53,0))+IF(X628&lt;=6,(X628-1)*31+Y628,IF(X628&lt;=11,186+(X628-7)*30+Y628,336+Y628))-1,""))</f>
        <v/>
      </c>
      <c r="AA628" s="7" t="str">
        <f aca="false">IF(H628="","",VALUE(LEFT(H628,FIND("/",H628)-1)))</f>
        <v/>
      </c>
      <c r="AB628" s="7" t="str">
        <f aca="false">IF(H628="","",VALUE(MID(H628,FIND("/",H628)+1,FIND("/",H628,FIND("/",H628)+1)-FIND("/",H628)-1)))</f>
        <v/>
      </c>
      <c r="AC628" s="7" t="str">
        <f aca="false">IF(H628="","",VALUE(MID(H628,FIND("/",H628,FIND("/",H628)+1)+1,LEN(H628)-FIND("/",H628,FIND("/",H628)+1))))</f>
        <v/>
      </c>
      <c r="AD628" s="7" t="str">
        <f aca="false">IF(OR(H628="",AA628=""),"",IFERROR(INDEX('لیست‌ها'!$Q$3:$Q$53,MATCH(AA628,'لیست‌ها'!$P$3:$P$53,0))+IF(AB628&lt;=6,(AB628-1)*31+AC628,IF(AB628&lt;=11,186+(AB628-7)*30+AC628,336+AC628))-1,""))</f>
        <v/>
      </c>
      <c r="AE628" s="7" t="str">
        <f aca="false">IF(P628="","",VALUE(LEFT(P628,FIND("/",P628)-1)))</f>
        <v/>
      </c>
      <c r="AF628" s="7" t="str">
        <f aca="false">IF(P628="","",VALUE(MID(P628,FIND("/",P628)+1,FIND("/",P628,FIND("/",P628)+1)-FIND("/",P628)-1)))</f>
        <v/>
      </c>
      <c r="AG628" s="7" t="str">
        <f aca="false">IF(P628="","",VALUE(MID(P628,FIND("/",P628,FIND("/",P628)+1)+1,LEN(P628)-FIND("/",P628,FIND("/",P628)+1))))</f>
        <v/>
      </c>
      <c r="AH628" s="7" t="str">
        <f aca="false">IF(OR(P628="",AE628=""),"",IFERROR(INDEX('لیست‌ها'!$Q$3:$Q$53,MATCH(AE628,'لیست‌ها'!$P$3:$P$53,0))+IF(AF628&lt;=6,(AF628-1)*31+AG628,IF(AF628&lt;=11,186+(AF628-7)*30+AG628,336+AG628))-1,""))</f>
        <v/>
      </c>
      <c r="AI628" s="7" t="str">
        <f aca="false">IF(W628="","",W628&amp;"-"&amp;TEXT(X628,"00"))</f>
        <v/>
      </c>
      <c r="AJ628" s="7" t="str">
        <f aca="false">IF(W628="","",W628*12+X628)</f>
        <v/>
      </c>
      <c r="AK628" s="7" t="str">
        <f aca="false">IF(U628="تاخیر",V628+ROW()/100000,"")</f>
        <v/>
      </c>
    </row>
    <row r="629" customFormat="false" ht="15" hidden="false" customHeight="false" outlineLevel="0" collapsed="false">
      <c r="A629" s="7" t="str">
        <f aca="false">IF(B629="","",ROW()-3)</f>
        <v/>
      </c>
      <c r="B629" s="8"/>
      <c r="C629" s="8"/>
      <c r="D629" s="8"/>
      <c r="E629" s="9"/>
      <c r="F629" s="9"/>
      <c r="G629" s="8"/>
      <c r="H629" s="8"/>
      <c r="I629" s="8"/>
      <c r="J629" s="9"/>
      <c r="K629" s="8"/>
      <c r="L629" s="8"/>
      <c r="M629" s="8"/>
      <c r="N629" s="8"/>
      <c r="O629" s="8"/>
      <c r="P629" s="8"/>
      <c r="Q629" s="8"/>
      <c r="R629" s="9"/>
      <c r="S629" s="8"/>
      <c r="T629" s="9"/>
      <c r="U629" s="10" t="str">
        <f aca="true">IF(B629="","",IF(OR(P629&lt;&gt;"",I629="می‌باشد"),"بسته",IF(AND(L629&lt;&gt;"",W629=""),"خطای فرمت تاریخ ایجاد",IF(AND(H629&lt;&gt;"",AA629=""),"خطای فرمت مهلت",IF(AND(H629&lt;&gt;"",AD629&lt;&gt;"",TODAY()&gt;AD629),"تاخیر",IF(L629&lt;&gt;"","در حال انجام",""))))))</f>
        <v/>
      </c>
      <c r="V629" s="7" t="n">
        <f aca="true">IF(U629="تاخیر",TODAY()-AD629,IF(AND(U629="بسته",AH629&lt;&gt;"",AD629&lt;&gt;"",AH629&gt;AD629),AH629-AD629,0))</f>
        <v>0</v>
      </c>
      <c r="W629" s="7" t="str">
        <f aca="false">IF(L629="","",VALUE(LEFT(L629,FIND("/",L629)-1)))</f>
        <v/>
      </c>
      <c r="X629" s="7" t="str">
        <f aca="false">IF(L629="","",VALUE(MID(L629,FIND("/",L629)+1,FIND("/",L629,FIND("/",L629)+1)-FIND("/",L629)-1)))</f>
        <v/>
      </c>
      <c r="Y629" s="7" t="str">
        <f aca="false">IF(L629="","",VALUE(MID(L629,FIND("/",L629,FIND("/",L629)+1)+1,LEN(L629)-FIND("/",L629,FIND("/",L629)+1))))</f>
        <v/>
      </c>
      <c r="Z629" s="7" t="str">
        <f aca="false">IF(OR(L629="",W629=""),"",IFERROR(INDEX('لیست‌ها'!$Q$3:$Q$53,MATCH(W629,'لیست‌ها'!$P$3:$P$53,0))+IF(X629&lt;=6,(X629-1)*31+Y629,IF(X629&lt;=11,186+(X629-7)*30+Y629,336+Y629))-1,""))</f>
        <v/>
      </c>
      <c r="AA629" s="7" t="str">
        <f aca="false">IF(H629="","",VALUE(LEFT(H629,FIND("/",H629)-1)))</f>
        <v/>
      </c>
      <c r="AB629" s="7" t="str">
        <f aca="false">IF(H629="","",VALUE(MID(H629,FIND("/",H629)+1,FIND("/",H629,FIND("/",H629)+1)-FIND("/",H629)-1)))</f>
        <v/>
      </c>
      <c r="AC629" s="7" t="str">
        <f aca="false">IF(H629="","",VALUE(MID(H629,FIND("/",H629,FIND("/",H629)+1)+1,LEN(H629)-FIND("/",H629,FIND("/",H629)+1))))</f>
        <v/>
      </c>
      <c r="AD629" s="7" t="str">
        <f aca="false">IF(OR(H629="",AA629=""),"",IFERROR(INDEX('لیست‌ها'!$Q$3:$Q$53,MATCH(AA629,'لیست‌ها'!$P$3:$P$53,0))+IF(AB629&lt;=6,(AB629-1)*31+AC629,IF(AB629&lt;=11,186+(AB629-7)*30+AC629,336+AC629))-1,""))</f>
        <v/>
      </c>
      <c r="AE629" s="7" t="str">
        <f aca="false">IF(P629="","",VALUE(LEFT(P629,FIND("/",P629)-1)))</f>
        <v/>
      </c>
      <c r="AF629" s="7" t="str">
        <f aca="false">IF(P629="","",VALUE(MID(P629,FIND("/",P629)+1,FIND("/",P629,FIND("/",P629)+1)-FIND("/",P629)-1)))</f>
        <v/>
      </c>
      <c r="AG629" s="7" t="str">
        <f aca="false">IF(P629="","",VALUE(MID(P629,FIND("/",P629,FIND("/",P629)+1)+1,LEN(P629)-FIND("/",P629,FIND("/",P629)+1))))</f>
        <v/>
      </c>
      <c r="AH629" s="7" t="str">
        <f aca="false">IF(OR(P629="",AE629=""),"",IFERROR(INDEX('لیست‌ها'!$Q$3:$Q$53,MATCH(AE629,'لیست‌ها'!$P$3:$P$53,0))+IF(AF629&lt;=6,(AF629-1)*31+AG629,IF(AF629&lt;=11,186+(AF629-7)*30+AG629,336+AG629))-1,""))</f>
        <v/>
      </c>
      <c r="AI629" s="7" t="str">
        <f aca="false">IF(W629="","",W629&amp;"-"&amp;TEXT(X629,"00"))</f>
        <v/>
      </c>
      <c r="AJ629" s="7" t="str">
        <f aca="false">IF(W629="","",W629*12+X629)</f>
        <v/>
      </c>
      <c r="AK629" s="7" t="str">
        <f aca="false">IF(U629="تاخیر",V629+ROW()/100000,"")</f>
        <v/>
      </c>
    </row>
    <row r="630" customFormat="false" ht="15" hidden="false" customHeight="false" outlineLevel="0" collapsed="false">
      <c r="A630" s="7" t="str">
        <f aca="false">IF(B630="","",ROW()-3)</f>
        <v/>
      </c>
      <c r="B630" s="8"/>
      <c r="C630" s="8"/>
      <c r="D630" s="8"/>
      <c r="E630" s="9"/>
      <c r="F630" s="9"/>
      <c r="G630" s="8"/>
      <c r="H630" s="8"/>
      <c r="I630" s="8"/>
      <c r="J630" s="9"/>
      <c r="K630" s="8"/>
      <c r="L630" s="8"/>
      <c r="M630" s="8"/>
      <c r="N630" s="8"/>
      <c r="O630" s="8"/>
      <c r="P630" s="8"/>
      <c r="Q630" s="8"/>
      <c r="R630" s="9"/>
      <c r="S630" s="8"/>
      <c r="T630" s="9"/>
      <c r="U630" s="10" t="str">
        <f aca="true">IF(B630="","",IF(OR(P630&lt;&gt;"",I630="می‌باشد"),"بسته",IF(AND(L630&lt;&gt;"",W630=""),"خطای فرمت تاریخ ایجاد",IF(AND(H630&lt;&gt;"",AA630=""),"خطای فرمت مهلت",IF(AND(H630&lt;&gt;"",AD630&lt;&gt;"",TODAY()&gt;AD630),"تاخیر",IF(L630&lt;&gt;"","در حال انجام",""))))))</f>
        <v/>
      </c>
      <c r="V630" s="7" t="n">
        <f aca="true">IF(U630="تاخیر",TODAY()-AD630,IF(AND(U630="بسته",AH630&lt;&gt;"",AD630&lt;&gt;"",AH630&gt;AD630),AH630-AD630,0))</f>
        <v>0</v>
      </c>
      <c r="W630" s="7" t="str">
        <f aca="false">IF(L630="","",VALUE(LEFT(L630,FIND("/",L630)-1)))</f>
        <v/>
      </c>
      <c r="X630" s="7" t="str">
        <f aca="false">IF(L630="","",VALUE(MID(L630,FIND("/",L630)+1,FIND("/",L630,FIND("/",L630)+1)-FIND("/",L630)-1)))</f>
        <v/>
      </c>
      <c r="Y630" s="7" t="str">
        <f aca="false">IF(L630="","",VALUE(MID(L630,FIND("/",L630,FIND("/",L630)+1)+1,LEN(L630)-FIND("/",L630,FIND("/",L630)+1))))</f>
        <v/>
      </c>
      <c r="Z630" s="7" t="str">
        <f aca="false">IF(OR(L630="",W630=""),"",IFERROR(INDEX('لیست‌ها'!$Q$3:$Q$53,MATCH(W630,'لیست‌ها'!$P$3:$P$53,0))+IF(X630&lt;=6,(X630-1)*31+Y630,IF(X630&lt;=11,186+(X630-7)*30+Y630,336+Y630))-1,""))</f>
        <v/>
      </c>
      <c r="AA630" s="7" t="str">
        <f aca="false">IF(H630="","",VALUE(LEFT(H630,FIND("/",H630)-1)))</f>
        <v/>
      </c>
      <c r="AB630" s="7" t="str">
        <f aca="false">IF(H630="","",VALUE(MID(H630,FIND("/",H630)+1,FIND("/",H630,FIND("/",H630)+1)-FIND("/",H630)-1)))</f>
        <v/>
      </c>
      <c r="AC630" s="7" t="str">
        <f aca="false">IF(H630="","",VALUE(MID(H630,FIND("/",H630,FIND("/",H630)+1)+1,LEN(H630)-FIND("/",H630,FIND("/",H630)+1))))</f>
        <v/>
      </c>
      <c r="AD630" s="7" t="str">
        <f aca="false">IF(OR(H630="",AA630=""),"",IFERROR(INDEX('لیست‌ها'!$Q$3:$Q$53,MATCH(AA630,'لیست‌ها'!$P$3:$P$53,0))+IF(AB630&lt;=6,(AB630-1)*31+AC630,IF(AB630&lt;=11,186+(AB630-7)*30+AC630,336+AC630))-1,""))</f>
        <v/>
      </c>
      <c r="AE630" s="7" t="str">
        <f aca="false">IF(P630="","",VALUE(LEFT(P630,FIND("/",P630)-1)))</f>
        <v/>
      </c>
      <c r="AF630" s="7" t="str">
        <f aca="false">IF(P630="","",VALUE(MID(P630,FIND("/",P630)+1,FIND("/",P630,FIND("/",P630)+1)-FIND("/",P630)-1)))</f>
        <v/>
      </c>
      <c r="AG630" s="7" t="str">
        <f aca="false">IF(P630="","",VALUE(MID(P630,FIND("/",P630,FIND("/",P630)+1)+1,LEN(P630)-FIND("/",P630,FIND("/",P630)+1))))</f>
        <v/>
      </c>
      <c r="AH630" s="7" t="str">
        <f aca="false">IF(OR(P630="",AE630=""),"",IFERROR(INDEX('لیست‌ها'!$Q$3:$Q$53,MATCH(AE630,'لیست‌ها'!$P$3:$P$53,0))+IF(AF630&lt;=6,(AF630-1)*31+AG630,IF(AF630&lt;=11,186+(AF630-7)*30+AG630,336+AG630))-1,""))</f>
        <v/>
      </c>
      <c r="AI630" s="7" t="str">
        <f aca="false">IF(W630="","",W630&amp;"-"&amp;TEXT(X630,"00"))</f>
        <v/>
      </c>
      <c r="AJ630" s="7" t="str">
        <f aca="false">IF(W630="","",W630*12+X630)</f>
        <v/>
      </c>
      <c r="AK630" s="7" t="str">
        <f aca="false">IF(U630="تاخیر",V630+ROW()/100000,"")</f>
        <v/>
      </c>
    </row>
    <row r="631" customFormat="false" ht="15" hidden="false" customHeight="false" outlineLevel="0" collapsed="false">
      <c r="A631" s="7" t="str">
        <f aca="false">IF(B631="","",ROW()-3)</f>
        <v/>
      </c>
      <c r="B631" s="8"/>
      <c r="C631" s="8"/>
      <c r="D631" s="8"/>
      <c r="E631" s="9"/>
      <c r="F631" s="9"/>
      <c r="G631" s="8"/>
      <c r="H631" s="8"/>
      <c r="I631" s="8"/>
      <c r="J631" s="9"/>
      <c r="K631" s="8"/>
      <c r="L631" s="8"/>
      <c r="M631" s="8"/>
      <c r="N631" s="8"/>
      <c r="O631" s="8"/>
      <c r="P631" s="8"/>
      <c r="Q631" s="8"/>
      <c r="R631" s="9"/>
      <c r="S631" s="8"/>
      <c r="T631" s="9"/>
      <c r="U631" s="10" t="str">
        <f aca="true">IF(B631="","",IF(OR(P631&lt;&gt;"",I631="می‌باشد"),"بسته",IF(AND(L631&lt;&gt;"",W631=""),"خطای فرمت تاریخ ایجاد",IF(AND(H631&lt;&gt;"",AA631=""),"خطای فرمت مهلت",IF(AND(H631&lt;&gt;"",AD631&lt;&gt;"",TODAY()&gt;AD631),"تاخیر",IF(L631&lt;&gt;"","در حال انجام",""))))))</f>
        <v/>
      </c>
      <c r="V631" s="7" t="n">
        <f aca="true">IF(U631="تاخیر",TODAY()-AD631,IF(AND(U631="بسته",AH631&lt;&gt;"",AD631&lt;&gt;"",AH631&gt;AD631),AH631-AD631,0))</f>
        <v>0</v>
      </c>
      <c r="W631" s="7" t="str">
        <f aca="false">IF(L631="","",VALUE(LEFT(L631,FIND("/",L631)-1)))</f>
        <v/>
      </c>
      <c r="X631" s="7" t="str">
        <f aca="false">IF(L631="","",VALUE(MID(L631,FIND("/",L631)+1,FIND("/",L631,FIND("/",L631)+1)-FIND("/",L631)-1)))</f>
        <v/>
      </c>
      <c r="Y631" s="7" t="str">
        <f aca="false">IF(L631="","",VALUE(MID(L631,FIND("/",L631,FIND("/",L631)+1)+1,LEN(L631)-FIND("/",L631,FIND("/",L631)+1))))</f>
        <v/>
      </c>
      <c r="Z631" s="7" t="str">
        <f aca="false">IF(OR(L631="",W631=""),"",IFERROR(INDEX('لیست‌ها'!$Q$3:$Q$53,MATCH(W631,'لیست‌ها'!$P$3:$P$53,0))+IF(X631&lt;=6,(X631-1)*31+Y631,IF(X631&lt;=11,186+(X631-7)*30+Y631,336+Y631))-1,""))</f>
        <v/>
      </c>
      <c r="AA631" s="7" t="str">
        <f aca="false">IF(H631="","",VALUE(LEFT(H631,FIND("/",H631)-1)))</f>
        <v/>
      </c>
      <c r="AB631" s="7" t="str">
        <f aca="false">IF(H631="","",VALUE(MID(H631,FIND("/",H631)+1,FIND("/",H631,FIND("/",H631)+1)-FIND("/",H631)-1)))</f>
        <v/>
      </c>
      <c r="AC631" s="7" t="str">
        <f aca="false">IF(H631="","",VALUE(MID(H631,FIND("/",H631,FIND("/",H631)+1)+1,LEN(H631)-FIND("/",H631,FIND("/",H631)+1))))</f>
        <v/>
      </c>
      <c r="AD631" s="7" t="str">
        <f aca="false">IF(OR(H631="",AA631=""),"",IFERROR(INDEX('لیست‌ها'!$Q$3:$Q$53,MATCH(AA631,'لیست‌ها'!$P$3:$P$53,0))+IF(AB631&lt;=6,(AB631-1)*31+AC631,IF(AB631&lt;=11,186+(AB631-7)*30+AC631,336+AC631))-1,""))</f>
        <v/>
      </c>
      <c r="AE631" s="7" t="str">
        <f aca="false">IF(P631="","",VALUE(LEFT(P631,FIND("/",P631)-1)))</f>
        <v/>
      </c>
      <c r="AF631" s="7" t="str">
        <f aca="false">IF(P631="","",VALUE(MID(P631,FIND("/",P631)+1,FIND("/",P631,FIND("/",P631)+1)-FIND("/",P631)-1)))</f>
        <v/>
      </c>
      <c r="AG631" s="7" t="str">
        <f aca="false">IF(P631="","",VALUE(MID(P631,FIND("/",P631,FIND("/",P631)+1)+1,LEN(P631)-FIND("/",P631,FIND("/",P631)+1))))</f>
        <v/>
      </c>
      <c r="AH631" s="7" t="str">
        <f aca="false">IF(OR(P631="",AE631=""),"",IFERROR(INDEX('لیست‌ها'!$Q$3:$Q$53,MATCH(AE631,'لیست‌ها'!$P$3:$P$53,0))+IF(AF631&lt;=6,(AF631-1)*31+AG631,IF(AF631&lt;=11,186+(AF631-7)*30+AG631,336+AG631))-1,""))</f>
        <v/>
      </c>
      <c r="AI631" s="7" t="str">
        <f aca="false">IF(W631="","",W631&amp;"-"&amp;TEXT(X631,"00"))</f>
        <v/>
      </c>
      <c r="AJ631" s="7" t="str">
        <f aca="false">IF(W631="","",W631*12+X631)</f>
        <v/>
      </c>
      <c r="AK631" s="7" t="str">
        <f aca="false">IF(U631="تاخیر",V631+ROW()/100000,"")</f>
        <v/>
      </c>
    </row>
    <row r="632" customFormat="false" ht="15" hidden="false" customHeight="false" outlineLevel="0" collapsed="false">
      <c r="A632" s="7" t="str">
        <f aca="false">IF(B632="","",ROW()-3)</f>
        <v/>
      </c>
      <c r="B632" s="8"/>
      <c r="C632" s="8"/>
      <c r="D632" s="8"/>
      <c r="E632" s="9"/>
      <c r="F632" s="9"/>
      <c r="G632" s="8"/>
      <c r="H632" s="8"/>
      <c r="I632" s="8"/>
      <c r="J632" s="9"/>
      <c r="K632" s="8"/>
      <c r="L632" s="8"/>
      <c r="M632" s="8"/>
      <c r="N632" s="8"/>
      <c r="O632" s="8"/>
      <c r="P632" s="8"/>
      <c r="Q632" s="8"/>
      <c r="R632" s="9"/>
      <c r="S632" s="8"/>
      <c r="T632" s="9"/>
      <c r="U632" s="10" t="str">
        <f aca="true">IF(B632="","",IF(OR(P632&lt;&gt;"",I632="می‌باشد"),"بسته",IF(AND(L632&lt;&gt;"",W632=""),"خطای فرمت تاریخ ایجاد",IF(AND(H632&lt;&gt;"",AA632=""),"خطای فرمت مهلت",IF(AND(H632&lt;&gt;"",AD632&lt;&gt;"",TODAY()&gt;AD632),"تاخیر",IF(L632&lt;&gt;"","در حال انجام",""))))))</f>
        <v/>
      </c>
      <c r="V632" s="7" t="n">
        <f aca="true">IF(U632="تاخیر",TODAY()-AD632,IF(AND(U632="بسته",AH632&lt;&gt;"",AD632&lt;&gt;"",AH632&gt;AD632),AH632-AD632,0))</f>
        <v>0</v>
      </c>
      <c r="W632" s="7" t="str">
        <f aca="false">IF(L632="","",VALUE(LEFT(L632,FIND("/",L632)-1)))</f>
        <v/>
      </c>
      <c r="X632" s="7" t="str">
        <f aca="false">IF(L632="","",VALUE(MID(L632,FIND("/",L632)+1,FIND("/",L632,FIND("/",L632)+1)-FIND("/",L632)-1)))</f>
        <v/>
      </c>
      <c r="Y632" s="7" t="str">
        <f aca="false">IF(L632="","",VALUE(MID(L632,FIND("/",L632,FIND("/",L632)+1)+1,LEN(L632)-FIND("/",L632,FIND("/",L632)+1))))</f>
        <v/>
      </c>
      <c r="Z632" s="7" t="str">
        <f aca="false">IF(OR(L632="",W632=""),"",IFERROR(INDEX('لیست‌ها'!$Q$3:$Q$53,MATCH(W632,'لیست‌ها'!$P$3:$P$53,0))+IF(X632&lt;=6,(X632-1)*31+Y632,IF(X632&lt;=11,186+(X632-7)*30+Y632,336+Y632))-1,""))</f>
        <v/>
      </c>
      <c r="AA632" s="7" t="str">
        <f aca="false">IF(H632="","",VALUE(LEFT(H632,FIND("/",H632)-1)))</f>
        <v/>
      </c>
      <c r="AB632" s="7" t="str">
        <f aca="false">IF(H632="","",VALUE(MID(H632,FIND("/",H632)+1,FIND("/",H632,FIND("/",H632)+1)-FIND("/",H632)-1)))</f>
        <v/>
      </c>
      <c r="AC632" s="7" t="str">
        <f aca="false">IF(H632="","",VALUE(MID(H632,FIND("/",H632,FIND("/",H632)+1)+1,LEN(H632)-FIND("/",H632,FIND("/",H632)+1))))</f>
        <v/>
      </c>
      <c r="AD632" s="7" t="str">
        <f aca="false">IF(OR(H632="",AA632=""),"",IFERROR(INDEX('لیست‌ها'!$Q$3:$Q$53,MATCH(AA632,'لیست‌ها'!$P$3:$P$53,0))+IF(AB632&lt;=6,(AB632-1)*31+AC632,IF(AB632&lt;=11,186+(AB632-7)*30+AC632,336+AC632))-1,""))</f>
        <v/>
      </c>
      <c r="AE632" s="7" t="str">
        <f aca="false">IF(P632="","",VALUE(LEFT(P632,FIND("/",P632)-1)))</f>
        <v/>
      </c>
      <c r="AF632" s="7" t="str">
        <f aca="false">IF(P632="","",VALUE(MID(P632,FIND("/",P632)+1,FIND("/",P632,FIND("/",P632)+1)-FIND("/",P632)-1)))</f>
        <v/>
      </c>
      <c r="AG632" s="7" t="str">
        <f aca="false">IF(P632="","",VALUE(MID(P632,FIND("/",P632,FIND("/",P632)+1)+1,LEN(P632)-FIND("/",P632,FIND("/",P632)+1))))</f>
        <v/>
      </c>
      <c r="AH632" s="7" t="str">
        <f aca="false">IF(OR(P632="",AE632=""),"",IFERROR(INDEX('لیست‌ها'!$Q$3:$Q$53,MATCH(AE632,'لیست‌ها'!$P$3:$P$53,0))+IF(AF632&lt;=6,(AF632-1)*31+AG632,IF(AF632&lt;=11,186+(AF632-7)*30+AG632,336+AG632))-1,""))</f>
        <v/>
      </c>
      <c r="AI632" s="7" t="str">
        <f aca="false">IF(W632="","",W632&amp;"-"&amp;TEXT(X632,"00"))</f>
        <v/>
      </c>
      <c r="AJ632" s="7" t="str">
        <f aca="false">IF(W632="","",W632*12+X632)</f>
        <v/>
      </c>
      <c r="AK632" s="7" t="str">
        <f aca="false">IF(U632="تاخیر",V632+ROW()/100000,"")</f>
        <v/>
      </c>
    </row>
    <row r="633" customFormat="false" ht="15" hidden="false" customHeight="false" outlineLevel="0" collapsed="false">
      <c r="A633" s="7" t="str">
        <f aca="false">IF(B633="","",ROW()-3)</f>
        <v/>
      </c>
      <c r="B633" s="8"/>
      <c r="C633" s="8"/>
      <c r="D633" s="8"/>
      <c r="E633" s="9"/>
      <c r="F633" s="9"/>
      <c r="G633" s="8"/>
      <c r="H633" s="8"/>
      <c r="I633" s="8"/>
      <c r="J633" s="9"/>
      <c r="K633" s="8"/>
      <c r="L633" s="8"/>
      <c r="M633" s="8"/>
      <c r="N633" s="8"/>
      <c r="O633" s="8"/>
      <c r="P633" s="8"/>
      <c r="Q633" s="8"/>
      <c r="R633" s="9"/>
      <c r="S633" s="8"/>
      <c r="T633" s="9"/>
      <c r="U633" s="10" t="str">
        <f aca="true">IF(B633="","",IF(OR(P633&lt;&gt;"",I633="می‌باشد"),"بسته",IF(AND(L633&lt;&gt;"",W633=""),"خطای فرمت تاریخ ایجاد",IF(AND(H633&lt;&gt;"",AA633=""),"خطای فرمت مهلت",IF(AND(H633&lt;&gt;"",AD633&lt;&gt;"",TODAY()&gt;AD633),"تاخیر",IF(L633&lt;&gt;"","در حال انجام",""))))))</f>
        <v/>
      </c>
      <c r="V633" s="7" t="n">
        <f aca="true">IF(U633="تاخیر",TODAY()-AD633,IF(AND(U633="بسته",AH633&lt;&gt;"",AD633&lt;&gt;"",AH633&gt;AD633),AH633-AD633,0))</f>
        <v>0</v>
      </c>
      <c r="W633" s="7" t="str">
        <f aca="false">IF(L633="","",VALUE(LEFT(L633,FIND("/",L633)-1)))</f>
        <v/>
      </c>
      <c r="X633" s="7" t="str">
        <f aca="false">IF(L633="","",VALUE(MID(L633,FIND("/",L633)+1,FIND("/",L633,FIND("/",L633)+1)-FIND("/",L633)-1)))</f>
        <v/>
      </c>
      <c r="Y633" s="7" t="str">
        <f aca="false">IF(L633="","",VALUE(MID(L633,FIND("/",L633,FIND("/",L633)+1)+1,LEN(L633)-FIND("/",L633,FIND("/",L633)+1))))</f>
        <v/>
      </c>
      <c r="Z633" s="7" t="str">
        <f aca="false">IF(OR(L633="",W633=""),"",IFERROR(INDEX('لیست‌ها'!$Q$3:$Q$53,MATCH(W633,'لیست‌ها'!$P$3:$P$53,0))+IF(X633&lt;=6,(X633-1)*31+Y633,IF(X633&lt;=11,186+(X633-7)*30+Y633,336+Y633))-1,""))</f>
        <v/>
      </c>
      <c r="AA633" s="7" t="str">
        <f aca="false">IF(H633="","",VALUE(LEFT(H633,FIND("/",H633)-1)))</f>
        <v/>
      </c>
      <c r="AB633" s="7" t="str">
        <f aca="false">IF(H633="","",VALUE(MID(H633,FIND("/",H633)+1,FIND("/",H633,FIND("/",H633)+1)-FIND("/",H633)-1)))</f>
        <v/>
      </c>
      <c r="AC633" s="7" t="str">
        <f aca="false">IF(H633="","",VALUE(MID(H633,FIND("/",H633,FIND("/",H633)+1)+1,LEN(H633)-FIND("/",H633,FIND("/",H633)+1))))</f>
        <v/>
      </c>
      <c r="AD633" s="7" t="str">
        <f aca="false">IF(OR(H633="",AA633=""),"",IFERROR(INDEX('لیست‌ها'!$Q$3:$Q$53,MATCH(AA633,'لیست‌ها'!$P$3:$P$53,0))+IF(AB633&lt;=6,(AB633-1)*31+AC633,IF(AB633&lt;=11,186+(AB633-7)*30+AC633,336+AC633))-1,""))</f>
        <v/>
      </c>
      <c r="AE633" s="7" t="str">
        <f aca="false">IF(P633="","",VALUE(LEFT(P633,FIND("/",P633)-1)))</f>
        <v/>
      </c>
      <c r="AF633" s="7" t="str">
        <f aca="false">IF(P633="","",VALUE(MID(P633,FIND("/",P633)+1,FIND("/",P633,FIND("/",P633)+1)-FIND("/",P633)-1)))</f>
        <v/>
      </c>
      <c r="AG633" s="7" t="str">
        <f aca="false">IF(P633="","",VALUE(MID(P633,FIND("/",P633,FIND("/",P633)+1)+1,LEN(P633)-FIND("/",P633,FIND("/",P633)+1))))</f>
        <v/>
      </c>
      <c r="AH633" s="7" t="str">
        <f aca="false">IF(OR(P633="",AE633=""),"",IFERROR(INDEX('لیست‌ها'!$Q$3:$Q$53,MATCH(AE633,'لیست‌ها'!$P$3:$P$53,0))+IF(AF633&lt;=6,(AF633-1)*31+AG633,IF(AF633&lt;=11,186+(AF633-7)*30+AG633,336+AG633))-1,""))</f>
        <v/>
      </c>
      <c r="AI633" s="7" t="str">
        <f aca="false">IF(W633="","",W633&amp;"-"&amp;TEXT(X633,"00"))</f>
        <v/>
      </c>
      <c r="AJ633" s="7" t="str">
        <f aca="false">IF(W633="","",W633*12+X633)</f>
        <v/>
      </c>
      <c r="AK633" s="7" t="str">
        <f aca="false">IF(U633="تاخیر",V633+ROW()/100000,"")</f>
        <v/>
      </c>
    </row>
    <row r="634" customFormat="false" ht="15" hidden="false" customHeight="false" outlineLevel="0" collapsed="false">
      <c r="A634" s="7" t="str">
        <f aca="false">IF(B634="","",ROW()-3)</f>
        <v/>
      </c>
      <c r="B634" s="8"/>
      <c r="C634" s="8"/>
      <c r="D634" s="8"/>
      <c r="E634" s="9"/>
      <c r="F634" s="9"/>
      <c r="G634" s="8"/>
      <c r="H634" s="8"/>
      <c r="I634" s="8"/>
      <c r="J634" s="9"/>
      <c r="K634" s="8"/>
      <c r="L634" s="8"/>
      <c r="M634" s="8"/>
      <c r="N634" s="8"/>
      <c r="O634" s="8"/>
      <c r="P634" s="8"/>
      <c r="Q634" s="8"/>
      <c r="R634" s="9"/>
      <c r="S634" s="8"/>
      <c r="T634" s="9"/>
      <c r="U634" s="10" t="str">
        <f aca="true">IF(B634="","",IF(OR(P634&lt;&gt;"",I634="می‌باشد"),"بسته",IF(AND(L634&lt;&gt;"",W634=""),"خطای فرمت تاریخ ایجاد",IF(AND(H634&lt;&gt;"",AA634=""),"خطای فرمت مهلت",IF(AND(H634&lt;&gt;"",AD634&lt;&gt;"",TODAY()&gt;AD634),"تاخیر",IF(L634&lt;&gt;"","در حال انجام",""))))))</f>
        <v/>
      </c>
      <c r="V634" s="7" t="n">
        <f aca="true">IF(U634="تاخیر",TODAY()-AD634,IF(AND(U634="بسته",AH634&lt;&gt;"",AD634&lt;&gt;"",AH634&gt;AD634),AH634-AD634,0))</f>
        <v>0</v>
      </c>
      <c r="W634" s="7" t="str">
        <f aca="false">IF(L634="","",VALUE(LEFT(L634,FIND("/",L634)-1)))</f>
        <v/>
      </c>
      <c r="X634" s="7" t="str">
        <f aca="false">IF(L634="","",VALUE(MID(L634,FIND("/",L634)+1,FIND("/",L634,FIND("/",L634)+1)-FIND("/",L634)-1)))</f>
        <v/>
      </c>
      <c r="Y634" s="7" t="str">
        <f aca="false">IF(L634="","",VALUE(MID(L634,FIND("/",L634,FIND("/",L634)+1)+1,LEN(L634)-FIND("/",L634,FIND("/",L634)+1))))</f>
        <v/>
      </c>
      <c r="Z634" s="7" t="str">
        <f aca="false">IF(OR(L634="",W634=""),"",IFERROR(INDEX('لیست‌ها'!$Q$3:$Q$53,MATCH(W634,'لیست‌ها'!$P$3:$P$53,0))+IF(X634&lt;=6,(X634-1)*31+Y634,IF(X634&lt;=11,186+(X634-7)*30+Y634,336+Y634))-1,""))</f>
        <v/>
      </c>
      <c r="AA634" s="7" t="str">
        <f aca="false">IF(H634="","",VALUE(LEFT(H634,FIND("/",H634)-1)))</f>
        <v/>
      </c>
      <c r="AB634" s="7" t="str">
        <f aca="false">IF(H634="","",VALUE(MID(H634,FIND("/",H634)+1,FIND("/",H634,FIND("/",H634)+1)-FIND("/",H634)-1)))</f>
        <v/>
      </c>
      <c r="AC634" s="7" t="str">
        <f aca="false">IF(H634="","",VALUE(MID(H634,FIND("/",H634,FIND("/",H634)+1)+1,LEN(H634)-FIND("/",H634,FIND("/",H634)+1))))</f>
        <v/>
      </c>
      <c r="AD634" s="7" t="str">
        <f aca="false">IF(OR(H634="",AA634=""),"",IFERROR(INDEX('لیست‌ها'!$Q$3:$Q$53,MATCH(AA634,'لیست‌ها'!$P$3:$P$53,0))+IF(AB634&lt;=6,(AB634-1)*31+AC634,IF(AB634&lt;=11,186+(AB634-7)*30+AC634,336+AC634))-1,""))</f>
        <v/>
      </c>
      <c r="AE634" s="7" t="str">
        <f aca="false">IF(P634="","",VALUE(LEFT(P634,FIND("/",P634)-1)))</f>
        <v/>
      </c>
      <c r="AF634" s="7" t="str">
        <f aca="false">IF(P634="","",VALUE(MID(P634,FIND("/",P634)+1,FIND("/",P634,FIND("/",P634)+1)-FIND("/",P634)-1)))</f>
        <v/>
      </c>
      <c r="AG634" s="7" t="str">
        <f aca="false">IF(P634="","",VALUE(MID(P634,FIND("/",P634,FIND("/",P634)+1)+1,LEN(P634)-FIND("/",P634,FIND("/",P634)+1))))</f>
        <v/>
      </c>
      <c r="AH634" s="7" t="str">
        <f aca="false">IF(OR(P634="",AE634=""),"",IFERROR(INDEX('لیست‌ها'!$Q$3:$Q$53,MATCH(AE634,'لیست‌ها'!$P$3:$P$53,0))+IF(AF634&lt;=6,(AF634-1)*31+AG634,IF(AF634&lt;=11,186+(AF634-7)*30+AG634,336+AG634))-1,""))</f>
        <v/>
      </c>
      <c r="AI634" s="7" t="str">
        <f aca="false">IF(W634="","",W634&amp;"-"&amp;TEXT(X634,"00"))</f>
        <v/>
      </c>
      <c r="AJ634" s="7" t="str">
        <f aca="false">IF(W634="","",W634*12+X634)</f>
        <v/>
      </c>
      <c r="AK634" s="7" t="str">
        <f aca="false">IF(U634="تاخیر",V634+ROW()/100000,"")</f>
        <v/>
      </c>
    </row>
    <row r="635" customFormat="false" ht="15" hidden="false" customHeight="false" outlineLevel="0" collapsed="false">
      <c r="A635" s="7" t="str">
        <f aca="false">IF(B635="","",ROW()-3)</f>
        <v/>
      </c>
      <c r="B635" s="8"/>
      <c r="C635" s="8"/>
      <c r="D635" s="8"/>
      <c r="E635" s="9"/>
      <c r="F635" s="9"/>
      <c r="G635" s="8"/>
      <c r="H635" s="8"/>
      <c r="I635" s="8"/>
      <c r="J635" s="9"/>
      <c r="K635" s="8"/>
      <c r="L635" s="8"/>
      <c r="M635" s="8"/>
      <c r="N635" s="8"/>
      <c r="O635" s="8"/>
      <c r="P635" s="8"/>
      <c r="Q635" s="8"/>
      <c r="R635" s="9"/>
      <c r="S635" s="8"/>
      <c r="T635" s="9"/>
      <c r="U635" s="10" t="str">
        <f aca="true">IF(B635="","",IF(OR(P635&lt;&gt;"",I635="می‌باشد"),"بسته",IF(AND(L635&lt;&gt;"",W635=""),"خطای فرمت تاریخ ایجاد",IF(AND(H635&lt;&gt;"",AA635=""),"خطای فرمت مهلت",IF(AND(H635&lt;&gt;"",AD635&lt;&gt;"",TODAY()&gt;AD635),"تاخیر",IF(L635&lt;&gt;"","در حال انجام",""))))))</f>
        <v/>
      </c>
      <c r="V635" s="7" t="n">
        <f aca="true">IF(U635="تاخیر",TODAY()-AD635,IF(AND(U635="بسته",AH635&lt;&gt;"",AD635&lt;&gt;"",AH635&gt;AD635),AH635-AD635,0))</f>
        <v>0</v>
      </c>
      <c r="W635" s="7" t="str">
        <f aca="false">IF(L635="","",VALUE(LEFT(L635,FIND("/",L635)-1)))</f>
        <v/>
      </c>
      <c r="X635" s="7" t="str">
        <f aca="false">IF(L635="","",VALUE(MID(L635,FIND("/",L635)+1,FIND("/",L635,FIND("/",L635)+1)-FIND("/",L635)-1)))</f>
        <v/>
      </c>
      <c r="Y635" s="7" t="str">
        <f aca="false">IF(L635="","",VALUE(MID(L635,FIND("/",L635,FIND("/",L635)+1)+1,LEN(L635)-FIND("/",L635,FIND("/",L635)+1))))</f>
        <v/>
      </c>
      <c r="Z635" s="7" t="str">
        <f aca="false">IF(OR(L635="",W635=""),"",IFERROR(INDEX('لیست‌ها'!$Q$3:$Q$53,MATCH(W635,'لیست‌ها'!$P$3:$P$53,0))+IF(X635&lt;=6,(X635-1)*31+Y635,IF(X635&lt;=11,186+(X635-7)*30+Y635,336+Y635))-1,""))</f>
        <v/>
      </c>
      <c r="AA635" s="7" t="str">
        <f aca="false">IF(H635="","",VALUE(LEFT(H635,FIND("/",H635)-1)))</f>
        <v/>
      </c>
      <c r="AB635" s="7" t="str">
        <f aca="false">IF(H635="","",VALUE(MID(H635,FIND("/",H635)+1,FIND("/",H635,FIND("/",H635)+1)-FIND("/",H635)-1)))</f>
        <v/>
      </c>
      <c r="AC635" s="7" t="str">
        <f aca="false">IF(H635="","",VALUE(MID(H635,FIND("/",H635,FIND("/",H635)+1)+1,LEN(H635)-FIND("/",H635,FIND("/",H635)+1))))</f>
        <v/>
      </c>
      <c r="AD635" s="7" t="str">
        <f aca="false">IF(OR(H635="",AA635=""),"",IFERROR(INDEX('لیست‌ها'!$Q$3:$Q$53,MATCH(AA635,'لیست‌ها'!$P$3:$P$53,0))+IF(AB635&lt;=6,(AB635-1)*31+AC635,IF(AB635&lt;=11,186+(AB635-7)*30+AC635,336+AC635))-1,""))</f>
        <v/>
      </c>
      <c r="AE635" s="7" t="str">
        <f aca="false">IF(P635="","",VALUE(LEFT(P635,FIND("/",P635)-1)))</f>
        <v/>
      </c>
      <c r="AF635" s="7" t="str">
        <f aca="false">IF(P635="","",VALUE(MID(P635,FIND("/",P635)+1,FIND("/",P635,FIND("/",P635)+1)-FIND("/",P635)-1)))</f>
        <v/>
      </c>
      <c r="AG635" s="7" t="str">
        <f aca="false">IF(P635="","",VALUE(MID(P635,FIND("/",P635,FIND("/",P635)+1)+1,LEN(P635)-FIND("/",P635,FIND("/",P635)+1))))</f>
        <v/>
      </c>
      <c r="AH635" s="7" t="str">
        <f aca="false">IF(OR(P635="",AE635=""),"",IFERROR(INDEX('لیست‌ها'!$Q$3:$Q$53,MATCH(AE635,'لیست‌ها'!$P$3:$P$53,0))+IF(AF635&lt;=6,(AF635-1)*31+AG635,IF(AF635&lt;=11,186+(AF635-7)*30+AG635,336+AG635))-1,""))</f>
        <v/>
      </c>
      <c r="AI635" s="7" t="str">
        <f aca="false">IF(W635="","",W635&amp;"-"&amp;TEXT(X635,"00"))</f>
        <v/>
      </c>
      <c r="AJ635" s="7" t="str">
        <f aca="false">IF(W635="","",W635*12+X635)</f>
        <v/>
      </c>
      <c r="AK635" s="7" t="str">
        <f aca="false">IF(U635="تاخیر",V635+ROW()/100000,"")</f>
        <v/>
      </c>
    </row>
    <row r="636" customFormat="false" ht="15" hidden="false" customHeight="false" outlineLevel="0" collapsed="false">
      <c r="A636" s="7" t="str">
        <f aca="false">IF(B636="","",ROW()-3)</f>
        <v/>
      </c>
      <c r="B636" s="8"/>
      <c r="C636" s="8"/>
      <c r="D636" s="8"/>
      <c r="E636" s="9"/>
      <c r="F636" s="9"/>
      <c r="G636" s="8"/>
      <c r="H636" s="8"/>
      <c r="I636" s="8"/>
      <c r="J636" s="9"/>
      <c r="K636" s="8"/>
      <c r="L636" s="8"/>
      <c r="M636" s="8"/>
      <c r="N636" s="8"/>
      <c r="O636" s="8"/>
      <c r="P636" s="8"/>
      <c r="Q636" s="8"/>
      <c r="R636" s="9"/>
      <c r="S636" s="8"/>
      <c r="T636" s="9"/>
      <c r="U636" s="10" t="str">
        <f aca="true">IF(B636="","",IF(OR(P636&lt;&gt;"",I636="می‌باشد"),"بسته",IF(AND(L636&lt;&gt;"",W636=""),"خطای فرمت تاریخ ایجاد",IF(AND(H636&lt;&gt;"",AA636=""),"خطای فرمت مهلت",IF(AND(H636&lt;&gt;"",AD636&lt;&gt;"",TODAY()&gt;AD636),"تاخیر",IF(L636&lt;&gt;"","در حال انجام",""))))))</f>
        <v/>
      </c>
      <c r="V636" s="7" t="n">
        <f aca="true">IF(U636="تاخیر",TODAY()-AD636,IF(AND(U636="بسته",AH636&lt;&gt;"",AD636&lt;&gt;"",AH636&gt;AD636),AH636-AD636,0))</f>
        <v>0</v>
      </c>
      <c r="W636" s="7" t="str">
        <f aca="false">IF(L636="","",VALUE(LEFT(L636,FIND("/",L636)-1)))</f>
        <v/>
      </c>
      <c r="X636" s="7" t="str">
        <f aca="false">IF(L636="","",VALUE(MID(L636,FIND("/",L636)+1,FIND("/",L636,FIND("/",L636)+1)-FIND("/",L636)-1)))</f>
        <v/>
      </c>
      <c r="Y636" s="7" t="str">
        <f aca="false">IF(L636="","",VALUE(MID(L636,FIND("/",L636,FIND("/",L636)+1)+1,LEN(L636)-FIND("/",L636,FIND("/",L636)+1))))</f>
        <v/>
      </c>
      <c r="Z636" s="7" t="str">
        <f aca="false">IF(OR(L636="",W636=""),"",IFERROR(INDEX('لیست‌ها'!$Q$3:$Q$53,MATCH(W636,'لیست‌ها'!$P$3:$P$53,0))+IF(X636&lt;=6,(X636-1)*31+Y636,IF(X636&lt;=11,186+(X636-7)*30+Y636,336+Y636))-1,""))</f>
        <v/>
      </c>
      <c r="AA636" s="7" t="str">
        <f aca="false">IF(H636="","",VALUE(LEFT(H636,FIND("/",H636)-1)))</f>
        <v/>
      </c>
      <c r="AB636" s="7" t="str">
        <f aca="false">IF(H636="","",VALUE(MID(H636,FIND("/",H636)+1,FIND("/",H636,FIND("/",H636)+1)-FIND("/",H636)-1)))</f>
        <v/>
      </c>
      <c r="AC636" s="7" t="str">
        <f aca="false">IF(H636="","",VALUE(MID(H636,FIND("/",H636,FIND("/",H636)+1)+1,LEN(H636)-FIND("/",H636,FIND("/",H636)+1))))</f>
        <v/>
      </c>
      <c r="AD636" s="7" t="str">
        <f aca="false">IF(OR(H636="",AA636=""),"",IFERROR(INDEX('لیست‌ها'!$Q$3:$Q$53,MATCH(AA636,'لیست‌ها'!$P$3:$P$53,0))+IF(AB636&lt;=6,(AB636-1)*31+AC636,IF(AB636&lt;=11,186+(AB636-7)*30+AC636,336+AC636))-1,""))</f>
        <v/>
      </c>
      <c r="AE636" s="7" t="str">
        <f aca="false">IF(P636="","",VALUE(LEFT(P636,FIND("/",P636)-1)))</f>
        <v/>
      </c>
      <c r="AF636" s="7" t="str">
        <f aca="false">IF(P636="","",VALUE(MID(P636,FIND("/",P636)+1,FIND("/",P636,FIND("/",P636)+1)-FIND("/",P636)-1)))</f>
        <v/>
      </c>
      <c r="AG636" s="7" t="str">
        <f aca="false">IF(P636="","",VALUE(MID(P636,FIND("/",P636,FIND("/",P636)+1)+1,LEN(P636)-FIND("/",P636,FIND("/",P636)+1))))</f>
        <v/>
      </c>
      <c r="AH636" s="7" t="str">
        <f aca="false">IF(OR(P636="",AE636=""),"",IFERROR(INDEX('لیست‌ها'!$Q$3:$Q$53,MATCH(AE636,'لیست‌ها'!$P$3:$P$53,0))+IF(AF636&lt;=6,(AF636-1)*31+AG636,IF(AF636&lt;=11,186+(AF636-7)*30+AG636,336+AG636))-1,""))</f>
        <v/>
      </c>
      <c r="AI636" s="7" t="str">
        <f aca="false">IF(W636="","",W636&amp;"-"&amp;TEXT(X636,"00"))</f>
        <v/>
      </c>
      <c r="AJ636" s="7" t="str">
        <f aca="false">IF(W636="","",W636*12+X636)</f>
        <v/>
      </c>
      <c r="AK636" s="7" t="str">
        <f aca="false">IF(U636="تاخیر",V636+ROW()/100000,"")</f>
        <v/>
      </c>
    </row>
    <row r="637" customFormat="false" ht="15" hidden="false" customHeight="false" outlineLevel="0" collapsed="false">
      <c r="A637" s="7" t="str">
        <f aca="false">IF(B637="","",ROW()-3)</f>
        <v/>
      </c>
      <c r="B637" s="8"/>
      <c r="C637" s="8"/>
      <c r="D637" s="8"/>
      <c r="E637" s="9"/>
      <c r="F637" s="9"/>
      <c r="G637" s="8"/>
      <c r="H637" s="8"/>
      <c r="I637" s="8"/>
      <c r="J637" s="9"/>
      <c r="K637" s="8"/>
      <c r="L637" s="8"/>
      <c r="M637" s="8"/>
      <c r="N637" s="8"/>
      <c r="O637" s="8"/>
      <c r="P637" s="8"/>
      <c r="Q637" s="8"/>
      <c r="R637" s="9"/>
      <c r="S637" s="8"/>
      <c r="T637" s="9"/>
      <c r="U637" s="10" t="str">
        <f aca="true">IF(B637="","",IF(OR(P637&lt;&gt;"",I637="می‌باشد"),"بسته",IF(AND(L637&lt;&gt;"",W637=""),"خطای فرمت تاریخ ایجاد",IF(AND(H637&lt;&gt;"",AA637=""),"خطای فرمت مهلت",IF(AND(H637&lt;&gt;"",AD637&lt;&gt;"",TODAY()&gt;AD637),"تاخیر",IF(L637&lt;&gt;"","در حال انجام",""))))))</f>
        <v/>
      </c>
      <c r="V637" s="7" t="n">
        <f aca="true">IF(U637="تاخیر",TODAY()-AD637,IF(AND(U637="بسته",AH637&lt;&gt;"",AD637&lt;&gt;"",AH637&gt;AD637),AH637-AD637,0))</f>
        <v>0</v>
      </c>
      <c r="W637" s="7" t="str">
        <f aca="false">IF(L637="","",VALUE(LEFT(L637,FIND("/",L637)-1)))</f>
        <v/>
      </c>
      <c r="X637" s="7" t="str">
        <f aca="false">IF(L637="","",VALUE(MID(L637,FIND("/",L637)+1,FIND("/",L637,FIND("/",L637)+1)-FIND("/",L637)-1)))</f>
        <v/>
      </c>
      <c r="Y637" s="7" t="str">
        <f aca="false">IF(L637="","",VALUE(MID(L637,FIND("/",L637,FIND("/",L637)+1)+1,LEN(L637)-FIND("/",L637,FIND("/",L637)+1))))</f>
        <v/>
      </c>
      <c r="Z637" s="7" t="str">
        <f aca="false">IF(OR(L637="",W637=""),"",IFERROR(INDEX('لیست‌ها'!$Q$3:$Q$53,MATCH(W637,'لیست‌ها'!$P$3:$P$53,0))+IF(X637&lt;=6,(X637-1)*31+Y637,IF(X637&lt;=11,186+(X637-7)*30+Y637,336+Y637))-1,""))</f>
        <v/>
      </c>
      <c r="AA637" s="7" t="str">
        <f aca="false">IF(H637="","",VALUE(LEFT(H637,FIND("/",H637)-1)))</f>
        <v/>
      </c>
      <c r="AB637" s="7" t="str">
        <f aca="false">IF(H637="","",VALUE(MID(H637,FIND("/",H637)+1,FIND("/",H637,FIND("/",H637)+1)-FIND("/",H637)-1)))</f>
        <v/>
      </c>
      <c r="AC637" s="7" t="str">
        <f aca="false">IF(H637="","",VALUE(MID(H637,FIND("/",H637,FIND("/",H637)+1)+1,LEN(H637)-FIND("/",H637,FIND("/",H637)+1))))</f>
        <v/>
      </c>
      <c r="AD637" s="7" t="str">
        <f aca="false">IF(OR(H637="",AA637=""),"",IFERROR(INDEX('لیست‌ها'!$Q$3:$Q$53,MATCH(AA637,'لیست‌ها'!$P$3:$P$53,0))+IF(AB637&lt;=6,(AB637-1)*31+AC637,IF(AB637&lt;=11,186+(AB637-7)*30+AC637,336+AC637))-1,""))</f>
        <v/>
      </c>
      <c r="AE637" s="7" t="str">
        <f aca="false">IF(P637="","",VALUE(LEFT(P637,FIND("/",P637)-1)))</f>
        <v/>
      </c>
      <c r="AF637" s="7" t="str">
        <f aca="false">IF(P637="","",VALUE(MID(P637,FIND("/",P637)+1,FIND("/",P637,FIND("/",P637)+1)-FIND("/",P637)-1)))</f>
        <v/>
      </c>
      <c r="AG637" s="7" t="str">
        <f aca="false">IF(P637="","",VALUE(MID(P637,FIND("/",P637,FIND("/",P637)+1)+1,LEN(P637)-FIND("/",P637,FIND("/",P637)+1))))</f>
        <v/>
      </c>
      <c r="AH637" s="7" t="str">
        <f aca="false">IF(OR(P637="",AE637=""),"",IFERROR(INDEX('لیست‌ها'!$Q$3:$Q$53,MATCH(AE637,'لیست‌ها'!$P$3:$P$53,0))+IF(AF637&lt;=6,(AF637-1)*31+AG637,IF(AF637&lt;=11,186+(AF637-7)*30+AG637,336+AG637))-1,""))</f>
        <v/>
      </c>
      <c r="AI637" s="7" t="str">
        <f aca="false">IF(W637="","",W637&amp;"-"&amp;TEXT(X637,"00"))</f>
        <v/>
      </c>
      <c r="AJ637" s="7" t="str">
        <f aca="false">IF(W637="","",W637*12+X637)</f>
        <v/>
      </c>
      <c r="AK637" s="7" t="str">
        <f aca="false">IF(U637="تاخیر",V637+ROW()/100000,"")</f>
        <v/>
      </c>
    </row>
    <row r="638" customFormat="false" ht="15" hidden="false" customHeight="false" outlineLevel="0" collapsed="false">
      <c r="A638" s="7" t="str">
        <f aca="false">IF(B638="","",ROW()-3)</f>
        <v/>
      </c>
      <c r="B638" s="8"/>
      <c r="C638" s="8"/>
      <c r="D638" s="8"/>
      <c r="E638" s="9"/>
      <c r="F638" s="9"/>
      <c r="G638" s="8"/>
      <c r="H638" s="8"/>
      <c r="I638" s="8"/>
      <c r="J638" s="9"/>
      <c r="K638" s="8"/>
      <c r="L638" s="8"/>
      <c r="M638" s="8"/>
      <c r="N638" s="8"/>
      <c r="O638" s="8"/>
      <c r="P638" s="8"/>
      <c r="Q638" s="8"/>
      <c r="R638" s="9"/>
      <c r="S638" s="8"/>
      <c r="T638" s="9"/>
      <c r="U638" s="10" t="str">
        <f aca="true">IF(B638="","",IF(OR(P638&lt;&gt;"",I638="می‌باشد"),"بسته",IF(AND(L638&lt;&gt;"",W638=""),"خطای فرمت تاریخ ایجاد",IF(AND(H638&lt;&gt;"",AA638=""),"خطای فرمت مهلت",IF(AND(H638&lt;&gt;"",AD638&lt;&gt;"",TODAY()&gt;AD638),"تاخیر",IF(L638&lt;&gt;"","در حال انجام",""))))))</f>
        <v/>
      </c>
      <c r="V638" s="7" t="n">
        <f aca="true">IF(U638="تاخیر",TODAY()-AD638,IF(AND(U638="بسته",AH638&lt;&gt;"",AD638&lt;&gt;"",AH638&gt;AD638),AH638-AD638,0))</f>
        <v>0</v>
      </c>
      <c r="W638" s="7" t="str">
        <f aca="false">IF(L638="","",VALUE(LEFT(L638,FIND("/",L638)-1)))</f>
        <v/>
      </c>
      <c r="X638" s="7" t="str">
        <f aca="false">IF(L638="","",VALUE(MID(L638,FIND("/",L638)+1,FIND("/",L638,FIND("/",L638)+1)-FIND("/",L638)-1)))</f>
        <v/>
      </c>
      <c r="Y638" s="7" t="str">
        <f aca="false">IF(L638="","",VALUE(MID(L638,FIND("/",L638,FIND("/",L638)+1)+1,LEN(L638)-FIND("/",L638,FIND("/",L638)+1))))</f>
        <v/>
      </c>
      <c r="Z638" s="7" t="str">
        <f aca="false">IF(OR(L638="",W638=""),"",IFERROR(INDEX('لیست‌ها'!$Q$3:$Q$53,MATCH(W638,'لیست‌ها'!$P$3:$P$53,0))+IF(X638&lt;=6,(X638-1)*31+Y638,IF(X638&lt;=11,186+(X638-7)*30+Y638,336+Y638))-1,""))</f>
        <v/>
      </c>
      <c r="AA638" s="7" t="str">
        <f aca="false">IF(H638="","",VALUE(LEFT(H638,FIND("/",H638)-1)))</f>
        <v/>
      </c>
      <c r="AB638" s="7" t="str">
        <f aca="false">IF(H638="","",VALUE(MID(H638,FIND("/",H638)+1,FIND("/",H638,FIND("/",H638)+1)-FIND("/",H638)-1)))</f>
        <v/>
      </c>
      <c r="AC638" s="7" t="str">
        <f aca="false">IF(H638="","",VALUE(MID(H638,FIND("/",H638,FIND("/",H638)+1)+1,LEN(H638)-FIND("/",H638,FIND("/",H638)+1))))</f>
        <v/>
      </c>
      <c r="AD638" s="7" t="str">
        <f aca="false">IF(OR(H638="",AA638=""),"",IFERROR(INDEX('لیست‌ها'!$Q$3:$Q$53,MATCH(AA638,'لیست‌ها'!$P$3:$P$53,0))+IF(AB638&lt;=6,(AB638-1)*31+AC638,IF(AB638&lt;=11,186+(AB638-7)*30+AC638,336+AC638))-1,""))</f>
        <v/>
      </c>
      <c r="AE638" s="7" t="str">
        <f aca="false">IF(P638="","",VALUE(LEFT(P638,FIND("/",P638)-1)))</f>
        <v/>
      </c>
      <c r="AF638" s="7" t="str">
        <f aca="false">IF(P638="","",VALUE(MID(P638,FIND("/",P638)+1,FIND("/",P638,FIND("/",P638)+1)-FIND("/",P638)-1)))</f>
        <v/>
      </c>
      <c r="AG638" s="7" t="str">
        <f aca="false">IF(P638="","",VALUE(MID(P638,FIND("/",P638,FIND("/",P638)+1)+1,LEN(P638)-FIND("/",P638,FIND("/",P638)+1))))</f>
        <v/>
      </c>
      <c r="AH638" s="7" t="str">
        <f aca="false">IF(OR(P638="",AE638=""),"",IFERROR(INDEX('لیست‌ها'!$Q$3:$Q$53,MATCH(AE638,'لیست‌ها'!$P$3:$P$53,0))+IF(AF638&lt;=6,(AF638-1)*31+AG638,IF(AF638&lt;=11,186+(AF638-7)*30+AG638,336+AG638))-1,""))</f>
        <v/>
      </c>
      <c r="AI638" s="7" t="str">
        <f aca="false">IF(W638="","",W638&amp;"-"&amp;TEXT(X638,"00"))</f>
        <v/>
      </c>
      <c r="AJ638" s="7" t="str">
        <f aca="false">IF(W638="","",W638*12+X638)</f>
        <v/>
      </c>
      <c r="AK638" s="7" t="str">
        <f aca="false">IF(U638="تاخیر",V638+ROW()/100000,"")</f>
        <v/>
      </c>
    </row>
    <row r="639" customFormat="false" ht="15" hidden="false" customHeight="false" outlineLevel="0" collapsed="false">
      <c r="A639" s="7" t="str">
        <f aca="false">IF(B639="","",ROW()-3)</f>
        <v/>
      </c>
      <c r="B639" s="8"/>
      <c r="C639" s="8"/>
      <c r="D639" s="8"/>
      <c r="E639" s="9"/>
      <c r="F639" s="9"/>
      <c r="G639" s="8"/>
      <c r="H639" s="8"/>
      <c r="I639" s="8"/>
      <c r="J639" s="9"/>
      <c r="K639" s="8"/>
      <c r="L639" s="8"/>
      <c r="M639" s="8"/>
      <c r="N639" s="8"/>
      <c r="O639" s="8"/>
      <c r="P639" s="8"/>
      <c r="Q639" s="8"/>
      <c r="R639" s="9"/>
      <c r="S639" s="8"/>
      <c r="T639" s="9"/>
      <c r="U639" s="10" t="str">
        <f aca="true">IF(B639="","",IF(OR(P639&lt;&gt;"",I639="می‌باشد"),"بسته",IF(AND(L639&lt;&gt;"",W639=""),"خطای فرمت تاریخ ایجاد",IF(AND(H639&lt;&gt;"",AA639=""),"خطای فرمت مهلت",IF(AND(H639&lt;&gt;"",AD639&lt;&gt;"",TODAY()&gt;AD639),"تاخیر",IF(L639&lt;&gt;"","در حال انجام",""))))))</f>
        <v/>
      </c>
      <c r="V639" s="7" t="n">
        <f aca="true">IF(U639="تاخیر",TODAY()-AD639,IF(AND(U639="بسته",AH639&lt;&gt;"",AD639&lt;&gt;"",AH639&gt;AD639),AH639-AD639,0))</f>
        <v>0</v>
      </c>
      <c r="W639" s="7" t="str">
        <f aca="false">IF(L639="","",VALUE(LEFT(L639,FIND("/",L639)-1)))</f>
        <v/>
      </c>
      <c r="X639" s="7" t="str">
        <f aca="false">IF(L639="","",VALUE(MID(L639,FIND("/",L639)+1,FIND("/",L639,FIND("/",L639)+1)-FIND("/",L639)-1)))</f>
        <v/>
      </c>
      <c r="Y639" s="7" t="str">
        <f aca="false">IF(L639="","",VALUE(MID(L639,FIND("/",L639,FIND("/",L639)+1)+1,LEN(L639)-FIND("/",L639,FIND("/",L639)+1))))</f>
        <v/>
      </c>
      <c r="Z639" s="7" t="str">
        <f aca="false">IF(OR(L639="",W639=""),"",IFERROR(INDEX('لیست‌ها'!$Q$3:$Q$53,MATCH(W639,'لیست‌ها'!$P$3:$P$53,0))+IF(X639&lt;=6,(X639-1)*31+Y639,IF(X639&lt;=11,186+(X639-7)*30+Y639,336+Y639))-1,""))</f>
        <v/>
      </c>
      <c r="AA639" s="7" t="str">
        <f aca="false">IF(H639="","",VALUE(LEFT(H639,FIND("/",H639)-1)))</f>
        <v/>
      </c>
      <c r="AB639" s="7" t="str">
        <f aca="false">IF(H639="","",VALUE(MID(H639,FIND("/",H639)+1,FIND("/",H639,FIND("/",H639)+1)-FIND("/",H639)-1)))</f>
        <v/>
      </c>
      <c r="AC639" s="7" t="str">
        <f aca="false">IF(H639="","",VALUE(MID(H639,FIND("/",H639,FIND("/",H639)+1)+1,LEN(H639)-FIND("/",H639,FIND("/",H639)+1))))</f>
        <v/>
      </c>
      <c r="AD639" s="7" t="str">
        <f aca="false">IF(OR(H639="",AA639=""),"",IFERROR(INDEX('لیست‌ها'!$Q$3:$Q$53,MATCH(AA639,'لیست‌ها'!$P$3:$P$53,0))+IF(AB639&lt;=6,(AB639-1)*31+AC639,IF(AB639&lt;=11,186+(AB639-7)*30+AC639,336+AC639))-1,""))</f>
        <v/>
      </c>
      <c r="AE639" s="7" t="str">
        <f aca="false">IF(P639="","",VALUE(LEFT(P639,FIND("/",P639)-1)))</f>
        <v/>
      </c>
      <c r="AF639" s="7" t="str">
        <f aca="false">IF(P639="","",VALUE(MID(P639,FIND("/",P639)+1,FIND("/",P639,FIND("/",P639)+1)-FIND("/",P639)-1)))</f>
        <v/>
      </c>
      <c r="AG639" s="7" t="str">
        <f aca="false">IF(P639="","",VALUE(MID(P639,FIND("/",P639,FIND("/",P639)+1)+1,LEN(P639)-FIND("/",P639,FIND("/",P639)+1))))</f>
        <v/>
      </c>
      <c r="AH639" s="7" t="str">
        <f aca="false">IF(OR(P639="",AE639=""),"",IFERROR(INDEX('لیست‌ها'!$Q$3:$Q$53,MATCH(AE639,'لیست‌ها'!$P$3:$P$53,0))+IF(AF639&lt;=6,(AF639-1)*31+AG639,IF(AF639&lt;=11,186+(AF639-7)*30+AG639,336+AG639))-1,""))</f>
        <v/>
      </c>
      <c r="AI639" s="7" t="str">
        <f aca="false">IF(W639="","",W639&amp;"-"&amp;TEXT(X639,"00"))</f>
        <v/>
      </c>
      <c r="AJ639" s="7" t="str">
        <f aca="false">IF(W639="","",W639*12+X639)</f>
        <v/>
      </c>
      <c r="AK639" s="7" t="str">
        <f aca="false">IF(U639="تاخیر",V639+ROW()/100000,"")</f>
        <v/>
      </c>
    </row>
    <row r="640" customFormat="false" ht="15" hidden="false" customHeight="false" outlineLevel="0" collapsed="false">
      <c r="A640" s="7" t="str">
        <f aca="false">IF(B640="","",ROW()-3)</f>
        <v/>
      </c>
      <c r="B640" s="8"/>
      <c r="C640" s="8"/>
      <c r="D640" s="8"/>
      <c r="E640" s="9"/>
      <c r="F640" s="9"/>
      <c r="G640" s="8"/>
      <c r="H640" s="8"/>
      <c r="I640" s="8"/>
      <c r="J640" s="9"/>
      <c r="K640" s="8"/>
      <c r="L640" s="8"/>
      <c r="M640" s="8"/>
      <c r="N640" s="8"/>
      <c r="O640" s="8"/>
      <c r="P640" s="8"/>
      <c r="Q640" s="8"/>
      <c r="R640" s="9"/>
      <c r="S640" s="8"/>
      <c r="T640" s="9"/>
      <c r="U640" s="10" t="str">
        <f aca="true">IF(B640="","",IF(OR(P640&lt;&gt;"",I640="می‌باشد"),"بسته",IF(AND(L640&lt;&gt;"",W640=""),"خطای فرمت تاریخ ایجاد",IF(AND(H640&lt;&gt;"",AA640=""),"خطای فرمت مهلت",IF(AND(H640&lt;&gt;"",AD640&lt;&gt;"",TODAY()&gt;AD640),"تاخیر",IF(L640&lt;&gt;"","در حال انجام",""))))))</f>
        <v/>
      </c>
      <c r="V640" s="7" t="n">
        <f aca="true">IF(U640="تاخیر",TODAY()-AD640,IF(AND(U640="بسته",AH640&lt;&gt;"",AD640&lt;&gt;"",AH640&gt;AD640),AH640-AD640,0))</f>
        <v>0</v>
      </c>
      <c r="W640" s="7" t="str">
        <f aca="false">IF(L640="","",VALUE(LEFT(L640,FIND("/",L640)-1)))</f>
        <v/>
      </c>
      <c r="X640" s="7" t="str">
        <f aca="false">IF(L640="","",VALUE(MID(L640,FIND("/",L640)+1,FIND("/",L640,FIND("/",L640)+1)-FIND("/",L640)-1)))</f>
        <v/>
      </c>
      <c r="Y640" s="7" t="str">
        <f aca="false">IF(L640="","",VALUE(MID(L640,FIND("/",L640,FIND("/",L640)+1)+1,LEN(L640)-FIND("/",L640,FIND("/",L640)+1))))</f>
        <v/>
      </c>
      <c r="Z640" s="7" t="str">
        <f aca="false">IF(OR(L640="",W640=""),"",IFERROR(INDEX('لیست‌ها'!$Q$3:$Q$53,MATCH(W640,'لیست‌ها'!$P$3:$P$53,0))+IF(X640&lt;=6,(X640-1)*31+Y640,IF(X640&lt;=11,186+(X640-7)*30+Y640,336+Y640))-1,""))</f>
        <v/>
      </c>
      <c r="AA640" s="7" t="str">
        <f aca="false">IF(H640="","",VALUE(LEFT(H640,FIND("/",H640)-1)))</f>
        <v/>
      </c>
      <c r="AB640" s="7" t="str">
        <f aca="false">IF(H640="","",VALUE(MID(H640,FIND("/",H640)+1,FIND("/",H640,FIND("/",H640)+1)-FIND("/",H640)-1)))</f>
        <v/>
      </c>
      <c r="AC640" s="7" t="str">
        <f aca="false">IF(H640="","",VALUE(MID(H640,FIND("/",H640,FIND("/",H640)+1)+1,LEN(H640)-FIND("/",H640,FIND("/",H640)+1))))</f>
        <v/>
      </c>
      <c r="AD640" s="7" t="str">
        <f aca="false">IF(OR(H640="",AA640=""),"",IFERROR(INDEX('لیست‌ها'!$Q$3:$Q$53,MATCH(AA640,'لیست‌ها'!$P$3:$P$53,0))+IF(AB640&lt;=6,(AB640-1)*31+AC640,IF(AB640&lt;=11,186+(AB640-7)*30+AC640,336+AC640))-1,""))</f>
        <v/>
      </c>
      <c r="AE640" s="7" t="str">
        <f aca="false">IF(P640="","",VALUE(LEFT(P640,FIND("/",P640)-1)))</f>
        <v/>
      </c>
      <c r="AF640" s="7" t="str">
        <f aca="false">IF(P640="","",VALUE(MID(P640,FIND("/",P640)+1,FIND("/",P640,FIND("/",P640)+1)-FIND("/",P640)-1)))</f>
        <v/>
      </c>
      <c r="AG640" s="7" t="str">
        <f aca="false">IF(P640="","",VALUE(MID(P640,FIND("/",P640,FIND("/",P640)+1)+1,LEN(P640)-FIND("/",P640,FIND("/",P640)+1))))</f>
        <v/>
      </c>
      <c r="AH640" s="7" t="str">
        <f aca="false">IF(OR(P640="",AE640=""),"",IFERROR(INDEX('لیست‌ها'!$Q$3:$Q$53,MATCH(AE640,'لیست‌ها'!$P$3:$P$53,0))+IF(AF640&lt;=6,(AF640-1)*31+AG640,IF(AF640&lt;=11,186+(AF640-7)*30+AG640,336+AG640))-1,""))</f>
        <v/>
      </c>
      <c r="AI640" s="7" t="str">
        <f aca="false">IF(W640="","",W640&amp;"-"&amp;TEXT(X640,"00"))</f>
        <v/>
      </c>
      <c r="AJ640" s="7" t="str">
        <f aca="false">IF(W640="","",W640*12+X640)</f>
        <v/>
      </c>
      <c r="AK640" s="7" t="str">
        <f aca="false">IF(U640="تاخیر",V640+ROW()/100000,"")</f>
        <v/>
      </c>
    </row>
    <row r="641" customFormat="false" ht="15" hidden="false" customHeight="false" outlineLevel="0" collapsed="false">
      <c r="A641" s="7" t="str">
        <f aca="false">IF(B641="","",ROW()-3)</f>
        <v/>
      </c>
      <c r="B641" s="8"/>
      <c r="C641" s="8"/>
      <c r="D641" s="8"/>
      <c r="E641" s="9"/>
      <c r="F641" s="9"/>
      <c r="G641" s="8"/>
      <c r="H641" s="8"/>
      <c r="I641" s="8"/>
      <c r="J641" s="9"/>
      <c r="K641" s="8"/>
      <c r="L641" s="8"/>
      <c r="M641" s="8"/>
      <c r="N641" s="8"/>
      <c r="O641" s="8"/>
      <c r="P641" s="8"/>
      <c r="Q641" s="8"/>
      <c r="R641" s="9"/>
      <c r="S641" s="8"/>
      <c r="T641" s="9"/>
      <c r="U641" s="10" t="str">
        <f aca="true">IF(B641="","",IF(OR(P641&lt;&gt;"",I641="می‌باشد"),"بسته",IF(AND(L641&lt;&gt;"",W641=""),"خطای فرمت تاریخ ایجاد",IF(AND(H641&lt;&gt;"",AA641=""),"خطای فرمت مهلت",IF(AND(H641&lt;&gt;"",AD641&lt;&gt;"",TODAY()&gt;AD641),"تاخیر",IF(L641&lt;&gt;"","در حال انجام",""))))))</f>
        <v/>
      </c>
      <c r="V641" s="7" t="n">
        <f aca="true">IF(U641="تاخیر",TODAY()-AD641,IF(AND(U641="بسته",AH641&lt;&gt;"",AD641&lt;&gt;"",AH641&gt;AD641),AH641-AD641,0))</f>
        <v>0</v>
      </c>
      <c r="W641" s="7" t="str">
        <f aca="false">IF(L641="","",VALUE(LEFT(L641,FIND("/",L641)-1)))</f>
        <v/>
      </c>
      <c r="X641" s="7" t="str">
        <f aca="false">IF(L641="","",VALUE(MID(L641,FIND("/",L641)+1,FIND("/",L641,FIND("/",L641)+1)-FIND("/",L641)-1)))</f>
        <v/>
      </c>
      <c r="Y641" s="7" t="str">
        <f aca="false">IF(L641="","",VALUE(MID(L641,FIND("/",L641,FIND("/",L641)+1)+1,LEN(L641)-FIND("/",L641,FIND("/",L641)+1))))</f>
        <v/>
      </c>
      <c r="Z641" s="7" t="str">
        <f aca="false">IF(OR(L641="",W641=""),"",IFERROR(INDEX('لیست‌ها'!$Q$3:$Q$53,MATCH(W641,'لیست‌ها'!$P$3:$P$53,0))+IF(X641&lt;=6,(X641-1)*31+Y641,IF(X641&lt;=11,186+(X641-7)*30+Y641,336+Y641))-1,""))</f>
        <v/>
      </c>
      <c r="AA641" s="7" t="str">
        <f aca="false">IF(H641="","",VALUE(LEFT(H641,FIND("/",H641)-1)))</f>
        <v/>
      </c>
      <c r="AB641" s="7" t="str">
        <f aca="false">IF(H641="","",VALUE(MID(H641,FIND("/",H641)+1,FIND("/",H641,FIND("/",H641)+1)-FIND("/",H641)-1)))</f>
        <v/>
      </c>
      <c r="AC641" s="7" t="str">
        <f aca="false">IF(H641="","",VALUE(MID(H641,FIND("/",H641,FIND("/",H641)+1)+1,LEN(H641)-FIND("/",H641,FIND("/",H641)+1))))</f>
        <v/>
      </c>
      <c r="AD641" s="7" t="str">
        <f aca="false">IF(OR(H641="",AA641=""),"",IFERROR(INDEX('لیست‌ها'!$Q$3:$Q$53,MATCH(AA641,'لیست‌ها'!$P$3:$P$53,0))+IF(AB641&lt;=6,(AB641-1)*31+AC641,IF(AB641&lt;=11,186+(AB641-7)*30+AC641,336+AC641))-1,""))</f>
        <v/>
      </c>
      <c r="AE641" s="7" t="str">
        <f aca="false">IF(P641="","",VALUE(LEFT(P641,FIND("/",P641)-1)))</f>
        <v/>
      </c>
      <c r="AF641" s="7" t="str">
        <f aca="false">IF(P641="","",VALUE(MID(P641,FIND("/",P641)+1,FIND("/",P641,FIND("/",P641)+1)-FIND("/",P641)-1)))</f>
        <v/>
      </c>
      <c r="AG641" s="7" t="str">
        <f aca="false">IF(P641="","",VALUE(MID(P641,FIND("/",P641,FIND("/",P641)+1)+1,LEN(P641)-FIND("/",P641,FIND("/",P641)+1))))</f>
        <v/>
      </c>
      <c r="AH641" s="7" t="str">
        <f aca="false">IF(OR(P641="",AE641=""),"",IFERROR(INDEX('لیست‌ها'!$Q$3:$Q$53,MATCH(AE641,'لیست‌ها'!$P$3:$P$53,0))+IF(AF641&lt;=6,(AF641-1)*31+AG641,IF(AF641&lt;=11,186+(AF641-7)*30+AG641,336+AG641))-1,""))</f>
        <v/>
      </c>
      <c r="AI641" s="7" t="str">
        <f aca="false">IF(W641="","",W641&amp;"-"&amp;TEXT(X641,"00"))</f>
        <v/>
      </c>
      <c r="AJ641" s="7" t="str">
        <f aca="false">IF(W641="","",W641*12+X641)</f>
        <v/>
      </c>
      <c r="AK641" s="7" t="str">
        <f aca="false">IF(U641="تاخیر",V641+ROW()/100000,"")</f>
        <v/>
      </c>
    </row>
    <row r="642" customFormat="false" ht="15" hidden="false" customHeight="false" outlineLevel="0" collapsed="false">
      <c r="A642" s="7" t="str">
        <f aca="false">IF(B642="","",ROW()-3)</f>
        <v/>
      </c>
      <c r="B642" s="8"/>
      <c r="C642" s="8"/>
      <c r="D642" s="8"/>
      <c r="E642" s="9"/>
      <c r="F642" s="9"/>
      <c r="G642" s="8"/>
      <c r="H642" s="8"/>
      <c r="I642" s="8"/>
      <c r="J642" s="9"/>
      <c r="K642" s="8"/>
      <c r="L642" s="8"/>
      <c r="M642" s="8"/>
      <c r="N642" s="8"/>
      <c r="O642" s="8"/>
      <c r="P642" s="8"/>
      <c r="Q642" s="8"/>
      <c r="R642" s="9"/>
      <c r="S642" s="8"/>
      <c r="T642" s="9"/>
      <c r="U642" s="10" t="str">
        <f aca="true">IF(B642="","",IF(OR(P642&lt;&gt;"",I642="می‌باشد"),"بسته",IF(AND(L642&lt;&gt;"",W642=""),"خطای فرمت تاریخ ایجاد",IF(AND(H642&lt;&gt;"",AA642=""),"خطای فرمت مهلت",IF(AND(H642&lt;&gt;"",AD642&lt;&gt;"",TODAY()&gt;AD642),"تاخیر",IF(L642&lt;&gt;"","در حال انجام",""))))))</f>
        <v/>
      </c>
      <c r="V642" s="7" t="n">
        <f aca="true">IF(U642="تاخیر",TODAY()-AD642,IF(AND(U642="بسته",AH642&lt;&gt;"",AD642&lt;&gt;"",AH642&gt;AD642),AH642-AD642,0))</f>
        <v>0</v>
      </c>
      <c r="W642" s="7" t="str">
        <f aca="false">IF(L642="","",VALUE(LEFT(L642,FIND("/",L642)-1)))</f>
        <v/>
      </c>
      <c r="X642" s="7" t="str">
        <f aca="false">IF(L642="","",VALUE(MID(L642,FIND("/",L642)+1,FIND("/",L642,FIND("/",L642)+1)-FIND("/",L642)-1)))</f>
        <v/>
      </c>
      <c r="Y642" s="7" t="str">
        <f aca="false">IF(L642="","",VALUE(MID(L642,FIND("/",L642,FIND("/",L642)+1)+1,LEN(L642)-FIND("/",L642,FIND("/",L642)+1))))</f>
        <v/>
      </c>
      <c r="Z642" s="7" t="str">
        <f aca="false">IF(OR(L642="",W642=""),"",IFERROR(INDEX('لیست‌ها'!$Q$3:$Q$53,MATCH(W642,'لیست‌ها'!$P$3:$P$53,0))+IF(X642&lt;=6,(X642-1)*31+Y642,IF(X642&lt;=11,186+(X642-7)*30+Y642,336+Y642))-1,""))</f>
        <v/>
      </c>
      <c r="AA642" s="7" t="str">
        <f aca="false">IF(H642="","",VALUE(LEFT(H642,FIND("/",H642)-1)))</f>
        <v/>
      </c>
      <c r="AB642" s="7" t="str">
        <f aca="false">IF(H642="","",VALUE(MID(H642,FIND("/",H642)+1,FIND("/",H642,FIND("/",H642)+1)-FIND("/",H642)-1)))</f>
        <v/>
      </c>
      <c r="AC642" s="7" t="str">
        <f aca="false">IF(H642="","",VALUE(MID(H642,FIND("/",H642,FIND("/",H642)+1)+1,LEN(H642)-FIND("/",H642,FIND("/",H642)+1))))</f>
        <v/>
      </c>
      <c r="AD642" s="7" t="str">
        <f aca="false">IF(OR(H642="",AA642=""),"",IFERROR(INDEX('لیست‌ها'!$Q$3:$Q$53,MATCH(AA642,'لیست‌ها'!$P$3:$P$53,0))+IF(AB642&lt;=6,(AB642-1)*31+AC642,IF(AB642&lt;=11,186+(AB642-7)*30+AC642,336+AC642))-1,""))</f>
        <v/>
      </c>
      <c r="AE642" s="7" t="str">
        <f aca="false">IF(P642="","",VALUE(LEFT(P642,FIND("/",P642)-1)))</f>
        <v/>
      </c>
      <c r="AF642" s="7" t="str">
        <f aca="false">IF(P642="","",VALUE(MID(P642,FIND("/",P642)+1,FIND("/",P642,FIND("/",P642)+1)-FIND("/",P642)-1)))</f>
        <v/>
      </c>
      <c r="AG642" s="7" t="str">
        <f aca="false">IF(P642="","",VALUE(MID(P642,FIND("/",P642,FIND("/",P642)+1)+1,LEN(P642)-FIND("/",P642,FIND("/",P642)+1))))</f>
        <v/>
      </c>
      <c r="AH642" s="7" t="str">
        <f aca="false">IF(OR(P642="",AE642=""),"",IFERROR(INDEX('لیست‌ها'!$Q$3:$Q$53,MATCH(AE642,'لیست‌ها'!$P$3:$P$53,0))+IF(AF642&lt;=6,(AF642-1)*31+AG642,IF(AF642&lt;=11,186+(AF642-7)*30+AG642,336+AG642))-1,""))</f>
        <v/>
      </c>
      <c r="AI642" s="7" t="str">
        <f aca="false">IF(W642="","",W642&amp;"-"&amp;TEXT(X642,"00"))</f>
        <v/>
      </c>
      <c r="AJ642" s="7" t="str">
        <f aca="false">IF(W642="","",W642*12+X642)</f>
        <v/>
      </c>
      <c r="AK642" s="7" t="str">
        <f aca="false">IF(U642="تاخیر",V642+ROW()/100000,"")</f>
        <v/>
      </c>
    </row>
    <row r="643" customFormat="false" ht="15" hidden="false" customHeight="false" outlineLevel="0" collapsed="false">
      <c r="A643" s="7" t="str">
        <f aca="false">IF(B643="","",ROW()-3)</f>
        <v/>
      </c>
      <c r="B643" s="8"/>
      <c r="C643" s="8"/>
      <c r="D643" s="8"/>
      <c r="E643" s="9"/>
      <c r="F643" s="9"/>
      <c r="G643" s="8"/>
      <c r="H643" s="8"/>
      <c r="I643" s="8"/>
      <c r="J643" s="9"/>
      <c r="K643" s="8"/>
      <c r="L643" s="8"/>
      <c r="M643" s="8"/>
      <c r="N643" s="8"/>
      <c r="O643" s="8"/>
      <c r="P643" s="8"/>
      <c r="Q643" s="8"/>
      <c r="R643" s="9"/>
      <c r="S643" s="8"/>
      <c r="T643" s="9"/>
      <c r="U643" s="10" t="str">
        <f aca="true">IF(B643="","",IF(OR(P643&lt;&gt;"",I643="می‌باشد"),"بسته",IF(AND(L643&lt;&gt;"",W643=""),"خطای فرمت تاریخ ایجاد",IF(AND(H643&lt;&gt;"",AA643=""),"خطای فرمت مهلت",IF(AND(H643&lt;&gt;"",AD643&lt;&gt;"",TODAY()&gt;AD643),"تاخیر",IF(L643&lt;&gt;"","در حال انجام",""))))))</f>
        <v/>
      </c>
      <c r="V643" s="7" t="n">
        <f aca="true">IF(U643="تاخیر",TODAY()-AD643,IF(AND(U643="بسته",AH643&lt;&gt;"",AD643&lt;&gt;"",AH643&gt;AD643),AH643-AD643,0))</f>
        <v>0</v>
      </c>
      <c r="W643" s="7" t="str">
        <f aca="false">IF(L643="","",VALUE(LEFT(L643,FIND("/",L643)-1)))</f>
        <v/>
      </c>
      <c r="X643" s="7" t="str">
        <f aca="false">IF(L643="","",VALUE(MID(L643,FIND("/",L643)+1,FIND("/",L643,FIND("/",L643)+1)-FIND("/",L643)-1)))</f>
        <v/>
      </c>
      <c r="Y643" s="7" t="str">
        <f aca="false">IF(L643="","",VALUE(MID(L643,FIND("/",L643,FIND("/",L643)+1)+1,LEN(L643)-FIND("/",L643,FIND("/",L643)+1))))</f>
        <v/>
      </c>
      <c r="Z643" s="7" t="str">
        <f aca="false">IF(OR(L643="",W643=""),"",IFERROR(INDEX('لیست‌ها'!$Q$3:$Q$53,MATCH(W643,'لیست‌ها'!$P$3:$P$53,0))+IF(X643&lt;=6,(X643-1)*31+Y643,IF(X643&lt;=11,186+(X643-7)*30+Y643,336+Y643))-1,""))</f>
        <v/>
      </c>
      <c r="AA643" s="7" t="str">
        <f aca="false">IF(H643="","",VALUE(LEFT(H643,FIND("/",H643)-1)))</f>
        <v/>
      </c>
      <c r="AB643" s="7" t="str">
        <f aca="false">IF(H643="","",VALUE(MID(H643,FIND("/",H643)+1,FIND("/",H643,FIND("/",H643)+1)-FIND("/",H643)-1)))</f>
        <v/>
      </c>
      <c r="AC643" s="7" t="str">
        <f aca="false">IF(H643="","",VALUE(MID(H643,FIND("/",H643,FIND("/",H643)+1)+1,LEN(H643)-FIND("/",H643,FIND("/",H643)+1))))</f>
        <v/>
      </c>
      <c r="AD643" s="7" t="str">
        <f aca="false">IF(OR(H643="",AA643=""),"",IFERROR(INDEX('لیست‌ها'!$Q$3:$Q$53,MATCH(AA643,'لیست‌ها'!$P$3:$P$53,0))+IF(AB643&lt;=6,(AB643-1)*31+AC643,IF(AB643&lt;=11,186+(AB643-7)*30+AC643,336+AC643))-1,""))</f>
        <v/>
      </c>
      <c r="AE643" s="7" t="str">
        <f aca="false">IF(P643="","",VALUE(LEFT(P643,FIND("/",P643)-1)))</f>
        <v/>
      </c>
      <c r="AF643" s="7" t="str">
        <f aca="false">IF(P643="","",VALUE(MID(P643,FIND("/",P643)+1,FIND("/",P643,FIND("/",P643)+1)-FIND("/",P643)-1)))</f>
        <v/>
      </c>
      <c r="AG643" s="7" t="str">
        <f aca="false">IF(P643="","",VALUE(MID(P643,FIND("/",P643,FIND("/",P643)+1)+1,LEN(P643)-FIND("/",P643,FIND("/",P643)+1))))</f>
        <v/>
      </c>
      <c r="AH643" s="7" t="str">
        <f aca="false">IF(OR(P643="",AE643=""),"",IFERROR(INDEX('لیست‌ها'!$Q$3:$Q$53,MATCH(AE643,'لیست‌ها'!$P$3:$P$53,0))+IF(AF643&lt;=6,(AF643-1)*31+AG643,IF(AF643&lt;=11,186+(AF643-7)*30+AG643,336+AG643))-1,""))</f>
        <v/>
      </c>
      <c r="AI643" s="7" t="str">
        <f aca="false">IF(W643="","",W643&amp;"-"&amp;TEXT(X643,"00"))</f>
        <v/>
      </c>
      <c r="AJ643" s="7" t="str">
        <f aca="false">IF(W643="","",W643*12+X643)</f>
        <v/>
      </c>
      <c r="AK643" s="7" t="str">
        <f aca="false">IF(U643="تاخیر",V643+ROW()/100000,"")</f>
        <v/>
      </c>
    </row>
    <row r="644" customFormat="false" ht="15" hidden="false" customHeight="false" outlineLevel="0" collapsed="false">
      <c r="A644" s="7" t="str">
        <f aca="false">IF(B644="","",ROW()-3)</f>
        <v/>
      </c>
      <c r="B644" s="8"/>
      <c r="C644" s="8"/>
      <c r="D644" s="8"/>
      <c r="E644" s="9"/>
      <c r="F644" s="9"/>
      <c r="G644" s="8"/>
      <c r="H644" s="8"/>
      <c r="I644" s="8"/>
      <c r="J644" s="9"/>
      <c r="K644" s="8"/>
      <c r="L644" s="8"/>
      <c r="M644" s="8"/>
      <c r="N644" s="8"/>
      <c r="O644" s="8"/>
      <c r="P644" s="8"/>
      <c r="Q644" s="8"/>
      <c r="R644" s="9"/>
      <c r="S644" s="8"/>
      <c r="T644" s="9"/>
      <c r="U644" s="10" t="str">
        <f aca="true">IF(B644="","",IF(OR(P644&lt;&gt;"",I644="می‌باشد"),"بسته",IF(AND(L644&lt;&gt;"",W644=""),"خطای فرمت تاریخ ایجاد",IF(AND(H644&lt;&gt;"",AA644=""),"خطای فرمت مهلت",IF(AND(H644&lt;&gt;"",AD644&lt;&gt;"",TODAY()&gt;AD644),"تاخیر",IF(L644&lt;&gt;"","در حال انجام",""))))))</f>
        <v/>
      </c>
      <c r="V644" s="7" t="n">
        <f aca="true">IF(U644="تاخیر",TODAY()-AD644,IF(AND(U644="بسته",AH644&lt;&gt;"",AD644&lt;&gt;"",AH644&gt;AD644),AH644-AD644,0))</f>
        <v>0</v>
      </c>
      <c r="W644" s="7" t="str">
        <f aca="false">IF(L644="","",VALUE(LEFT(L644,FIND("/",L644)-1)))</f>
        <v/>
      </c>
      <c r="X644" s="7" t="str">
        <f aca="false">IF(L644="","",VALUE(MID(L644,FIND("/",L644)+1,FIND("/",L644,FIND("/",L644)+1)-FIND("/",L644)-1)))</f>
        <v/>
      </c>
      <c r="Y644" s="7" t="str">
        <f aca="false">IF(L644="","",VALUE(MID(L644,FIND("/",L644,FIND("/",L644)+1)+1,LEN(L644)-FIND("/",L644,FIND("/",L644)+1))))</f>
        <v/>
      </c>
      <c r="Z644" s="7" t="str">
        <f aca="false">IF(OR(L644="",W644=""),"",IFERROR(INDEX('لیست‌ها'!$Q$3:$Q$53,MATCH(W644,'لیست‌ها'!$P$3:$P$53,0))+IF(X644&lt;=6,(X644-1)*31+Y644,IF(X644&lt;=11,186+(X644-7)*30+Y644,336+Y644))-1,""))</f>
        <v/>
      </c>
      <c r="AA644" s="7" t="str">
        <f aca="false">IF(H644="","",VALUE(LEFT(H644,FIND("/",H644)-1)))</f>
        <v/>
      </c>
      <c r="AB644" s="7" t="str">
        <f aca="false">IF(H644="","",VALUE(MID(H644,FIND("/",H644)+1,FIND("/",H644,FIND("/",H644)+1)-FIND("/",H644)-1)))</f>
        <v/>
      </c>
      <c r="AC644" s="7" t="str">
        <f aca="false">IF(H644="","",VALUE(MID(H644,FIND("/",H644,FIND("/",H644)+1)+1,LEN(H644)-FIND("/",H644,FIND("/",H644)+1))))</f>
        <v/>
      </c>
      <c r="AD644" s="7" t="str">
        <f aca="false">IF(OR(H644="",AA644=""),"",IFERROR(INDEX('لیست‌ها'!$Q$3:$Q$53,MATCH(AA644,'لیست‌ها'!$P$3:$P$53,0))+IF(AB644&lt;=6,(AB644-1)*31+AC644,IF(AB644&lt;=11,186+(AB644-7)*30+AC644,336+AC644))-1,""))</f>
        <v/>
      </c>
      <c r="AE644" s="7" t="str">
        <f aca="false">IF(P644="","",VALUE(LEFT(P644,FIND("/",P644)-1)))</f>
        <v/>
      </c>
      <c r="AF644" s="7" t="str">
        <f aca="false">IF(P644="","",VALUE(MID(P644,FIND("/",P644)+1,FIND("/",P644,FIND("/",P644)+1)-FIND("/",P644)-1)))</f>
        <v/>
      </c>
      <c r="AG644" s="7" t="str">
        <f aca="false">IF(P644="","",VALUE(MID(P644,FIND("/",P644,FIND("/",P644)+1)+1,LEN(P644)-FIND("/",P644,FIND("/",P644)+1))))</f>
        <v/>
      </c>
      <c r="AH644" s="7" t="str">
        <f aca="false">IF(OR(P644="",AE644=""),"",IFERROR(INDEX('لیست‌ها'!$Q$3:$Q$53,MATCH(AE644,'لیست‌ها'!$P$3:$P$53,0))+IF(AF644&lt;=6,(AF644-1)*31+AG644,IF(AF644&lt;=11,186+(AF644-7)*30+AG644,336+AG644))-1,""))</f>
        <v/>
      </c>
      <c r="AI644" s="7" t="str">
        <f aca="false">IF(W644="","",W644&amp;"-"&amp;TEXT(X644,"00"))</f>
        <v/>
      </c>
      <c r="AJ644" s="7" t="str">
        <f aca="false">IF(W644="","",W644*12+X644)</f>
        <v/>
      </c>
      <c r="AK644" s="7" t="str">
        <f aca="false">IF(U644="تاخیر",V644+ROW()/100000,"")</f>
        <v/>
      </c>
    </row>
    <row r="645" customFormat="false" ht="15" hidden="false" customHeight="false" outlineLevel="0" collapsed="false">
      <c r="A645" s="7" t="str">
        <f aca="false">IF(B645="","",ROW()-3)</f>
        <v/>
      </c>
      <c r="B645" s="8"/>
      <c r="C645" s="8"/>
      <c r="D645" s="8"/>
      <c r="E645" s="9"/>
      <c r="F645" s="9"/>
      <c r="G645" s="8"/>
      <c r="H645" s="8"/>
      <c r="I645" s="8"/>
      <c r="J645" s="9"/>
      <c r="K645" s="8"/>
      <c r="L645" s="8"/>
      <c r="M645" s="8"/>
      <c r="N645" s="8"/>
      <c r="O645" s="8"/>
      <c r="P645" s="8"/>
      <c r="Q645" s="8"/>
      <c r="R645" s="9"/>
      <c r="S645" s="8"/>
      <c r="T645" s="9"/>
      <c r="U645" s="10" t="str">
        <f aca="true">IF(B645="","",IF(OR(P645&lt;&gt;"",I645="می‌باشد"),"بسته",IF(AND(L645&lt;&gt;"",W645=""),"خطای فرمت تاریخ ایجاد",IF(AND(H645&lt;&gt;"",AA645=""),"خطای فرمت مهلت",IF(AND(H645&lt;&gt;"",AD645&lt;&gt;"",TODAY()&gt;AD645),"تاخیر",IF(L645&lt;&gt;"","در حال انجام",""))))))</f>
        <v/>
      </c>
      <c r="V645" s="7" t="n">
        <f aca="true">IF(U645="تاخیر",TODAY()-AD645,IF(AND(U645="بسته",AH645&lt;&gt;"",AD645&lt;&gt;"",AH645&gt;AD645),AH645-AD645,0))</f>
        <v>0</v>
      </c>
      <c r="W645" s="7" t="str">
        <f aca="false">IF(L645="","",VALUE(LEFT(L645,FIND("/",L645)-1)))</f>
        <v/>
      </c>
      <c r="X645" s="7" t="str">
        <f aca="false">IF(L645="","",VALUE(MID(L645,FIND("/",L645)+1,FIND("/",L645,FIND("/",L645)+1)-FIND("/",L645)-1)))</f>
        <v/>
      </c>
      <c r="Y645" s="7" t="str">
        <f aca="false">IF(L645="","",VALUE(MID(L645,FIND("/",L645,FIND("/",L645)+1)+1,LEN(L645)-FIND("/",L645,FIND("/",L645)+1))))</f>
        <v/>
      </c>
      <c r="Z645" s="7" t="str">
        <f aca="false">IF(OR(L645="",W645=""),"",IFERROR(INDEX('لیست‌ها'!$Q$3:$Q$53,MATCH(W645,'لیست‌ها'!$P$3:$P$53,0))+IF(X645&lt;=6,(X645-1)*31+Y645,IF(X645&lt;=11,186+(X645-7)*30+Y645,336+Y645))-1,""))</f>
        <v/>
      </c>
      <c r="AA645" s="7" t="str">
        <f aca="false">IF(H645="","",VALUE(LEFT(H645,FIND("/",H645)-1)))</f>
        <v/>
      </c>
      <c r="AB645" s="7" t="str">
        <f aca="false">IF(H645="","",VALUE(MID(H645,FIND("/",H645)+1,FIND("/",H645,FIND("/",H645)+1)-FIND("/",H645)-1)))</f>
        <v/>
      </c>
      <c r="AC645" s="7" t="str">
        <f aca="false">IF(H645="","",VALUE(MID(H645,FIND("/",H645,FIND("/",H645)+1)+1,LEN(H645)-FIND("/",H645,FIND("/",H645)+1))))</f>
        <v/>
      </c>
      <c r="AD645" s="7" t="str">
        <f aca="false">IF(OR(H645="",AA645=""),"",IFERROR(INDEX('لیست‌ها'!$Q$3:$Q$53,MATCH(AA645,'لیست‌ها'!$P$3:$P$53,0))+IF(AB645&lt;=6,(AB645-1)*31+AC645,IF(AB645&lt;=11,186+(AB645-7)*30+AC645,336+AC645))-1,""))</f>
        <v/>
      </c>
      <c r="AE645" s="7" t="str">
        <f aca="false">IF(P645="","",VALUE(LEFT(P645,FIND("/",P645)-1)))</f>
        <v/>
      </c>
      <c r="AF645" s="7" t="str">
        <f aca="false">IF(P645="","",VALUE(MID(P645,FIND("/",P645)+1,FIND("/",P645,FIND("/",P645)+1)-FIND("/",P645)-1)))</f>
        <v/>
      </c>
      <c r="AG645" s="7" t="str">
        <f aca="false">IF(P645="","",VALUE(MID(P645,FIND("/",P645,FIND("/",P645)+1)+1,LEN(P645)-FIND("/",P645,FIND("/",P645)+1))))</f>
        <v/>
      </c>
      <c r="AH645" s="7" t="str">
        <f aca="false">IF(OR(P645="",AE645=""),"",IFERROR(INDEX('لیست‌ها'!$Q$3:$Q$53,MATCH(AE645,'لیست‌ها'!$P$3:$P$53,0))+IF(AF645&lt;=6,(AF645-1)*31+AG645,IF(AF645&lt;=11,186+(AF645-7)*30+AG645,336+AG645))-1,""))</f>
        <v/>
      </c>
      <c r="AI645" s="7" t="str">
        <f aca="false">IF(W645="","",W645&amp;"-"&amp;TEXT(X645,"00"))</f>
        <v/>
      </c>
      <c r="AJ645" s="7" t="str">
        <f aca="false">IF(W645="","",W645*12+X645)</f>
        <v/>
      </c>
      <c r="AK645" s="7" t="str">
        <f aca="false">IF(U645="تاخیر",V645+ROW()/100000,"")</f>
        <v/>
      </c>
    </row>
    <row r="646" customFormat="false" ht="15" hidden="false" customHeight="false" outlineLevel="0" collapsed="false">
      <c r="A646" s="7" t="str">
        <f aca="false">IF(B646="","",ROW()-3)</f>
        <v/>
      </c>
      <c r="B646" s="8"/>
      <c r="C646" s="8"/>
      <c r="D646" s="8"/>
      <c r="E646" s="9"/>
      <c r="F646" s="9"/>
      <c r="G646" s="8"/>
      <c r="H646" s="8"/>
      <c r="I646" s="8"/>
      <c r="J646" s="9"/>
      <c r="K646" s="8"/>
      <c r="L646" s="8"/>
      <c r="M646" s="8"/>
      <c r="N646" s="8"/>
      <c r="O646" s="8"/>
      <c r="P646" s="8"/>
      <c r="Q646" s="8"/>
      <c r="R646" s="9"/>
      <c r="S646" s="8"/>
      <c r="T646" s="9"/>
      <c r="U646" s="10" t="str">
        <f aca="true">IF(B646="","",IF(OR(P646&lt;&gt;"",I646="می‌باشد"),"بسته",IF(AND(L646&lt;&gt;"",W646=""),"خطای فرمت تاریخ ایجاد",IF(AND(H646&lt;&gt;"",AA646=""),"خطای فرمت مهلت",IF(AND(H646&lt;&gt;"",AD646&lt;&gt;"",TODAY()&gt;AD646),"تاخیر",IF(L646&lt;&gt;"","در حال انجام",""))))))</f>
        <v/>
      </c>
      <c r="V646" s="7" t="n">
        <f aca="true">IF(U646="تاخیر",TODAY()-AD646,IF(AND(U646="بسته",AH646&lt;&gt;"",AD646&lt;&gt;"",AH646&gt;AD646),AH646-AD646,0))</f>
        <v>0</v>
      </c>
      <c r="W646" s="7" t="str">
        <f aca="false">IF(L646="","",VALUE(LEFT(L646,FIND("/",L646)-1)))</f>
        <v/>
      </c>
      <c r="X646" s="7" t="str">
        <f aca="false">IF(L646="","",VALUE(MID(L646,FIND("/",L646)+1,FIND("/",L646,FIND("/",L646)+1)-FIND("/",L646)-1)))</f>
        <v/>
      </c>
      <c r="Y646" s="7" t="str">
        <f aca="false">IF(L646="","",VALUE(MID(L646,FIND("/",L646,FIND("/",L646)+1)+1,LEN(L646)-FIND("/",L646,FIND("/",L646)+1))))</f>
        <v/>
      </c>
      <c r="Z646" s="7" t="str">
        <f aca="false">IF(OR(L646="",W646=""),"",IFERROR(INDEX('لیست‌ها'!$Q$3:$Q$53,MATCH(W646,'لیست‌ها'!$P$3:$P$53,0))+IF(X646&lt;=6,(X646-1)*31+Y646,IF(X646&lt;=11,186+(X646-7)*30+Y646,336+Y646))-1,""))</f>
        <v/>
      </c>
      <c r="AA646" s="7" t="str">
        <f aca="false">IF(H646="","",VALUE(LEFT(H646,FIND("/",H646)-1)))</f>
        <v/>
      </c>
      <c r="AB646" s="7" t="str">
        <f aca="false">IF(H646="","",VALUE(MID(H646,FIND("/",H646)+1,FIND("/",H646,FIND("/",H646)+1)-FIND("/",H646)-1)))</f>
        <v/>
      </c>
      <c r="AC646" s="7" t="str">
        <f aca="false">IF(H646="","",VALUE(MID(H646,FIND("/",H646,FIND("/",H646)+1)+1,LEN(H646)-FIND("/",H646,FIND("/",H646)+1))))</f>
        <v/>
      </c>
      <c r="AD646" s="7" t="str">
        <f aca="false">IF(OR(H646="",AA646=""),"",IFERROR(INDEX('لیست‌ها'!$Q$3:$Q$53,MATCH(AA646,'لیست‌ها'!$P$3:$P$53,0))+IF(AB646&lt;=6,(AB646-1)*31+AC646,IF(AB646&lt;=11,186+(AB646-7)*30+AC646,336+AC646))-1,""))</f>
        <v/>
      </c>
      <c r="AE646" s="7" t="str">
        <f aca="false">IF(P646="","",VALUE(LEFT(P646,FIND("/",P646)-1)))</f>
        <v/>
      </c>
      <c r="AF646" s="7" t="str">
        <f aca="false">IF(P646="","",VALUE(MID(P646,FIND("/",P646)+1,FIND("/",P646,FIND("/",P646)+1)-FIND("/",P646)-1)))</f>
        <v/>
      </c>
      <c r="AG646" s="7" t="str">
        <f aca="false">IF(P646="","",VALUE(MID(P646,FIND("/",P646,FIND("/",P646)+1)+1,LEN(P646)-FIND("/",P646,FIND("/",P646)+1))))</f>
        <v/>
      </c>
      <c r="AH646" s="7" t="str">
        <f aca="false">IF(OR(P646="",AE646=""),"",IFERROR(INDEX('لیست‌ها'!$Q$3:$Q$53,MATCH(AE646,'لیست‌ها'!$P$3:$P$53,0))+IF(AF646&lt;=6,(AF646-1)*31+AG646,IF(AF646&lt;=11,186+(AF646-7)*30+AG646,336+AG646))-1,""))</f>
        <v/>
      </c>
      <c r="AI646" s="7" t="str">
        <f aca="false">IF(W646="","",W646&amp;"-"&amp;TEXT(X646,"00"))</f>
        <v/>
      </c>
      <c r="AJ646" s="7" t="str">
        <f aca="false">IF(W646="","",W646*12+X646)</f>
        <v/>
      </c>
      <c r="AK646" s="7" t="str">
        <f aca="false">IF(U646="تاخیر",V646+ROW()/100000,"")</f>
        <v/>
      </c>
    </row>
    <row r="647" customFormat="false" ht="15" hidden="false" customHeight="false" outlineLevel="0" collapsed="false">
      <c r="A647" s="7" t="str">
        <f aca="false">IF(B647="","",ROW()-3)</f>
        <v/>
      </c>
      <c r="B647" s="8"/>
      <c r="C647" s="8"/>
      <c r="D647" s="8"/>
      <c r="E647" s="9"/>
      <c r="F647" s="9"/>
      <c r="G647" s="8"/>
      <c r="H647" s="8"/>
      <c r="I647" s="8"/>
      <c r="J647" s="9"/>
      <c r="K647" s="8"/>
      <c r="L647" s="8"/>
      <c r="M647" s="8"/>
      <c r="N647" s="8"/>
      <c r="O647" s="8"/>
      <c r="P647" s="8"/>
      <c r="Q647" s="8"/>
      <c r="R647" s="9"/>
      <c r="S647" s="8"/>
      <c r="T647" s="9"/>
      <c r="U647" s="10" t="str">
        <f aca="true">IF(B647="","",IF(OR(P647&lt;&gt;"",I647="می‌باشد"),"بسته",IF(AND(L647&lt;&gt;"",W647=""),"خطای فرمت تاریخ ایجاد",IF(AND(H647&lt;&gt;"",AA647=""),"خطای فرمت مهلت",IF(AND(H647&lt;&gt;"",AD647&lt;&gt;"",TODAY()&gt;AD647),"تاخیر",IF(L647&lt;&gt;"","در حال انجام",""))))))</f>
        <v/>
      </c>
      <c r="V647" s="7" t="n">
        <f aca="true">IF(U647="تاخیر",TODAY()-AD647,IF(AND(U647="بسته",AH647&lt;&gt;"",AD647&lt;&gt;"",AH647&gt;AD647),AH647-AD647,0))</f>
        <v>0</v>
      </c>
      <c r="W647" s="7" t="str">
        <f aca="false">IF(L647="","",VALUE(LEFT(L647,FIND("/",L647)-1)))</f>
        <v/>
      </c>
      <c r="X647" s="7" t="str">
        <f aca="false">IF(L647="","",VALUE(MID(L647,FIND("/",L647)+1,FIND("/",L647,FIND("/",L647)+1)-FIND("/",L647)-1)))</f>
        <v/>
      </c>
      <c r="Y647" s="7" t="str">
        <f aca="false">IF(L647="","",VALUE(MID(L647,FIND("/",L647,FIND("/",L647)+1)+1,LEN(L647)-FIND("/",L647,FIND("/",L647)+1))))</f>
        <v/>
      </c>
      <c r="Z647" s="7" t="str">
        <f aca="false">IF(OR(L647="",W647=""),"",IFERROR(INDEX('لیست‌ها'!$Q$3:$Q$53,MATCH(W647,'لیست‌ها'!$P$3:$P$53,0))+IF(X647&lt;=6,(X647-1)*31+Y647,IF(X647&lt;=11,186+(X647-7)*30+Y647,336+Y647))-1,""))</f>
        <v/>
      </c>
      <c r="AA647" s="7" t="str">
        <f aca="false">IF(H647="","",VALUE(LEFT(H647,FIND("/",H647)-1)))</f>
        <v/>
      </c>
      <c r="AB647" s="7" t="str">
        <f aca="false">IF(H647="","",VALUE(MID(H647,FIND("/",H647)+1,FIND("/",H647,FIND("/",H647)+1)-FIND("/",H647)-1)))</f>
        <v/>
      </c>
      <c r="AC647" s="7" t="str">
        <f aca="false">IF(H647="","",VALUE(MID(H647,FIND("/",H647,FIND("/",H647)+1)+1,LEN(H647)-FIND("/",H647,FIND("/",H647)+1))))</f>
        <v/>
      </c>
      <c r="AD647" s="7" t="str">
        <f aca="false">IF(OR(H647="",AA647=""),"",IFERROR(INDEX('لیست‌ها'!$Q$3:$Q$53,MATCH(AA647,'لیست‌ها'!$P$3:$P$53,0))+IF(AB647&lt;=6,(AB647-1)*31+AC647,IF(AB647&lt;=11,186+(AB647-7)*30+AC647,336+AC647))-1,""))</f>
        <v/>
      </c>
      <c r="AE647" s="7" t="str">
        <f aca="false">IF(P647="","",VALUE(LEFT(P647,FIND("/",P647)-1)))</f>
        <v/>
      </c>
      <c r="AF647" s="7" t="str">
        <f aca="false">IF(P647="","",VALUE(MID(P647,FIND("/",P647)+1,FIND("/",P647,FIND("/",P647)+1)-FIND("/",P647)-1)))</f>
        <v/>
      </c>
      <c r="AG647" s="7" t="str">
        <f aca="false">IF(P647="","",VALUE(MID(P647,FIND("/",P647,FIND("/",P647)+1)+1,LEN(P647)-FIND("/",P647,FIND("/",P647)+1))))</f>
        <v/>
      </c>
      <c r="AH647" s="7" t="str">
        <f aca="false">IF(OR(P647="",AE647=""),"",IFERROR(INDEX('لیست‌ها'!$Q$3:$Q$53,MATCH(AE647,'لیست‌ها'!$P$3:$P$53,0))+IF(AF647&lt;=6,(AF647-1)*31+AG647,IF(AF647&lt;=11,186+(AF647-7)*30+AG647,336+AG647))-1,""))</f>
        <v/>
      </c>
      <c r="AI647" s="7" t="str">
        <f aca="false">IF(W647="","",W647&amp;"-"&amp;TEXT(X647,"00"))</f>
        <v/>
      </c>
      <c r="AJ647" s="7" t="str">
        <f aca="false">IF(W647="","",W647*12+X647)</f>
        <v/>
      </c>
      <c r="AK647" s="7" t="str">
        <f aca="false">IF(U647="تاخیر",V647+ROW()/100000,"")</f>
        <v/>
      </c>
    </row>
    <row r="648" customFormat="false" ht="15" hidden="false" customHeight="false" outlineLevel="0" collapsed="false">
      <c r="A648" s="7" t="str">
        <f aca="false">IF(B648="","",ROW()-3)</f>
        <v/>
      </c>
      <c r="B648" s="8"/>
      <c r="C648" s="8"/>
      <c r="D648" s="8"/>
      <c r="E648" s="9"/>
      <c r="F648" s="9"/>
      <c r="G648" s="8"/>
      <c r="H648" s="8"/>
      <c r="I648" s="8"/>
      <c r="J648" s="9"/>
      <c r="K648" s="8"/>
      <c r="L648" s="8"/>
      <c r="M648" s="8"/>
      <c r="N648" s="8"/>
      <c r="O648" s="8"/>
      <c r="P648" s="8"/>
      <c r="Q648" s="8"/>
      <c r="R648" s="9"/>
      <c r="S648" s="8"/>
      <c r="T648" s="9"/>
      <c r="U648" s="10" t="str">
        <f aca="true">IF(B648="","",IF(OR(P648&lt;&gt;"",I648="می‌باشد"),"بسته",IF(AND(L648&lt;&gt;"",W648=""),"خطای فرمت تاریخ ایجاد",IF(AND(H648&lt;&gt;"",AA648=""),"خطای فرمت مهلت",IF(AND(H648&lt;&gt;"",AD648&lt;&gt;"",TODAY()&gt;AD648),"تاخیر",IF(L648&lt;&gt;"","در حال انجام",""))))))</f>
        <v/>
      </c>
      <c r="V648" s="7" t="n">
        <f aca="true">IF(U648="تاخیر",TODAY()-AD648,IF(AND(U648="بسته",AH648&lt;&gt;"",AD648&lt;&gt;"",AH648&gt;AD648),AH648-AD648,0))</f>
        <v>0</v>
      </c>
      <c r="W648" s="7" t="str">
        <f aca="false">IF(L648="","",VALUE(LEFT(L648,FIND("/",L648)-1)))</f>
        <v/>
      </c>
      <c r="X648" s="7" t="str">
        <f aca="false">IF(L648="","",VALUE(MID(L648,FIND("/",L648)+1,FIND("/",L648,FIND("/",L648)+1)-FIND("/",L648)-1)))</f>
        <v/>
      </c>
      <c r="Y648" s="7" t="str">
        <f aca="false">IF(L648="","",VALUE(MID(L648,FIND("/",L648,FIND("/",L648)+1)+1,LEN(L648)-FIND("/",L648,FIND("/",L648)+1))))</f>
        <v/>
      </c>
      <c r="Z648" s="7" t="str">
        <f aca="false">IF(OR(L648="",W648=""),"",IFERROR(INDEX('لیست‌ها'!$Q$3:$Q$53,MATCH(W648,'لیست‌ها'!$P$3:$P$53,0))+IF(X648&lt;=6,(X648-1)*31+Y648,IF(X648&lt;=11,186+(X648-7)*30+Y648,336+Y648))-1,""))</f>
        <v/>
      </c>
      <c r="AA648" s="7" t="str">
        <f aca="false">IF(H648="","",VALUE(LEFT(H648,FIND("/",H648)-1)))</f>
        <v/>
      </c>
      <c r="AB648" s="7" t="str">
        <f aca="false">IF(H648="","",VALUE(MID(H648,FIND("/",H648)+1,FIND("/",H648,FIND("/",H648)+1)-FIND("/",H648)-1)))</f>
        <v/>
      </c>
      <c r="AC648" s="7" t="str">
        <f aca="false">IF(H648="","",VALUE(MID(H648,FIND("/",H648,FIND("/",H648)+1)+1,LEN(H648)-FIND("/",H648,FIND("/",H648)+1))))</f>
        <v/>
      </c>
      <c r="AD648" s="7" t="str">
        <f aca="false">IF(OR(H648="",AA648=""),"",IFERROR(INDEX('لیست‌ها'!$Q$3:$Q$53,MATCH(AA648,'لیست‌ها'!$P$3:$P$53,0))+IF(AB648&lt;=6,(AB648-1)*31+AC648,IF(AB648&lt;=11,186+(AB648-7)*30+AC648,336+AC648))-1,""))</f>
        <v/>
      </c>
      <c r="AE648" s="7" t="str">
        <f aca="false">IF(P648="","",VALUE(LEFT(P648,FIND("/",P648)-1)))</f>
        <v/>
      </c>
      <c r="AF648" s="7" t="str">
        <f aca="false">IF(P648="","",VALUE(MID(P648,FIND("/",P648)+1,FIND("/",P648,FIND("/",P648)+1)-FIND("/",P648)-1)))</f>
        <v/>
      </c>
      <c r="AG648" s="7" t="str">
        <f aca="false">IF(P648="","",VALUE(MID(P648,FIND("/",P648,FIND("/",P648)+1)+1,LEN(P648)-FIND("/",P648,FIND("/",P648)+1))))</f>
        <v/>
      </c>
      <c r="AH648" s="7" t="str">
        <f aca="false">IF(OR(P648="",AE648=""),"",IFERROR(INDEX('لیست‌ها'!$Q$3:$Q$53,MATCH(AE648,'لیست‌ها'!$P$3:$P$53,0))+IF(AF648&lt;=6,(AF648-1)*31+AG648,IF(AF648&lt;=11,186+(AF648-7)*30+AG648,336+AG648))-1,""))</f>
        <v/>
      </c>
      <c r="AI648" s="7" t="str">
        <f aca="false">IF(W648="","",W648&amp;"-"&amp;TEXT(X648,"00"))</f>
        <v/>
      </c>
      <c r="AJ648" s="7" t="str">
        <f aca="false">IF(W648="","",W648*12+X648)</f>
        <v/>
      </c>
      <c r="AK648" s="7" t="str">
        <f aca="false">IF(U648="تاخیر",V648+ROW()/100000,"")</f>
        <v/>
      </c>
    </row>
    <row r="649" customFormat="false" ht="15" hidden="false" customHeight="false" outlineLevel="0" collapsed="false">
      <c r="A649" s="7" t="str">
        <f aca="false">IF(B649="","",ROW()-3)</f>
        <v/>
      </c>
      <c r="B649" s="8"/>
      <c r="C649" s="8"/>
      <c r="D649" s="8"/>
      <c r="E649" s="9"/>
      <c r="F649" s="9"/>
      <c r="G649" s="8"/>
      <c r="H649" s="8"/>
      <c r="I649" s="8"/>
      <c r="J649" s="9"/>
      <c r="K649" s="8"/>
      <c r="L649" s="8"/>
      <c r="M649" s="8"/>
      <c r="N649" s="8"/>
      <c r="O649" s="8"/>
      <c r="P649" s="8"/>
      <c r="Q649" s="8"/>
      <c r="R649" s="9"/>
      <c r="S649" s="8"/>
      <c r="T649" s="9"/>
      <c r="U649" s="10" t="str">
        <f aca="true">IF(B649="","",IF(OR(P649&lt;&gt;"",I649="می‌باشد"),"بسته",IF(AND(L649&lt;&gt;"",W649=""),"خطای فرمت تاریخ ایجاد",IF(AND(H649&lt;&gt;"",AA649=""),"خطای فرمت مهلت",IF(AND(H649&lt;&gt;"",AD649&lt;&gt;"",TODAY()&gt;AD649),"تاخیر",IF(L649&lt;&gt;"","در حال انجام",""))))))</f>
        <v/>
      </c>
      <c r="V649" s="7" t="n">
        <f aca="true">IF(U649="تاخیر",TODAY()-AD649,IF(AND(U649="بسته",AH649&lt;&gt;"",AD649&lt;&gt;"",AH649&gt;AD649),AH649-AD649,0))</f>
        <v>0</v>
      </c>
      <c r="W649" s="7" t="str">
        <f aca="false">IF(L649="","",VALUE(LEFT(L649,FIND("/",L649)-1)))</f>
        <v/>
      </c>
      <c r="X649" s="7" t="str">
        <f aca="false">IF(L649="","",VALUE(MID(L649,FIND("/",L649)+1,FIND("/",L649,FIND("/",L649)+1)-FIND("/",L649)-1)))</f>
        <v/>
      </c>
      <c r="Y649" s="7" t="str">
        <f aca="false">IF(L649="","",VALUE(MID(L649,FIND("/",L649,FIND("/",L649)+1)+1,LEN(L649)-FIND("/",L649,FIND("/",L649)+1))))</f>
        <v/>
      </c>
      <c r="Z649" s="7" t="str">
        <f aca="false">IF(OR(L649="",W649=""),"",IFERROR(INDEX('لیست‌ها'!$Q$3:$Q$53,MATCH(W649,'لیست‌ها'!$P$3:$P$53,0))+IF(X649&lt;=6,(X649-1)*31+Y649,IF(X649&lt;=11,186+(X649-7)*30+Y649,336+Y649))-1,""))</f>
        <v/>
      </c>
      <c r="AA649" s="7" t="str">
        <f aca="false">IF(H649="","",VALUE(LEFT(H649,FIND("/",H649)-1)))</f>
        <v/>
      </c>
      <c r="AB649" s="7" t="str">
        <f aca="false">IF(H649="","",VALUE(MID(H649,FIND("/",H649)+1,FIND("/",H649,FIND("/",H649)+1)-FIND("/",H649)-1)))</f>
        <v/>
      </c>
      <c r="AC649" s="7" t="str">
        <f aca="false">IF(H649="","",VALUE(MID(H649,FIND("/",H649,FIND("/",H649)+1)+1,LEN(H649)-FIND("/",H649,FIND("/",H649)+1))))</f>
        <v/>
      </c>
      <c r="AD649" s="7" t="str">
        <f aca="false">IF(OR(H649="",AA649=""),"",IFERROR(INDEX('لیست‌ها'!$Q$3:$Q$53,MATCH(AA649,'لیست‌ها'!$P$3:$P$53,0))+IF(AB649&lt;=6,(AB649-1)*31+AC649,IF(AB649&lt;=11,186+(AB649-7)*30+AC649,336+AC649))-1,""))</f>
        <v/>
      </c>
      <c r="AE649" s="7" t="str">
        <f aca="false">IF(P649="","",VALUE(LEFT(P649,FIND("/",P649)-1)))</f>
        <v/>
      </c>
      <c r="AF649" s="7" t="str">
        <f aca="false">IF(P649="","",VALUE(MID(P649,FIND("/",P649)+1,FIND("/",P649,FIND("/",P649)+1)-FIND("/",P649)-1)))</f>
        <v/>
      </c>
      <c r="AG649" s="7" t="str">
        <f aca="false">IF(P649="","",VALUE(MID(P649,FIND("/",P649,FIND("/",P649)+1)+1,LEN(P649)-FIND("/",P649,FIND("/",P649)+1))))</f>
        <v/>
      </c>
      <c r="AH649" s="7" t="str">
        <f aca="false">IF(OR(P649="",AE649=""),"",IFERROR(INDEX('لیست‌ها'!$Q$3:$Q$53,MATCH(AE649,'لیست‌ها'!$P$3:$P$53,0))+IF(AF649&lt;=6,(AF649-1)*31+AG649,IF(AF649&lt;=11,186+(AF649-7)*30+AG649,336+AG649))-1,""))</f>
        <v/>
      </c>
      <c r="AI649" s="7" t="str">
        <f aca="false">IF(W649="","",W649&amp;"-"&amp;TEXT(X649,"00"))</f>
        <v/>
      </c>
      <c r="AJ649" s="7" t="str">
        <f aca="false">IF(W649="","",W649*12+X649)</f>
        <v/>
      </c>
      <c r="AK649" s="7" t="str">
        <f aca="false">IF(U649="تاخیر",V649+ROW()/100000,"")</f>
        <v/>
      </c>
    </row>
    <row r="650" customFormat="false" ht="15" hidden="false" customHeight="false" outlineLevel="0" collapsed="false">
      <c r="A650" s="7" t="str">
        <f aca="false">IF(B650="","",ROW()-3)</f>
        <v/>
      </c>
      <c r="B650" s="8"/>
      <c r="C650" s="8"/>
      <c r="D650" s="8"/>
      <c r="E650" s="9"/>
      <c r="F650" s="9"/>
      <c r="G650" s="8"/>
      <c r="H650" s="8"/>
      <c r="I650" s="8"/>
      <c r="J650" s="9"/>
      <c r="K650" s="8"/>
      <c r="L650" s="8"/>
      <c r="M650" s="8"/>
      <c r="N650" s="8"/>
      <c r="O650" s="8"/>
      <c r="P650" s="8"/>
      <c r="Q650" s="8"/>
      <c r="R650" s="9"/>
      <c r="S650" s="8"/>
      <c r="T650" s="9"/>
      <c r="U650" s="10" t="str">
        <f aca="true">IF(B650="","",IF(OR(P650&lt;&gt;"",I650="می‌باشد"),"بسته",IF(AND(L650&lt;&gt;"",W650=""),"خطای فرمت تاریخ ایجاد",IF(AND(H650&lt;&gt;"",AA650=""),"خطای فرمت مهلت",IF(AND(H650&lt;&gt;"",AD650&lt;&gt;"",TODAY()&gt;AD650),"تاخیر",IF(L650&lt;&gt;"","در حال انجام",""))))))</f>
        <v/>
      </c>
      <c r="V650" s="7" t="n">
        <f aca="true">IF(U650="تاخیر",TODAY()-AD650,IF(AND(U650="بسته",AH650&lt;&gt;"",AD650&lt;&gt;"",AH650&gt;AD650),AH650-AD650,0))</f>
        <v>0</v>
      </c>
      <c r="W650" s="7" t="str">
        <f aca="false">IF(L650="","",VALUE(LEFT(L650,FIND("/",L650)-1)))</f>
        <v/>
      </c>
      <c r="X650" s="7" t="str">
        <f aca="false">IF(L650="","",VALUE(MID(L650,FIND("/",L650)+1,FIND("/",L650,FIND("/",L650)+1)-FIND("/",L650)-1)))</f>
        <v/>
      </c>
      <c r="Y650" s="7" t="str">
        <f aca="false">IF(L650="","",VALUE(MID(L650,FIND("/",L650,FIND("/",L650)+1)+1,LEN(L650)-FIND("/",L650,FIND("/",L650)+1))))</f>
        <v/>
      </c>
      <c r="Z650" s="7" t="str">
        <f aca="false">IF(OR(L650="",W650=""),"",IFERROR(INDEX('لیست‌ها'!$Q$3:$Q$53,MATCH(W650,'لیست‌ها'!$P$3:$P$53,0))+IF(X650&lt;=6,(X650-1)*31+Y650,IF(X650&lt;=11,186+(X650-7)*30+Y650,336+Y650))-1,""))</f>
        <v/>
      </c>
      <c r="AA650" s="7" t="str">
        <f aca="false">IF(H650="","",VALUE(LEFT(H650,FIND("/",H650)-1)))</f>
        <v/>
      </c>
      <c r="AB650" s="7" t="str">
        <f aca="false">IF(H650="","",VALUE(MID(H650,FIND("/",H650)+1,FIND("/",H650,FIND("/",H650)+1)-FIND("/",H650)-1)))</f>
        <v/>
      </c>
      <c r="AC650" s="7" t="str">
        <f aca="false">IF(H650="","",VALUE(MID(H650,FIND("/",H650,FIND("/",H650)+1)+1,LEN(H650)-FIND("/",H650,FIND("/",H650)+1))))</f>
        <v/>
      </c>
      <c r="AD650" s="7" t="str">
        <f aca="false">IF(OR(H650="",AA650=""),"",IFERROR(INDEX('لیست‌ها'!$Q$3:$Q$53,MATCH(AA650,'لیست‌ها'!$P$3:$P$53,0))+IF(AB650&lt;=6,(AB650-1)*31+AC650,IF(AB650&lt;=11,186+(AB650-7)*30+AC650,336+AC650))-1,""))</f>
        <v/>
      </c>
      <c r="AE650" s="7" t="str">
        <f aca="false">IF(P650="","",VALUE(LEFT(P650,FIND("/",P650)-1)))</f>
        <v/>
      </c>
      <c r="AF650" s="7" t="str">
        <f aca="false">IF(P650="","",VALUE(MID(P650,FIND("/",P650)+1,FIND("/",P650,FIND("/",P650)+1)-FIND("/",P650)-1)))</f>
        <v/>
      </c>
      <c r="AG650" s="7" t="str">
        <f aca="false">IF(P650="","",VALUE(MID(P650,FIND("/",P650,FIND("/",P650)+1)+1,LEN(P650)-FIND("/",P650,FIND("/",P650)+1))))</f>
        <v/>
      </c>
      <c r="AH650" s="7" t="str">
        <f aca="false">IF(OR(P650="",AE650=""),"",IFERROR(INDEX('لیست‌ها'!$Q$3:$Q$53,MATCH(AE650,'لیست‌ها'!$P$3:$P$53,0))+IF(AF650&lt;=6,(AF650-1)*31+AG650,IF(AF650&lt;=11,186+(AF650-7)*30+AG650,336+AG650))-1,""))</f>
        <v/>
      </c>
      <c r="AI650" s="7" t="str">
        <f aca="false">IF(W650="","",W650&amp;"-"&amp;TEXT(X650,"00"))</f>
        <v/>
      </c>
      <c r="AJ650" s="7" t="str">
        <f aca="false">IF(W650="","",W650*12+X650)</f>
        <v/>
      </c>
      <c r="AK650" s="7" t="str">
        <f aca="false">IF(U650="تاخیر",V650+ROW()/100000,"")</f>
        <v/>
      </c>
    </row>
    <row r="651" customFormat="false" ht="15" hidden="false" customHeight="false" outlineLevel="0" collapsed="false">
      <c r="A651" s="7" t="str">
        <f aca="false">IF(B651="","",ROW()-3)</f>
        <v/>
      </c>
      <c r="B651" s="8"/>
      <c r="C651" s="8"/>
      <c r="D651" s="8"/>
      <c r="E651" s="9"/>
      <c r="F651" s="9"/>
      <c r="G651" s="8"/>
      <c r="H651" s="8"/>
      <c r="I651" s="8"/>
      <c r="J651" s="9"/>
      <c r="K651" s="8"/>
      <c r="L651" s="8"/>
      <c r="M651" s="8"/>
      <c r="N651" s="8"/>
      <c r="O651" s="8"/>
      <c r="P651" s="8"/>
      <c r="Q651" s="8"/>
      <c r="R651" s="9"/>
      <c r="S651" s="8"/>
      <c r="T651" s="9"/>
      <c r="U651" s="10" t="str">
        <f aca="true">IF(B651="","",IF(OR(P651&lt;&gt;"",I651="می‌باشد"),"بسته",IF(AND(L651&lt;&gt;"",W651=""),"خطای فرمت تاریخ ایجاد",IF(AND(H651&lt;&gt;"",AA651=""),"خطای فرمت مهلت",IF(AND(H651&lt;&gt;"",AD651&lt;&gt;"",TODAY()&gt;AD651),"تاخیر",IF(L651&lt;&gt;"","در حال انجام",""))))))</f>
        <v/>
      </c>
      <c r="V651" s="7" t="n">
        <f aca="true">IF(U651="تاخیر",TODAY()-AD651,IF(AND(U651="بسته",AH651&lt;&gt;"",AD651&lt;&gt;"",AH651&gt;AD651),AH651-AD651,0))</f>
        <v>0</v>
      </c>
      <c r="W651" s="7" t="str">
        <f aca="false">IF(L651="","",VALUE(LEFT(L651,FIND("/",L651)-1)))</f>
        <v/>
      </c>
      <c r="X651" s="7" t="str">
        <f aca="false">IF(L651="","",VALUE(MID(L651,FIND("/",L651)+1,FIND("/",L651,FIND("/",L651)+1)-FIND("/",L651)-1)))</f>
        <v/>
      </c>
      <c r="Y651" s="7" t="str">
        <f aca="false">IF(L651="","",VALUE(MID(L651,FIND("/",L651,FIND("/",L651)+1)+1,LEN(L651)-FIND("/",L651,FIND("/",L651)+1))))</f>
        <v/>
      </c>
      <c r="Z651" s="7" t="str">
        <f aca="false">IF(OR(L651="",W651=""),"",IFERROR(INDEX('لیست‌ها'!$Q$3:$Q$53,MATCH(W651,'لیست‌ها'!$P$3:$P$53,0))+IF(X651&lt;=6,(X651-1)*31+Y651,IF(X651&lt;=11,186+(X651-7)*30+Y651,336+Y651))-1,""))</f>
        <v/>
      </c>
      <c r="AA651" s="7" t="str">
        <f aca="false">IF(H651="","",VALUE(LEFT(H651,FIND("/",H651)-1)))</f>
        <v/>
      </c>
      <c r="AB651" s="7" t="str">
        <f aca="false">IF(H651="","",VALUE(MID(H651,FIND("/",H651)+1,FIND("/",H651,FIND("/",H651)+1)-FIND("/",H651)-1)))</f>
        <v/>
      </c>
      <c r="AC651" s="7" t="str">
        <f aca="false">IF(H651="","",VALUE(MID(H651,FIND("/",H651,FIND("/",H651)+1)+1,LEN(H651)-FIND("/",H651,FIND("/",H651)+1))))</f>
        <v/>
      </c>
      <c r="AD651" s="7" t="str">
        <f aca="false">IF(OR(H651="",AA651=""),"",IFERROR(INDEX('لیست‌ها'!$Q$3:$Q$53,MATCH(AA651,'لیست‌ها'!$P$3:$P$53,0))+IF(AB651&lt;=6,(AB651-1)*31+AC651,IF(AB651&lt;=11,186+(AB651-7)*30+AC651,336+AC651))-1,""))</f>
        <v/>
      </c>
      <c r="AE651" s="7" t="str">
        <f aca="false">IF(P651="","",VALUE(LEFT(P651,FIND("/",P651)-1)))</f>
        <v/>
      </c>
      <c r="AF651" s="7" t="str">
        <f aca="false">IF(P651="","",VALUE(MID(P651,FIND("/",P651)+1,FIND("/",P651,FIND("/",P651)+1)-FIND("/",P651)-1)))</f>
        <v/>
      </c>
      <c r="AG651" s="7" t="str">
        <f aca="false">IF(P651="","",VALUE(MID(P651,FIND("/",P651,FIND("/",P651)+1)+1,LEN(P651)-FIND("/",P651,FIND("/",P651)+1))))</f>
        <v/>
      </c>
      <c r="AH651" s="7" t="str">
        <f aca="false">IF(OR(P651="",AE651=""),"",IFERROR(INDEX('لیست‌ها'!$Q$3:$Q$53,MATCH(AE651,'لیست‌ها'!$P$3:$P$53,0))+IF(AF651&lt;=6,(AF651-1)*31+AG651,IF(AF651&lt;=11,186+(AF651-7)*30+AG651,336+AG651))-1,""))</f>
        <v/>
      </c>
      <c r="AI651" s="7" t="str">
        <f aca="false">IF(W651="","",W651&amp;"-"&amp;TEXT(X651,"00"))</f>
        <v/>
      </c>
      <c r="AJ651" s="7" t="str">
        <f aca="false">IF(W651="","",W651*12+X651)</f>
        <v/>
      </c>
      <c r="AK651" s="7" t="str">
        <f aca="false">IF(U651="تاخیر",V651+ROW()/100000,"")</f>
        <v/>
      </c>
    </row>
    <row r="652" customFormat="false" ht="15" hidden="false" customHeight="false" outlineLevel="0" collapsed="false">
      <c r="A652" s="7" t="str">
        <f aca="false">IF(B652="","",ROW()-3)</f>
        <v/>
      </c>
      <c r="B652" s="8"/>
      <c r="C652" s="8"/>
      <c r="D652" s="8"/>
      <c r="E652" s="9"/>
      <c r="F652" s="9"/>
      <c r="G652" s="8"/>
      <c r="H652" s="8"/>
      <c r="I652" s="8"/>
      <c r="J652" s="9"/>
      <c r="K652" s="8"/>
      <c r="L652" s="8"/>
      <c r="M652" s="8"/>
      <c r="N652" s="8"/>
      <c r="O652" s="8"/>
      <c r="P652" s="8"/>
      <c r="Q652" s="8"/>
      <c r="R652" s="9"/>
      <c r="S652" s="8"/>
      <c r="T652" s="9"/>
      <c r="U652" s="10" t="str">
        <f aca="true">IF(B652="","",IF(OR(P652&lt;&gt;"",I652="می‌باشد"),"بسته",IF(AND(L652&lt;&gt;"",W652=""),"خطای فرمت تاریخ ایجاد",IF(AND(H652&lt;&gt;"",AA652=""),"خطای فرمت مهلت",IF(AND(H652&lt;&gt;"",AD652&lt;&gt;"",TODAY()&gt;AD652),"تاخیر",IF(L652&lt;&gt;"","در حال انجام",""))))))</f>
        <v/>
      </c>
      <c r="V652" s="7" t="n">
        <f aca="true">IF(U652="تاخیر",TODAY()-AD652,IF(AND(U652="بسته",AH652&lt;&gt;"",AD652&lt;&gt;"",AH652&gt;AD652),AH652-AD652,0))</f>
        <v>0</v>
      </c>
      <c r="W652" s="7" t="str">
        <f aca="false">IF(L652="","",VALUE(LEFT(L652,FIND("/",L652)-1)))</f>
        <v/>
      </c>
      <c r="X652" s="7" t="str">
        <f aca="false">IF(L652="","",VALUE(MID(L652,FIND("/",L652)+1,FIND("/",L652,FIND("/",L652)+1)-FIND("/",L652)-1)))</f>
        <v/>
      </c>
      <c r="Y652" s="7" t="str">
        <f aca="false">IF(L652="","",VALUE(MID(L652,FIND("/",L652,FIND("/",L652)+1)+1,LEN(L652)-FIND("/",L652,FIND("/",L652)+1))))</f>
        <v/>
      </c>
      <c r="Z652" s="7" t="str">
        <f aca="false">IF(OR(L652="",W652=""),"",IFERROR(INDEX('لیست‌ها'!$Q$3:$Q$53,MATCH(W652,'لیست‌ها'!$P$3:$P$53,0))+IF(X652&lt;=6,(X652-1)*31+Y652,IF(X652&lt;=11,186+(X652-7)*30+Y652,336+Y652))-1,""))</f>
        <v/>
      </c>
      <c r="AA652" s="7" t="str">
        <f aca="false">IF(H652="","",VALUE(LEFT(H652,FIND("/",H652)-1)))</f>
        <v/>
      </c>
      <c r="AB652" s="7" t="str">
        <f aca="false">IF(H652="","",VALUE(MID(H652,FIND("/",H652)+1,FIND("/",H652,FIND("/",H652)+1)-FIND("/",H652)-1)))</f>
        <v/>
      </c>
      <c r="AC652" s="7" t="str">
        <f aca="false">IF(H652="","",VALUE(MID(H652,FIND("/",H652,FIND("/",H652)+1)+1,LEN(H652)-FIND("/",H652,FIND("/",H652)+1))))</f>
        <v/>
      </c>
      <c r="AD652" s="7" t="str">
        <f aca="false">IF(OR(H652="",AA652=""),"",IFERROR(INDEX('لیست‌ها'!$Q$3:$Q$53,MATCH(AA652,'لیست‌ها'!$P$3:$P$53,0))+IF(AB652&lt;=6,(AB652-1)*31+AC652,IF(AB652&lt;=11,186+(AB652-7)*30+AC652,336+AC652))-1,""))</f>
        <v/>
      </c>
      <c r="AE652" s="7" t="str">
        <f aca="false">IF(P652="","",VALUE(LEFT(P652,FIND("/",P652)-1)))</f>
        <v/>
      </c>
      <c r="AF652" s="7" t="str">
        <f aca="false">IF(P652="","",VALUE(MID(P652,FIND("/",P652)+1,FIND("/",P652,FIND("/",P652)+1)-FIND("/",P652)-1)))</f>
        <v/>
      </c>
      <c r="AG652" s="7" t="str">
        <f aca="false">IF(P652="","",VALUE(MID(P652,FIND("/",P652,FIND("/",P652)+1)+1,LEN(P652)-FIND("/",P652,FIND("/",P652)+1))))</f>
        <v/>
      </c>
      <c r="AH652" s="7" t="str">
        <f aca="false">IF(OR(P652="",AE652=""),"",IFERROR(INDEX('لیست‌ها'!$Q$3:$Q$53,MATCH(AE652,'لیست‌ها'!$P$3:$P$53,0))+IF(AF652&lt;=6,(AF652-1)*31+AG652,IF(AF652&lt;=11,186+(AF652-7)*30+AG652,336+AG652))-1,""))</f>
        <v/>
      </c>
      <c r="AI652" s="7" t="str">
        <f aca="false">IF(W652="","",W652&amp;"-"&amp;TEXT(X652,"00"))</f>
        <v/>
      </c>
      <c r="AJ652" s="7" t="str">
        <f aca="false">IF(W652="","",W652*12+X652)</f>
        <v/>
      </c>
      <c r="AK652" s="7" t="str">
        <f aca="false">IF(U652="تاخیر",V652+ROW()/100000,"")</f>
        <v/>
      </c>
    </row>
    <row r="653" customFormat="false" ht="15" hidden="false" customHeight="false" outlineLevel="0" collapsed="false">
      <c r="A653" s="7" t="str">
        <f aca="false">IF(B653="","",ROW()-3)</f>
        <v/>
      </c>
      <c r="B653" s="8"/>
      <c r="C653" s="8"/>
      <c r="D653" s="8"/>
      <c r="E653" s="9"/>
      <c r="F653" s="9"/>
      <c r="G653" s="8"/>
      <c r="H653" s="8"/>
      <c r="I653" s="8"/>
      <c r="J653" s="9"/>
      <c r="K653" s="8"/>
      <c r="L653" s="8"/>
      <c r="M653" s="8"/>
      <c r="N653" s="8"/>
      <c r="O653" s="8"/>
      <c r="P653" s="8"/>
      <c r="Q653" s="8"/>
      <c r="R653" s="9"/>
      <c r="S653" s="8"/>
      <c r="T653" s="9"/>
      <c r="U653" s="10" t="str">
        <f aca="true">IF(B653="","",IF(OR(P653&lt;&gt;"",I653="می‌باشد"),"بسته",IF(AND(L653&lt;&gt;"",W653=""),"خطای فرمت تاریخ ایجاد",IF(AND(H653&lt;&gt;"",AA653=""),"خطای فرمت مهلت",IF(AND(H653&lt;&gt;"",AD653&lt;&gt;"",TODAY()&gt;AD653),"تاخیر",IF(L653&lt;&gt;"","در حال انجام",""))))))</f>
        <v/>
      </c>
      <c r="V653" s="7" t="n">
        <f aca="true">IF(U653="تاخیر",TODAY()-AD653,IF(AND(U653="بسته",AH653&lt;&gt;"",AD653&lt;&gt;"",AH653&gt;AD653),AH653-AD653,0))</f>
        <v>0</v>
      </c>
      <c r="W653" s="7" t="str">
        <f aca="false">IF(L653="","",VALUE(LEFT(L653,FIND("/",L653)-1)))</f>
        <v/>
      </c>
      <c r="X653" s="7" t="str">
        <f aca="false">IF(L653="","",VALUE(MID(L653,FIND("/",L653)+1,FIND("/",L653,FIND("/",L653)+1)-FIND("/",L653)-1)))</f>
        <v/>
      </c>
      <c r="Y653" s="7" t="str">
        <f aca="false">IF(L653="","",VALUE(MID(L653,FIND("/",L653,FIND("/",L653)+1)+1,LEN(L653)-FIND("/",L653,FIND("/",L653)+1))))</f>
        <v/>
      </c>
      <c r="Z653" s="7" t="str">
        <f aca="false">IF(OR(L653="",W653=""),"",IFERROR(INDEX('لیست‌ها'!$Q$3:$Q$53,MATCH(W653,'لیست‌ها'!$P$3:$P$53,0))+IF(X653&lt;=6,(X653-1)*31+Y653,IF(X653&lt;=11,186+(X653-7)*30+Y653,336+Y653))-1,""))</f>
        <v/>
      </c>
      <c r="AA653" s="7" t="str">
        <f aca="false">IF(H653="","",VALUE(LEFT(H653,FIND("/",H653)-1)))</f>
        <v/>
      </c>
      <c r="AB653" s="7" t="str">
        <f aca="false">IF(H653="","",VALUE(MID(H653,FIND("/",H653)+1,FIND("/",H653,FIND("/",H653)+1)-FIND("/",H653)-1)))</f>
        <v/>
      </c>
      <c r="AC653" s="7" t="str">
        <f aca="false">IF(H653="","",VALUE(MID(H653,FIND("/",H653,FIND("/",H653)+1)+1,LEN(H653)-FIND("/",H653,FIND("/",H653)+1))))</f>
        <v/>
      </c>
      <c r="AD653" s="7" t="str">
        <f aca="false">IF(OR(H653="",AA653=""),"",IFERROR(INDEX('لیست‌ها'!$Q$3:$Q$53,MATCH(AA653,'لیست‌ها'!$P$3:$P$53,0))+IF(AB653&lt;=6,(AB653-1)*31+AC653,IF(AB653&lt;=11,186+(AB653-7)*30+AC653,336+AC653))-1,""))</f>
        <v/>
      </c>
      <c r="AE653" s="7" t="str">
        <f aca="false">IF(P653="","",VALUE(LEFT(P653,FIND("/",P653)-1)))</f>
        <v/>
      </c>
      <c r="AF653" s="7" t="str">
        <f aca="false">IF(P653="","",VALUE(MID(P653,FIND("/",P653)+1,FIND("/",P653,FIND("/",P653)+1)-FIND("/",P653)-1)))</f>
        <v/>
      </c>
      <c r="AG653" s="7" t="str">
        <f aca="false">IF(P653="","",VALUE(MID(P653,FIND("/",P653,FIND("/",P653)+1)+1,LEN(P653)-FIND("/",P653,FIND("/",P653)+1))))</f>
        <v/>
      </c>
      <c r="AH653" s="7" t="str">
        <f aca="false">IF(OR(P653="",AE653=""),"",IFERROR(INDEX('لیست‌ها'!$Q$3:$Q$53,MATCH(AE653,'لیست‌ها'!$P$3:$P$53,0))+IF(AF653&lt;=6,(AF653-1)*31+AG653,IF(AF653&lt;=11,186+(AF653-7)*30+AG653,336+AG653))-1,""))</f>
        <v/>
      </c>
      <c r="AI653" s="7" t="str">
        <f aca="false">IF(W653="","",W653&amp;"-"&amp;TEXT(X653,"00"))</f>
        <v/>
      </c>
      <c r="AJ653" s="7" t="str">
        <f aca="false">IF(W653="","",W653*12+X653)</f>
        <v/>
      </c>
      <c r="AK653" s="7" t="str">
        <f aca="false">IF(U653="تاخیر",V653+ROW()/100000,"")</f>
        <v/>
      </c>
    </row>
    <row r="654" customFormat="false" ht="15" hidden="false" customHeight="false" outlineLevel="0" collapsed="false">
      <c r="A654" s="7" t="str">
        <f aca="false">IF(B654="","",ROW()-3)</f>
        <v/>
      </c>
      <c r="B654" s="8"/>
      <c r="C654" s="8"/>
      <c r="D654" s="8"/>
      <c r="E654" s="9"/>
      <c r="F654" s="9"/>
      <c r="G654" s="8"/>
      <c r="H654" s="8"/>
      <c r="I654" s="8"/>
      <c r="J654" s="9"/>
      <c r="K654" s="8"/>
      <c r="L654" s="8"/>
      <c r="M654" s="8"/>
      <c r="N654" s="8"/>
      <c r="O654" s="8"/>
      <c r="P654" s="8"/>
      <c r="Q654" s="8"/>
      <c r="R654" s="9"/>
      <c r="S654" s="8"/>
      <c r="T654" s="9"/>
      <c r="U654" s="10" t="str">
        <f aca="true">IF(B654="","",IF(OR(P654&lt;&gt;"",I654="می‌باشد"),"بسته",IF(AND(L654&lt;&gt;"",W654=""),"خطای فرمت تاریخ ایجاد",IF(AND(H654&lt;&gt;"",AA654=""),"خطای فرمت مهلت",IF(AND(H654&lt;&gt;"",AD654&lt;&gt;"",TODAY()&gt;AD654),"تاخیر",IF(L654&lt;&gt;"","در حال انجام",""))))))</f>
        <v/>
      </c>
      <c r="V654" s="7" t="n">
        <f aca="true">IF(U654="تاخیر",TODAY()-AD654,IF(AND(U654="بسته",AH654&lt;&gt;"",AD654&lt;&gt;"",AH654&gt;AD654),AH654-AD654,0))</f>
        <v>0</v>
      </c>
      <c r="W654" s="7" t="str">
        <f aca="false">IF(L654="","",VALUE(LEFT(L654,FIND("/",L654)-1)))</f>
        <v/>
      </c>
      <c r="X654" s="7" t="str">
        <f aca="false">IF(L654="","",VALUE(MID(L654,FIND("/",L654)+1,FIND("/",L654,FIND("/",L654)+1)-FIND("/",L654)-1)))</f>
        <v/>
      </c>
      <c r="Y654" s="7" t="str">
        <f aca="false">IF(L654="","",VALUE(MID(L654,FIND("/",L654,FIND("/",L654)+1)+1,LEN(L654)-FIND("/",L654,FIND("/",L654)+1))))</f>
        <v/>
      </c>
      <c r="Z654" s="7" t="str">
        <f aca="false">IF(OR(L654="",W654=""),"",IFERROR(INDEX('لیست‌ها'!$Q$3:$Q$53,MATCH(W654,'لیست‌ها'!$P$3:$P$53,0))+IF(X654&lt;=6,(X654-1)*31+Y654,IF(X654&lt;=11,186+(X654-7)*30+Y654,336+Y654))-1,""))</f>
        <v/>
      </c>
      <c r="AA654" s="7" t="str">
        <f aca="false">IF(H654="","",VALUE(LEFT(H654,FIND("/",H654)-1)))</f>
        <v/>
      </c>
      <c r="AB654" s="7" t="str">
        <f aca="false">IF(H654="","",VALUE(MID(H654,FIND("/",H654)+1,FIND("/",H654,FIND("/",H654)+1)-FIND("/",H654)-1)))</f>
        <v/>
      </c>
      <c r="AC654" s="7" t="str">
        <f aca="false">IF(H654="","",VALUE(MID(H654,FIND("/",H654,FIND("/",H654)+1)+1,LEN(H654)-FIND("/",H654,FIND("/",H654)+1))))</f>
        <v/>
      </c>
      <c r="AD654" s="7" t="str">
        <f aca="false">IF(OR(H654="",AA654=""),"",IFERROR(INDEX('لیست‌ها'!$Q$3:$Q$53,MATCH(AA654,'لیست‌ها'!$P$3:$P$53,0))+IF(AB654&lt;=6,(AB654-1)*31+AC654,IF(AB654&lt;=11,186+(AB654-7)*30+AC654,336+AC654))-1,""))</f>
        <v/>
      </c>
      <c r="AE654" s="7" t="str">
        <f aca="false">IF(P654="","",VALUE(LEFT(P654,FIND("/",P654)-1)))</f>
        <v/>
      </c>
      <c r="AF654" s="7" t="str">
        <f aca="false">IF(P654="","",VALUE(MID(P654,FIND("/",P654)+1,FIND("/",P654,FIND("/",P654)+1)-FIND("/",P654)-1)))</f>
        <v/>
      </c>
      <c r="AG654" s="7" t="str">
        <f aca="false">IF(P654="","",VALUE(MID(P654,FIND("/",P654,FIND("/",P654)+1)+1,LEN(P654)-FIND("/",P654,FIND("/",P654)+1))))</f>
        <v/>
      </c>
      <c r="AH654" s="7" t="str">
        <f aca="false">IF(OR(P654="",AE654=""),"",IFERROR(INDEX('لیست‌ها'!$Q$3:$Q$53,MATCH(AE654,'لیست‌ها'!$P$3:$P$53,0))+IF(AF654&lt;=6,(AF654-1)*31+AG654,IF(AF654&lt;=11,186+(AF654-7)*30+AG654,336+AG654))-1,""))</f>
        <v/>
      </c>
      <c r="AI654" s="7" t="str">
        <f aca="false">IF(W654="","",W654&amp;"-"&amp;TEXT(X654,"00"))</f>
        <v/>
      </c>
      <c r="AJ654" s="7" t="str">
        <f aca="false">IF(W654="","",W654*12+X654)</f>
        <v/>
      </c>
      <c r="AK654" s="7" t="str">
        <f aca="false">IF(U654="تاخیر",V654+ROW()/100000,"")</f>
        <v/>
      </c>
    </row>
    <row r="655" customFormat="false" ht="15" hidden="false" customHeight="false" outlineLevel="0" collapsed="false">
      <c r="A655" s="7" t="str">
        <f aca="false">IF(B655="","",ROW()-3)</f>
        <v/>
      </c>
      <c r="B655" s="8"/>
      <c r="C655" s="8"/>
      <c r="D655" s="8"/>
      <c r="E655" s="9"/>
      <c r="F655" s="9"/>
      <c r="G655" s="8"/>
      <c r="H655" s="8"/>
      <c r="I655" s="8"/>
      <c r="J655" s="9"/>
      <c r="K655" s="8"/>
      <c r="L655" s="8"/>
      <c r="M655" s="8"/>
      <c r="N655" s="8"/>
      <c r="O655" s="8"/>
      <c r="P655" s="8"/>
      <c r="Q655" s="8"/>
      <c r="R655" s="9"/>
      <c r="S655" s="8"/>
      <c r="T655" s="9"/>
      <c r="U655" s="10" t="str">
        <f aca="true">IF(B655="","",IF(OR(P655&lt;&gt;"",I655="می‌باشد"),"بسته",IF(AND(L655&lt;&gt;"",W655=""),"خطای فرمت تاریخ ایجاد",IF(AND(H655&lt;&gt;"",AA655=""),"خطای فرمت مهلت",IF(AND(H655&lt;&gt;"",AD655&lt;&gt;"",TODAY()&gt;AD655),"تاخیر",IF(L655&lt;&gt;"","در حال انجام",""))))))</f>
        <v/>
      </c>
      <c r="V655" s="7" t="n">
        <f aca="true">IF(U655="تاخیر",TODAY()-AD655,IF(AND(U655="بسته",AH655&lt;&gt;"",AD655&lt;&gt;"",AH655&gt;AD655),AH655-AD655,0))</f>
        <v>0</v>
      </c>
      <c r="W655" s="7" t="str">
        <f aca="false">IF(L655="","",VALUE(LEFT(L655,FIND("/",L655)-1)))</f>
        <v/>
      </c>
      <c r="X655" s="7" t="str">
        <f aca="false">IF(L655="","",VALUE(MID(L655,FIND("/",L655)+1,FIND("/",L655,FIND("/",L655)+1)-FIND("/",L655)-1)))</f>
        <v/>
      </c>
      <c r="Y655" s="7" t="str">
        <f aca="false">IF(L655="","",VALUE(MID(L655,FIND("/",L655,FIND("/",L655)+1)+1,LEN(L655)-FIND("/",L655,FIND("/",L655)+1))))</f>
        <v/>
      </c>
      <c r="Z655" s="7" t="str">
        <f aca="false">IF(OR(L655="",W655=""),"",IFERROR(INDEX('لیست‌ها'!$Q$3:$Q$53,MATCH(W655,'لیست‌ها'!$P$3:$P$53,0))+IF(X655&lt;=6,(X655-1)*31+Y655,IF(X655&lt;=11,186+(X655-7)*30+Y655,336+Y655))-1,""))</f>
        <v/>
      </c>
      <c r="AA655" s="7" t="str">
        <f aca="false">IF(H655="","",VALUE(LEFT(H655,FIND("/",H655)-1)))</f>
        <v/>
      </c>
      <c r="AB655" s="7" t="str">
        <f aca="false">IF(H655="","",VALUE(MID(H655,FIND("/",H655)+1,FIND("/",H655,FIND("/",H655)+1)-FIND("/",H655)-1)))</f>
        <v/>
      </c>
      <c r="AC655" s="7" t="str">
        <f aca="false">IF(H655="","",VALUE(MID(H655,FIND("/",H655,FIND("/",H655)+1)+1,LEN(H655)-FIND("/",H655,FIND("/",H655)+1))))</f>
        <v/>
      </c>
      <c r="AD655" s="7" t="str">
        <f aca="false">IF(OR(H655="",AA655=""),"",IFERROR(INDEX('لیست‌ها'!$Q$3:$Q$53,MATCH(AA655,'لیست‌ها'!$P$3:$P$53,0))+IF(AB655&lt;=6,(AB655-1)*31+AC655,IF(AB655&lt;=11,186+(AB655-7)*30+AC655,336+AC655))-1,""))</f>
        <v/>
      </c>
      <c r="AE655" s="7" t="str">
        <f aca="false">IF(P655="","",VALUE(LEFT(P655,FIND("/",P655)-1)))</f>
        <v/>
      </c>
      <c r="AF655" s="7" t="str">
        <f aca="false">IF(P655="","",VALUE(MID(P655,FIND("/",P655)+1,FIND("/",P655,FIND("/",P655)+1)-FIND("/",P655)-1)))</f>
        <v/>
      </c>
      <c r="AG655" s="7" t="str">
        <f aca="false">IF(P655="","",VALUE(MID(P655,FIND("/",P655,FIND("/",P655)+1)+1,LEN(P655)-FIND("/",P655,FIND("/",P655)+1))))</f>
        <v/>
      </c>
      <c r="AH655" s="7" t="str">
        <f aca="false">IF(OR(P655="",AE655=""),"",IFERROR(INDEX('لیست‌ها'!$Q$3:$Q$53,MATCH(AE655,'لیست‌ها'!$P$3:$P$53,0))+IF(AF655&lt;=6,(AF655-1)*31+AG655,IF(AF655&lt;=11,186+(AF655-7)*30+AG655,336+AG655))-1,""))</f>
        <v/>
      </c>
      <c r="AI655" s="7" t="str">
        <f aca="false">IF(W655="","",W655&amp;"-"&amp;TEXT(X655,"00"))</f>
        <v/>
      </c>
      <c r="AJ655" s="7" t="str">
        <f aca="false">IF(W655="","",W655*12+X655)</f>
        <v/>
      </c>
      <c r="AK655" s="7" t="str">
        <f aca="false">IF(U655="تاخیر",V655+ROW()/100000,"")</f>
        <v/>
      </c>
    </row>
    <row r="656" customFormat="false" ht="15" hidden="false" customHeight="false" outlineLevel="0" collapsed="false">
      <c r="A656" s="7" t="str">
        <f aca="false">IF(B656="","",ROW()-3)</f>
        <v/>
      </c>
      <c r="B656" s="8"/>
      <c r="C656" s="8"/>
      <c r="D656" s="8"/>
      <c r="E656" s="9"/>
      <c r="F656" s="9"/>
      <c r="G656" s="8"/>
      <c r="H656" s="8"/>
      <c r="I656" s="8"/>
      <c r="J656" s="9"/>
      <c r="K656" s="8"/>
      <c r="L656" s="8"/>
      <c r="M656" s="8"/>
      <c r="N656" s="8"/>
      <c r="O656" s="8"/>
      <c r="P656" s="8"/>
      <c r="Q656" s="8"/>
      <c r="R656" s="9"/>
      <c r="S656" s="8"/>
      <c r="T656" s="9"/>
      <c r="U656" s="10" t="str">
        <f aca="true">IF(B656="","",IF(OR(P656&lt;&gt;"",I656="می‌باشد"),"بسته",IF(AND(L656&lt;&gt;"",W656=""),"خطای فرمت تاریخ ایجاد",IF(AND(H656&lt;&gt;"",AA656=""),"خطای فرمت مهلت",IF(AND(H656&lt;&gt;"",AD656&lt;&gt;"",TODAY()&gt;AD656),"تاخیر",IF(L656&lt;&gt;"","در حال انجام",""))))))</f>
        <v/>
      </c>
      <c r="V656" s="7" t="n">
        <f aca="true">IF(U656="تاخیر",TODAY()-AD656,IF(AND(U656="بسته",AH656&lt;&gt;"",AD656&lt;&gt;"",AH656&gt;AD656),AH656-AD656,0))</f>
        <v>0</v>
      </c>
      <c r="W656" s="7" t="str">
        <f aca="false">IF(L656="","",VALUE(LEFT(L656,FIND("/",L656)-1)))</f>
        <v/>
      </c>
      <c r="X656" s="7" t="str">
        <f aca="false">IF(L656="","",VALUE(MID(L656,FIND("/",L656)+1,FIND("/",L656,FIND("/",L656)+1)-FIND("/",L656)-1)))</f>
        <v/>
      </c>
      <c r="Y656" s="7" t="str">
        <f aca="false">IF(L656="","",VALUE(MID(L656,FIND("/",L656,FIND("/",L656)+1)+1,LEN(L656)-FIND("/",L656,FIND("/",L656)+1))))</f>
        <v/>
      </c>
      <c r="Z656" s="7" t="str">
        <f aca="false">IF(OR(L656="",W656=""),"",IFERROR(INDEX('لیست‌ها'!$Q$3:$Q$53,MATCH(W656,'لیست‌ها'!$P$3:$P$53,0))+IF(X656&lt;=6,(X656-1)*31+Y656,IF(X656&lt;=11,186+(X656-7)*30+Y656,336+Y656))-1,""))</f>
        <v/>
      </c>
      <c r="AA656" s="7" t="str">
        <f aca="false">IF(H656="","",VALUE(LEFT(H656,FIND("/",H656)-1)))</f>
        <v/>
      </c>
      <c r="AB656" s="7" t="str">
        <f aca="false">IF(H656="","",VALUE(MID(H656,FIND("/",H656)+1,FIND("/",H656,FIND("/",H656)+1)-FIND("/",H656)-1)))</f>
        <v/>
      </c>
      <c r="AC656" s="7" t="str">
        <f aca="false">IF(H656="","",VALUE(MID(H656,FIND("/",H656,FIND("/",H656)+1)+1,LEN(H656)-FIND("/",H656,FIND("/",H656)+1))))</f>
        <v/>
      </c>
      <c r="AD656" s="7" t="str">
        <f aca="false">IF(OR(H656="",AA656=""),"",IFERROR(INDEX('لیست‌ها'!$Q$3:$Q$53,MATCH(AA656,'لیست‌ها'!$P$3:$P$53,0))+IF(AB656&lt;=6,(AB656-1)*31+AC656,IF(AB656&lt;=11,186+(AB656-7)*30+AC656,336+AC656))-1,""))</f>
        <v/>
      </c>
      <c r="AE656" s="7" t="str">
        <f aca="false">IF(P656="","",VALUE(LEFT(P656,FIND("/",P656)-1)))</f>
        <v/>
      </c>
      <c r="AF656" s="7" t="str">
        <f aca="false">IF(P656="","",VALUE(MID(P656,FIND("/",P656)+1,FIND("/",P656,FIND("/",P656)+1)-FIND("/",P656)-1)))</f>
        <v/>
      </c>
      <c r="AG656" s="7" t="str">
        <f aca="false">IF(P656="","",VALUE(MID(P656,FIND("/",P656,FIND("/",P656)+1)+1,LEN(P656)-FIND("/",P656,FIND("/",P656)+1))))</f>
        <v/>
      </c>
      <c r="AH656" s="7" t="str">
        <f aca="false">IF(OR(P656="",AE656=""),"",IFERROR(INDEX('لیست‌ها'!$Q$3:$Q$53,MATCH(AE656,'لیست‌ها'!$P$3:$P$53,0))+IF(AF656&lt;=6,(AF656-1)*31+AG656,IF(AF656&lt;=11,186+(AF656-7)*30+AG656,336+AG656))-1,""))</f>
        <v/>
      </c>
      <c r="AI656" s="7" t="str">
        <f aca="false">IF(W656="","",W656&amp;"-"&amp;TEXT(X656,"00"))</f>
        <v/>
      </c>
      <c r="AJ656" s="7" t="str">
        <f aca="false">IF(W656="","",W656*12+X656)</f>
        <v/>
      </c>
      <c r="AK656" s="7" t="str">
        <f aca="false">IF(U656="تاخیر",V656+ROW()/100000,"")</f>
        <v/>
      </c>
    </row>
    <row r="657" customFormat="false" ht="15" hidden="false" customHeight="false" outlineLevel="0" collapsed="false">
      <c r="A657" s="7" t="str">
        <f aca="false">IF(B657="","",ROW()-3)</f>
        <v/>
      </c>
      <c r="B657" s="8"/>
      <c r="C657" s="8"/>
      <c r="D657" s="8"/>
      <c r="E657" s="9"/>
      <c r="F657" s="9"/>
      <c r="G657" s="8"/>
      <c r="H657" s="8"/>
      <c r="I657" s="8"/>
      <c r="J657" s="9"/>
      <c r="K657" s="8"/>
      <c r="L657" s="8"/>
      <c r="M657" s="8"/>
      <c r="N657" s="8"/>
      <c r="O657" s="8"/>
      <c r="P657" s="8"/>
      <c r="Q657" s="8"/>
      <c r="R657" s="9"/>
      <c r="S657" s="8"/>
      <c r="T657" s="9"/>
      <c r="U657" s="10" t="str">
        <f aca="true">IF(B657="","",IF(OR(P657&lt;&gt;"",I657="می‌باشد"),"بسته",IF(AND(L657&lt;&gt;"",W657=""),"خطای فرمت تاریخ ایجاد",IF(AND(H657&lt;&gt;"",AA657=""),"خطای فرمت مهلت",IF(AND(H657&lt;&gt;"",AD657&lt;&gt;"",TODAY()&gt;AD657),"تاخیر",IF(L657&lt;&gt;"","در حال انجام",""))))))</f>
        <v/>
      </c>
      <c r="V657" s="7" t="n">
        <f aca="true">IF(U657="تاخیر",TODAY()-AD657,IF(AND(U657="بسته",AH657&lt;&gt;"",AD657&lt;&gt;"",AH657&gt;AD657),AH657-AD657,0))</f>
        <v>0</v>
      </c>
      <c r="W657" s="7" t="str">
        <f aca="false">IF(L657="","",VALUE(LEFT(L657,FIND("/",L657)-1)))</f>
        <v/>
      </c>
      <c r="X657" s="7" t="str">
        <f aca="false">IF(L657="","",VALUE(MID(L657,FIND("/",L657)+1,FIND("/",L657,FIND("/",L657)+1)-FIND("/",L657)-1)))</f>
        <v/>
      </c>
      <c r="Y657" s="7" t="str">
        <f aca="false">IF(L657="","",VALUE(MID(L657,FIND("/",L657,FIND("/",L657)+1)+1,LEN(L657)-FIND("/",L657,FIND("/",L657)+1))))</f>
        <v/>
      </c>
      <c r="Z657" s="7" t="str">
        <f aca="false">IF(OR(L657="",W657=""),"",IFERROR(INDEX('لیست‌ها'!$Q$3:$Q$53,MATCH(W657,'لیست‌ها'!$P$3:$P$53,0))+IF(X657&lt;=6,(X657-1)*31+Y657,IF(X657&lt;=11,186+(X657-7)*30+Y657,336+Y657))-1,""))</f>
        <v/>
      </c>
      <c r="AA657" s="7" t="str">
        <f aca="false">IF(H657="","",VALUE(LEFT(H657,FIND("/",H657)-1)))</f>
        <v/>
      </c>
      <c r="AB657" s="7" t="str">
        <f aca="false">IF(H657="","",VALUE(MID(H657,FIND("/",H657)+1,FIND("/",H657,FIND("/",H657)+1)-FIND("/",H657)-1)))</f>
        <v/>
      </c>
      <c r="AC657" s="7" t="str">
        <f aca="false">IF(H657="","",VALUE(MID(H657,FIND("/",H657,FIND("/",H657)+1)+1,LEN(H657)-FIND("/",H657,FIND("/",H657)+1))))</f>
        <v/>
      </c>
      <c r="AD657" s="7" t="str">
        <f aca="false">IF(OR(H657="",AA657=""),"",IFERROR(INDEX('لیست‌ها'!$Q$3:$Q$53,MATCH(AA657,'لیست‌ها'!$P$3:$P$53,0))+IF(AB657&lt;=6,(AB657-1)*31+AC657,IF(AB657&lt;=11,186+(AB657-7)*30+AC657,336+AC657))-1,""))</f>
        <v/>
      </c>
      <c r="AE657" s="7" t="str">
        <f aca="false">IF(P657="","",VALUE(LEFT(P657,FIND("/",P657)-1)))</f>
        <v/>
      </c>
      <c r="AF657" s="7" t="str">
        <f aca="false">IF(P657="","",VALUE(MID(P657,FIND("/",P657)+1,FIND("/",P657,FIND("/",P657)+1)-FIND("/",P657)-1)))</f>
        <v/>
      </c>
      <c r="AG657" s="7" t="str">
        <f aca="false">IF(P657="","",VALUE(MID(P657,FIND("/",P657,FIND("/",P657)+1)+1,LEN(P657)-FIND("/",P657,FIND("/",P657)+1))))</f>
        <v/>
      </c>
      <c r="AH657" s="7" t="str">
        <f aca="false">IF(OR(P657="",AE657=""),"",IFERROR(INDEX('لیست‌ها'!$Q$3:$Q$53,MATCH(AE657,'لیست‌ها'!$P$3:$P$53,0))+IF(AF657&lt;=6,(AF657-1)*31+AG657,IF(AF657&lt;=11,186+(AF657-7)*30+AG657,336+AG657))-1,""))</f>
        <v/>
      </c>
      <c r="AI657" s="7" t="str">
        <f aca="false">IF(W657="","",W657&amp;"-"&amp;TEXT(X657,"00"))</f>
        <v/>
      </c>
      <c r="AJ657" s="7" t="str">
        <f aca="false">IF(W657="","",W657*12+X657)</f>
        <v/>
      </c>
      <c r="AK657" s="7" t="str">
        <f aca="false">IF(U657="تاخیر",V657+ROW()/100000,"")</f>
        <v/>
      </c>
    </row>
    <row r="658" customFormat="false" ht="15" hidden="false" customHeight="false" outlineLevel="0" collapsed="false">
      <c r="A658" s="7" t="str">
        <f aca="false">IF(B658="","",ROW()-3)</f>
        <v/>
      </c>
      <c r="B658" s="8"/>
      <c r="C658" s="8"/>
      <c r="D658" s="8"/>
      <c r="E658" s="9"/>
      <c r="F658" s="9"/>
      <c r="G658" s="8"/>
      <c r="H658" s="8"/>
      <c r="I658" s="8"/>
      <c r="J658" s="9"/>
      <c r="K658" s="8"/>
      <c r="L658" s="8"/>
      <c r="M658" s="8"/>
      <c r="N658" s="8"/>
      <c r="O658" s="8"/>
      <c r="P658" s="8"/>
      <c r="Q658" s="8"/>
      <c r="R658" s="9"/>
      <c r="S658" s="8"/>
      <c r="T658" s="9"/>
      <c r="U658" s="10" t="str">
        <f aca="true">IF(B658="","",IF(OR(P658&lt;&gt;"",I658="می‌باشد"),"بسته",IF(AND(L658&lt;&gt;"",W658=""),"خطای فرمت تاریخ ایجاد",IF(AND(H658&lt;&gt;"",AA658=""),"خطای فرمت مهلت",IF(AND(H658&lt;&gt;"",AD658&lt;&gt;"",TODAY()&gt;AD658),"تاخیر",IF(L658&lt;&gt;"","در حال انجام",""))))))</f>
        <v/>
      </c>
      <c r="V658" s="7" t="n">
        <f aca="true">IF(U658="تاخیر",TODAY()-AD658,IF(AND(U658="بسته",AH658&lt;&gt;"",AD658&lt;&gt;"",AH658&gt;AD658),AH658-AD658,0))</f>
        <v>0</v>
      </c>
      <c r="W658" s="7" t="str">
        <f aca="false">IF(L658="","",VALUE(LEFT(L658,FIND("/",L658)-1)))</f>
        <v/>
      </c>
      <c r="X658" s="7" t="str">
        <f aca="false">IF(L658="","",VALUE(MID(L658,FIND("/",L658)+1,FIND("/",L658,FIND("/",L658)+1)-FIND("/",L658)-1)))</f>
        <v/>
      </c>
      <c r="Y658" s="7" t="str">
        <f aca="false">IF(L658="","",VALUE(MID(L658,FIND("/",L658,FIND("/",L658)+1)+1,LEN(L658)-FIND("/",L658,FIND("/",L658)+1))))</f>
        <v/>
      </c>
      <c r="Z658" s="7" t="str">
        <f aca="false">IF(OR(L658="",W658=""),"",IFERROR(INDEX('لیست‌ها'!$Q$3:$Q$53,MATCH(W658,'لیست‌ها'!$P$3:$P$53,0))+IF(X658&lt;=6,(X658-1)*31+Y658,IF(X658&lt;=11,186+(X658-7)*30+Y658,336+Y658))-1,""))</f>
        <v/>
      </c>
      <c r="AA658" s="7" t="str">
        <f aca="false">IF(H658="","",VALUE(LEFT(H658,FIND("/",H658)-1)))</f>
        <v/>
      </c>
      <c r="AB658" s="7" t="str">
        <f aca="false">IF(H658="","",VALUE(MID(H658,FIND("/",H658)+1,FIND("/",H658,FIND("/",H658)+1)-FIND("/",H658)-1)))</f>
        <v/>
      </c>
      <c r="AC658" s="7" t="str">
        <f aca="false">IF(H658="","",VALUE(MID(H658,FIND("/",H658,FIND("/",H658)+1)+1,LEN(H658)-FIND("/",H658,FIND("/",H658)+1))))</f>
        <v/>
      </c>
      <c r="AD658" s="7" t="str">
        <f aca="false">IF(OR(H658="",AA658=""),"",IFERROR(INDEX('لیست‌ها'!$Q$3:$Q$53,MATCH(AA658,'لیست‌ها'!$P$3:$P$53,0))+IF(AB658&lt;=6,(AB658-1)*31+AC658,IF(AB658&lt;=11,186+(AB658-7)*30+AC658,336+AC658))-1,""))</f>
        <v/>
      </c>
      <c r="AE658" s="7" t="str">
        <f aca="false">IF(P658="","",VALUE(LEFT(P658,FIND("/",P658)-1)))</f>
        <v/>
      </c>
      <c r="AF658" s="7" t="str">
        <f aca="false">IF(P658="","",VALUE(MID(P658,FIND("/",P658)+1,FIND("/",P658,FIND("/",P658)+1)-FIND("/",P658)-1)))</f>
        <v/>
      </c>
      <c r="AG658" s="7" t="str">
        <f aca="false">IF(P658="","",VALUE(MID(P658,FIND("/",P658,FIND("/",P658)+1)+1,LEN(P658)-FIND("/",P658,FIND("/",P658)+1))))</f>
        <v/>
      </c>
      <c r="AH658" s="7" t="str">
        <f aca="false">IF(OR(P658="",AE658=""),"",IFERROR(INDEX('لیست‌ها'!$Q$3:$Q$53,MATCH(AE658,'لیست‌ها'!$P$3:$P$53,0))+IF(AF658&lt;=6,(AF658-1)*31+AG658,IF(AF658&lt;=11,186+(AF658-7)*30+AG658,336+AG658))-1,""))</f>
        <v/>
      </c>
      <c r="AI658" s="7" t="str">
        <f aca="false">IF(W658="","",W658&amp;"-"&amp;TEXT(X658,"00"))</f>
        <v/>
      </c>
      <c r="AJ658" s="7" t="str">
        <f aca="false">IF(W658="","",W658*12+X658)</f>
        <v/>
      </c>
      <c r="AK658" s="7" t="str">
        <f aca="false">IF(U658="تاخیر",V658+ROW()/100000,"")</f>
        <v/>
      </c>
    </row>
    <row r="659" customFormat="false" ht="15" hidden="false" customHeight="false" outlineLevel="0" collapsed="false">
      <c r="A659" s="7" t="str">
        <f aca="false">IF(B659="","",ROW()-3)</f>
        <v/>
      </c>
      <c r="B659" s="8"/>
      <c r="C659" s="8"/>
      <c r="D659" s="8"/>
      <c r="E659" s="9"/>
      <c r="F659" s="9"/>
      <c r="G659" s="8"/>
      <c r="H659" s="8"/>
      <c r="I659" s="8"/>
      <c r="J659" s="9"/>
      <c r="K659" s="8"/>
      <c r="L659" s="8"/>
      <c r="M659" s="8"/>
      <c r="N659" s="8"/>
      <c r="O659" s="8"/>
      <c r="P659" s="8"/>
      <c r="Q659" s="8"/>
      <c r="R659" s="9"/>
      <c r="S659" s="8"/>
      <c r="T659" s="9"/>
      <c r="U659" s="10" t="str">
        <f aca="true">IF(B659="","",IF(OR(P659&lt;&gt;"",I659="می‌باشد"),"بسته",IF(AND(L659&lt;&gt;"",W659=""),"خطای فرمت تاریخ ایجاد",IF(AND(H659&lt;&gt;"",AA659=""),"خطای فرمت مهلت",IF(AND(H659&lt;&gt;"",AD659&lt;&gt;"",TODAY()&gt;AD659),"تاخیر",IF(L659&lt;&gt;"","در حال انجام",""))))))</f>
        <v/>
      </c>
      <c r="V659" s="7" t="n">
        <f aca="true">IF(U659="تاخیر",TODAY()-AD659,IF(AND(U659="بسته",AH659&lt;&gt;"",AD659&lt;&gt;"",AH659&gt;AD659),AH659-AD659,0))</f>
        <v>0</v>
      </c>
      <c r="W659" s="7" t="str">
        <f aca="false">IF(L659="","",VALUE(LEFT(L659,FIND("/",L659)-1)))</f>
        <v/>
      </c>
      <c r="X659" s="7" t="str">
        <f aca="false">IF(L659="","",VALUE(MID(L659,FIND("/",L659)+1,FIND("/",L659,FIND("/",L659)+1)-FIND("/",L659)-1)))</f>
        <v/>
      </c>
      <c r="Y659" s="7" t="str">
        <f aca="false">IF(L659="","",VALUE(MID(L659,FIND("/",L659,FIND("/",L659)+1)+1,LEN(L659)-FIND("/",L659,FIND("/",L659)+1))))</f>
        <v/>
      </c>
      <c r="Z659" s="7" t="str">
        <f aca="false">IF(OR(L659="",W659=""),"",IFERROR(INDEX('لیست‌ها'!$Q$3:$Q$53,MATCH(W659,'لیست‌ها'!$P$3:$P$53,0))+IF(X659&lt;=6,(X659-1)*31+Y659,IF(X659&lt;=11,186+(X659-7)*30+Y659,336+Y659))-1,""))</f>
        <v/>
      </c>
      <c r="AA659" s="7" t="str">
        <f aca="false">IF(H659="","",VALUE(LEFT(H659,FIND("/",H659)-1)))</f>
        <v/>
      </c>
      <c r="AB659" s="7" t="str">
        <f aca="false">IF(H659="","",VALUE(MID(H659,FIND("/",H659)+1,FIND("/",H659,FIND("/",H659)+1)-FIND("/",H659)-1)))</f>
        <v/>
      </c>
      <c r="AC659" s="7" t="str">
        <f aca="false">IF(H659="","",VALUE(MID(H659,FIND("/",H659,FIND("/",H659)+1)+1,LEN(H659)-FIND("/",H659,FIND("/",H659)+1))))</f>
        <v/>
      </c>
      <c r="AD659" s="7" t="str">
        <f aca="false">IF(OR(H659="",AA659=""),"",IFERROR(INDEX('لیست‌ها'!$Q$3:$Q$53,MATCH(AA659,'لیست‌ها'!$P$3:$P$53,0))+IF(AB659&lt;=6,(AB659-1)*31+AC659,IF(AB659&lt;=11,186+(AB659-7)*30+AC659,336+AC659))-1,""))</f>
        <v/>
      </c>
      <c r="AE659" s="7" t="str">
        <f aca="false">IF(P659="","",VALUE(LEFT(P659,FIND("/",P659)-1)))</f>
        <v/>
      </c>
      <c r="AF659" s="7" t="str">
        <f aca="false">IF(P659="","",VALUE(MID(P659,FIND("/",P659)+1,FIND("/",P659,FIND("/",P659)+1)-FIND("/",P659)-1)))</f>
        <v/>
      </c>
      <c r="AG659" s="7" t="str">
        <f aca="false">IF(P659="","",VALUE(MID(P659,FIND("/",P659,FIND("/",P659)+1)+1,LEN(P659)-FIND("/",P659,FIND("/",P659)+1))))</f>
        <v/>
      </c>
      <c r="AH659" s="7" t="str">
        <f aca="false">IF(OR(P659="",AE659=""),"",IFERROR(INDEX('لیست‌ها'!$Q$3:$Q$53,MATCH(AE659,'لیست‌ها'!$P$3:$P$53,0))+IF(AF659&lt;=6,(AF659-1)*31+AG659,IF(AF659&lt;=11,186+(AF659-7)*30+AG659,336+AG659))-1,""))</f>
        <v/>
      </c>
      <c r="AI659" s="7" t="str">
        <f aca="false">IF(W659="","",W659&amp;"-"&amp;TEXT(X659,"00"))</f>
        <v/>
      </c>
      <c r="AJ659" s="7" t="str">
        <f aca="false">IF(W659="","",W659*12+X659)</f>
        <v/>
      </c>
      <c r="AK659" s="7" t="str">
        <f aca="false">IF(U659="تاخیر",V659+ROW()/100000,"")</f>
        <v/>
      </c>
    </row>
    <row r="660" customFormat="false" ht="15" hidden="false" customHeight="false" outlineLevel="0" collapsed="false">
      <c r="A660" s="7" t="str">
        <f aca="false">IF(B660="","",ROW()-3)</f>
        <v/>
      </c>
      <c r="B660" s="8"/>
      <c r="C660" s="8"/>
      <c r="D660" s="8"/>
      <c r="E660" s="9"/>
      <c r="F660" s="9"/>
      <c r="G660" s="8"/>
      <c r="H660" s="8"/>
      <c r="I660" s="8"/>
      <c r="J660" s="9"/>
      <c r="K660" s="8"/>
      <c r="L660" s="8"/>
      <c r="M660" s="8"/>
      <c r="N660" s="8"/>
      <c r="O660" s="8"/>
      <c r="P660" s="8"/>
      <c r="Q660" s="8"/>
      <c r="R660" s="9"/>
      <c r="S660" s="8"/>
      <c r="T660" s="9"/>
      <c r="U660" s="10" t="str">
        <f aca="true">IF(B660="","",IF(OR(P660&lt;&gt;"",I660="می‌باشد"),"بسته",IF(AND(L660&lt;&gt;"",W660=""),"خطای فرمت تاریخ ایجاد",IF(AND(H660&lt;&gt;"",AA660=""),"خطای فرمت مهلت",IF(AND(H660&lt;&gt;"",AD660&lt;&gt;"",TODAY()&gt;AD660),"تاخیر",IF(L660&lt;&gt;"","در حال انجام",""))))))</f>
        <v/>
      </c>
      <c r="V660" s="7" t="n">
        <f aca="true">IF(U660="تاخیر",TODAY()-AD660,IF(AND(U660="بسته",AH660&lt;&gt;"",AD660&lt;&gt;"",AH660&gt;AD660),AH660-AD660,0))</f>
        <v>0</v>
      </c>
      <c r="W660" s="7" t="str">
        <f aca="false">IF(L660="","",VALUE(LEFT(L660,FIND("/",L660)-1)))</f>
        <v/>
      </c>
      <c r="X660" s="7" t="str">
        <f aca="false">IF(L660="","",VALUE(MID(L660,FIND("/",L660)+1,FIND("/",L660,FIND("/",L660)+1)-FIND("/",L660)-1)))</f>
        <v/>
      </c>
      <c r="Y660" s="7" t="str">
        <f aca="false">IF(L660="","",VALUE(MID(L660,FIND("/",L660,FIND("/",L660)+1)+1,LEN(L660)-FIND("/",L660,FIND("/",L660)+1))))</f>
        <v/>
      </c>
      <c r="Z660" s="7" t="str">
        <f aca="false">IF(OR(L660="",W660=""),"",IFERROR(INDEX('لیست‌ها'!$Q$3:$Q$53,MATCH(W660,'لیست‌ها'!$P$3:$P$53,0))+IF(X660&lt;=6,(X660-1)*31+Y660,IF(X660&lt;=11,186+(X660-7)*30+Y660,336+Y660))-1,""))</f>
        <v/>
      </c>
      <c r="AA660" s="7" t="str">
        <f aca="false">IF(H660="","",VALUE(LEFT(H660,FIND("/",H660)-1)))</f>
        <v/>
      </c>
      <c r="AB660" s="7" t="str">
        <f aca="false">IF(H660="","",VALUE(MID(H660,FIND("/",H660)+1,FIND("/",H660,FIND("/",H660)+1)-FIND("/",H660)-1)))</f>
        <v/>
      </c>
      <c r="AC660" s="7" t="str">
        <f aca="false">IF(H660="","",VALUE(MID(H660,FIND("/",H660,FIND("/",H660)+1)+1,LEN(H660)-FIND("/",H660,FIND("/",H660)+1))))</f>
        <v/>
      </c>
      <c r="AD660" s="7" t="str">
        <f aca="false">IF(OR(H660="",AA660=""),"",IFERROR(INDEX('لیست‌ها'!$Q$3:$Q$53,MATCH(AA660,'لیست‌ها'!$P$3:$P$53,0))+IF(AB660&lt;=6,(AB660-1)*31+AC660,IF(AB660&lt;=11,186+(AB660-7)*30+AC660,336+AC660))-1,""))</f>
        <v/>
      </c>
      <c r="AE660" s="7" t="str">
        <f aca="false">IF(P660="","",VALUE(LEFT(P660,FIND("/",P660)-1)))</f>
        <v/>
      </c>
      <c r="AF660" s="7" t="str">
        <f aca="false">IF(P660="","",VALUE(MID(P660,FIND("/",P660)+1,FIND("/",P660,FIND("/",P660)+1)-FIND("/",P660)-1)))</f>
        <v/>
      </c>
      <c r="AG660" s="7" t="str">
        <f aca="false">IF(P660="","",VALUE(MID(P660,FIND("/",P660,FIND("/",P660)+1)+1,LEN(P660)-FIND("/",P660,FIND("/",P660)+1))))</f>
        <v/>
      </c>
      <c r="AH660" s="7" t="str">
        <f aca="false">IF(OR(P660="",AE660=""),"",IFERROR(INDEX('لیست‌ها'!$Q$3:$Q$53,MATCH(AE660,'لیست‌ها'!$P$3:$P$53,0))+IF(AF660&lt;=6,(AF660-1)*31+AG660,IF(AF660&lt;=11,186+(AF660-7)*30+AG660,336+AG660))-1,""))</f>
        <v/>
      </c>
      <c r="AI660" s="7" t="str">
        <f aca="false">IF(W660="","",W660&amp;"-"&amp;TEXT(X660,"00"))</f>
        <v/>
      </c>
      <c r="AJ660" s="7" t="str">
        <f aca="false">IF(W660="","",W660*12+X660)</f>
        <v/>
      </c>
      <c r="AK660" s="7" t="str">
        <f aca="false">IF(U660="تاخیر",V660+ROW()/100000,"")</f>
        <v/>
      </c>
    </row>
    <row r="661" customFormat="false" ht="15" hidden="false" customHeight="false" outlineLevel="0" collapsed="false">
      <c r="A661" s="7" t="str">
        <f aca="false">IF(B661="","",ROW()-3)</f>
        <v/>
      </c>
      <c r="B661" s="8"/>
      <c r="C661" s="8"/>
      <c r="D661" s="8"/>
      <c r="E661" s="9"/>
      <c r="F661" s="9"/>
      <c r="G661" s="8"/>
      <c r="H661" s="8"/>
      <c r="I661" s="8"/>
      <c r="J661" s="9"/>
      <c r="K661" s="8"/>
      <c r="L661" s="8"/>
      <c r="M661" s="8"/>
      <c r="N661" s="8"/>
      <c r="O661" s="8"/>
      <c r="P661" s="8"/>
      <c r="Q661" s="8"/>
      <c r="R661" s="9"/>
      <c r="S661" s="8"/>
      <c r="T661" s="9"/>
      <c r="U661" s="10" t="str">
        <f aca="true">IF(B661="","",IF(OR(P661&lt;&gt;"",I661="می‌باشد"),"بسته",IF(AND(L661&lt;&gt;"",W661=""),"خطای فرمت تاریخ ایجاد",IF(AND(H661&lt;&gt;"",AA661=""),"خطای فرمت مهلت",IF(AND(H661&lt;&gt;"",AD661&lt;&gt;"",TODAY()&gt;AD661),"تاخیر",IF(L661&lt;&gt;"","در حال انجام",""))))))</f>
        <v/>
      </c>
      <c r="V661" s="7" t="n">
        <f aca="true">IF(U661="تاخیر",TODAY()-AD661,IF(AND(U661="بسته",AH661&lt;&gt;"",AD661&lt;&gt;"",AH661&gt;AD661),AH661-AD661,0))</f>
        <v>0</v>
      </c>
      <c r="W661" s="7" t="str">
        <f aca="false">IF(L661="","",VALUE(LEFT(L661,FIND("/",L661)-1)))</f>
        <v/>
      </c>
      <c r="X661" s="7" t="str">
        <f aca="false">IF(L661="","",VALUE(MID(L661,FIND("/",L661)+1,FIND("/",L661,FIND("/",L661)+1)-FIND("/",L661)-1)))</f>
        <v/>
      </c>
      <c r="Y661" s="7" t="str">
        <f aca="false">IF(L661="","",VALUE(MID(L661,FIND("/",L661,FIND("/",L661)+1)+1,LEN(L661)-FIND("/",L661,FIND("/",L661)+1))))</f>
        <v/>
      </c>
      <c r="Z661" s="7" t="str">
        <f aca="false">IF(OR(L661="",W661=""),"",IFERROR(INDEX('لیست‌ها'!$Q$3:$Q$53,MATCH(W661,'لیست‌ها'!$P$3:$P$53,0))+IF(X661&lt;=6,(X661-1)*31+Y661,IF(X661&lt;=11,186+(X661-7)*30+Y661,336+Y661))-1,""))</f>
        <v/>
      </c>
      <c r="AA661" s="7" t="str">
        <f aca="false">IF(H661="","",VALUE(LEFT(H661,FIND("/",H661)-1)))</f>
        <v/>
      </c>
      <c r="AB661" s="7" t="str">
        <f aca="false">IF(H661="","",VALUE(MID(H661,FIND("/",H661)+1,FIND("/",H661,FIND("/",H661)+1)-FIND("/",H661)-1)))</f>
        <v/>
      </c>
      <c r="AC661" s="7" t="str">
        <f aca="false">IF(H661="","",VALUE(MID(H661,FIND("/",H661,FIND("/",H661)+1)+1,LEN(H661)-FIND("/",H661,FIND("/",H661)+1))))</f>
        <v/>
      </c>
      <c r="AD661" s="7" t="str">
        <f aca="false">IF(OR(H661="",AA661=""),"",IFERROR(INDEX('لیست‌ها'!$Q$3:$Q$53,MATCH(AA661,'لیست‌ها'!$P$3:$P$53,0))+IF(AB661&lt;=6,(AB661-1)*31+AC661,IF(AB661&lt;=11,186+(AB661-7)*30+AC661,336+AC661))-1,""))</f>
        <v/>
      </c>
      <c r="AE661" s="7" t="str">
        <f aca="false">IF(P661="","",VALUE(LEFT(P661,FIND("/",P661)-1)))</f>
        <v/>
      </c>
      <c r="AF661" s="7" t="str">
        <f aca="false">IF(P661="","",VALUE(MID(P661,FIND("/",P661)+1,FIND("/",P661,FIND("/",P661)+1)-FIND("/",P661)-1)))</f>
        <v/>
      </c>
      <c r="AG661" s="7" t="str">
        <f aca="false">IF(P661="","",VALUE(MID(P661,FIND("/",P661,FIND("/",P661)+1)+1,LEN(P661)-FIND("/",P661,FIND("/",P661)+1))))</f>
        <v/>
      </c>
      <c r="AH661" s="7" t="str">
        <f aca="false">IF(OR(P661="",AE661=""),"",IFERROR(INDEX('لیست‌ها'!$Q$3:$Q$53,MATCH(AE661,'لیست‌ها'!$P$3:$P$53,0))+IF(AF661&lt;=6,(AF661-1)*31+AG661,IF(AF661&lt;=11,186+(AF661-7)*30+AG661,336+AG661))-1,""))</f>
        <v/>
      </c>
      <c r="AI661" s="7" t="str">
        <f aca="false">IF(W661="","",W661&amp;"-"&amp;TEXT(X661,"00"))</f>
        <v/>
      </c>
      <c r="AJ661" s="7" t="str">
        <f aca="false">IF(W661="","",W661*12+X661)</f>
        <v/>
      </c>
      <c r="AK661" s="7" t="str">
        <f aca="false">IF(U661="تاخیر",V661+ROW()/100000,"")</f>
        <v/>
      </c>
    </row>
    <row r="662" customFormat="false" ht="15" hidden="false" customHeight="false" outlineLevel="0" collapsed="false">
      <c r="A662" s="7" t="str">
        <f aca="false">IF(B662="","",ROW()-3)</f>
        <v/>
      </c>
      <c r="B662" s="8"/>
      <c r="C662" s="8"/>
      <c r="D662" s="8"/>
      <c r="E662" s="9"/>
      <c r="F662" s="9"/>
      <c r="G662" s="8"/>
      <c r="H662" s="8"/>
      <c r="I662" s="8"/>
      <c r="J662" s="9"/>
      <c r="K662" s="8"/>
      <c r="L662" s="8"/>
      <c r="M662" s="8"/>
      <c r="N662" s="8"/>
      <c r="O662" s="8"/>
      <c r="P662" s="8"/>
      <c r="Q662" s="8"/>
      <c r="R662" s="9"/>
      <c r="S662" s="8"/>
      <c r="T662" s="9"/>
      <c r="U662" s="10" t="str">
        <f aca="true">IF(B662="","",IF(OR(P662&lt;&gt;"",I662="می‌باشد"),"بسته",IF(AND(L662&lt;&gt;"",W662=""),"خطای فرمت تاریخ ایجاد",IF(AND(H662&lt;&gt;"",AA662=""),"خطای فرمت مهلت",IF(AND(H662&lt;&gt;"",AD662&lt;&gt;"",TODAY()&gt;AD662),"تاخیر",IF(L662&lt;&gt;"","در حال انجام",""))))))</f>
        <v/>
      </c>
      <c r="V662" s="7" t="n">
        <f aca="true">IF(U662="تاخیر",TODAY()-AD662,IF(AND(U662="بسته",AH662&lt;&gt;"",AD662&lt;&gt;"",AH662&gt;AD662),AH662-AD662,0))</f>
        <v>0</v>
      </c>
      <c r="W662" s="7" t="str">
        <f aca="false">IF(L662="","",VALUE(LEFT(L662,FIND("/",L662)-1)))</f>
        <v/>
      </c>
      <c r="X662" s="7" t="str">
        <f aca="false">IF(L662="","",VALUE(MID(L662,FIND("/",L662)+1,FIND("/",L662,FIND("/",L662)+1)-FIND("/",L662)-1)))</f>
        <v/>
      </c>
      <c r="Y662" s="7" t="str">
        <f aca="false">IF(L662="","",VALUE(MID(L662,FIND("/",L662,FIND("/",L662)+1)+1,LEN(L662)-FIND("/",L662,FIND("/",L662)+1))))</f>
        <v/>
      </c>
      <c r="Z662" s="7" t="str">
        <f aca="false">IF(OR(L662="",W662=""),"",IFERROR(INDEX('لیست‌ها'!$Q$3:$Q$53,MATCH(W662,'لیست‌ها'!$P$3:$P$53,0))+IF(X662&lt;=6,(X662-1)*31+Y662,IF(X662&lt;=11,186+(X662-7)*30+Y662,336+Y662))-1,""))</f>
        <v/>
      </c>
      <c r="AA662" s="7" t="str">
        <f aca="false">IF(H662="","",VALUE(LEFT(H662,FIND("/",H662)-1)))</f>
        <v/>
      </c>
      <c r="AB662" s="7" t="str">
        <f aca="false">IF(H662="","",VALUE(MID(H662,FIND("/",H662)+1,FIND("/",H662,FIND("/",H662)+1)-FIND("/",H662)-1)))</f>
        <v/>
      </c>
      <c r="AC662" s="7" t="str">
        <f aca="false">IF(H662="","",VALUE(MID(H662,FIND("/",H662,FIND("/",H662)+1)+1,LEN(H662)-FIND("/",H662,FIND("/",H662)+1))))</f>
        <v/>
      </c>
      <c r="AD662" s="7" t="str">
        <f aca="false">IF(OR(H662="",AA662=""),"",IFERROR(INDEX('لیست‌ها'!$Q$3:$Q$53,MATCH(AA662,'لیست‌ها'!$P$3:$P$53,0))+IF(AB662&lt;=6,(AB662-1)*31+AC662,IF(AB662&lt;=11,186+(AB662-7)*30+AC662,336+AC662))-1,""))</f>
        <v/>
      </c>
      <c r="AE662" s="7" t="str">
        <f aca="false">IF(P662="","",VALUE(LEFT(P662,FIND("/",P662)-1)))</f>
        <v/>
      </c>
      <c r="AF662" s="7" t="str">
        <f aca="false">IF(P662="","",VALUE(MID(P662,FIND("/",P662)+1,FIND("/",P662,FIND("/",P662)+1)-FIND("/",P662)-1)))</f>
        <v/>
      </c>
      <c r="AG662" s="7" t="str">
        <f aca="false">IF(P662="","",VALUE(MID(P662,FIND("/",P662,FIND("/",P662)+1)+1,LEN(P662)-FIND("/",P662,FIND("/",P662)+1))))</f>
        <v/>
      </c>
      <c r="AH662" s="7" t="str">
        <f aca="false">IF(OR(P662="",AE662=""),"",IFERROR(INDEX('لیست‌ها'!$Q$3:$Q$53,MATCH(AE662,'لیست‌ها'!$P$3:$P$53,0))+IF(AF662&lt;=6,(AF662-1)*31+AG662,IF(AF662&lt;=11,186+(AF662-7)*30+AG662,336+AG662))-1,""))</f>
        <v/>
      </c>
      <c r="AI662" s="7" t="str">
        <f aca="false">IF(W662="","",W662&amp;"-"&amp;TEXT(X662,"00"))</f>
        <v/>
      </c>
      <c r="AJ662" s="7" t="str">
        <f aca="false">IF(W662="","",W662*12+X662)</f>
        <v/>
      </c>
      <c r="AK662" s="7" t="str">
        <f aca="false">IF(U662="تاخیر",V662+ROW()/100000,"")</f>
        <v/>
      </c>
    </row>
    <row r="663" customFormat="false" ht="15" hidden="false" customHeight="false" outlineLevel="0" collapsed="false">
      <c r="A663" s="7" t="str">
        <f aca="false">IF(B663="","",ROW()-3)</f>
        <v/>
      </c>
      <c r="B663" s="8"/>
      <c r="C663" s="8"/>
      <c r="D663" s="8"/>
      <c r="E663" s="9"/>
      <c r="F663" s="9"/>
      <c r="G663" s="8"/>
      <c r="H663" s="8"/>
      <c r="I663" s="8"/>
      <c r="J663" s="9"/>
      <c r="K663" s="8"/>
      <c r="L663" s="8"/>
      <c r="M663" s="8"/>
      <c r="N663" s="8"/>
      <c r="O663" s="8"/>
      <c r="P663" s="8"/>
      <c r="Q663" s="8"/>
      <c r="R663" s="9"/>
      <c r="S663" s="8"/>
      <c r="T663" s="9"/>
      <c r="U663" s="10" t="str">
        <f aca="true">IF(B663="","",IF(OR(P663&lt;&gt;"",I663="می‌باشد"),"بسته",IF(AND(L663&lt;&gt;"",W663=""),"خطای فرمت تاریخ ایجاد",IF(AND(H663&lt;&gt;"",AA663=""),"خطای فرمت مهلت",IF(AND(H663&lt;&gt;"",AD663&lt;&gt;"",TODAY()&gt;AD663),"تاخیر",IF(L663&lt;&gt;"","در حال انجام",""))))))</f>
        <v/>
      </c>
      <c r="V663" s="7" t="n">
        <f aca="true">IF(U663="تاخیر",TODAY()-AD663,IF(AND(U663="بسته",AH663&lt;&gt;"",AD663&lt;&gt;"",AH663&gt;AD663),AH663-AD663,0))</f>
        <v>0</v>
      </c>
      <c r="W663" s="7" t="str">
        <f aca="false">IF(L663="","",VALUE(LEFT(L663,FIND("/",L663)-1)))</f>
        <v/>
      </c>
      <c r="X663" s="7" t="str">
        <f aca="false">IF(L663="","",VALUE(MID(L663,FIND("/",L663)+1,FIND("/",L663,FIND("/",L663)+1)-FIND("/",L663)-1)))</f>
        <v/>
      </c>
      <c r="Y663" s="7" t="str">
        <f aca="false">IF(L663="","",VALUE(MID(L663,FIND("/",L663,FIND("/",L663)+1)+1,LEN(L663)-FIND("/",L663,FIND("/",L663)+1))))</f>
        <v/>
      </c>
      <c r="Z663" s="7" t="str">
        <f aca="false">IF(OR(L663="",W663=""),"",IFERROR(INDEX('لیست‌ها'!$Q$3:$Q$53,MATCH(W663,'لیست‌ها'!$P$3:$P$53,0))+IF(X663&lt;=6,(X663-1)*31+Y663,IF(X663&lt;=11,186+(X663-7)*30+Y663,336+Y663))-1,""))</f>
        <v/>
      </c>
      <c r="AA663" s="7" t="str">
        <f aca="false">IF(H663="","",VALUE(LEFT(H663,FIND("/",H663)-1)))</f>
        <v/>
      </c>
      <c r="AB663" s="7" t="str">
        <f aca="false">IF(H663="","",VALUE(MID(H663,FIND("/",H663)+1,FIND("/",H663,FIND("/",H663)+1)-FIND("/",H663)-1)))</f>
        <v/>
      </c>
      <c r="AC663" s="7" t="str">
        <f aca="false">IF(H663="","",VALUE(MID(H663,FIND("/",H663,FIND("/",H663)+1)+1,LEN(H663)-FIND("/",H663,FIND("/",H663)+1))))</f>
        <v/>
      </c>
      <c r="AD663" s="7" t="str">
        <f aca="false">IF(OR(H663="",AA663=""),"",IFERROR(INDEX('لیست‌ها'!$Q$3:$Q$53,MATCH(AA663,'لیست‌ها'!$P$3:$P$53,0))+IF(AB663&lt;=6,(AB663-1)*31+AC663,IF(AB663&lt;=11,186+(AB663-7)*30+AC663,336+AC663))-1,""))</f>
        <v/>
      </c>
      <c r="AE663" s="7" t="str">
        <f aca="false">IF(P663="","",VALUE(LEFT(P663,FIND("/",P663)-1)))</f>
        <v/>
      </c>
      <c r="AF663" s="7" t="str">
        <f aca="false">IF(P663="","",VALUE(MID(P663,FIND("/",P663)+1,FIND("/",P663,FIND("/",P663)+1)-FIND("/",P663)-1)))</f>
        <v/>
      </c>
      <c r="AG663" s="7" t="str">
        <f aca="false">IF(P663="","",VALUE(MID(P663,FIND("/",P663,FIND("/",P663)+1)+1,LEN(P663)-FIND("/",P663,FIND("/",P663)+1))))</f>
        <v/>
      </c>
      <c r="AH663" s="7" t="str">
        <f aca="false">IF(OR(P663="",AE663=""),"",IFERROR(INDEX('لیست‌ها'!$Q$3:$Q$53,MATCH(AE663,'لیست‌ها'!$P$3:$P$53,0))+IF(AF663&lt;=6,(AF663-1)*31+AG663,IF(AF663&lt;=11,186+(AF663-7)*30+AG663,336+AG663))-1,""))</f>
        <v/>
      </c>
      <c r="AI663" s="7" t="str">
        <f aca="false">IF(W663="","",W663&amp;"-"&amp;TEXT(X663,"00"))</f>
        <v/>
      </c>
      <c r="AJ663" s="7" t="str">
        <f aca="false">IF(W663="","",W663*12+X663)</f>
        <v/>
      </c>
      <c r="AK663" s="7" t="str">
        <f aca="false">IF(U663="تاخیر",V663+ROW()/100000,"")</f>
        <v/>
      </c>
    </row>
    <row r="664" customFormat="false" ht="15" hidden="false" customHeight="false" outlineLevel="0" collapsed="false">
      <c r="A664" s="7" t="str">
        <f aca="false">IF(B664="","",ROW()-3)</f>
        <v/>
      </c>
      <c r="B664" s="8"/>
      <c r="C664" s="8"/>
      <c r="D664" s="8"/>
      <c r="E664" s="9"/>
      <c r="F664" s="9"/>
      <c r="G664" s="8"/>
      <c r="H664" s="8"/>
      <c r="I664" s="8"/>
      <c r="J664" s="9"/>
      <c r="K664" s="8"/>
      <c r="L664" s="8"/>
      <c r="M664" s="8"/>
      <c r="N664" s="8"/>
      <c r="O664" s="8"/>
      <c r="P664" s="8"/>
      <c r="Q664" s="8"/>
      <c r="R664" s="9"/>
      <c r="S664" s="8"/>
      <c r="T664" s="9"/>
      <c r="U664" s="10" t="str">
        <f aca="true">IF(B664="","",IF(OR(P664&lt;&gt;"",I664="می‌باشد"),"بسته",IF(AND(L664&lt;&gt;"",W664=""),"خطای فرمت تاریخ ایجاد",IF(AND(H664&lt;&gt;"",AA664=""),"خطای فرمت مهلت",IF(AND(H664&lt;&gt;"",AD664&lt;&gt;"",TODAY()&gt;AD664),"تاخیر",IF(L664&lt;&gt;"","در حال انجام",""))))))</f>
        <v/>
      </c>
      <c r="V664" s="7" t="n">
        <f aca="true">IF(U664="تاخیر",TODAY()-AD664,IF(AND(U664="بسته",AH664&lt;&gt;"",AD664&lt;&gt;"",AH664&gt;AD664),AH664-AD664,0))</f>
        <v>0</v>
      </c>
      <c r="W664" s="7" t="str">
        <f aca="false">IF(L664="","",VALUE(LEFT(L664,FIND("/",L664)-1)))</f>
        <v/>
      </c>
      <c r="X664" s="7" t="str">
        <f aca="false">IF(L664="","",VALUE(MID(L664,FIND("/",L664)+1,FIND("/",L664,FIND("/",L664)+1)-FIND("/",L664)-1)))</f>
        <v/>
      </c>
      <c r="Y664" s="7" t="str">
        <f aca="false">IF(L664="","",VALUE(MID(L664,FIND("/",L664,FIND("/",L664)+1)+1,LEN(L664)-FIND("/",L664,FIND("/",L664)+1))))</f>
        <v/>
      </c>
      <c r="Z664" s="7" t="str">
        <f aca="false">IF(OR(L664="",W664=""),"",IFERROR(INDEX('لیست‌ها'!$Q$3:$Q$53,MATCH(W664,'لیست‌ها'!$P$3:$P$53,0))+IF(X664&lt;=6,(X664-1)*31+Y664,IF(X664&lt;=11,186+(X664-7)*30+Y664,336+Y664))-1,""))</f>
        <v/>
      </c>
      <c r="AA664" s="7" t="str">
        <f aca="false">IF(H664="","",VALUE(LEFT(H664,FIND("/",H664)-1)))</f>
        <v/>
      </c>
      <c r="AB664" s="7" t="str">
        <f aca="false">IF(H664="","",VALUE(MID(H664,FIND("/",H664)+1,FIND("/",H664,FIND("/",H664)+1)-FIND("/",H664)-1)))</f>
        <v/>
      </c>
      <c r="AC664" s="7" t="str">
        <f aca="false">IF(H664="","",VALUE(MID(H664,FIND("/",H664,FIND("/",H664)+1)+1,LEN(H664)-FIND("/",H664,FIND("/",H664)+1))))</f>
        <v/>
      </c>
      <c r="AD664" s="7" t="str">
        <f aca="false">IF(OR(H664="",AA664=""),"",IFERROR(INDEX('لیست‌ها'!$Q$3:$Q$53,MATCH(AA664,'لیست‌ها'!$P$3:$P$53,0))+IF(AB664&lt;=6,(AB664-1)*31+AC664,IF(AB664&lt;=11,186+(AB664-7)*30+AC664,336+AC664))-1,""))</f>
        <v/>
      </c>
      <c r="AE664" s="7" t="str">
        <f aca="false">IF(P664="","",VALUE(LEFT(P664,FIND("/",P664)-1)))</f>
        <v/>
      </c>
      <c r="AF664" s="7" t="str">
        <f aca="false">IF(P664="","",VALUE(MID(P664,FIND("/",P664)+1,FIND("/",P664,FIND("/",P664)+1)-FIND("/",P664)-1)))</f>
        <v/>
      </c>
      <c r="AG664" s="7" t="str">
        <f aca="false">IF(P664="","",VALUE(MID(P664,FIND("/",P664,FIND("/",P664)+1)+1,LEN(P664)-FIND("/",P664,FIND("/",P664)+1))))</f>
        <v/>
      </c>
      <c r="AH664" s="7" t="str">
        <f aca="false">IF(OR(P664="",AE664=""),"",IFERROR(INDEX('لیست‌ها'!$Q$3:$Q$53,MATCH(AE664,'لیست‌ها'!$P$3:$P$53,0))+IF(AF664&lt;=6,(AF664-1)*31+AG664,IF(AF664&lt;=11,186+(AF664-7)*30+AG664,336+AG664))-1,""))</f>
        <v/>
      </c>
      <c r="AI664" s="7" t="str">
        <f aca="false">IF(W664="","",W664&amp;"-"&amp;TEXT(X664,"00"))</f>
        <v/>
      </c>
      <c r="AJ664" s="7" t="str">
        <f aca="false">IF(W664="","",W664*12+X664)</f>
        <v/>
      </c>
      <c r="AK664" s="7" t="str">
        <f aca="false">IF(U664="تاخیر",V664+ROW()/100000,"")</f>
        <v/>
      </c>
    </row>
    <row r="665" customFormat="false" ht="15" hidden="false" customHeight="false" outlineLevel="0" collapsed="false">
      <c r="A665" s="7" t="str">
        <f aca="false">IF(B665="","",ROW()-3)</f>
        <v/>
      </c>
      <c r="B665" s="8"/>
      <c r="C665" s="8"/>
      <c r="D665" s="8"/>
      <c r="E665" s="9"/>
      <c r="F665" s="9"/>
      <c r="G665" s="8"/>
      <c r="H665" s="8"/>
      <c r="I665" s="8"/>
      <c r="J665" s="9"/>
      <c r="K665" s="8"/>
      <c r="L665" s="8"/>
      <c r="M665" s="8"/>
      <c r="N665" s="8"/>
      <c r="O665" s="8"/>
      <c r="P665" s="8"/>
      <c r="Q665" s="8"/>
      <c r="R665" s="9"/>
      <c r="S665" s="8"/>
      <c r="T665" s="9"/>
      <c r="U665" s="10" t="str">
        <f aca="true">IF(B665="","",IF(OR(P665&lt;&gt;"",I665="می‌باشد"),"بسته",IF(AND(L665&lt;&gt;"",W665=""),"خطای فرمت تاریخ ایجاد",IF(AND(H665&lt;&gt;"",AA665=""),"خطای فرمت مهلت",IF(AND(H665&lt;&gt;"",AD665&lt;&gt;"",TODAY()&gt;AD665),"تاخیر",IF(L665&lt;&gt;"","در حال انجام",""))))))</f>
        <v/>
      </c>
      <c r="V665" s="7" t="n">
        <f aca="true">IF(U665="تاخیر",TODAY()-AD665,IF(AND(U665="بسته",AH665&lt;&gt;"",AD665&lt;&gt;"",AH665&gt;AD665),AH665-AD665,0))</f>
        <v>0</v>
      </c>
      <c r="W665" s="7" t="str">
        <f aca="false">IF(L665="","",VALUE(LEFT(L665,FIND("/",L665)-1)))</f>
        <v/>
      </c>
      <c r="X665" s="7" t="str">
        <f aca="false">IF(L665="","",VALUE(MID(L665,FIND("/",L665)+1,FIND("/",L665,FIND("/",L665)+1)-FIND("/",L665)-1)))</f>
        <v/>
      </c>
      <c r="Y665" s="7" t="str">
        <f aca="false">IF(L665="","",VALUE(MID(L665,FIND("/",L665,FIND("/",L665)+1)+1,LEN(L665)-FIND("/",L665,FIND("/",L665)+1))))</f>
        <v/>
      </c>
      <c r="Z665" s="7" t="str">
        <f aca="false">IF(OR(L665="",W665=""),"",IFERROR(INDEX('لیست‌ها'!$Q$3:$Q$53,MATCH(W665,'لیست‌ها'!$P$3:$P$53,0))+IF(X665&lt;=6,(X665-1)*31+Y665,IF(X665&lt;=11,186+(X665-7)*30+Y665,336+Y665))-1,""))</f>
        <v/>
      </c>
      <c r="AA665" s="7" t="str">
        <f aca="false">IF(H665="","",VALUE(LEFT(H665,FIND("/",H665)-1)))</f>
        <v/>
      </c>
      <c r="AB665" s="7" t="str">
        <f aca="false">IF(H665="","",VALUE(MID(H665,FIND("/",H665)+1,FIND("/",H665,FIND("/",H665)+1)-FIND("/",H665)-1)))</f>
        <v/>
      </c>
      <c r="AC665" s="7" t="str">
        <f aca="false">IF(H665="","",VALUE(MID(H665,FIND("/",H665,FIND("/",H665)+1)+1,LEN(H665)-FIND("/",H665,FIND("/",H665)+1))))</f>
        <v/>
      </c>
      <c r="AD665" s="7" t="str">
        <f aca="false">IF(OR(H665="",AA665=""),"",IFERROR(INDEX('لیست‌ها'!$Q$3:$Q$53,MATCH(AA665,'لیست‌ها'!$P$3:$P$53,0))+IF(AB665&lt;=6,(AB665-1)*31+AC665,IF(AB665&lt;=11,186+(AB665-7)*30+AC665,336+AC665))-1,""))</f>
        <v/>
      </c>
      <c r="AE665" s="7" t="str">
        <f aca="false">IF(P665="","",VALUE(LEFT(P665,FIND("/",P665)-1)))</f>
        <v/>
      </c>
      <c r="AF665" s="7" t="str">
        <f aca="false">IF(P665="","",VALUE(MID(P665,FIND("/",P665)+1,FIND("/",P665,FIND("/",P665)+1)-FIND("/",P665)-1)))</f>
        <v/>
      </c>
      <c r="AG665" s="7" t="str">
        <f aca="false">IF(P665="","",VALUE(MID(P665,FIND("/",P665,FIND("/",P665)+1)+1,LEN(P665)-FIND("/",P665,FIND("/",P665)+1))))</f>
        <v/>
      </c>
      <c r="AH665" s="7" t="str">
        <f aca="false">IF(OR(P665="",AE665=""),"",IFERROR(INDEX('لیست‌ها'!$Q$3:$Q$53,MATCH(AE665,'لیست‌ها'!$P$3:$P$53,0))+IF(AF665&lt;=6,(AF665-1)*31+AG665,IF(AF665&lt;=11,186+(AF665-7)*30+AG665,336+AG665))-1,""))</f>
        <v/>
      </c>
      <c r="AI665" s="7" t="str">
        <f aca="false">IF(W665="","",W665&amp;"-"&amp;TEXT(X665,"00"))</f>
        <v/>
      </c>
      <c r="AJ665" s="7" t="str">
        <f aca="false">IF(W665="","",W665*12+X665)</f>
        <v/>
      </c>
      <c r="AK665" s="7" t="str">
        <f aca="false">IF(U665="تاخیر",V665+ROW()/100000,"")</f>
        <v/>
      </c>
    </row>
    <row r="666" customFormat="false" ht="15" hidden="false" customHeight="false" outlineLevel="0" collapsed="false">
      <c r="A666" s="7" t="str">
        <f aca="false">IF(B666="","",ROW()-3)</f>
        <v/>
      </c>
      <c r="B666" s="8"/>
      <c r="C666" s="8"/>
      <c r="D666" s="8"/>
      <c r="E666" s="9"/>
      <c r="F666" s="9"/>
      <c r="G666" s="8"/>
      <c r="H666" s="8"/>
      <c r="I666" s="8"/>
      <c r="J666" s="9"/>
      <c r="K666" s="8"/>
      <c r="L666" s="8"/>
      <c r="M666" s="8"/>
      <c r="N666" s="8"/>
      <c r="O666" s="8"/>
      <c r="P666" s="8"/>
      <c r="Q666" s="8"/>
      <c r="R666" s="9"/>
      <c r="S666" s="8"/>
      <c r="T666" s="9"/>
      <c r="U666" s="10" t="str">
        <f aca="true">IF(B666="","",IF(OR(P666&lt;&gt;"",I666="می‌باشد"),"بسته",IF(AND(L666&lt;&gt;"",W666=""),"خطای فرمت تاریخ ایجاد",IF(AND(H666&lt;&gt;"",AA666=""),"خطای فرمت مهلت",IF(AND(H666&lt;&gt;"",AD666&lt;&gt;"",TODAY()&gt;AD666),"تاخیر",IF(L666&lt;&gt;"","در حال انجام",""))))))</f>
        <v/>
      </c>
      <c r="V666" s="7" t="n">
        <f aca="true">IF(U666="تاخیر",TODAY()-AD666,IF(AND(U666="بسته",AH666&lt;&gt;"",AD666&lt;&gt;"",AH666&gt;AD666),AH666-AD666,0))</f>
        <v>0</v>
      </c>
      <c r="W666" s="7" t="str">
        <f aca="false">IF(L666="","",VALUE(LEFT(L666,FIND("/",L666)-1)))</f>
        <v/>
      </c>
      <c r="X666" s="7" t="str">
        <f aca="false">IF(L666="","",VALUE(MID(L666,FIND("/",L666)+1,FIND("/",L666,FIND("/",L666)+1)-FIND("/",L666)-1)))</f>
        <v/>
      </c>
      <c r="Y666" s="7" t="str">
        <f aca="false">IF(L666="","",VALUE(MID(L666,FIND("/",L666,FIND("/",L666)+1)+1,LEN(L666)-FIND("/",L666,FIND("/",L666)+1))))</f>
        <v/>
      </c>
      <c r="Z666" s="7" t="str">
        <f aca="false">IF(OR(L666="",W666=""),"",IFERROR(INDEX('لیست‌ها'!$Q$3:$Q$53,MATCH(W666,'لیست‌ها'!$P$3:$P$53,0))+IF(X666&lt;=6,(X666-1)*31+Y666,IF(X666&lt;=11,186+(X666-7)*30+Y666,336+Y666))-1,""))</f>
        <v/>
      </c>
      <c r="AA666" s="7" t="str">
        <f aca="false">IF(H666="","",VALUE(LEFT(H666,FIND("/",H666)-1)))</f>
        <v/>
      </c>
      <c r="AB666" s="7" t="str">
        <f aca="false">IF(H666="","",VALUE(MID(H666,FIND("/",H666)+1,FIND("/",H666,FIND("/",H666)+1)-FIND("/",H666)-1)))</f>
        <v/>
      </c>
      <c r="AC666" s="7" t="str">
        <f aca="false">IF(H666="","",VALUE(MID(H666,FIND("/",H666,FIND("/",H666)+1)+1,LEN(H666)-FIND("/",H666,FIND("/",H666)+1))))</f>
        <v/>
      </c>
      <c r="AD666" s="7" t="str">
        <f aca="false">IF(OR(H666="",AA666=""),"",IFERROR(INDEX('لیست‌ها'!$Q$3:$Q$53,MATCH(AA666,'لیست‌ها'!$P$3:$P$53,0))+IF(AB666&lt;=6,(AB666-1)*31+AC666,IF(AB666&lt;=11,186+(AB666-7)*30+AC666,336+AC666))-1,""))</f>
        <v/>
      </c>
      <c r="AE666" s="7" t="str">
        <f aca="false">IF(P666="","",VALUE(LEFT(P666,FIND("/",P666)-1)))</f>
        <v/>
      </c>
      <c r="AF666" s="7" t="str">
        <f aca="false">IF(P666="","",VALUE(MID(P666,FIND("/",P666)+1,FIND("/",P666,FIND("/",P666)+1)-FIND("/",P666)-1)))</f>
        <v/>
      </c>
      <c r="AG666" s="7" t="str">
        <f aca="false">IF(P666="","",VALUE(MID(P666,FIND("/",P666,FIND("/",P666)+1)+1,LEN(P666)-FIND("/",P666,FIND("/",P666)+1))))</f>
        <v/>
      </c>
      <c r="AH666" s="7" t="str">
        <f aca="false">IF(OR(P666="",AE666=""),"",IFERROR(INDEX('لیست‌ها'!$Q$3:$Q$53,MATCH(AE666,'لیست‌ها'!$P$3:$P$53,0))+IF(AF666&lt;=6,(AF666-1)*31+AG666,IF(AF666&lt;=11,186+(AF666-7)*30+AG666,336+AG666))-1,""))</f>
        <v/>
      </c>
      <c r="AI666" s="7" t="str">
        <f aca="false">IF(W666="","",W666&amp;"-"&amp;TEXT(X666,"00"))</f>
        <v/>
      </c>
      <c r="AJ666" s="7" t="str">
        <f aca="false">IF(W666="","",W666*12+X666)</f>
        <v/>
      </c>
      <c r="AK666" s="7" t="str">
        <f aca="false">IF(U666="تاخیر",V666+ROW()/100000,"")</f>
        <v/>
      </c>
    </row>
    <row r="667" customFormat="false" ht="15" hidden="false" customHeight="false" outlineLevel="0" collapsed="false">
      <c r="A667" s="7" t="str">
        <f aca="false">IF(B667="","",ROW()-3)</f>
        <v/>
      </c>
      <c r="B667" s="8"/>
      <c r="C667" s="8"/>
      <c r="D667" s="8"/>
      <c r="E667" s="9"/>
      <c r="F667" s="9"/>
      <c r="G667" s="8"/>
      <c r="H667" s="8"/>
      <c r="I667" s="8"/>
      <c r="J667" s="9"/>
      <c r="K667" s="8"/>
      <c r="L667" s="8"/>
      <c r="M667" s="8"/>
      <c r="N667" s="8"/>
      <c r="O667" s="8"/>
      <c r="P667" s="8"/>
      <c r="Q667" s="8"/>
      <c r="R667" s="9"/>
      <c r="S667" s="8"/>
      <c r="T667" s="9"/>
      <c r="U667" s="10" t="str">
        <f aca="true">IF(B667="","",IF(OR(P667&lt;&gt;"",I667="می‌باشد"),"بسته",IF(AND(L667&lt;&gt;"",W667=""),"خطای فرمت تاریخ ایجاد",IF(AND(H667&lt;&gt;"",AA667=""),"خطای فرمت مهلت",IF(AND(H667&lt;&gt;"",AD667&lt;&gt;"",TODAY()&gt;AD667),"تاخیر",IF(L667&lt;&gt;"","در حال انجام",""))))))</f>
        <v/>
      </c>
      <c r="V667" s="7" t="n">
        <f aca="true">IF(U667="تاخیر",TODAY()-AD667,IF(AND(U667="بسته",AH667&lt;&gt;"",AD667&lt;&gt;"",AH667&gt;AD667),AH667-AD667,0))</f>
        <v>0</v>
      </c>
      <c r="W667" s="7" t="str">
        <f aca="false">IF(L667="","",VALUE(LEFT(L667,FIND("/",L667)-1)))</f>
        <v/>
      </c>
      <c r="X667" s="7" t="str">
        <f aca="false">IF(L667="","",VALUE(MID(L667,FIND("/",L667)+1,FIND("/",L667,FIND("/",L667)+1)-FIND("/",L667)-1)))</f>
        <v/>
      </c>
      <c r="Y667" s="7" t="str">
        <f aca="false">IF(L667="","",VALUE(MID(L667,FIND("/",L667,FIND("/",L667)+1)+1,LEN(L667)-FIND("/",L667,FIND("/",L667)+1))))</f>
        <v/>
      </c>
      <c r="Z667" s="7" t="str">
        <f aca="false">IF(OR(L667="",W667=""),"",IFERROR(INDEX('لیست‌ها'!$Q$3:$Q$53,MATCH(W667,'لیست‌ها'!$P$3:$P$53,0))+IF(X667&lt;=6,(X667-1)*31+Y667,IF(X667&lt;=11,186+(X667-7)*30+Y667,336+Y667))-1,""))</f>
        <v/>
      </c>
      <c r="AA667" s="7" t="str">
        <f aca="false">IF(H667="","",VALUE(LEFT(H667,FIND("/",H667)-1)))</f>
        <v/>
      </c>
      <c r="AB667" s="7" t="str">
        <f aca="false">IF(H667="","",VALUE(MID(H667,FIND("/",H667)+1,FIND("/",H667,FIND("/",H667)+1)-FIND("/",H667)-1)))</f>
        <v/>
      </c>
      <c r="AC667" s="7" t="str">
        <f aca="false">IF(H667="","",VALUE(MID(H667,FIND("/",H667,FIND("/",H667)+1)+1,LEN(H667)-FIND("/",H667,FIND("/",H667)+1))))</f>
        <v/>
      </c>
      <c r="AD667" s="7" t="str">
        <f aca="false">IF(OR(H667="",AA667=""),"",IFERROR(INDEX('لیست‌ها'!$Q$3:$Q$53,MATCH(AA667,'لیست‌ها'!$P$3:$P$53,0))+IF(AB667&lt;=6,(AB667-1)*31+AC667,IF(AB667&lt;=11,186+(AB667-7)*30+AC667,336+AC667))-1,""))</f>
        <v/>
      </c>
      <c r="AE667" s="7" t="str">
        <f aca="false">IF(P667="","",VALUE(LEFT(P667,FIND("/",P667)-1)))</f>
        <v/>
      </c>
      <c r="AF667" s="7" t="str">
        <f aca="false">IF(P667="","",VALUE(MID(P667,FIND("/",P667)+1,FIND("/",P667,FIND("/",P667)+1)-FIND("/",P667)-1)))</f>
        <v/>
      </c>
      <c r="AG667" s="7" t="str">
        <f aca="false">IF(P667="","",VALUE(MID(P667,FIND("/",P667,FIND("/",P667)+1)+1,LEN(P667)-FIND("/",P667,FIND("/",P667)+1))))</f>
        <v/>
      </c>
      <c r="AH667" s="7" t="str">
        <f aca="false">IF(OR(P667="",AE667=""),"",IFERROR(INDEX('لیست‌ها'!$Q$3:$Q$53,MATCH(AE667,'لیست‌ها'!$P$3:$P$53,0))+IF(AF667&lt;=6,(AF667-1)*31+AG667,IF(AF667&lt;=11,186+(AF667-7)*30+AG667,336+AG667))-1,""))</f>
        <v/>
      </c>
      <c r="AI667" s="7" t="str">
        <f aca="false">IF(W667="","",W667&amp;"-"&amp;TEXT(X667,"00"))</f>
        <v/>
      </c>
      <c r="AJ667" s="7" t="str">
        <f aca="false">IF(W667="","",W667*12+X667)</f>
        <v/>
      </c>
      <c r="AK667" s="7" t="str">
        <f aca="false">IF(U667="تاخیر",V667+ROW()/100000,"")</f>
        <v/>
      </c>
    </row>
    <row r="668" customFormat="false" ht="15" hidden="false" customHeight="false" outlineLevel="0" collapsed="false">
      <c r="A668" s="7" t="str">
        <f aca="false">IF(B668="","",ROW()-3)</f>
        <v/>
      </c>
      <c r="B668" s="8"/>
      <c r="C668" s="8"/>
      <c r="D668" s="8"/>
      <c r="E668" s="9"/>
      <c r="F668" s="9"/>
      <c r="G668" s="8"/>
      <c r="H668" s="8"/>
      <c r="I668" s="8"/>
      <c r="J668" s="9"/>
      <c r="K668" s="8"/>
      <c r="L668" s="8"/>
      <c r="M668" s="8"/>
      <c r="N668" s="8"/>
      <c r="O668" s="8"/>
      <c r="P668" s="8"/>
      <c r="Q668" s="8"/>
      <c r="R668" s="9"/>
      <c r="S668" s="8"/>
      <c r="T668" s="9"/>
      <c r="U668" s="10" t="str">
        <f aca="true">IF(B668="","",IF(OR(P668&lt;&gt;"",I668="می‌باشد"),"بسته",IF(AND(L668&lt;&gt;"",W668=""),"خطای فرمت تاریخ ایجاد",IF(AND(H668&lt;&gt;"",AA668=""),"خطای فرمت مهلت",IF(AND(H668&lt;&gt;"",AD668&lt;&gt;"",TODAY()&gt;AD668),"تاخیر",IF(L668&lt;&gt;"","در حال انجام",""))))))</f>
        <v/>
      </c>
      <c r="V668" s="7" t="n">
        <f aca="true">IF(U668="تاخیر",TODAY()-AD668,IF(AND(U668="بسته",AH668&lt;&gt;"",AD668&lt;&gt;"",AH668&gt;AD668),AH668-AD668,0))</f>
        <v>0</v>
      </c>
      <c r="W668" s="7" t="str">
        <f aca="false">IF(L668="","",VALUE(LEFT(L668,FIND("/",L668)-1)))</f>
        <v/>
      </c>
      <c r="X668" s="7" t="str">
        <f aca="false">IF(L668="","",VALUE(MID(L668,FIND("/",L668)+1,FIND("/",L668,FIND("/",L668)+1)-FIND("/",L668)-1)))</f>
        <v/>
      </c>
      <c r="Y668" s="7" t="str">
        <f aca="false">IF(L668="","",VALUE(MID(L668,FIND("/",L668,FIND("/",L668)+1)+1,LEN(L668)-FIND("/",L668,FIND("/",L668)+1))))</f>
        <v/>
      </c>
      <c r="Z668" s="7" t="str">
        <f aca="false">IF(OR(L668="",W668=""),"",IFERROR(INDEX('لیست‌ها'!$Q$3:$Q$53,MATCH(W668,'لیست‌ها'!$P$3:$P$53,0))+IF(X668&lt;=6,(X668-1)*31+Y668,IF(X668&lt;=11,186+(X668-7)*30+Y668,336+Y668))-1,""))</f>
        <v/>
      </c>
      <c r="AA668" s="7" t="str">
        <f aca="false">IF(H668="","",VALUE(LEFT(H668,FIND("/",H668)-1)))</f>
        <v/>
      </c>
      <c r="AB668" s="7" t="str">
        <f aca="false">IF(H668="","",VALUE(MID(H668,FIND("/",H668)+1,FIND("/",H668,FIND("/",H668)+1)-FIND("/",H668)-1)))</f>
        <v/>
      </c>
      <c r="AC668" s="7" t="str">
        <f aca="false">IF(H668="","",VALUE(MID(H668,FIND("/",H668,FIND("/",H668)+1)+1,LEN(H668)-FIND("/",H668,FIND("/",H668)+1))))</f>
        <v/>
      </c>
      <c r="AD668" s="7" t="str">
        <f aca="false">IF(OR(H668="",AA668=""),"",IFERROR(INDEX('لیست‌ها'!$Q$3:$Q$53,MATCH(AA668,'لیست‌ها'!$P$3:$P$53,0))+IF(AB668&lt;=6,(AB668-1)*31+AC668,IF(AB668&lt;=11,186+(AB668-7)*30+AC668,336+AC668))-1,""))</f>
        <v/>
      </c>
      <c r="AE668" s="7" t="str">
        <f aca="false">IF(P668="","",VALUE(LEFT(P668,FIND("/",P668)-1)))</f>
        <v/>
      </c>
      <c r="AF668" s="7" t="str">
        <f aca="false">IF(P668="","",VALUE(MID(P668,FIND("/",P668)+1,FIND("/",P668,FIND("/",P668)+1)-FIND("/",P668)-1)))</f>
        <v/>
      </c>
      <c r="AG668" s="7" t="str">
        <f aca="false">IF(P668="","",VALUE(MID(P668,FIND("/",P668,FIND("/",P668)+1)+1,LEN(P668)-FIND("/",P668,FIND("/",P668)+1))))</f>
        <v/>
      </c>
      <c r="AH668" s="7" t="str">
        <f aca="false">IF(OR(P668="",AE668=""),"",IFERROR(INDEX('لیست‌ها'!$Q$3:$Q$53,MATCH(AE668,'لیست‌ها'!$P$3:$P$53,0))+IF(AF668&lt;=6,(AF668-1)*31+AG668,IF(AF668&lt;=11,186+(AF668-7)*30+AG668,336+AG668))-1,""))</f>
        <v/>
      </c>
      <c r="AI668" s="7" t="str">
        <f aca="false">IF(W668="","",W668&amp;"-"&amp;TEXT(X668,"00"))</f>
        <v/>
      </c>
      <c r="AJ668" s="7" t="str">
        <f aca="false">IF(W668="","",W668*12+X668)</f>
        <v/>
      </c>
      <c r="AK668" s="7" t="str">
        <f aca="false">IF(U668="تاخیر",V668+ROW()/100000,"")</f>
        <v/>
      </c>
    </row>
    <row r="669" customFormat="false" ht="15" hidden="false" customHeight="false" outlineLevel="0" collapsed="false">
      <c r="A669" s="7" t="str">
        <f aca="false">IF(B669="","",ROW()-3)</f>
        <v/>
      </c>
      <c r="B669" s="8"/>
      <c r="C669" s="8"/>
      <c r="D669" s="8"/>
      <c r="E669" s="9"/>
      <c r="F669" s="9"/>
      <c r="G669" s="8"/>
      <c r="H669" s="8"/>
      <c r="I669" s="8"/>
      <c r="J669" s="9"/>
      <c r="K669" s="8"/>
      <c r="L669" s="8"/>
      <c r="M669" s="8"/>
      <c r="N669" s="8"/>
      <c r="O669" s="8"/>
      <c r="P669" s="8"/>
      <c r="Q669" s="8"/>
      <c r="R669" s="9"/>
      <c r="S669" s="8"/>
      <c r="T669" s="9"/>
      <c r="U669" s="10" t="str">
        <f aca="true">IF(B669="","",IF(OR(P669&lt;&gt;"",I669="می‌باشد"),"بسته",IF(AND(L669&lt;&gt;"",W669=""),"خطای فرمت تاریخ ایجاد",IF(AND(H669&lt;&gt;"",AA669=""),"خطای فرمت مهلت",IF(AND(H669&lt;&gt;"",AD669&lt;&gt;"",TODAY()&gt;AD669),"تاخیر",IF(L669&lt;&gt;"","در حال انجام",""))))))</f>
        <v/>
      </c>
      <c r="V669" s="7" t="n">
        <f aca="true">IF(U669="تاخیر",TODAY()-AD669,IF(AND(U669="بسته",AH669&lt;&gt;"",AD669&lt;&gt;"",AH669&gt;AD669),AH669-AD669,0))</f>
        <v>0</v>
      </c>
      <c r="W669" s="7" t="str">
        <f aca="false">IF(L669="","",VALUE(LEFT(L669,FIND("/",L669)-1)))</f>
        <v/>
      </c>
      <c r="X669" s="7" t="str">
        <f aca="false">IF(L669="","",VALUE(MID(L669,FIND("/",L669)+1,FIND("/",L669,FIND("/",L669)+1)-FIND("/",L669)-1)))</f>
        <v/>
      </c>
      <c r="Y669" s="7" t="str">
        <f aca="false">IF(L669="","",VALUE(MID(L669,FIND("/",L669,FIND("/",L669)+1)+1,LEN(L669)-FIND("/",L669,FIND("/",L669)+1))))</f>
        <v/>
      </c>
      <c r="Z669" s="7" t="str">
        <f aca="false">IF(OR(L669="",W669=""),"",IFERROR(INDEX('لیست‌ها'!$Q$3:$Q$53,MATCH(W669,'لیست‌ها'!$P$3:$P$53,0))+IF(X669&lt;=6,(X669-1)*31+Y669,IF(X669&lt;=11,186+(X669-7)*30+Y669,336+Y669))-1,""))</f>
        <v/>
      </c>
      <c r="AA669" s="7" t="str">
        <f aca="false">IF(H669="","",VALUE(LEFT(H669,FIND("/",H669)-1)))</f>
        <v/>
      </c>
      <c r="AB669" s="7" t="str">
        <f aca="false">IF(H669="","",VALUE(MID(H669,FIND("/",H669)+1,FIND("/",H669,FIND("/",H669)+1)-FIND("/",H669)-1)))</f>
        <v/>
      </c>
      <c r="AC669" s="7" t="str">
        <f aca="false">IF(H669="","",VALUE(MID(H669,FIND("/",H669,FIND("/",H669)+1)+1,LEN(H669)-FIND("/",H669,FIND("/",H669)+1))))</f>
        <v/>
      </c>
      <c r="AD669" s="7" t="str">
        <f aca="false">IF(OR(H669="",AA669=""),"",IFERROR(INDEX('لیست‌ها'!$Q$3:$Q$53,MATCH(AA669,'لیست‌ها'!$P$3:$P$53,0))+IF(AB669&lt;=6,(AB669-1)*31+AC669,IF(AB669&lt;=11,186+(AB669-7)*30+AC669,336+AC669))-1,""))</f>
        <v/>
      </c>
      <c r="AE669" s="7" t="str">
        <f aca="false">IF(P669="","",VALUE(LEFT(P669,FIND("/",P669)-1)))</f>
        <v/>
      </c>
      <c r="AF669" s="7" t="str">
        <f aca="false">IF(P669="","",VALUE(MID(P669,FIND("/",P669)+1,FIND("/",P669,FIND("/",P669)+1)-FIND("/",P669)-1)))</f>
        <v/>
      </c>
      <c r="AG669" s="7" t="str">
        <f aca="false">IF(P669="","",VALUE(MID(P669,FIND("/",P669,FIND("/",P669)+1)+1,LEN(P669)-FIND("/",P669,FIND("/",P669)+1))))</f>
        <v/>
      </c>
      <c r="AH669" s="7" t="str">
        <f aca="false">IF(OR(P669="",AE669=""),"",IFERROR(INDEX('لیست‌ها'!$Q$3:$Q$53,MATCH(AE669,'لیست‌ها'!$P$3:$P$53,0))+IF(AF669&lt;=6,(AF669-1)*31+AG669,IF(AF669&lt;=11,186+(AF669-7)*30+AG669,336+AG669))-1,""))</f>
        <v/>
      </c>
      <c r="AI669" s="7" t="str">
        <f aca="false">IF(W669="","",W669&amp;"-"&amp;TEXT(X669,"00"))</f>
        <v/>
      </c>
      <c r="AJ669" s="7" t="str">
        <f aca="false">IF(W669="","",W669*12+X669)</f>
        <v/>
      </c>
      <c r="AK669" s="7" t="str">
        <f aca="false">IF(U669="تاخیر",V669+ROW()/100000,"")</f>
        <v/>
      </c>
    </row>
    <row r="670" customFormat="false" ht="15" hidden="false" customHeight="false" outlineLevel="0" collapsed="false">
      <c r="A670" s="7" t="str">
        <f aca="false">IF(B670="","",ROW()-3)</f>
        <v/>
      </c>
      <c r="B670" s="8"/>
      <c r="C670" s="8"/>
      <c r="D670" s="8"/>
      <c r="E670" s="9"/>
      <c r="F670" s="9"/>
      <c r="G670" s="8"/>
      <c r="H670" s="8"/>
      <c r="I670" s="8"/>
      <c r="J670" s="9"/>
      <c r="K670" s="8"/>
      <c r="L670" s="8"/>
      <c r="M670" s="8"/>
      <c r="N670" s="8"/>
      <c r="O670" s="8"/>
      <c r="P670" s="8"/>
      <c r="Q670" s="8"/>
      <c r="R670" s="9"/>
      <c r="S670" s="8"/>
      <c r="T670" s="9"/>
      <c r="U670" s="10" t="str">
        <f aca="true">IF(B670="","",IF(OR(P670&lt;&gt;"",I670="می‌باشد"),"بسته",IF(AND(L670&lt;&gt;"",W670=""),"خطای فرمت تاریخ ایجاد",IF(AND(H670&lt;&gt;"",AA670=""),"خطای فرمت مهلت",IF(AND(H670&lt;&gt;"",AD670&lt;&gt;"",TODAY()&gt;AD670),"تاخیر",IF(L670&lt;&gt;"","در حال انجام",""))))))</f>
        <v/>
      </c>
      <c r="V670" s="7" t="n">
        <f aca="true">IF(U670="تاخیر",TODAY()-AD670,IF(AND(U670="بسته",AH670&lt;&gt;"",AD670&lt;&gt;"",AH670&gt;AD670),AH670-AD670,0))</f>
        <v>0</v>
      </c>
      <c r="W670" s="7" t="str">
        <f aca="false">IF(L670="","",VALUE(LEFT(L670,FIND("/",L670)-1)))</f>
        <v/>
      </c>
      <c r="X670" s="7" t="str">
        <f aca="false">IF(L670="","",VALUE(MID(L670,FIND("/",L670)+1,FIND("/",L670,FIND("/",L670)+1)-FIND("/",L670)-1)))</f>
        <v/>
      </c>
      <c r="Y670" s="7" t="str">
        <f aca="false">IF(L670="","",VALUE(MID(L670,FIND("/",L670,FIND("/",L670)+1)+1,LEN(L670)-FIND("/",L670,FIND("/",L670)+1))))</f>
        <v/>
      </c>
      <c r="Z670" s="7" t="str">
        <f aca="false">IF(OR(L670="",W670=""),"",IFERROR(INDEX('لیست‌ها'!$Q$3:$Q$53,MATCH(W670,'لیست‌ها'!$P$3:$P$53,0))+IF(X670&lt;=6,(X670-1)*31+Y670,IF(X670&lt;=11,186+(X670-7)*30+Y670,336+Y670))-1,""))</f>
        <v/>
      </c>
      <c r="AA670" s="7" t="str">
        <f aca="false">IF(H670="","",VALUE(LEFT(H670,FIND("/",H670)-1)))</f>
        <v/>
      </c>
      <c r="AB670" s="7" t="str">
        <f aca="false">IF(H670="","",VALUE(MID(H670,FIND("/",H670)+1,FIND("/",H670,FIND("/",H670)+1)-FIND("/",H670)-1)))</f>
        <v/>
      </c>
      <c r="AC670" s="7" t="str">
        <f aca="false">IF(H670="","",VALUE(MID(H670,FIND("/",H670,FIND("/",H670)+1)+1,LEN(H670)-FIND("/",H670,FIND("/",H670)+1))))</f>
        <v/>
      </c>
      <c r="AD670" s="7" t="str">
        <f aca="false">IF(OR(H670="",AA670=""),"",IFERROR(INDEX('لیست‌ها'!$Q$3:$Q$53,MATCH(AA670,'لیست‌ها'!$P$3:$P$53,0))+IF(AB670&lt;=6,(AB670-1)*31+AC670,IF(AB670&lt;=11,186+(AB670-7)*30+AC670,336+AC670))-1,""))</f>
        <v/>
      </c>
      <c r="AE670" s="7" t="str">
        <f aca="false">IF(P670="","",VALUE(LEFT(P670,FIND("/",P670)-1)))</f>
        <v/>
      </c>
      <c r="AF670" s="7" t="str">
        <f aca="false">IF(P670="","",VALUE(MID(P670,FIND("/",P670)+1,FIND("/",P670,FIND("/",P670)+1)-FIND("/",P670)-1)))</f>
        <v/>
      </c>
      <c r="AG670" s="7" t="str">
        <f aca="false">IF(P670="","",VALUE(MID(P670,FIND("/",P670,FIND("/",P670)+1)+1,LEN(P670)-FIND("/",P670,FIND("/",P670)+1))))</f>
        <v/>
      </c>
      <c r="AH670" s="7" t="str">
        <f aca="false">IF(OR(P670="",AE670=""),"",IFERROR(INDEX('لیست‌ها'!$Q$3:$Q$53,MATCH(AE670,'لیست‌ها'!$P$3:$P$53,0))+IF(AF670&lt;=6,(AF670-1)*31+AG670,IF(AF670&lt;=11,186+(AF670-7)*30+AG670,336+AG670))-1,""))</f>
        <v/>
      </c>
      <c r="AI670" s="7" t="str">
        <f aca="false">IF(W670="","",W670&amp;"-"&amp;TEXT(X670,"00"))</f>
        <v/>
      </c>
      <c r="AJ670" s="7" t="str">
        <f aca="false">IF(W670="","",W670*12+X670)</f>
        <v/>
      </c>
      <c r="AK670" s="7" t="str">
        <f aca="false">IF(U670="تاخیر",V670+ROW()/100000,"")</f>
        <v/>
      </c>
    </row>
    <row r="671" customFormat="false" ht="15" hidden="false" customHeight="false" outlineLevel="0" collapsed="false">
      <c r="A671" s="7" t="str">
        <f aca="false">IF(B671="","",ROW()-3)</f>
        <v/>
      </c>
      <c r="B671" s="8"/>
      <c r="C671" s="8"/>
      <c r="D671" s="8"/>
      <c r="E671" s="9"/>
      <c r="F671" s="9"/>
      <c r="G671" s="8"/>
      <c r="H671" s="8"/>
      <c r="I671" s="8"/>
      <c r="J671" s="9"/>
      <c r="K671" s="8"/>
      <c r="L671" s="8"/>
      <c r="M671" s="8"/>
      <c r="N671" s="8"/>
      <c r="O671" s="8"/>
      <c r="P671" s="8"/>
      <c r="Q671" s="8"/>
      <c r="R671" s="9"/>
      <c r="S671" s="8"/>
      <c r="T671" s="9"/>
      <c r="U671" s="10" t="str">
        <f aca="true">IF(B671="","",IF(OR(P671&lt;&gt;"",I671="می‌باشد"),"بسته",IF(AND(L671&lt;&gt;"",W671=""),"خطای فرمت تاریخ ایجاد",IF(AND(H671&lt;&gt;"",AA671=""),"خطای فرمت مهلت",IF(AND(H671&lt;&gt;"",AD671&lt;&gt;"",TODAY()&gt;AD671),"تاخیر",IF(L671&lt;&gt;"","در حال انجام",""))))))</f>
        <v/>
      </c>
      <c r="V671" s="7" t="n">
        <f aca="true">IF(U671="تاخیر",TODAY()-AD671,IF(AND(U671="بسته",AH671&lt;&gt;"",AD671&lt;&gt;"",AH671&gt;AD671),AH671-AD671,0))</f>
        <v>0</v>
      </c>
      <c r="W671" s="7" t="str">
        <f aca="false">IF(L671="","",VALUE(LEFT(L671,FIND("/",L671)-1)))</f>
        <v/>
      </c>
      <c r="X671" s="7" t="str">
        <f aca="false">IF(L671="","",VALUE(MID(L671,FIND("/",L671)+1,FIND("/",L671,FIND("/",L671)+1)-FIND("/",L671)-1)))</f>
        <v/>
      </c>
      <c r="Y671" s="7" t="str">
        <f aca="false">IF(L671="","",VALUE(MID(L671,FIND("/",L671,FIND("/",L671)+1)+1,LEN(L671)-FIND("/",L671,FIND("/",L671)+1))))</f>
        <v/>
      </c>
      <c r="Z671" s="7" t="str">
        <f aca="false">IF(OR(L671="",W671=""),"",IFERROR(INDEX('لیست‌ها'!$Q$3:$Q$53,MATCH(W671,'لیست‌ها'!$P$3:$P$53,0))+IF(X671&lt;=6,(X671-1)*31+Y671,IF(X671&lt;=11,186+(X671-7)*30+Y671,336+Y671))-1,""))</f>
        <v/>
      </c>
      <c r="AA671" s="7" t="str">
        <f aca="false">IF(H671="","",VALUE(LEFT(H671,FIND("/",H671)-1)))</f>
        <v/>
      </c>
      <c r="AB671" s="7" t="str">
        <f aca="false">IF(H671="","",VALUE(MID(H671,FIND("/",H671)+1,FIND("/",H671,FIND("/",H671)+1)-FIND("/",H671)-1)))</f>
        <v/>
      </c>
      <c r="AC671" s="7" t="str">
        <f aca="false">IF(H671="","",VALUE(MID(H671,FIND("/",H671,FIND("/",H671)+1)+1,LEN(H671)-FIND("/",H671,FIND("/",H671)+1))))</f>
        <v/>
      </c>
      <c r="AD671" s="7" t="str">
        <f aca="false">IF(OR(H671="",AA671=""),"",IFERROR(INDEX('لیست‌ها'!$Q$3:$Q$53,MATCH(AA671,'لیست‌ها'!$P$3:$P$53,0))+IF(AB671&lt;=6,(AB671-1)*31+AC671,IF(AB671&lt;=11,186+(AB671-7)*30+AC671,336+AC671))-1,""))</f>
        <v/>
      </c>
      <c r="AE671" s="7" t="str">
        <f aca="false">IF(P671="","",VALUE(LEFT(P671,FIND("/",P671)-1)))</f>
        <v/>
      </c>
      <c r="AF671" s="7" t="str">
        <f aca="false">IF(P671="","",VALUE(MID(P671,FIND("/",P671)+1,FIND("/",P671,FIND("/",P671)+1)-FIND("/",P671)-1)))</f>
        <v/>
      </c>
      <c r="AG671" s="7" t="str">
        <f aca="false">IF(P671="","",VALUE(MID(P671,FIND("/",P671,FIND("/",P671)+1)+1,LEN(P671)-FIND("/",P671,FIND("/",P671)+1))))</f>
        <v/>
      </c>
      <c r="AH671" s="7" t="str">
        <f aca="false">IF(OR(P671="",AE671=""),"",IFERROR(INDEX('لیست‌ها'!$Q$3:$Q$53,MATCH(AE671,'لیست‌ها'!$P$3:$P$53,0))+IF(AF671&lt;=6,(AF671-1)*31+AG671,IF(AF671&lt;=11,186+(AF671-7)*30+AG671,336+AG671))-1,""))</f>
        <v/>
      </c>
      <c r="AI671" s="7" t="str">
        <f aca="false">IF(W671="","",W671&amp;"-"&amp;TEXT(X671,"00"))</f>
        <v/>
      </c>
      <c r="AJ671" s="7" t="str">
        <f aca="false">IF(W671="","",W671*12+X671)</f>
        <v/>
      </c>
      <c r="AK671" s="7" t="str">
        <f aca="false">IF(U671="تاخیر",V671+ROW()/100000,"")</f>
        <v/>
      </c>
    </row>
    <row r="672" customFormat="false" ht="15" hidden="false" customHeight="false" outlineLevel="0" collapsed="false">
      <c r="A672" s="7" t="str">
        <f aca="false">IF(B672="","",ROW()-3)</f>
        <v/>
      </c>
      <c r="B672" s="8"/>
      <c r="C672" s="8"/>
      <c r="D672" s="8"/>
      <c r="E672" s="9"/>
      <c r="F672" s="9"/>
      <c r="G672" s="8"/>
      <c r="H672" s="8"/>
      <c r="I672" s="8"/>
      <c r="J672" s="9"/>
      <c r="K672" s="8"/>
      <c r="L672" s="8"/>
      <c r="M672" s="8"/>
      <c r="N672" s="8"/>
      <c r="O672" s="8"/>
      <c r="P672" s="8"/>
      <c r="Q672" s="8"/>
      <c r="R672" s="9"/>
      <c r="S672" s="8"/>
      <c r="T672" s="9"/>
      <c r="U672" s="10" t="str">
        <f aca="true">IF(B672="","",IF(OR(P672&lt;&gt;"",I672="می‌باشد"),"بسته",IF(AND(L672&lt;&gt;"",W672=""),"خطای فرمت تاریخ ایجاد",IF(AND(H672&lt;&gt;"",AA672=""),"خطای فرمت مهلت",IF(AND(H672&lt;&gt;"",AD672&lt;&gt;"",TODAY()&gt;AD672),"تاخیر",IF(L672&lt;&gt;"","در حال انجام",""))))))</f>
        <v/>
      </c>
      <c r="V672" s="7" t="n">
        <f aca="true">IF(U672="تاخیر",TODAY()-AD672,IF(AND(U672="بسته",AH672&lt;&gt;"",AD672&lt;&gt;"",AH672&gt;AD672),AH672-AD672,0))</f>
        <v>0</v>
      </c>
      <c r="W672" s="7" t="str">
        <f aca="false">IF(L672="","",VALUE(LEFT(L672,FIND("/",L672)-1)))</f>
        <v/>
      </c>
      <c r="X672" s="7" t="str">
        <f aca="false">IF(L672="","",VALUE(MID(L672,FIND("/",L672)+1,FIND("/",L672,FIND("/",L672)+1)-FIND("/",L672)-1)))</f>
        <v/>
      </c>
      <c r="Y672" s="7" t="str">
        <f aca="false">IF(L672="","",VALUE(MID(L672,FIND("/",L672,FIND("/",L672)+1)+1,LEN(L672)-FIND("/",L672,FIND("/",L672)+1))))</f>
        <v/>
      </c>
      <c r="Z672" s="7" t="str">
        <f aca="false">IF(OR(L672="",W672=""),"",IFERROR(INDEX('لیست‌ها'!$Q$3:$Q$53,MATCH(W672,'لیست‌ها'!$P$3:$P$53,0))+IF(X672&lt;=6,(X672-1)*31+Y672,IF(X672&lt;=11,186+(X672-7)*30+Y672,336+Y672))-1,""))</f>
        <v/>
      </c>
      <c r="AA672" s="7" t="str">
        <f aca="false">IF(H672="","",VALUE(LEFT(H672,FIND("/",H672)-1)))</f>
        <v/>
      </c>
      <c r="AB672" s="7" t="str">
        <f aca="false">IF(H672="","",VALUE(MID(H672,FIND("/",H672)+1,FIND("/",H672,FIND("/",H672)+1)-FIND("/",H672)-1)))</f>
        <v/>
      </c>
      <c r="AC672" s="7" t="str">
        <f aca="false">IF(H672="","",VALUE(MID(H672,FIND("/",H672,FIND("/",H672)+1)+1,LEN(H672)-FIND("/",H672,FIND("/",H672)+1))))</f>
        <v/>
      </c>
      <c r="AD672" s="7" t="str">
        <f aca="false">IF(OR(H672="",AA672=""),"",IFERROR(INDEX('لیست‌ها'!$Q$3:$Q$53,MATCH(AA672,'لیست‌ها'!$P$3:$P$53,0))+IF(AB672&lt;=6,(AB672-1)*31+AC672,IF(AB672&lt;=11,186+(AB672-7)*30+AC672,336+AC672))-1,""))</f>
        <v/>
      </c>
      <c r="AE672" s="7" t="str">
        <f aca="false">IF(P672="","",VALUE(LEFT(P672,FIND("/",P672)-1)))</f>
        <v/>
      </c>
      <c r="AF672" s="7" t="str">
        <f aca="false">IF(P672="","",VALUE(MID(P672,FIND("/",P672)+1,FIND("/",P672,FIND("/",P672)+1)-FIND("/",P672)-1)))</f>
        <v/>
      </c>
      <c r="AG672" s="7" t="str">
        <f aca="false">IF(P672="","",VALUE(MID(P672,FIND("/",P672,FIND("/",P672)+1)+1,LEN(P672)-FIND("/",P672,FIND("/",P672)+1))))</f>
        <v/>
      </c>
      <c r="AH672" s="7" t="str">
        <f aca="false">IF(OR(P672="",AE672=""),"",IFERROR(INDEX('لیست‌ها'!$Q$3:$Q$53,MATCH(AE672,'لیست‌ها'!$P$3:$P$53,0))+IF(AF672&lt;=6,(AF672-1)*31+AG672,IF(AF672&lt;=11,186+(AF672-7)*30+AG672,336+AG672))-1,""))</f>
        <v/>
      </c>
      <c r="AI672" s="7" t="str">
        <f aca="false">IF(W672="","",W672&amp;"-"&amp;TEXT(X672,"00"))</f>
        <v/>
      </c>
      <c r="AJ672" s="7" t="str">
        <f aca="false">IF(W672="","",W672*12+X672)</f>
        <v/>
      </c>
      <c r="AK672" s="7" t="str">
        <f aca="false">IF(U672="تاخیر",V672+ROW()/100000,"")</f>
        <v/>
      </c>
    </row>
    <row r="673" customFormat="false" ht="15" hidden="false" customHeight="false" outlineLevel="0" collapsed="false">
      <c r="A673" s="7" t="str">
        <f aca="false">IF(B673="","",ROW()-3)</f>
        <v/>
      </c>
      <c r="B673" s="8"/>
      <c r="C673" s="8"/>
      <c r="D673" s="8"/>
      <c r="E673" s="9"/>
      <c r="F673" s="9"/>
      <c r="G673" s="8"/>
      <c r="H673" s="8"/>
      <c r="I673" s="8"/>
      <c r="J673" s="9"/>
      <c r="K673" s="8"/>
      <c r="L673" s="8"/>
      <c r="M673" s="8"/>
      <c r="N673" s="8"/>
      <c r="O673" s="8"/>
      <c r="P673" s="8"/>
      <c r="Q673" s="8"/>
      <c r="R673" s="9"/>
      <c r="S673" s="8"/>
      <c r="T673" s="9"/>
      <c r="U673" s="10" t="str">
        <f aca="true">IF(B673="","",IF(OR(P673&lt;&gt;"",I673="می‌باشد"),"بسته",IF(AND(L673&lt;&gt;"",W673=""),"خطای فرمت تاریخ ایجاد",IF(AND(H673&lt;&gt;"",AA673=""),"خطای فرمت مهلت",IF(AND(H673&lt;&gt;"",AD673&lt;&gt;"",TODAY()&gt;AD673),"تاخیر",IF(L673&lt;&gt;"","در حال انجام",""))))))</f>
        <v/>
      </c>
      <c r="V673" s="7" t="n">
        <f aca="true">IF(U673="تاخیر",TODAY()-AD673,IF(AND(U673="بسته",AH673&lt;&gt;"",AD673&lt;&gt;"",AH673&gt;AD673),AH673-AD673,0))</f>
        <v>0</v>
      </c>
      <c r="W673" s="7" t="str">
        <f aca="false">IF(L673="","",VALUE(LEFT(L673,FIND("/",L673)-1)))</f>
        <v/>
      </c>
      <c r="X673" s="7" t="str">
        <f aca="false">IF(L673="","",VALUE(MID(L673,FIND("/",L673)+1,FIND("/",L673,FIND("/",L673)+1)-FIND("/",L673)-1)))</f>
        <v/>
      </c>
      <c r="Y673" s="7" t="str">
        <f aca="false">IF(L673="","",VALUE(MID(L673,FIND("/",L673,FIND("/",L673)+1)+1,LEN(L673)-FIND("/",L673,FIND("/",L673)+1))))</f>
        <v/>
      </c>
      <c r="Z673" s="7" t="str">
        <f aca="false">IF(OR(L673="",W673=""),"",IFERROR(INDEX('لیست‌ها'!$Q$3:$Q$53,MATCH(W673,'لیست‌ها'!$P$3:$P$53,0))+IF(X673&lt;=6,(X673-1)*31+Y673,IF(X673&lt;=11,186+(X673-7)*30+Y673,336+Y673))-1,""))</f>
        <v/>
      </c>
      <c r="AA673" s="7" t="str">
        <f aca="false">IF(H673="","",VALUE(LEFT(H673,FIND("/",H673)-1)))</f>
        <v/>
      </c>
      <c r="AB673" s="7" t="str">
        <f aca="false">IF(H673="","",VALUE(MID(H673,FIND("/",H673)+1,FIND("/",H673,FIND("/",H673)+1)-FIND("/",H673)-1)))</f>
        <v/>
      </c>
      <c r="AC673" s="7" t="str">
        <f aca="false">IF(H673="","",VALUE(MID(H673,FIND("/",H673,FIND("/",H673)+1)+1,LEN(H673)-FIND("/",H673,FIND("/",H673)+1))))</f>
        <v/>
      </c>
      <c r="AD673" s="7" t="str">
        <f aca="false">IF(OR(H673="",AA673=""),"",IFERROR(INDEX('لیست‌ها'!$Q$3:$Q$53,MATCH(AA673,'لیست‌ها'!$P$3:$P$53,0))+IF(AB673&lt;=6,(AB673-1)*31+AC673,IF(AB673&lt;=11,186+(AB673-7)*30+AC673,336+AC673))-1,""))</f>
        <v/>
      </c>
      <c r="AE673" s="7" t="str">
        <f aca="false">IF(P673="","",VALUE(LEFT(P673,FIND("/",P673)-1)))</f>
        <v/>
      </c>
      <c r="AF673" s="7" t="str">
        <f aca="false">IF(P673="","",VALUE(MID(P673,FIND("/",P673)+1,FIND("/",P673,FIND("/",P673)+1)-FIND("/",P673)-1)))</f>
        <v/>
      </c>
      <c r="AG673" s="7" t="str">
        <f aca="false">IF(P673="","",VALUE(MID(P673,FIND("/",P673,FIND("/",P673)+1)+1,LEN(P673)-FIND("/",P673,FIND("/",P673)+1))))</f>
        <v/>
      </c>
      <c r="AH673" s="7" t="str">
        <f aca="false">IF(OR(P673="",AE673=""),"",IFERROR(INDEX('لیست‌ها'!$Q$3:$Q$53,MATCH(AE673,'لیست‌ها'!$P$3:$P$53,0))+IF(AF673&lt;=6,(AF673-1)*31+AG673,IF(AF673&lt;=11,186+(AF673-7)*30+AG673,336+AG673))-1,""))</f>
        <v/>
      </c>
      <c r="AI673" s="7" t="str">
        <f aca="false">IF(W673="","",W673&amp;"-"&amp;TEXT(X673,"00"))</f>
        <v/>
      </c>
      <c r="AJ673" s="7" t="str">
        <f aca="false">IF(W673="","",W673*12+X673)</f>
        <v/>
      </c>
      <c r="AK673" s="7" t="str">
        <f aca="false">IF(U673="تاخیر",V673+ROW()/100000,"")</f>
        <v/>
      </c>
    </row>
    <row r="674" customFormat="false" ht="15" hidden="false" customHeight="false" outlineLevel="0" collapsed="false">
      <c r="A674" s="7" t="str">
        <f aca="false">IF(B674="","",ROW()-3)</f>
        <v/>
      </c>
      <c r="B674" s="8"/>
      <c r="C674" s="8"/>
      <c r="D674" s="8"/>
      <c r="E674" s="9"/>
      <c r="F674" s="9"/>
      <c r="G674" s="8"/>
      <c r="H674" s="8"/>
      <c r="I674" s="8"/>
      <c r="J674" s="9"/>
      <c r="K674" s="8"/>
      <c r="L674" s="8"/>
      <c r="M674" s="8"/>
      <c r="N674" s="8"/>
      <c r="O674" s="8"/>
      <c r="P674" s="8"/>
      <c r="Q674" s="8"/>
      <c r="R674" s="9"/>
      <c r="S674" s="8"/>
      <c r="T674" s="9"/>
      <c r="U674" s="10" t="str">
        <f aca="true">IF(B674="","",IF(OR(P674&lt;&gt;"",I674="می‌باشد"),"بسته",IF(AND(L674&lt;&gt;"",W674=""),"خطای فرمت تاریخ ایجاد",IF(AND(H674&lt;&gt;"",AA674=""),"خطای فرمت مهلت",IF(AND(H674&lt;&gt;"",AD674&lt;&gt;"",TODAY()&gt;AD674),"تاخیر",IF(L674&lt;&gt;"","در حال انجام",""))))))</f>
        <v/>
      </c>
      <c r="V674" s="7" t="n">
        <f aca="true">IF(U674="تاخیر",TODAY()-AD674,IF(AND(U674="بسته",AH674&lt;&gt;"",AD674&lt;&gt;"",AH674&gt;AD674),AH674-AD674,0))</f>
        <v>0</v>
      </c>
      <c r="W674" s="7" t="str">
        <f aca="false">IF(L674="","",VALUE(LEFT(L674,FIND("/",L674)-1)))</f>
        <v/>
      </c>
      <c r="X674" s="7" t="str">
        <f aca="false">IF(L674="","",VALUE(MID(L674,FIND("/",L674)+1,FIND("/",L674,FIND("/",L674)+1)-FIND("/",L674)-1)))</f>
        <v/>
      </c>
      <c r="Y674" s="7" t="str">
        <f aca="false">IF(L674="","",VALUE(MID(L674,FIND("/",L674,FIND("/",L674)+1)+1,LEN(L674)-FIND("/",L674,FIND("/",L674)+1))))</f>
        <v/>
      </c>
      <c r="Z674" s="7" t="str">
        <f aca="false">IF(OR(L674="",W674=""),"",IFERROR(INDEX('لیست‌ها'!$Q$3:$Q$53,MATCH(W674,'لیست‌ها'!$P$3:$P$53,0))+IF(X674&lt;=6,(X674-1)*31+Y674,IF(X674&lt;=11,186+(X674-7)*30+Y674,336+Y674))-1,""))</f>
        <v/>
      </c>
      <c r="AA674" s="7" t="str">
        <f aca="false">IF(H674="","",VALUE(LEFT(H674,FIND("/",H674)-1)))</f>
        <v/>
      </c>
      <c r="AB674" s="7" t="str">
        <f aca="false">IF(H674="","",VALUE(MID(H674,FIND("/",H674)+1,FIND("/",H674,FIND("/",H674)+1)-FIND("/",H674)-1)))</f>
        <v/>
      </c>
      <c r="AC674" s="7" t="str">
        <f aca="false">IF(H674="","",VALUE(MID(H674,FIND("/",H674,FIND("/",H674)+1)+1,LEN(H674)-FIND("/",H674,FIND("/",H674)+1))))</f>
        <v/>
      </c>
      <c r="AD674" s="7" t="str">
        <f aca="false">IF(OR(H674="",AA674=""),"",IFERROR(INDEX('لیست‌ها'!$Q$3:$Q$53,MATCH(AA674,'لیست‌ها'!$P$3:$P$53,0))+IF(AB674&lt;=6,(AB674-1)*31+AC674,IF(AB674&lt;=11,186+(AB674-7)*30+AC674,336+AC674))-1,""))</f>
        <v/>
      </c>
      <c r="AE674" s="7" t="str">
        <f aca="false">IF(P674="","",VALUE(LEFT(P674,FIND("/",P674)-1)))</f>
        <v/>
      </c>
      <c r="AF674" s="7" t="str">
        <f aca="false">IF(P674="","",VALUE(MID(P674,FIND("/",P674)+1,FIND("/",P674,FIND("/",P674)+1)-FIND("/",P674)-1)))</f>
        <v/>
      </c>
      <c r="AG674" s="7" t="str">
        <f aca="false">IF(P674="","",VALUE(MID(P674,FIND("/",P674,FIND("/",P674)+1)+1,LEN(P674)-FIND("/",P674,FIND("/",P674)+1))))</f>
        <v/>
      </c>
      <c r="AH674" s="7" t="str">
        <f aca="false">IF(OR(P674="",AE674=""),"",IFERROR(INDEX('لیست‌ها'!$Q$3:$Q$53,MATCH(AE674,'لیست‌ها'!$P$3:$P$53,0))+IF(AF674&lt;=6,(AF674-1)*31+AG674,IF(AF674&lt;=11,186+(AF674-7)*30+AG674,336+AG674))-1,""))</f>
        <v/>
      </c>
      <c r="AI674" s="7" t="str">
        <f aca="false">IF(W674="","",W674&amp;"-"&amp;TEXT(X674,"00"))</f>
        <v/>
      </c>
      <c r="AJ674" s="7" t="str">
        <f aca="false">IF(W674="","",W674*12+X674)</f>
        <v/>
      </c>
      <c r="AK674" s="7" t="str">
        <f aca="false">IF(U674="تاخیر",V674+ROW()/100000,"")</f>
        <v/>
      </c>
    </row>
    <row r="675" customFormat="false" ht="15" hidden="false" customHeight="false" outlineLevel="0" collapsed="false">
      <c r="A675" s="7" t="str">
        <f aca="false">IF(B675="","",ROW()-3)</f>
        <v/>
      </c>
      <c r="B675" s="8"/>
      <c r="C675" s="8"/>
      <c r="D675" s="8"/>
      <c r="E675" s="9"/>
      <c r="F675" s="9"/>
      <c r="G675" s="8"/>
      <c r="H675" s="8"/>
      <c r="I675" s="8"/>
      <c r="J675" s="9"/>
      <c r="K675" s="8"/>
      <c r="L675" s="8"/>
      <c r="M675" s="8"/>
      <c r="N675" s="8"/>
      <c r="O675" s="8"/>
      <c r="P675" s="8"/>
      <c r="Q675" s="8"/>
      <c r="R675" s="9"/>
      <c r="S675" s="8"/>
      <c r="T675" s="9"/>
      <c r="U675" s="10" t="str">
        <f aca="true">IF(B675="","",IF(OR(P675&lt;&gt;"",I675="می‌باشد"),"بسته",IF(AND(L675&lt;&gt;"",W675=""),"خطای فرمت تاریخ ایجاد",IF(AND(H675&lt;&gt;"",AA675=""),"خطای فرمت مهلت",IF(AND(H675&lt;&gt;"",AD675&lt;&gt;"",TODAY()&gt;AD675),"تاخیر",IF(L675&lt;&gt;"","در حال انجام",""))))))</f>
        <v/>
      </c>
      <c r="V675" s="7" t="n">
        <f aca="true">IF(U675="تاخیر",TODAY()-AD675,IF(AND(U675="بسته",AH675&lt;&gt;"",AD675&lt;&gt;"",AH675&gt;AD675),AH675-AD675,0))</f>
        <v>0</v>
      </c>
      <c r="W675" s="7" t="str">
        <f aca="false">IF(L675="","",VALUE(LEFT(L675,FIND("/",L675)-1)))</f>
        <v/>
      </c>
      <c r="X675" s="7" t="str">
        <f aca="false">IF(L675="","",VALUE(MID(L675,FIND("/",L675)+1,FIND("/",L675,FIND("/",L675)+1)-FIND("/",L675)-1)))</f>
        <v/>
      </c>
      <c r="Y675" s="7" t="str">
        <f aca="false">IF(L675="","",VALUE(MID(L675,FIND("/",L675,FIND("/",L675)+1)+1,LEN(L675)-FIND("/",L675,FIND("/",L675)+1))))</f>
        <v/>
      </c>
      <c r="Z675" s="7" t="str">
        <f aca="false">IF(OR(L675="",W675=""),"",IFERROR(INDEX('لیست‌ها'!$Q$3:$Q$53,MATCH(W675,'لیست‌ها'!$P$3:$P$53,0))+IF(X675&lt;=6,(X675-1)*31+Y675,IF(X675&lt;=11,186+(X675-7)*30+Y675,336+Y675))-1,""))</f>
        <v/>
      </c>
      <c r="AA675" s="7" t="str">
        <f aca="false">IF(H675="","",VALUE(LEFT(H675,FIND("/",H675)-1)))</f>
        <v/>
      </c>
      <c r="AB675" s="7" t="str">
        <f aca="false">IF(H675="","",VALUE(MID(H675,FIND("/",H675)+1,FIND("/",H675,FIND("/",H675)+1)-FIND("/",H675)-1)))</f>
        <v/>
      </c>
      <c r="AC675" s="7" t="str">
        <f aca="false">IF(H675="","",VALUE(MID(H675,FIND("/",H675,FIND("/",H675)+1)+1,LEN(H675)-FIND("/",H675,FIND("/",H675)+1))))</f>
        <v/>
      </c>
      <c r="AD675" s="7" t="str">
        <f aca="false">IF(OR(H675="",AA675=""),"",IFERROR(INDEX('لیست‌ها'!$Q$3:$Q$53,MATCH(AA675,'لیست‌ها'!$P$3:$P$53,0))+IF(AB675&lt;=6,(AB675-1)*31+AC675,IF(AB675&lt;=11,186+(AB675-7)*30+AC675,336+AC675))-1,""))</f>
        <v/>
      </c>
      <c r="AE675" s="7" t="str">
        <f aca="false">IF(P675="","",VALUE(LEFT(P675,FIND("/",P675)-1)))</f>
        <v/>
      </c>
      <c r="AF675" s="7" t="str">
        <f aca="false">IF(P675="","",VALUE(MID(P675,FIND("/",P675)+1,FIND("/",P675,FIND("/",P675)+1)-FIND("/",P675)-1)))</f>
        <v/>
      </c>
      <c r="AG675" s="7" t="str">
        <f aca="false">IF(P675="","",VALUE(MID(P675,FIND("/",P675,FIND("/",P675)+1)+1,LEN(P675)-FIND("/",P675,FIND("/",P675)+1))))</f>
        <v/>
      </c>
      <c r="AH675" s="7" t="str">
        <f aca="false">IF(OR(P675="",AE675=""),"",IFERROR(INDEX('لیست‌ها'!$Q$3:$Q$53,MATCH(AE675,'لیست‌ها'!$P$3:$P$53,0))+IF(AF675&lt;=6,(AF675-1)*31+AG675,IF(AF675&lt;=11,186+(AF675-7)*30+AG675,336+AG675))-1,""))</f>
        <v/>
      </c>
      <c r="AI675" s="7" t="str">
        <f aca="false">IF(W675="","",W675&amp;"-"&amp;TEXT(X675,"00"))</f>
        <v/>
      </c>
      <c r="AJ675" s="7" t="str">
        <f aca="false">IF(W675="","",W675*12+X675)</f>
        <v/>
      </c>
      <c r="AK675" s="7" t="str">
        <f aca="false">IF(U675="تاخیر",V675+ROW()/100000,"")</f>
        <v/>
      </c>
    </row>
    <row r="676" customFormat="false" ht="15" hidden="false" customHeight="false" outlineLevel="0" collapsed="false">
      <c r="A676" s="7" t="str">
        <f aca="false">IF(B676="","",ROW()-3)</f>
        <v/>
      </c>
      <c r="B676" s="8"/>
      <c r="C676" s="8"/>
      <c r="D676" s="8"/>
      <c r="E676" s="9"/>
      <c r="F676" s="9"/>
      <c r="G676" s="8"/>
      <c r="H676" s="8"/>
      <c r="I676" s="8"/>
      <c r="J676" s="9"/>
      <c r="K676" s="8"/>
      <c r="L676" s="8"/>
      <c r="M676" s="8"/>
      <c r="N676" s="8"/>
      <c r="O676" s="8"/>
      <c r="P676" s="8"/>
      <c r="Q676" s="8"/>
      <c r="R676" s="9"/>
      <c r="S676" s="8"/>
      <c r="T676" s="9"/>
      <c r="U676" s="10" t="str">
        <f aca="true">IF(B676="","",IF(OR(P676&lt;&gt;"",I676="می‌باشد"),"بسته",IF(AND(L676&lt;&gt;"",W676=""),"خطای فرمت تاریخ ایجاد",IF(AND(H676&lt;&gt;"",AA676=""),"خطای فرمت مهلت",IF(AND(H676&lt;&gt;"",AD676&lt;&gt;"",TODAY()&gt;AD676),"تاخیر",IF(L676&lt;&gt;"","در حال انجام",""))))))</f>
        <v/>
      </c>
      <c r="V676" s="7" t="n">
        <f aca="true">IF(U676="تاخیر",TODAY()-AD676,IF(AND(U676="بسته",AH676&lt;&gt;"",AD676&lt;&gt;"",AH676&gt;AD676),AH676-AD676,0))</f>
        <v>0</v>
      </c>
      <c r="W676" s="7" t="str">
        <f aca="false">IF(L676="","",VALUE(LEFT(L676,FIND("/",L676)-1)))</f>
        <v/>
      </c>
      <c r="X676" s="7" t="str">
        <f aca="false">IF(L676="","",VALUE(MID(L676,FIND("/",L676)+1,FIND("/",L676,FIND("/",L676)+1)-FIND("/",L676)-1)))</f>
        <v/>
      </c>
      <c r="Y676" s="7" t="str">
        <f aca="false">IF(L676="","",VALUE(MID(L676,FIND("/",L676,FIND("/",L676)+1)+1,LEN(L676)-FIND("/",L676,FIND("/",L676)+1))))</f>
        <v/>
      </c>
      <c r="Z676" s="7" t="str">
        <f aca="false">IF(OR(L676="",W676=""),"",IFERROR(INDEX('لیست‌ها'!$Q$3:$Q$53,MATCH(W676,'لیست‌ها'!$P$3:$P$53,0))+IF(X676&lt;=6,(X676-1)*31+Y676,IF(X676&lt;=11,186+(X676-7)*30+Y676,336+Y676))-1,""))</f>
        <v/>
      </c>
      <c r="AA676" s="7" t="str">
        <f aca="false">IF(H676="","",VALUE(LEFT(H676,FIND("/",H676)-1)))</f>
        <v/>
      </c>
      <c r="AB676" s="7" t="str">
        <f aca="false">IF(H676="","",VALUE(MID(H676,FIND("/",H676)+1,FIND("/",H676,FIND("/",H676)+1)-FIND("/",H676)-1)))</f>
        <v/>
      </c>
      <c r="AC676" s="7" t="str">
        <f aca="false">IF(H676="","",VALUE(MID(H676,FIND("/",H676,FIND("/",H676)+1)+1,LEN(H676)-FIND("/",H676,FIND("/",H676)+1))))</f>
        <v/>
      </c>
      <c r="AD676" s="7" t="str">
        <f aca="false">IF(OR(H676="",AA676=""),"",IFERROR(INDEX('لیست‌ها'!$Q$3:$Q$53,MATCH(AA676,'لیست‌ها'!$P$3:$P$53,0))+IF(AB676&lt;=6,(AB676-1)*31+AC676,IF(AB676&lt;=11,186+(AB676-7)*30+AC676,336+AC676))-1,""))</f>
        <v/>
      </c>
      <c r="AE676" s="7" t="str">
        <f aca="false">IF(P676="","",VALUE(LEFT(P676,FIND("/",P676)-1)))</f>
        <v/>
      </c>
      <c r="AF676" s="7" t="str">
        <f aca="false">IF(P676="","",VALUE(MID(P676,FIND("/",P676)+1,FIND("/",P676,FIND("/",P676)+1)-FIND("/",P676)-1)))</f>
        <v/>
      </c>
      <c r="AG676" s="7" t="str">
        <f aca="false">IF(P676="","",VALUE(MID(P676,FIND("/",P676,FIND("/",P676)+1)+1,LEN(P676)-FIND("/",P676,FIND("/",P676)+1))))</f>
        <v/>
      </c>
      <c r="AH676" s="7" t="str">
        <f aca="false">IF(OR(P676="",AE676=""),"",IFERROR(INDEX('لیست‌ها'!$Q$3:$Q$53,MATCH(AE676,'لیست‌ها'!$P$3:$P$53,0))+IF(AF676&lt;=6,(AF676-1)*31+AG676,IF(AF676&lt;=11,186+(AF676-7)*30+AG676,336+AG676))-1,""))</f>
        <v/>
      </c>
      <c r="AI676" s="7" t="str">
        <f aca="false">IF(W676="","",W676&amp;"-"&amp;TEXT(X676,"00"))</f>
        <v/>
      </c>
      <c r="AJ676" s="7" t="str">
        <f aca="false">IF(W676="","",W676*12+X676)</f>
        <v/>
      </c>
      <c r="AK676" s="7" t="str">
        <f aca="false">IF(U676="تاخیر",V676+ROW()/100000,"")</f>
        <v/>
      </c>
    </row>
    <row r="677" customFormat="false" ht="15" hidden="false" customHeight="false" outlineLevel="0" collapsed="false">
      <c r="A677" s="7" t="str">
        <f aca="false">IF(B677="","",ROW()-3)</f>
        <v/>
      </c>
      <c r="B677" s="8"/>
      <c r="C677" s="8"/>
      <c r="D677" s="8"/>
      <c r="E677" s="9"/>
      <c r="F677" s="9"/>
      <c r="G677" s="8"/>
      <c r="H677" s="8"/>
      <c r="I677" s="8"/>
      <c r="J677" s="9"/>
      <c r="K677" s="8"/>
      <c r="L677" s="8"/>
      <c r="M677" s="8"/>
      <c r="N677" s="8"/>
      <c r="O677" s="8"/>
      <c r="P677" s="8"/>
      <c r="Q677" s="8"/>
      <c r="R677" s="9"/>
      <c r="S677" s="8"/>
      <c r="T677" s="9"/>
      <c r="U677" s="10" t="str">
        <f aca="true">IF(B677="","",IF(OR(P677&lt;&gt;"",I677="می‌باشد"),"بسته",IF(AND(L677&lt;&gt;"",W677=""),"خطای فرمت تاریخ ایجاد",IF(AND(H677&lt;&gt;"",AA677=""),"خطای فرمت مهلت",IF(AND(H677&lt;&gt;"",AD677&lt;&gt;"",TODAY()&gt;AD677),"تاخیر",IF(L677&lt;&gt;"","در حال انجام",""))))))</f>
        <v/>
      </c>
      <c r="V677" s="7" t="n">
        <f aca="true">IF(U677="تاخیر",TODAY()-AD677,IF(AND(U677="بسته",AH677&lt;&gt;"",AD677&lt;&gt;"",AH677&gt;AD677),AH677-AD677,0))</f>
        <v>0</v>
      </c>
      <c r="W677" s="7" t="str">
        <f aca="false">IF(L677="","",VALUE(LEFT(L677,FIND("/",L677)-1)))</f>
        <v/>
      </c>
      <c r="X677" s="7" t="str">
        <f aca="false">IF(L677="","",VALUE(MID(L677,FIND("/",L677)+1,FIND("/",L677,FIND("/",L677)+1)-FIND("/",L677)-1)))</f>
        <v/>
      </c>
      <c r="Y677" s="7" t="str">
        <f aca="false">IF(L677="","",VALUE(MID(L677,FIND("/",L677,FIND("/",L677)+1)+1,LEN(L677)-FIND("/",L677,FIND("/",L677)+1))))</f>
        <v/>
      </c>
      <c r="Z677" s="7" t="str">
        <f aca="false">IF(OR(L677="",W677=""),"",IFERROR(INDEX('لیست‌ها'!$Q$3:$Q$53,MATCH(W677,'لیست‌ها'!$P$3:$P$53,0))+IF(X677&lt;=6,(X677-1)*31+Y677,IF(X677&lt;=11,186+(X677-7)*30+Y677,336+Y677))-1,""))</f>
        <v/>
      </c>
      <c r="AA677" s="7" t="str">
        <f aca="false">IF(H677="","",VALUE(LEFT(H677,FIND("/",H677)-1)))</f>
        <v/>
      </c>
      <c r="AB677" s="7" t="str">
        <f aca="false">IF(H677="","",VALUE(MID(H677,FIND("/",H677)+1,FIND("/",H677,FIND("/",H677)+1)-FIND("/",H677)-1)))</f>
        <v/>
      </c>
      <c r="AC677" s="7" t="str">
        <f aca="false">IF(H677="","",VALUE(MID(H677,FIND("/",H677,FIND("/",H677)+1)+1,LEN(H677)-FIND("/",H677,FIND("/",H677)+1))))</f>
        <v/>
      </c>
      <c r="AD677" s="7" t="str">
        <f aca="false">IF(OR(H677="",AA677=""),"",IFERROR(INDEX('لیست‌ها'!$Q$3:$Q$53,MATCH(AA677,'لیست‌ها'!$P$3:$P$53,0))+IF(AB677&lt;=6,(AB677-1)*31+AC677,IF(AB677&lt;=11,186+(AB677-7)*30+AC677,336+AC677))-1,""))</f>
        <v/>
      </c>
      <c r="AE677" s="7" t="str">
        <f aca="false">IF(P677="","",VALUE(LEFT(P677,FIND("/",P677)-1)))</f>
        <v/>
      </c>
      <c r="AF677" s="7" t="str">
        <f aca="false">IF(P677="","",VALUE(MID(P677,FIND("/",P677)+1,FIND("/",P677,FIND("/",P677)+1)-FIND("/",P677)-1)))</f>
        <v/>
      </c>
      <c r="AG677" s="7" t="str">
        <f aca="false">IF(P677="","",VALUE(MID(P677,FIND("/",P677,FIND("/",P677)+1)+1,LEN(P677)-FIND("/",P677,FIND("/",P677)+1))))</f>
        <v/>
      </c>
      <c r="AH677" s="7" t="str">
        <f aca="false">IF(OR(P677="",AE677=""),"",IFERROR(INDEX('لیست‌ها'!$Q$3:$Q$53,MATCH(AE677,'لیست‌ها'!$P$3:$P$53,0))+IF(AF677&lt;=6,(AF677-1)*31+AG677,IF(AF677&lt;=11,186+(AF677-7)*30+AG677,336+AG677))-1,""))</f>
        <v/>
      </c>
      <c r="AI677" s="7" t="str">
        <f aca="false">IF(W677="","",W677&amp;"-"&amp;TEXT(X677,"00"))</f>
        <v/>
      </c>
      <c r="AJ677" s="7" t="str">
        <f aca="false">IF(W677="","",W677*12+X677)</f>
        <v/>
      </c>
      <c r="AK677" s="7" t="str">
        <f aca="false">IF(U677="تاخیر",V677+ROW()/100000,"")</f>
        <v/>
      </c>
    </row>
    <row r="678" customFormat="false" ht="15" hidden="false" customHeight="false" outlineLevel="0" collapsed="false">
      <c r="A678" s="7" t="str">
        <f aca="false">IF(B678="","",ROW()-3)</f>
        <v/>
      </c>
      <c r="B678" s="8"/>
      <c r="C678" s="8"/>
      <c r="D678" s="8"/>
      <c r="E678" s="9"/>
      <c r="F678" s="9"/>
      <c r="G678" s="8"/>
      <c r="H678" s="8"/>
      <c r="I678" s="8"/>
      <c r="J678" s="9"/>
      <c r="K678" s="8"/>
      <c r="L678" s="8"/>
      <c r="M678" s="8"/>
      <c r="N678" s="8"/>
      <c r="O678" s="8"/>
      <c r="P678" s="8"/>
      <c r="Q678" s="8"/>
      <c r="R678" s="9"/>
      <c r="S678" s="8"/>
      <c r="T678" s="9"/>
      <c r="U678" s="10" t="str">
        <f aca="true">IF(B678="","",IF(OR(P678&lt;&gt;"",I678="می‌باشد"),"بسته",IF(AND(L678&lt;&gt;"",W678=""),"خطای فرمت تاریخ ایجاد",IF(AND(H678&lt;&gt;"",AA678=""),"خطای فرمت مهلت",IF(AND(H678&lt;&gt;"",AD678&lt;&gt;"",TODAY()&gt;AD678),"تاخیر",IF(L678&lt;&gt;"","در حال انجام",""))))))</f>
        <v/>
      </c>
      <c r="V678" s="7" t="n">
        <f aca="true">IF(U678="تاخیر",TODAY()-AD678,IF(AND(U678="بسته",AH678&lt;&gt;"",AD678&lt;&gt;"",AH678&gt;AD678),AH678-AD678,0))</f>
        <v>0</v>
      </c>
      <c r="W678" s="7" t="str">
        <f aca="false">IF(L678="","",VALUE(LEFT(L678,FIND("/",L678)-1)))</f>
        <v/>
      </c>
      <c r="X678" s="7" t="str">
        <f aca="false">IF(L678="","",VALUE(MID(L678,FIND("/",L678)+1,FIND("/",L678,FIND("/",L678)+1)-FIND("/",L678)-1)))</f>
        <v/>
      </c>
      <c r="Y678" s="7" t="str">
        <f aca="false">IF(L678="","",VALUE(MID(L678,FIND("/",L678,FIND("/",L678)+1)+1,LEN(L678)-FIND("/",L678,FIND("/",L678)+1))))</f>
        <v/>
      </c>
      <c r="Z678" s="7" t="str">
        <f aca="false">IF(OR(L678="",W678=""),"",IFERROR(INDEX('لیست‌ها'!$Q$3:$Q$53,MATCH(W678,'لیست‌ها'!$P$3:$P$53,0))+IF(X678&lt;=6,(X678-1)*31+Y678,IF(X678&lt;=11,186+(X678-7)*30+Y678,336+Y678))-1,""))</f>
        <v/>
      </c>
      <c r="AA678" s="7" t="str">
        <f aca="false">IF(H678="","",VALUE(LEFT(H678,FIND("/",H678)-1)))</f>
        <v/>
      </c>
      <c r="AB678" s="7" t="str">
        <f aca="false">IF(H678="","",VALUE(MID(H678,FIND("/",H678)+1,FIND("/",H678,FIND("/",H678)+1)-FIND("/",H678)-1)))</f>
        <v/>
      </c>
      <c r="AC678" s="7" t="str">
        <f aca="false">IF(H678="","",VALUE(MID(H678,FIND("/",H678,FIND("/",H678)+1)+1,LEN(H678)-FIND("/",H678,FIND("/",H678)+1))))</f>
        <v/>
      </c>
      <c r="AD678" s="7" t="str">
        <f aca="false">IF(OR(H678="",AA678=""),"",IFERROR(INDEX('لیست‌ها'!$Q$3:$Q$53,MATCH(AA678,'لیست‌ها'!$P$3:$P$53,0))+IF(AB678&lt;=6,(AB678-1)*31+AC678,IF(AB678&lt;=11,186+(AB678-7)*30+AC678,336+AC678))-1,""))</f>
        <v/>
      </c>
      <c r="AE678" s="7" t="str">
        <f aca="false">IF(P678="","",VALUE(LEFT(P678,FIND("/",P678)-1)))</f>
        <v/>
      </c>
      <c r="AF678" s="7" t="str">
        <f aca="false">IF(P678="","",VALUE(MID(P678,FIND("/",P678)+1,FIND("/",P678,FIND("/",P678)+1)-FIND("/",P678)-1)))</f>
        <v/>
      </c>
      <c r="AG678" s="7" t="str">
        <f aca="false">IF(P678="","",VALUE(MID(P678,FIND("/",P678,FIND("/",P678)+1)+1,LEN(P678)-FIND("/",P678,FIND("/",P678)+1))))</f>
        <v/>
      </c>
      <c r="AH678" s="7" t="str">
        <f aca="false">IF(OR(P678="",AE678=""),"",IFERROR(INDEX('لیست‌ها'!$Q$3:$Q$53,MATCH(AE678,'لیست‌ها'!$P$3:$P$53,0))+IF(AF678&lt;=6,(AF678-1)*31+AG678,IF(AF678&lt;=11,186+(AF678-7)*30+AG678,336+AG678))-1,""))</f>
        <v/>
      </c>
      <c r="AI678" s="7" t="str">
        <f aca="false">IF(W678="","",W678&amp;"-"&amp;TEXT(X678,"00"))</f>
        <v/>
      </c>
      <c r="AJ678" s="7" t="str">
        <f aca="false">IF(W678="","",W678*12+X678)</f>
        <v/>
      </c>
      <c r="AK678" s="7" t="str">
        <f aca="false">IF(U678="تاخیر",V678+ROW()/100000,"")</f>
        <v/>
      </c>
    </row>
    <row r="679" customFormat="false" ht="15" hidden="false" customHeight="false" outlineLevel="0" collapsed="false">
      <c r="A679" s="7" t="str">
        <f aca="false">IF(B679="","",ROW()-3)</f>
        <v/>
      </c>
      <c r="B679" s="8"/>
      <c r="C679" s="8"/>
      <c r="D679" s="8"/>
      <c r="E679" s="9"/>
      <c r="F679" s="9"/>
      <c r="G679" s="8"/>
      <c r="H679" s="8"/>
      <c r="I679" s="8"/>
      <c r="J679" s="9"/>
      <c r="K679" s="8"/>
      <c r="L679" s="8"/>
      <c r="M679" s="8"/>
      <c r="N679" s="8"/>
      <c r="O679" s="8"/>
      <c r="P679" s="8"/>
      <c r="Q679" s="8"/>
      <c r="R679" s="9"/>
      <c r="S679" s="8"/>
      <c r="T679" s="9"/>
      <c r="U679" s="10" t="str">
        <f aca="true">IF(B679="","",IF(OR(P679&lt;&gt;"",I679="می‌باشد"),"بسته",IF(AND(L679&lt;&gt;"",W679=""),"خطای فرمت تاریخ ایجاد",IF(AND(H679&lt;&gt;"",AA679=""),"خطای فرمت مهلت",IF(AND(H679&lt;&gt;"",AD679&lt;&gt;"",TODAY()&gt;AD679),"تاخیر",IF(L679&lt;&gt;"","در حال انجام",""))))))</f>
        <v/>
      </c>
      <c r="V679" s="7" t="n">
        <f aca="true">IF(U679="تاخیر",TODAY()-AD679,IF(AND(U679="بسته",AH679&lt;&gt;"",AD679&lt;&gt;"",AH679&gt;AD679),AH679-AD679,0))</f>
        <v>0</v>
      </c>
      <c r="W679" s="7" t="str">
        <f aca="false">IF(L679="","",VALUE(LEFT(L679,FIND("/",L679)-1)))</f>
        <v/>
      </c>
      <c r="X679" s="7" t="str">
        <f aca="false">IF(L679="","",VALUE(MID(L679,FIND("/",L679)+1,FIND("/",L679,FIND("/",L679)+1)-FIND("/",L679)-1)))</f>
        <v/>
      </c>
      <c r="Y679" s="7" t="str">
        <f aca="false">IF(L679="","",VALUE(MID(L679,FIND("/",L679,FIND("/",L679)+1)+1,LEN(L679)-FIND("/",L679,FIND("/",L679)+1))))</f>
        <v/>
      </c>
      <c r="Z679" s="7" t="str">
        <f aca="false">IF(OR(L679="",W679=""),"",IFERROR(INDEX('لیست‌ها'!$Q$3:$Q$53,MATCH(W679,'لیست‌ها'!$P$3:$P$53,0))+IF(X679&lt;=6,(X679-1)*31+Y679,IF(X679&lt;=11,186+(X679-7)*30+Y679,336+Y679))-1,""))</f>
        <v/>
      </c>
      <c r="AA679" s="7" t="str">
        <f aca="false">IF(H679="","",VALUE(LEFT(H679,FIND("/",H679)-1)))</f>
        <v/>
      </c>
      <c r="AB679" s="7" t="str">
        <f aca="false">IF(H679="","",VALUE(MID(H679,FIND("/",H679)+1,FIND("/",H679,FIND("/",H679)+1)-FIND("/",H679)-1)))</f>
        <v/>
      </c>
      <c r="AC679" s="7" t="str">
        <f aca="false">IF(H679="","",VALUE(MID(H679,FIND("/",H679,FIND("/",H679)+1)+1,LEN(H679)-FIND("/",H679,FIND("/",H679)+1))))</f>
        <v/>
      </c>
      <c r="AD679" s="7" t="str">
        <f aca="false">IF(OR(H679="",AA679=""),"",IFERROR(INDEX('لیست‌ها'!$Q$3:$Q$53,MATCH(AA679,'لیست‌ها'!$P$3:$P$53,0))+IF(AB679&lt;=6,(AB679-1)*31+AC679,IF(AB679&lt;=11,186+(AB679-7)*30+AC679,336+AC679))-1,""))</f>
        <v/>
      </c>
      <c r="AE679" s="7" t="str">
        <f aca="false">IF(P679="","",VALUE(LEFT(P679,FIND("/",P679)-1)))</f>
        <v/>
      </c>
      <c r="AF679" s="7" t="str">
        <f aca="false">IF(P679="","",VALUE(MID(P679,FIND("/",P679)+1,FIND("/",P679,FIND("/",P679)+1)-FIND("/",P679)-1)))</f>
        <v/>
      </c>
      <c r="AG679" s="7" t="str">
        <f aca="false">IF(P679="","",VALUE(MID(P679,FIND("/",P679,FIND("/",P679)+1)+1,LEN(P679)-FIND("/",P679,FIND("/",P679)+1))))</f>
        <v/>
      </c>
      <c r="AH679" s="7" t="str">
        <f aca="false">IF(OR(P679="",AE679=""),"",IFERROR(INDEX('لیست‌ها'!$Q$3:$Q$53,MATCH(AE679,'لیست‌ها'!$P$3:$P$53,0))+IF(AF679&lt;=6,(AF679-1)*31+AG679,IF(AF679&lt;=11,186+(AF679-7)*30+AG679,336+AG679))-1,""))</f>
        <v/>
      </c>
      <c r="AI679" s="7" t="str">
        <f aca="false">IF(W679="","",W679&amp;"-"&amp;TEXT(X679,"00"))</f>
        <v/>
      </c>
      <c r="AJ679" s="7" t="str">
        <f aca="false">IF(W679="","",W679*12+X679)</f>
        <v/>
      </c>
      <c r="AK679" s="7" t="str">
        <f aca="false">IF(U679="تاخیر",V679+ROW()/100000,"")</f>
        <v/>
      </c>
    </row>
    <row r="680" customFormat="false" ht="15" hidden="false" customHeight="false" outlineLevel="0" collapsed="false">
      <c r="A680" s="7" t="str">
        <f aca="false">IF(B680="","",ROW()-3)</f>
        <v/>
      </c>
      <c r="B680" s="8"/>
      <c r="C680" s="8"/>
      <c r="D680" s="8"/>
      <c r="E680" s="9"/>
      <c r="F680" s="9"/>
      <c r="G680" s="8"/>
      <c r="H680" s="8"/>
      <c r="I680" s="8"/>
      <c r="J680" s="9"/>
      <c r="K680" s="8"/>
      <c r="L680" s="8"/>
      <c r="M680" s="8"/>
      <c r="N680" s="8"/>
      <c r="O680" s="8"/>
      <c r="P680" s="8"/>
      <c r="Q680" s="8"/>
      <c r="R680" s="9"/>
      <c r="S680" s="8"/>
      <c r="T680" s="9"/>
      <c r="U680" s="10" t="str">
        <f aca="true">IF(B680="","",IF(OR(P680&lt;&gt;"",I680="می‌باشد"),"بسته",IF(AND(L680&lt;&gt;"",W680=""),"خطای فرمت تاریخ ایجاد",IF(AND(H680&lt;&gt;"",AA680=""),"خطای فرمت مهلت",IF(AND(H680&lt;&gt;"",AD680&lt;&gt;"",TODAY()&gt;AD680),"تاخیر",IF(L680&lt;&gt;"","در حال انجام",""))))))</f>
        <v/>
      </c>
      <c r="V680" s="7" t="n">
        <f aca="true">IF(U680="تاخیر",TODAY()-AD680,IF(AND(U680="بسته",AH680&lt;&gt;"",AD680&lt;&gt;"",AH680&gt;AD680),AH680-AD680,0))</f>
        <v>0</v>
      </c>
      <c r="W680" s="7" t="str">
        <f aca="false">IF(L680="","",VALUE(LEFT(L680,FIND("/",L680)-1)))</f>
        <v/>
      </c>
      <c r="X680" s="7" t="str">
        <f aca="false">IF(L680="","",VALUE(MID(L680,FIND("/",L680)+1,FIND("/",L680,FIND("/",L680)+1)-FIND("/",L680)-1)))</f>
        <v/>
      </c>
      <c r="Y680" s="7" t="str">
        <f aca="false">IF(L680="","",VALUE(MID(L680,FIND("/",L680,FIND("/",L680)+1)+1,LEN(L680)-FIND("/",L680,FIND("/",L680)+1))))</f>
        <v/>
      </c>
      <c r="Z680" s="7" t="str">
        <f aca="false">IF(OR(L680="",W680=""),"",IFERROR(INDEX('لیست‌ها'!$Q$3:$Q$53,MATCH(W680,'لیست‌ها'!$P$3:$P$53,0))+IF(X680&lt;=6,(X680-1)*31+Y680,IF(X680&lt;=11,186+(X680-7)*30+Y680,336+Y680))-1,""))</f>
        <v/>
      </c>
      <c r="AA680" s="7" t="str">
        <f aca="false">IF(H680="","",VALUE(LEFT(H680,FIND("/",H680)-1)))</f>
        <v/>
      </c>
      <c r="AB680" s="7" t="str">
        <f aca="false">IF(H680="","",VALUE(MID(H680,FIND("/",H680)+1,FIND("/",H680,FIND("/",H680)+1)-FIND("/",H680)-1)))</f>
        <v/>
      </c>
      <c r="AC680" s="7" t="str">
        <f aca="false">IF(H680="","",VALUE(MID(H680,FIND("/",H680,FIND("/",H680)+1)+1,LEN(H680)-FIND("/",H680,FIND("/",H680)+1))))</f>
        <v/>
      </c>
      <c r="AD680" s="7" t="str">
        <f aca="false">IF(OR(H680="",AA680=""),"",IFERROR(INDEX('لیست‌ها'!$Q$3:$Q$53,MATCH(AA680,'لیست‌ها'!$P$3:$P$53,0))+IF(AB680&lt;=6,(AB680-1)*31+AC680,IF(AB680&lt;=11,186+(AB680-7)*30+AC680,336+AC680))-1,""))</f>
        <v/>
      </c>
      <c r="AE680" s="7" t="str">
        <f aca="false">IF(P680="","",VALUE(LEFT(P680,FIND("/",P680)-1)))</f>
        <v/>
      </c>
      <c r="AF680" s="7" t="str">
        <f aca="false">IF(P680="","",VALUE(MID(P680,FIND("/",P680)+1,FIND("/",P680,FIND("/",P680)+1)-FIND("/",P680)-1)))</f>
        <v/>
      </c>
      <c r="AG680" s="7" t="str">
        <f aca="false">IF(P680="","",VALUE(MID(P680,FIND("/",P680,FIND("/",P680)+1)+1,LEN(P680)-FIND("/",P680,FIND("/",P680)+1))))</f>
        <v/>
      </c>
      <c r="AH680" s="7" t="str">
        <f aca="false">IF(OR(P680="",AE680=""),"",IFERROR(INDEX('لیست‌ها'!$Q$3:$Q$53,MATCH(AE680,'لیست‌ها'!$P$3:$P$53,0))+IF(AF680&lt;=6,(AF680-1)*31+AG680,IF(AF680&lt;=11,186+(AF680-7)*30+AG680,336+AG680))-1,""))</f>
        <v/>
      </c>
      <c r="AI680" s="7" t="str">
        <f aca="false">IF(W680="","",W680&amp;"-"&amp;TEXT(X680,"00"))</f>
        <v/>
      </c>
      <c r="AJ680" s="7" t="str">
        <f aca="false">IF(W680="","",W680*12+X680)</f>
        <v/>
      </c>
      <c r="AK680" s="7" t="str">
        <f aca="false">IF(U680="تاخیر",V680+ROW()/100000,"")</f>
        <v/>
      </c>
    </row>
    <row r="681" customFormat="false" ht="15" hidden="false" customHeight="false" outlineLevel="0" collapsed="false">
      <c r="A681" s="7" t="str">
        <f aca="false">IF(B681="","",ROW()-3)</f>
        <v/>
      </c>
      <c r="B681" s="8"/>
      <c r="C681" s="8"/>
      <c r="D681" s="8"/>
      <c r="E681" s="9"/>
      <c r="F681" s="9"/>
      <c r="G681" s="8"/>
      <c r="H681" s="8"/>
      <c r="I681" s="8"/>
      <c r="J681" s="9"/>
      <c r="K681" s="8"/>
      <c r="L681" s="8"/>
      <c r="M681" s="8"/>
      <c r="N681" s="8"/>
      <c r="O681" s="8"/>
      <c r="P681" s="8"/>
      <c r="Q681" s="8"/>
      <c r="R681" s="9"/>
      <c r="S681" s="8"/>
      <c r="T681" s="9"/>
      <c r="U681" s="10" t="str">
        <f aca="true">IF(B681="","",IF(OR(P681&lt;&gt;"",I681="می‌باشد"),"بسته",IF(AND(L681&lt;&gt;"",W681=""),"خطای فرمت تاریخ ایجاد",IF(AND(H681&lt;&gt;"",AA681=""),"خطای فرمت مهلت",IF(AND(H681&lt;&gt;"",AD681&lt;&gt;"",TODAY()&gt;AD681),"تاخیر",IF(L681&lt;&gt;"","در حال انجام",""))))))</f>
        <v/>
      </c>
      <c r="V681" s="7" t="n">
        <f aca="true">IF(U681="تاخیر",TODAY()-AD681,IF(AND(U681="بسته",AH681&lt;&gt;"",AD681&lt;&gt;"",AH681&gt;AD681),AH681-AD681,0))</f>
        <v>0</v>
      </c>
      <c r="W681" s="7" t="str">
        <f aca="false">IF(L681="","",VALUE(LEFT(L681,FIND("/",L681)-1)))</f>
        <v/>
      </c>
      <c r="X681" s="7" t="str">
        <f aca="false">IF(L681="","",VALUE(MID(L681,FIND("/",L681)+1,FIND("/",L681,FIND("/",L681)+1)-FIND("/",L681)-1)))</f>
        <v/>
      </c>
      <c r="Y681" s="7" t="str">
        <f aca="false">IF(L681="","",VALUE(MID(L681,FIND("/",L681,FIND("/",L681)+1)+1,LEN(L681)-FIND("/",L681,FIND("/",L681)+1))))</f>
        <v/>
      </c>
      <c r="Z681" s="7" t="str">
        <f aca="false">IF(OR(L681="",W681=""),"",IFERROR(INDEX('لیست‌ها'!$Q$3:$Q$53,MATCH(W681,'لیست‌ها'!$P$3:$P$53,0))+IF(X681&lt;=6,(X681-1)*31+Y681,IF(X681&lt;=11,186+(X681-7)*30+Y681,336+Y681))-1,""))</f>
        <v/>
      </c>
      <c r="AA681" s="7" t="str">
        <f aca="false">IF(H681="","",VALUE(LEFT(H681,FIND("/",H681)-1)))</f>
        <v/>
      </c>
      <c r="AB681" s="7" t="str">
        <f aca="false">IF(H681="","",VALUE(MID(H681,FIND("/",H681)+1,FIND("/",H681,FIND("/",H681)+1)-FIND("/",H681)-1)))</f>
        <v/>
      </c>
      <c r="AC681" s="7" t="str">
        <f aca="false">IF(H681="","",VALUE(MID(H681,FIND("/",H681,FIND("/",H681)+1)+1,LEN(H681)-FIND("/",H681,FIND("/",H681)+1))))</f>
        <v/>
      </c>
      <c r="AD681" s="7" t="str">
        <f aca="false">IF(OR(H681="",AA681=""),"",IFERROR(INDEX('لیست‌ها'!$Q$3:$Q$53,MATCH(AA681,'لیست‌ها'!$P$3:$P$53,0))+IF(AB681&lt;=6,(AB681-1)*31+AC681,IF(AB681&lt;=11,186+(AB681-7)*30+AC681,336+AC681))-1,""))</f>
        <v/>
      </c>
      <c r="AE681" s="7" t="str">
        <f aca="false">IF(P681="","",VALUE(LEFT(P681,FIND("/",P681)-1)))</f>
        <v/>
      </c>
      <c r="AF681" s="7" t="str">
        <f aca="false">IF(P681="","",VALUE(MID(P681,FIND("/",P681)+1,FIND("/",P681,FIND("/",P681)+1)-FIND("/",P681)-1)))</f>
        <v/>
      </c>
      <c r="AG681" s="7" t="str">
        <f aca="false">IF(P681="","",VALUE(MID(P681,FIND("/",P681,FIND("/",P681)+1)+1,LEN(P681)-FIND("/",P681,FIND("/",P681)+1))))</f>
        <v/>
      </c>
      <c r="AH681" s="7" t="str">
        <f aca="false">IF(OR(P681="",AE681=""),"",IFERROR(INDEX('لیست‌ها'!$Q$3:$Q$53,MATCH(AE681,'لیست‌ها'!$P$3:$P$53,0))+IF(AF681&lt;=6,(AF681-1)*31+AG681,IF(AF681&lt;=11,186+(AF681-7)*30+AG681,336+AG681))-1,""))</f>
        <v/>
      </c>
      <c r="AI681" s="7" t="str">
        <f aca="false">IF(W681="","",W681&amp;"-"&amp;TEXT(X681,"00"))</f>
        <v/>
      </c>
      <c r="AJ681" s="7" t="str">
        <f aca="false">IF(W681="","",W681*12+X681)</f>
        <v/>
      </c>
      <c r="AK681" s="7" t="str">
        <f aca="false">IF(U681="تاخیر",V681+ROW()/100000,"")</f>
        <v/>
      </c>
    </row>
    <row r="682" customFormat="false" ht="15" hidden="false" customHeight="false" outlineLevel="0" collapsed="false">
      <c r="A682" s="7" t="str">
        <f aca="false">IF(B682="","",ROW()-3)</f>
        <v/>
      </c>
      <c r="B682" s="8"/>
      <c r="C682" s="8"/>
      <c r="D682" s="8"/>
      <c r="E682" s="9"/>
      <c r="F682" s="9"/>
      <c r="G682" s="8"/>
      <c r="H682" s="8"/>
      <c r="I682" s="8"/>
      <c r="J682" s="9"/>
      <c r="K682" s="8"/>
      <c r="L682" s="8"/>
      <c r="M682" s="8"/>
      <c r="N682" s="8"/>
      <c r="O682" s="8"/>
      <c r="P682" s="8"/>
      <c r="Q682" s="8"/>
      <c r="R682" s="9"/>
      <c r="S682" s="8"/>
      <c r="T682" s="9"/>
      <c r="U682" s="10" t="str">
        <f aca="true">IF(B682="","",IF(OR(P682&lt;&gt;"",I682="می‌باشد"),"بسته",IF(AND(L682&lt;&gt;"",W682=""),"خطای فرمت تاریخ ایجاد",IF(AND(H682&lt;&gt;"",AA682=""),"خطای فرمت مهلت",IF(AND(H682&lt;&gt;"",AD682&lt;&gt;"",TODAY()&gt;AD682),"تاخیر",IF(L682&lt;&gt;"","در حال انجام",""))))))</f>
        <v/>
      </c>
      <c r="V682" s="7" t="n">
        <f aca="true">IF(U682="تاخیر",TODAY()-AD682,IF(AND(U682="بسته",AH682&lt;&gt;"",AD682&lt;&gt;"",AH682&gt;AD682),AH682-AD682,0))</f>
        <v>0</v>
      </c>
      <c r="W682" s="7" t="str">
        <f aca="false">IF(L682="","",VALUE(LEFT(L682,FIND("/",L682)-1)))</f>
        <v/>
      </c>
      <c r="X682" s="7" t="str">
        <f aca="false">IF(L682="","",VALUE(MID(L682,FIND("/",L682)+1,FIND("/",L682,FIND("/",L682)+1)-FIND("/",L682)-1)))</f>
        <v/>
      </c>
      <c r="Y682" s="7" t="str">
        <f aca="false">IF(L682="","",VALUE(MID(L682,FIND("/",L682,FIND("/",L682)+1)+1,LEN(L682)-FIND("/",L682,FIND("/",L682)+1))))</f>
        <v/>
      </c>
      <c r="Z682" s="7" t="str">
        <f aca="false">IF(OR(L682="",W682=""),"",IFERROR(INDEX('لیست‌ها'!$Q$3:$Q$53,MATCH(W682,'لیست‌ها'!$P$3:$P$53,0))+IF(X682&lt;=6,(X682-1)*31+Y682,IF(X682&lt;=11,186+(X682-7)*30+Y682,336+Y682))-1,""))</f>
        <v/>
      </c>
      <c r="AA682" s="7" t="str">
        <f aca="false">IF(H682="","",VALUE(LEFT(H682,FIND("/",H682)-1)))</f>
        <v/>
      </c>
      <c r="AB682" s="7" t="str">
        <f aca="false">IF(H682="","",VALUE(MID(H682,FIND("/",H682)+1,FIND("/",H682,FIND("/",H682)+1)-FIND("/",H682)-1)))</f>
        <v/>
      </c>
      <c r="AC682" s="7" t="str">
        <f aca="false">IF(H682="","",VALUE(MID(H682,FIND("/",H682,FIND("/",H682)+1)+1,LEN(H682)-FIND("/",H682,FIND("/",H682)+1))))</f>
        <v/>
      </c>
      <c r="AD682" s="7" t="str">
        <f aca="false">IF(OR(H682="",AA682=""),"",IFERROR(INDEX('لیست‌ها'!$Q$3:$Q$53,MATCH(AA682,'لیست‌ها'!$P$3:$P$53,0))+IF(AB682&lt;=6,(AB682-1)*31+AC682,IF(AB682&lt;=11,186+(AB682-7)*30+AC682,336+AC682))-1,""))</f>
        <v/>
      </c>
      <c r="AE682" s="7" t="str">
        <f aca="false">IF(P682="","",VALUE(LEFT(P682,FIND("/",P682)-1)))</f>
        <v/>
      </c>
      <c r="AF682" s="7" t="str">
        <f aca="false">IF(P682="","",VALUE(MID(P682,FIND("/",P682)+1,FIND("/",P682,FIND("/",P682)+1)-FIND("/",P682)-1)))</f>
        <v/>
      </c>
      <c r="AG682" s="7" t="str">
        <f aca="false">IF(P682="","",VALUE(MID(P682,FIND("/",P682,FIND("/",P682)+1)+1,LEN(P682)-FIND("/",P682,FIND("/",P682)+1))))</f>
        <v/>
      </c>
      <c r="AH682" s="7" t="str">
        <f aca="false">IF(OR(P682="",AE682=""),"",IFERROR(INDEX('لیست‌ها'!$Q$3:$Q$53,MATCH(AE682,'لیست‌ها'!$P$3:$P$53,0))+IF(AF682&lt;=6,(AF682-1)*31+AG682,IF(AF682&lt;=11,186+(AF682-7)*30+AG682,336+AG682))-1,""))</f>
        <v/>
      </c>
      <c r="AI682" s="7" t="str">
        <f aca="false">IF(W682="","",W682&amp;"-"&amp;TEXT(X682,"00"))</f>
        <v/>
      </c>
      <c r="AJ682" s="7" t="str">
        <f aca="false">IF(W682="","",W682*12+X682)</f>
        <v/>
      </c>
      <c r="AK682" s="7" t="str">
        <f aca="false">IF(U682="تاخیر",V682+ROW()/100000,"")</f>
        <v/>
      </c>
    </row>
    <row r="683" customFormat="false" ht="15" hidden="false" customHeight="false" outlineLevel="0" collapsed="false">
      <c r="A683" s="7" t="str">
        <f aca="false">IF(B683="","",ROW()-3)</f>
        <v/>
      </c>
      <c r="B683" s="8"/>
      <c r="C683" s="8"/>
      <c r="D683" s="8"/>
      <c r="E683" s="9"/>
      <c r="F683" s="9"/>
      <c r="G683" s="8"/>
      <c r="H683" s="8"/>
      <c r="I683" s="8"/>
      <c r="J683" s="9"/>
      <c r="K683" s="8"/>
      <c r="L683" s="8"/>
      <c r="M683" s="8"/>
      <c r="N683" s="8"/>
      <c r="O683" s="8"/>
      <c r="P683" s="8"/>
      <c r="Q683" s="8"/>
      <c r="R683" s="9"/>
      <c r="S683" s="8"/>
      <c r="T683" s="9"/>
      <c r="U683" s="10" t="str">
        <f aca="true">IF(B683="","",IF(OR(P683&lt;&gt;"",I683="می‌باشد"),"بسته",IF(AND(L683&lt;&gt;"",W683=""),"خطای فرمت تاریخ ایجاد",IF(AND(H683&lt;&gt;"",AA683=""),"خطای فرمت مهلت",IF(AND(H683&lt;&gt;"",AD683&lt;&gt;"",TODAY()&gt;AD683),"تاخیر",IF(L683&lt;&gt;"","در حال انجام",""))))))</f>
        <v/>
      </c>
      <c r="V683" s="7" t="n">
        <f aca="true">IF(U683="تاخیر",TODAY()-AD683,IF(AND(U683="بسته",AH683&lt;&gt;"",AD683&lt;&gt;"",AH683&gt;AD683),AH683-AD683,0))</f>
        <v>0</v>
      </c>
      <c r="W683" s="7" t="str">
        <f aca="false">IF(L683="","",VALUE(LEFT(L683,FIND("/",L683)-1)))</f>
        <v/>
      </c>
      <c r="X683" s="7" t="str">
        <f aca="false">IF(L683="","",VALUE(MID(L683,FIND("/",L683)+1,FIND("/",L683,FIND("/",L683)+1)-FIND("/",L683)-1)))</f>
        <v/>
      </c>
      <c r="Y683" s="7" t="str">
        <f aca="false">IF(L683="","",VALUE(MID(L683,FIND("/",L683,FIND("/",L683)+1)+1,LEN(L683)-FIND("/",L683,FIND("/",L683)+1))))</f>
        <v/>
      </c>
      <c r="Z683" s="7" t="str">
        <f aca="false">IF(OR(L683="",W683=""),"",IFERROR(INDEX('لیست‌ها'!$Q$3:$Q$53,MATCH(W683,'لیست‌ها'!$P$3:$P$53,0))+IF(X683&lt;=6,(X683-1)*31+Y683,IF(X683&lt;=11,186+(X683-7)*30+Y683,336+Y683))-1,""))</f>
        <v/>
      </c>
      <c r="AA683" s="7" t="str">
        <f aca="false">IF(H683="","",VALUE(LEFT(H683,FIND("/",H683)-1)))</f>
        <v/>
      </c>
      <c r="AB683" s="7" t="str">
        <f aca="false">IF(H683="","",VALUE(MID(H683,FIND("/",H683)+1,FIND("/",H683,FIND("/",H683)+1)-FIND("/",H683)-1)))</f>
        <v/>
      </c>
      <c r="AC683" s="7" t="str">
        <f aca="false">IF(H683="","",VALUE(MID(H683,FIND("/",H683,FIND("/",H683)+1)+1,LEN(H683)-FIND("/",H683,FIND("/",H683)+1))))</f>
        <v/>
      </c>
      <c r="AD683" s="7" t="str">
        <f aca="false">IF(OR(H683="",AA683=""),"",IFERROR(INDEX('لیست‌ها'!$Q$3:$Q$53,MATCH(AA683,'لیست‌ها'!$P$3:$P$53,0))+IF(AB683&lt;=6,(AB683-1)*31+AC683,IF(AB683&lt;=11,186+(AB683-7)*30+AC683,336+AC683))-1,""))</f>
        <v/>
      </c>
      <c r="AE683" s="7" t="str">
        <f aca="false">IF(P683="","",VALUE(LEFT(P683,FIND("/",P683)-1)))</f>
        <v/>
      </c>
      <c r="AF683" s="7" t="str">
        <f aca="false">IF(P683="","",VALUE(MID(P683,FIND("/",P683)+1,FIND("/",P683,FIND("/",P683)+1)-FIND("/",P683)-1)))</f>
        <v/>
      </c>
      <c r="AG683" s="7" t="str">
        <f aca="false">IF(P683="","",VALUE(MID(P683,FIND("/",P683,FIND("/",P683)+1)+1,LEN(P683)-FIND("/",P683,FIND("/",P683)+1))))</f>
        <v/>
      </c>
      <c r="AH683" s="7" t="str">
        <f aca="false">IF(OR(P683="",AE683=""),"",IFERROR(INDEX('لیست‌ها'!$Q$3:$Q$53,MATCH(AE683,'لیست‌ها'!$P$3:$P$53,0))+IF(AF683&lt;=6,(AF683-1)*31+AG683,IF(AF683&lt;=11,186+(AF683-7)*30+AG683,336+AG683))-1,""))</f>
        <v/>
      </c>
      <c r="AI683" s="7" t="str">
        <f aca="false">IF(W683="","",W683&amp;"-"&amp;TEXT(X683,"00"))</f>
        <v/>
      </c>
      <c r="AJ683" s="7" t="str">
        <f aca="false">IF(W683="","",W683*12+X683)</f>
        <v/>
      </c>
      <c r="AK683" s="7" t="str">
        <f aca="false">IF(U683="تاخیر",V683+ROW()/100000,"")</f>
        <v/>
      </c>
    </row>
    <row r="684" customFormat="false" ht="15" hidden="false" customHeight="false" outlineLevel="0" collapsed="false">
      <c r="A684" s="7" t="str">
        <f aca="false">IF(B684="","",ROW()-3)</f>
        <v/>
      </c>
      <c r="B684" s="8"/>
      <c r="C684" s="8"/>
      <c r="D684" s="8"/>
      <c r="E684" s="9"/>
      <c r="F684" s="9"/>
      <c r="G684" s="8"/>
      <c r="H684" s="8"/>
      <c r="I684" s="8"/>
      <c r="J684" s="9"/>
      <c r="K684" s="8"/>
      <c r="L684" s="8"/>
      <c r="M684" s="8"/>
      <c r="N684" s="8"/>
      <c r="O684" s="8"/>
      <c r="P684" s="8"/>
      <c r="Q684" s="8"/>
      <c r="R684" s="9"/>
      <c r="S684" s="8"/>
      <c r="T684" s="9"/>
      <c r="U684" s="10" t="str">
        <f aca="true">IF(B684="","",IF(OR(P684&lt;&gt;"",I684="می‌باشد"),"بسته",IF(AND(L684&lt;&gt;"",W684=""),"خطای فرمت تاریخ ایجاد",IF(AND(H684&lt;&gt;"",AA684=""),"خطای فرمت مهلت",IF(AND(H684&lt;&gt;"",AD684&lt;&gt;"",TODAY()&gt;AD684),"تاخیر",IF(L684&lt;&gt;"","در حال انجام",""))))))</f>
        <v/>
      </c>
      <c r="V684" s="7" t="n">
        <f aca="true">IF(U684="تاخیر",TODAY()-AD684,IF(AND(U684="بسته",AH684&lt;&gt;"",AD684&lt;&gt;"",AH684&gt;AD684),AH684-AD684,0))</f>
        <v>0</v>
      </c>
      <c r="W684" s="7" t="str">
        <f aca="false">IF(L684="","",VALUE(LEFT(L684,FIND("/",L684)-1)))</f>
        <v/>
      </c>
      <c r="X684" s="7" t="str">
        <f aca="false">IF(L684="","",VALUE(MID(L684,FIND("/",L684)+1,FIND("/",L684,FIND("/",L684)+1)-FIND("/",L684)-1)))</f>
        <v/>
      </c>
      <c r="Y684" s="7" t="str">
        <f aca="false">IF(L684="","",VALUE(MID(L684,FIND("/",L684,FIND("/",L684)+1)+1,LEN(L684)-FIND("/",L684,FIND("/",L684)+1))))</f>
        <v/>
      </c>
      <c r="Z684" s="7" t="str">
        <f aca="false">IF(OR(L684="",W684=""),"",IFERROR(INDEX('لیست‌ها'!$Q$3:$Q$53,MATCH(W684,'لیست‌ها'!$P$3:$P$53,0))+IF(X684&lt;=6,(X684-1)*31+Y684,IF(X684&lt;=11,186+(X684-7)*30+Y684,336+Y684))-1,""))</f>
        <v/>
      </c>
      <c r="AA684" s="7" t="str">
        <f aca="false">IF(H684="","",VALUE(LEFT(H684,FIND("/",H684)-1)))</f>
        <v/>
      </c>
      <c r="AB684" s="7" t="str">
        <f aca="false">IF(H684="","",VALUE(MID(H684,FIND("/",H684)+1,FIND("/",H684,FIND("/",H684)+1)-FIND("/",H684)-1)))</f>
        <v/>
      </c>
      <c r="AC684" s="7" t="str">
        <f aca="false">IF(H684="","",VALUE(MID(H684,FIND("/",H684,FIND("/",H684)+1)+1,LEN(H684)-FIND("/",H684,FIND("/",H684)+1))))</f>
        <v/>
      </c>
      <c r="AD684" s="7" t="str">
        <f aca="false">IF(OR(H684="",AA684=""),"",IFERROR(INDEX('لیست‌ها'!$Q$3:$Q$53,MATCH(AA684,'لیست‌ها'!$P$3:$P$53,0))+IF(AB684&lt;=6,(AB684-1)*31+AC684,IF(AB684&lt;=11,186+(AB684-7)*30+AC684,336+AC684))-1,""))</f>
        <v/>
      </c>
      <c r="AE684" s="7" t="str">
        <f aca="false">IF(P684="","",VALUE(LEFT(P684,FIND("/",P684)-1)))</f>
        <v/>
      </c>
      <c r="AF684" s="7" t="str">
        <f aca="false">IF(P684="","",VALUE(MID(P684,FIND("/",P684)+1,FIND("/",P684,FIND("/",P684)+1)-FIND("/",P684)-1)))</f>
        <v/>
      </c>
      <c r="AG684" s="7" t="str">
        <f aca="false">IF(P684="","",VALUE(MID(P684,FIND("/",P684,FIND("/",P684)+1)+1,LEN(P684)-FIND("/",P684,FIND("/",P684)+1))))</f>
        <v/>
      </c>
      <c r="AH684" s="7" t="str">
        <f aca="false">IF(OR(P684="",AE684=""),"",IFERROR(INDEX('لیست‌ها'!$Q$3:$Q$53,MATCH(AE684,'لیست‌ها'!$P$3:$P$53,0))+IF(AF684&lt;=6,(AF684-1)*31+AG684,IF(AF684&lt;=11,186+(AF684-7)*30+AG684,336+AG684))-1,""))</f>
        <v/>
      </c>
      <c r="AI684" s="7" t="str">
        <f aca="false">IF(W684="","",W684&amp;"-"&amp;TEXT(X684,"00"))</f>
        <v/>
      </c>
      <c r="AJ684" s="7" t="str">
        <f aca="false">IF(W684="","",W684*12+X684)</f>
        <v/>
      </c>
      <c r="AK684" s="7" t="str">
        <f aca="false">IF(U684="تاخیر",V684+ROW()/100000,"")</f>
        <v/>
      </c>
    </row>
    <row r="685" customFormat="false" ht="15" hidden="false" customHeight="false" outlineLevel="0" collapsed="false">
      <c r="A685" s="7" t="str">
        <f aca="false">IF(B685="","",ROW()-3)</f>
        <v/>
      </c>
      <c r="B685" s="8"/>
      <c r="C685" s="8"/>
      <c r="D685" s="8"/>
      <c r="E685" s="9"/>
      <c r="F685" s="9"/>
      <c r="G685" s="8"/>
      <c r="H685" s="8"/>
      <c r="I685" s="8"/>
      <c r="J685" s="9"/>
      <c r="K685" s="8"/>
      <c r="L685" s="8"/>
      <c r="M685" s="8"/>
      <c r="N685" s="8"/>
      <c r="O685" s="8"/>
      <c r="P685" s="8"/>
      <c r="Q685" s="8"/>
      <c r="R685" s="9"/>
      <c r="S685" s="8"/>
      <c r="T685" s="9"/>
      <c r="U685" s="10" t="str">
        <f aca="true">IF(B685="","",IF(OR(P685&lt;&gt;"",I685="می‌باشد"),"بسته",IF(AND(L685&lt;&gt;"",W685=""),"خطای فرمت تاریخ ایجاد",IF(AND(H685&lt;&gt;"",AA685=""),"خطای فرمت مهلت",IF(AND(H685&lt;&gt;"",AD685&lt;&gt;"",TODAY()&gt;AD685),"تاخیر",IF(L685&lt;&gt;"","در حال انجام",""))))))</f>
        <v/>
      </c>
      <c r="V685" s="7" t="n">
        <f aca="true">IF(U685="تاخیر",TODAY()-AD685,IF(AND(U685="بسته",AH685&lt;&gt;"",AD685&lt;&gt;"",AH685&gt;AD685),AH685-AD685,0))</f>
        <v>0</v>
      </c>
      <c r="W685" s="7" t="str">
        <f aca="false">IF(L685="","",VALUE(LEFT(L685,FIND("/",L685)-1)))</f>
        <v/>
      </c>
      <c r="X685" s="7" t="str">
        <f aca="false">IF(L685="","",VALUE(MID(L685,FIND("/",L685)+1,FIND("/",L685,FIND("/",L685)+1)-FIND("/",L685)-1)))</f>
        <v/>
      </c>
      <c r="Y685" s="7" t="str">
        <f aca="false">IF(L685="","",VALUE(MID(L685,FIND("/",L685,FIND("/",L685)+1)+1,LEN(L685)-FIND("/",L685,FIND("/",L685)+1))))</f>
        <v/>
      </c>
      <c r="Z685" s="7" t="str">
        <f aca="false">IF(OR(L685="",W685=""),"",IFERROR(INDEX('لیست‌ها'!$Q$3:$Q$53,MATCH(W685,'لیست‌ها'!$P$3:$P$53,0))+IF(X685&lt;=6,(X685-1)*31+Y685,IF(X685&lt;=11,186+(X685-7)*30+Y685,336+Y685))-1,""))</f>
        <v/>
      </c>
      <c r="AA685" s="7" t="str">
        <f aca="false">IF(H685="","",VALUE(LEFT(H685,FIND("/",H685)-1)))</f>
        <v/>
      </c>
      <c r="AB685" s="7" t="str">
        <f aca="false">IF(H685="","",VALUE(MID(H685,FIND("/",H685)+1,FIND("/",H685,FIND("/",H685)+1)-FIND("/",H685)-1)))</f>
        <v/>
      </c>
      <c r="AC685" s="7" t="str">
        <f aca="false">IF(H685="","",VALUE(MID(H685,FIND("/",H685,FIND("/",H685)+1)+1,LEN(H685)-FIND("/",H685,FIND("/",H685)+1))))</f>
        <v/>
      </c>
      <c r="AD685" s="7" t="str">
        <f aca="false">IF(OR(H685="",AA685=""),"",IFERROR(INDEX('لیست‌ها'!$Q$3:$Q$53,MATCH(AA685,'لیست‌ها'!$P$3:$P$53,0))+IF(AB685&lt;=6,(AB685-1)*31+AC685,IF(AB685&lt;=11,186+(AB685-7)*30+AC685,336+AC685))-1,""))</f>
        <v/>
      </c>
      <c r="AE685" s="7" t="str">
        <f aca="false">IF(P685="","",VALUE(LEFT(P685,FIND("/",P685)-1)))</f>
        <v/>
      </c>
      <c r="AF685" s="7" t="str">
        <f aca="false">IF(P685="","",VALUE(MID(P685,FIND("/",P685)+1,FIND("/",P685,FIND("/",P685)+1)-FIND("/",P685)-1)))</f>
        <v/>
      </c>
      <c r="AG685" s="7" t="str">
        <f aca="false">IF(P685="","",VALUE(MID(P685,FIND("/",P685,FIND("/",P685)+1)+1,LEN(P685)-FIND("/",P685,FIND("/",P685)+1))))</f>
        <v/>
      </c>
      <c r="AH685" s="7" t="str">
        <f aca="false">IF(OR(P685="",AE685=""),"",IFERROR(INDEX('لیست‌ها'!$Q$3:$Q$53,MATCH(AE685,'لیست‌ها'!$P$3:$P$53,0))+IF(AF685&lt;=6,(AF685-1)*31+AG685,IF(AF685&lt;=11,186+(AF685-7)*30+AG685,336+AG685))-1,""))</f>
        <v/>
      </c>
      <c r="AI685" s="7" t="str">
        <f aca="false">IF(W685="","",W685&amp;"-"&amp;TEXT(X685,"00"))</f>
        <v/>
      </c>
      <c r="AJ685" s="7" t="str">
        <f aca="false">IF(W685="","",W685*12+X685)</f>
        <v/>
      </c>
      <c r="AK685" s="7" t="str">
        <f aca="false">IF(U685="تاخیر",V685+ROW()/100000,"")</f>
        <v/>
      </c>
    </row>
    <row r="686" customFormat="false" ht="15" hidden="false" customHeight="false" outlineLevel="0" collapsed="false">
      <c r="A686" s="7" t="str">
        <f aca="false">IF(B686="","",ROW()-3)</f>
        <v/>
      </c>
      <c r="B686" s="8"/>
      <c r="C686" s="8"/>
      <c r="D686" s="8"/>
      <c r="E686" s="9"/>
      <c r="F686" s="9"/>
      <c r="G686" s="8"/>
      <c r="H686" s="8"/>
      <c r="I686" s="8"/>
      <c r="J686" s="9"/>
      <c r="K686" s="8"/>
      <c r="L686" s="8"/>
      <c r="M686" s="8"/>
      <c r="N686" s="8"/>
      <c r="O686" s="8"/>
      <c r="P686" s="8"/>
      <c r="Q686" s="8"/>
      <c r="R686" s="9"/>
      <c r="S686" s="8"/>
      <c r="T686" s="9"/>
      <c r="U686" s="10" t="str">
        <f aca="true">IF(B686="","",IF(OR(P686&lt;&gt;"",I686="می‌باشد"),"بسته",IF(AND(L686&lt;&gt;"",W686=""),"خطای فرمت تاریخ ایجاد",IF(AND(H686&lt;&gt;"",AA686=""),"خطای فرمت مهلت",IF(AND(H686&lt;&gt;"",AD686&lt;&gt;"",TODAY()&gt;AD686),"تاخیر",IF(L686&lt;&gt;"","در حال انجام",""))))))</f>
        <v/>
      </c>
      <c r="V686" s="7" t="n">
        <f aca="true">IF(U686="تاخیر",TODAY()-AD686,IF(AND(U686="بسته",AH686&lt;&gt;"",AD686&lt;&gt;"",AH686&gt;AD686),AH686-AD686,0))</f>
        <v>0</v>
      </c>
      <c r="W686" s="7" t="str">
        <f aca="false">IF(L686="","",VALUE(LEFT(L686,FIND("/",L686)-1)))</f>
        <v/>
      </c>
      <c r="X686" s="7" t="str">
        <f aca="false">IF(L686="","",VALUE(MID(L686,FIND("/",L686)+1,FIND("/",L686,FIND("/",L686)+1)-FIND("/",L686)-1)))</f>
        <v/>
      </c>
      <c r="Y686" s="7" t="str">
        <f aca="false">IF(L686="","",VALUE(MID(L686,FIND("/",L686,FIND("/",L686)+1)+1,LEN(L686)-FIND("/",L686,FIND("/",L686)+1))))</f>
        <v/>
      </c>
      <c r="Z686" s="7" t="str">
        <f aca="false">IF(OR(L686="",W686=""),"",IFERROR(INDEX('لیست‌ها'!$Q$3:$Q$53,MATCH(W686,'لیست‌ها'!$P$3:$P$53,0))+IF(X686&lt;=6,(X686-1)*31+Y686,IF(X686&lt;=11,186+(X686-7)*30+Y686,336+Y686))-1,""))</f>
        <v/>
      </c>
      <c r="AA686" s="7" t="str">
        <f aca="false">IF(H686="","",VALUE(LEFT(H686,FIND("/",H686)-1)))</f>
        <v/>
      </c>
      <c r="AB686" s="7" t="str">
        <f aca="false">IF(H686="","",VALUE(MID(H686,FIND("/",H686)+1,FIND("/",H686,FIND("/",H686)+1)-FIND("/",H686)-1)))</f>
        <v/>
      </c>
      <c r="AC686" s="7" t="str">
        <f aca="false">IF(H686="","",VALUE(MID(H686,FIND("/",H686,FIND("/",H686)+1)+1,LEN(H686)-FIND("/",H686,FIND("/",H686)+1))))</f>
        <v/>
      </c>
      <c r="AD686" s="7" t="str">
        <f aca="false">IF(OR(H686="",AA686=""),"",IFERROR(INDEX('لیست‌ها'!$Q$3:$Q$53,MATCH(AA686,'لیست‌ها'!$P$3:$P$53,0))+IF(AB686&lt;=6,(AB686-1)*31+AC686,IF(AB686&lt;=11,186+(AB686-7)*30+AC686,336+AC686))-1,""))</f>
        <v/>
      </c>
      <c r="AE686" s="7" t="str">
        <f aca="false">IF(P686="","",VALUE(LEFT(P686,FIND("/",P686)-1)))</f>
        <v/>
      </c>
      <c r="AF686" s="7" t="str">
        <f aca="false">IF(P686="","",VALUE(MID(P686,FIND("/",P686)+1,FIND("/",P686,FIND("/",P686)+1)-FIND("/",P686)-1)))</f>
        <v/>
      </c>
      <c r="AG686" s="7" t="str">
        <f aca="false">IF(P686="","",VALUE(MID(P686,FIND("/",P686,FIND("/",P686)+1)+1,LEN(P686)-FIND("/",P686,FIND("/",P686)+1))))</f>
        <v/>
      </c>
      <c r="AH686" s="7" t="str">
        <f aca="false">IF(OR(P686="",AE686=""),"",IFERROR(INDEX('لیست‌ها'!$Q$3:$Q$53,MATCH(AE686,'لیست‌ها'!$P$3:$P$53,0))+IF(AF686&lt;=6,(AF686-1)*31+AG686,IF(AF686&lt;=11,186+(AF686-7)*30+AG686,336+AG686))-1,""))</f>
        <v/>
      </c>
      <c r="AI686" s="7" t="str">
        <f aca="false">IF(W686="","",W686&amp;"-"&amp;TEXT(X686,"00"))</f>
        <v/>
      </c>
      <c r="AJ686" s="7" t="str">
        <f aca="false">IF(W686="","",W686*12+X686)</f>
        <v/>
      </c>
      <c r="AK686" s="7" t="str">
        <f aca="false">IF(U686="تاخیر",V686+ROW()/100000,"")</f>
        <v/>
      </c>
    </row>
    <row r="687" customFormat="false" ht="15" hidden="false" customHeight="false" outlineLevel="0" collapsed="false">
      <c r="A687" s="7" t="str">
        <f aca="false">IF(B687="","",ROW()-3)</f>
        <v/>
      </c>
      <c r="B687" s="8"/>
      <c r="C687" s="8"/>
      <c r="D687" s="8"/>
      <c r="E687" s="9"/>
      <c r="F687" s="9"/>
      <c r="G687" s="8"/>
      <c r="H687" s="8"/>
      <c r="I687" s="8"/>
      <c r="J687" s="9"/>
      <c r="K687" s="8"/>
      <c r="L687" s="8"/>
      <c r="M687" s="8"/>
      <c r="N687" s="8"/>
      <c r="O687" s="8"/>
      <c r="P687" s="8"/>
      <c r="Q687" s="8"/>
      <c r="R687" s="9"/>
      <c r="S687" s="8"/>
      <c r="T687" s="9"/>
      <c r="U687" s="10" t="str">
        <f aca="true">IF(B687="","",IF(OR(P687&lt;&gt;"",I687="می‌باشد"),"بسته",IF(AND(L687&lt;&gt;"",W687=""),"خطای فرمت تاریخ ایجاد",IF(AND(H687&lt;&gt;"",AA687=""),"خطای فرمت مهلت",IF(AND(H687&lt;&gt;"",AD687&lt;&gt;"",TODAY()&gt;AD687),"تاخیر",IF(L687&lt;&gt;"","در حال انجام",""))))))</f>
        <v/>
      </c>
      <c r="V687" s="7" t="n">
        <f aca="true">IF(U687="تاخیر",TODAY()-AD687,IF(AND(U687="بسته",AH687&lt;&gt;"",AD687&lt;&gt;"",AH687&gt;AD687),AH687-AD687,0))</f>
        <v>0</v>
      </c>
      <c r="W687" s="7" t="str">
        <f aca="false">IF(L687="","",VALUE(LEFT(L687,FIND("/",L687)-1)))</f>
        <v/>
      </c>
      <c r="X687" s="7" t="str">
        <f aca="false">IF(L687="","",VALUE(MID(L687,FIND("/",L687)+1,FIND("/",L687,FIND("/",L687)+1)-FIND("/",L687)-1)))</f>
        <v/>
      </c>
      <c r="Y687" s="7" t="str">
        <f aca="false">IF(L687="","",VALUE(MID(L687,FIND("/",L687,FIND("/",L687)+1)+1,LEN(L687)-FIND("/",L687,FIND("/",L687)+1))))</f>
        <v/>
      </c>
      <c r="Z687" s="7" t="str">
        <f aca="false">IF(OR(L687="",W687=""),"",IFERROR(INDEX('لیست‌ها'!$Q$3:$Q$53,MATCH(W687,'لیست‌ها'!$P$3:$P$53,0))+IF(X687&lt;=6,(X687-1)*31+Y687,IF(X687&lt;=11,186+(X687-7)*30+Y687,336+Y687))-1,""))</f>
        <v/>
      </c>
      <c r="AA687" s="7" t="str">
        <f aca="false">IF(H687="","",VALUE(LEFT(H687,FIND("/",H687)-1)))</f>
        <v/>
      </c>
      <c r="AB687" s="7" t="str">
        <f aca="false">IF(H687="","",VALUE(MID(H687,FIND("/",H687)+1,FIND("/",H687,FIND("/",H687)+1)-FIND("/",H687)-1)))</f>
        <v/>
      </c>
      <c r="AC687" s="7" t="str">
        <f aca="false">IF(H687="","",VALUE(MID(H687,FIND("/",H687,FIND("/",H687)+1)+1,LEN(H687)-FIND("/",H687,FIND("/",H687)+1))))</f>
        <v/>
      </c>
      <c r="AD687" s="7" t="str">
        <f aca="false">IF(OR(H687="",AA687=""),"",IFERROR(INDEX('لیست‌ها'!$Q$3:$Q$53,MATCH(AA687,'لیست‌ها'!$P$3:$P$53,0))+IF(AB687&lt;=6,(AB687-1)*31+AC687,IF(AB687&lt;=11,186+(AB687-7)*30+AC687,336+AC687))-1,""))</f>
        <v/>
      </c>
      <c r="AE687" s="7" t="str">
        <f aca="false">IF(P687="","",VALUE(LEFT(P687,FIND("/",P687)-1)))</f>
        <v/>
      </c>
      <c r="AF687" s="7" t="str">
        <f aca="false">IF(P687="","",VALUE(MID(P687,FIND("/",P687)+1,FIND("/",P687,FIND("/",P687)+1)-FIND("/",P687)-1)))</f>
        <v/>
      </c>
      <c r="AG687" s="7" t="str">
        <f aca="false">IF(P687="","",VALUE(MID(P687,FIND("/",P687,FIND("/",P687)+1)+1,LEN(P687)-FIND("/",P687,FIND("/",P687)+1))))</f>
        <v/>
      </c>
      <c r="AH687" s="7" t="str">
        <f aca="false">IF(OR(P687="",AE687=""),"",IFERROR(INDEX('لیست‌ها'!$Q$3:$Q$53,MATCH(AE687,'لیست‌ها'!$P$3:$P$53,0))+IF(AF687&lt;=6,(AF687-1)*31+AG687,IF(AF687&lt;=11,186+(AF687-7)*30+AG687,336+AG687))-1,""))</f>
        <v/>
      </c>
      <c r="AI687" s="7" t="str">
        <f aca="false">IF(W687="","",W687&amp;"-"&amp;TEXT(X687,"00"))</f>
        <v/>
      </c>
      <c r="AJ687" s="7" t="str">
        <f aca="false">IF(W687="","",W687*12+X687)</f>
        <v/>
      </c>
      <c r="AK687" s="7" t="str">
        <f aca="false">IF(U687="تاخیر",V687+ROW()/100000,"")</f>
        <v/>
      </c>
    </row>
    <row r="688" customFormat="false" ht="15" hidden="false" customHeight="false" outlineLevel="0" collapsed="false">
      <c r="A688" s="7" t="str">
        <f aca="false">IF(B688="","",ROW()-3)</f>
        <v/>
      </c>
      <c r="B688" s="8"/>
      <c r="C688" s="8"/>
      <c r="D688" s="8"/>
      <c r="E688" s="9"/>
      <c r="F688" s="9"/>
      <c r="G688" s="8"/>
      <c r="H688" s="8"/>
      <c r="I688" s="8"/>
      <c r="J688" s="9"/>
      <c r="K688" s="8"/>
      <c r="L688" s="8"/>
      <c r="M688" s="8"/>
      <c r="N688" s="8"/>
      <c r="O688" s="8"/>
      <c r="P688" s="8"/>
      <c r="Q688" s="8"/>
      <c r="R688" s="9"/>
      <c r="S688" s="8"/>
      <c r="T688" s="9"/>
      <c r="U688" s="10" t="str">
        <f aca="true">IF(B688="","",IF(OR(P688&lt;&gt;"",I688="می‌باشد"),"بسته",IF(AND(L688&lt;&gt;"",W688=""),"خطای فرمت تاریخ ایجاد",IF(AND(H688&lt;&gt;"",AA688=""),"خطای فرمت مهلت",IF(AND(H688&lt;&gt;"",AD688&lt;&gt;"",TODAY()&gt;AD688),"تاخیر",IF(L688&lt;&gt;"","در حال انجام",""))))))</f>
        <v/>
      </c>
      <c r="V688" s="7" t="n">
        <f aca="true">IF(U688="تاخیر",TODAY()-AD688,IF(AND(U688="بسته",AH688&lt;&gt;"",AD688&lt;&gt;"",AH688&gt;AD688),AH688-AD688,0))</f>
        <v>0</v>
      </c>
      <c r="W688" s="7" t="str">
        <f aca="false">IF(L688="","",VALUE(LEFT(L688,FIND("/",L688)-1)))</f>
        <v/>
      </c>
      <c r="X688" s="7" t="str">
        <f aca="false">IF(L688="","",VALUE(MID(L688,FIND("/",L688)+1,FIND("/",L688,FIND("/",L688)+1)-FIND("/",L688)-1)))</f>
        <v/>
      </c>
      <c r="Y688" s="7" t="str">
        <f aca="false">IF(L688="","",VALUE(MID(L688,FIND("/",L688,FIND("/",L688)+1)+1,LEN(L688)-FIND("/",L688,FIND("/",L688)+1))))</f>
        <v/>
      </c>
      <c r="Z688" s="7" t="str">
        <f aca="false">IF(OR(L688="",W688=""),"",IFERROR(INDEX('لیست‌ها'!$Q$3:$Q$53,MATCH(W688,'لیست‌ها'!$P$3:$P$53,0))+IF(X688&lt;=6,(X688-1)*31+Y688,IF(X688&lt;=11,186+(X688-7)*30+Y688,336+Y688))-1,""))</f>
        <v/>
      </c>
      <c r="AA688" s="7" t="str">
        <f aca="false">IF(H688="","",VALUE(LEFT(H688,FIND("/",H688)-1)))</f>
        <v/>
      </c>
      <c r="AB688" s="7" t="str">
        <f aca="false">IF(H688="","",VALUE(MID(H688,FIND("/",H688)+1,FIND("/",H688,FIND("/",H688)+1)-FIND("/",H688)-1)))</f>
        <v/>
      </c>
      <c r="AC688" s="7" t="str">
        <f aca="false">IF(H688="","",VALUE(MID(H688,FIND("/",H688,FIND("/",H688)+1)+1,LEN(H688)-FIND("/",H688,FIND("/",H688)+1))))</f>
        <v/>
      </c>
      <c r="AD688" s="7" t="str">
        <f aca="false">IF(OR(H688="",AA688=""),"",IFERROR(INDEX('لیست‌ها'!$Q$3:$Q$53,MATCH(AA688,'لیست‌ها'!$P$3:$P$53,0))+IF(AB688&lt;=6,(AB688-1)*31+AC688,IF(AB688&lt;=11,186+(AB688-7)*30+AC688,336+AC688))-1,""))</f>
        <v/>
      </c>
      <c r="AE688" s="7" t="str">
        <f aca="false">IF(P688="","",VALUE(LEFT(P688,FIND("/",P688)-1)))</f>
        <v/>
      </c>
      <c r="AF688" s="7" t="str">
        <f aca="false">IF(P688="","",VALUE(MID(P688,FIND("/",P688)+1,FIND("/",P688,FIND("/",P688)+1)-FIND("/",P688)-1)))</f>
        <v/>
      </c>
      <c r="AG688" s="7" t="str">
        <f aca="false">IF(P688="","",VALUE(MID(P688,FIND("/",P688,FIND("/",P688)+1)+1,LEN(P688)-FIND("/",P688,FIND("/",P688)+1))))</f>
        <v/>
      </c>
      <c r="AH688" s="7" t="str">
        <f aca="false">IF(OR(P688="",AE688=""),"",IFERROR(INDEX('لیست‌ها'!$Q$3:$Q$53,MATCH(AE688,'لیست‌ها'!$P$3:$P$53,0))+IF(AF688&lt;=6,(AF688-1)*31+AG688,IF(AF688&lt;=11,186+(AF688-7)*30+AG688,336+AG688))-1,""))</f>
        <v/>
      </c>
      <c r="AI688" s="7" t="str">
        <f aca="false">IF(W688="","",W688&amp;"-"&amp;TEXT(X688,"00"))</f>
        <v/>
      </c>
      <c r="AJ688" s="7" t="str">
        <f aca="false">IF(W688="","",W688*12+X688)</f>
        <v/>
      </c>
      <c r="AK688" s="7" t="str">
        <f aca="false">IF(U688="تاخیر",V688+ROW()/100000,"")</f>
        <v/>
      </c>
    </row>
    <row r="689" customFormat="false" ht="15" hidden="false" customHeight="false" outlineLevel="0" collapsed="false">
      <c r="A689" s="7" t="str">
        <f aca="false">IF(B689="","",ROW()-3)</f>
        <v/>
      </c>
      <c r="B689" s="8"/>
      <c r="C689" s="8"/>
      <c r="D689" s="8"/>
      <c r="E689" s="9"/>
      <c r="F689" s="9"/>
      <c r="G689" s="8"/>
      <c r="H689" s="8"/>
      <c r="I689" s="8"/>
      <c r="J689" s="9"/>
      <c r="K689" s="8"/>
      <c r="L689" s="8"/>
      <c r="M689" s="8"/>
      <c r="N689" s="8"/>
      <c r="O689" s="8"/>
      <c r="P689" s="8"/>
      <c r="Q689" s="8"/>
      <c r="R689" s="9"/>
      <c r="S689" s="8"/>
      <c r="T689" s="9"/>
      <c r="U689" s="10" t="str">
        <f aca="true">IF(B689="","",IF(OR(P689&lt;&gt;"",I689="می‌باشد"),"بسته",IF(AND(L689&lt;&gt;"",W689=""),"خطای فرمت تاریخ ایجاد",IF(AND(H689&lt;&gt;"",AA689=""),"خطای فرمت مهلت",IF(AND(H689&lt;&gt;"",AD689&lt;&gt;"",TODAY()&gt;AD689),"تاخیر",IF(L689&lt;&gt;"","در حال انجام",""))))))</f>
        <v/>
      </c>
      <c r="V689" s="7" t="n">
        <f aca="true">IF(U689="تاخیر",TODAY()-AD689,IF(AND(U689="بسته",AH689&lt;&gt;"",AD689&lt;&gt;"",AH689&gt;AD689),AH689-AD689,0))</f>
        <v>0</v>
      </c>
      <c r="W689" s="7" t="str">
        <f aca="false">IF(L689="","",VALUE(LEFT(L689,FIND("/",L689)-1)))</f>
        <v/>
      </c>
      <c r="X689" s="7" t="str">
        <f aca="false">IF(L689="","",VALUE(MID(L689,FIND("/",L689)+1,FIND("/",L689,FIND("/",L689)+1)-FIND("/",L689)-1)))</f>
        <v/>
      </c>
      <c r="Y689" s="7" t="str">
        <f aca="false">IF(L689="","",VALUE(MID(L689,FIND("/",L689,FIND("/",L689)+1)+1,LEN(L689)-FIND("/",L689,FIND("/",L689)+1))))</f>
        <v/>
      </c>
      <c r="Z689" s="7" t="str">
        <f aca="false">IF(OR(L689="",W689=""),"",IFERROR(INDEX('لیست‌ها'!$Q$3:$Q$53,MATCH(W689,'لیست‌ها'!$P$3:$P$53,0))+IF(X689&lt;=6,(X689-1)*31+Y689,IF(X689&lt;=11,186+(X689-7)*30+Y689,336+Y689))-1,""))</f>
        <v/>
      </c>
      <c r="AA689" s="7" t="str">
        <f aca="false">IF(H689="","",VALUE(LEFT(H689,FIND("/",H689)-1)))</f>
        <v/>
      </c>
      <c r="AB689" s="7" t="str">
        <f aca="false">IF(H689="","",VALUE(MID(H689,FIND("/",H689)+1,FIND("/",H689,FIND("/",H689)+1)-FIND("/",H689)-1)))</f>
        <v/>
      </c>
      <c r="AC689" s="7" t="str">
        <f aca="false">IF(H689="","",VALUE(MID(H689,FIND("/",H689,FIND("/",H689)+1)+1,LEN(H689)-FIND("/",H689,FIND("/",H689)+1))))</f>
        <v/>
      </c>
      <c r="AD689" s="7" t="str">
        <f aca="false">IF(OR(H689="",AA689=""),"",IFERROR(INDEX('لیست‌ها'!$Q$3:$Q$53,MATCH(AA689,'لیست‌ها'!$P$3:$P$53,0))+IF(AB689&lt;=6,(AB689-1)*31+AC689,IF(AB689&lt;=11,186+(AB689-7)*30+AC689,336+AC689))-1,""))</f>
        <v/>
      </c>
      <c r="AE689" s="7" t="str">
        <f aca="false">IF(P689="","",VALUE(LEFT(P689,FIND("/",P689)-1)))</f>
        <v/>
      </c>
      <c r="AF689" s="7" t="str">
        <f aca="false">IF(P689="","",VALUE(MID(P689,FIND("/",P689)+1,FIND("/",P689,FIND("/",P689)+1)-FIND("/",P689)-1)))</f>
        <v/>
      </c>
      <c r="AG689" s="7" t="str">
        <f aca="false">IF(P689="","",VALUE(MID(P689,FIND("/",P689,FIND("/",P689)+1)+1,LEN(P689)-FIND("/",P689,FIND("/",P689)+1))))</f>
        <v/>
      </c>
      <c r="AH689" s="7" t="str">
        <f aca="false">IF(OR(P689="",AE689=""),"",IFERROR(INDEX('لیست‌ها'!$Q$3:$Q$53,MATCH(AE689,'لیست‌ها'!$P$3:$P$53,0))+IF(AF689&lt;=6,(AF689-1)*31+AG689,IF(AF689&lt;=11,186+(AF689-7)*30+AG689,336+AG689))-1,""))</f>
        <v/>
      </c>
      <c r="AI689" s="7" t="str">
        <f aca="false">IF(W689="","",W689&amp;"-"&amp;TEXT(X689,"00"))</f>
        <v/>
      </c>
      <c r="AJ689" s="7" t="str">
        <f aca="false">IF(W689="","",W689*12+X689)</f>
        <v/>
      </c>
      <c r="AK689" s="7" t="str">
        <f aca="false">IF(U689="تاخیر",V689+ROW()/100000,"")</f>
        <v/>
      </c>
    </row>
    <row r="690" customFormat="false" ht="15" hidden="false" customHeight="false" outlineLevel="0" collapsed="false">
      <c r="A690" s="7" t="str">
        <f aca="false">IF(B690="","",ROW()-3)</f>
        <v/>
      </c>
      <c r="B690" s="8"/>
      <c r="C690" s="8"/>
      <c r="D690" s="8"/>
      <c r="E690" s="9"/>
      <c r="F690" s="9"/>
      <c r="G690" s="8"/>
      <c r="H690" s="8"/>
      <c r="I690" s="8"/>
      <c r="J690" s="9"/>
      <c r="K690" s="8"/>
      <c r="L690" s="8"/>
      <c r="M690" s="8"/>
      <c r="N690" s="8"/>
      <c r="O690" s="8"/>
      <c r="P690" s="8"/>
      <c r="Q690" s="8"/>
      <c r="R690" s="9"/>
      <c r="S690" s="8"/>
      <c r="T690" s="9"/>
      <c r="U690" s="10" t="str">
        <f aca="true">IF(B690="","",IF(OR(P690&lt;&gt;"",I690="می‌باشد"),"بسته",IF(AND(L690&lt;&gt;"",W690=""),"خطای فرمت تاریخ ایجاد",IF(AND(H690&lt;&gt;"",AA690=""),"خطای فرمت مهلت",IF(AND(H690&lt;&gt;"",AD690&lt;&gt;"",TODAY()&gt;AD690),"تاخیر",IF(L690&lt;&gt;"","در حال انجام",""))))))</f>
        <v/>
      </c>
      <c r="V690" s="7" t="n">
        <f aca="true">IF(U690="تاخیر",TODAY()-AD690,IF(AND(U690="بسته",AH690&lt;&gt;"",AD690&lt;&gt;"",AH690&gt;AD690),AH690-AD690,0))</f>
        <v>0</v>
      </c>
      <c r="W690" s="7" t="str">
        <f aca="false">IF(L690="","",VALUE(LEFT(L690,FIND("/",L690)-1)))</f>
        <v/>
      </c>
      <c r="X690" s="7" t="str">
        <f aca="false">IF(L690="","",VALUE(MID(L690,FIND("/",L690)+1,FIND("/",L690,FIND("/",L690)+1)-FIND("/",L690)-1)))</f>
        <v/>
      </c>
      <c r="Y690" s="7" t="str">
        <f aca="false">IF(L690="","",VALUE(MID(L690,FIND("/",L690,FIND("/",L690)+1)+1,LEN(L690)-FIND("/",L690,FIND("/",L690)+1))))</f>
        <v/>
      </c>
      <c r="Z690" s="7" t="str">
        <f aca="false">IF(OR(L690="",W690=""),"",IFERROR(INDEX('لیست‌ها'!$Q$3:$Q$53,MATCH(W690,'لیست‌ها'!$P$3:$P$53,0))+IF(X690&lt;=6,(X690-1)*31+Y690,IF(X690&lt;=11,186+(X690-7)*30+Y690,336+Y690))-1,""))</f>
        <v/>
      </c>
      <c r="AA690" s="7" t="str">
        <f aca="false">IF(H690="","",VALUE(LEFT(H690,FIND("/",H690)-1)))</f>
        <v/>
      </c>
      <c r="AB690" s="7" t="str">
        <f aca="false">IF(H690="","",VALUE(MID(H690,FIND("/",H690)+1,FIND("/",H690,FIND("/",H690)+1)-FIND("/",H690)-1)))</f>
        <v/>
      </c>
      <c r="AC690" s="7" t="str">
        <f aca="false">IF(H690="","",VALUE(MID(H690,FIND("/",H690,FIND("/",H690)+1)+1,LEN(H690)-FIND("/",H690,FIND("/",H690)+1))))</f>
        <v/>
      </c>
      <c r="AD690" s="7" t="str">
        <f aca="false">IF(OR(H690="",AA690=""),"",IFERROR(INDEX('لیست‌ها'!$Q$3:$Q$53,MATCH(AA690,'لیست‌ها'!$P$3:$P$53,0))+IF(AB690&lt;=6,(AB690-1)*31+AC690,IF(AB690&lt;=11,186+(AB690-7)*30+AC690,336+AC690))-1,""))</f>
        <v/>
      </c>
      <c r="AE690" s="7" t="str">
        <f aca="false">IF(P690="","",VALUE(LEFT(P690,FIND("/",P690)-1)))</f>
        <v/>
      </c>
      <c r="AF690" s="7" t="str">
        <f aca="false">IF(P690="","",VALUE(MID(P690,FIND("/",P690)+1,FIND("/",P690,FIND("/",P690)+1)-FIND("/",P690)-1)))</f>
        <v/>
      </c>
      <c r="AG690" s="7" t="str">
        <f aca="false">IF(P690="","",VALUE(MID(P690,FIND("/",P690,FIND("/",P690)+1)+1,LEN(P690)-FIND("/",P690,FIND("/",P690)+1))))</f>
        <v/>
      </c>
      <c r="AH690" s="7" t="str">
        <f aca="false">IF(OR(P690="",AE690=""),"",IFERROR(INDEX('لیست‌ها'!$Q$3:$Q$53,MATCH(AE690,'لیست‌ها'!$P$3:$P$53,0))+IF(AF690&lt;=6,(AF690-1)*31+AG690,IF(AF690&lt;=11,186+(AF690-7)*30+AG690,336+AG690))-1,""))</f>
        <v/>
      </c>
      <c r="AI690" s="7" t="str">
        <f aca="false">IF(W690="","",W690&amp;"-"&amp;TEXT(X690,"00"))</f>
        <v/>
      </c>
      <c r="AJ690" s="7" t="str">
        <f aca="false">IF(W690="","",W690*12+X690)</f>
        <v/>
      </c>
      <c r="AK690" s="7" t="str">
        <f aca="false">IF(U690="تاخیر",V690+ROW()/100000,"")</f>
        <v/>
      </c>
    </row>
    <row r="691" customFormat="false" ht="15" hidden="false" customHeight="false" outlineLevel="0" collapsed="false">
      <c r="A691" s="7" t="str">
        <f aca="false">IF(B691="","",ROW()-3)</f>
        <v/>
      </c>
      <c r="B691" s="8"/>
      <c r="C691" s="8"/>
      <c r="D691" s="8"/>
      <c r="E691" s="9"/>
      <c r="F691" s="9"/>
      <c r="G691" s="8"/>
      <c r="H691" s="8"/>
      <c r="I691" s="8"/>
      <c r="J691" s="9"/>
      <c r="K691" s="8"/>
      <c r="L691" s="8"/>
      <c r="M691" s="8"/>
      <c r="N691" s="8"/>
      <c r="O691" s="8"/>
      <c r="P691" s="8"/>
      <c r="Q691" s="8"/>
      <c r="R691" s="9"/>
      <c r="S691" s="8"/>
      <c r="T691" s="9"/>
      <c r="U691" s="10" t="str">
        <f aca="true">IF(B691="","",IF(OR(P691&lt;&gt;"",I691="می‌باشد"),"بسته",IF(AND(L691&lt;&gt;"",W691=""),"خطای فرمت تاریخ ایجاد",IF(AND(H691&lt;&gt;"",AA691=""),"خطای فرمت مهلت",IF(AND(H691&lt;&gt;"",AD691&lt;&gt;"",TODAY()&gt;AD691),"تاخیر",IF(L691&lt;&gt;"","در حال انجام",""))))))</f>
        <v/>
      </c>
      <c r="V691" s="7" t="n">
        <f aca="true">IF(U691="تاخیر",TODAY()-AD691,IF(AND(U691="بسته",AH691&lt;&gt;"",AD691&lt;&gt;"",AH691&gt;AD691),AH691-AD691,0))</f>
        <v>0</v>
      </c>
      <c r="W691" s="7" t="str">
        <f aca="false">IF(L691="","",VALUE(LEFT(L691,FIND("/",L691)-1)))</f>
        <v/>
      </c>
      <c r="X691" s="7" t="str">
        <f aca="false">IF(L691="","",VALUE(MID(L691,FIND("/",L691)+1,FIND("/",L691,FIND("/",L691)+1)-FIND("/",L691)-1)))</f>
        <v/>
      </c>
      <c r="Y691" s="7" t="str">
        <f aca="false">IF(L691="","",VALUE(MID(L691,FIND("/",L691,FIND("/",L691)+1)+1,LEN(L691)-FIND("/",L691,FIND("/",L691)+1))))</f>
        <v/>
      </c>
      <c r="Z691" s="7" t="str">
        <f aca="false">IF(OR(L691="",W691=""),"",IFERROR(INDEX('لیست‌ها'!$Q$3:$Q$53,MATCH(W691,'لیست‌ها'!$P$3:$P$53,0))+IF(X691&lt;=6,(X691-1)*31+Y691,IF(X691&lt;=11,186+(X691-7)*30+Y691,336+Y691))-1,""))</f>
        <v/>
      </c>
      <c r="AA691" s="7" t="str">
        <f aca="false">IF(H691="","",VALUE(LEFT(H691,FIND("/",H691)-1)))</f>
        <v/>
      </c>
      <c r="AB691" s="7" t="str">
        <f aca="false">IF(H691="","",VALUE(MID(H691,FIND("/",H691)+1,FIND("/",H691,FIND("/",H691)+1)-FIND("/",H691)-1)))</f>
        <v/>
      </c>
      <c r="AC691" s="7" t="str">
        <f aca="false">IF(H691="","",VALUE(MID(H691,FIND("/",H691,FIND("/",H691)+1)+1,LEN(H691)-FIND("/",H691,FIND("/",H691)+1))))</f>
        <v/>
      </c>
      <c r="AD691" s="7" t="str">
        <f aca="false">IF(OR(H691="",AA691=""),"",IFERROR(INDEX('لیست‌ها'!$Q$3:$Q$53,MATCH(AA691,'لیست‌ها'!$P$3:$P$53,0))+IF(AB691&lt;=6,(AB691-1)*31+AC691,IF(AB691&lt;=11,186+(AB691-7)*30+AC691,336+AC691))-1,""))</f>
        <v/>
      </c>
      <c r="AE691" s="7" t="str">
        <f aca="false">IF(P691="","",VALUE(LEFT(P691,FIND("/",P691)-1)))</f>
        <v/>
      </c>
      <c r="AF691" s="7" t="str">
        <f aca="false">IF(P691="","",VALUE(MID(P691,FIND("/",P691)+1,FIND("/",P691,FIND("/",P691)+1)-FIND("/",P691)-1)))</f>
        <v/>
      </c>
      <c r="AG691" s="7" t="str">
        <f aca="false">IF(P691="","",VALUE(MID(P691,FIND("/",P691,FIND("/",P691)+1)+1,LEN(P691)-FIND("/",P691,FIND("/",P691)+1))))</f>
        <v/>
      </c>
      <c r="AH691" s="7" t="str">
        <f aca="false">IF(OR(P691="",AE691=""),"",IFERROR(INDEX('لیست‌ها'!$Q$3:$Q$53,MATCH(AE691,'لیست‌ها'!$P$3:$P$53,0))+IF(AF691&lt;=6,(AF691-1)*31+AG691,IF(AF691&lt;=11,186+(AF691-7)*30+AG691,336+AG691))-1,""))</f>
        <v/>
      </c>
      <c r="AI691" s="7" t="str">
        <f aca="false">IF(W691="","",W691&amp;"-"&amp;TEXT(X691,"00"))</f>
        <v/>
      </c>
      <c r="AJ691" s="7" t="str">
        <f aca="false">IF(W691="","",W691*12+X691)</f>
        <v/>
      </c>
      <c r="AK691" s="7" t="str">
        <f aca="false">IF(U691="تاخیر",V691+ROW()/100000,"")</f>
        <v/>
      </c>
    </row>
    <row r="692" customFormat="false" ht="15" hidden="false" customHeight="false" outlineLevel="0" collapsed="false">
      <c r="A692" s="7" t="str">
        <f aca="false">IF(B692="","",ROW()-3)</f>
        <v/>
      </c>
      <c r="B692" s="8"/>
      <c r="C692" s="8"/>
      <c r="D692" s="8"/>
      <c r="E692" s="9"/>
      <c r="F692" s="9"/>
      <c r="G692" s="8"/>
      <c r="H692" s="8"/>
      <c r="I692" s="8"/>
      <c r="J692" s="9"/>
      <c r="K692" s="8"/>
      <c r="L692" s="8"/>
      <c r="M692" s="8"/>
      <c r="N692" s="8"/>
      <c r="O692" s="8"/>
      <c r="P692" s="8"/>
      <c r="Q692" s="8"/>
      <c r="R692" s="9"/>
      <c r="S692" s="8"/>
      <c r="T692" s="9"/>
      <c r="U692" s="10" t="str">
        <f aca="true">IF(B692="","",IF(OR(P692&lt;&gt;"",I692="می‌باشد"),"بسته",IF(AND(L692&lt;&gt;"",W692=""),"خطای فرمت تاریخ ایجاد",IF(AND(H692&lt;&gt;"",AA692=""),"خطای فرمت مهلت",IF(AND(H692&lt;&gt;"",AD692&lt;&gt;"",TODAY()&gt;AD692),"تاخیر",IF(L692&lt;&gt;"","در حال انجام",""))))))</f>
        <v/>
      </c>
      <c r="V692" s="7" t="n">
        <f aca="true">IF(U692="تاخیر",TODAY()-AD692,IF(AND(U692="بسته",AH692&lt;&gt;"",AD692&lt;&gt;"",AH692&gt;AD692),AH692-AD692,0))</f>
        <v>0</v>
      </c>
      <c r="W692" s="7" t="str">
        <f aca="false">IF(L692="","",VALUE(LEFT(L692,FIND("/",L692)-1)))</f>
        <v/>
      </c>
      <c r="X692" s="7" t="str">
        <f aca="false">IF(L692="","",VALUE(MID(L692,FIND("/",L692)+1,FIND("/",L692,FIND("/",L692)+1)-FIND("/",L692)-1)))</f>
        <v/>
      </c>
      <c r="Y692" s="7" t="str">
        <f aca="false">IF(L692="","",VALUE(MID(L692,FIND("/",L692,FIND("/",L692)+1)+1,LEN(L692)-FIND("/",L692,FIND("/",L692)+1))))</f>
        <v/>
      </c>
      <c r="Z692" s="7" t="str">
        <f aca="false">IF(OR(L692="",W692=""),"",IFERROR(INDEX('لیست‌ها'!$Q$3:$Q$53,MATCH(W692,'لیست‌ها'!$P$3:$P$53,0))+IF(X692&lt;=6,(X692-1)*31+Y692,IF(X692&lt;=11,186+(X692-7)*30+Y692,336+Y692))-1,""))</f>
        <v/>
      </c>
      <c r="AA692" s="7" t="str">
        <f aca="false">IF(H692="","",VALUE(LEFT(H692,FIND("/",H692)-1)))</f>
        <v/>
      </c>
      <c r="AB692" s="7" t="str">
        <f aca="false">IF(H692="","",VALUE(MID(H692,FIND("/",H692)+1,FIND("/",H692,FIND("/",H692)+1)-FIND("/",H692)-1)))</f>
        <v/>
      </c>
      <c r="AC692" s="7" t="str">
        <f aca="false">IF(H692="","",VALUE(MID(H692,FIND("/",H692,FIND("/",H692)+1)+1,LEN(H692)-FIND("/",H692,FIND("/",H692)+1))))</f>
        <v/>
      </c>
      <c r="AD692" s="7" t="str">
        <f aca="false">IF(OR(H692="",AA692=""),"",IFERROR(INDEX('لیست‌ها'!$Q$3:$Q$53,MATCH(AA692,'لیست‌ها'!$P$3:$P$53,0))+IF(AB692&lt;=6,(AB692-1)*31+AC692,IF(AB692&lt;=11,186+(AB692-7)*30+AC692,336+AC692))-1,""))</f>
        <v/>
      </c>
      <c r="AE692" s="7" t="str">
        <f aca="false">IF(P692="","",VALUE(LEFT(P692,FIND("/",P692)-1)))</f>
        <v/>
      </c>
      <c r="AF692" s="7" t="str">
        <f aca="false">IF(P692="","",VALUE(MID(P692,FIND("/",P692)+1,FIND("/",P692,FIND("/",P692)+1)-FIND("/",P692)-1)))</f>
        <v/>
      </c>
      <c r="AG692" s="7" t="str">
        <f aca="false">IF(P692="","",VALUE(MID(P692,FIND("/",P692,FIND("/",P692)+1)+1,LEN(P692)-FIND("/",P692,FIND("/",P692)+1))))</f>
        <v/>
      </c>
      <c r="AH692" s="7" t="str">
        <f aca="false">IF(OR(P692="",AE692=""),"",IFERROR(INDEX('لیست‌ها'!$Q$3:$Q$53,MATCH(AE692,'لیست‌ها'!$P$3:$P$53,0))+IF(AF692&lt;=6,(AF692-1)*31+AG692,IF(AF692&lt;=11,186+(AF692-7)*30+AG692,336+AG692))-1,""))</f>
        <v/>
      </c>
      <c r="AI692" s="7" t="str">
        <f aca="false">IF(W692="","",W692&amp;"-"&amp;TEXT(X692,"00"))</f>
        <v/>
      </c>
      <c r="AJ692" s="7" t="str">
        <f aca="false">IF(W692="","",W692*12+X692)</f>
        <v/>
      </c>
      <c r="AK692" s="7" t="str">
        <f aca="false">IF(U692="تاخیر",V692+ROW()/100000,"")</f>
        <v/>
      </c>
    </row>
    <row r="693" customFormat="false" ht="15" hidden="false" customHeight="false" outlineLevel="0" collapsed="false">
      <c r="A693" s="7" t="str">
        <f aca="false">IF(B693="","",ROW()-3)</f>
        <v/>
      </c>
      <c r="B693" s="8"/>
      <c r="C693" s="8"/>
      <c r="D693" s="8"/>
      <c r="E693" s="9"/>
      <c r="F693" s="9"/>
      <c r="G693" s="8"/>
      <c r="H693" s="8"/>
      <c r="I693" s="8"/>
      <c r="J693" s="9"/>
      <c r="K693" s="8"/>
      <c r="L693" s="8"/>
      <c r="M693" s="8"/>
      <c r="N693" s="8"/>
      <c r="O693" s="8"/>
      <c r="P693" s="8"/>
      <c r="Q693" s="8"/>
      <c r="R693" s="9"/>
      <c r="S693" s="8"/>
      <c r="T693" s="9"/>
      <c r="U693" s="10" t="str">
        <f aca="true">IF(B693="","",IF(OR(P693&lt;&gt;"",I693="می‌باشد"),"بسته",IF(AND(L693&lt;&gt;"",W693=""),"خطای فرمت تاریخ ایجاد",IF(AND(H693&lt;&gt;"",AA693=""),"خطای فرمت مهلت",IF(AND(H693&lt;&gt;"",AD693&lt;&gt;"",TODAY()&gt;AD693),"تاخیر",IF(L693&lt;&gt;"","در حال انجام",""))))))</f>
        <v/>
      </c>
      <c r="V693" s="7" t="n">
        <f aca="true">IF(U693="تاخیر",TODAY()-AD693,IF(AND(U693="بسته",AH693&lt;&gt;"",AD693&lt;&gt;"",AH693&gt;AD693),AH693-AD693,0))</f>
        <v>0</v>
      </c>
      <c r="W693" s="7" t="str">
        <f aca="false">IF(L693="","",VALUE(LEFT(L693,FIND("/",L693)-1)))</f>
        <v/>
      </c>
      <c r="X693" s="7" t="str">
        <f aca="false">IF(L693="","",VALUE(MID(L693,FIND("/",L693)+1,FIND("/",L693,FIND("/",L693)+1)-FIND("/",L693)-1)))</f>
        <v/>
      </c>
      <c r="Y693" s="7" t="str">
        <f aca="false">IF(L693="","",VALUE(MID(L693,FIND("/",L693,FIND("/",L693)+1)+1,LEN(L693)-FIND("/",L693,FIND("/",L693)+1))))</f>
        <v/>
      </c>
      <c r="Z693" s="7" t="str">
        <f aca="false">IF(OR(L693="",W693=""),"",IFERROR(INDEX('لیست‌ها'!$Q$3:$Q$53,MATCH(W693,'لیست‌ها'!$P$3:$P$53,0))+IF(X693&lt;=6,(X693-1)*31+Y693,IF(X693&lt;=11,186+(X693-7)*30+Y693,336+Y693))-1,""))</f>
        <v/>
      </c>
      <c r="AA693" s="7" t="str">
        <f aca="false">IF(H693="","",VALUE(LEFT(H693,FIND("/",H693)-1)))</f>
        <v/>
      </c>
      <c r="AB693" s="7" t="str">
        <f aca="false">IF(H693="","",VALUE(MID(H693,FIND("/",H693)+1,FIND("/",H693,FIND("/",H693)+1)-FIND("/",H693)-1)))</f>
        <v/>
      </c>
      <c r="AC693" s="7" t="str">
        <f aca="false">IF(H693="","",VALUE(MID(H693,FIND("/",H693,FIND("/",H693)+1)+1,LEN(H693)-FIND("/",H693,FIND("/",H693)+1))))</f>
        <v/>
      </c>
      <c r="AD693" s="7" t="str">
        <f aca="false">IF(OR(H693="",AA693=""),"",IFERROR(INDEX('لیست‌ها'!$Q$3:$Q$53,MATCH(AA693,'لیست‌ها'!$P$3:$P$53,0))+IF(AB693&lt;=6,(AB693-1)*31+AC693,IF(AB693&lt;=11,186+(AB693-7)*30+AC693,336+AC693))-1,""))</f>
        <v/>
      </c>
      <c r="AE693" s="7" t="str">
        <f aca="false">IF(P693="","",VALUE(LEFT(P693,FIND("/",P693)-1)))</f>
        <v/>
      </c>
      <c r="AF693" s="7" t="str">
        <f aca="false">IF(P693="","",VALUE(MID(P693,FIND("/",P693)+1,FIND("/",P693,FIND("/",P693)+1)-FIND("/",P693)-1)))</f>
        <v/>
      </c>
      <c r="AG693" s="7" t="str">
        <f aca="false">IF(P693="","",VALUE(MID(P693,FIND("/",P693,FIND("/",P693)+1)+1,LEN(P693)-FIND("/",P693,FIND("/",P693)+1))))</f>
        <v/>
      </c>
      <c r="AH693" s="7" t="str">
        <f aca="false">IF(OR(P693="",AE693=""),"",IFERROR(INDEX('لیست‌ها'!$Q$3:$Q$53,MATCH(AE693,'لیست‌ها'!$P$3:$P$53,0))+IF(AF693&lt;=6,(AF693-1)*31+AG693,IF(AF693&lt;=11,186+(AF693-7)*30+AG693,336+AG693))-1,""))</f>
        <v/>
      </c>
      <c r="AI693" s="7" t="str">
        <f aca="false">IF(W693="","",W693&amp;"-"&amp;TEXT(X693,"00"))</f>
        <v/>
      </c>
      <c r="AJ693" s="7" t="str">
        <f aca="false">IF(W693="","",W693*12+X693)</f>
        <v/>
      </c>
      <c r="AK693" s="7" t="str">
        <f aca="false">IF(U693="تاخیر",V693+ROW()/100000,"")</f>
        <v/>
      </c>
    </row>
    <row r="694" customFormat="false" ht="15" hidden="false" customHeight="false" outlineLevel="0" collapsed="false">
      <c r="A694" s="7" t="str">
        <f aca="false">IF(B694="","",ROW()-3)</f>
        <v/>
      </c>
      <c r="B694" s="8"/>
      <c r="C694" s="8"/>
      <c r="D694" s="8"/>
      <c r="E694" s="9"/>
      <c r="F694" s="9"/>
      <c r="G694" s="8"/>
      <c r="H694" s="8"/>
      <c r="I694" s="8"/>
      <c r="J694" s="9"/>
      <c r="K694" s="8"/>
      <c r="L694" s="8"/>
      <c r="M694" s="8"/>
      <c r="N694" s="8"/>
      <c r="O694" s="8"/>
      <c r="P694" s="8"/>
      <c r="Q694" s="8"/>
      <c r="R694" s="9"/>
      <c r="S694" s="8"/>
      <c r="T694" s="9"/>
      <c r="U694" s="10" t="str">
        <f aca="true">IF(B694="","",IF(OR(P694&lt;&gt;"",I694="می‌باشد"),"بسته",IF(AND(L694&lt;&gt;"",W694=""),"خطای فرمت تاریخ ایجاد",IF(AND(H694&lt;&gt;"",AA694=""),"خطای فرمت مهلت",IF(AND(H694&lt;&gt;"",AD694&lt;&gt;"",TODAY()&gt;AD694),"تاخیر",IF(L694&lt;&gt;"","در حال انجام",""))))))</f>
        <v/>
      </c>
      <c r="V694" s="7" t="n">
        <f aca="true">IF(U694="تاخیر",TODAY()-AD694,IF(AND(U694="بسته",AH694&lt;&gt;"",AD694&lt;&gt;"",AH694&gt;AD694),AH694-AD694,0))</f>
        <v>0</v>
      </c>
      <c r="W694" s="7" t="str">
        <f aca="false">IF(L694="","",VALUE(LEFT(L694,FIND("/",L694)-1)))</f>
        <v/>
      </c>
      <c r="X694" s="7" t="str">
        <f aca="false">IF(L694="","",VALUE(MID(L694,FIND("/",L694)+1,FIND("/",L694,FIND("/",L694)+1)-FIND("/",L694)-1)))</f>
        <v/>
      </c>
      <c r="Y694" s="7" t="str">
        <f aca="false">IF(L694="","",VALUE(MID(L694,FIND("/",L694,FIND("/",L694)+1)+1,LEN(L694)-FIND("/",L694,FIND("/",L694)+1))))</f>
        <v/>
      </c>
      <c r="Z694" s="7" t="str">
        <f aca="false">IF(OR(L694="",W694=""),"",IFERROR(INDEX('لیست‌ها'!$Q$3:$Q$53,MATCH(W694,'لیست‌ها'!$P$3:$P$53,0))+IF(X694&lt;=6,(X694-1)*31+Y694,IF(X694&lt;=11,186+(X694-7)*30+Y694,336+Y694))-1,""))</f>
        <v/>
      </c>
      <c r="AA694" s="7" t="str">
        <f aca="false">IF(H694="","",VALUE(LEFT(H694,FIND("/",H694)-1)))</f>
        <v/>
      </c>
      <c r="AB694" s="7" t="str">
        <f aca="false">IF(H694="","",VALUE(MID(H694,FIND("/",H694)+1,FIND("/",H694,FIND("/",H694)+1)-FIND("/",H694)-1)))</f>
        <v/>
      </c>
      <c r="AC694" s="7" t="str">
        <f aca="false">IF(H694="","",VALUE(MID(H694,FIND("/",H694,FIND("/",H694)+1)+1,LEN(H694)-FIND("/",H694,FIND("/",H694)+1))))</f>
        <v/>
      </c>
      <c r="AD694" s="7" t="str">
        <f aca="false">IF(OR(H694="",AA694=""),"",IFERROR(INDEX('لیست‌ها'!$Q$3:$Q$53,MATCH(AA694,'لیست‌ها'!$P$3:$P$53,0))+IF(AB694&lt;=6,(AB694-1)*31+AC694,IF(AB694&lt;=11,186+(AB694-7)*30+AC694,336+AC694))-1,""))</f>
        <v/>
      </c>
      <c r="AE694" s="7" t="str">
        <f aca="false">IF(P694="","",VALUE(LEFT(P694,FIND("/",P694)-1)))</f>
        <v/>
      </c>
      <c r="AF694" s="7" t="str">
        <f aca="false">IF(P694="","",VALUE(MID(P694,FIND("/",P694)+1,FIND("/",P694,FIND("/",P694)+1)-FIND("/",P694)-1)))</f>
        <v/>
      </c>
      <c r="AG694" s="7" t="str">
        <f aca="false">IF(P694="","",VALUE(MID(P694,FIND("/",P694,FIND("/",P694)+1)+1,LEN(P694)-FIND("/",P694,FIND("/",P694)+1))))</f>
        <v/>
      </c>
      <c r="AH694" s="7" t="str">
        <f aca="false">IF(OR(P694="",AE694=""),"",IFERROR(INDEX('لیست‌ها'!$Q$3:$Q$53,MATCH(AE694,'لیست‌ها'!$P$3:$P$53,0))+IF(AF694&lt;=6,(AF694-1)*31+AG694,IF(AF694&lt;=11,186+(AF694-7)*30+AG694,336+AG694))-1,""))</f>
        <v/>
      </c>
      <c r="AI694" s="7" t="str">
        <f aca="false">IF(W694="","",W694&amp;"-"&amp;TEXT(X694,"00"))</f>
        <v/>
      </c>
      <c r="AJ694" s="7" t="str">
        <f aca="false">IF(W694="","",W694*12+X694)</f>
        <v/>
      </c>
      <c r="AK694" s="7" t="str">
        <f aca="false">IF(U694="تاخیر",V694+ROW()/100000,"")</f>
        <v/>
      </c>
    </row>
    <row r="695" customFormat="false" ht="15" hidden="false" customHeight="false" outlineLevel="0" collapsed="false">
      <c r="A695" s="7" t="str">
        <f aca="false">IF(B695="","",ROW()-3)</f>
        <v/>
      </c>
      <c r="B695" s="8"/>
      <c r="C695" s="8"/>
      <c r="D695" s="8"/>
      <c r="E695" s="9"/>
      <c r="F695" s="9"/>
      <c r="G695" s="8"/>
      <c r="H695" s="8"/>
      <c r="I695" s="8"/>
      <c r="J695" s="9"/>
      <c r="K695" s="8"/>
      <c r="L695" s="8"/>
      <c r="M695" s="8"/>
      <c r="N695" s="8"/>
      <c r="O695" s="8"/>
      <c r="P695" s="8"/>
      <c r="Q695" s="8"/>
      <c r="R695" s="9"/>
      <c r="S695" s="8"/>
      <c r="T695" s="9"/>
      <c r="U695" s="10" t="str">
        <f aca="true">IF(B695="","",IF(OR(P695&lt;&gt;"",I695="می‌باشد"),"بسته",IF(AND(L695&lt;&gt;"",W695=""),"خطای فرمت تاریخ ایجاد",IF(AND(H695&lt;&gt;"",AA695=""),"خطای فرمت مهلت",IF(AND(H695&lt;&gt;"",AD695&lt;&gt;"",TODAY()&gt;AD695),"تاخیر",IF(L695&lt;&gt;"","در حال انجام",""))))))</f>
        <v/>
      </c>
      <c r="V695" s="7" t="n">
        <f aca="true">IF(U695="تاخیر",TODAY()-AD695,IF(AND(U695="بسته",AH695&lt;&gt;"",AD695&lt;&gt;"",AH695&gt;AD695),AH695-AD695,0))</f>
        <v>0</v>
      </c>
      <c r="W695" s="7" t="str">
        <f aca="false">IF(L695="","",VALUE(LEFT(L695,FIND("/",L695)-1)))</f>
        <v/>
      </c>
      <c r="X695" s="7" t="str">
        <f aca="false">IF(L695="","",VALUE(MID(L695,FIND("/",L695)+1,FIND("/",L695,FIND("/",L695)+1)-FIND("/",L695)-1)))</f>
        <v/>
      </c>
      <c r="Y695" s="7" t="str">
        <f aca="false">IF(L695="","",VALUE(MID(L695,FIND("/",L695,FIND("/",L695)+1)+1,LEN(L695)-FIND("/",L695,FIND("/",L695)+1))))</f>
        <v/>
      </c>
      <c r="Z695" s="7" t="str">
        <f aca="false">IF(OR(L695="",W695=""),"",IFERROR(INDEX('لیست‌ها'!$Q$3:$Q$53,MATCH(W695,'لیست‌ها'!$P$3:$P$53,0))+IF(X695&lt;=6,(X695-1)*31+Y695,IF(X695&lt;=11,186+(X695-7)*30+Y695,336+Y695))-1,""))</f>
        <v/>
      </c>
      <c r="AA695" s="7" t="str">
        <f aca="false">IF(H695="","",VALUE(LEFT(H695,FIND("/",H695)-1)))</f>
        <v/>
      </c>
      <c r="AB695" s="7" t="str">
        <f aca="false">IF(H695="","",VALUE(MID(H695,FIND("/",H695)+1,FIND("/",H695,FIND("/",H695)+1)-FIND("/",H695)-1)))</f>
        <v/>
      </c>
      <c r="AC695" s="7" t="str">
        <f aca="false">IF(H695="","",VALUE(MID(H695,FIND("/",H695,FIND("/",H695)+1)+1,LEN(H695)-FIND("/",H695,FIND("/",H695)+1))))</f>
        <v/>
      </c>
      <c r="AD695" s="7" t="str">
        <f aca="false">IF(OR(H695="",AA695=""),"",IFERROR(INDEX('لیست‌ها'!$Q$3:$Q$53,MATCH(AA695,'لیست‌ها'!$P$3:$P$53,0))+IF(AB695&lt;=6,(AB695-1)*31+AC695,IF(AB695&lt;=11,186+(AB695-7)*30+AC695,336+AC695))-1,""))</f>
        <v/>
      </c>
      <c r="AE695" s="7" t="str">
        <f aca="false">IF(P695="","",VALUE(LEFT(P695,FIND("/",P695)-1)))</f>
        <v/>
      </c>
      <c r="AF695" s="7" t="str">
        <f aca="false">IF(P695="","",VALUE(MID(P695,FIND("/",P695)+1,FIND("/",P695,FIND("/",P695)+1)-FIND("/",P695)-1)))</f>
        <v/>
      </c>
      <c r="AG695" s="7" t="str">
        <f aca="false">IF(P695="","",VALUE(MID(P695,FIND("/",P695,FIND("/",P695)+1)+1,LEN(P695)-FIND("/",P695,FIND("/",P695)+1))))</f>
        <v/>
      </c>
      <c r="AH695" s="7" t="str">
        <f aca="false">IF(OR(P695="",AE695=""),"",IFERROR(INDEX('لیست‌ها'!$Q$3:$Q$53,MATCH(AE695,'لیست‌ها'!$P$3:$P$53,0))+IF(AF695&lt;=6,(AF695-1)*31+AG695,IF(AF695&lt;=11,186+(AF695-7)*30+AG695,336+AG695))-1,""))</f>
        <v/>
      </c>
      <c r="AI695" s="7" t="str">
        <f aca="false">IF(W695="","",W695&amp;"-"&amp;TEXT(X695,"00"))</f>
        <v/>
      </c>
      <c r="AJ695" s="7" t="str">
        <f aca="false">IF(W695="","",W695*12+X695)</f>
        <v/>
      </c>
      <c r="AK695" s="7" t="str">
        <f aca="false">IF(U695="تاخیر",V695+ROW()/100000,"")</f>
        <v/>
      </c>
    </row>
    <row r="696" customFormat="false" ht="15" hidden="false" customHeight="false" outlineLevel="0" collapsed="false">
      <c r="A696" s="7" t="str">
        <f aca="false">IF(B696="","",ROW()-3)</f>
        <v/>
      </c>
      <c r="B696" s="8"/>
      <c r="C696" s="8"/>
      <c r="D696" s="8"/>
      <c r="E696" s="9"/>
      <c r="F696" s="9"/>
      <c r="G696" s="8"/>
      <c r="H696" s="8"/>
      <c r="I696" s="8"/>
      <c r="J696" s="9"/>
      <c r="K696" s="8"/>
      <c r="L696" s="8"/>
      <c r="M696" s="8"/>
      <c r="N696" s="8"/>
      <c r="O696" s="8"/>
      <c r="P696" s="8"/>
      <c r="Q696" s="8"/>
      <c r="R696" s="9"/>
      <c r="S696" s="8"/>
      <c r="T696" s="9"/>
      <c r="U696" s="10" t="str">
        <f aca="true">IF(B696="","",IF(OR(P696&lt;&gt;"",I696="می‌باشد"),"بسته",IF(AND(L696&lt;&gt;"",W696=""),"خطای فرمت تاریخ ایجاد",IF(AND(H696&lt;&gt;"",AA696=""),"خطای فرمت مهلت",IF(AND(H696&lt;&gt;"",AD696&lt;&gt;"",TODAY()&gt;AD696),"تاخیر",IF(L696&lt;&gt;"","در حال انجام",""))))))</f>
        <v/>
      </c>
      <c r="V696" s="7" t="n">
        <f aca="true">IF(U696="تاخیر",TODAY()-AD696,IF(AND(U696="بسته",AH696&lt;&gt;"",AD696&lt;&gt;"",AH696&gt;AD696),AH696-AD696,0))</f>
        <v>0</v>
      </c>
      <c r="W696" s="7" t="str">
        <f aca="false">IF(L696="","",VALUE(LEFT(L696,FIND("/",L696)-1)))</f>
        <v/>
      </c>
      <c r="X696" s="7" t="str">
        <f aca="false">IF(L696="","",VALUE(MID(L696,FIND("/",L696)+1,FIND("/",L696,FIND("/",L696)+1)-FIND("/",L696)-1)))</f>
        <v/>
      </c>
      <c r="Y696" s="7" t="str">
        <f aca="false">IF(L696="","",VALUE(MID(L696,FIND("/",L696,FIND("/",L696)+1)+1,LEN(L696)-FIND("/",L696,FIND("/",L696)+1))))</f>
        <v/>
      </c>
      <c r="Z696" s="7" t="str">
        <f aca="false">IF(OR(L696="",W696=""),"",IFERROR(INDEX('لیست‌ها'!$Q$3:$Q$53,MATCH(W696,'لیست‌ها'!$P$3:$P$53,0))+IF(X696&lt;=6,(X696-1)*31+Y696,IF(X696&lt;=11,186+(X696-7)*30+Y696,336+Y696))-1,""))</f>
        <v/>
      </c>
      <c r="AA696" s="7" t="str">
        <f aca="false">IF(H696="","",VALUE(LEFT(H696,FIND("/",H696)-1)))</f>
        <v/>
      </c>
      <c r="AB696" s="7" t="str">
        <f aca="false">IF(H696="","",VALUE(MID(H696,FIND("/",H696)+1,FIND("/",H696,FIND("/",H696)+1)-FIND("/",H696)-1)))</f>
        <v/>
      </c>
      <c r="AC696" s="7" t="str">
        <f aca="false">IF(H696="","",VALUE(MID(H696,FIND("/",H696,FIND("/",H696)+1)+1,LEN(H696)-FIND("/",H696,FIND("/",H696)+1))))</f>
        <v/>
      </c>
      <c r="AD696" s="7" t="str">
        <f aca="false">IF(OR(H696="",AA696=""),"",IFERROR(INDEX('لیست‌ها'!$Q$3:$Q$53,MATCH(AA696,'لیست‌ها'!$P$3:$P$53,0))+IF(AB696&lt;=6,(AB696-1)*31+AC696,IF(AB696&lt;=11,186+(AB696-7)*30+AC696,336+AC696))-1,""))</f>
        <v/>
      </c>
      <c r="AE696" s="7" t="str">
        <f aca="false">IF(P696="","",VALUE(LEFT(P696,FIND("/",P696)-1)))</f>
        <v/>
      </c>
      <c r="AF696" s="7" t="str">
        <f aca="false">IF(P696="","",VALUE(MID(P696,FIND("/",P696)+1,FIND("/",P696,FIND("/",P696)+1)-FIND("/",P696)-1)))</f>
        <v/>
      </c>
      <c r="AG696" s="7" t="str">
        <f aca="false">IF(P696="","",VALUE(MID(P696,FIND("/",P696,FIND("/",P696)+1)+1,LEN(P696)-FIND("/",P696,FIND("/",P696)+1))))</f>
        <v/>
      </c>
      <c r="AH696" s="7" t="str">
        <f aca="false">IF(OR(P696="",AE696=""),"",IFERROR(INDEX('لیست‌ها'!$Q$3:$Q$53,MATCH(AE696,'لیست‌ها'!$P$3:$P$53,0))+IF(AF696&lt;=6,(AF696-1)*31+AG696,IF(AF696&lt;=11,186+(AF696-7)*30+AG696,336+AG696))-1,""))</f>
        <v/>
      </c>
      <c r="AI696" s="7" t="str">
        <f aca="false">IF(W696="","",W696&amp;"-"&amp;TEXT(X696,"00"))</f>
        <v/>
      </c>
      <c r="AJ696" s="7" t="str">
        <f aca="false">IF(W696="","",W696*12+X696)</f>
        <v/>
      </c>
      <c r="AK696" s="7" t="str">
        <f aca="false">IF(U696="تاخیر",V696+ROW()/100000,"")</f>
        <v/>
      </c>
    </row>
    <row r="697" customFormat="false" ht="15" hidden="false" customHeight="false" outlineLevel="0" collapsed="false">
      <c r="A697" s="7" t="str">
        <f aca="false">IF(B697="","",ROW()-3)</f>
        <v/>
      </c>
      <c r="B697" s="8"/>
      <c r="C697" s="8"/>
      <c r="D697" s="8"/>
      <c r="E697" s="9"/>
      <c r="F697" s="9"/>
      <c r="G697" s="8"/>
      <c r="H697" s="8"/>
      <c r="I697" s="8"/>
      <c r="J697" s="9"/>
      <c r="K697" s="8"/>
      <c r="L697" s="8"/>
      <c r="M697" s="8"/>
      <c r="N697" s="8"/>
      <c r="O697" s="8"/>
      <c r="P697" s="8"/>
      <c r="Q697" s="8"/>
      <c r="R697" s="9"/>
      <c r="S697" s="8"/>
      <c r="T697" s="9"/>
      <c r="U697" s="10" t="str">
        <f aca="true">IF(B697="","",IF(OR(P697&lt;&gt;"",I697="می‌باشد"),"بسته",IF(AND(L697&lt;&gt;"",W697=""),"خطای فرمت تاریخ ایجاد",IF(AND(H697&lt;&gt;"",AA697=""),"خطای فرمت مهلت",IF(AND(H697&lt;&gt;"",AD697&lt;&gt;"",TODAY()&gt;AD697),"تاخیر",IF(L697&lt;&gt;"","در حال انجام",""))))))</f>
        <v/>
      </c>
      <c r="V697" s="7" t="n">
        <f aca="true">IF(U697="تاخیر",TODAY()-AD697,IF(AND(U697="بسته",AH697&lt;&gt;"",AD697&lt;&gt;"",AH697&gt;AD697),AH697-AD697,0))</f>
        <v>0</v>
      </c>
      <c r="W697" s="7" t="str">
        <f aca="false">IF(L697="","",VALUE(LEFT(L697,FIND("/",L697)-1)))</f>
        <v/>
      </c>
      <c r="X697" s="7" t="str">
        <f aca="false">IF(L697="","",VALUE(MID(L697,FIND("/",L697)+1,FIND("/",L697,FIND("/",L697)+1)-FIND("/",L697)-1)))</f>
        <v/>
      </c>
      <c r="Y697" s="7" t="str">
        <f aca="false">IF(L697="","",VALUE(MID(L697,FIND("/",L697,FIND("/",L697)+1)+1,LEN(L697)-FIND("/",L697,FIND("/",L697)+1))))</f>
        <v/>
      </c>
      <c r="Z697" s="7" t="str">
        <f aca="false">IF(OR(L697="",W697=""),"",IFERROR(INDEX('لیست‌ها'!$Q$3:$Q$53,MATCH(W697,'لیست‌ها'!$P$3:$P$53,0))+IF(X697&lt;=6,(X697-1)*31+Y697,IF(X697&lt;=11,186+(X697-7)*30+Y697,336+Y697))-1,""))</f>
        <v/>
      </c>
      <c r="AA697" s="7" t="str">
        <f aca="false">IF(H697="","",VALUE(LEFT(H697,FIND("/",H697)-1)))</f>
        <v/>
      </c>
      <c r="AB697" s="7" t="str">
        <f aca="false">IF(H697="","",VALUE(MID(H697,FIND("/",H697)+1,FIND("/",H697,FIND("/",H697)+1)-FIND("/",H697)-1)))</f>
        <v/>
      </c>
      <c r="AC697" s="7" t="str">
        <f aca="false">IF(H697="","",VALUE(MID(H697,FIND("/",H697,FIND("/",H697)+1)+1,LEN(H697)-FIND("/",H697,FIND("/",H697)+1))))</f>
        <v/>
      </c>
      <c r="AD697" s="7" t="str">
        <f aca="false">IF(OR(H697="",AA697=""),"",IFERROR(INDEX('لیست‌ها'!$Q$3:$Q$53,MATCH(AA697,'لیست‌ها'!$P$3:$P$53,0))+IF(AB697&lt;=6,(AB697-1)*31+AC697,IF(AB697&lt;=11,186+(AB697-7)*30+AC697,336+AC697))-1,""))</f>
        <v/>
      </c>
      <c r="AE697" s="7" t="str">
        <f aca="false">IF(P697="","",VALUE(LEFT(P697,FIND("/",P697)-1)))</f>
        <v/>
      </c>
      <c r="AF697" s="7" t="str">
        <f aca="false">IF(P697="","",VALUE(MID(P697,FIND("/",P697)+1,FIND("/",P697,FIND("/",P697)+1)-FIND("/",P697)-1)))</f>
        <v/>
      </c>
      <c r="AG697" s="7" t="str">
        <f aca="false">IF(P697="","",VALUE(MID(P697,FIND("/",P697,FIND("/",P697)+1)+1,LEN(P697)-FIND("/",P697,FIND("/",P697)+1))))</f>
        <v/>
      </c>
      <c r="AH697" s="7" t="str">
        <f aca="false">IF(OR(P697="",AE697=""),"",IFERROR(INDEX('لیست‌ها'!$Q$3:$Q$53,MATCH(AE697,'لیست‌ها'!$P$3:$P$53,0))+IF(AF697&lt;=6,(AF697-1)*31+AG697,IF(AF697&lt;=11,186+(AF697-7)*30+AG697,336+AG697))-1,""))</f>
        <v/>
      </c>
      <c r="AI697" s="7" t="str">
        <f aca="false">IF(W697="","",W697&amp;"-"&amp;TEXT(X697,"00"))</f>
        <v/>
      </c>
      <c r="AJ697" s="7" t="str">
        <f aca="false">IF(W697="","",W697*12+X697)</f>
        <v/>
      </c>
      <c r="AK697" s="7" t="str">
        <f aca="false">IF(U697="تاخیر",V697+ROW()/100000,"")</f>
        <v/>
      </c>
    </row>
    <row r="698" customFormat="false" ht="15" hidden="false" customHeight="false" outlineLevel="0" collapsed="false">
      <c r="A698" s="7" t="str">
        <f aca="false">IF(B698="","",ROW()-3)</f>
        <v/>
      </c>
      <c r="B698" s="8"/>
      <c r="C698" s="8"/>
      <c r="D698" s="8"/>
      <c r="E698" s="9"/>
      <c r="F698" s="9"/>
      <c r="G698" s="8"/>
      <c r="H698" s="8"/>
      <c r="I698" s="8"/>
      <c r="J698" s="9"/>
      <c r="K698" s="8"/>
      <c r="L698" s="8"/>
      <c r="M698" s="8"/>
      <c r="N698" s="8"/>
      <c r="O698" s="8"/>
      <c r="P698" s="8"/>
      <c r="Q698" s="8"/>
      <c r="R698" s="9"/>
      <c r="S698" s="8"/>
      <c r="T698" s="9"/>
      <c r="U698" s="10" t="str">
        <f aca="true">IF(B698="","",IF(OR(P698&lt;&gt;"",I698="می‌باشد"),"بسته",IF(AND(L698&lt;&gt;"",W698=""),"خطای فرمت تاریخ ایجاد",IF(AND(H698&lt;&gt;"",AA698=""),"خطای فرمت مهلت",IF(AND(H698&lt;&gt;"",AD698&lt;&gt;"",TODAY()&gt;AD698),"تاخیر",IF(L698&lt;&gt;"","در حال انجام",""))))))</f>
        <v/>
      </c>
      <c r="V698" s="7" t="n">
        <f aca="true">IF(U698="تاخیر",TODAY()-AD698,IF(AND(U698="بسته",AH698&lt;&gt;"",AD698&lt;&gt;"",AH698&gt;AD698),AH698-AD698,0))</f>
        <v>0</v>
      </c>
      <c r="W698" s="7" t="str">
        <f aca="false">IF(L698="","",VALUE(LEFT(L698,FIND("/",L698)-1)))</f>
        <v/>
      </c>
      <c r="X698" s="7" t="str">
        <f aca="false">IF(L698="","",VALUE(MID(L698,FIND("/",L698)+1,FIND("/",L698,FIND("/",L698)+1)-FIND("/",L698)-1)))</f>
        <v/>
      </c>
      <c r="Y698" s="7" t="str">
        <f aca="false">IF(L698="","",VALUE(MID(L698,FIND("/",L698,FIND("/",L698)+1)+1,LEN(L698)-FIND("/",L698,FIND("/",L698)+1))))</f>
        <v/>
      </c>
      <c r="Z698" s="7" t="str">
        <f aca="false">IF(OR(L698="",W698=""),"",IFERROR(INDEX('لیست‌ها'!$Q$3:$Q$53,MATCH(W698,'لیست‌ها'!$P$3:$P$53,0))+IF(X698&lt;=6,(X698-1)*31+Y698,IF(X698&lt;=11,186+(X698-7)*30+Y698,336+Y698))-1,""))</f>
        <v/>
      </c>
      <c r="AA698" s="7" t="str">
        <f aca="false">IF(H698="","",VALUE(LEFT(H698,FIND("/",H698)-1)))</f>
        <v/>
      </c>
      <c r="AB698" s="7" t="str">
        <f aca="false">IF(H698="","",VALUE(MID(H698,FIND("/",H698)+1,FIND("/",H698,FIND("/",H698)+1)-FIND("/",H698)-1)))</f>
        <v/>
      </c>
      <c r="AC698" s="7" t="str">
        <f aca="false">IF(H698="","",VALUE(MID(H698,FIND("/",H698,FIND("/",H698)+1)+1,LEN(H698)-FIND("/",H698,FIND("/",H698)+1))))</f>
        <v/>
      </c>
      <c r="AD698" s="7" t="str">
        <f aca="false">IF(OR(H698="",AA698=""),"",IFERROR(INDEX('لیست‌ها'!$Q$3:$Q$53,MATCH(AA698,'لیست‌ها'!$P$3:$P$53,0))+IF(AB698&lt;=6,(AB698-1)*31+AC698,IF(AB698&lt;=11,186+(AB698-7)*30+AC698,336+AC698))-1,""))</f>
        <v/>
      </c>
      <c r="AE698" s="7" t="str">
        <f aca="false">IF(P698="","",VALUE(LEFT(P698,FIND("/",P698)-1)))</f>
        <v/>
      </c>
      <c r="AF698" s="7" t="str">
        <f aca="false">IF(P698="","",VALUE(MID(P698,FIND("/",P698)+1,FIND("/",P698,FIND("/",P698)+1)-FIND("/",P698)-1)))</f>
        <v/>
      </c>
      <c r="AG698" s="7" t="str">
        <f aca="false">IF(P698="","",VALUE(MID(P698,FIND("/",P698,FIND("/",P698)+1)+1,LEN(P698)-FIND("/",P698,FIND("/",P698)+1))))</f>
        <v/>
      </c>
      <c r="AH698" s="7" t="str">
        <f aca="false">IF(OR(P698="",AE698=""),"",IFERROR(INDEX('لیست‌ها'!$Q$3:$Q$53,MATCH(AE698,'لیست‌ها'!$P$3:$P$53,0))+IF(AF698&lt;=6,(AF698-1)*31+AG698,IF(AF698&lt;=11,186+(AF698-7)*30+AG698,336+AG698))-1,""))</f>
        <v/>
      </c>
      <c r="AI698" s="7" t="str">
        <f aca="false">IF(W698="","",W698&amp;"-"&amp;TEXT(X698,"00"))</f>
        <v/>
      </c>
      <c r="AJ698" s="7" t="str">
        <f aca="false">IF(W698="","",W698*12+X698)</f>
        <v/>
      </c>
      <c r="AK698" s="7" t="str">
        <f aca="false">IF(U698="تاخیر",V698+ROW()/100000,"")</f>
        <v/>
      </c>
    </row>
    <row r="699" customFormat="false" ht="15" hidden="false" customHeight="false" outlineLevel="0" collapsed="false">
      <c r="A699" s="7" t="str">
        <f aca="false">IF(B699="","",ROW()-3)</f>
        <v/>
      </c>
      <c r="B699" s="8"/>
      <c r="C699" s="8"/>
      <c r="D699" s="8"/>
      <c r="E699" s="9"/>
      <c r="F699" s="9"/>
      <c r="G699" s="8"/>
      <c r="H699" s="8"/>
      <c r="I699" s="8"/>
      <c r="J699" s="9"/>
      <c r="K699" s="8"/>
      <c r="L699" s="8"/>
      <c r="M699" s="8"/>
      <c r="N699" s="8"/>
      <c r="O699" s="8"/>
      <c r="P699" s="8"/>
      <c r="Q699" s="8"/>
      <c r="R699" s="9"/>
      <c r="S699" s="8"/>
      <c r="T699" s="9"/>
      <c r="U699" s="10" t="str">
        <f aca="true">IF(B699="","",IF(OR(P699&lt;&gt;"",I699="می‌باشد"),"بسته",IF(AND(L699&lt;&gt;"",W699=""),"خطای فرمت تاریخ ایجاد",IF(AND(H699&lt;&gt;"",AA699=""),"خطای فرمت مهلت",IF(AND(H699&lt;&gt;"",AD699&lt;&gt;"",TODAY()&gt;AD699),"تاخیر",IF(L699&lt;&gt;"","در حال انجام",""))))))</f>
        <v/>
      </c>
      <c r="V699" s="7" t="n">
        <f aca="true">IF(U699="تاخیر",TODAY()-AD699,IF(AND(U699="بسته",AH699&lt;&gt;"",AD699&lt;&gt;"",AH699&gt;AD699),AH699-AD699,0))</f>
        <v>0</v>
      </c>
      <c r="W699" s="7" t="str">
        <f aca="false">IF(L699="","",VALUE(LEFT(L699,FIND("/",L699)-1)))</f>
        <v/>
      </c>
      <c r="X699" s="7" t="str">
        <f aca="false">IF(L699="","",VALUE(MID(L699,FIND("/",L699)+1,FIND("/",L699,FIND("/",L699)+1)-FIND("/",L699)-1)))</f>
        <v/>
      </c>
      <c r="Y699" s="7" t="str">
        <f aca="false">IF(L699="","",VALUE(MID(L699,FIND("/",L699,FIND("/",L699)+1)+1,LEN(L699)-FIND("/",L699,FIND("/",L699)+1))))</f>
        <v/>
      </c>
      <c r="Z699" s="7" t="str">
        <f aca="false">IF(OR(L699="",W699=""),"",IFERROR(INDEX('لیست‌ها'!$Q$3:$Q$53,MATCH(W699,'لیست‌ها'!$P$3:$P$53,0))+IF(X699&lt;=6,(X699-1)*31+Y699,IF(X699&lt;=11,186+(X699-7)*30+Y699,336+Y699))-1,""))</f>
        <v/>
      </c>
      <c r="AA699" s="7" t="str">
        <f aca="false">IF(H699="","",VALUE(LEFT(H699,FIND("/",H699)-1)))</f>
        <v/>
      </c>
      <c r="AB699" s="7" t="str">
        <f aca="false">IF(H699="","",VALUE(MID(H699,FIND("/",H699)+1,FIND("/",H699,FIND("/",H699)+1)-FIND("/",H699)-1)))</f>
        <v/>
      </c>
      <c r="AC699" s="7" t="str">
        <f aca="false">IF(H699="","",VALUE(MID(H699,FIND("/",H699,FIND("/",H699)+1)+1,LEN(H699)-FIND("/",H699,FIND("/",H699)+1))))</f>
        <v/>
      </c>
      <c r="AD699" s="7" t="str">
        <f aca="false">IF(OR(H699="",AA699=""),"",IFERROR(INDEX('لیست‌ها'!$Q$3:$Q$53,MATCH(AA699,'لیست‌ها'!$P$3:$P$53,0))+IF(AB699&lt;=6,(AB699-1)*31+AC699,IF(AB699&lt;=11,186+(AB699-7)*30+AC699,336+AC699))-1,""))</f>
        <v/>
      </c>
      <c r="AE699" s="7" t="str">
        <f aca="false">IF(P699="","",VALUE(LEFT(P699,FIND("/",P699)-1)))</f>
        <v/>
      </c>
      <c r="AF699" s="7" t="str">
        <f aca="false">IF(P699="","",VALUE(MID(P699,FIND("/",P699)+1,FIND("/",P699,FIND("/",P699)+1)-FIND("/",P699)-1)))</f>
        <v/>
      </c>
      <c r="AG699" s="7" t="str">
        <f aca="false">IF(P699="","",VALUE(MID(P699,FIND("/",P699,FIND("/",P699)+1)+1,LEN(P699)-FIND("/",P699,FIND("/",P699)+1))))</f>
        <v/>
      </c>
      <c r="AH699" s="7" t="str">
        <f aca="false">IF(OR(P699="",AE699=""),"",IFERROR(INDEX('لیست‌ها'!$Q$3:$Q$53,MATCH(AE699,'لیست‌ها'!$P$3:$P$53,0))+IF(AF699&lt;=6,(AF699-1)*31+AG699,IF(AF699&lt;=11,186+(AF699-7)*30+AG699,336+AG699))-1,""))</f>
        <v/>
      </c>
      <c r="AI699" s="7" t="str">
        <f aca="false">IF(W699="","",W699&amp;"-"&amp;TEXT(X699,"00"))</f>
        <v/>
      </c>
      <c r="AJ699" s="7" t="str">
        <f aca="false">IF(W699="","",W699*12+X699)</f>
        <v/>
      </c>
      <c r="AK699" s="7" t="str">
        <f aca="false">IF(U699="تاخیر",V699+ROW()/100000,"")</f>
        <v/>
      </c>
    </row>
    <row r="700" customFormat="false" ht="15" hidden="false" customHeight="false" outlineLevel="0" collapsed="false">
      <c r="A700" s="7" t="str">
        <f aca="false">IF(B700="","",ROW()-3)</f>
        <v/>
      </c>
      <c r="B700" s="8"/>
      <c r="C700" s="8"/>
      <c r="D700" s="8"/>
      <c r="E700" s="9"/>
      <c r="F700" s="9"/>
      <c r="G700" s="8"/>
      <c r="H700" s="8"/>
      <c r="I700" s="8"/>
      <c r="J700" s="9"/>
      <c r="K700" s="8"/>
      <c r="L700" s="8"/>
      <c r="M700" s="8"/>
      <c r="N700" s="8"/>
      <c r="O700" s="8"/>
      <c r="P700" s="8"/>
      <c r="Q700" s="8"/>
      <c r="R700" s="9"/>
      <c r="S700" s="8"/>
      <c r="T700" s="9"/>
      <c r="U700" s="10" t="str">
        <f aca="true">IF(B700="","",IF(OR(P700&lt;&gt;"",I700="می‌باشد"),"بسته",IF(AND(L700&lt;&gt;"",W700=""),"خطای فرمت تاریخ ایجاد",IF(AND(H700&lt;&gt;"",AA700=""),"خطای فرمت مهلت",IF(AND(H700&lt;&gt;"",AD700&lt;&gt;"",TODAY()&gt;AD700),"تاخیر",IF(L700&lt;&gt;"","در حال انجام",""))))))</f>
        <v/>
      </c>
      <c r="V700" s="7" t="n">
        <f aca="true">IF(U700="تاخیر",TODAY()-AD700,IF(AND(U700="بسته",AH700&lt;&gt;"",AD700&lt;&gt;"",AH700&gt;AD700),AH700-AD700,0))</f>
        <v>0</v>
      </c>
      <c r="W700" s="7" t="str">
        <f aca="false">IF(L700="","",VALUE(LEFT(L700,FIND("/",L700)-1)))</f>
        <v/>
      </c>
      <c r="X700" s="7" t="str">
        <f aca="false">IF(L700="","",VALUE(MID(L700,FIND("/",L700)+1,FIND("/",L700,FIND("/",L700)+1)-FIND("/",L700)-1)))</f>
        <v/>
      </c>
      <c r="Y700" s="7" t="str">
        <f aca="false">IF(L700="","",VALUE(MID(L700,FIND("/",L700,FIND("/",L700)+1)+1,LEN(L700)-FIND("/",L700,FIND("/",L700)+1))))</f>
        <v/>
      </c>
      <c r="Z700" s="7" t="str">
        <f aca="false">IF(OR(L700="",W700=""),"",IFERROR(INDEX('لیست‌ها'!$Q$3:$Q$53,MATCH(W700,'لیست‌ها'!$P$3:$P$53,0))+IF(X700&lt;=6,(X700-1)*31+Y700,IF(X700&lt;=11,186+(X700-7)*30+Y700,336+Y700))-1,""))</f>
        <v/>
      </c>
      <c r="AA700" s="7" t="str">
        <f aca="false">IF(H700="","",VALUE(LEFT(H700,FIND("/",H700)-1)))</f>
        <v/>
      </c>
      <c r="AB700" s="7" t="str">
        <f aca="false">IF(H700="","",VALUE(MID(H700,FIND("/",H700)+1,FIND("/",H700,FIND("/",H700)+1)-FIND("/",H700)-1)))</f>
        <v/>
      </c>
      <c r="AC700" s="7" t="str">
        <f aca="false">IF(H700="","",VALUE(MID(H700,FIND("/",H700,FIND("/",H700)+1)+1,LEN(H700)-FIND("/",H700,FIND("/",H700)+1))))</f>
        <v/>
      </c>
      <c r="AD700" s="7" t="str">
        <f aca="false">IF(OR(H700="",AA700=""),"",IFERROR(INDEX('لیست‌ها'!$Q$3:$Q$53,MATCH(AA700,'لیست‌ها'!$P$3:$P$53,0))+IF(AB700&lt;=6,(AB700-1)*31+AC700,IF(AB700&lt;=11,186+(AB700-7)*30+AC700,336+AC700))-1,""))</f>
        <v/>
      </c>
      <c r="AE700" s="7" t="str">
        <f aca="false">IF(P700="","",VALUE(LEFT(P700,FIND("/",P700)-1)))</f>
        <v/>
      </c>
      <c r="AF700" s="7" t="str">
        <f aca="false">IF(P700="","",VALUE(MID(P700,FIND("/",P700)+1,FIND("/",P700,FIND("/",P700)+1)-FIND("/",P700)-1)))</f>
        <v/>
      </c>
      <c r="AG700" s="7" t="str">
        <f aca="false">IF(P700="","",VALUE(MID(P700,FIND("/",P700,FIND("/",P700)+1)+1,LEN(P700)-FIND("/",P700,FIND("/",P700)+1))))</f>
        <v/>
      </c>
      <c r="AH700" s="7" t="str">
        <f aca="false">IF(OR(P700="",AE700=""),"",IFERROR(INDEX('لیست‌ها'!$Q$3:$Q$53,MATCH(AE700,'لیست‌ها'!$P$3:$P$53,0))+IF(AF700&lt;=6,(AF700-1)*31+AG700,IF(AF700&lt;=11,186+(AF700-7)*30+AG700,336+AG700))-1,""))</f>
        <v/>
      </c>
      <c r="AI700" s="7" t="str">
        <f aca="false">IF(W700="","",W700&amp;"-"&amp;TEXT(X700,"00"))</f>
        <v/>
      </c>
      <c r="AJ700" s="7" t="str">
        <f aca="false">IF(W700="","",W700*12+X700)</f>
        <v/>
      </c>
      <c r="AK700" s="7" t="str">
        <f aca="false">IF(U700="تاخیر",V700+ROW()/100000,"")</f>
        <v/>
      </c>
    </row>
    <row r="701" customFormat="false" ht="15" hidden="false" customHeight="false" outlineLevel="0" collapsed="false">
      <c r="A701" s="7" t="str">
        <f aca="false">IF(B701="","",ROW()-3)</f>
        <v/>
      </c>
      <c r="B701" s="8"/>
      <c r="C701" s="8"/>
      <c r="D701" s="8"/>
      <c r="E701" s="9"/>
      <c r="F701" s="9"/>
      <c r="G701" s="8"/>
      <c r="H701" s="8"/>
      <c r="I701" s="8"/>
      <c r="J701" s="9"/>
      <c r="K701" s="8"/>
      <c r="L701" s="8"/>
      <c r="M701" s="8"/>
      <c r="N701" s="8"/>
      <c r="O701" s="8"/>
      <c r="P701" s="8"/>
      <c r="Q701" s="8"/>
      <c r="R701" s="9"/>
      <c r="S701" s="8"/>
      <c r="T701" s="9"/>
      <c r="U701" s="10" t="str">
        <f aca="true">IF(B701="","",IF(OR(P701&lt;&gt;"",I701="می‌باشد"),"بسته",IF(AND(L701&lt;&gt;"",W701=""),"خطای فرمت تاریخ ایجاد",IF(AND(H701&lt;&gt;"",AA701=""),"خطای فرمت مهلت",IF(AND(H701&lt;&gt;"",AD701&lt;&gt;"",TODAY()&gt;AD701),"تاخیر",IF(L701&lt;&gt;"","در حال انجام",""))))))</f>
        <v/>
      </c>
      <c r="V701" s="7" t="n">
        <f aca="true">IF(U701="تاخیر",TODAY()-AD701,IF(AND(U701="بسته",AH701&lt;&gt;"",AD701&lt;&gt;"",AH701&gt;AD701),AH701-AD701,0))</f>
        <v>0</v>
      </c>
      <c r="W701" s="7" t="str">
        <f aca="false">IF(L701="","",VALUE(LEFT(L701,FIND("/",L701)-1)))</f>
        <v/>
      </c>
      <c r="X701" s="7" t="str">
        <f aca="false">IF(L701="","",VALUE(MID(L701,FIND("/",L701)+1,FIND("/",L701,FIND("/",L701)+1)-FIND("/",L701)-1)))</f>
        <v/>
      </c>
      <c r="Y701" s="7" t="str">
        <f aca="false">IF(L701="","",VALUE(MID(L701,FIND("/",L701,FIND("/",L701)+1)+1,LEN(L701)-FIND("/",L701,FIND("/",L701)+1))))</f>
        <v/>
      </c>
      <c r="Z701" s="7" t="str">
        <f aca="false">IF(OR(L701="",W701=""),"",IFERROR(INDEX('لیست‌ها'!$Q$3:$Q$53,MATCH(W701,'لیست‌ها'!$P$3:$P$53,0))+IF(X701&lt;=6,(X701-1)*31+Y701,IF(X701&lt;=11,186+(X701-7)*30+Y701,336+Y701))-1,""))</f>
        <v/>
      </c>
      <c r="AA701" s="7" t="str">
        <f aca="false">IF(H701="","",VALUE(LEFT(H701,FIND("/",H701)-1)))</f>
        <v/>
      </c>
      <c r="AB701" s="7" t="str">
        <f aca="false">IF(H701="","",VALUE(MID(H701,FIND("/",H701)+1,FIND("/",H701,FIND("/",H701)+1)-FIND("/",H701)-1)))</f>
        <v/>
      </c>
      <c r="AC701" s="7" t="str">
        <f aca="false">IF(H701="","",VALUE(MID(H701,FIND("/",H701,FIND("/",H701)+1)+1,LEN(H701)-FIND("/",H701,FIND("/",H701)+1))))</f>
        <v/>
      </c>
      <c r="AD701" s="7" t="str">
        <f aca="false">IF(OR(H701="",AA701=""),"",IFERROR(INDEX('لیست‌ها'!$Q$3:$Q$53,MATCH(AA701,'لیست‌ها'!$P$3:$P$53,0))+IF(AB701&lt;=6,(AB701-1)*31+AC701,IF(AB701&lt;=11,186+(AB701-7)*30+AC701,336+AC701))-1,""))</f>
        <v/>
      </c>
      <c r="AE701" s="7" t="str">
        <f aca="false">IF(P701="","",VALUE(LEFT(P701,FIND("/",P701)-1)))</f>
        <v/>
      </c>
      <c r="AF701" s="7" t="str">
        <f aca="false">IF(P701="","",VALUE(MID(P701,FIND("/",P701)+1,FIND("/",P701,FIND("/",P701)+1)-FIND("/",P701)-1)))</f>
        <v/>
      </c>
      <c r="AG701" s="7" t="str">
        <f aca="false">IF(P701="","",VALUE(MID(P701,FIND("/",P701,FIND("/",P701)+1)+1,LEN(P701)-FIND("/",P701,FIND("/",P701)+1))))</f>
        <v/>
      </c>
      <c r="AH701" s="7" t="str">
        <f aca="false">IF(OR(P701="",AE701=""),"",IFERROR(INDEX('لیست‌ها'!$Q$3:$Q$53,MATCH(AE701,'لیست‌ها'!$P$3:$P$53,0))+IF(AF701&lt;=6,(AF701-1)*31+AG701,IF(AF701&lt;=11,186+(AF701-7)*30+AG701,336+AG701))-1,""))</f>
        <v/>
      </c>
      <c r="AI701" s="7" t="str">
        <f aca="false">IF(W701="","",W701&amp;"-"&amp;TEXT(X701,"00"))</f>
        <v/>
      </c>
      <c r="AJ701" s="7" t="str">
        <f aca="false">IF(W701="","",W701*12+X701)</f>
        <v/>
      </c>
      <c r="AK701" s="7" t="str">
        <f aca="false">IF(U701="تاخیر",V701+ROW()/100000,"")</f>
        <v/>
      </c>
    </row>
    <row r="702" customFormat="false" ht="15" hidden="false" customHeight="false" outlineLevel="0" collapsed="false">
      <c r="A702" s="7" t="str">
        <f aca="false">IF(B702="","",ROW()-3)</f>
        <v/>
      </c>
      <c r="B702" s="8"/>
      <c r="C702" s="8"/>
      <c r="D702" s="8"/>
      <c r="E702" s="9"/>
      <c r="F702" s="9"/>
      <c r="G702" s="8"/>
      <c r="H702" s="8"/>
      <c r="I702" s="8"/>
      <c r="J702" s="9"/>
      <c r="K702" s="8"/>
      <c r="L702" s="8"/>
      <c r="M702" s="8"/>
      <c r="N702" s="8"/>
      <c r="O702" s="8"/>
      <c r="P702" s="8"/>
      <c r="Q702" s="8"/>
      <c r="R702" s="9"/>
      <c r="S702" s="8"/>
      <c r="T702" s="9"/>
      <c r="U702" s="10" t="str">
        <f aca="true">IF(B702="","",IF(OR(P702&lt;&gt;"",I702="می‌باشد"),"بسته",IF(AND(L702&lt;&gt;"",W702=""),"خطای فرمت تاریخ ایجاد",IF(AND(H702&lt;&gt;"",AA702=""),"خطای فرمت مهلت",IF(AND(H702&lt;&gt;"",AD702&lt;&gt;"",TODAY()&gt;AD702),"تاخیر",IF(L702&lt;&gt;"","در حال انجام",""))))))</f>
        <v/>
      </c>
      <c r="V702" s="7" t="n">
        <f aca="true">IF(U702="تاخیر",TODAY()-AD702,IF(AND(U702="بسته",AH702&lt;&gt;"",AD702&lt;&gt;"",AH702&gt;AD702),AH702-AD702,0))</f>
        <v>0</v>
      </c>
      <c r="W702" s="7" t="str">
        <f aca="false">IF(L702="","",VALUE(LEFT(L702,FIND("/",L702)-1)))</f>
        <v/>
      </c>
      <c r="X702" s="7" t="str">
        <f aca="false">IF(L702="","",VALUE(MID(L702,FIND("/",L702)+1,FIND("/",L702,FIND("/",L702)+1)-FIND("/",L702)-1)))</f>
        <v/>
      </c>
      <c r="Y702" s="7" t="str">
        <f aca="false">IF(L702="","",VALUE(MID(L702,FIND("/",L702,FIND("/",L702)+1)+1,LEN(L702)-FIND("/",L702,FIND("/",L702)+1))))</f>
        <v/>
      </c>
      <c r="Z702" s="7" t="str">
        <f aca="false">IF(OR(L702="",W702=""),"",IFERROR(INDEX('لیست‌ها'!$Q$3:$Q$53,MATCH(W702,'لیست‌ها'!$P$3:$P$53,0))+IF(X702&lt;=6,(X702-1)*31+Y702,IF(X702&lt;=11,186+(X702-7)*30+Y702,336+Y702))-1,""))</f>
        <v/>
      </c>
      <c r="AA702" s="7" t="str">
        <f aca="false">IF(H702="","",VALUE(LEFT(H702,FIND("/",H702)-1)))</f>
        <v/>
      </c>
      <c r="AB702" s="7" t="str">
        <f aca="false">IF(H702="","",VALUE(MID(H702,FIND("/",H702)+1,FIND("/",H702,FIND("/",H702)+1)-FIND("/",H702)-1)))</f>
        <v/>
      </c>
      <c r="AC702" s="7" t="str">
        <f aca="false">IF(H702="","",VALUE(MID(H702,FIND("/",H702,FIND("/",H702)+1)+1,LEN(H702)-FIND("/",H702,FIND("/",H702)+1))))</f>
        <v/>
      </c>
      <c r="AD702" s="7" t="str">
        <f aca="false">IF(OR(H702="",AA702=""),"",IFERROR(INDEX('لیست‌ها'!$Q$3:$Q$53,MATCH(AA702,'لیست‌ها'!$P$3:$P$53,0))+IF(AB702&lt;=6,(AB702-1)*31+AC702,IF(AB702&lt;=11,186+(AB702-7)*30+AC702,336+AC702))-1,""))</f>
        <v/>
      </c>
      <c r="AE702" s="7" t="str">
        <f aca="false">IF(P702="","",VALUE(LEFT(P702,FIND("/",P702)-1)))</f>
        <v/>
      </c>
      <c r="AF702" s="7" t="str">
        <f aca="false">IF(P702="","",VALUE(MID(P702,FIND("/",P702)+1,FIND("/",P702,FIND("/",P702)+1)-FIND("/",P702)-1)))</f>
        <v/>
      </c>
      <c r="AG702" s="7" t="str">
        <f aca="false">IF(P702="","",VALUE(MID(P702,FIND("/",P702,FIND("/",P702)+1)+1,LEN(P702)-FIND("/",P702,FIND("/",P702)+1))))</f>
        <v/>
      </c>
      <c r="AH702" s="7" t="str">
        <f aca="false">IF(OR(P702="",AE702=""),"",IFERROR(INDEX('لیست‌ها'!$Q$3:$Q$53,MATCH(AE702,'لیست‌ها'!$P$3:$P$53,0))+IF(AF702&lt;=6,(AF702-1)*31+AG702,IF(AF702&lt;=11,186+(AF702-7)*30+AG702,336+AG702))-1,""))</f>
        <v/>
      </c>
      <c r="AI702" s="7" t="str">
        <f aca="false">IF(W702="","",W702&amp;"-"&amp;TEXT(X702,"00"))</f>
        <v/>
      </c>
      <c r="AJ702" s="7" t="str">
        <f aca="false">IF(W702="","",W702*12+X702)</f>
        <v/>
      </c>
      <c r="AK702" s="7" t="str">
        <f aca="false">IF(U702="تاخیر",V702+ROW()/100000,"")</f>
        <v/>
      </c>
    </row>
    <row r="703" customFormat="false" ht="15" hidden="false" customHeight="false" outlineLevel="0" collapsed="false">
      <c r="A703" s="7" t="str">
        <f aca="false">IF(B703="","",ROW()-3)</f>
        <v/>
      </c>
      <c r="B703" s="8"/>
      <c r="C703" s="8"/>
      <c r="D703" s="8"/>
      <c r="E703" s="9"/>
      <c r="F703" s="9"/>
      <c r="G703" s="8"/>
      <c r="H703" s="8"/>
      <c r="I703" s="8"/>
      <c r="J703" s="9"/>
      <c r="K703" s="8"/>
      <c r="L703" s="8"/>
      <c r="M703" s="8"/>
      <c r="N703" s="8"/>
      <c r="O703" s="8"/>
      <c r="P703" s="8"/>
      <c r="Q703" s="8"/>
      <c r="R703" s="9"/>
      <c r="S703" s="8"/>
      <c r="T703" s="9"/>
      <c r="U703" s="10" t="str">
        <f aca="true">IF(B703="","",IF(OR(P703&lt;&gt;"",I703="می‌باشد"),"بسته",IF(AND(L703&lt;&gt;"",W703=""),"خطای فرمت تاریخ ایجاد",IF(AND(H703&lt;&gt;"",AA703=""),"خطای فرمت مهلت",IF(AND(H703&lt;&gt;"",AD703&lt;&gt;"",TODAY()&gt;AD703),"تاخیر",IF(L703&lt;&gt;"","در حال انجام",""))))))</f>
        <v/>
      </c>
      <c r="V703" s="7" t="n">
        <f aca="true">IF(U703="تاخیر",TODAY()-AD703,IF(AND(U703="بسته",AH703&lt;&gt;"",AD703&lt;&gt;"",AH703&gt;AD703),AH703-AD703,0))</f>
        <v>0</v>
      </c>
      <c r="W703" s="7" t="str">
        <f aca="false">IF(L703="","",VALUE(LEFT(L703,FIND("/",L703)-1)))</f>
        <v/>
      </c>
      <c r="X703" s="7" t="str">
        <f aca="false">IF(L703="","",VALUE(MID(L703,FIND("/",L703)+1,FIND("/",L703,FIND("/",L703)+1)-FIND("/",L703)-1)))</f>
        <v/>
      </c>
      <c r="Y703" s="7" t="str">
        <f aca="false">IF(L703="","",VALUE(MID(L703,FIND("/",L703,FIND("/",L703)+1)+1,LEN(L703)-FIND("/",L703,FIND("/",L703)+1))))</f>
        <v/>
      </c>
      <c r="Z703" s="7" t="str">
        <f aca="false">IF(OR(L703="",W703=""),"",IFERROR(INDEX('لیست‌ها'!$Q$3:$Q$53,MATCH(W703,'لیست‌ها'!$P$3:$P$53,0))+IF(X703&lt;=6,(X703-1)*31+Y703,IF(X703&lt;=11,186+(X703-7)*30+Y703,336+Y703))-1,""))</f>
        <v/>
      </c>
      <c r="AA703" s="7" t="str">
        <f aca="false">IF(H703="","",VALUE(LEFT(H703,FIND("/",H703)-1)))</f>
        <v/>
      </c>
      <c r="AB703" s="7" t="str">
        <f aca="false">IF(H703="","",VALUE(MID(H703,FIND("/",H703)+1,FIND("/",H703,FIND("/",H703)+1)-FIND("/",H703)-1)))</f>
        <v/>
      </c>
      <c r="AC703" s="7" t="str">
        <f aca="false">IF(H703="","",VALUE(MID(H703,FIND("/",H703,FIND("/",H703)+1)+1,LEN(H703)-FIND("/",H703,FIND("/",H703)+1))))</f>
        <v/>
      </c>
      <c r="AD703" s="7" t="str">
        <f aca="false">IF(OR(H703="",AA703=""),"",IFERROR(INDEX('لیست‌ها'!$Q$3:$Q$53,MATCH(AA703,'لیست‌ها'!$P$3:$P$53,0))+IF(AB703&lt;=6,(AB703-1)*31+AC703,IF(AB703&lt;=11,186+(AB703-7)*30+AC703,336+AC703))-1,""))</f>
        <v/>
      </c>
      <c r="AE703" s="7" t="str">
        <f aca="false">IF(P703="","",VALUE(LEFT(P703,FIND("/",P703)-1)))</f>
        <v/>
      </c>
      <c r="AF703" s="7" t="str">
        <f aca="false">IF(P703="","",VALUE(MID(P703,FIND("/",P703)+1,FIND("/",P703,FIND("/",P703)+1)-FIND("/",P703)-1)))</f>
        <v/>
      </c>
      <c r="AG703" s="7" t="str">
        <f aca="false">IF(P703="","",VALUE(MID(P703,FIND("/",P703,FIND("/",P703)+1)+1,LEN(P703)-FIND("/",P703,FIND("/",P703)+1))))</f>
        <v/>
      </c>
      <c r="AH703" s="7" t="str">
        <f aca="false">IF(OR(P703="",AE703=""),"",IFERROR(INDEX('لیست‌ها'!$Q$3:$Q$53,MATCH(AE703,'لیست‌ها'!$P$3:$P$53,0))+IF(AF703&lt;=6,(AF703-1)*31+AG703,IF(AF703&lt;=11,186+(AF703-7)*30+AG703,336+AG703))-1,""))</f>
        <v/>
      </c>
      <c r="AI703" s="7" t="str">
        <f aca="false">IF(W703="","",W703&amp;"-"&amp;TEXT(X703,"00"))</f>
        <v/>
      </c>
      <c r="AJ703" s="7" t="str">
        <f aca="false">IF(W703="","",W703*12+X703)</f>
        <v/>
      </c>
      <c r="AK703" s="7" t="str">
        <f aca="false">IF(U703="تاخیر",V703+ROW()/100000,"")</f>
        <v/>
      </c>
    </row>
    <row r="704" customFormat="false" ht="15" hidden="false" customHeight="false" outlineLevel="0" collapsed="false">
      <c r="A704" s="7" t="str">
        <f aca="false">IF(B704="","",ROW()-3)</f>
        <v/>
      </c>
      <c r="B704" s="8"/>
      <c r="C704" s="8"/>
      <c r="D704" s="8"/>
      <c r="E704" s="9"/>
      <c r="F704" s="9"/>
      <c r="G704" s="8"/>
      <c r="H704" s="8"/>
      <c r="I704" s="8"/>
      <c r="J704" s="9"/>
      <c r="K704" s="8"/>
      <c r="L704" s="8"/>
      <c r="M704" s="8"/>
      <c r="N704" s="8"/>
      <c r="O704" s="8"/>
      <c r="P704" s="8"/>
      <c r="Q704" s="8"/>
      <c r="R704" s="9"/>
      <c r="S704" s="8"/>
      <c r="T704" s="9"/>
      <c r="U704" s="10" t="str">
        <f aca="true">IF(B704="","",IF(OR(P704&lt;&gt;"",I704="می‌باشد"),"بسته",IF(AND(L704&lt;&gt;"",W704=""),"خطای فرمت تاریخ ایجاد",IF(AND(H704&lt;&gt;"",AA704=""),"خطای فرمت مهلت",IF(AND(H704&lt;&gt;"",AD704&lt;&gt;"",TODAY()&gt;AD704),"تاخیر",IF(L704&lt;&gt;"","در حال انجام",""))))))</f>
        <v/>
      </c>
      <c r="V704" s="7" t="n">
        <f aca="true">IF(U704="تاخیر",TODAY()-AD704,IF(AND(U704="بسته",AH704&lt;&gt;"",AD704&lt;&gt;"",AH704&gt;AD704),AH704-AD704,0))</f>
        <v>0</v>
      </c>
      <c r="W704" s="7" t="str">
        <f aca="false">IF(L704="","",VALUE(LEFT(L704,FIND("/",L704)-1)))</f>
        <v/>
      </c>
      <c r="X704" s="7" t="str">
        <f aca="false">IF(L704="","",VALUE(MID(L704,FIND("/",L704)+1,FIND("/",L704,FIND("/",L704)+1)-FIND("/",L704)-1)))</f>
        <v/>
      </c>
      <c r="Y704" s="7" t="str">
        <f aca="false">IF(L704="","",VALUE(MID(L704,FIND("/",L704,FIND("/",L704)+1)+1,LEN(L704)-FIND("/",L704,FIND("/",L704)+1))))</f>
        <v/>
      </c>
      <c r="Z704" s="7" t="str">
        <f aca="false">IF(OR(L704="",W704=""),"",IFERROR(INDEX('لیست‌ها'!$Q$3:$Q$53,MATCH(W704,'لیست‌ها'!$P$3:$P$53,0))+IF(X704&lt;=6,(X704-1)*31+Y704,IF(X704&lt;=11,186+(X704-7)*30+Y704,336+Y704))-1,""))</f>
        <v/>
      </c>
      <c r="AA704" s="7" t="str">
        <f aca="false">IF(H704="","",VALUE(LEFT(H704,FIND("/",H704)-1)))</f>
        <v/>
      </c>
      <c r="AB704" s="7" t="str">
        <f aca="false">IF(H704="","",VALUE(MID(H704,FIND("/",H704)+1,FIND("/",H704,FIND("/",H704)+1)-FIND("/",H704)-1)))</f>
        <v/>
      </c>
      <c r="AC704" s="7" t="str">
        <f aca="false">IF(H704="","",VALUE(MID(H704,FIND("/",H704,FIND("/",H704)+1)+1,LEN(H704)-FIND("/",H704,FIND("/",H704)+1))))</f>
        <v/>
      </c>
      <c r="AD704" s="7" t="str">
        <f aca="false">IF(OR(H704="",AA704=""),"",IFERROR(INDEX('لیست‌ها'!$Q$3:$Q$53,MATCH(AA704,'لیست‌ها'!$P$3:$P$53,0))+IF(AB704&lt;=6,(AB704-1)*31+AC704,IF(AB704&lt;=11,186+(AB704-7)*30+AC704,336+AC704))-1,""))</f>
        <v/>
      </c>
      <c r="AE704" s="7" t="str">
        <f aca="false">IF(P704="","",VALUE(LEFT(P704,FIND("/",P704)-1)))</f>
        <v/>
      </c>
      <c r="AF704" s="7" t="str">
        <f aca="false">IF(P704="","",VALUE(MID(P704,FIND("/",P704)+1,FIND("/",P704,FIND("/",P704)+1)-FIND("/",P704)-1)))</f>
        <v/>
      </c>
      <c r="AG704" s="7" t="str">
        <f aca="false">IF(P704="","",VALUE(MID(P704,FIND("/",P704,FIND("/",P704)+1)+1,LEN(P704)-FIND("/",P704,FIND("/",P704)+1))))</f>
        <v/>
      </c>
      <c r="AH704" s="7" t="str">
        <f aca="false">IF(OR(P704="",AE704=""),"",IFERROR(INDEX('لیست‌ها'!$Q$3:$Q$53,MATCH(AE704,'لیست‌ها'!$P$3:$P$53,0))+IF(AF704&lt;=6,(AF704-1)*31+AG704,IF(AF704&lt;=11,186+(AF704-7)*30+AG704,336+AG704))-1,""))</f>
        <v/>
      </c>
      <c r="AI704" s="7" t="str">
        <f aca="false">IF(W704="","",W704&amp;"-"&amp;TEXT(X704,"00"))</f>
        <v/>
      </c>
      <c r="AJ704" s="7" t="str">
        <f aca="false">IF(W704="","",W704*12+X704)</f>
        <v/>
      </c>
      <c r="AK704" s="7" t="str">
        <f aca="false">IF(U704="تاخیر",V704+ROW()/100000,"")</f>
        <v/>
      </c>
    </row>
    <row r="705" customFormat="false" ht="15" hidden="false" customHeight="false" outlineLevel="0" collapsed="false">
      <c r="A705" s="7" t="str">
        <f aca="false">IF(B705="","",ROW()-3)</f>
        <v/>
      </c>
      <c r="B705" s="8"/>
      <c r="C705" s="8"/>
      <c r="D705" s="8"/>
      <c r="E705" s="9"/>
      <c r="F705" s="9"/>
      <c r="G705" s="8"/>
      <c r="H705" s="8"/>
      <c r="I705" s="8"/>
      <c r="J705" s="9"/>
      <c r="K705" s="8"/>
      <c r="L705" s="8"/>
      <c r="M705" s="8"/>
      <c r="N705" s="8"/>
      <c r="O705" s="8"/>
      <c r="P705" s="8"/>
      <c r="Q705" s="8"/>
      <c r="R705" s="9"/>
      <c r="S705" s="8"/>
      <c r="T705" s="9"/>
      <c r="U705" s="10" t="str">
        <f aca="true">IF(B705="","",IF(OR(P705&lt;&gt;"",I705="می‌باشد"),"بسته",IF(AND(L705&lt;&gt;"",W705=""),"خطای فرمت تاریخ ایجاد",IF(AND(H705&lt;&gt;"",AA705=""),"خطای فرمت مهلت",IF(AND(H705&lt;&gt;"",AD705&lt;&gt;"",TODAY()&gt;AD705),"تاخیر",IF(L705&lt;&gt;"","در حال انجام",""))))))</f>
        <v/>
      </c>
      <c r="V705" s="7" t="n">
        <f aca="true">IF(U705="تاخیر",TODAY()-AD705,IF(AND(U705="بسته",AH705&lt;&gt;"",AD705&lt;&gt;"",AH705&gt;AD705),AH705-AD705,0))</f>
        <v>0</v>
      </c>
      <c r="W705" s="7" t="str">
        <f aca="false">IF(L705="","",VALUE(LEFT(L705,FIND("/",L705)-1)))</f>
        <v/>
      </c>
      <c r="X705" s="7" t="str">
        <f aca="false">IF(L705="","",VALUE(MID(L705,FIND("/",L705)+1,FIND("/",L705,FIND("/",L705)+1)-FIND("/",L705)-1)))</f>
        <v/>
      </c>
      <c r="Y705" s="7" t="str">
        <f aca="false">IF(L705="","",VALUE(MID(L705,FIND("/",L705,FIND("/",L705)+1)+1,LEN(L705)-FIND("/",L705,FIND("/",L705)+1))))</f>
        <v/>
      </c>
      <c r="Z705" s="7" t="str">
        <f aca="false">IF(OR(L705="",W705=""),"",IFERROR(INDEX('لیست‌ها'!$Q$3:$Q$53,MATCH(W705,'لیست‌ها'!$P$3:$P$53,0))+IF(X705&lt;=6,(X705-1)*31+Y705,IF(X705&lt;=11,186+(X705-7)*30+Y705,336+Y705))-1,""))</f>
        <v/>
      </c>
      <c r="AA705" s="7" t="str">
        <f aca="false">IF(H705="","",VALUE(LEFT(H705,FIND("/",H705)-1)))</f>
        <v/>
      </c>
      <c r="AB705" s="7" t="str">
        <f aca="false">IF(H705="","",VALUE(MID(H705,FIND("/",H705)+1,FIND("/",H705,FIND("/",H705)+1)-FIND("/",H705)-1)))</f>
        <v/>
      </c>
      <c r="AC705" s="7" t="str">
        <f aca="false">IF(H705="","",VALUE(MID(H705,FIND("/",H705,FIND("/",H705)+1)+1,LEN(H705)-FIND("/",H705,FIND("/",H705)+1))))</f>
        <v/>
      </c>
      <c r="AD705" s="7" t="str">
        <f aca="false">IF(OR(H705="",AA705=""),"",IFERROR(INDEX('لیست‌ها'!$Q$3:$Q$53,MATCH(AA705,'لیست‌ها'!$P$3:$P$53,0))+IF(AB705&lt;=6,(AB705-1)*31+AC705,IF(AB705&lt;=11,186+(AB705-7)*30+AC705,336+AC705))-1,""))</f>
        <v/>
      </c>
      <c r="AE705" s="7" t="str">
        <f aca="false">IF(P705="","",VALUE(LEFT(P705,FIND("/",P705)-1)))</f>
        <v/>
      </c>
      <c r="AF705" s="7" t="str">
        <f aca="false">IF(P705="","",VALUE(MID(P705,FIND("/",P705)+1,FIND("/",P705,FIND("/",P705)+1)-FIND("/",P705)-1)))</f>
        <v/>
      </c>
      <c r="AG705" s="7" t="str">
        <f aca="false">IF(P705="","",VALUE(MID(P705,FIND("/",P705,FIND("/",P705)+1)+1,LEN(P705)-FIND("/",P705,FIND("/",P705)+1))))</f>
        <v/>
      </c>
      <c r="AH705" s="7" t="str">
        <f aca="false">IF(OR(P705="",AE705=""),"",IFERROR(INDEX('لیست‌ها'!$Q$3:$Q$53,MATCH(AE705,'لیست‌ها'!$P$3:$P$53,0))+IF(AF705&lt;=6,(AF705-1)*31+AG705,IF(AF705&lt;=11,186+(AF705-7)*30+AG705,336+AG705))-1,""))</f>
        <v/>
      </c>
      <c r="AI705" s="7" t="str">
        <f aca="false">IF(W705="","",W705&amp;"-"&amp;TEXT(X705,"00"))</f>
        <v/>
      </c>
      <c r="AJ705" s="7" t="str">
        <f aca="false">IF(W705="","",W705*12+X705)</f>
        <v/>
      </c>
      <c r="AK705" s="7" t="str">
        <f aca="false">IF(U705="تاخیر",V705+ROW()/100000,"")</f>
        <v/>
      </c>
    </row>
    <row r="706" customFormat="false" ht="15" hidden="false" customHeight="false" outlineLevel="0" collapsed="false">
      <c r="A706" s="7" t="str">
        <f aca="false">IF(B706="","",ROW()-3)</f>
        <v/>
      </c>
      <c r="B706" s="8"/>
      <c r="C706" s="8"/>
      <c r="D706" s="8"/>
      <c r="E706" s="9"/>
      <c r="F706" s="9"/>
      <c r="G706" s="8"/>
      <c r="H706" s="8"/>
      <c r="I706" s="8"/>
      <c r="J706" s="9"/>
      <c r="K706" s="8"/>
      <c r="L706" s="8"/>
      <c r="M706" s="8"/>
      <c r="N706" s="8"/>
      <c r="O706" s="8"/>
      <c r="P706" s="8"/>
      <c r="Q706" s="8"/>
      <c r="R706" s="9"/>
      <c r="S706" s="8"/>
      <c r="T706" s="9"/>
      <c r="U706" s="10" t="str">
        <f aca="true">IF(B706="","",IF(OR(P706&lt;&gt;"",I706="می‌باشد"),"بسته",IF(AND(L706&lt;&gt;"",W706=""),"خطای فرمت تاریخ ایجاد",IF(AND(H706&lt;&gt;"",AA706=""),"خطای فرمت مهلت",IF(AND(H706&lt;&gt;"",AD706&lt;&gt;"",TODAY()&gt;AD706),"تاخیر",IF(L706&lt;&gt;"","در حال انجام",""))))))</f>
        <v/>
      </c>
      <c r="V706" s="7" t="n">
        <f aca="true">IF(U706="تاخیر",TODAY()-AD706,IF(AND(U706="بسته",AH706&lt;&gt;"",AD706&lt;&gt;"",AH706&gt;AD706),AH706-AD706,0))</f>
        <v>0</v>
      </c>
      <c r="W706" s="7" t="str">
        <f aca="false">IF(L706="","",VALUE(LEFT(L706,FIND("/",L706)-1)))</f>
        <v/>
      </c>
      <c r="X706" s="7" t="str">
        <f aca="false">IF(L706="","",VALUE(MID(L706,FIND("/",L706)+1,FIND("/",L706,FIND("/",L706)+1)-FIND("/",L706)-1)))</f>
        <v/>
      </c>
      <c r="Y706" s="7" t="str">
        <f aca="false">IF(L706="","",VALUE(MID(L706,FIND("/",L706,FIND("/",L706)+1)+1,LEN(L706)-FIND("/",L706,FIND("/",L706)+1))))</f>
        <v/>
      </c>
      <c r="Z706" s="7" t="str">
        <f aca="false">IF(OR(L706="",W706=""),"",IFERROR(INDEX('لیست‌ها'!$Q$3:$Q$53,MATCH(W706,'لیست‌ها'!$P$3:$P$53,0))+IF(X706&lt;=6,(X706-1)*31+Y706,IF(X706&lt;=11,186+(X706-7)*30+Y706,336+Y706))-1,""))</f>
        <v/>
      </c>
      <c r="AA706" s="7" t="str">
        <f aca="false">IF(H706="","",VALUE(LEFT(H706,FIND("/",H706)-1)))</f>
        <v/>
      </c>
      <c r="AB706" s="7" t="str">
        <f aca="false">IF(H706="","",VALUE(MID(H706,FIND("/",H706)+1,FIND("/",H706,FIND("/",H706)+1)-FIND("/",H706)-1)))</f>
        <v/>
      </c>
      <c r="AC706" s="7" t="str">
        <f aca="false">IF(H706="","",VALUE(MID(H706,FIND("/",H706,FIND("/",H706)+1)+1,LEN(H706)-FIND("/",H706,FIND("/",H706)+1))))</f>
        <v/>
      </c>
      <c r="AD706" s="7" t="str">
        <f aca="false">IF(OR(H706="",AA706=""),"",IFERROR(INDEX('لیست‌ها'!$Q$3:$Q$53,MATCH(AA706,'لیست‌ها'!$P$3:$P$53,0))+IF(AB706&lt;=6,(AB706-1)*31+AC706,IF(AB706&lt;=11,186+(AB706-7)*30+AC706,336+AC706))-1,""))</f>
        <v/>
      </c>
      <c r="AE706" s="7" t="str">
        <f aca="false">IF(P706="","",VALUE(LEFT(P706,FIND("/",P706)-1)))</f>
        <v/>
      </c>
      <c r="AF706" s="7" t="str">
        <f aca="false">IF(P706="","",VALUE(MID(P706,FIND("/",P706)+1,FIND("/",P706,FIND("/",P706)+1)-FIND("/",P706)-1)))</f>
        <v/>
      </c>
      <c r="AG706" s="7" t="str">
        <f aca="false">IF(P706="","",VALUE(MID(P706,FIND("/",P706,FIND("/",P706)+1)+1,LEN(P706)-FIND("/",P706,FIND("/",P706)+1))))</f>
        <v/>
      </c>
      <c r="AH706" s="7" t="str">
        <f aca="false">IF(OR(P706="",AE706=""),"",IFERROR(INDEX('لیست‌ها'!$Q$3:$Q$53,MATCH(AE706,'لیست‌ها'!$P$3:$P$53,0))+IF(AF706&lt;=6,(AF706-1)*31+AG706,IF(AF706&lt;=11,186+(AF706-7)*30+AG706,336+AG706))-1,""))</f>
        <v/>
      </c>
      <c r="AI706" s="7" t="str">
        <f aca="false">IF(W706="","",W706&amp;"-"&amp;TEXT(X706,"00"))</f>
        <v/>
      </c>
      <c r="AJ706" s="7" t="str">
        <f aca="false">IF(W706="","",W706*12+X706)</f>
        <v/>
      </c>
      <c r="AK706" s="7" t="str">
        <f aca="false">IF(U706="تاخیر",V706+ROW()/100000,"")</f>
        <v/>
      </c>
    </row>
    <row r="707" customFormat="false" ht="15" hidden="false" customHeight="false" outlineLevel="0" collapsed="false">
      <c r="A707" s="7" t="str">
        <f aca="false">IF(B707="","",ROW()-3)</f>
        <v/>
      </c>
      <c r="B707" s="8"/>
      <c r="C707" s="8"/>
      <c r="D707" s="8"/>
      <c r="E707" s="9"/>
      <c r="F707" s="9"/>
      <c r="G707" s="8"/>
      <c r="H707" s="8"/>
      <c r="I707" s="8"/>
      <c r="J707" s="9"/>
      <c r="K707" s="8"/>
      <c r="L707" s="8"/>
      <c r="M707" s="8"/>
      <c r="N707" s="8"/>
      <c r="O707" s="8"/>
      <c r="P707" s="8"/>
      <c r="Q707" s="8"/>
      <c r="R707" s="9"/>
      <c r="S707" s="8"/>
      <c r="T707" s="9"/>
      <c r="U707" s="10" t="str">
        <f aca="true">IF(B707="","",IF(OR(P707&lt;&gt;"",I707="می‌باشد"),"بسته",IF(AND(L707&lt;&gt;"",W707=""),"خطای فرمت تاریخ ایجاد",IF(AND(H707&lt;&gt;"",AA707=""),"خطای فرمت مهلت",IF(AND(H707&lt;&gt;"",AD707&lt;&gt;"",TODAY()&gt;AD707),"تاخیر",IF(L707&lt;&gt;"","در حال انجام",""))))))</f>
        <v/>
      </c>
      <c r="V707" s="7" t="n">
        <f aca="true">IF(U707="تاخیر",TODAY()-AD707,IF(AND(U707="بسته",AH707&lt;&gt;"",AD707&lt;&gt;"",AH707&gt;AD707),AH707-AD707,0))</f>
        <v>0</v>
      </c>
      <c r="W707" s="7" t="str">
        <f aca="false">IF(L707="","",VALUE(LEFT(L707,FIND("/",L707)-1)))</f>
        <v/>
      </c>
      <c r="X707" s="7" t="str">
        <f aca="false">IF(L707="","",VALUE(MID(L707,FIND("/",L707)+1,FIND("/",L707,FIND("/",L707)+1)-FIND("/",L707)-1)))</f>
        <v/>
      </c>
      <c r="Y707" s="7" t="str">
        <f aca="false">IF(L707="","",VALUE(MID(L707,FIND("/",L707,FIND("/",L707)+1)+1,LEN(L707)-FIND("/",L707,FIND("/",L707)+1))))</f>
        <v/>
      </c>
      <c r="Z707" s="7" t="str">
        <f aca="false">IF(OR(L707="",W707=""),"",IFERROR(INDEX('لیست‌ها'!$Q$3:$Q$53,MATCH(W707,'لیست‌ها'!$P$3:$P$53,0))+IF(X707&lt;=6,(X707-1)*31+Y707,IF(X707&lt;=11,186+(X707-7)*30+Y707,336+Y707))-1,""))</f>
        <v/>
      </c>
      <c r="AA707" s="7" t="str">
        <f aca="false">IF(H707="","",VALUE(LEFT(H707,FIND("/",H707)-1)))</f>
        <v/>
      </c>
      <c r="AB707" s="7" t="str">
        <f aca="false">IF(H707="","",VALUE(MID(H707,FIND("/",H707)+1,FIND("/",H707,FIND("/",H707)+1)-FIND("/",H707)-1)))</f>
        <v/>
      </c>
      <c r="AC707" s="7" t="str">
        <f aca="false">IF(H707="","",VALUE(MID(H707,FIND("/",H707,FIND("/",H707)+1)+1,LEN(H707)-FIND("/",H707,FIND("/",H707)+1))))</f>
        <v/>
      </c>
      <c r="AD707" s="7" t="str">
        <f aca="false">IF(OR(H707="",AA707=""),"",IFERROR(INDEX('لیست‌ها'!$Q$3:$Q$53,MATCH(AA707,'لیست‌ها'!$P$3:$P$53,0))+IF(AB707&lt;=6,(AB707-1)*31+AC707,IF(AB707&lt;=11,186+(AB707-7)*30+AC707,336+AC707))-1,""))</f>
        <v/>
      </c>
      <c r="AE707" s="7" t="str">
        <f aca="false">IF(P707="","",VALUE(LEFT(P707,FIND("/",P707)-1)))</f>
        <v/>
      </c>
      <c r="AF707" s="7" t="str">
        <f aca="false">IF(P707="","",VALUE(MID(P707,FIND("/",P707)+1,FIND("/",P707,FIND("/",P707)+1)-FIND("/",P707)-1)))</f>
        <v/>
      </c>
      <c r="AG707" s="7" t="str">
        <f aca="false">IF(P707="","",VALUE(MID(P707,FIND("/",P707,FIND("/",P707)+1)+1,LEN(P707)-FIND("/",P707,FIND("/",P707)+1))))</f>
        <v/>
      </c>
      <c r="AH707" s="7" t="str">
        <f aca="false">IF(OR(P707="",AE707=""),"",IFERROR(INDEX('لیست‌ها'!$Q$3:$Q$53,MATCH(AE707,'لیست‌ها'!$P$3:$P$53,0))+IF(AF707&lt;=6,(AF707-1)*31+AG707,IF(AF707&lt;=11,186+(AF707-7)*30+AG707,336+AG707))-1,""))</f>
        <v/>
      </c>
      <c r="AI707" s="7" t="str">
        <f aca="false">IF(W707="","",W707&amp;"-"&amp;TEXT(X707,"00"))</f>
        <v/>
      </c>
      <c r="AJ707" s="7" t="str">
        <f aca="false">IF(W707="","",W707*12+X707)</f>
        <v/>
      </c>
      <c r="AK707" s="7" t="str">
        <f aca="false">IF(U707="تاخیر",V707+ROW()/100000,"")</f>
        <v/>
      </c>
    </row>
    <row r="708" customFormat="false" ht="15" hidden="false" customHeight="false" outlineLevel="0" collapsed="false">
      <c r="A708" s="7" t="str">
        <f aca="false">IF(B708="","",ROW()-3)</f>
        <v/>
      </c>
      <c r="B708" s="8"/>
      <c r="C708" s="8"/>
      <c r="D708" s="8"/>
      <c r="E708" s="9"/>
      <c r="F708" s="9"/>
      <c r="G708" s="8"/>
      <c r="H708" s="8"/>
      <c r="I708" s="8"/>
      <c r="J708" s="9"/>
      <c r="K708" s="8"/>
      <c r="L708" s="8"/>
      <c r="M708" s="8"/>
      <c r="N708" s="8"/>
      <c r="O708" s="8"/>
      <c r="P708" s="8"/>
      <c r="Q708" s="8"/>
      <c r="R708" s="9"/>
      <c r="S708" s="8"/>
      <c r="T708" s="9"/>
      <c r="U708" s="10" t="str">
        <f aca="true">IF(B708="","",IF(OR(P708&lt;&gt;"",I708="می‌باشد"),"بسته",IF(AND(L708&lt;&gt;"",W708=""),"خطای فرمت تاریخ ایجاد",IF(AND(H708&lt;&gt;"",AA708=""),"خطای فرمت مهلت",IF(AND(H708&lt;&gt;"",AD708&lt;&gt;"",TODAY()&gt;AD708),"تاخیر",IF(L708&lt;&gt;"","در حال انجام",""))))))</f>
        <v/>
      </c>
      <c r="V708" s="7" t="n">
        <f aca="true">IF(U708="تاخیر",TODAY()-AD708,IF(AND(U708="بسته",AH708&lt;&gt;"",AD708&lt;&gt;"",AH708&gt;AD708),AH708-AD708,0))</f>
        <v>0</v>
      </c>
      <c r="W708" s="7" t="str">
        <f aca="false">IF(L708="","",VALUE(LEFT(L708,FIND("/",L708)-1)))</f>
        <v/>
      </c>
      <c r="X708" s="7" t="str">
        <f aca="false">IF(L708="","",VALUE(MID(L708,FIND("/",L708)+1,FIND("/",L708,FIND("/",L708)+1)-FIND("/",L708)-1)))</f>
        <v/>
      </c>
      <c r="Y708" s="7" t="str">
        <f aca="false">IF(L708="","",VALUE(MID(L708,FIND("/",L708,FIND("/",L708)+1)+1,LEN(L708)-FIND("/",L708,FIND("/",L708)+1))))</f>
        <v/>
      </c>
      <c r="Z708" s="7" t="str">
        <f aca="false">IF(OR(L708="",W708=""),"",IFERROR(INDEX('لیست‌ها'!$Q$3:$Q$53,MATCH(W708,'لیست‌ها'!$P$3:$P$53,0))+IF(X708&lt;=6,(X708-1)*31+Y708,IF(X708&lt;=11,186+(X708-7)*30+Y708,336+Y708))-1,""))</f>
        <v/>
      </c>
      <c r="AA708" s="7" t="str">
        <f aca="false">IF(H708="","",VALUE(LEFT(H708,FIND("/",H708)-1)))</f>
        <v/>
      </c>
      <c r="AB708" s="7" t="str">
        <f aca="false">IF(H708="","",VALUE(MID(H708,FIND("/",H708)+1,FIND("/",H708,FIND("/",H708)+1)-FIND("/",H708)-1)))</f>
        <v/>
      </c>
      <c r="AC708" s="7" t="str">
        <f aca="false">IF(H708="","",VALUE(MID(H708,FIND("/",H708,FIND("/",H708)+1)+1,LEN(H708)-FIND("/",H708,FIND("/",H708)+1))))</f>
        <v/>
      </c>
      <c r="AD708" s="7" t="str">
        <f aca="false">IF(OR(H708="",AA708=""),"",IFERROR(INDEX('لیست‌ها'!$Q$3:$Q$53,MATCH(AA708,'لیست‌ها'!$P$3:$P$53,0))+IF(AB708&lt;=6,(AB708-1)*31+AC708,IF(AB708&lt;=11,186+(AB708-7)*30+AC708,336+AC708))-1,""))</f>
        <v/>
      </c>
      <c r="AE708" s="7" t="str">
        <f aca="false">IF(P708="","",VALUE(LEFT(P708,FIND("/",P708)-1)))</f>
        <v/>
      </c>
      <c r="AF708" s="7" t="str">
        <f aca="false">IF(P708="","",VALUE(MID(P708,FIND("/",P708)+1,FIND("/",P708,FIND("/",P708)+1)-FIND("/",P708)-1)))</f>
        <v/>
      </c>
      <c r="AG708" s="7" t="str">
        <f aca="false">IF(P708="","",VALUE(MID(P708,FIND("/",P708,FIND("/",P708)+1)+1,LEN(P708)-FIND("/",P708,FIND("/",P708)+1))))</f>
        <v/>
      </c>
      <c r="AH708" s="7" t="str">
        <f aca="false">IF(OR(P708="",AE708=""),"",IFERROR(INDEX('لیست‌ها'!$Q$3:$Q$53,MATCH(AE708,'لیست‌ها'!$P$3:$P$53,0))+IF(AF708&lt;=6,(AF708-1)*31+AG708,IF(AF708&lt;=11,186+(AF708-7)*30+AG708,336+AG708))-1,""))</f>
        <v/>
      </c>
      <c r="AI708" s="7" t="str">
        <f aca="false">IF(W708="","",W708&amp;"-"&amp;TEXT(X708,"00"))</f>
        <v/>
      </c>
      <c r="AJ708" s="7" t="str">
        <f aca="false">IF(W708="","",W708*12+X708)</f>
        <v/>
      </c>
      <c r="AK708" s="7" t="str">
        <f aca="false">IF(U708="تاخیر",V708+ROW()/100000,"")</f>
        <v/>
      </c>
    </row>
    <row r="709" customFormat="false" ht="15" hidden="false" customHeight="false" outlineLevel="0" collapsed="false">
      <c r="A709" s="7" t="str">
        <f aca="false">IF(B709="","",ROW()-3)</f>
        <v/>
      </c>
      <c r="B709" s="8"/>
      <c r="C709" s="8"/>
      <c r="D709" s="8"/>
      <c r="E709" s="9"/>
      <c r="F709" s="9"/>
      <c r="G709" s="8"/>
      <c r="H709" s="8"/>
      <c r="I709" s="8"/>
      <c r="J709" s="9"/>
      <c r="K709" s="8"/>
      <c r="L709" s="8"/>
      <c r="M709" s="8"/>
      <c r="N709" s="8"/>
      <c r="O709" s="8"/>
      <c r="P709" s="8"/>
      <c r="Q709" s="8"/>
      <c r="R709" s="9"/>
      <c r="S709" s="8"/>
      <c r="T709" s="9"/>
      <c r="U709" s="10" t="str">
        <f aca="true">IF(B709="","",IF(OR(P709&lt;&gt;"",I709="می‌باشد"),"بسته",IF(AND(L709&lt;&gt;"",W709=""),"خطای فرمت تاریخ ایجاد",IF(AND(H709&lt;&gt;"",AA709=""),"خطای فرمت مهلت",IF(AND(H709&lt;&gt;"",AD709&lt;&gt;"",TODAY()&gt;AD709),"تاخیر",IF(L709&lt;&gt;"","در حال انجام",""))))))</f>
        <v/>
      </c>
      <c r="V709" s="7" t="n">
        <f aca="true">IF(U709="تاخیر",TODAY()-AD709,IF(AND(U709="بسته",AH709&lt;&gt;"",AD709&lt;&gt;"",AH709&gt;AD709),AH709-AD709,0))</f>
        <v>0</v>
      </c>
      <c r="W709" s="7" t="str">
        <f aca="false">IF(L709="","",VALUE(LEFT(L709,FIND("/",L709)-1)))</f>
        <v/>
      </c>
      <c r="X709" s="7" t="str">
        <f aca="false">IF(L709="","",VALUE(MID(L709,FIND("/",L709)+1,FIND("/",L709,FIND("/",L709)+1)-FIND("/",L709)-1)))</f>
        <v/>
      </c>
      <c r="Y709" s="7" t="str">
        <f aca="false">IF(L709="","",VALUE(MID(L709,FIND("/",L709,FIND("/",L709)+1)+1,LEN(L709)-FIND("/",L709,FIND("/",L709)+1))))</f>
        <v/>
      </c>
      <c r="Z709" s="7" t="str">
        <f aca="false">IF(OR(L709="",W709=""),"",IFERROR(INDEX('لیست‌ها'!$Q$3:$Q$53,MATCH(W709,'لیست‌ها'!$P$3:$P$53,0))+IF(X709&lt;=6,(X709-1)*31+Y709,IF(X709&lt;=11,186+(X709-7)*30+Y709,336+Y709))-1,""))</f>
        <v/>
      </c>
      <c r="AA709" s="7" t="str">
        <f aca="false">IF(H709="","",VALUE(LEFT(H709,FIND("/",H709)-1)))</f>
        <v/>
      </c>
      <c r="AB709" s="7" t="str">
        <f aca="false">IF(H709="","",VALUE(MID(H709,FIND("/",H709)+1,FIND("/",H709,FIND("/",H709)+1)-FIND("/",H709)-1)))</f>
        <v/>
      </c>
      <c r="AC709" s="7" t="str">
        <f aca="false">IF(H709="","",VALUE(MID(H709,FIND("/",H709,FIND("/",H709)+1)+1,LEN(H709)-FIND("/",H709,FIND("/",H709)+1))))</f>
        <v/>
      </c>
      <c r="AD709" s="7" t="str">
        <f aca="false">IF(OR(H709="",AA709=""),"",IFERROR(INDEX('لیست‌ها'!$Q$3:$Q$53,MATCH(AA709,'لیست‌ها'!$P$3:$P$53,0))+IF(AB709&lt;=6,(AB709-1)*31+AC709,IF(AB709&lt;=11,186+(AB709-7)*30+AC709,336+AC709))-1,""))</f>
        <v/>
      </c>
      <c r="AE709" s="7" t="str">
        <f aca="false">IF(P709="","",VALUE(LEFT(P709,FIND("/",P709)-1)))</f>
        <v/>
      </c>
      <c r="AF709" s="7" t="str">
        <f aca="false">IF(P709="","",VALUE(MID(P709,FIND("/",P709)+1,FIND("/",P709,FIND("/",P709)+1)-FIND("/",P709)-1)))</f>
        <v/>
      </c>
      <c r="AG709" s="7" t="str">
        <f aca="false">IF(P709="","",VALUE(MID(P709,FIND("/",P709,FIND("/",P709)+1)+1,LEN(P709)-FIND("/",P709,FIND("/",P709)+1))))</f>
        <v/>
      </c>
      <c r="AH709" s="7" t="str">
        <f aca="false">IF(OR(P709="",AE709=""),"",IFERROR(INDEX('لیست‌ها'!$Q$3:$Q$53,MATCH(AE709,'لیست‌ها'!$P$3:$P$53,0))+IF(AF709&lt;=6,(AF709-1)*31+AG709,IF(AF709&lt;=11,186+(AF709-7)*30+AG709,336+AG709))-1,""))</f>
        <v/>
      </c>
      <c r="AI709" s="7" t="str">
        <f aca="false">IF(W709="","",W709&amp;"-"&amp;TEXT(X709,"00"))</f>
        <v/>
      </c>
      <c r="AJ709" s="7" t="str">
        <f aca="false">IF(W709="","",W709*12+X709)</f>
        <v/>
      </c>
      <c r="AK709" s="7" t="str">
        <f aca="false">IF(U709="تاخیر",V709+ROW()/100000,"")</f>
        <v/>
      </c>
    </row>
    <row r="710" customFormat="false" ht="15" hidden="false" customHeight="false" outlineLevel="0" collapsed="false">
      <c r="A710" s="7" t="str">
        <f aca="false">IF(B710="","",ROW()-3)</f>
        <v/>
      </c>
      <c r="B710" s="8"/>
      <c r="C710" s="8"/>
      <c r="D710" s="8"/>
      <c r="E710" s="9"/>
      <c r="F710" s="9"/>
      <c r="G710" s="8"/>
      <c r="H710" s="8"/>
      <c r="I710" s="8"/>
      <c r="J710" s="9"/>
      <c r="K710" s="8"/>
      <c r="L710" s="8"/>
      <c r="M710" s="8"/>
      <c r="N710" s="8"/>
      <c r="O710" s="8"/>
      <c r="P710" s="8"/>
      <c r="Q710" s="8"/>
      <c r="R710" s="9"/>
      <c r="S710" s="8"/>
      <c r="T710" s="9"/>
      <c r="U710" s="10" t="str">
        <f aca="true">IF(B710="","",IF(OR(P710&lt;&gt;"",I710="می‌باشد"),"بسته",IF(AND(L710&lt;&gt;"",W710=""),"خطای فرمت تاریخ ایجاد",IF(AND(H710&lt;&gt;"",AA710=""),"خطای فرمت مهلت",IF(AND(H710&lt;&gt;"",AD710&lt;&gt;"",TODAY()&gt;AD710),"تاخیر",IF(L710&lt;&gt;"","در حال انجام",""))))))</f>
        <v/>
      </c>
      <c r="V710" s="7" t="n">
        <f aca="true">IF(U710="تاخیر",TODAY()-AD710,IF(AND(U710="بسته",AH710&lt;&gt;"",AD710&lt;&gt;"",AH710&gt;AD710),AH710-AD710,0))</f>
        <v>0</v>
      </c>
      <c r="W710" s="7" t="str">
        <f aca="false">IF(L710="","",VALUE(LEFT(L710,FIND("/",L710)-1)))</f>
        <v/>
      </c>
      <c r="X710" s="7" t="str">
        <f aca="false">IF(L710="","",VALUE(MID(L710,FIND("/",L710)+1,FIND("/",L710,FIND("/",L710)+1)-FIND("/",L710)-1)))</f>
        <v/>
      </c>
      <c r="Y710" s="7" t="str">
        <f aca="false">IF(L710="","",VALUE(MID(L710,FIND("/",L710,FIND("/",L710)+1)+1,LEN(L710)-FIND("/",L710,FIND("/",L710)+1))))</f>
        <v/>
      </c>
      <c r="Z710" s="7" t="str">
        <f aca="false">IF(OR(L710="",W710=""),"",IFERROR(INDEX('لیست‌ها'!$Q$3:$Q$53,MATCH(W710,'لیست‌ها'!$P$3:$P$53,0))+IF(X710&lt;=6,(X710-1)*31+Y710,IF(X710&lt;=11,186+(X710-7)*30+Y710,336+Y710))-1,""))</f>
        <v/>
      </c>
      <c r="AA710" s="7" t="str">
        <f aca="false">IF(H710="","",VALUE(LEFT(H710,FIND("/",H710)-1)))</f>
        <v/>
      </c>
      <c r="AB710" s="7" t="str">
        <f aca="false">IF(H710="","",VALUE(MID(H710,FIND("/",H710)+1,FIND("/",H710,FIND("/",H710)+1)-FIND("/",H710)-1)))</f>
        <v/>
      </c>
      <c r="AC710" s="7" t="str">
        <f aca="false">IF(H710="","",VALUE(MID(H710,FIND("/",H710,FIND("/",H710)+1)+1,LEN(H710)-FIND("/",H710,FIND("/",H710)+1))))</f>
        <v/>
      </c>
      <c r="AD710" s="7" t="str">
        <f aca="false">IF(OR(H710="",AA710=""),"",IFERROR(INDEX('لیست‌ها'!$Q$3:$Q$53,MATCH(AA710,'لیست‌ها'!$P$3:$P$53,0))+IF(AB710&lt;=6,(AB710-1)*31+AC710,IF(AB710&lt;=11,186+(AB710-7)*30+AC710,336+AC710))-1,""))</f>
        <v/>
      </c>
      <c r="AE710" s="7" t="str">
        <f aca="false">IF(P710="","",VALUE(LEFT(P710,FIND("/",P710)-1)))</f>
        <v/>
      </c>
      <c r="AF710" s="7" t="str">
        <f aca="false">IF(P710="","",VALUE(MID(P710,FIND("/",P710)+1,FIND("/",P710,FIND("/",P710)+1)-FIND("/",P710)-1)))</f>
        <v/>
      </c>
      <c r="AG710" s="7" t="str">
        <f aca="false">IF(P710="","",VALUE(MID(P710,FIND("/",P710,FIND("/",P710)+1)+1,LEN(P710)-FIND("/",P710,FIND("/",P710)+1))))</f>
        <v/>
      </c>
      <c r="AH710" s="7" t="str">
        <f aca="false">IF(OR(P710="",AE710=""),"",IFERROR(INDEX('لیست‌ها'!$Q$3:$Q$53,MATCH(AE710,'لیست‌ها'!$P$3:$P$53,0))+IF(AF710&lt;=6,(AF710-1)*31+AG710,IF(AF710&lt;=11,186+(AF710-7)*30+AG710,336+AG710))-1,""))</f>
        <v/>
      </c>
      <c r="AI710" s="7" t="str">
        <f aca="false">IF(W710="","",W710&amp;"-"&amp;TEXT(X710,"00"))</f>
        <v/>
      </c>
      <c r="AJ710" s="7" t="str">
        <f aca="false">IF(W710="","",W710*12+X710)</f>
        <v/>
      </c>
      <c r="AK710" s="7" t="str">
        <f aca="false">IF(U710="تاخیر",V710+ROW()/100000,"")</f>
        <v/>
      </c>
    </row>
    <row r="711" customFormat="false" ht="15" hidden="false" customHeight="false" outlineLevel="0" collapsed="false">
      <c r="A711" s="7" t="str">
        <f aca="false">IF(B711="","",ROW()-3)</f>
        <v/>
      </c>
      <c r="B711" s="8"/>
      <c r="C711" s="8"/>
      <c r="D711" s="8"/>
      <c r="E711" s="9"/>
      <c r="F711" s="9"/>
      <c r="G711" s="8"/>
      <c r="H711" s="8"/>
      <c r="I711" s="8"/>
      <c r="J711" s="9"/>
      <c r="K711" s="8"/>
      <c r="L711" s="8"/>
      <c r="M711" s="8"/>
      <c r="N711" s="8"/>
      <c r="O711" s="8"/>
      <c r="P711" s="8"/>
      <c r="Q711" s="8"/>
      <c r="R711" s="9"/>
      <c r="S711" s="8"/>
      <c r="T711" s="9"/>
      <c r="U711" s="10" t="str">
        <f aca="true">IF(B711="","",IF(OR(P711&lt;&gt;"",I711="می‌باشد"),"بسته",IF(AND(L711&lt;&gt;"",W711=""),"خطای فرمت تاریخ ایجاد",IF(AND(H711&lt;&gt;"",AA711=""),"خطای فرمت مهلت",IF(AND(H711&lt;&gt;"",AD711&lt;&gt;"",TODAY()&gt;AD711),"تاخیر",IF(L711&lt;&gt;"","در حال انجام",""))))))</f>
        <v/>
      </c>
      <c r="V711" s="7" t="n">
        <f aca="true">IF(U711="تاخیر",TODAY()-AD711,IF(AND(U711="بسته",AH711&lt;&gt;"",AD711&lt;&gt;"",AH711&gt;AD711),AH711-AD711,0))</f>
        <v>0</v>
      </c>
      <c r="W711" s="7" t="str">
        <f aca="false">IF(L711="","",VALUE(LEFT(L711,FIND("/",L711)-1)))</f>
        <v/>
      </c>
      <c r="X711" s="7" t="str">
        <f aca="false">IF(L711="","",VALUE(MID(L711,FIND("/",L711)+1,FIND("/",L711,FIND("/",L711)+1)-FIND("/",L711)-1)))</f>
        <v/>
      </c>
      <c r="Y711" s="7" t="str">
        <f aca="false">IF(L711="","",VALUE(MID(L711,FIND("/",L711,FIND("/",L711)+1)+1,LEN(L711)-FIND("/",L711,FIND("/",L711)+1))))</f>
        <v/>
      </c>
      <c r="Z711" s="7" t="str">
        <f aca="false">IF(OR(L711="",W711=""),"",IFERROR(INDEX('لیست‌ها'!$Q$3:$Q$53,MATCH(W711,'لیست‌ها'!$P$3:$P$53,0))+IF(X711&lt;=6,(X711-1)*31+Y711,IF(X711&lt;=11,186+(X711-7)*30+Y711,336+Y711))-1,""))</f>
        <v/>
      </c>
      <c r="AA711" s="7" t="str">
        <f aca="false">IF(H711="","",VALUE(LEFT(H711,FIND("/",H711)-1)))</f>
        <v/>
      </c>
      <c r="AB711" s="7" t="str">
        <f aca="false">IF(H711="","",VALUE(MID(H711,FIND("/",H711)+1,FIND("/",H711,FIND("/",H711)+1)-FIND("/",H711)-1)))</f>
        <v/>
      </c>
      <c r="AC711" s="7" t="str">
        <f aca="false">IF(H711="","",VALUE(MID(H711,FIND("/",H711,FIND("/",H711)+1)+1,LEN(H711)-FIND("/",H711,FIND("/",H711)+1))))</f>
        <v/>
      </c>
      <c r="AD711" s="7" t="str">
        <f aca="false">IF(OR(H711="",AA711=""),"",IFERROR(INDEX('لیست‌ها'!$Q$3:$Q$53,MATCH(AA711,'لیست‌ها'!$P$3:$P$53,0))+IF(AB711&lt;=6,(AB711-1)*31+AC711,IF(AB711&lt;=11,186+(AB711-7)*30+AC711,336+AC711))-1,""))</f>
        <v/>
      </c>
      <c r="AE711" s="7" t="str">
        <f aca="false">IF(P711="","",VALUE(LEFT(P711,FIND("/",P711)-1)))</f>
        <v/>
      </c>
      <c r="AF711" s="7" t="str">
        <f aca="false">IF(P711="","",VALUE(MID(P711,FIND("/",P711)+1,FIND("/",P711,FIND("/",P711)+1)-FIND("/",P711)-1)))</f>
        <v/>
      </c>
      <c r="AG711" s="7" t="str">
        <f aca="false">IF(P711="","",VALUE(MID(P711,FIND("/",P711,FIND("/",P711)+1)+1,LEN(P711)-FIND("/",P711,FIND("/",P711)+1))))</f>
        <v/>
      </c>
      <c r="AH711" s="7" t="str">
        <f aca="false">IF(OR(P711="",AE711=""),"",IFERROR(INDEX('لیست‌ها'!$Q$3:$Q$53,MATCH(AE711,'لیست‌ها'!$P$3:$P$53,0))+IF(AF711&lt;=6,(AF711-1)*31+AG711,IF(AF711&lt;=11,186+(AF711-7)*30+AG711,336+AG711))-1,""))</f>
        <v/>
      </c>
      <c r="AI711" s="7" t="str">
        <f aca="false">IF(W711="","",W711&amp;"-"&amp;TEXT(X711,"00"))</f>
        <v/>
      </c>
      <c r="AJ711" s="7" t="str">
        <f aca="false">IF(W711="","",W711*12+X711)</f>
        <v/>
      </c>
      <c r="AK711" s="7" t="str">
        <f aca="false">IF(U711="تاخیر",V711+ROW()/100000,"")</f>
        <v/>
      </c>
    </row>
    <row r="712" customFormat="false" ht="15" hidden="false" customHeight="false" outlineLevel="0" collapsed="false">
      <c r="A712" s="7" t="str">
        <f aca="false">IF(B712="","",ROW()-3)</f>
        <v/>
      </c>
      <c r="B712" s="8"/>
      <c r="C712" s="8"/>
      <c r="D712" s="8"/>
      <c r="E712" s="9"/>
      <c r="F712" s="9"/>
      <c r="G712" s="8"/>
      <c r="H712" s="8"/>
      <c r="I712" s="8"/>
      <c r="J712" s="9"/>
      <c r="K712" s="8"/>
      <c r="L712" s="8"/>
      <c r="M712" s="8"/>
      <c r="N712" s="8"/>
      <c r="O712" s="8"/>
      <c r="P712" s="8"/>
      <c r="Q712" s="8"/>
      <c r="R712" s="9"/>
      <c r="S712" s="8"/>
      <c r="T712" s="9"/>
      <c r="U712" s="10" t="str">
        <f aca="true">IF(B712="","",IF(OR(P712&lt;&gt;"",I712="می‌باشد"),"بسته",IF(AND(L712&lt;&gt;"",W712=""),"خطای فرمت تاریخ ایجاد",IF(AND(H712&lt;&gt;"",AA712=""),"خطای فرمت مهلت",IF(AND(H712&lt;&gt;"",AD712&lt;&gt;"",TODAY()&gt;AD712),"تاخیر",IF(L712&lt;&gt;"","در حال انجام",""))))))</f>
        <v/>
      </c>
      <c r="V712" s="7" t="n">
        <f aca="true">IF(U712="تاخیر",TODAY()-AD712,IF(AND(U712="بسته",AH712&lt;&gt;"",AD712&lt;&gt;"",AH712&gt;AD712),AH712-AD712,0))</f>
        <v>0</v>
      </c>
      <c r="W712" s="7" t="str">
        <f aca="false">IF(L712="","",VALUE(LEFT(L712,FIND("/",L712)-1)))</f>
        <v/>
      </c>
      <c r="X712" s="7" t="str">
        <f aca="false">IF(L712="","",VALUE(MID(L712,FIND("/",L712)+1,FIND("/",L712,FIND("/",L712)+1)-FIND("/",L712)-1)))</f>
        <v/>
      </c>
      <c r="Y712" s="7" t="str">
        <f aca="false">IF(L712="","",VALUE(MID(L712,FIND("/",L712,FIND("/",L712)+1)+1,LEN(L712)-FIND("/",L712,FIND("/",L712)+1))))</f>
        <v/>
      </c>
      <c r="Z712" s="7" t="str">
        <f aca="false">IF(OR(L712="",W712=""),"",IFERROR(INDEX('لیست‌ها'!$Q$3:$Q$53,MATCH(W712,'لیست‌ها'!$P$3:$P$53,0))+IF(X712&lt;=6,(X712-1)*31+Y712,IF(X712&lt;=11,186+(X712-7)*30+Y712,336+Y712))-1,""))</f>
        <v/>
      </c>
      <c r="AA712" s="7" t="str">
        <f aca="false">IF(H712="","",VALUE(LEFT(H712,FIND("/",H712)-1)))</f>
        <v/>
      </c>
      <c r="AB712" s="7" t="str">
        <f aca="false">IF(H712="","",VALUE(MID(H712,FIND("/",H712)+1,FIND("/",H712,FIND("/",H712)+1)-FIND("/",H712)-1)))</f>
        <v/>
      </c>
      <c r="AC712" s="7" t="str">
        <f aca="false">IF(H712="","",VALUE(MID(H712,FIND("/",H712,FIND("/",H712)+1)+1,LEN(H712)-FIND("/",H712,FIND("/",H712)+1))))</f>
        <v/>
      </c>
      <c r="AD712" s="7" t="str">
        <f aca="false">IF(OR(H712="",AA712=""),"",IFERROR(INDEX('لیست‌ها'!$Q$3:$Q$53,MATCH(AA712,'لیست‌ها'!$P$3:$P$53,0))+IF(AB712&lt;=6,(AB712-1)*31+AC712,IF(AB712&lt;=11,186+(AB712-7)*30+AC712,336+AC712))-1,""))</f>
        <v/>
      </c>
      <c r="AE712" s="7" t="str">
        <f aca="false">IF(P712="","",VALUE(LEFT(P712,FIND("/",P712)-1)))</f>
        <v/>
      </c>
      <c r="AF712" s="7" t="str">
        <f aca="false">IF(P712="","",VALUE(MID(P712,FIND("/",P712)+1,FIND("/",P712,FIND("/",P712)+1)-FIND("/",P712)-1)))</f>
        <v/>
      </c>
      <c r="AG712" s="7" t="str">
        <f aca="false">IF(P712="","",VALUE(MID(P712,FIND("/",P712,FIND("/",P712)+1)+1,LEN(P712)-FIND("/",P712,FIND("/",P712)+1))))</f>
        <v/>
      </c>
      <c r="AH712" s="7" t="str">
        <f aca="false">IF(OR(P712="",AE712=""),"",IFERROR(INDEX('لیست‌ها'!$Q$3:$Q$53,MATCH(AE712,'لیست‌ها'!$P$3:$P$53,0))+IF(AF712&lt;=6,(AF712-1)*31+AG712,IF(AF712&lt;=11,186+(AF712-7)*30+AG712,336+AG712))-1,""))</f>
        <v/>
      </c>
      <c r="AI712" s="7" t="str">
        <f aca="false">IF(W712="","",W712&amp;"-"&amp;TEXT(X712,"00"))</f>
        <v/>
      </c>
      <c r="AJ712" s="7" t="str">
        <f aca="false">IF(W712="","",W712*12+X712)</f>
        <v/>
      </c>
      <c r="AK712" s="7" t="str">
        <f aca="false">IF(U712="تاخیر",V712+ROW()/100000,"")</f>
        <v/>
      </c>
    </row>
    <row r="713" customFormat="false" ht="15" hidden="false" customHeight="false" outlineLevel="0" collapsed="false">
      <c r="A713" s="7" t="str">
        <f aca="false">IF(B713="","",ROW()-3)</f>
        <v/>
      </c>
      <c r="B713" s="8"/>
      <c r="C713" s="8"/>
      <c r="D713" s="8"/>
      <c r="E713" s="9"/>
      <c r="F713" s="9"/>
      <c r="G713" s="8"/>
      <c r="H713" s="8"/>
      <c r="I713" s="8"/>
      <c r="J713" s="9"/>
      <c r="K713" s="8"/>
      <c r="L713" s="8"/>
      <c r="M713" s="8"/>
      <c r="N713" s="8"/>
      <c r="O713" s="8"/>
      <c r="P713" s="8"/>
      <c r="Q713" s="8"/>
      <c r="R713" s="9"/>
      <c r="S713" s="8"/>
      <c r="T713" s="9"/>
      <c r="U713" s="10" t="str">
        <f aca="true">IF(B713="","",IF(OR(P713&lt;&gt;"",I713="می‌باشد"),"بسته",IF(AND(L713&lt;&gt;"",W713=""),"خطای فرمت تاریخ ایجاد",IF(AND(H713&lt;&gt;"",AA713=""),"خطای فرمت مهلت",IF(AND(H713&lt;&gt;"",AD713&lt;&gt;"",TODAY()&gt;AD713),"تاخیر",IF(L713&lt;&gt;"","در حال انجام",""))))))</f>
        <v/>
      </c>
      <c r="V713" s="7" t="n">
        <f aca="true">IF(U713="تاخیر",TODAY()-AD713,IF(AND(U713="بسته",AH713&lt;&gt;"",AD713&lt;&gt;"",AH713&gt;AD713),AH713-AD713,0))</f>
        <v>0</v>
      </c>
      <c r="W713" s="7" t="str">
        <f aca="false">IF(L713="","",VALUE(LEFT(L713,FIND("/",L713)-1)))</f>
        <v/>
      </c>
      <c r="X713" s="7" t="str">
        <f aca="false">IF(L713="","",VALUE(MID(L713,FIND("/",L713)+1,FIND("/",L713,FIND("/",L713)+1)-FIND("/",L713)-1)))</f>
        <v/>
      </c>
      <c r="Y713" s="7" t="str">
        <f aca="false">IF(L713="","",VALUE(MID(L713,FIND("/",L713,FIND("/",L713)+1)+1,LEN(L713)-FIND("/",L713,FIND("/",L713)+1))))</f>
        <v/>
      </c>
      <c r="Z713" s="7" t="str">
        <f aca="false">IF(OR(L713="",W713=""),"",IFERROR(INDEX('لیست‌ها'!$Q$3:$Q$53,MATCH(W713,'لیست‌ها'!$P$3:$P$53,0))+IF(X713&lt;=6,(X713-1)*31+Y713,IF(X713&lt;=11,186+(X713-7)*30+Y713,336+Y713))-1,""))</f>
        <v/>
      </c>
      <c r="AA713" s="7" t="str">
        <f aca="false">IF(H713="","",VALUE(LEFT(H713,FIND("/",H713)-1)))</f>
        <v/>
      </c>
      <c r="AB713" s="7" t="str">
        <f aca="false">IF(H713="","",VALUE(MID(H713,FIND("/",H713)+1,FIND("/",H713,FIND("/",H713)+1)-FIND("/",H713)-1)))</f>
        <v/>
      </c>
      <c r="AC713" s="7" t="str">
        <f aca="false">IF(H713="","",VALUE(MID(H713,FIND("/",H713,FIND("/",H713)+1)+1,LEN(H713)-FIND("/",H713,FIND("/",H713)+1))))</f>
        <v/>
      </c>
      <c r="AD713" s="7" t="str">
        <f aca="false">IF(OR(H713="",AA713=""),"",IFERROR(INDEX('لیست‌ها'!$Q$3:$Q$53,MATCH(AA713,'لیست‌ها'!$P$3:$P$53,0))+IF(AB713&lt;=6,(AB713-1)*31+AC713,IF(AB713&lt;=11,186+(AB713-7)*30+AC713,336+AC713))-1,""))</f>
        <v/>
      </c>
      <c r="AE713" s="7" t="str">
        <f aca="false">IF(P713="","",VALUE(LEFT(P713,FIND("/",P713)-1)))</f>
        <v/>
      </c>
      <c r="AF713" s="7" t="str">
        <f aca="false">IF(P713="","",VALUE(MID(P713,FIND("/",P713)+1,FIND("/",P713,FIND("/",P713)+1)-FIND("/",P713)-1)))</f>
        <v/>
      </c>
      <c r="AG713" s="7" t="str">
        <f aca="false">IF(P713="","",VALUE(MID(P713,FIND("/",P713,FIND("/",P713)+1)+1,LEN(P713)-FIND("/",P713,FIND("/",P713)+1))))</f>
        <v/>
      </c>
      <c r="AH713" s="7" t="str">
        <f aca="false">IF(OR(P713="",AE713=""),"",IFERROR(INDEX('لیست‌ها'!$Q$3:$Q$53,MATCH(AE713,'لیست‌ها'!$P$3:$P$53,0))+IF(AF713&lt;=6,(AF713-1)*31+AG713,IF(AF713&lt;=11,186+(AF713-7)*30+AG713,336+AG713))-1,""))</f>
        <v/>
      </c>
      <c r="AI713" s="7" t="str">
        <f aca="false">IF(W713="","",W713&amp;"-"&amp;TEXT(X713,"00"))</f>
        <v/>
      </c>
      <c r="AJ713" s="7" t="str">
        <f aca="false">IF(W713="","",W713*12+X713)</f>
        <v/>
      </c>
      <c r="AK713" s="7" t="str">
        <f aca="false">IF(U713="تاخیر",V713+ROW()/100000,"")</f>
        <v/>
      </c>
    </row>
    <row r="714" customFormat="false" ht="15" hidden="false" customHeight="false" outlineLevel="0" collapsed="false">
      <c r="A714" s="7" t="str">
        <f aca="false">IF(B714="","",ROW()-3)</f>
        <v/>
      </c>
      <c r="B714" s="8"/>
      <c r="C714" s="8"/>
      <c r="D714" s="8"/>
      <c r="E714" s="9"/>
      <c r="F714" s="9"/>
      <c r="G714" s="8"/>
      <c r="H714" s="8"/>
      <c r="I714" s="8"/>
      <c r="J714" s="9"/>
      <c r="K714" s="8"/>
      <c r="L714" s="8"/>
      <c r="M714" s="8"/>
      <c r="N714" s="8"/>
      <c r="O714" s="8"/>
      <c r="P714" s="8"/>
      <c r="Q714" s="8"/>
      <c r="R714" s="9"/>
      <c r="S714" s="8"/>
      <c r="T714" s="9"/>
      <c r="U714" s="10" t="str">
        <f aca="true">IF(B714="","",IF(OR(P714&lt;&gt;"",I714="می‌باشد"),"بسته",IF(AND(L714&lt;&gt;"",W714=""),"خطای فرمت تاریخ ایجاد",IF(AND(H714&lt;&gt;"",AA714=""),"خطای فرمت مهلت",IF(AND(H714&lt;&gt;"",AD714&lt;&gt;"",TODAY()&gt;AD714),"تاخیر",IF(L714&lt;&gt;"","در حال انجام",""))))))</f>
        <v/>
      </c>
      <c r="V714" s="7" t="n">
        <f aca="true">IF(U714="تاخیر",TODAY()-AD714,IF(AND(U714="بسته",AH714&lt;&gt;"",AD714&lt;&gt;"",AH714&gt;AD714),AH714-AD714,0))</f>
        <v>0</v>
      </c>
      <c r="W714" s="7" t="str">
        <f aca="false">IF(L714="","",VALUE(LEFT(L714,FIND("/",L714)-1)))</f>
        <v/>
      </c>
      <c r="X714" s="7" t="str">
        <f aca="false">IF(L714="","",VALUE(MID(L714,FIND("/",L714)+1,FIND("/",L714,FIND("/",L714)+1)-FIND("/",L714)-1)))</f>
        <v/>
      </c>
      <c r="Y714" s="7" t="str">
        <f aca="false">IF(L714="","",VALUE(MID(L714,FIND("/",L714,FIND("/",L714)+1)+1,LEN(L714)-FIND("/",L714,FIND("/",L714)+1))))</f>
        <v/>
      </c>
      <c r="Z714" s="7" t="str">
        <f aca="false">IF(OR(L714="",W714=""),"",IFERROR(INDEX('لیست‌ها'!$Q$3:$Q$53,MATCH(W714,'لیست‌ها'!$P$3:$P$53,0))+IF(X714&lt;=6,(X714-1)*31+Y714,IF(X714&lt;=11,186+(X714-7)*30+Y714,336+Y714))-1,""))</f>
        <v/>
      </c>
      <c r="AA714" s="7" t="str">
        <f aca="false">IF(H714="","",VALUE(LEFT(H714,FIND("/",H714)-1)))</f>
        <v/>
      </c>
      <c r="AB714" s="7" t="str">
        <f aca="false">IF(H714="","",VALUE(MID(H714,FIND("/",H714)+1,FIND("/",H714,FIND("/",H714)+1)-FIND("/",H714)-1)))</f>
        <v/>
      </c>
      <c r="AC714" s="7" t="str">
        <f aca="false">IF(H714="","",VALUE(MID(H714,FIND("/",H714,FIND("/",H714)+1)+1,LEN(H714)-FIND("/",H714,FIND("/",H714)+1))))</f>
        <v/>
      </c>
      <c r="AD714" s="7" t="str">
        <f aca="false">IF(OR(H714="",AA714=""),"",IFERROR(INDEX('لیست‌ها'!$Q$3:$Q$53,MATCH(AA714,'لیست‌ها'!$P$3:$P$53,0))+IF(AB714&lt;=6,(AB714-1)*31+AC714,IF(AB714&lt;=11,186+(AB714-7)*30+AC714,336+AC714))-1,""))</f>
        <v/>
      </c>
      <c r="AE714" s="7" t="str">
        <f aca="false">IF(P714="","",VALUE(LEFT(P714,FIND("/",P714)-1)))</f>
        <v/>
      </c>
      <c r="AF714" s="7" t="str">
        <f aca="false">IF(P714="","",VALUE(MID(P714,FIND("/",P714)+1,FIND("/",P714,FIND("/",P714)+1)-FIND("/",P714)-1)))</f>
        <v/>
      </c>
      <c r="AG714" s="7" t="str">
        <f aca="false">IF(P714="","",VALUE(MID(P714,FIND("/",P714,FIND("/",P714)+1)+1,LEN(P714)-FIND("/",P714,FIND("/",P714)+1))))</f>
        <v/>
      </c>
      <c r="AH714" s="7" t="str">
        <f aca="false">IF(OR(P714="",AE714=""),"",IFERROR(INDEX('لیست‌ها'!$Q$3:$Q$53,MATCH(AE714,'لیست‌ها'!$P$3:$P$53,0))+IF(AF714&lt;=6,(AF714-1)*31+AG714,IF(AF714&lt;=11,186+(AF714-7)*30+AG714,336+AG714))-1,""))</f>
        <v/>
      </c>
      <c r="AI714" s="7" t="str">
        <f aca="false">IF(W714="","",W714&amp;"-"&amp;TEXT(X714,"00"))</f>
        <v/>
      </c>
      <c r="AJ714" s="7" t="str">
        <f aca="false">IF(W714="","",W714*12+X714)</f>
        <v/>
      </c>
      <c r="AK714" s="7" t="str">
        <f aca="false">IF(U714="تاخیر",V714+ROW()/100000,"")</f>
        <v/>
      </c>
    </row>
    <row r="715" customFormat="false" ht="15" hidden="false" customHeight="false" outlineLevel="0" collapsed="false">
      <c r="A715" s="7" t="str">
        <f aca="false">IF(B715="","",ROW()-3)</f>
        <v/>
      </c>
      <c r="B715" s="8"/>
      <c r="C715" s="8"/>
      <c r="D715" s="8"/>
      <c r="E715" s="9"/>
      <c r="F715" s="9"/>
      <c r="G715" s="8"/>
      <c r="H715" s="8"/>
      <c r="I715" s="8"/>
      <c r="J715" s="9"/>
      <c r="K715" s="8"/>
      <c r="L715" s="8"/>
      <c r="M715" s="8"/>
      <c r="N715" s="8"/>
      <c r="O715" s="8"/>
      <c r="P715" s="8"/>
      <c r="Q715" s="8"/>
      <c r="R715" s="9"/>
      <c r="S715" s="8"/>
      <c r="T715" s="9"/>
      <c r="U715" s="10" t="str">
        <f aca="true">IF(B715="","",IF(OR(P715&lt;&gt;"",I715="می‌باشد"),"بسته",IF(AND(L715&lt;&gt;"",W715=""),"خطای فرمت تاریخ ایجاد",IF(AND(H715&lt;&gt;"",AA715=""),"خطای فرمت مهلت",IF(AND(H715&lt;&gt;"",AD715&lt;&gt;"",TODAY()&gt;AD715),"تاخیر",IF(L715&lt;&gt;"","در حال انجام",""))))))</f>
        <v/>
      </c>
      <c r="V715" s="7" t="n">
        <f aca="true">IF(U715="تاخیر",TODAY()-AD715,IF(AND(U715="بسته",AH715&lt;&gt;"",AD715&lt;&gt;"",AH715&gt;AD715),AH715-AD715,0))</f>
        <v>0</v>
      </c>
      <c r="W715" s="7" t="str">
        <f aca="false">IF(L715="","",VALUE(LEFT(L715,FIND("/",L715)-1)))</f>
        <v/>
      </c>
      <c r="X715" s="7" t="str">
        <f aca="false">IF(L715="","",VALUE(MID(L715,FIND("/",L715)+1,FIND("/",L715,FIND("/",L715)+1)-FIND("/",L715)-1)))</f>
        <v/>
      </c>
      <c r="Y715" s="7" t="str">
        <f aca="false">IF(L715="","",VALUE(MID(L715,FIND("/",L715,FIND("/",L715)+1)+1,LEN(L715)-FIND("/",L715,FIND("/",L715)+1))))</f>
        <v/>
      </c>
      <c r="Z715" s="7" t="str">
        <f aca="false">IF(OR(L715="",W715=""),"",IFERROR(INDEX('لیست‌ها'!$Q$3:$Q$53,MATCH(W715,'لیست‌ها'!$P$3:$P$53,0))+IF(X715&lt;=6,(X715-1)*31+Y715,IF(X715&lt;=11,186+(X715-7)*30+Y715,336+Y715))-1,""))</f>
        <v/>
      </c>
      <c r="AA715" s="7" t="str">
        <f aca="false">IF(H715="","",VALUE(LEFT(H715,FIND("/",H715)-1)))</f>
        <v/>
      </c>
      <c r="AB715" s="7" t="str">
        <f aca="false">IF(H715="","",VALUE(MID(H715,FIND("/",H715)+1,FIND("/",H715,FIND("/",H715)+1)-FIND("/",H715)-1)))</f>
        <v/>
      </c>
      <c r="AC715" s="7" t="str">
        <f aca="false">IF(H715="","",VALUE(MID(H715,FIND("/",H715,FIND("/",H715)+1)+1,LEN(H715)-FIND("/",H715,FIND("/",H715)+1))))</f>
        <v/>
      </c>
      <c r="AD715" s="7" t="str">
        <f aca="false">IF(OR(H715="",AA715=""),"",IFERROR(INDEX('لیست‌ها'!$Q$3:$Q$53,MATCH(AA715,'لیست‌ها'!$P$3:$P$53,0))+IF(AB715&lt;=6,(AB715-1)*31+AC715,IF(AB715&lt;=11,186+(AB715-7)*30+AC715,336+AC715))-1,""))</f>
        <v/>
      </c>
      <c r="AE715" s="7" t="str">
        <f aca="false">IF(P715="","",VALUE(LEFT(P715,FIND("/",P715)-1)))</f>
        <v/>
      </c>
      <c r="AF715" s="7" t="str">
        <f aca="false">IF(P715="","",VALUE(MID(P715,FIND("/",P715)+1,FIND("/",P715,FIND("/",P715)+1)-FIND("/",P715)-1)))</f>
        <v/>
      </c>
      <c r="AG715" s="7" t="str">
        <f aca="false">IF(P715="","",VALUE(MID(P715,FIND("/",P715,FIND("/",P715)+1)+1,LEN(P715)-FIND("/",P715,FIND("/",P715)+1))))</f>
        <v/>
      </c>
      <c r="AH715" s="7" t="str">
        <f aca="false">IF(OR(P715="",AE715=""),"",IFERROR(INDEX('لیست‌ها'!$Q$3:$Q$53,MATCH(AE715,'لیست‌ها'!$P$3:$P$53,0))+IF(AF715&lt;=6,(AF715-1)*31+AG715,IF(AF715&lt;=11,186+(AF715-7)*30+AG715,336+AG715))-1,""))</f>
        <v/>
      </c>
      <c r="AI715" s="7" t="str">
        <f aca="false">IF(W715="","",W715&amp;"-"&amp;TEXT(X715,"00"))</f>
        <v/>
      </c>
      <c r="AJ715" s="7" t="str">
        <f aca="false">IF(W715="","",W715*12+X715)</f>
        <v/>
      </c>
      <c r="AK715" s="7" t="str">
        <f aca="false">IF(U715="تاخیر",V715+ROW()/100000,"")</f>
        <v/>
      </c>
    </row>
    <row r="716" customFormat="false" ht="15" hidden="false" customHeight="false" outlineLevel="0" collapsed="false">
      <c r="A716" s="7" t="str">
        <f aca="false">IF(B716="","",ROW()-3)</f>
        <v/>
      </c>
      <c r="B716" s="8"/>
      <c r="C716" s="8"/>
      <c r="D716" s="8"/>
      <c r="E716" s="9"/>
      <c r="F716" s="9"/>
      <c r="G716" s="8"/>
      <c r="H716" s="8"/>
      <c r="I716" s="8"/>
      <c r="J716" s="9"/>
      <c r="K716" s="8"/>
      <c r="L716" s="8"/>
      <c r="M716" s="8"/>
      <c r="N716" s="8"/>
      <c r="O716" s="8"/>
      <c r="P716" s="8"/>
      <c r="Q716" s="8"/>
      <c r="R716" s="9"/>
      <c r="S716" s="8"/>
      <c r="T716" s="9"/>
      <c r="U716" s="10" t="str">
        <f aca="true">IF(B716="","",IF(OR(P716&lt;&gt;"",I716="می‌باشد"),"بسته",IF(AND(L716&lt;&gt;"",W716=""),"خطای فرمت تاریخ ایجاد",IF(AND(H716&lt;&gt;"",AA716=""),"خطای فرمت مهلت",IF(AND(H716&lt;&gt;"",AD716&lt;&gt;"",TODAY()&gt;AD716),"تاخیر",IF(L716&lt;&gt;"","در حال انجام",""))))))</f>
        <v/>
      </c>
      <c r="V716" s="7" t="n">
        <f aca="true">IF(U716="تاخیر",TODAY()-AD716,IF(AND(U716="بسته",AH716&lt;&gt;"",AD716&lt;&gt;"",AH716&gt;AD716),AH716-AD716,0))</f>
        <v>0</v>
      </c>
      <c r="W716" s="7" t="str">
        <f aca="false">IF(L716="","",VALUE(LEFT(L716,FIND("/",L716)-1)))</f>
        <v/>
      </c>
      <c r="X716" s="7" t="str">
        <f aca="false">IF(L716="","",VALUE(MID(L716,FIND("/",L716)+1,FIND("/",L716,FIND("/",L716)+1)-FIND("/",L716)-1)))</f>
        <v/>
      </c>
      <c r="Y716" s="7" t="str">
        <f aca="false">IF(L716="","",VALUE(MID(L716,FIND("/",L716,FIND("/",L716)+1)+1,LEN(L716)-FIND("/",L716,FIND("/",L716)+1))))</f>
        <v/>
      </c>
      <c r="Z716" s="7" t="str">
        <f aca="false">IF(OR(L716="",W716=""),"",IFERROR(INDEX('لیست‌ها'!$Q$3:$Q$53,MATCH(W716,'لیست‌ها'!$P$3:$P$53,0))+IF(X716&lt;=6,(X716-1)*31+Y716,IF(X716&lt;=11,186+(X716-7)*30+Y716,336+Y716))-1,""))</f>
        <v/>
      </c>
      <c r="AA716" s="7" t="str">
        <f aca="false">IF(H716="","",VALUE(LEFT(H716,FIND("/",H716)-1)))</f>
        <v/>
      </c>
      <c r="AB716" s="7" t="str">
        <f aca="false">IF(H716="","",VALUE(MID(H716,FIND("/",H716)+1,FIND("/",H716,FIND("/",H716)+1)-FIND("/",H716)-1)))</f>
        <v/>
      </c>
      <c r="AC716" s="7" t="str">
        <f aca="false">IF(H716="","",VALUE(MID(H716,FIND("/",H716,FIND("/",H716)+1)+1,LEN(H716)-FIND("/",H716,FIND("/",H716)+1))))</f>
        <v/>
      </c>
      <c r="AD716" s="7" t="str">
        <f aca="false">IF(OR(H716="",AA716=""),"",IFERROR(INDEX('لیست‌ها'!$Q$3:$Q$53,MATCH(AA716,'لیست‌ها'!$P$3:$P$53,0))+IF(AB716&lt;=6,(AB716-1)*31+AC716,IF(AB716&lt;=11,186+(AB716-7)*30+AC716,336+AC716))-1,""))</f>
        <v/>
      </c>
      <c r="AE716" s="7" t="str">
        <f aca="false">IF(P716="","",VALUE(LEFT(P716,FIND("/",P716)-1)))</f>
        <v/>
      </c>
      <c r="AF716" s="7" t="str">
        <f aca="false">IF(P716="","",VALUE(MID(P716,FIND("/",P716)+1,FIND("/",P716,FIND("/",P716)+1)-FIND("/",P716)-1)))</f>
        <v/>
      </c>
      <c r="AG716" s="7" t="str">
        <f aca="false">IF(P716="","",VALUE(MID(P716,FIND("/",P716,FIND("/",P716)+1)+1,LEN(P716)-FIND("/",P716,FIND("/",P716)+1))))</f>
        <v/>
      </c>
      <c r="AH716" s="7" t="str">
        <f aca="false">IF(OR(P716="",AE716=""),"",IFERROR(INDEX('لیست‌ها'!$Q$3:$Q$53,MATCH(AE716,'لیست‌ها'!$P$3:$P$53,0))+IF(AF716&lt;=6,(AF716-1)*31+AG716,IF(AF716&lt;=11,186+(AF716-7)*30+AG716,336+AG716))-1,""))</f>
        <v/>
      </c>
      <c r="AI716" s="7" t="str">
        <f aca="false">IF(W716="","",W716&amp;"-"&amp;TEXT(X716,"00"))</f>
        <v/>
      </c>
      <c r="AJ716" s="7" t="str">
        <f aca="false">IF(W716="","",W716*12+X716)</f>
        <v/>
      </c>
      <c r="AK716" s="7" t="str">
        <f aca="false">IF(U716="تاخیر",V716+ROW()/100000,"")</f>
        <v/>
      </c>
    </row>
    <row r="717" customFormat="false" ht="15" hidden="false" customHeight="false" outlineLevel="0" collapsed="false">
      <c r="A717" s="7" t="str">
        <f aca="false">IF(B717="","",ROW()-3)</f>
        <v/>
      </c>
      <c r="B717" s="8"/>
      <c r="C717" s="8"/>
      <c r="D717" s="8"/>
      <c r="E717" s="9"/>
      <c r="F717" s="9"/>
      <c r="G717" s="8"/>
      <c r="H717" s="8"/>
      <c r="I717" s="8"/>
      <c r="J717" s="9"/>
      <c r="K717" s="8"/>
      <c r="L717" s="8"/>
      <c r="M717" s="8"/>
      <c r="N717" s="8"/>
      <c r="O717" s="8"/>
      <c r="P717" s="8"/>
      <c r="Q717" s="8"/>
      <c r="R717" s="9"/>
      <c r="S717" s="8"/>
      <c r="T717" s="9"/>
      <c r="U717" s="10" t="str">
        <f aca="true">IF(B717="","",IF(OR(P717&lt;&gt;"",I717="می‌باشد"),"بسته",IF(AND(L717&lt;&gt;"",W717=""),"خطای فرمت تاریخ ایجاد",IF(AND(H717&lt;&gt;"",AA717=""),"خطای فرمت مهلت",IF(AND(H717&lt;&gt;"",AD717&lt;&gt;"",TODAY()&gt;AD717),"تاخیر",IF(L717&lt;&gt;"","در حال انجام",""))))))</f>
        <v/>
      </c>
      <c r="V717" s="7" t="n">
        <f aca="true">IF(U717="تاخیر",TODAY()-AD717,IF(AND(U717="بسته",AH717&lt;&gt;"",AD717&lt;&gt;"",AH717&gt;AD717),AH717-AD717,0))</f>
        <v>0</v>
      </c>
      <c r="W717" s="7" t="str">
        <f aca="false">IF(L717="","",VALUE(LEFT(L717,FIND("/",L717)-1)))</f>
        <v/>
      </c>
      <c r="X717" s="7" t="str">
        <f aca="false">IF(L717="","",VALUE(MID(L717,FIND("/",L717)+1,FIND("/",L717,FIND("/",L717)+1)-FIND("/",L717)-1)))</f>
        <v/>
      </c>
      <c r="Y717" s="7" t="str">
        <f aca="false">IF(L717="","",VALUE(MID(L717,FIND("/",L717,FIND("/",L717)+1)+1,LEN(L717)-FIND("/",L717,FIND("/",L717)+1))))</f>
        <v/>
      </c>
      <c r="Z717" s="7" t="str">
        <f aca="false">IF(OR(L717="",W717=""),"",IFERROR(INDEX('لیست‌ها'!$Q$3:$Q$53,MATCH(W717,'لیست‌ها'!$P$3:$P$53,0))+IF(X717&lt;=6,(X717-1)*31+Y717,IF(X717&lt;=11,186+(X717-7)*30+Y717,336+Y717))-1,""))</f>
        <v/>
      </c>
      <c r="AA717" s="7" t="str">
        <f aca="false">IF(H717="","",VALUE(LEFT(H717,FIND("/",H717)-1)))</f>
        <v/>
      </c>
      <c r="AB717" s="7" t="str">
        <f aca="false">IF(H717="","",VALUE(MID(H717,FIND("/",H717)+1,FIND("/",H717,FIND("/",H717)+1)-FIND("/",H717)-1)))</f>
        <v/>
      </c>
      <c r="AC717" s="7" t="str">
        <f aca="false">IF(H717="","",VALUE(MID(H717,FIND("/",H717,FIND("/",H717)+1)+1,LEN(H717)-FIND("/",H717,FIND("/",H717)+1))))</f>
        <v/>
      </c>
      <c r="AD717" s="7" t="str">
        <f aca="false">IF(OR(H717="",AA717=""),"",IFERROR(INDEX('لیست‌ها'!$Q$3:$Q$53,MATCH(AA717,'لیست‌ها'!$P$3:$P$53,0))+IF(AB717&lt;=6,(AB717-1)*31+AC717,IF(AB717&lt;=11,186+(AB717-7)*30+AC717,336+AC717))-1,""))</f>
        <v/>
      </c>
      <c r="AE717" s="7" t="str">
        <f aca="false">IF(P717="","",VALUE(LEFT(P717,FIND("/",P717)-1)))</f>
        <v/>
      </c>
      <c r="AF717" s="7" t="str">
        <f aca="false">IF(P717="","",VALUE(MID(P717,FIND("/",P717)+1,FIND("/",P717,FIND("/",P717)+1)-FIND("/",P717)-1)))</f>
        <v/>
      </c>
      <c r="AG717" s="7" t="str">
        <f aca="false">IF(P717="","",VALUE(MID(P717,FIND("/",P717,FIND("/",P717)+1)+1,LEN(P717)-FIND("/",P717,FIND("/",P717)+1))))</f>
        <v/>
      </c>
      <c r="AH717" s="7" t="str">
        <f aca="false">IF(OR(P717="",AE717=""),"",IFERROR(INDEX('لیست‌ها'!$Q$3:$Q$53,MATCH(AE717,'لیست‌ها'!$P$3:$P$53,0))+IF(AF717&lt;=6,(AF717-1)*31+AG717,IF(AF717&lt;=11,186+(AF717-7)*30+AG717,336+AG717))-1,""))</f>
        <v/>
      </c>
      <c r="AI717" s="7" t="str">
        <f aca="false">IF(W717="","",W717&amp;"-"&amp;TEXT(X717,"00"))</f>
        <v/>
      </c>
      <c r="AJ717" s="7" t="str">
        <f aca="false">IF(W717="","",W717*12+X717)</f>
        <v/>
      </c>
      <c r="AK717" s="7" t="str">
        <f aca="false">IF(U717="تاخیر",V717+ROW()/100000,"")</f>
        <v/>
      </c>
    </row>
    <row r="718" customFormat="false" ht="15" hidden="false" customHeight="false" outlineLevel="0" collapsed="false">
      <c r="A718" s="7" t="str">
        <f aca="false">IF(B718="","",ROW()-3)</f>
        <v/>
      </c>
      <c r="B718" s="8"/>
      <c r="C718" s="8"/>
      <c r="D718" s="8"/>
      <c r="E718" s="9"/>
      <c r="F718" s="9"/>
      <c r="G718" s="8"/>
      <c r="H718" s="8"/>
      <c r="I718" s="8"/>
      <c r="J718" s="9"/>
      <c r="K718" s="8"/>
      <c r="L718" s="8"/>
      <c r="M718" s="8"/>
      <c r="N718" s="8"/>
      <c r="O718" s="8"/>
      <c r="P718" s="8"/>
      <c r="Q718" s="8"/>
      <c r="R718" s="9"/>
      <c r="S718" s="8"/>
      <c r="T718" s="9"/>
      <c r="U718" s="10" t="str">
        <f aca="true">IF(B718="","",IF(OR(P718&lt;&gt;"",I718="می‌باشد"),"بسته",IF(AND(L718&lt;&gt;"",W718=""),"خطای فرمت تاریخ ایجاد",IF(AND(H718&lt;&gt;"",AA718=""),"خطای فرمت مهلت",IF(AND(H718&lt;&gt;"",AD718&lt;&gt;"",TODAY()&gt;AD718),"تاخیر",IF(L718&lt;&gt;"","در حال انجام",""))))))</f>
        <v/>
      </c>
      <c r="V718" s="7" t="n">
        <f aca="true">IF(U718="تاخیر",TODAY()-AD718,IF(AND(U718="بسته",AH718&lt;&gt;"",AD718&lt;&gt;"",AH718&gt;AD718),AH718-AD718,0))</f>
        <v>0</v>
      </c>
      <c r="W718" s="7" t="str">
        <f aca="false">IF(L718="","",VALUE(LEFT(L718,FIND("/",L718)-1)))</f>
        <v/>
      </c>
      <c r="X718" s="7" t="str">
        <f aca="false">IF(L718="","",VALUE(MID(L718,FIND("/",L718)+1,FIND("/",L718,FIND("/",L718)+1)-FIND("/",L718)-1)))</f>
        <v/>
      </c>
      <c r="Y718" s="7" t="str">
        <f aca="false">IF(L718="","",VALUE(MID(L718,FIND("/",L718,FIND("/",L718)+1)+1,LEN(L718)-FIND("/",L718,FIND("/",L718)+1))))</f>
        <v/>
      </c>
      <c r="Z718" s="7" t="str">
        <f aca="false">IF(OR(L718="",W718=""),"",IFERROR(INDEX('لیست‌ها'!$Q$3:$Q$53,MATCH(W718,'لیست‌ها'!$P$3:$P$53,0))+IF(X718&lt;=6,(X718-1)*31+Y718,IF(X718&lt;=11,186+(X718-7)*30+Y718,336+Y718))-1,""))</f>
        <v/>
      </c>
      <c r="AA718" s="7" t="str">
        <f aca="false">IF(H718="","",VALUE(LEFT(H718,FIND("/",H718)-1)))</f>
        <v/>
      </c>
      <c r="AB718" s="7" t="str">
        <f aca="false">IF(H718="","",VALUE(MID(H718,FIND("/",H718)+1,FIND("/",H718,FIND("/",H718)+1)-FIND("/",H718)-1)))</f>
        <v/>
      </c>
      <c r="AC718" s="7" t="str">
        <f aca="false">IF(H718="","",VALUE(MID(H718,FIND("/",H718,FIND("/",H718)+1)+1,LEN(H718)-FIND("/",H718,FIND("/",H718)+1))))</f>
        <v/>
      </c>
      <c r="AD718" s="7" t="str">
        <f aca="false">IF(OR(H718="",AA718=""),"",IFERROR(INDEX('لیست‌ها'!$Q$3:$Q$53,MATCH(AA718,'لیست‌ها'!$P$3:$P$53,0))+IF(AB718&lt;=6,(AB718-1)*31+AC718,IF(AB718&lt;=11,186+(AB718-7)*30+AC718,336+AC718))-1,""))</f>
        <v/>
      </c>
      <c r="AE718" s="7" t="str">
        <f aca="false">IF(P718="","",VALUE(LEFT(P718,FIND("/",P718)-1)))</f>
        <v/>
      </c>
      <c r="AF718" s="7" t="str">
        <f aca="false">IF(P718="","",VALUE(MID(P718,FIND("/",P718)+1,FIND("/",P718,FIND("/",P718)+1)-FIND("/",P718)-1)))</f>
        <v/>
      </c>
      <c r="AG718" s="7" t="str">
        <f aca="false">IF(P718="","",VALUE(MID(P718,FIND("/",P718,FIND("/",P718)+1)+1,LEN(P718)-FIND("/",P718,FIND("/",P718)+1))))</f>
        <v/>
      </c>
      <c r="AH718" s="7" t="str">
        <f aca="false">IF(OR(P718="",AE718=""),"",IFERROR(INDEX('لیست‌ها'!$Q$3:$Q$53,MATCH(AE718,'لیست‌ها'!$P$3:$P$53,0))+IF(AF718&lt;=6,(AF718-1)*31+AG718,IF(AF718&lt;=11,186+(AF718-7)*30+AG718,336+AG718))-1,""))</f>
        <v/>
      </c>
      <c r="AI718" s="7" t="str">
        <f aca="false">IF(W718="","",W718&amp;"-"&amp;TEXT(X718,"00"))</f>
        <v/>
      </c>
      <c r="AJ718" s="7" t="str">
        <f aca="false">IF(W718="","",W718*12+X718)</f>
        <v/>
      </c>
      <c r="AK718" s="7" t="str">
        <f aca="false">IF(U718="تاخیر",V718+ROW()/100000,"")</f>
        <v/>
      </c>
    </row>
    <row r="719" customFormat="false" ht="15" hidden="false" customHeight="false" outlineLevel="0" collapsed="false">
      <c r="A719" s="7" t="str">
        <f aca="false">IF(B719="","",ROW()-3)</f>
        <v/>
      </c>
      <c r="B719" s="8"/>
      <c r="C719" s="8"/>
      <c r="D719" s="8"/>
      <c r="E719" s="9"/>
      <c r="F719" s="9"/>
      <c r="G719" s="8"/>
      <c r="H719" s="8"/>
      <c r="I719" s="8"/>
      <c r="J719" s="9"/>
      <c r="K719" s="8"/>
      <c r="L719" s="8"/>
      <c r="M719" s="8"/>
      <c r="N719" s="8"/>
      <c r="O719" s="8"/>
      <c r="P719" s="8"/>
      <c r="Q719" s="8"/>
      <c r="R719" s="9"/>
      <c r="S719" s="8"/>
      <c r="T719" s="9"/>
      <c r="U719" s="10" t="str">
        <f aca="true">IF(B719="","",IF(OR(P719&lt;&gt;"",I719="می‌باشد"),"بسته",IF(AND(L719&lt;&gt;"",W719=""),"خطای فرمت تاریخ ایجاد",IF(AND(H719&lt;&gt;"",AA719=""),"خطای فرمت مهلت",IF(AND(H719&lt;&gt;"",AD719&lt;&gt;"",TODAY()&gt;AD719),"تاخیر",IF(L719&lt;&gt;"","در حال انجام",""))))))</f>
        <v/>
      </c>
      <c r="V719" s="7" t="n">
        <f aca="true">IF(U719="تاخیر",TODAY()-AD719,IF(AND(U719="بسته",AH719&lt;&gt;"",AD719&lt;&gt;"",AH719&gt;AD719),AH719-AD719,0))</f>
        <v>0</v>
      </c>
      <c r="W719" s="7" t="str">
        <f aca="false">IF(L719="","",VALUE(LEFT(L719,FIND("/",L719)-1)))</f>
        <v/>
      </c>
      <c r="X719" s="7" t="str">
        <f aca="false">IF(L719="","",VALUE(MID(L719,FIND("/",L719)+1,FIND("/",L719,FIND("/",L719)+1)-FIND("/",L719)-1)))</f>
        <v/>
      </c>
      <c r="Y719" s="7" t="str">
        <f aca="false">IF(L719="","",VALUE(MID(L719,FIND("/",L719,FIND("/",L719)+1)+1,LEN(L719)-FIND("/",L719,FIND("/",L719)+1))))</f>
        <v/>
      </c>
      <c r="Z719" s="7" t="str">
        <f aca="false">IF(OR(L719="",W719=""),"",IFERROR(INDEX('لیست‌ها'!$Q$3:$Q$53,MATCH(W719,'لیست‌ها'!$P$3:$P$53,0))+IF(X719&lt;=6,(X719-1)*31+Y719,IF(X719&lt;=11,186+(X719-7)*30+Y719,336+Y719))-1,""))</f>
        <v/>
      </c>
      <c r="AA719" s="7" t="str">
        <f aca="false">IF(H719="","",VALUE(LEFT(H719,FIND("/",H719)-1)))</f>
        <v/>
      </c>
      <c r="AB719" s="7" t="str">
        <f aca="false">IF(H719="","",VALUE(MID(H719,FIND("/",H719)+1,FIND("/",H719,FIND("/",H719)+1)-FIND("/",H719)-1)))</f>
        <v/>
      </c>
      <c r="AC719" s="7" t="str">
        <f aca="false">IF(H719="","",VALUE(MID(H719,FIND("/",H719,FIND("/",H719)+1)+1,LEN(H719)-FIND("/",H719,FIND("/",H719)+1))))</f>
        <v/>
      </c>
      <c r="AD719" s="7" t="str">
        <f aca="false">IF(OR(H719="",AA719=""),"",IFERROR(INDEX('لیست‌ها'!$Q$3:$Q$53,MATCH(AA719,'لیست‌ها'!$P$3:$P$53,0))+IF(AB719&lt;=6,(AB719-1)*31+AC719,IF(AB719&lt;=11,186+(AB719-7)*30+AC719,336+AC719))-1,""))</f>
        <v/>
      </c>
      <c r="AE719" s="7" t="str">
        <f aca="false">IF(P719="","",VALUE(LEFT(P719,FIND("/",P719)-1)))</f>
        <v/>
      </c>
      <c r="AF719" s="7" t="str">
        <f aca="false">IF(P719="","",VALUE(MID(P719,FIND("/",P719)+1,FIND("/",P719,FIND("/",P719)+1)-FIND("/",P719)-1)))</f>
        <v/>
      </c>
      <c r="AG719" s="7" t="str">
        <f aca="false">IF(P719="","",VALUE(MID(P719,FIND("/",P719,FIND("/",P719)+1)+1,LEN(P719)-FIND("/",P719,FIND("/",P719)+1))))</f>
        <v/>
      </c>
      <c r="AH719" s="7" t="str">
        <f aca="false">IF(OR(P719="",AE719=""),"",IFERROR(INDEX('لیست‌ها'!$Q$3:$Q$53,MATCH(AE719,'لیست‌ها'!$P$3:$P$53,0))+IF(AF719&lt;=6,(AF719-1)*31+AG719,IF(AF719&lt;=11,186+(AF719-7)*30+AG719,336+AG719))-1,""))</f>
        <v/>
      </c>
      <c r="AI719" s="7" t="str">
        <f aca="false">IF(W719="","",W719&amp;"-"&amp;TEXT(X719,"00"))</f>
        <v/>
      </c>
      <c r="AJ719" s="7" t="str">
        <f aca="false">IF(W719="","",W719*12+X719)</f>
        <v/>
      </c>
      <c r="AK719" s="7" t="str">
        <f aca="false">IF(U719="تاخیر",V719+ROW()/100000,"")</f>
        <v/>
      </c>
    </row>
    <row r="720" customFormat="false" ht="15" hidden="false" customHeight="false" outlineLevel="0" collapsed="false">
      <c r="A720" s="7" t="str">
        <f aca="false">IF(B720="","",ROW()-3)</f>
        <v/>
      </c>
      <c r="B720" s="8"/>
      <c r="C720" s="8"/>
      <c r="D720" s="8"/>
      <c r="E720" s="9"/>
      <c r="F720" s="9"/>
      <c r="G720" s="8"/>
      <c r="H720" s="8"/>
      <c r="I720" s="8"/>
      <c r="J720" s="9"/>
      <c r="K720" s="8"/>
      <c r="L720" s="8"/>
      <c r="M720" s="8"/>
      <c r="N720" s="8"/>
      <c r="O720" s="8"/>
      <c r="P720" s="8"/>
      <c r="Q720" s="8"/>
      <c r="R720" s="9"/>
      <c r="S720" s="8"/>
      <c r="T720" s="9"/>
      <c r="U720" s="10" t="str">
        <f aca="true">IF(B720="","",IF(OR(P720&lt;&gt;"",I720="می‌باشد"),"بسته",IF(AND(L720&lt;&gt;"",W720=""),"خطای فرمت تاریخ ایجاد",IF(AND(H720&lt;&gt;"",AA720=""),"خطای فرمت مهلت",IF(AND(H720&lt;&gt;"",AD720&lt;&gt;"",TODAY()&gt;AD720),"تاخیر",IF(L720&lt;&gt;"","در حال انجام",""))))))</f>
        <v/>
      </c>
      <c r="V720" s="7" t="n">
        <f aca="true">IF(U720="تاخیر",TODAY()-AD720,IF(AND(U720="بسته",AH720&lt;&gt;"",AD720&lt;&gt;"",AH720&gt;AD720),AH720-AD720,0))</f>
        <v>0</v>
      </c>
      <c r="W720" s="7" t="str">
        <f aca="false">IF(L720="","",VALUE(LEFT(L720,FIND("/",L720)-1)))</f>
        <v/>
      </c>
      <c r="X720" s="7" t="str">
        <f aca="false">IF(L720="","",VALUE(MID(L720,FIND("/",L720)+1,FIND("/",L720,FIND("/",L720)+1)-FIND("/",L720)-1)))</f>
        <v/>
      </c>
      <c r="Y720" s="7" t="str">
        <f aca="false">IF(L720="","",VALUE(MID(L720,FIND("/",L720,FIND("/",L720)+1)+1,LEN(L720)-FIND("/",L720,FIND("/",L720)+1))))</f>
        <v/>
      </c>
      <c r="Z720" s="7" t="str">
        <f aca="false">IF(OR(L720="",W720=""),"",IFERROR(INDEX('لیست‌ها'!$Q$3:$Q$53,MATCH(W720,'لیست‌ها'!$P$3:$P$53,0))+IF(X720&lt;=6,(X720-1)*31+Y720,IF(X720&lt;=11,186+(X720-7)*30+Y720,336+Y720))-1,""))</f>
        <v/>
      </c>
      <c r="AA720" s="7" t="str">
        <f aca="false">IF(H720="","",VALUE(LEFT(H720,FIND("/",H720)-1)))</f>
        <v/>
      </c>
      <c r="AB720" s="7" t="str">
        <f aca="false">IF(H720="","",VALUE(MID(H720,FIND("/",H720)+1,FIND("/",H720,FIND("/",H720)+1)-FIND("/",H720)-1)))</f>
        <v/>
      </c>
      <c r="AC720" s="7" t="str">
        <f aca="false">IF(H720="","",VALUE(MID(H720,FIND("/",H720,FIND("/",H720)+1)+1,LEN(H720)-FIND("/",H720,FIND("/",H720)+1))))</f>
        <v/>
      </c>
      <c r="AD720" s="7" t="str">
        <f aca="false">IF(OR(H720="",AA720=""),"",IFERROR(INDEX('لیست‌ها'!$Q$3:$Q$53,MATCH(AA720,'لیست‌ها'!$P$3:$P$53,0))+IF(AB720&lt;=6,(AB720-1)*31+AC720,IF(AB720&lt;=11,186+(AB720-7)*30+AC720,336+AC720))-1,""))</f>
        <v/>
      </c>
      <c r="AE720" s="7" t="str">
        <f aca="false">IF(P720="","",VALUE(LEFT(P720,FIND("/",P720)-1)))</f>
        <v/>
      </c>
      <c r="AF720" s="7" t="str">
        <f aca="false">IF(P720="","",VALUE(MID(P720,FIND("/",P720)+1,FIND("/",P720,FIND("/",P720)+1)-FIND("/",P720)-1)))</f>
        <v/>
      </c>
      <c r="AG720" s="7" t="str">
        <f aca="false">IF(P720="","",VALUE(MID(P720,FIND("/",P720,FIND("/",P720)+1)+1,LEN(P720)-FIND("/",P720,FIND("/",P720)+1))))</f>
        <v/>
      </c>
      <c r="AH720" s="7" t="str">
        <f aca="false">IF(OR(P720="",AE720=""),"",IFERROR(INDEX('لیست‌ها'!$Q$3:$Q$53,MATCH(AE720,'لیست‌ها'!$P$3:$P$53,0))+IF(AF720&lt;=6,(AF720-1)*31+AG720,IF(AF720&lt;=11,186+(AF720-7)*30+AG720,336+AG720))-1,""))</f>
        <v/>
      </c>
      <c r="AI720" s="7" t="str">
        <f aca="false">IF(W720="","",W720&amp;"-"&amp;TEXT(X720,"00"))</f>
        <v/>
      </c>
      <c r="AJ720" s="7" t="str">
        <f aca="false">IF(W720="","",W720*12+X720)</f>
        <v/>
      </c>
      <c r="AK720" s="7" t="str">
        <f aca="false">IF(U720="تاخیر",V720+ROW()/100000,"")</f>
        <v/>
      </c>
    </row>
    <row r="721" customFormat="false" ht="15" hidden="false" customHeight="false" outlineLevel="0" collapsed="false">
      <c r="A721" s="7" t="str">
        <f aca="false">IF(B721="","",ROW()-3)</f>
        <v/>
      </c>
      <c r="B721" s="8"/>
      <c r="C721" s="8"/>
      <c r="D721" s="8"/>
      <c r="E721" s="9"/>
      <c r="F721" s="9"/>
      <c r="G721" s="8"/>
      <c r="H721" s="8"/>
      <c r="I721" s="8"/>
      <c r="J721" s="9"/>
      <c r="K721" s="8"/>
      <c r="L721" s="8"/>
      <c r="M721" s="8"/>
      <c r="N721" s="8"/>
      <c r="O721" s="8"/>
      <c r="P721" s="8"/>
      <c r="Q721" s="8"/>
      <c r="R721" s="9"/>
      <c r="S721" s="8"/>
      <c r="T721" s="9"/>
      <c r="U721" s="10" t="str">
        <f aca="true">IF(B721="","",IF(OR(P721&lt;&gt;"",I721="می‌باشد"),"بسته",IF(AND(L721&lt;&gt;"",W721=""),"خطای فرمت تاریخ ایجاد",IF(AND(H721&lt;&gt;"",AA721=""),"خطای فرمت مهلت",IF(AND(H721&lt;&gt;"",AD721&lt;&gt;"",TODAY()&gt;AD721),"تاخیر",IF(L721&lt;&gt;"","در حال انجام",""))))))</f>
        <v/>
      </c>
      <c r="V721" s="7" t="n">
        <f aca="true">IF(U721="تاخیر",TODAY()-AD721,IF(AND(U721="بسته",AH721&lt;&gt;"",AD721&lt;&gt;"",AH721&gt;AD721),AH721-AD721,0))</f>
        <v>0</v>
      </c>
      <c r="W721" s="7" t="str">
        <f aca="false">IF(L721="","",VALUE(LEFT(L721,FIND("/",L721)-1)))</f>
        <v/>
      </c>
      <c r="X721" s="7" t="str">
        <f aca="false">IF(L721="","",VALUE(MID(L721,FIND("/",L721)+1,FIND("/",L721,FIND("/",L721)+1)-FIND("/",L721)-1)))</f>
        <v/>
      </c>
      <c r="Y721" s="7" t="str">
        <f aca="false">IF(L721="","",VALUE(MID(L721,FIND("/",L721,FIND("/",L721)+1)+1,LEN(L721)-FIND("/",L721,FIND("/",L721)+1))))</f>
        <v/>
      </c>
      <c r="Z721" s="7" t="str">
        <f aca="false">IF(OR(L721="",W721=""),"",IFERROR(INDEX('لیست‌ها'!$Q$3:$Q$53,MATCH(W721,'لیست‌ها'!$P$3:$P$53,0))+IF(X721&lt;=6,(X721-1)*31+Y721,IF(X721&lt;=11,186+(X721-7)*30+Y721,336+Y721))-1,""))</f>
        <v/>
      </c>
      <c r="AA721" s="7" t="str">
        <f aca="false">IF(H721="","",VALUE(LEFT(H721,FIND("/",H721)-1)))</f>
        <v/>
      </c>
      <c r="AB721" s="7" t="str">
        <f aca="false">IF(H721="","",VALUE(MID(H721,FIND("/",H721)+1,FIND("/",H721,FIND("/",H721)+1)-FIND("/",H721)-1)))</f>
        <v/>
      </c>
      <c r="AC721" s="7" t="str">
        <f aca="false">IF(H721="","",VALUE(MID(H721,FIND("/",H721,FIND("/",H721)+1)+1,LEN(H721)-FIND("/",H721,FIND("/",H721)+1))))</f>
        <v/>
      </c>
      <c r="AD721" s="7" t="str">
        <f aca="false">IF(OR(H721="",AA721=""),"",IFERROR(INDEX('لیست‌ها'!$Q$3:$Q$53,MATCH(AA721,'لیست‌ها'!$P$3:$P$53,0))+IF(AB721&lt;=6,(AB721-1)*31+AC721,IF(AB721&lt;=11,186+(AB721-7)*30+AC721,336+AC721))-1,""))</f>
        <v/>
      </c>
      <c r="AE721" s="7" t="str">
        <f aca="false">IF(P721="","",VALUE(LEFT(P721,FIND("/",P721)-1)))</f>
        <v/>
      </c>
      <c r="AF721" s="7" t="str">
        <f aca="false">IF(P721="","",VALUE(MID(P721,FIND("/",P721)+1,FIND("/",P721,FIND("/",P721)+1)-FIND("/",P721)-1)))</f>
        <v/>
      </c>
      <c r="AG721" s="7" t="str">
        <f aca="false">IF(P721="","",VALUE(MID(P721,FIND("/",P721,FIND("/",P721)+1)+1,LEN(P721)-FIND("/",P721,FIND("/",P721)+1))))</f>
        <v/>
      </c>
      <c r="AH721" s="7" t="str">
        <f aca="false">IF(OR(P721="",AE721=""),"",IFERROR(INDEX('لیست‌ها'!$Q$3:$Q$53,MATCH(AE721,'لیست‌ها'!$P$3:$P$53,0))+IF(AF721&lt;=6,(AF721-1)*31+AG721,IF(AF721&lt;=11,186+(AF721-7)*30+AG721,336+AG721))-1,""))</f>
        <v/>
      </c>
      <c r="AI721" s="7" t="str">
        <f aca="false">IF(W721="","",W721&amp;"-"&amp;TEXT(X721,"00"))</f>
        <v/>
      </c>
      <c r="AJ721" s="7" t="str">
        <f aca="false">IF(W721="","",W721*12+X721)</f>
        <v/>
      </c>
      <c r="AK721" s="7" t="str">
        <f aca="false">IF(U721="تاخیر",V721+ROW()/100000,"")</f>
        <v/>
      </c>
    </row>
    <row r="722" customFormat="false" ht="15" hidden="false" customHeight="false" outlineLevel="0" collapsed="false">
      <c r="A722" s="7" t="str">
        <f aca="false">IF(B722="","",ROW()-3)</f>
        <v/>
      </c>
      <c r="B722" s="8"/>
      <c r="C722" s="8"/>
      <c r="D722" s="8"/>
      <c r="E722" s="9"/>
      <c r="F722" s="9"/>
      <c r="G722" s="8"/>
      <c r="H722" s="8"/>
      <c r="I722" s="8"/>
      <c r="J722" s="9"/>
      <c r="K722" s="8"/>
      <c r="L722" s="8"/>
      <c r="M722" s="8"/>
      <c r="N722" s="8"/>
      <c r="O722" s="8"/>
      <c r="P722" s="8"/>
      <c r="Q722" s="8"/>
      <c r="R722" s="9"/>
      <c r="S722" s="8"/>
      <c r="T722" s="9"/>
      <c r="U722" s="10" t="str">
        <f aca="true">IF(B722="","",IF(OR(P722&lt;&gt;"",I722="می‌باشد"),"بسته",IF(AND(L722&lt;&gt;"",W722=""),"خطای فرمت تاریخ ایجاد",IF(AND(H722&lt;&gt;"",AA722=""),"خطای فرمت مهلت",IF(AND(H722&lt;&gt;"",AD722&lt;&gt;"",TODAY()&gt;AD722),"تاخیر",IF(L722&lt;&gt;"","در حال انجام",""))))))</f>
        <v/>
      </c>
      <c r="V722" s="7" t="n">
        <f aca="true">IF(U722="تاخیر",TODAY()-AD722,IF(AND(U722="بسته",AH722&lt;&gt;"",AD722&lt;&gt;"",AH722&gt;AD722),AH722-AD722,0))</f>
        <v>0</v>
      </c>
      <c r="W722" s="7" t="str">
        <f aca="false">IF(L722="","",VALUE(LEFT(L722,FIND("/",L722)-1)))</f>
        <v/>
      </c>
      <c r="X722" s="7" t="str">
        <f aca="false">IF(L722="","",VALUE(MID(L722,FIND("/",L722)+1,FIND("/",L722,FIND("/",L722)+1)-FIND("/",L722)-1)))</f>
        <v/>
      </c>
      <c r="Y722" s="7" t="str">
        <f aca="false">IF(L722="","",VALUE(MID(L722,FIND("/",L722,FIND("/",L722)+1)+1,LEN(L722)-FIND("/",L722,FIND("/",L722)+1))))</f>
        <v/>
      </c>
      <c r="Z722" s="7" t="str">
        <f aca="false">IF(OR(L722="",W722=""),"",IFERROR(INDEX('لیست‌ها'!$Q$3:$Q$53,MATCH(W722,'لیست‌ها'!$P$3:$P$53,0))+IF(X722&lt;=6,(X722-1)*31+Y722,IF(X722&lt;=11,186+(X722-7)*30+Y722,336+Y722))-1,""))</f>
        <v/>
      </c>
      <c r="AA722" s="7" t="str">
        <f aca="false">IF(H722="","",VALUE(LEFT(H722,FIND("/",H722)-1)))</f>
        <v/>
      </c>
      <c r="AB722" s="7" t="str">
        <f aca="false">IF(H722="","",VALUE(MID(H722,FIND("/",H722)+1,FIND("/",H722,FIND("/",H722)+1)-FIND("/",H722)-1)))</f>
        <v/>
      </c>
      <c r="AC722" s="7" t="str">
        <f aca="false">IF(H722="","",VALUE(MID(H722,FIND("/",H722,FIND("/",H722)+1)+1,LEN(H722)-FIND("/",H722,FIND("/",H722)+1))))</f>
        <v/>
      </c>
      <c r="AD722" s="7" t="str">
        <f aca="false">IF(OR(H722="",AA722=""),"",IFERROR(INDEX('لیست‌ها'!$Q$3:$Q$53,MATCH(AA722,'لیست‌ها'!$P$3:$P$53,0))+IF(AB722&lt;=6,(AB722-1)*31+AC722,IF(AB722&lt;=11,186+(AB722-7)*30+AC722,336+AC722))-1,""))</f>
        <v/>
      </c>
      <c r="AE722" s="7" t="str">
        <f aca="false">IF(P722="","",VALUE(LEFT(P722,FIND("/",P722)-1)))</f>
        <v/>
      </c>
      <c r="AF722" s="7" t="str">
        <f aca="false">IF(P722="","",VALUE(MID(P722,FIND("/",P722)+1,FIND("/",P722,FIND("/",P722)+1)-FIND("/",P722)-1)))</f>
        <v/>
      </c>
      <c r="AG722" s="7" t="str">
        <f aca="false">IF(P722="","",VALUE(MID(P722,FIND("/",P722,FIND("/",P722)+1)+1,LEN(P722)-FIND("/",P722,FIND("/",P722)+1))))</f>
        <v/>
      </c>
      <c r="AH722" s="7" t="str">
        <f aca="false">IF(OR(P722="",AE722=""),"",IFERROR(INDEX('لیست‌ها'!$Q$3:$Q$53,MATCH(AE722,'لیست‌ها'!$P$3:$P$53,0))+IF(AF722&lt;=6,(AF722-1)*31+AG722,IF(AF722&lt;=11,186+(AF722-7)*30+AG722,336+AG722))-1,""))</f>
        <v/>
      </c>
      <c r="AI722" s="7" t="str">
        <f aca="false">IF(W722="","",W722&amp;"-"&amp;TEXT(X722,"00"))</f>
        <v/>
      </c>
      <c r="AJ722" s="7" t="str">
        <f aca="false">IF(W722="","",W722*12+X722)</f>
        <v/>
      </c>
      <c r="AK722" s="7" t="str">
        <f aca="false">IF(U722="تاخیر",V722+ROW()/100000,"")</f>
        <v/>
      </c>
    </row>
    <row r="723" customFormat="false" ht="15" hidden="false" customHeight="false" outlineLevel="0" collapsed="false">
      <c r="A723" s="7" t="str">
        <f aca="false">IF(B723="","",ROW()-3)</f>
        <v/>
      </c>
      <c r="B723" s="8"/>
      <c r="C723" s="8"/>
      <c r="D723" s="8"/>
      <c r="E723" s="9"/>
      <c r="F723" s="9"/>
      <c r="G723" s="8"/>
      <c r="H723" s="8"/>
      <c r="I723" s="8"/>
      <c r="J723" s="9"/>
      <c r="K723" s="8"/>
      <c r="L723" s="8"/>
      <c r="M723" s="8"/>
      <c r="N723" s="8"/>
      <c r="O723" s="8"/>
      <c r="P723" s="8"/>
      <c r="Q723" s="8"/>
      <c r="R723" s="9"/>
      <c r="S723" s="8"/>
      <c r="T723" s="9"/>
      <c r="U723" s="10" t="str">
        <f aca="true">IF(B723="","",IF(OR(P723&lt;&gt;"",I723="می‌باشد"),"بسته",IF(AND(L723&lt;&gt;"",W723=""),"خطای فرمت تاریخ ایجاد",IF(AND(H723&lt;&gt;"",AA723=""),"خطای فرمت مهلت",IF(AND(H723&lt;&gt;"",AD723&lt;&gt;"",TODAY()&gt;AD723),"تاخیر",IF(L723&lt;&gt;"","در حال انجام",""))))))</f>
        <v/>
      </c>
      <c r="V723" s="7" t="n">
        <f aca="true">IF(U723="تاخیر",TODAY()-AD723,IF(AND(U723="بسته",AH723&lt;&gt;"",AD723&lt;&gt;"",AH723&gt;AD723),AH723-AD723,0))</f>
        <v>0</v>
      </c>
      <c r="W723" s="7" t="str">
        <f aca="false">IF(L723="","",VALUE(LEFT(L723,FIND("/",L723)-1)))</f>
        <v/>
      </c>
      <c r="X723" s="7" t="str">
        <f aca="false">IF(L723="","",VALUE(MID(L723,FIND("/",L723)+1,FIND("/",L723,FIND("/",L723)+1)-FIND("/",L723)-1)))</f>
        <v/>
      </c>
      <c r="Y723" s="7" t="str">
        <f aca="false">IF(L723="","",VALUE(MID(L723,FIND("/",L723,FIND("/",L723)+1)+1,LEN(L723)-FIND("/",L723,FIND("/",L723)+1))))</f>
        <v/>
      </c>
      <c r="Z723" s="7" t="str">
        <f aca="false">IF(OR(L723="",W723=""),"",IFERROR(INDEX('لیست‌ها'!$Q$3:$Q$53,MATCH(W723,'لیست‌ها'!$P$3:$P$53,0))+IF(X723&lt;=6,(X723-1)*31+Y723,IF(X723&lt;=11,186+(X723-7)*30+Y723,336+Y723))-1,""))</f>
        <v/>
      </c>
      <c r="AA723" s="7" t="str">
        <f aca="false">IF(H723="","",VALUE(LEFT(H723,FIND("/",H723)-1)))</f>
        <v/>
      </c>
      <c r="AB723" s="7" t="str">
        <f aca="false">IF(H723="","",VALUE(MID(H723,FIND("/",H723)+1,FIND("/",H723,FIND("/",H723)+1)-FIND("/",H723)-1)))</f>
        <v/>
      </c>
      <c r="AC723" s="7" t="str">
        <f aca="false">IF(H723="","",VALUE(MID(H723,FIND("/",H723,FIND("/",H723)+1)+1,LEN(H723)-FIND("/",H723,FIND("/",H723)+1))))</f>
        <v/>
      </c>
      <c r="AD723" s="7" t="str">
        <f aca="false">IF(OR(H723="",AA723=""),"",IFERROR(INDEX('لیست‌ها'!$Q$3:$Q$53,MATCH(AA723,'لیست‌ها'!$P$3:$P$53,0))+IF(AB723&lt;=6,(AB723-1)*31+AC723,IF(AB723&lt;=11,186+(AB723-7)*30+AC723,336+AC723))-1,""))</f>
        <v/>
      </c>
      <c r="AE723" s="7" t="str">
        <f aca="false">IF(P723="","",VALUE(LEFT(P723,FIND("/",P723)-1)))</f>
        <v/>
      </c>
      <c r="AF723" s="7" t="str">
        <f aca="false">IF(P723="","",VALUE(MID(P723,FIND("/",P723)+1,FIND("/",P723,FIND("/",P723)+1)-FIND("/",P723)-1)))</f>
        <v/>
      </c>
      <c r="AG723" s="7" t="str">
        <f aca="false">IF(P723="","",VALUE(MID(P723,FIND("/",P723,FIND("/",P723)+1)+1,LEN(P723)-FIND("/",P723,FIND("/",P723)+1))))</f>
        <v/>
      </c>
      <c r="AH723" s="7" t="str">
        <f aca="false">IF(OR(P723="",AE723=""),"",IFERROR(INDEX('لیست‌ها'!$Q$3:$Q$53,MATCH(AE723,'لیست‌ها'!$P$3:$P$53,0))+IF(AF723&lt;=6,(AF723-1)*31+AG723,IF(AF723&lt;=11,186+(AF723-7)*30+AG723,336+AG723))-1,""))</f>
        <v/>
      </c>
      <c r="AI723" s="7" t="str">
        <f aca="false">IF(W723="","",W723&amp;"-"&amp;TEXT(X723,"00"))</f>
        <v/>
      </c>
      <c r="AJ723" s="7" t="str">
        <f aca="false">IF(W723="","",W723*12+X723)</f>
        <v/>
      </c>
      <c r="AK723" s="7" t="str">
        <f aca="false">IF(U723="تاخیر",V723+ROW()/100000,"")</f>
        <v/>
      </c>
    </row>
    <row r="724" customFormat="false" ht="15" hidden="false" customHeight="false" outlineLevel="0" collapsed="false">
      <c r="A724" s="7" t="str">
        <f aca="false">IF(B724="","",ROW()-3)</f>
        <v/>
      </c>
      <c r="B724" s="8"/>
      <c r="C724" s="8"/>
      <c r="D724" s="8"/>
      <c r="E724" s="9"/>
      <c r="F724" s="9"/>
      <c r="G724" s="8"/>
      <c r="H724" s="8"/>
      <c r="I724" s="8"/>
      <c r="J724" s="9"/>
      <c r="K724" s="8"/>
      <c r="L724" s="8"/>
      <c r="M724" s="8"/>
      <c r="N724" s="8"/>
      <c r="O724" s="8"/>
      <c r="P724" s="8"/>
      <c r="Q724" s="8"/>
      <c r="R724" s="9"/>
      <c r="S724" s="8"/>
      <c r="T724" s="9"/>
      <c r="U724" s="10" t="str">
        <f aca="true">IF(B724="","",IF(OR(P724&lt;&gt;"",I724="می‌باشد"),"بسته",IF(AND(L724&lt;&gt;"",W724=""),"خطای فرمت تاریخ ایجاد",IF(AND(H724&lt;&gt;"",AA724=""),"خطای فرمت مهلت",IF(AND(H724&lt;&gt;"",AD724&lt;&gt;"",TODAY()&gt;AD724),"تاخیر",IF(L724&lt;&gt;"","در حال انجام",""))))))</f>
        <v/>
      </c>
      <c r="V724" s="7" t="n">
        <f aca="true">IF(U724="تاخیر",TODAY()-AD724,IF(AND(U724="بسته",AH724&lt;&gt;"",AD724&lt;&gt;"",AH724&gt;AD724),AH724-AD724,0))</f>
        <v>0</v>
      </c>
      <c r="W724" s="7" t="str">
        <f aca="false">IF(L724="","",VALUE(LEFT(L724,FIND("/",L724)-1)))</f>
        <v/>
      </c>
      <c r="X724" s="7" t="str">
        <f aca="false">IF(L724="","",VALUE(MID(L724,FIND("/",L724)+1,FIND("/",L724,FIND("/",L724)+1)-FIND("/",L724)-1)))</f>
        <v/>
      </c>
      <c r="Y724" s="7" t="str">
        <f aca="false">IF(L724="","",VALUE(MID(L724,FIND("/",L724,FIND("/",L724)+1)+1,LEN(L724)-FIND("/",L724,FIND("/",L724)+1))))</f>
        <v/>
      </c>
      <c r="Z724" s="7" t="str">
        <f aca="false">IF(OR(L724="",W724=""),"",IFERROR(INDEX('لیست‌ها'!$Q$3:$Q$53,MATCH(W724,'لیست‌ها'!$P$3:$P$53,0))+IF(X724&lt;=6,(X724-1)*31+Y724,IF(X724&lt;=11,186+(X724-7)*30+Y724,336+Y724))-1,""))</f>
        <v/>
      </c>
      <c r="AA724" s="7" t="str">
        <f aca="false">IF(H724="","",VALUE(LEFT(H724,FIND("/",H724)-1)))</f>
        <v/>
      </c>
      <c r="AB724" s="7" t="str">
        <f aca="false">IF(H724="","",VALUE(MID(H724,FIND("/",H724)+1,FIND("/",H724,FIND("/",H724)+1)-FIND("/",H724)-1)))</f>
        <v/>
      </c>
      <c r="AC724" s="7" t="str">
        <f aca="false">IF(H724="","",VALUE(MID(H724,FIND("/",H724,FIND("/",H724)+1)+1,LEN(H724)-FIND("/",H724,FIND("/",H724)+1))))</f>
        <v/>
      </c>
      <c r="AD724" s="7" t="str">
        <f aca="false">IF(OR(H724="",AA724=""),"",IFERROR(INDEX('لیست‌ها'!$Q$3:$Q$53,MATCH(AA724,'لیست‌ها'!$P$3:$P$53,0))+IF(AB724&lt;=6,(AB724-1)*31+AC724,IF(AB724&lt;=11,186+(AB724-7)*30+AC724,336+AC724))-1,""))</f>
        <v/>
      </c>
      <c r="AE724" s="7" t="str">
        <f aca="false">IF(P724="","",VALUE(LEFT(P724,FIND("/",P724)-1)))</f>
        <v/>
      </c>
      <c r="AF724" s="7" t="str">
        <f aca="false">IF(P724="","",VALUE(MID(P724,FIND("/",P724)+1,FIND("/",P724,FIND("/",P724)+1)-FIND("/",P724)-1)))</f>
        <v/>
      </c>
      <c r="AG724" s="7" t="str">
        <f aca="false">IF(P724="","",VALUE(MID(P724,FIND("/",P724,FIND("/",P724)+1)+1,LEN(P724)-FIND("/",P724,FIND("/",P724)+1))))</f>
        <v/>
      </c>
      <c r="AH724" s="7" t="str">
        <f aca="false">IF(OR(P724="",AE724=""),"",IFERROR(INDEX('لیست‌ها'!$Q$3:$Q$53,MATCH(AE724,'لیست‌ها'!$P$3:$P$53,0))+IF(AF724&lt;=6,(AF724-1)*31+AG724,IF(AF724&lt;=11,186+(AF724-7)*30+AG724,336+AG724))-1,""))</f>
        <v/>
      </c>
      <c r="AI724" s="7" t="str">
        <f aca="false">IF(W724="","",W724&amp;"-"&amp;TEXT(X724,"00"))</f>
        <v/>
      </c>
      <c r="AJ724" s="7" t="str">
        <f aca="false">IF(W724="","",W724*12+X724)</f>
        <v/>
      </c>
      <c r="AK724" s="7" t="str">
        <f aca="false">IF(U724="تاخیر",V724+ROW()/100000,"")</f>
        <v/>
      </c>
    </row>
    <row r="725" customFormat="false" ht="15" hidden="false" customHeight="false" outlineLevel="0" collapsed="false">
      <c r="A725" s="7" t="str">
        <f aca="false">IF(B725="","",ROW()-3)</f>
        <v/>
      </c>
      <c r="B725" s="8"/>
      <c r="C725" s="8"/>
      <c r="D725" s="8"/>
      <c r="E725" s="9"/>
      <c r="F725" s="9"/>
      <c r="G725" s="8"/>
      <c r="H725" s="8"/>
      <c r="I725" s="8"/>
      <c r="J725" s="9"/>
      <c r="K725" s="8"/>
      <c r="L725" s="8"/>
      <c r="M725" s="8"/>
      <c r="N725" s="8"/>
      <c r="O725" s="8"/>
      <c r="P725" s="8"/>
      <c r="Q725" s="8"/>
      <c r="R725" s="9"/>
      <c r="S725" s="8"/>
      <c r="T725" s="9"/>
      <c r="U725" s="10" t="str">
        <f aca="true">IF(B725="","",IF(OR(P725&lt;&gt;"",I725="می‌باشد"),"بسته",IF(AND(L725&lt;&gt;"",W725=""),"خطای فرمت تاریخ ایجاد",IF(AND(H725&lt;&gt;"",AA725=""),"خطای فرمت مهلت",IF(AND(H725&lt;&gt;"",AD725&lt;&gt;"",TODAY()&gt;AD725),"تاخیر",IF(L725&lt;&gt;"","در حال انجام",""))))))</f>
        <v/>
      </c>
      <c r="V725" s="7" t="n">
        <f aca="true">IF(U725="تاخیر",TODAY()-AD725,IF(AND(U725="بسته",AH725&lt;&gt;"",AD725&lt;&gt;"",AH725&gt;AD725),AH725-AD725,0))</f>
        <v>0</v>
      </c>
      <c r="W725" s="7" t="str">
        <f aca="false">IF(L725="","",VALUE(LEFT(L725,FIND("/",L725)-1)))</f>
        <v/>
      </c>
      <c r="X725" s="7" t="str">
        <f aca="false">IF(L725="","",VALUE(MID(L725,FIND("/",L725)+1,FIND("/",L725,FIND("/",L725)+1)-FIND("/",L725)-1)))</f>
        <v/>
      </c>
      <c r="Y725" s="7" t="str">
        <f aca="false">IF(L725="","",VALUE(MID(L725,FIND("/",L725,FIND("/",L725)+1)+1,LEN(L725)-FIND("/",L725,FIND("/",L725)+1))))</f>
        <v/>
      </c>
      <c r="Z725" s="7" t="str">
        <f aca="false">IF(OR(L725="",W725=""),"",IFERROR(INDEX('لیست‌ها'!$Q$3:$Q$53,MATCH(W725,'لیست‌ها'!$P$3:$P$53,0))+IF(X725&lt;=6,(X725-1)*31+Y725,IF(X725&lt;=11,186+(X725-7)*30+Y725,336+Y725))-1,""))</f>
        <v/>
      </c>
      <c r="AA725" s="7" t="str">
        <f aca="false">IF(H725="","",VALUE(LEFT(H725,FIND("/",H725)-1)))</f>
        <v/>
      </c>
      <c r="AB725" s="7" t="str">
        <f aca="false">IF(H725="","",VALUE(MID(H725,FIND("/",H725)+1,FIND("/",H725,FIND("/",H725)+1)-FIND("/",H725)-1)))</f>
        <v/>
      </c>
      <c r="AC725" s="7" t="str">
        <f aca="false">IF(H725="","",VALUE(MID(H725,FIND("/",H725,FIND("/",H725)+1)+1,LEN(H725)-FIND("/",H725,FIND("/",H725)+1))))</f>
        <v/>
      </c>
      <c r="AD725" s="7" t="str">
        <f aca="false">IF(OR(H725="",AA725=""),"",IFERROR(INDEX('لیست‌ها'!$Q$3:$Q$53,MATCH(AA725,'لیست‌ها'!$P$3:$P$53,0))+IF(AB725&lt;=6,(AB725-1)*31+AC725,IF(AB725&lt;=11,186+(AB725-7)*30+AC725,336+AC725))-1,""))</f>
        <v/>
      </c>
      <c r="AE725" s="7" t="str">
        <f aca="false">IF(P725="","",VALUE(LEFT(P725,FIND("/",P725)-1)))</f>
        <v/>
      </c>
      <c r="AF725" s="7" t="str">
        <f aca="false">IF(P725="","",VALUE(MID(P725,FIND("/",P725)+1,FIND("/",P725,FIND("/",P725)+1)-FIND("/",P725)-1)))</f>
        <v/>
      </c>
      <c r="AG725" s="7" t="str">
        <f aca="false">IF(P725="","",VALUE(MID(P725,FIND("/",P725,FIND("/",P725)+1)+1,LEN(P725)-FIND("/",P725,FIND("/",P725)+1))))</f>
        <v/>
      </c>
      <c r="AH725" s="7" t="str">
        <f aca="false">IF(OR(P725="",AE725=""),"",IFERROR(INDEX('لیست‌ها'!$Q$3:$Q$53,MATCH(AE725,'لیست‌ها'!$P$3:$P$53,0))+IF(AF725&lt;=6,(AF725-1)*31+AG725,IF(AF725&lt;=11,186+(AF725-7)*30+AG725,336+AG725))-1,""))</f>
        <v/>
      </c>
      <c r="AI725" s="7" t="str">
        <f aca="false">IF(W725="","",W725&amp;"-"&amp;TEXT(X725,"00"))</f>
        <v/>
      </c>
      <c r="AJ725" s="7" t="str">
        <f aca="false">IF(W725="","",W725*12+X725)</f>
        <v/>
      </c>
      <c r="AK725" s="7" t="str">
        <f aca="false">IF(U725="تاخیر",V725+ROW()/100000,"")</f>
        <v/>
      </c>
    </row>
    <row r="726" customFormat="false" ht="15" hidden="false" customHeight="false" outlineLevel="0" collapsed="false">
      <c r="A726" s="7" t="str">
        <f aca="false">IF(B726="","",ROW()-3)</f>
        <v/>
      </c>
      <c r="B726" s="8"/>
      <c r="C726" s="8"/>
      <c r="D726" s="8"/>
      <c r="E726" s="9"/>
      <c r="F726" s="9"/>
      <c r="G726" s="8"/>
      <c r="H726" s="8"/>
      <c r="I726" s="8"/>
      <c r="J726" s="9"/>
      <c r="K726" s="8"/>
      <c r="L726" s="8"/>
      <c r="M726" s="8"/>
      <c r="N726" s="8"/>
      <c r="O726" s="8"/>
      <c r="P726" s="8"/>
      <c r="Q726" s="8"/>
      <c r="R726" s="9"/>
      <c r="S726" s="8"/>
      <c r="T726" s="9"/>
      <c r="U726" s="10" t="str">
        <f aca="true">IF(B726="","",IF(OR(P726&lt;&gt;"",I726="می‌باشد"),"بسته",IF(AND(L726&lt;&gt;"",W726=""),"خطای فرمت تاریخ ایجاد",IF(AND(H726&lt;&gt;"",AA726=""),"خطای فرمت مهلت",IF(AND(H726&lt;&gt;"",AD726&lt;&gt;"",TODAY()&gt;AD726),"تاخیر",IF(L726&lt;&gt;"","در حال انجام",""))))))</f>
        <v/>
      </c>
      <c r="V726" s="7" t="n">
        <f aca="true">IF(U726="تاخیر",TODAY()-AD726,IF(AND(U726="بسته",AH726&lt;&gt;"",AD726&lt;&gt;"",AH726&gt;AD726),AH726-AD726,0))</f>
        <v>0</v>
      </c>
      <c r="W726" s="7" t="str">
        <f aca="false">IF(L726="","",VALUE(LEFT(L726,FIND("/",L726)-1)))</f>
        <v/>
      </c>
      <c r="X726" s="7" t="str">
        <f aca="false">IF(L726="","",VALUE(MID(L726,FIND("/",L726)+1,FIND("/",L726,FIND("/",L726)+1)-FIND("/",L726)-1)))</f>
        <v/>
      </c>
      <c r="Y726" s="7" t="str">
        <f aca="false">IF(L726="","",VALUE(MID(L726,FIND("/",L726,FIND("/",L726)+1)+1,LEN(L726)-FIND("/",L726,FIND("/",L726)+1))))</f>
        <v/>
      </c>
      <c r="Z726" s="7" t="str">
        <f aca="false">IF(OR(L726="",W726=""),"",IFERROR(INDEX('لیست‌ها'!$Q$3:$Q$53,MATCH(W726,'لیست‌ها'!$P$3:$P$53,0))+IF(X726&lt;=6,(X726-1)*31+Y726,IF(X726&lt;=11,186+(X726-7)*30+Y726,336+Y726))-1,""))</f>
        <v/>
      </c>
      <c r="AA726" s="7" t="str">
        <f aca="false">IF(H726="","",VALUE(LEFT(H726,FIND("/",H726)-1)))</f>
        <v/>
      </c>
      <c r="AB726" s="7" t="str">
        <f aca="false">IF(H726="","",VALUE(MID(H726,FIND("/",H726)+1,FIND("/",H726,FIND("/",H726)+1)-FIND("/",H726)-1)))</f>
        <v/>
      </c>
      <c r="AC726" s="7" t="str">
        <f aca="false">IF(H726="","",VALUE(MID(H726,FIND("/",H726,FIND("/",H726)+1)+1,LEN(H726)-FIND("/",H726,FIND("/",H726)+1))))</f>
        <v/>
      </c>
      <c r="AD726" s="7" t="str">
        <f aca="false">IF(OR(H726="",AA726=""),"",IFERROR(INDEX('لیست‌ها'!$Q$3:$Q$53,MATCH(AA726,'لیست‌ها'!$P$3:$P$53,0))+IF(AB726&lt;=6,(AB726-1)*31+AC726,IF(AB726&lt;=11,186+(AB726-7)*30+AC726,336+AC726))-1,""))</f>
        <v/>
      </c>
      <c r="AE726" s="7" t="str">
        <f aca="false">IF(P726="","",VALUE(LEFT(P726,FIND("/",P726)-1)))</f>
        <v/>
      </c>
      <c r="AF726" s="7" t="str">
        <f aca="false">IF(P726="","",VALUE(MID(P726,FIND("/",P726)+1,FIND("/",P726,FIND("/",P726)+1)-FIND("/",P726)-1)))</f>
        <v/>
      </c>
      <c r="AG726" s="7" t="str">
        <f aca="false">IF(P726="","",VALUE(MID(P726,FIND("/",P726,FIND("/",P726)+1)+1,LEN(P726)-FIND("/",P726,FIND("/",P726)+1))))</f>
        <v/>
      </c>
      <c r="AH726" s="7" t="str">
        <f aca="false">IF(OR(P726="",AE726=""),"",IFERROR(INDEX('لیست‌ها'!$Q$3:$Q$53,MATCH(AE726,'لیست‌ها'!$P$3:$P$53,0))+IF(AF726&lt;=6,(AF726-1)*31+AG726,IF(AF726&lt;=11,186+(AF726-7)*30+AG726,336+AG726))-1,""))</f>
        <v/>
      </c>
      <c r="AI726" s="7" t="str">
        <f aca="false">IF(W726="","",W726&amp;"-"&amp;TEXT(X726,"00"))</f>
        <v/>
      </c>
      <c r="AJ726" s="7" t="str">
        <f aca="false">IF(W726="","",W726*12+X726)</f>
        <v/>
      </c>
      <c r="AK726" s="7" t="str">
        <f aca="false">IF(U726="تاخیر",V726+ROW()/100000,"")</f>
        <v/>
      </c>
    </row>
    <row r="727" customFormat="false" ht="15" hidden="false" customHeight="false" outlineLevel="0" collapsed="false">
      <c r="A727" s="7" t="str">
        <f aca="false">IF(B727="","",ROW()-3)</f>
        <v/>
      </c>
      <c r="B727" s="8"/>
      <c r="C727" s="8"/>
      <c r="D727" s="8"/>
      <c r="E727" s="9"/>
      <c r="F727" s="9"/>
      <c r="G727" s="8"/>
      <c r="H727" s="8"/>
      <c r="I727" s="8"/>
      <c r="J727" s="9"/>
      <c r="K727" s="8"/>
      <c r="L727" s="8"/>
      <c r="M727" s="8"/>
      <c r="N727" s="8"/>
      <c r="O727" s="8"/>
      <c r="P727" s="8"/>
      <c r="Q727" s="8"/>
      <c r="R727" s="9"/>
      <c r="S727" s="8"/>
      <c r="T727" s="9"/>
      <c r="U727" s="10" t="str">
        <f aca="true">IF(B727="","",IF(OR(P727&lt;&gt;"",I727="می‌باشد"),"بسته",IF(AND(L727&lt;&gt;"",W727=""),"خطای فرمت تاریخ ایجاد",IF(AND(H727&lt;&gt;"",AA727=""),"خطای فرمت مهلت",IF(AND(H727&lt;&gt;"",AD727&lt;&gt;"",TODAY()&gt;AD727),"تاخیر",IF(L727&lt;&gt;"","در حال انجام",""))))))</f>
        <v/>
      </c>
      <c r="V727" s="7" t="n">
        <f aca="true">IF(U727="تاخیر",TODAY()-AD727,IF(AND(U727="بسته",AH727&lt;&gt;"",AD727&lt;&gt;"",AH727&gt;AD727),AH727-AD727,0))</f>
        <v>0</v>
      </c>
      <c r="W727" s="7" t="str">
        <f aca="false">IF(L727="","",VALUE(LEFT(L727,FIND("/",L727)-1)))</f>
        <v/>
      </c>
      <c r="X727" s="7" t="str">
        <f aca="false">IF(L727="","",VALUE(MID(L727,FIND("/",L727)+1,FIND("/",L727,FIND("/",L727)+1)-FIND("/",L727)-1)))</f>
        <v/>
      </c>
      <c r="Y727" s="7" t="str">
        <f aca="false">IF(L727="","",VALUE(MID(L727,FIND("/",L727,FIND("/",L727)+1)+1,LEN(L727)-FIND("/",L727,FIND("/",L727)+1))))</f>
        <v/>
      </c>
      <c r="Z727" s="7" t="str">
        <f aca="false">IF(OR(L727="",W727=""),"",IFERROR(INDEX('لیست‌ها'!$Q$3:$Q$53,MATCH(W727,'لیست‌ها'!$P$3:$P$53,0))+IF(X727&lt;=6,(X727-1)*31+Y727,IF(X727&lt;=11,186+(X727-7)*30+Y727,336+Y727))-1,""))</f>
        <v/>
      </c>
      <c r="AA727" s="7" t="str">
        <f aca="false">IF(H727="","",VALUE(LEFT(H727,FIND("/",H727)-1)))</f>
        <v/>
      </c>
      <c r="AB727" s="7" t="str">
        <f aca="false">IF(H727="","",VALUE(MID(H727,FIND("/",H727)+1,FIND("/",H727,FIND("/",H727)+1)-FIND("/",H727)-1)))</f>
        <v/>
      </c>
      <c r="AC727" s="7" t="str">
        <f aca="false">IF(H727="","",VALUE(MID(H727,FIND("/",H727,FIND("/",H727)+1)+1,LEN(H727)-FIND("/",H727,FIND("/",H727)+1))))</f>
        <v/>
      </c>
      <c r="AD727" s="7" t="str">
        <f aca="false">IF(OR(H727="",AA727=""),"",IFERROR(INDEX('لیست‌ها'!$Q$3:$Q$53,MATCH(AA727,'لیست‌ها'!$P$3:$P$53,0))+IF(AB727&lt;=6,(AB727-1)*31+AC727,IF(AB727&lt;=11,186+(AB727-7)*30+AC727,336+AC727))-1,""))</f>
        <v/>
      </c>
      <c r="AE727" s="7" t="str">
        <f aca="false">IF(P727="","",VALUE(LEFT(P727,FIND("/",P727)-1)))</f>
        <v/>
      </c>
      <c r="AF727" s="7" t="str">
        <f aca="false">IF(P727="","",VALUE(MID(P727,FIND("/",P727)+1,FIND("/",P727,FIND("/",P727)+1)-FIND("/",P727)-1)))</f>
        <v/>
      </c>
      <c r="AG727" s="7" t="str">
        <f aca="false">IF(P727="","",VALUE(MID(P727,FIND("/",P727,FIND("/",P727)+1)+1,LEN(P727)-FIND("/",P727,FIND("/",P727)+1))))</f>
        <v/>
      </c>
      <c r="AH727" s="7" t="str">
        <f aca="false">IF(OR(P727="",AE727=""),"",IFERROR(INDEX('لیست‌ها'!$Q$3:$Q$53,MATCH(AE727,'لیست‌ها'!$P$3:$P$53,0))+IF(AF727&lt;=6,(AF727-1)*31+AG727,IF(AF727&lt;=11,186+(AF727-7)*30+AG727,336+AG727))-1,""))</f>
        <v/>
      </c>
      <c r="AI727" s="7" t="str">
        <f aca="false">IF(W727="","",W727&amp;"-"&amp;TEXT(X727,"00"))</f>
        <v/>
      </c>
      <c r="AJ727" s="7" t="str">
        <f aca="false">IF(W727="","",W727*12+X727)</f>
        <v/>
      </c>
      <c r="AK727" s="7" t="str">
        <f aca="false">IF(U727="تاخیر",V727+ROW()/100000,"")</f>
        <v/>
      </c>
    </row>
    <row r="728" customFormat="false" ht="15" hidden="false" customHeight="false" outlineLevel="0" collapsed="false">
      <c r="A728" s="7" t="str">
        <f aca="false">IF(B728="","",ROW()-3)</f>
        <v/>
      </c>
      <c r="B728" s="8"/>
      <c r="C728" s="8"/>
      <c r="D728" s="8"/>
      <c r="E728" s="9"/>
      <c r="F728" s="9"/>
      <c r="G728" s="8"/>
      <c r="H728" s="8"/>
      <c r="I728" s="8"/>
      <c r="J728" s="9"/>
      <c r="K728" s="8"/>
      <c r="L728" s="8"/>
      <c r="M728" s="8"/>
      <c r="N728" s="8"/>
      <c r="O728" s="8"/>
      <c r="P728" s="8"/>
      <c r="Q728" s="8"/>
      <c r="R728" s="9"/>
      <c r="S728" s="8"/>
      <c r="T728" s="9"/>
      <c r="U728" s="10" t="str">
        <f aca="true">IF(B728="","",IF(OR(P728&lt;&gt;"",I728="می‌باشد"),"بسته",IF(AND(L728&lt;&gt;"",W728=""),"خطای فرمت تاریخ ایجاد",IF(AND(H728&lt;&gt;"",AA728=""),"خطای فرمت مهلت",IF(AND(H728&lt;&gt;"",AD728&lt;&gt;"",TODAY()&gt;AD728),"تاخیر",IF(L728&lt;&gt;"","در حال انجام",""))))))</f>
        <v/>
      </c>
      <c r="V728" s="7" t="n">
        <f aca="true">IF(U728="تاخیر",TODAY()-AD728,IF(AND(U728="بسته",AH728&lt;&gt;"",AD728&lt;&gt;"",AH728&gt;AD728),AH728-AD728,0))</f>
        <v>0</v>
      </c>
      <c r="W728" s="7" t="str">
        <f aca="false">IF(L728="","",VALUE(LEFT(L728,FIND("/",L728)-1)))</f>
        <v/>
      </c>
      <c r="X728" s="7" t="str">
        <f aca="false">IF(L728="","",VALUE(MID(L728,FIND("/",L728)+1,FIND("/",L728,FIND("/",L728)+1)-FIND("/",L728)-1)))</f>
        <v/>
      </c>
      <c r="Y728" s="7" t="str">
        <f aca="false">IF(L728="","",VALUE(MID(L728,FIND("/",L728,FIND("/",L728)+1)+1,LEN(L728)-FIND("/",L728,FIND("/",L728)+1))))</f>
        <v/>
      </c>
      <c r="Z728" s="7" t="str">
        <f aca="false">IF(OR(L728="",W728=""),"",IFERROR(INDEX('لیست‌ها'!$Q$3:$Q$53,MATCH(W728,'لیست‌ها'!$P$3:$P$53,0))+IF(X728&lt;=6,(X728-1)*31+Y728,IF(X728&lt;=11,186+(X728-7)*30+Y728,336+Y728))-1,""))</f>
        <v/>
      </c>
      <c r="AA728" s="7" t="str">
        <f aca="false">IF(H728="","",VALUE(LEFT(H728,FIND("/",H728)-1)))</f>
        <v/>
      </c>
      <c r="AB728" s="7" t="str">
        <f aca="false">IF(H728="","",VALUE(MID(H728,FIND("/",H728)+1,FIND("/",H728,FIND("/",H728)+1)-FIND("/",H728)-1)))</f>
        <v/>
      </c>
      <c r="AC728" s="7" t="str">
        <f aca="false">IF(H728="","",VALUE(MID(H728,FIND("/",H728,FIND("/",H728)+1)+1,LEN(H728)-FIND("/",H728,FIND("/",H728)+1))))</f>
        <v/>
      </c>
      <c r="AD728" s="7" t="str">
        <f aca="false">IF(OR(H728="",AA728=""),"",IFERROR(INDEX('لیست‌ها'!$Q$3:$Q$53,MATCH(AA728,'لیست‌ها'!$P$3:$P$53,0))+IF(AB728&lt;=6,(AB728-1)*31+AC728,IF(AB728&lt;=11,186+(AB728-7)*30+AC728,336+AC728))-1,""))</f>
        <v/>
      </c>
      <c r="AE728" s="7" t="str">
        <f aca="false">IF(P728="","",VALUE(LEFT(P728,FIND("/",P728)-1)))</f>
        <v/>
      </c>
      <c r="AF728" s="7" t="str">
        <f aca="false">IF(P728="","",VALUE(MID(P728,FIND("/",P728)+1,FIND("/",P728,FIND("/",P728)+1)-FIND("/",P728)-1)))</f>
        <v/>
      </c>
      <c r="AG728" s="7" t="str">
        <f aca="false">IF(P728="","",VALUE(MID(P728,FIND("/",P728,FIND("/",P728)+1)+1,LEN(P728)-FIND("/",P728,FIND("/",P728)+1))))</f>
        <v/>
      </c>
      <c r="AH728" s="7" t="str">
        <f aca="false">IF(OR(P728="",AE728=""),"",IFERROR(INDEX('لیست‌ها'!$Q$3:$Q$53,MATCH(AE728,'لیست‌ها'!$P$3:$P$53,0))+IF(AF728&lt;=6,(AF728-1)*31+AG728,IF(AF728&lt;=11,186+(AF728-7)*30+AG728,336+AG728))-1,""))</f>
        <v/>
      </c>
      <c r="AI728" s="7" t="str">
        <f aca="false">IF(W728="","",W728&amp;"-"&amp;TEXT(X728,"00"))</f>
        <v/>
      </c>
      <c r="AJ728" s="7" t="str">
        <f aca="false">IF(W728="","",W728*12+X728)</f>
        <v/>
      </c>
      <c r="AK728" s="7" t="str">
        <f aca="false">IF(U728="تاخیر",V728+ROW()/100000,"")</f>
        <v/>
      </c>
    </row>
    <row r="729" customFormat="false" ht="15" hidden="false" customHeight="false" outlineLevel="0" collapsed="false">
      <c r="A729" s="7" t="str">
        <f aca="false">IF(B729="","",ROW()-3)</f>
        <v/>
      </c>
      <c r="B729" s="8"/>
      <c r="C729" s="8"/>
      <c r="D729" s="8"/>
      <c r="E729" s="9"/>
      <c r="F729" s="9"/>
      <c r="G729" s="8"/>
      <c r="H729" s="8"/>
      <c r="I729" s="8"/>
      <c r="J729" s="9"/>
      <c r="K729" s="8"/>
      <c r="L729" s="8"/>
      <c r="M729" s="8"/>
      <c r="N729" s="8"/>
      <c r="O729" s="8"/>
      <c r="P729" s="8"/>
      <c r="Q729" s="8"/>
      <c r="R729" s="9"/>
      <c r="S729" s="8"/>
      <c r="T729" s="9"/>
      <c r="U729" s="10" t="str">
        <f aca="true">IF(B729="","",IF(OR(P729&lt;&gt;"",I729="می‌باشد"),"بسته",IF(AND(L729&lt;&gt;"",W729=""),"خطای فرمت تاریخ ایجاد",IF(AND(H729&lt;&gt;"",AA729=""),"خطای فرمت مهلت",IF(AND(H729&lt;&gt;"",AD729&lt;&gt;"",TODAY()&gt;AD729),"تاخیر",IF(L729&lt;&gt;"","در حال انجام",""))))))</f>
        <v/>
      </c>
      <c r="V729" s="7" t="n">
        <f aca="true">IF(U729="تاخیر",TODAY()-AD729,IF(AND(U729="بسته",AH729&lt;&gt;"",AD729&lt;&gt;"",AH729&gt;AD729),AH729-AD729,0))</f>
        <v>0</v>
      </c>
      <c r="W729" s="7" t="str">
        <f aca="false">IF(L729="","",VALUE(LEFT(L729,FIND("/",L729)-1)))</f>
        <v/>
      </c>
      <c r="X729" s="7" t="str">
        <f aca="false">IF(L729="","",VALUE(MID(L729,FIND("/",L729)+1,FIND("/",L729,FIND("/",L729)+1)-FIND("/",L729)-1)))</f>
        <v/>
      </c>
      <c r="Y729" s="7" t="str">
        <f aca="false">IF(L729="","",VALUE(MID(L729,FIND("/",L729,FIND("/",L729)+1)+1,LEN(L729)-FIND("/",L729,FIND("/",L729)+1))))</f>
        <v/>
      </c>
      <c r="Z729" s="7" t="str">
        <f aca="false">IF(OR(L729="",W729=""),"",IFERROR(INDEX('لیست‌ها'!$Q$3:$Q$53,MATCH(W729,'لیست‌ها'!$P$3:$P$53,0))+IF(X729&lt;=6,(X729-1)*31+Y729,IF(X729&lt;=11,186+(X729-7)*30+Y729,336+Y729))-1,""))</f>
        <v/>
      </c>
      <c r="AA729" s="7" t="str">
        <f aca="false">IF(H729="","",VALUE(LEFT(H729,FIND("/",H729)-1)))</f>
        <v/>
      </c>
      <c r="AB729" s="7" t="str">
        <f aca="false">IF(H729="","",VALUE(MID(H729,FIND("/",H729)+1,FIND("/",H729,FIND("/",H729)+1)-FIND("/",H729)-1)))</f>
        <v/>
      </c>
      <c r="AC729" s="7" t="str">
        <f aca="false">IF(H729="","",VALUE(MID(H729,FIND("/",H729,FIND("/",H729)+1)+1,LEN(H729)-FIND("/",H729,FIND("/",H729)+1))))</f>
        <v/>
      </c>
      <c r="AD729" s="7" t="str">
        <f aca="false">IF(OR(H729="",AA729=""),"",IFERROR(INDEX('لیست‌ها'!$Q$3:$Q$53,MATCH(AA729,'لیست‌ها'!$P$3:$P$53,0))+IF(AB729&lt;=6,(AB729-1)*31+AC729,IF(AB729&lt;=11,186+(AB729-7)*30+AC729,336+AC729))-1,""))</f>
        <v/>
      </c>
      <c r="AE729" s="7" t="str">
        <f aca="false">IF(P729="","",VALUE(LEFT(P729,FIND("/",P729)-1)))</f>
        <v/>
      </c>
      <c r="AF729" s="7" t="str">
        <f aca="false">IF(P729="","",VALUE(MID(P729,FIND("/",P729)+1,FIND("/",P729,FIND("/",P729)+1)-FIND("/",P729)-1)))</f>
        <v/>
      </c>
      <c r="AG729" s="7" t="str">
        <f aca="false">IF(P729="","",VALUE(MID(P729,FIND("/",P729,FIND("/",P729)+1)+1,LEN(P729)-FIND("/",P729,FIND("/",P729)+1))))</f>
        <v/>
      </c>
      <c r="AH729" s="7" t="str">
        <f aca="false">IF(OR(P729="",AE729=""),"",IFERROR(INDEX('لیست‌ها'!$Q$3:$Q$53,MATCH(AE729,'لیست‌ها'!$P$3:$P$53,0))+IF(AF729&lt;=6,(AF729-1)*31+AG729,IF(AF729&lt;=11,186+(AF729-7)*30+AG729,336+AG729))-1,""))</f>
        <v/>
      </c>
      <c r="AI729" s="7" t="str">
        <f aca="false">IF(W729="","",W729&amp;"-"&amp;TEXT(X729,"00"))</f>
        <v/>
      </c>
      <c r="AJ729" s="7" t="str">
        <f aca="false">IF(W729="","",W729*12+X729)</f>
        <v/>
      </c>
      <c r="AK729" s="7" t="str">
        <f aca="false">IF(U729="تاخیر",V729+ROW()/100000,"")</f>
        <v/>
      </c>
    </row>
    <row r="730" customFormat="false" ht="15" hidden="false" customHeight="false" outlineLevel="0" collapsed="false">
      <c r="A730" s="7" t="str">
        <f aca="false">IF(B730="","",ROW()-3)</f>
        <v/>
      </c>
      <c r="B730" s="8"/>
      <c r="C730" s="8"/>
      <c r="D730" s="8"/>
      <c r="E730" s="9"/>
      <c r="F730" s="9"/>
      <c r="G730" s="8"/>
      <c r="H730" s="8"/>
      <c r="I730" s="8"/>
      <c r="J730" s="9"/>
      <c r="K730" s="8"/>
      <c r="L730" s="8"/>
      <c r="M730" s="8"/>
      <c r="N730" s="8"/>
      <c r="O730" s="8"/>
      <c r="P730" s="8"/>
      <c r="Q730" s="8"/>
      <c r="R730" s="9"/>
      <c r="S730" s="8"/>
      <c r="T730" s="9"/>
      <c r="U730" s="10" t="str">
        <f aca="true">IF(B730="","",IF(OR(P730&lt;&gt;"",I730="می‌باشد"),"بسته",IF(AND(L730&lt;&gt;"",W730=""),"خطای فرمت تاریخ ایجاد",IF(AND(H730&lt;&gt;"",AA730=""),"خطای فرمت مهلت",IF(AND(H730&lt;&gt;"",AD730&lt;&gt;"",TODAY()&gt;AD730),"تاخیر",IF(L730&lt;&gt;"","در حال انجام",""))))))</f>
        <v/>
      </c>
      <c r="V730" s="7" t="n">
        <f aca="true">IF(U730="تاخیر",TODAY()-AD730,IF(AND(U730="بسته",AH730&lt;&gt;"",AD730&lt;&gt;"",AH730&gt;AD730),AH730-AD730,0))</f>
        <v>0</v>
      </c>
      <c r="W730" s="7" t="str">
        <f aca="false">IF(L730="","",VALUE(LEFT(L730,FIND("/",L730)-1)))</f>
        <v/>
      </c>
      <c r="X730" s="7" t="str">
        <f aca="false">IF(L730="","",VALUE(MID(L730,FIND("/",L730)+1,FIND("/",L730,FIND("/",L730)+1)-FIND("/",L730)-1)))</f>
        <v/>
      </c>
      <c r="Y730" s="7" t="str">
        <f aca="false">IF(L730="","",VALUE(MID(L730,FIND("/",L730,FIND("/",L730)+1)+1,LEN(L730)-FIND("/",L730,FIND("/",L730)+1))))</f>
        <v/>
      </c>
      <c r="Z730" s="7" t="str">
        <f aca="false">IF(OR(L730="",W730=""),"",IFERROR(INDEX('لیست‌ها'!$Q$3:$Q$53,MATCH(W730,'لیست‌ها'!$P$3:$P$53,0))+IF(X730&lt;=6,(X730-1)*31+Y730,IF(X730&lt;=11,186+(X730-7)*30+Y730,336+Y730))-1,""))</f>
        <v/>
      </c>
      <c r="AA730" s="7" t="str">
        <f aca="false">IF(H730="","",VALUE(LEFT(H730,FIND("/",H730)-1)))</f>
        <v/>
      </c>
      <c r="AB730" s="7" t="str">
        <f aca="false">IF(H730="","",VALUE(MID(H730,FIND("/",H730)+1,FIND("/",H730,FIND("/",H730)+1)-FIND("/",H730)-1)))</f>
        <v/>
      </c>
      <c r="AC730" s="7" t="str">
        <f aca="false">IF(H730="","",VALUE(MID(H730,FIND("/",H730,FIND("/",H730)+1)+1,LEN(H730)-FIND("/",H730,FIND("/",H730)+1))))</f>
        <v/>
      </c>
      <c r="AD730" s="7" t="str">
        <f aca="false">IF(OR(H730="",AA730=""),"",IFERROR(INDEX('لیست‌ها'!$Q$3:$Q$53,MATCH(AA730,'لیست‌ها'!$P$3:$P$53,0))+IF(AB730&lt;=6,(AB730-1)*31+AC730,IF(AB730&lt;=11,186+(AB730-7)*30+AC730,336+AC730))-1,""))</f>
        <v/>
      </c>
      <c r="AE730" s="7" t="str">
        <f aca="false">IF(P730="","",VALUE(LEFT(P730,FIND("/",P730)-1)))</f>
        <v/>
      </c>
      <c r="AF730" s="7" t="str">
        <f aca="false">IF(P730="","",VALUE(MID(P730,FIND("/",P730)+1,FIND("/",P730,FIND("/",P730)+1)-FIND("/",P730)-1)))</f>
        <v/>
      </c>
      <c r="AG730" s="7" t="str">
        <f aca="false">IF(P730="","",VALUE(MID(P730,FIND("/",P730,FIND("/",P730)+1)+1,LEN(P730)-FIND("/",P730,FIND("/",P730)+1))))</f>
        <v/>
      </c>
      <c r="AH730" s="7" t="str">
        <f aca="false">IF(OR(P730="",AE730=""),"",IFERROR(INDEX('لیست‌ها'!$Q$3:$Q$53,MATCH(AE730,'لیست‌ها'!$P$3:$P$53,0))+IF(AF730&lt;=6,(AF730-1)*31+AG730,IF(AF730&lt;=11,186+(AF730-7)*30+AG730,336+AG730))-1,""))</f>
        <v/>
      </c>
      <c r="AI730" s="7" t="str">
        <f aca="false">IF(W730="","",W730&amp;"-"&amp;TEXT(X730,"00"))</f>
        <v/>
      </c>
      <c r="AJ730" s="7" t="str">
        <f aca="false">IF(W730="","",W730*12+X730)</f>
        <v/>
      </c>
      <c r="AK730" s="7" t="str">
        <f aca="false">IF(U730="تاخیر",V730+ROW()/100000,"")</f>
        <v/>
      </c>
    </row>
    <row r="731" customFormat="false" ht="15" hidden="false" customHeight="false" outlineLevel="0" collapsed="false">
      <c r="A731" s="7" t="str">
        <f aca="false">IF(B731="","",ROW()-3)</f>
        <v/>
      </c>
      <c r="B731" s="8"/>
      <c r="C731" s="8"/>
      <c r="D731" s="8"/>
      <c r="E731" s="9"/>
      <c r="F731" s="9"/>
      <c r="G731" s="8"/>
      <c r="H731" s="8"/>
      <c r="I731" s="8"/>
      <c r="J731" s="9"/>
      <c r="K731" s="8"/>
      <c r="L731" s="8"/>
      <c r="M731" s="8"/>
      <c r="N731" s="8"/>
      <c r="O731" s="8"/>
      <c r="P731" s="8"/>
      <c r="Q731" s="8"/>
      <c r="R731" s="9"/>
      <c r="S731" s="8"/>
      <c r="T731" s="9"/>
      <c r="U731" s="10" t="str">
        <f aca="true">IF(B731="","",IF(OR(P731&lt;&gt;"",I731="می‌باشد"),"بسته",IF(AND(L731&lt;&gt;"",W731=""),"خطای فرمت تاریخ ایجاد",IF(AND(H731&lt;&gt;"",AA731=""),"خطای فرمت مهلت",IF(AND(H731&lt;&gt;"",AD731&lt;&gt;"",TODAY()&gt;AD731),"تاخیر",IF(L731&lt;&gt;"","در حال انجام",""))))))</f>
        <v/>
      </c>
      <c r="V731" s="7" t="n">
        <f aca="true">IF(U731="تاخیر",TODAY()-AD731,IF(AND(U731="بسته",AH731&lt;&gt;"",AD731&lt;&gt;"",AH731&gt;AD731),AH731-AD731,0))</f>
        <v>0</v>
      </c>
      <c r="W731" s="7" t="str">
        <f aca="false">IF(L731="","",VALUE(LEFT(L731,FIND("/",L731)-1)))</f>
        <v/>
      </c>
      <c r="X731" s="7" t="str">
        <f aca="false">IF(L731="","",VALUE(MID(L731,FIND("/",L731)+1,FIND("/",L731,FIND("/",L731)+1)-FIND("/",L731)-1)))</f>
        <v/>
      </c>
      <c r="Y731" s="7" t="str">
        <f aca="false">IF(L731="","",VALUE(MID(L731,FIND("/",L731,FIND("/",L731)+1)+1,LEN(L731)-FIND("/",L731,FIND("/",L731)+1))))</f>
        <v/>
      </c>
      <c r="Z731" s="7" t="str">
        <f aca="false">IF(OR(L731="",W731=""),"",IFERROR(INDEX('لیست‌ها'!$Q$3:$Q$53,MATCH(W731,'لیست‌ها'!$P$3:$P$53,0))+IF(X731&lt;=6,(X731-1)*31+Y731,IF(X731&lt;=11,186+(X731-7)*30+Y731,336+Y731))-1,""))</f>
        <v/>
      </c>
      <c r="AA731" s="7" t="str">
        <f aca="false">IF(H731="","",VALUE(LEFT(H731,FIND("/",H731)-1)))</f>
        <v/>
      </c>
      <c r="AB731" s="7" t="str">
        <f aca="false">IF(H731="","",VALUE(MID(H731,FIND("/",H731)+1,FIND("/",H731,FIND("/",H731)+1)-FIND("/",H731)-1)))</f>
        <v/>
      </c>
      <c r="AC731" s="7" t="str">
        <f aca="false">IF(H731="","",VALUE(MID(H731,FIND("/",H731,FIND("/",H731)+1)+1,LEN(H731)-FIND("/",H731,FIND("/",H731)+1))))</f>
        <v/>
      </c>
      <c r="AD731" s="7" t="str">
        <f aca="false">IF(OR(H731="",AA731=""),"",IFERROR(INDEX('لیست‌ها'!$Q$3:$Q$53,MATCH(AA731,'لیست‌ها'!$P$3:$P$53,0))+IF(AB731&lt;=6,(AB731-1)*31+AC731,IF(AB731&lt;=11,186+(AB731-7)*30+AC731,336+AC731))-1,""))</f>
        <v/>
      </c>
      <c r="AE731" s="7" t="str">
        <f aca="false">IF(P731="","",VALUE(LEFT(P731,FIND("/",P731)-1)))</f>
        <v/>
      </c>
      <c r="AF731" s="7" t="str">
        <f aca="false">IF(P731="","",VALUE(MID(P731,FIND("/",P731)+1,FIND("/",P731,FIND("/",P731)+1)-FIND("/",P731)-1)))</f>
        <v/>
      </c>
      <c r="AG731" s="7" t="str">
        <f aca="false">IF(P731="","",VALUE(MID(P731,FIND("/",P731,FIND("/",P731)+1)+1,LEN(P731)-FIND("/",P731,FIND("/",P731)+1))))</f>
        <v/>
      </c>
      <c r="AH731" s="7" t="str">
        <f aca="false">IF(OR(P731="",AE731=""),"",IFERROR(INDEX('لیست‌ها'!$Q$3:$Q$53,MATCH(AE731,'لیست‌ها'!$P$3:$P$53,0))+IF(AF731&lt;=6,(AF731-1)*31+AG731,IF(AF731&lt;=11,186+(AF731-7)*30+AG731,336+AG731))-1,""))</f>
        <v/>
      </c>
      <c r="AI731" s="7" t="str">
        <f aca="false">IF(W731="","",W731&amp;"-"&amp;TEXT(X731,"00"))</f>
        <v/>
      </c>
      <c r="AJ731" s="7" t="str">
        <f aca="false">IF(W731="","",W731*12+X731)</f>
        <v/>
      </c>
      <c r="AK731" s="7" t="str">
        <f aca="false">IF(U731="تاخیر",V731+ROW()/100000,"")</f>
        <v/>
      </c>
    </row>
    <row r="732" customFormat="false" ht="15" hidden="false" customHeight="false" outlineLevel="0" collapsed="false">
      <c r="A732" s="7" t="str">
        <f aca="false">IF(B732="","",ROW()-3)</f>
        <v/>
      </c>
      <c r="B732" s="8"/>
      <c r="C732" s="8"/>
      <c r="D732" s="8"/>
      <c r="E732" s="9"/>
      <c r="F732" s="9"/>
      <c r="G732" s="8"/>
      <c r="H732" s="8"/>
      <c r="I732" s="8"/>
      <c r="J732" s="9"/>
      <c r="K732" s="8"/>
      <c r="L732" s="8"/>
      <c r="M732" s="8"/>
      <c r="N732" s="8"/>
      <c r="O732" s="8"/>
      <c r="P732" s="8"/>
      <c r="Q732" s="8"/>
      <c r="R732" s="9"/>
      <c r="S732" s="8"/>
      <c r="T732" s="9"/>
      <c r="U732" s="10" t="str">
        <f aca="true">IF(B732="","",IF(OR(P732&lt;&gt;"",I732="می‌باشد"),"بسته",IF(AND(L732&lt;&gt;"",W732=""),"خطای فرمت تاریخ ایجاد",IF(AND(H732&lt;&gt;"",AA732=""),"خطای فرمت مهلت",IF(AND(H732&lt;&gt;"",AD732&lt;&gt;"",TODAY()&gt;AD732),"تاخیر",IF(L732&lt;&gt;"","در حال انجام",""))))))</f>
        <v/>
      </c>
      <c r="V732" s="7" t="n">
        <f aca="true">IF(U732="تاخیر",TODAY()-AD732,IF(AND(U732="بسته",AH732&lt;&gt;"",AD732&lt;&gt;"",AH732&gt;AD732),AH732-AD732,0))</f>
        <v>0</v>
      </c>
      <c r="W732" s="7" t="str">
        <f aca="false">IF(L732="","",VALUE(LEFT(L732,FIND("/",L732)-1)))</f>
        <v/>
      </c>
      <c r="X732" s="7" t="str">
        <f aca="false">IF(L732="","",VALUE(MID(L732,FIND("/",L732)+1,FIND("/",L732,FIND("/",L732)+1)-FIND("/",L732)-1)))</f>
        <v/>
      </c>
      <c r="Y732" s="7" t="str">
        <f aca="false">IF(L732="","",VALUE(MID(L732,FIND("/",L732,FIND("/",L732)+1)+1,LEN(L732)-FIND("/",L732,FIND("/",L732)+1))))</f>
        <v/>
      </c>
      <c r="Z732" s="7" t="str">
        <f aca="false">IF(OR(L732="",W732=""),"",IFERROR(INDEX('لیست‌ها'!$Q$3:$Q$53,MATCH(W732,'لیست‌ها'!$P$3:$P$53,0))+IF(X732&lt;=6,(X732-1)*31+Y732,IF(X732&lt;=11,186+(X732-7)*30+Y732,336+Y732))-1,""))</f>
        <v/>
      </c>
      <c r="AA732" s="7" t="str">
        <f aca="false">IF(H732="","",VALUE(LEFT(H732,FIND("/",H732)-1)))</f>
        <v/>
      </c>
      <c r="AB732" s="7" t="str">
        <f aca="false">IF(H732="","",VALUE(MID(H732,FIND("/",H732)+1,FIND("/",H732,FIND("/",H732)+1)-FIND("/",H732)-1)))</f>
        <v/>
      </c>
      <c r="AC732" s="7" t="str">
        <f aca="false">IF(H732="","",VALUE(MID(H732,FIND("/",H732,FIND("/",H732)+1)+1,LEN(H732)-FIND("/",H732,FIND("/",H732)+1))))</f>
        <v/>
      </c>
      <c r="AD732" s="7" t="str">
        <f aca="false">IF(OR(H732="",AA732=""),"",IFERROR(INDEX('لیست‌ها'!$Q$3:$Q$53,MATCH(AA732,'لیست‌ها'!$P$3:$P$53,0))+IF(AB732&lt;=6,(AB732-1)*31+AC732,IF(AB732&lt;=11,186+(AB732-7)*30+AC732,336+AC732))-1,""))</f>
        <v/>
      </c>
      <c r="AE732" s="7" t="str">
        <f aca="false">IF(P732="","",VALUE(LEFT(P732,FIND("/",P732)-1)))</f>
        <v/>
      </c>
      <c r="AF732" s="7" t="str">
        <f aca="false">IF(P732="","",VALUE(MID(P732,FIND("/",P732)+1,FIND("/",P732,FIND("/",P732)+1)-FIND("/",P732)-1)))</f>
        <v/>
      </c>
      <c r="AG732" s="7" t="str">
        <f aca="false">IF(P732="","",VALUE(MID(P732,FIND("/",P732,FIND("/",P732)+1)+1,LEN(P732)-FIND("/",P732,FIND("/",P732)+1))))</f>
        <v/>
      </c>
      <c r="AH732" s="7" t="str">
        <f aca="false">IF(OR(P732="",AE732=""),"",IFERROR(INDEX('لیست‌ها'!$Q$3:$Q$53,MATCH(AE732,'لیست‌ها'!$P$3:$P$53,0))+IF(AF732&lt;=6,(AF732-1)*31+AG732,IF(AF732&lt;=11,186+(AF732-7)*30+AG732,336+AG732))-1,""))</f>
        <v/>
      </c>
      <c r="AI732" s="7" t="str">
        <f aca="false">IF(W732="","",W732&amp;"-"&amp;TEXT(X732,"00"))</f>
        <v/>
      </c>
      <c r="AJ732" s="7" t="str">
        <f aca="false">IF(W732="","",W732*12+X732)</f>
        <v/>
      </c>
      <c r="AK732" s="7" t="str">
        <f aca="false">IF(U732="تاخیر",V732+ROW()/100000,"")</f>
        <v/>
      </c>
    </row>
    <row r="733" customFormat="false" ht="15" hidden="false" customHeight="false" outlineLevel="0" collapsed="false">
      <c r="A733" s="7" t="str">
        <f aca="false">IF(B733="","",ROW()-3)</f>
        <v/>
      </c>
      <c r="B733" s="8"/>
      <c r="C733" s="8"/>
      <c r="D733" s="8"/>
      <c r="E733" s="9"/>
      <c r="F733" s="9"/>
      <c r="G733" s="8"/>
      <c r="H733" s="8"/>
      <c r="I733" s="8"/>
      <c r="J733" s="9"/>
      <c r="K733" s="8"/>
      <c r="L733" s="8"/>
      <c r="M733" s="8"/>
      <c r="N733" s="8"/>
      <c r="O733" s="8"/>
      <c r="P733" s="8"/>
      <c r="Q733" s="8"/>
      <c r="R733" s="9"/>
      <c r="S733" s="8"/>
      <c r="T733" s="9"/>
      <c r="U733" s="10" t="str">
        <f aca="true">IF(B733="","",IF(OR(P733&lt;&gt;"",I733="می‌باشد"),"بسته",IF(AND(L733&lt;&gt;"",W733=""),"خطای فرمت تاریخ ایجاد",IF(AND(H733&lt;&gt;"",AA733=""),"خطای فرمت مهلت",IF(AND(H733&lt;&gt;"",AD733&lt;&gt;"",TODAY()&gt;AD733),"تاخیر",IF(L733&lt;&gt;"","در حال انجام",""))))))</f>
        <v/>
      </c>
      <c r="V733" s="7" t="n">
        <f aca="true">IF(U733="تاخیر",TODAY()-AD733,IF(AND(U733="بسته",AH733&lt;&gt;"",AD733&lt;&gt;"",AH733&gt;AD733),AH733-AD733,0))</f>
        <v>0</v>
      </c>
      <c r="W733" s="7" t="str">
        <f aca="false">IF(L733="","",VALUE(LEFT(L733,FIND("/",L733)-1)))</f>
        <v/>
      </c>
      <c r="X733" s="7" t="str">
        <f aca="false">IF(L733="","",VALUE(MID(L733,FIND("/",L733)+1,FIND("/",L733,FIND("/",L733)+1)-FIND("/",L733)-1)))</f>
        <v/>
      </c>
      <c r="Y733" s="7" t="str">
        <f aca="false">IF(L733="","",VALUE(MID(L733,FIND("/",L733,FIND("/",L733)+1)+1,LEN(L733)-FIND("/",L733,FIND("/",L733)+1))))</f>
        <v/>
      </c>
      <c r="Z733" s="7" t="str">
        <f aca="false">IF(OR(L733="",W733=""),"",IFERROR(INDEX('لیست‌ها'!$Q$3:$Q$53,MATCH(W733,'لیست‌ها'!$P$3:$P$53,0))+IF(X733&lt;=6,(X733-1)*31+Y733,IF(X733&lt;=11,186+(X733-7)*30+Y733,336+Y733))-1,""))</f>
        <v/>
      </c>
      <c r="AA733" s="7" t="str">
        <f aca="false">IF(H733="","",VALUE(LEFT(H733,FIND("/",H733)-1)))</f>
        <v/>
      </c>
      <c r="AB733" s="7" t="str">
        <f aca="false">IF(H733="","",VALUE(MID(H733,FIND("/",H733)+1,FIND("/",H733,FIND("/",H733)+1)-FIND("/",H733)-1)))</f>
        <v/>
      </c>
      <c r="AC733" s="7" t="str">
        <f aca="false">IF(H733="","",VALUE(MID(H733,FIND("/",H733,FIND("/",H733)+1)+1,LEN(H733)-FIND("/",H733,FIND("/",H733)+1))))</f>
        <v/>
      </c>
      <c r="AD733" s="7" t="str">
        <f aca="false">IF(OR(H733="",AA733=""),"",IFERROR(INDEX('لیست‌ها'!$Q$3:$Q$53,MATCH(AA733,'لیست‌ها'!$P$3:$P$53,0))+IF(AB733&lt;=6,(AB733-1)*31+AC733,IF(AB733&lt;=11,186+(AB733-7)*30+AC733,336+AC733))-1,""))</f>
        <v/>
      </c>
      <c r="AE733" s="7" t="str">
        <f aca="false">IF(P733="","",VALUE(LEFT(P733,FIND("/",P733)-1)))</f>
        <v/>
      </c>
      <c r="AF733" s="7" t="str">
        <f aca="false">IF(P733="","",VALUE(MID(P733,FIND("/",P733)+1,FIND("/",P733,FIND("/",P733)+1)-FIND("/",P733)-1)))</f>
        <v/>
      </c>
      <c r="AG733" s="7" t="str">
        <f aca="false">IF(P733="","",VALUE(MID(P733,FIND("/",P733,FIND("/",P733)+1)+1,LEN(P733)-FIND("/",P733,FIND("/",P733)+1))))</f>
        <v/>
      </c>
      <c r="AH733" s="7" t="str">
        <f aca="false">IF(OR(P733="",AE733=""),"",IFERROR(INDEX('لیست‌ها'!$Q$3:$Q$53,MATCH(AE733,'لیست‌ها'!$P$3:$P$53,0))+IF(AF733&lt;=6,(AF733-1)*31+AG733,IF(AF733&lt;=11,186+(AF733-7)*30+AG733,336+AG733))-1,""))</f>
        <v/>
      </c>
      <c r="AI733" s="7" t="str">
        <f aca="false">IF(W733="","",W733&amp;"-"&amp;TEXT(X733,"00"))</f>
        <v/>
      </c>
      <c r="AJ733" s="7" t="str">
        <f aca="false">IF(W733="","",W733*12+X733)</f>
        <v/>
      </c>
      <c r="AK733" s="7" t="str">
        <f aca="false">IF(U733="تاخیر",V733+ROW()/100000,"")</f>
        <v/>
      </c>
    </row>
    <row r="734" customFormat="false" ht="15" hidden="false" customHeight="false" outlineLevel="0" collapsed="false">
      <c r="A734" s="7" t="str">
        <f aca="false">IF(B734="","",ROW()-3)</f>
        <v/>
      </c>
      <c r="B734" s="8"/>
      <c r="C734" s="8"/>
      <c r="D734" s="8"/>
      <c r="E734" s="9"/>
      <c r="F734" s="9"/>
      <c r="G734" s="8"/>
      <c r="H734" s="8"/>
      <c r="I734" s="8"/>
      <c r="J734" s="9"/>
      <c r="K734" s="8"/>
      <c r="L734" s="8"/>
      <c r="M734" s="8"/>
      <c r="N734" s="8"/>
      <c r="O734" s="8"/>
      <c r="P734" s="8"/>
      <c r="Q734" s="8"/>
      <c r="R734" s="9"/>
      <c r="S734" s="8"/>
      <c r="T734" s="9"/>
      <c r="U734" s="10" t="str">
        <f aca="true">IF(B734="","",IF(OR(P734&lt;&gt;"",I734="می‌باشد"),"بسته",IF(AND(L734&lt;&gt;"",W734=""),"خطای فرمت تاریخ ایجاد",IF(AND(H734&lt;&gt;"",AA734=""),"خطای فرمت مهلت",IF(AND(H734&lt;&gt;"",AD734&lt;&gt;"",TODAY()&gt;AD734),"تاخیر",IF(L734&lt;&gt;"","در حال انجام",""))))))</f>
        <v/>
      </c>
      <c r="V734" s="7" t="n">
        <f aca="true">IF(U734="تاخیر",TODAY()-AD734,IF(AND(U734="بسته",AH734&lt;&gt;"",AD734&lt;&gt;"",AH734&gt;AD734),AH734-AD734,0))</f>
        <v>0</v>
      </c>
      <c r="W734" s="7" t="str">
        <f aca="false">IF(L734="","",VALUE(LEFT(L734,FIND("/",L734)-1)))</f>
        <v/>
      </c>
      <c r="X734" s="7" t="str">
        <f aca="false">IF(L734="","",VALUE(MID(L734,FIND("/",L734)+1,FIND("/",L734,FIND("/",L734)+1)-FIND("/",L734)-1)))</f>
        <v/>
      </c>
      <c r="Y734" s="7" t="str">
        <f aca="false">IF(L734="","",VALUE(MID(L734,FIND("/",L734,FIND("/",L734)+1)+1,LEN(L734)-FIND("/",L734,FIND("/",L734)+1))))</f>
        <v/>
      </c>
      <c r="Z734" s="7" t="str">
        <f aca="false">IF(OR(L734="",W734=""),"",IFERROR(INDEX('لیست‌ها'!$Q$3:$Q$53,MATCH(W734,'لیست‌ها'!$P$3:$P$53,0))+IF(X734&lt;=6,(X734-1)*31+Y734,IF(X734&lt;=11,186+(X734-7)*30+Y734,336+Y734))-1,""))</f>
        <v/>
      </c>
      <c r="AA734" s="7" t="str">
        <f aca="false">IF(H734="","",VALUE(LEFT(H734,FIND("/",H734)-1)))</f>
        <v/>
      </c>
      <c r="AB734" s="7" t="str">
        <f aca="false">IF(H734="","",VALUE(MID(H734,FIND("/",H734)+1,FIND("/",H734,FIND("/",H734)+1)-FIND("/",H734)-1)))</f>
        <v/>
      </c>
      <c r="AC734" s="7" t="str">
        <f aca="false">IF(H734="","",VALUE(MID(H734,FIND("/",H734,FIND("/",H734)+1)+1,LEN(H734)-FIND("/",H734,FIND("/",H734)+1))))</f>
        <v/>
      </c>
      <c r="AD734" s="7" t="str">
        <f aca="false">IF(OR(H734="",AA734=""),"",IFERROR(INDEX('لیست‌ها'!$Q$3:$Q$53,MATCH(AA734,'لیست‌ها'!$P$3:$P$53,0))+IF(AB734&lt;=6,(AB734-1)*31+AC734,IF(AB734&lt;=11,186+(AB734-7)*30+AC734,336+AC734))-1,""))</f>
        <v/>
      </c>
      <c r="AE734" s="7" t="str">
        <f aca="false">IF(P734="","",VALUE(LEFT(P734,FIND("/",P734)-1)))</f>
        <v/>
      </c>
      <c r="AF734" s="7" t="str">
        <f aca="false">IF(P734="","",VALUE(MID(P734,FIND("/",P734)+1,FIND("/",P734,FIND("/",P734)+1)-FIND("/",P734)-1)))</f>
        <v/>
      </c>
      <c r="AG734" s="7" t="str">
        <f aca="false">IF(P734="","",VALUE(MID(P734,FIND("/",P734,FIND("/",P734)+1)+1,LEN(P734)-FIND("/",P734,FIND("/",P734)+1))))</f>
        <v/>
      </c>
      <c r="AH734" s="7" t="str">
        <f aca="false">IF(OR(P734="",AE734=""),"",IFERROR(INDEX('لیست‌ها'!$Q$3:$Q$53,MATCH(AE734,'لیست‌ها'!$P$3:$P$53,0))+IF(AF734&lt;=6,(AF734-1)*31+AG734,IF(AF734&lt;=11,186+(AF734-7)*30+AG734,336+AG734))-1,""))</f>
        <v/>
      </c>
      <c r="AI734" s="7" t="str">
        <f aca="false">IF(W734="","",W734&amp;"-"&amp;TEXT(X734,"00"))</f>
        <v/>
      </c>
      <c r="AJ734" s="7" t="str">
        <f aca="false">IF(W734="","",W734*12+X734)</f>
        <v/>
      </c>
      <c r="AK734" s="7" t="str">
        <f aca="false">IF(U734="تاخیر",V734+ROW()/100000,"")</f>
        <v/>
      </c>
    </row>
    <row r="735" customFormat="false" ht="15" hidden="false" customHeight="false" outlineLevel="0" collapsed="false">
      <c r="A735" s="7" t="str">
        <f aca="false">IF(B735="","",ROW()-3)</f>
        <v/>
      </c>
      <c r="B735" s="8"/>
      <c r="C735" s="8"/>
      <c r="D735" s="8"/>
      <c r="E735" s="9"/>
      <c r="F735" s="9"/>
      <c r="G735" s="8"/>
      <c r="H735" s="8"/>
      <c r="I735" s="8"/>
      <c r="J735" s="9"/>
      <c r="K735" s="8"/>
      <c r="L735" s="8"/>
      <c r="M735" s="8"/>
      <c r="N735" s="8"/>
      <c r="O735" s="8"/>
      <c r="P735" s="8"/>
      <c r="Q735" s="8"/>
      <c r="R735" s="9"/>
      <c r="S735" s="8"/>
      <c r="T735" s="9"/>
      <c r="U735" s="10" t="str">
        <f aca="true">IF(B735="","",IF(OR(P735&lt;&gt;"",I735="می‌باشد"),"بسته",IF(AND(L735&lt;&gt;"",W735=""),"خطای فرمت تاریخ ایجاد",IF(AND(H735&lt;&gt;"",AA735=""),"خطای فرمت مهلت",IF(AND(H735&lt;&gt;"",AD735&lt;&gt;"",TODAY()&gt;AD735),"تاخیر",IF(L735&lt;&gt;"","در حال انجام",""))))))</f>
        <v/>
      </c>
      <c r="V735" s="7" t="n">
        <f aca="true">IF(U735="تاخیر",TODAY()-AD735,IF(AND(U735="بسته",AH735&lt;&gt;"",AD735&lt;&gt;"",AH735&gt;AD735),AH735-AD735,0))</f>
        <v>0</v>
      </c>
      <c r="W735" s="7" t="str">
        <f aca="false">IF(L735="","",VALUE(LEFT(L735,FIND("/",L735)-1)))</f>
        <v/>
      </c>
      <c r="X735" s="7" t="str">
        <f aca="false">IF(L735="","",VALUE(MID(L735,FIND("/",L735)+1,FIND("/",L735,FIND("/",L735)+1)-FIND("/",L735)-1)))</f>
        <v/>
      </c>
      <c r="Y735" s="7" t="str">
        <f aca="false">IF(L735="","",VALUE(MID(L735,FIND("/",L735,FIND("/",L735)+1)+1,LEN(L735)-FIND("/",L735,FIND("/",L735)+1))))</f>
        <v/>
      </c>
      <c r="Z735" s="7" t="str">
        <f aca="false">IF(OR(L735="",W735=""),"",IFERROR(INDEX('لیست‌ها'!$Q$3:$Q$53,MATCH(W735,'لیست‌ها'!$P$3:$P$53,0))+IF(X735&lt;=6,(X735-1)*31+Y735,IF(X735&lt;=11,186+(X735-7)*30+Y735,336+Y735))-1,""))</f>
        <v/>
      </c>
      <c r="AA735" s="7" t="str">
        <f aca="false">IF(H735="","",VALUE(LEFT(H735,FIND("/",H735)-1)))</f>
        <v/>
      </c>
      <c r="AB735" s="7" t="str">
        <f aca="false">IF(H735="","",VALUE(MID(H735,FIND("/",H735)+1,FIND("/",H735,FIND("/",H735)+1)-FIND("/",H735)-1)))</f>
        <v/>
      </c>
      <c r="AC735" s="7" t="str">
        <f aca="false">IF(H735="","",VALUE(MID(H735,FIND("/",H735,FIND("/",H735)+1)+1,LEN(H735)-FIND("/",H735,FIND("/",H735)+1))))</f>
        <v/>
      </c>
      <c r="AD735" s="7" t="str">
        <f aca="false">IF(OR(H735="",AA735=""),"",IFERROR(INDEX('لیست‌ها'!$Q$3:$Q$53,MATCH(AA735,'لیست‌ها'!$P$3:$P$53,0))+IF(AB735&lt;=6,(AB735-1)*31+AC735,IF(AB735&lt;=11,186+(AB735-7)*30+AC735,336+AC735))-1,""))</f>
        <v/>
      </c>
      <c r="AE735" s="7" t="str">
        <f aca="false">IF(P735="","",VALUE(LEFT(P735,FIND("/",P735)-1)))</f>
        <v/>
      </c>
      <c r="AF735" s="7" t="str">
        <f aca="false">IF(P735="","",VALUE(MID(P735,FIND("/",P735)+1,FIND("/",P735,FIND("/",P735)+1)-FIND("/",P735)-1)))</f>
        <v/>
      </c>
      <c r="AG735" s="7" t="str">
        <f aca="false">IF(P735="","",VALUE(MID(P735,FIND("/",P735,FIND("/",P735)+1)+1,LEN(P735)-FIND("/",P735,FIND("/",P735)+1))))</f>
        <v/>
      </c>
      <c r="AH735" s="7" t="str">
        <f aca="false">IF(OR(P735="",AE735=""),"",IFERROR(INDEX('لیست‌ها'!$Q$3:$Q$53,MATCH(AE735,'لیست‌ها'!$P$3:$P$53,0))+IF(AF735&lt;=6,(AF735-1)*31+AG735,IF(AF735&lt;=11,186+(AF735-7)*30+AG735,336+AG735))-1,""))</f>
        <v/>
      </c>
      <c r="AI735" s="7" t="str">
        <f aca="false">IF(W735="","",W735&amp;"-"&amp;TEXT(X735,"00"))</f>
        <v/>
      </c>
      <c r="AJ735" s="7" t="str">
        <f aca="false">IF(W735="","",W735*12+X735)</f>
        <v/>
      </c>
      <c r="AK735" s="7" t="str">
        <f aca="false">IF(U735="تاخیر",V735+ROW()/100000,"")</f>
        <v/>
      </c>
    </row>
    <row r="736" customFormat="false" ht="15" hidden="false" customHeight="false" outlineLevel="0" collapsed="false">
      <c r="A736" s="7" t="str">
        <f aca="false">IF(B736="","",ROW()-3)</f>
        <v/>
      </c>
      <c r="B736" s="8"/>
      <c r="C736" s="8"/>
      <c r="D736" s="8"/>
      <c r="E736" s="9"/>
      <c r="F736" s="9"/>
      <c r="G736" s="8"/>
      <c r="H736" s="8"/>
      <c r="I736" s="8"/>
      <c r="J736" s="9"/>
      <c r="K736" s="8"/>
      <c r="L736" s="8"/>
      <c r="M736" s="8"/>
      <c r="N736" s="8"/>
      <c r="O736" s="8"/>
      <c r="P736" s="8"/>
      <c r="Q736" s="8"/>
      <c r="R736" s="9"/>
      <c r="S736" s="8"/>
      <c r="T736" s="9"/>
      <c r="U736" s="10" t="str">
        <f aca="true">IF(B736="","",IF(OR(P736&lt;&gt;"",I736="می‌باشد"),"بسته",IF(AND(L736&lt;&gt;"",W736=""),"خطای فرمت تاریخ ایجاد",IF(AND(H736&lt;&gt;"",AA736=""),"خطای فرمت مهلت",IF(AND(H736&lt;&gt;"",AD736&lt;&gt;"",TODAY()&gt;AD736),"تاخیر",IF(L736&lt;&gt;"","در حال انجام",""))))))</f>
        <v/>
      </c>
      <c r="V736" s="7" t="n">
        <f aca="true">IF(U736="تاخیر",TODAY()-AD736,IF(AND(U736="بسته",AH736&lt;&gt;"",AD736&lt;&gt;"",AH736&gt;AD736),AH736-AD736,0))</f>
        <v>0</v>
      </c>
      <c r="W736" s="7" t="str">
        <f aca="false">IF(L736="","",VALUE(LEFT(L736,FIND("/",L736)-1)))</f>
        <v/>
      </c>
      <c r="X736" s="7" t="str">
        <f aca="false">IF(L736="","",VALUE(MID(L736,FIND("/",L736)+1,FIND("/",L736,FIND("/",L736)+1)-FIND("/",L736)-1)))</f>
        <v/>
      </c>
      <c r="Y736" s="7" t="str">
        <f aca="false">IF(L736="","",VALUE(MID(L736,FIND("/",L736,FIND("/",L736)+1)+1,LEN(L736)-FIND("/",L736,FIND("/",L736)+1))))</f>
        <v/>
      </c>
      <c r="Z736" s="7" t="str">
        <f aca="false">IF(OR(L736="",W736=""),"",IFERROR(INDEX('لیست‌ها'!$Q$3:$Q$53,MATCH(W736,'لیست‌ها'!$P$3:$P$53,0))+IF(X736&lt;=6,(X736-1)*31+Y736,IF(X736&lt;=11,186+(X736-7)*30+Y736,336+Y736))-1,""))</f>
        <v/>
      </c>
      <c r="AA736" s="7" t="str">
        <f aca="false">IF(H736="","",VALUE(LEFT(H736,FIND("/",H736)-1)))</f>
        <v/>
      </c>
      <c r="AB736" s="7" t="str">
        <f aca="false">IF(H736="","",VALUE(MID(H736,FIND("/",H736)+1,FIND("/",H736,FIND("/",H736)+1)-FIND("/",H736)-1)))</f>
        <v/>
      </c>
      <c r="AC736" s="7" t="str">
        <f aca="false">IF(H736="","",VALUE(MID(H736,FIND("/",H736,FIND("/",H736)+1)+1,LEN(H736)-FIND("/",H736,FIND("/",H736)+1))))</f>
        <v/>
      </c>
      <c r="AD736" s="7" t="str">
        <f aca="false">IF(OR(H736="",AA736=""),"",IFERROR(INDEX('لیست‌ها'!$Q$3:$Q$53,MATCH(AA736,'لیست‌ها'!$P$3:$P$53,0))+IF(AB736&lt;=6,(AB736-1)*31+AC736,IF(AB736&lt;=11,186+(AB736-7)*30+AC736,336+AC736))-1,""))</f>
        <v/>
      </c>
      <c r="AE736" s="7" t="str">
        <f aca="false">IF(P736="","",VALUE(LEFT(P736,FIND("/",P736)-1)))</f>
        <v/>
      </c>
      <c r="AF736" s="7" t="str">
        <f aca="false">IF(P736="","",VALUE(MID(P736,FIND("/",P736)+1,FIND("/",P736,FIND("/",P736)+1)-FIND("/",P736)-1)))</f>
        <v/>
      </c>
      <c r="AG736" s="7" t="str">
        <f aca="false">IF(P736="","",VALUE(MID(P736,FIND("/",P736,FIND("/",P736)+1)+1,LEN(P736)-FIND("/",P736,FIND("/",P736)+1))))</f>
        <v/>
      </c>
      <c r="AH736" s="7" t="str">
        <f aca="false">IF(OR(P736="",AE736=""),"",IFERROR(INDEX('لیست‌ها'!$Q$3:$Q$53,MATCH(AE736,'لیست‌ها'!$P$3:$P$53,0))+IF(AF736&lt;=6,(AF736-1)*31+AG736,IF(AF736&lt;=11,186+(AF736-7)*30+AG736,336+AG736))-1,""))</f>
        <v/>
      </c>
      <c r="AI736" s="7" t="str">
        <f aca="false">IF(W736="","",W736&amp;"-"&amp;TEXT(X736,"00"))</f>
        <v/>
      </c>
      <c r="AJ736" s="7" t="str">
        <f aca="false">IF(W736="","",W736*12+X736)</f>
        <v/>
      </c>
      <c r="AK736" s="7" t="str">
        <f aca="false">IF(U736="تاخیر",V736+ROW()/100000,"")</f>
        <v/>
      </c>
    </row>
    <row r="737" customFormat="false" ht="15" hidden="false" customHeight="false" outlineLevel="0" collapsed="false">
      <c r="A737" s="7" t="str">
        <f aca="false">IF(B737="","",ROW()-3)</f>
        <v/>
      </c>
      <c r="B737" s="8"/>
      <c r="C737" s="8"/>
      <c r="D737" s="8"/>
      <c r="E737" s="9"/>
      <c r="F737" s="9"/>
      <c r="G737" s="8"/>
      <c r="H737" s="8"/>
      <c r="I737" s="8"/>
      <c r="J737" s="9"/>
      <c r="K737" s="8"/>
      <c r="L737" s="8"/>
      <c r="M737" s="8"/>
      <c r="N737" s="8"/>
      <c r="O737" s="8"/>
      <c r="P737" s="8"/>
      <c r="Q737" s="8"/>
      <c r="R737" s="9"/>
      <c r="S737" s="8"/>
      <c r="T737" s="9"/>
      <c r="U737" s="10" t="str">
        <f aca="true">IF(B737="","",IF(OR(P737&lt;&gt;"",I737="می‌باشد"),"بسته",IF(AND(L737&lt;&gt;"",W737=""),"خطای فرمت تاریخ ایجاد",IF(AND(H737&lt;&gt;"",AA737=""),"خطای فرمت مهلت",IF(AND(H737&lt;&gt;"",AD737&lt;&gt;"",TODAY()&gt;AD737),"تاخیر",IF(L737&lt;&gt;"","در حال انجام",""))))))</f>
        <v/>
      </c>
      <c r="V737" s="7" t="n">
        <f aca="true">IF(U737="تاخیر",TODAY()-AD737,IF(AND(U737="بسته",AH737&lt;&gt;"",AD737&lt;&gt;"",AH737&gt;AD737),AH737-AD737,0))</f>
        <v>0</v>
      </c>
      <c r="W737" s="7" t="str">
        <f aca="false">IF(L737="","",VALUE(LEFT(L737,FIND("/",L737)-1)))</f>
        <v/>
      </c>
      <c r="X737" s="7" t="str">
        <f aca="false">IF(L737="","",VALUE(MID(L737,FIND("/",L737)+1,FIND("/",L737,FIND("/",L737)+1)-FIND("/",L737)-1)))</f>
        <v/>
      </c>
      <c r="Y737" s="7" t="str">
        <f aca="false">IF(L737="","",VALUE(MID(L737,FIND("/",L737,FIND("/",L737)+1)+1,LEN(L737)-FIND("/",L737,FIND("/",L737)+1))))</f>
        <v/>
      </c>
      <c r="Z737" s="7" t="str">
        <f aca="false">IF(OR(L737="",W737=""),"",IFERROR(INDEX('لیست‌ها'!$Q$3:$Q$53,MATCH(W737,'لیست‌ها'!$P$3:$P$53,0))+IF(X737&lt;=6,(X737-1)*31+Y737,IF(X737&lt;=11,186+(X737-7)*30+Y737,336+Y737))-1,""))</f>
        <v/>
      </c>
      <c r="AA737" s="7" t="str">
        <f aca="false">IF(H737="","",VALUE(LEFT(H737,FIND("/",H737)-1)))</f>
        <v/>
      </c>
      <c r="AB737" s="7" t="str">
        <f aca="false">IF(H737="","",VALUE(MID(H737,FIND("/",H737)+1,FIND("/",H737,FIND("/",H737)+1)-FIND("/",H737)-1)))</f>
        <v/>
      </c>
      <c r="AC737" s="7" t="str">
        <f aca="false">IF(H737="","",VALUE(MID(H737,FIND("/",H737,FIND("/",H737)+1)+1,LEN(H737)-FIND("/",H737,FIND("/",H737)+1))))</f>
        <v/>
      </c>
      <c r="AD737" s="7" t="str">
        <f aca="false">IF(OR(H737="",AA737=""),"",IFERROR(INDEX('لیست‌ها'!$Q$3:$Q$53,MATCH(AA737,'لیست‌ها'!$P$3:$P$53,0))+IF(AB737&lt;=6,(AB737-1)*31+AC737,IF(AB737&lt;=11,186+(AB737-7)*30+AC737,336+AC737))-1,""))</f>
        <v/>
      </c>
      <c r="AE737" s="7" t="str">
        <f aca="false">IF(P737="","",VALUE(LEFT(P737,FIND("/",P737)-1)))</f>
        <v/>
      </c>
      <c r="AF737" s="7" t="str">
        <f aca="false">IF(P737="","",VALUE(MID(P737,FIND("/",P737)+1,FIND("/",P737,FIND("/",P737)+1)-FIND("/",P737)-1)))</f>
        <v/>
      </c>
      <c r="AG737" s="7" t="str">
        <f aca="false">IF(P737="","",VALUE(MID(P737,FIND("/",P737,FIND("/",P737)+1)+1,LEN(P737)-FIND("/",P737,FIND("/",P737)+1))))</f>
        <v/>
      </c>
      <c r="AH737" s="7" t="str">
        <f aca="false">IF(OR(P737="",AE737=""),"",IFERROR(INDEX('لیست‌ها'!$Q$3:$Q$53,MATCH(AE737,'لیست‌ها'!$P$3:$P$53,0))+IF(AF737&lt;=6,(AF737-1)*31+AG737,IF(AF737&lt;=11,186+(AF737-7)*30+AG737,336+AG737))-1,""))</f>
        <v/>
      </c>
      <c r="AI737" s="7" t="str">
        <f aca="false">IF(W737="","",W737&amp;"-"&amp;TEXT(X737,"00"))</f>
        <v/>
      </c>
      <c r="AJ737" s="7" t="str">
        <f aca="false">IF(W737="","",W737*12+X737)</f>
        <v/>
      </c>
      <c r="AK737" s="7" t="str">
        <f aca="false">IF(U737="تاخیر",V737+ROW()/100000,"")</f>
        <v/>
      </c>
    </row>
    <row r="738" customFormat="false" ht="15" hidden="false" customHeight="false" outlineLevel="0" collapsed="false">
      <c r="A738" s="7" t="str">
        <f aca="false">IF(B738="","",ROW()-3)</f>
        <v/>
      </c>
      <c r="B738" s="8"/>
      <c r="C738" s="8"/>
      <c r="D738" s="8"/>
      <c r="E738" s="9"/>
      <c r="F738" s="9"/>
      <c r="G738" s="8"/>
      <c r="H738" s="8"/>
      <c r="I738" s="8"/>
      <c r="J738" s="9"/>
      <c r="K738" s="8"/>
      <c r="L738" s="8"/>
      <c r="M738" s="8"/>
      <c r="N738" s="8"/>
      <c r="O738" s="8"/>
      <c r="P738" s="8"/>
      <c r="Q738" s="8"/>
      <c r="R738" s="9"/>
      <c r="S738" s="8"/>
      <c r="T738" s="9"/>
      <c r="U738" s="10" t="str">
        <f aca="true">IF(B738="","",IF(OR(P738&lt;&gt;"",I738="می‌باشد"),"بسته",IF(AND(L738&lt;&gt;"",W738=""),"خطای فرمت تاریخ ایجاد",IF(AND(H738&lt;&gt;"",AA738=""),"خطای فرمت مهلت",IF(AND(H738&lt;&gt;"",AD738&lt;&gt;"",TODAY()&gt;AD738),"تاخیر",IF(L738&lt;&gt;"","در حال انجام",""))))))</f>
        <v/>
      </c>
      <c r="V738" s="7" t="n">
        <f aca="true">IF(U738="تاخیر",TODAY()-AD738,IF(AND(U738="بسته",AH738&lt;&gt;"",AD738&lt;&gt;"",AH738&gt;AD738),AH738-AD738,0))</f>
        <v>0</v>
      </c>
      <c r="W738" s="7" t="str">
        <f aca="false">IF(L738="","",VALUE(LEFT(L738,FIND("/",L738)-1)))</f>
        <v/>
      </c>
      <c r="X738" s="7" t="str">
        <f aca="false">IF(L738="","",VALUE(MID(L738,FIND("/",L738)+1,FIND("/",L738,FIND("/",L738)+1)-FIND("/",L738)-1)))</f>
        <v/>
      </c>
      <c r="Y738" s="7" t="str">
        <f aca="false">IF(L738="","",VALUE(MID(L738,FIND("/",L738,FIND("/",L738)+1)+1,LEN(L738)-FIND("/",L738,FIND("/",L738)+1))))</f>
        <v/>
      </c>
      <c r="Z738" s="7" t="str">
        <f aca="false">IF(OR(L738="",W738=""),"",IFERROR(INDEX('لیست‌ها'!$Q$3:$Q$53,MATCH(W738,'لیست‌ها'!$P$3:$P$53,0))+IF(X738&lt;=6,(X738-1)*31+Y738,IF(X738&lt;=11,186+(X738-7)*30+Y738,336+Y738))-1,""))</f>
        <v/>
      </c>
      <c r="AA738" s="7" t="str">
        <f aca="false">IF(H738="","",VALUE(LEFT(H738,FIND("/",H738)-1)))</f>
        <v/>
      </c>
      <c r="AB738" s="7" t="str">
        <f aca="false">IF(H738="","",VALUE(MID(H738,FIND("/",H738)+1,FIND("/",H738,FIND("/",H738)+1)-FIND("/",H738)-1)))</f>
        <v/>
      </c>
      <c r="AC738" s="7" t="str">
        <f aca="false">IF(H738="","",VALUE(MID(H738,FIND("/",H738,FIND("/",H738)+1)+1,LEN(H738)-FIND("/",H738,FIND("/",H738)+1))))</f>
        <v/>
      </c>
      <c r="AD738" s="7" t="str">
        <f aca="false">IF(OR(H738="",AA738=""),"",IFERROR(INDEX('لیست‌ها'!$Q$3:$Q$53,MATCH(AA738,'لیست‌ها'!$P$3:$P$53,0))+IF(AB738&lt;=6,(AB738-1)*31+AC738,IF(AB738&lt;=11,186+(AB738-7)*30+AC738,336+AC738))-1,""))</f>
        <v/>
      </c>
      <c r="AE738" s="7" t="str">
        <f aca="false">IF(P738="","",VALUE(LEFT(P738,FIND("/",P738)-1)))</f>
        <v/>
      </c>
      <c r="AF738" s="7" t="str">
        <f aca="false">IF(P738="","",VALUE(MID(P738,FIND("/",P738)+1,FIND("/",P738,FIND("/",P738)+1)-FIND("/",P738)-1)))</f>
        <v/>
      </c>
      <c r="AG738" s="7" t="str">
        <f aca="false">IF(P738="","",VALUE(MID(P738,FIND("/",P738,FIND("/",P738)+1)+1,LEN(P738)-FIND("/",P738,FIND("/",P738)+1))))</f>
        <v/>
      </c>
      <c r="AH738" s="7" t="str">
        <f aca="false">IF(OR(P738="",AE738=""),"",IFERROR(INDEX('لیست‌ها'!$Q$3:$Q$53,MATCH(AE738,'لیست‌ها'!$P$3:$P$53,0))+IF(AF738&lt;=6,(AF738-1)*31+AG738,IF(AF738&lt;=11,186+(AF738-7)*30+AG738,336+AG738))-1,""))</f>
        <v/>
      </c>
      <c r="AI738" s="7" t="str">
        <f aca="false">IF(W738="","",W738&amp;"-"&amp;TEXT(X738,"00"))</f>
        <v/>
      </c>
      <c r="AJ738" s="7" t="str">
        <f aca="false">IF(W738="","",W738*12+X738)</f>
        <v/>
      </c>
      <c r="AK738" s="7" t="str">
        <f aca="false">IF(U738="تاخیر",V738+ROW()/100000,"")</f>
        <v/>
      </c>
    </row>
    <row r="739" customFormat="false" ht="15" hidden="false" customHeight="false" outlineLevel="0" collapsed="false">
      <c r="A739" s="7" t="str">
        <f aca="false">IF(B739="","",ROW()-3)</f>
        <v/>
      </c>
      <c r="B739" s="8"/>
      <c r="C739" s="8"/>
      <c r="D739" s="8"/>
      <c r="E739" s="9"/>
      <c r="F739" s="9"/>
      <c r="G739" s="8"/>
      <c r="H739" s="8"/>
      <c r="I739" s="8"/>
      <c r="J739" s="9"/>
      <c r="K739" s="8"/>
      <c r="L739" s="8"/>
      <c r="M739" s="8"/>
      <c r="N739" s="8"/>
      <c r="O739" s="8"/>
      <c r="P739" s="8"/>
      <c r="Q739" s="8"/>
      <c r="R739" s="9"/>
      <c r="S739" s="8"/>
      <c r="T739" s="9"/>
      <c r="U739" s="10" t="str">
        <f aca="true">IF(B739="","",IF(OR(P739&lt;&gt;"",I739="می‌باشد"),"بسته",IF(AND(L739&lt;&gt;"",W739=""),"خطای فرمت تاریخ ایجاد",IF(AND(H739&lt;&gt;"",AA739=""),"خطای فرمت مهلت",IF(AND(H739&lt;&gt;"",AD739&lt;&gt;"",TODAY()&gt;AD739),"تاخیر",IF(L739&lt;&gt;"","در حال انجام",""))))))</f>
        <v/>
      </c>
      <c r="V739" s="7" t="n">
        <f aca="true">IF(U739="تاخیر",TODAY()-AD739,IF(AND(U739="بسته",AH739&lt;&gt;"",AD739&lt;&gt;"",AH739&gt;AD739),AH739-AD739,0))</f>
        <v>0</v>
      </c>
      <c r="W739" s="7" t="str">
        <f aca="false">IF(L739="","",VALUE(LEFT(L739,FIND("/",L739)-1)))</f>
        <v/>
      </c>
      <c r="X739" s="7" t="str">
        <f aca="false">IF(L739="","",VALUE(MID(L739,FIND("/",L739)+1,FIND("/",L739,FIND("/",L739)+1)-FIND("/",L739)-1)))</f>
        <v/>
      </c>
      <c r="Y739" s="7" t="str">
        <f aca="false">IF(L739="","",VALUE(MID(L739,FIND("/",L739,FIND("/",L739)+1)+1,LEN(L739)-FIND("/",L739,FIND("/",L739)+1))))</f>
        <v/>
      </c>
      <c r="Z739" s="7" t="str">
        <f aca="false">IF(OR(L739="",W739=""),"",IFERROR(INDEX('لیست‌ها'!$Q$3:$Q$53,MATCH(W739,'لیست‌ها'!$P$3:$P$53,0))+IF(X739&lt;=6,(X739-1)*31+Y739,IF(X739&lt;=11,186+(X739-7)*30+Y739,336+Y739))-1,""))</f>
        <v/>
      </c>
      <c r="AA739" s="7" t="str">
        <f aca="false">IF(H739="","",VALUE(LEFT(H739,FIND("/",H739)-1)))</f>
        <v/>
      </c>
      <c r="AB739" s="7" t="str">
        <f aca="false">IF(H739="","",VALUE(MID(H739,FIND("/",H739)+1,FIND("/",H739,FIND("/",H739)+1)-FIND("/",H739)-1)))</f>
        <v/>
      </c>
      <c r="AC739" s="7" t="str">
        <f aca="false">IF(H739="","",VALUE(MID(H739,FIND("/",H739,FIND("/",H739)+1)+1,LEN(H739)-FIND("/",H739,FIND("/",H739)+1))))</f>
        <v/>
      </c>
      <c r="AD739" s="7" t="str">
        <f aca="false">IF(OR(H739="",AA739=""),"",IFERROR(INDEX('لیست‌ها'!$Q$3:$Q$53,MATCH(AA739,'لیست‌ها'!$P$3:$P$53,0))+IF(AB739&lt;=6,(AB739-1)*31+AC739,IF(AB739&lt;=11,186+(AB739-7)*30+AC739,336+AC739))-1,""))</f>
        <v/>
      </c>
      <c r="AE739" s="7" t="str">
        <f aca="false">IF(P739="","",VALUE(LEFT(P739,FIND("/",P739)-1)))</f>
        <v/>
      </c>
      <c r="AF739" s="7" t="str">
        <f aca="false">IF(P739="","",VALUE(MID(P739,FIND("/",P739)+1,FIND("/",P739,FIND("/",P739)+1)-FIND("/",P739)-1)))</f>
        <v/>
      </c>
      <c r="AG739" s="7" t="str">
        <f aca="false">IF(P739="","",VALUE(MID(P739,FIND("/",P739,FIND("/",P739)+1)+1,LEN(P739)-FIND("/",P739,FIND("/",P739)+1))))</f>
        <v/>
      </c>
      <c r="AH739" s="7" t="str">
        <f aca="false">IF(OR(P739="",AE739=""),"",IFERROR(INDEX('لیست‌ها'!$Q$3:$Q$53,MATCH(AE739,'لیست‌ها'!$P$3:$P$53,0))+IF(AF739&lt;=6,(AF739-1)*31+AG739,IF(AF739&lt;=11,186+(AF739-7)*30+AG739,336+AG739))-1,""))</f>
        <v/>
      </c>
      <c r="AI739" s="7" t="str">
        <f aca="false">IF(W739="","",W739&amp;"-"&amp;TEXT(X739,"00"))</f>
        <v/>
      </c>
      <c r="AJ739" s="7" t="str">
        <f aca="false">IF(W739="","",W739*12+X739)</f>
        <v/>
      </c>
      <c r="AK739" s="7" t="str">
        <f aca="false">IF(U739="تاخیر",V739+ROW()/100000,"")</f>
        <v/>
      </c>
    </row>
    <row r="740" customFormat="false" ht="15" hidden="false" customHeight="false" outlineLevel="0" collapsed="false">
      <c r="A740" s="7" t="str">
        <f aca="false">IF(B740="","",ROW()-3)</f>
        <v/>
      </c>
      <c r="B740" s="8"/>
      <c r="C740" s="8"/>
      <c r="D740" s="8"/>
      <c r="E740" s="9"/>
      <c r="F740" s="9"/>
      <c r="G740" s="8"/>
      <c r="H740" s="8"/>
      <c r="I740" s="8"/>
      <c r="J740" s="9"/>
      <c r="K740" s="8"/>
      <c r="L740" s="8"/>
      <c r="M740" s="8"/>
      <c r="N740" s="8"/>
      <c r="O740" s="8"/>
      <c r="P740" s="8"/>
      <c r="Q740" s="8"/>
      <c r="R740" s="9"/>
      <c r="S740" s="8"/>
      <c r="T740" s="9"/>
      <c r="U740" s="10" t="str">
        <f aca="true">IF(B740="","",IF(OR(P740&lt;&gt;"",I740="می‌باشد"),"بسته",IF(AND(L740&lt;&gt;"",W740=""),"خطای فرمت تاریخ ایجاد",IF(AND(H740&lt;&gt;"",AA740=""),"خطای فرمت مهلت",IF(AND(H740&lt;&gt;"",AD740&lt;&gt;"",TODAY()&gt;AD740),"تاخیر",IF(L740&lt;&gt;"","در حال انجام",""))))))</f>
        <v/>
      </c>
      <c r="V740" s="7" t="n">
        <f aca="true">IF(U740="تاخیر",TODAY()-AD740,IF(AND(U740="بسته",AH740&lt;&gt;"",AD740&lt;&gt;"",AH740&gt;AD740),AH740-AD740,0))</f>
        <v>0</v>
      </c>
      <c r="W740" s="7" t="str">
        <f aca="false">IF(L740="","",VALUE(LEFT(L740,FIND("/",L740)-1)))</f>
        <v/>
      </c>
      <c r="X740" s="7" t="str">
        <f aca="false">IF(L740="","",VALUE(MID(L740,FIND("/",L740)+1,FIND("/",L740,FIND("/",L740)+1)-FIND("/",L740)-1)))</f>
        <v/>
      </c>
      <c r="Y740" s="7" t="str">
        <f aca="false">IF(L740="","",VALUE(MID(L740,FIND("/",L740,FIND("/",L740)+1)+1,LEN(L740)-FIND("/",L740,FIND("/",L740)+1))))</f>
        <v/>
      </c>
      <c r="Z740" s="7" t="str">
        <f aca="false">IF(OR(L740="",W740=""),"",IFERROR(INDEX('لیست‌ها'!$Q$3:$Q$53,MATCH(W740,'لیست‌ها'!$P$3:$P$53,0))+IF(X740&lt;=6,(X740-1)*31+Y740,IF(X740&lt;=11,186+(X740-7)*30+Y740,336+Y740))-1,""))</f>
        <v/>
      </c>
      <c r="AA740" s="7" t="str">
        <f aca="false">IF(H740="","",VALUE(LEFT(H740,FIND("/",H740)-1)))</f>
        <v/>
      </c>
      <c r="AB740" s="7" t="str">
        <f aca="false">IF(H740="","",VALUE(MID(H740,FIND("/",H740)+1,FIND("/",H740,FIND("/",H740)+1)-FIND("/",H740)-1)))</f>
        <v/>
      </c>
      <c r="AC740" s="7" t="str">
        <f aca="false">IF(H740="","",VALUE(MID(H740,FIND("/",H740,FIND("/",H740)+1)+1,LEN(H740)-FIND("/",H740,FIND("/",H740)+1))))</f>
        <v/>
      </c>
      <c r="AD740" s="7" t="str">
        <f aca="false">IF(OR(H740="",AA740=""),"",IFERROR(INDEX('لیست‌ها'!$Q$3:$Q$53,MATCH(AA740,'لیست‌ها'!$P$3:$P$53,0))+IF(AB740&lt;=6,(AB740-1)*31+AC740,IF(AB740&lt;=11,186+(AB740-7)*30+AC740,336+AC740))-1,""))</f>
        <v/>
      </c>
      <c r="AE740" s="7" t="str">
        <f aca="false">IF(P740="","",VALUE(LEFT(P740,FIND("/",P740)-1)))</f>
        <v/>
      </c>
      <c r="AF740" s="7" t="str">
        <f aca="false">IF(P740="","",VALUE(MID(P740,FIND("/",P740)+1,FIND("/",P740,FIND("/",P740)+1)-FIND("/",P740)-1)))</f>
        <v/>
      </c>
      <c r="AG740" s="7" t="str">
        <f aca="false">IF(P740="","",VALUE(MID(P740,FIND("/",P740,FIND("/",P740)+1)+1,LEN(P740)-FIND("/",P740,FIND("/",P740)+1))))</f>
        <v/>
      </c>
      <c r="AH740" s="7" t="str">
        <f aca="false">IF(OR(P740="",AE740=""),"",IFERROR(INDEX('لیست‌ها'!$Q$3:$Q$53,MATCH(AE740,'لیست‌ها'!$P$3:$P$53,0))+IF(AF740&lt;=6,(AF740-1)*31+AG740,IF(AF740&lt;=11,186+(AF740-7)*30+AG740,336+AG740))-1,""))</f>
        <v/>
      </c>
      <c r="AI740" s="7" t="str">
        <f aca="false">IF(W740="","",W740&amp;"-"&amp;TEXT(X740,"00"))</f>
        <v/>
      </c>
      <c r="AJ740" s="7" t="str">
        <f aca="false">IF(W740="","",W740*12+X740)</f>
        <v/>
      </c>
      <c r="AK740" s="7" t="str">
        <f aca="false">IF(U740="تاخیر",V740+ROW()/100000,"")</f>
        <v/>
      </c>
    </row>
    <row r="741" customFormat="false" ht="15" hidden="false" customHeight="false" outlineLevel="0" collapsed="false">
      <c r="A741" s="7" t="str">
        <f aca="false">IF(B741="","",ROW()-3)</f>
        <v/>
      </c>
      <c r="B741" s="8"/>
      <c r="C741" s="8"/>
      <c r="D741" s="8"/>
      <c r="E741" s="9"/>
      <c r="F741" s="9"/>
      <c r="G741" s="8"/>
      <c r="H741" s="8"/>
      <c r="I741" s="8"/>
      <c r="J741" s="9"/>
      <c r="K741" s="8"/>
      <c r="L741" s="8"/>
      <c r="M741" s="8"/>
      <c r="N741" s="8"/>
      <c r="O741" s="8"/>
      <c r="P741" s="8"/>
      <c r="Q741" s="8"/>
      <c r="R741" s="9"/>
      <c r="S741" s="8"/>
      <c r="T741" s="9"/>
      <c r="U741" s="10" t="str">
        <f aca="true">IF(B741="","",IF(OR(P741&lt;&gt;"",I741="می‌باشد"),"بسته",IF(AND(L741&lt;&gt;"",W741=""),"خطای فرمت تاریخ ایجاد",IF(AND(H741&lt;&gt;"",AA741=""),"خطای فرمت مهلت",IF(AND(H741&lt;&gt;"",AD741&lt;&gt;"",TODAY()&gt;AD741),"تاخیر",IF(L741&lt;&gt;"","در حال انجام",""))))))</f>
        <v/>
      </c>
      <c r="V741" s="7" t="n">
        <f aca="true">IF(U741="تاخیر",TODAY()-AD741,IF(AND(U741="بسته",AH741&lt;&gt;"",AD741&lt;&gt;"",AH741&gt;AD741),AH741-AD741,0))</f>
        <v>0</v>
      </c>
      <c r="W741" s="7" t="str">
        <f aca="false">IF(L741="","",VALUE(LEFT(L741,FIND("/",L741)-1)))</f>
        <v/>
      </c>
      <c r="X741" s="7" t="str">
        <f aca="false">IF(L741="","",VALUE(MID(L741,FIND("/",L741)+1,FIND("/",L741,FIND("/",L741)+1)-FIND("/",L741)-1)))</f>
        <v/>
      </c>
      <c r="Y741" s="7" t="str">
        <f aca="false">IF(L741="","",VALUE(MID(L741,FIND("/",L741,FIND("/",L741)+1)+1,LEN(L741)-FIND("/",L741,FIND("/",L741)+1))))</f>
        <v/>
      </c>
      <c r="Z741" s="7" t="str">
        <f aca="false">IF(OR(L741="",W741=""),"",IFERROR(INDEX('لیست‌ها'!$Q$3:$Q$53,MATCH(W741,'لیست‌ها'!$P$3:$P$53,0))+IF(X741&lt;=6,(X741-1)*31+Y741,IF(X741&lt;=11,186+(X741-7)*30+Y741,336+Y741))-1,""))</f>
        <v/>
      </c>
      <c r="AA741" s="7" t="str">
        <f aca="false">IF(H741="","",VALUE(LEFT(H741,FIND("/",H741)-1)))</f>
        <v/>
      </c>
      <c r="AB741" s="7" t="str">
        <f aca="false">IF(H741="","",VALUE(MID(H741,FIND("/",H741)+1,FIND("/",H741,FIND("/",H741)+1)-FIND("/",H741)-1)))</f>
        <v/>
      </c>
      <c r="AC741" s="7" t="str">
        <f aca="false">IF(H741="","",VALUE(MID(H741,FIND("/",H741,FIND("/",H741)+1)+1,LEN(H741)-FIND("/",H741,FIND("/",H741)+1))))</f>
        <v/>
      </c>
      <c r="AD741" s="7" t="str">
        <f aca="false">IF(OR(H741="",AA741=""),"",IFERROR(INDEX('لیست‌ها'!$Q$3:$Q$53,MATCH(AA741,'لیست‌ها'!$P$3:$P$53,0))+IF(AB741&lt;=6,(AB741-1)*31+AC741,IF(AB741&lt;=11,186+(AB741-7)*30+AC741,336+AC741))-1,""))</f>
        <v/>
      </c>
      <c r="AE741" s="7" t="str">
        <f aca="false">IF(P741="","",VALUE(LEFT(P741,FIND("/",P741)-1)))</f>
        <v/>
      </c>
      <c r="AF741" s="7" t="str">
        <f aca="false">IF(P741="","",VALUE(MID(P741,FIND("/",P741)+1,FIND("/",P741,FIND("/",P741)+1)-FIND("/",P741)-1)))</f>
        <v/>
      </c>
      <c r="AG741" s="7" t="str">
        <f aca="false">IF(P741="","",VALUE(MID(P741,FIND("/",P741,FIND("/",P741)+1)+1,LEN(P741)-FIND("/",P741,FIND("/",P741)+1))))</f>
        <v/>
      </c>
      <c r="AH741" s="7" t="str">
        <f aca="false">IF(OR(P741="",AE741=""),"",IFERROR(INDEX('لیست‌ها'!$Q$3:$Q$53,MATCH(AE741,'لیست‌ها'!$P$3:$P$53,0))+IF(AF741&lt;=6,(AF741-1)*31+AG741,IF(AF741&lt;=11,186+(AF741-7)*30+AG741,336+AG741))-1,""))</f>
        <v/>
      </c>
      <c r="AI741" s="7" t="str">
        <f aca="false">IF(W741="","",W741&amp;"-"&amp;TEXT(X741,"00"))</f>
        <v/>
      </c>
      <c r="AJ741" s="7" t="str">
        <f aca="false">IF(W741="","",W741*12+X741)</f>
        <v/>
      </c>
      <c r="AK741" s="7" t="str">
        <f aca="false">IF(U741="تاخیر",V741+ROW()/100000,"")</f>
        <v/>
      </c>
    </row>
    <row r="742" customFormat="false" ht="15" hidden="false" customHeight="false" outlineLevel="0" collapsed="false">
      <c r="A742" s="7" t="str">
        <f aca="false">IF(B742="","",ROW()-3)</f>
        <v/>
      </c>
      <c r="B742" s="8"/>
      <c r="C742" s="8"/>
      <c r="D742" s="8"/>
      <c r="E742" s="9"/>
      <c r="F742" s="9"/>
      <c r="G742" s="8"/>
      <c r="H742" s="8"/>
      <c r="I742" s="8"/>
      <c r="J742" s="9"/>
      <c r="K742" s="8"/>
      <c r="L742" s="8"/>
      <c r="M742" s="8"/>
      <c r="N742" s="8"/>
      <c r="O742" s="8"/>
      <c r="P742" s="8"/>
      <c r="Q742" s="8"/>
      <c r="R742" s="9"/>
      <c r="S742" s="8"/>
      <c r="T742" s="9"/>
      <c r="U742" s="10" t="str">
        <f aca="true">IF(B742="","",IF(OR(P742&lt;&gt;"",I742="می‌باشد"),"بسته",IF(AND(L742&lt;&gt;"",W742=""),"خطای فرمت تاریخ ایجاد",IF(AND(H742&lt;&gt;"",AA742=""),"خطای فرمت مهلت",IF(AND(H742&lt;&gt;"",AD742&lt;&gt;"",TODAY()&gt;AD742),"تاخیر",IF(L742&lt;&gt;"","در حال انجام",""))))))</f>
        <v/>
      </c>
      <c r="V742" s="7" t="n">
        <f aca="true">IF(U742="تاخیر",TODAY()-AD742,IF(AND(U742="بسته",AH742&lt;&gt;"",AD742&lt;&gt;"",AH742&gt;AD742),AH742-AD742,0))</f>
        <v>0</v>
      </c>
      <c r="W742" s="7" t="str">
        <f aca="false">IF(L742="","",VALUE(LEFT(L742,FIND("/",L742)-1)))</f>
        <v/>
      </c>
      <c r="X742" s="7" t="str">
        <f aca="false">IF(L742="","",VALUE(MID(L742,FIND("/",L742)+1,FIND("/",L742,FIND("/",L742)+1)-FIND("/",L742)-1)))</f>
        <v/>
      </c>
      <c r="Y742" s="7" t="str">
        <f aca="false">IF(L742="","",VALUE(MID(L742,FIND("/",L742,FIND("/",L742)+1)+1,LEN(L742)-FIND("/",L742,FIND("/",L742)+1))))</f>
        <v/>
      </c>
      <c r="Z742" s="7" t="str">
        <f aca="false">IF(OR(L742="",W742=""),"",IFERROR(INDEX('لیست‌ها'!$Q$3:$Q$53,MATCH(W742,'لیست‌ها'!$P$3:$P$53,0))+IF(X742&lt;=6,(X742-1)*31+Y742,IF(X742&lt;=11,186+(X742-7)*30+Y742,336+Y742))-1,""))</f>
        <v/>
      </c>
      <c r="AA742" s="7" t="str">
        <f aca="false">IF(H742="","",VALUE(LEFT(H742,FIND("/",H742)-1)))</f>
        <v/>
      </c>
      <c r="AB742" s="7" t="str">
        <f aca="false">IF(H742="","",VALUE(MID(H742,FIND("/",H742)+1,FIND("/",H742,FIND("/",H742)+1)-FIND("/",H742)-1)))</f>
        <v/>
      </c>
      <c r="AC742" s="7" t="str">
        <f aca="false">IF(H742="","",VALUE(MID(H742,FIND("/",H742,FIND("/",H742)+1)+1,LEN(H742)-FIND("/",H742,FIND("/",H742)+1))))</f>
        <v/>
      </c>
      <c r="AD742" s="7" t="str">
        <f aca="false">IF(OR(H742="",AA742=""),"",IFERROR(INDEX('لیست‌ها'!$Q$3:$Q$53,MATCH(AA742,'لیست‌ها'!$P$3:$P$53,0))+IF(AB742&lt;=6,(AB742-1)*31+AC742,IF(AB742&lt;=11,186+(AB742-7)*30+AC742,336+AC742))-1,""))</f>
        <v/>
      </c>
      <c r="AE742" s="7" t="str">
        <f aca="false">IF(P742="","",VALUE(LEFT(P742,FIND("/",P742)-1)))</f>
        <v/>
      </c>
      <c r="AF742" s="7" t="str">
        <f aca="false">IF(P742="","",VALUE(MID(P742,FIND("/",P742)+1,FIND("/",P742,FIND("/",P742)+1)-FIND("/",P742)-1)))</f>
        <v/>
      </c>
      <c r="AG742" s="7" t="str">
        <f aca="false">IF(P742="","",VALUE(MID(P742,FIND("/",P742,FIND("/",P742)+1)+1,LEN(P742)-FIND("/",P742,FIND("/",P742)+1))))</f>
        <v/>
      </c>
      <c r="AH742" s="7" t="str">
        <f aca="false">IF(OR(P742="",AE742=""),"",IFERROR(INDEX('لیست‌ها'!$Q$3:$Q$53,MATCH(AE742,'لیست‌ها'!$P$3:$P$53,0))+IF(AF742&lt;=6,(AF742-1)*31+AG742,IF(AF742&lt;=11,186+(AF742-7)*30+AG742,336+AG742))-1,""))</f>
        <v/>
      </c>
      <c r="AI742" s="7" t="str">
        <f aca="false">IF(W742="","",W742&amp;"-"&amp;TEXT(X742,"00"))</f>
        <v/>
      </c>
      <c r="AJ742" s="7" t="str">
        <f aca="false">IF(W742="","",W742*12+X742)</f>
        <v/>
      </c>
      <c r="AK742" s="7" t="str">
        <f aca="false">IF(U742="تاخیر",V742+ROW()/100000,"")</f>
        <v/>
      </c>
    </row>
    <row r="743" customFormat="false" ht="15" hidden="false" customHeight="false" outlineLevel="0" collapsed="false">
      <c r="A743" s="7" t="str">
        <f aca="false">IF(B743="","",ROW()-3)</f>
        <v/>
      </c>
      <c r="B743" s="8"/>
      <c r="C743" s="8"/>
      <c r="D743" s="8"/>
      <c r="E743" s="9"/>
      <c r="F743" s="9"/>
      <c r="G743" s="8"/>
      <c r="H743" s="8"/>
      <c r="I743" s="8"/>
      <c r="J743" s="9"/>
      <c r="K743" s="8"/>
      <c r="L743" s="8"/>
      <c r="M743" s="8"/>
      <c r="N743" s="8"/>
      <c r="O743" s="8"/>
      <c r="P743" s="8"/>
      <c r="Q743" s="8"/>
      <c r="R743" s="9"/>
      <c r="S743" s="8"/>
      <c r="T743" s="9"/>
      <c r="U743" s="10" t="str">
        <f aca="true">IF(B743="","",IF(OR(P743&lt;&gt;"",I743="می‌باشد"),"بسته",IF(AND(L743&lt;&gt;"",W743=""),"خطای فرمت تاریخ ایجاد",IF(AND(H743&lt;&gt;"",AA743=""),"خطای فرمت مهلت",IF(AND(H743&lt;&gt;"",AD743&lt;&gt;"",TODAY()&gt;AD743),"تاخیر",IF(L743&lt;&gt;"","در حال انجام",""))))))</f>
        <v/>
      </c>
      <c r="V743" s="7" t="n">
        <f aca="true">IF(U743="تاخیر",TODAY()-AD743,IF(AND(U743="بسته",AH743&lt;&gt;"",AD743&lt;&gt;"",AH743&gt;AD743),AH743-AD743,0))</f>
        <v>0</v>
      </c>
      <c r="W743" s="7" t="str">
        <f aca="false">IF(L743="","",VALUE(LEFT(L743,FIND("/",L743)-1)))</f>
        <v/>
      </c>
      <c r="X743" s="7" t="str">
        <f aca="false">IF(L743="","",VALUE(MID(L743,FIND("/",L743)+1,FIND("/",L743,FIND("/",L743)+1)-FIND("/",L743)-1)))</f>
        <v/>
      </c>
      <c r="Y743" s="7" t="str">
        <f aca="false">IF(L743="","",VALUE(MID(L743,FIND("/",L743,FIND("/",L743)+1)+1,LEN(L743)-FIND("/",L743,FIND("/",L743)+1))))</f>
        <v/>
      </c>
      <c r="Z743" s="7" t="str">
        <f aca="false">IF(OR(L743="",W743=""),"",IFERROR(INDEX('لیست‌ها'!$Q$3:$Q$53,MATCH(W743,'لیست‌ها'!$P$3:$P$53,0))+IF(X743&lt;=6,(X743-1)*31+Y743,IF(X743&lt;=11,186+(X743-7)*30+Y743,336+Y743))-1,""))</f>
        <v/>
      </c>
      <c r="AA743" s="7" t="str">
        <f aca="false">IF(H743="","",VALUE(LEFT(H743,FIND("/",H743)-1)))</f>
        <v/>
      </c>
      <c r="AB743" s="7" t="str">
        <f aca="false">IF(H743="","",VALUE(MID(H743,FIND("/",H743)+1,FIND("/",H743,FIND("/",H743)+1)-FIND("/",H743)-1)))</f>
        <v/>
      </c>
      <c r="AC743" s="7" t="str">
        <f aca="false">IF(H743="","",VALUE(MID(H743,FIND("/",H743,FIND("/",H743)+1)+1,LEN(H743)-FIND("/",H743,FIND("/",H743)+1))))</f>
        <v/>
      </c>
      <c r="AD743" s="7" t="str">
        <f aca="false">IF(OR(H743="",AA743=""),"",IFERROR(INDEX('لیست‌ها'!$Q$3:$Q$53,MATCH(AA743,'لیست‌ها'!$P$3:$P$53,0))+IF(AB743&lt;=6,(AB743-1)*31+AC743,IF(AB743&lt;=11,186+(AB743-7)*30+AC743,336+AC743))-1,""))</f>
        <v/>
      </c>
      <c r="AE743" s="7" t="str">
        <f aca="false">IF(P743="","",VALUE(LEFT(P743,FIND("/",P743)-1)))</f>
        <v/>
      </c>
      <c r="AF743" s="7" t="str">
        <f aca="false">IF(P743="","",VALUE(MID(P743,FIND("/",P743)+1,FIND("/",P743,FIND("/",P743)+1)-FIND("/",P743)-1)))</f>
        <v/>
      </c>
      <c r="AG743" s="7" t="str">
        <f aca="false">IF(P743="","",VALUE(MID(P743,FIND("/",P743,FIND("/",P743)+1)+1,LEN(P743)-FIND("/",P743,FIND("/",P743)+1))))</f>
        <v/>
      </c>
      <c r="AH743" s="7" t="str">
        <f aca="false">IF(OR(P743="",AE743=""),"",IFERROR(INDEX('لیست‌ها'!$Q$3:$Q$53,MATCH(AE743,'لیست‌ها'!$P$3:$P$53,0))+IF(AF743&lt;=6,(AF743-1)*31+AG743,IF(AF743&lt;=11,186+(AF743-7)*30+AG743,336+AG743))-1,""))</f>
        <v/>
      </c>
      <c r="AI743" s="7" t="str">
        <f aca="false">IF(W743="","",W743&amp;"-"&amp;TEXT(X743,"00"))</f>
        <v/>
      </c>
      <c r="AJ743" s="7" t="str">
        <f aca="false">IF(W743="","",W743*12+X743)</f>
        <v/>
      </c>
      <c r="AK743" s="7" t="str">
        <f aca="false">IF(U743="تاخیر",V743+ROW()/100000,"")</f>
        <v/>
      </c>
    </row>
    <row r="744" customFormat="false" ht="15" hidden="false" customHeight="false" outlineLevel="0" collapsed="false">
      <c r="A744" s="7" t="str">
        <f aca="false">IF(B744="","",ROW()-3)</f>
        <v/>
      </c>
      <c r="B744" s="8"/>
      <c r="C744" s="8"/>
      <c r="D744" s="8"/>
      <c r="E744" s="9"/>
      <c r="F744" s="9"/>
      <c r="G744" s="8"/>
      <c r="H744" s="8"/>
      <c r="I744" s="8"/>
      <c r="J744" s="9"/>
      <c r="K744" s="8"/>
      <c r="L744" s="8"/>
      <c r="M744" s="8"/>
      <c r="N744" s="8"/>
      <c r="O744" s="8"/>
      <c r="P744" s="8"/>
      <c r="Q744" s="8"/>
      <c r="R744" s="9"/>
      <c r="S744" s="8"/>
      <c r="T744" s="9"/>
      <c r="U744" s="10" t="str">
        <f aca="true">IF(B744="","",IF(OR(P744&lt;&gt;"",I744="می‌باشد"),"بسته",IF(AND(L744&lt;&gt;"",W744=""),"خطای فرمت تاریخ ایجاد",IF(AND(H744&lt;&gt;"",AA744=""),"خطای فرمت مهلت",IF(AND(H744&lt;&gt;"",AD744&lt;&gt;"",TODAY()&gt;AD744),"تاخیر",IF(L744&lt;&gt;"","در حال انجام",""))))))</f>
        <v/>
      </c>
      <c r="V744" s="7" t="n">
        <f aca="true">IF(U744="تاخیر",TODAY()-AD744,IF(AND(U744="بسته",AH744&lt;&gt;"",AD744&lt;&gt;"",AH744&gt;AD744),AH744-AD744,0))</f>
        <v>0</v>
      </c>
      <c r="W744" s="7" t="str">
        <f aca="false">IF(L744="","",VALUE(LEFT(L744,FIND("/",L744)-1)))</f>
        <v/>
      </c>
      <c r="X744" s="7" t="str">
        <f aca="false">IF(L744="","",VALUE(MID(L744,FIND("/",L744)+1,FIND("/",L744,FIND("/",L744)+1)-FIND("/",L744)-1)))</f>
        <v/>
      </c>
      <c r="Y744" s="7" t="str">
        <f aca="false">IF(L744="","",VALUE(MID(L744,FIND("/",L744,FIND("/",L744)+1)+1,LEN(L744)-FIND("/",L744,FIND("/",L744)+1))))</f>
        <v/>
      </c>
      <c r="Z744" s="7" t="str">
        <f aca="false">IF(OR(L744="",W744=""),"",IFERROR(INDEX('لیست‌ها'!$Q$3:$Q$53,MATCH(W744,'لیست‌ها'!$P$3:$P$53,0))+IF(X744&lt;=6,(X744-1)*31+Y744,IF(X744&lt;=11,186+(X744-7)*30+Y744,336+Y744))-1,""))</f>
        <v/>
      </c>
      <c r="AA744" s="7" t="str">
        <f aca="false">IF(H744="","",VALUE(LEFT(H744,FIND("/",H744)-1)))</f>
        <v/>
      </c>
      <c r="AB744" s="7" t="str">
        <f aca="false">IF(H744="","",VALUE(MID(H744,FIND("/",H744)+1,FIND("/",H744,FIND("/",H744)+1)-FIND("/",H744)-1)))</f>
        <v/>
      </c>
      <c r="AC744" s="7" t="str">
        <f aca="false">IF(H744="","",VALUE(MID(H744,FIND("/",H744,FIND("/",H744)+1)+1,LEN(H744)-FIND("/",H744,FIND("/",H744)+1))))</f>
        <v/>
      </c>
      <c r="AD744" s="7" t="str">
        <f aca="false">IF(OR(H744="",AA744=""),"",IFERROR(INDEX('لیست‌ها'!$Q$3:$Q$53,MATCH(AA744,'لیست‌ها'!$P$3:$P$53,0))+IF(AB744&lt;=6,(AB744-1)*31+AC744,IF(AB744&lt;=11,186+(AB744-7)*30+AC744,336+AC744))-1,""))</f>
        <v/>
      </c>
      <c r="AE744" s="7" t="str">
        <f aca="false">IF(P744="","",VALUE(LEFT(P744,FIND("/",P744)-1)))</f>
        <v/>
      </c>
      <c r="AF744" s="7" t="str">
        <f aca="false">IF(P744="","",VALUE(MID(P744,FIND("/",P744)+1,FIND("/",P744,FIND("/",P744)+1)-FIND("/",P744)-1)))</f>
        <v/>
      </c>
      <c r="AG744" s="7" t="str">
        <f aca="false">IF(P744="","",VALUE(MID(P744,FIND("/",P744,FIND("/",P744)+1)+1,LEN(P744)-FIND("/",P744,FIND("/",P744)+1))))</f>
        <v/>
      </c>
      <c r="AH744" s="7" t="str">
        <f aca="false">IF(OR(P744="",AE744=""),"",IFERROR(INDEX('لیست‌ها'!$Q$3:$Q$53,MATCH(AE744,'لیست‌ها'!$P$3:$P$53,0))+IF(AF744&lt;=6,(AF744-1)*31+AG744,IF(AF744&lt;=11,186+(AF744-7)*30+AG744,336+AG744))-1,""))</f>
        <v/>
      </c>
      <c r="AI744" s="7" t="str">
        <f aca="false">IF(W744="","",W744&amp;"-"&amp;TEXT(X744,"00"))</f>
        <v/>
      </c>
      <c r="AJ744" s="7" t="str">
        <f aca="false">IF(W744="","",W744*12+X744)</f>
        <v/>
      </c>
      <c r="AK744" s="7" t="str">
        <f aca="false">IF(U744="تاخیر",V744+ROW()/100000,"")</f>
        <v/>
      </c>
    </row>
    <row r="745" customFormat="false" ht="15" hidden="false" customHeight="false" outlineLevel="0" collapsed="false">
      <c r="A745" s="7" t="str">
        <f aca="false">IF(B745="","",ROW()-3)</f>
        <v/>
      </c>
      <c r="B745" s="8"/>
      <c r="C745" s="8"/>
      <c r="D745" s="8"/>
      <c r="E745" s="9"/>
      <c r="F745" s="9"/>
      <c r="G745" s="8"/>
      <c r="H745" s="8"/>
      <c r="I745" s="8"/>
      <c r="J745" s="9"/>
      <c r="K745" s="8"/>
      <c r="L745" s="8"/>
      <c r="M745" s="8"/>
      <c r="N745" s="8"/>
      <c r="O745" s="8"/>
      <c r="P745" s="8"/>
      <c r="Q745" s="8"/>
      <c r="R745" s="9"/>
      <c r="S745" s="8"/>
      <c r="T745" s="9"/>
      <c r="U745" s="10" t="str">
        <f aca="true">IF(B745="","",IF(OR(P745&lt;&gt;"",I745="می‌باشد"),"بسته",IF(AND(L745&lt;&gt;"",W745=""),"خطای فرمت تاریخ ایجاد",IF(AND(H745&lt;&gt;"",AA745=""),"خطای فرمت مهلت",IF(AND(H745&lt;&gt;"",AD745&lt;&gt;"",TODAY()&gt;AD745),"تاخیر",IF(L745&lt;&gt;"","در حال انجام",""))))))</f>
        <v/>
      </c>
      <c r="V745" s="7" t="n">
        <f aca="true">IF(U745="تاخیر",TODAY()-AD745,IF(AND(U745="بسته",AH745&lt;&gt;"",AD745&lt;&gt;"",AH745&gt;AD745),AH745-AD745,0))</f>
        <v>0</v>
      </c>
      <c r="W745" s="7" t="str">
        <f aca="false">IF(L745="","",VALUE(LEFT(L745,FIND("/",L745)-1)))</f>
        <v/>
      </c>
      <c r="X745" s="7" t="str">
        <f aca="false">IF(L745="","",VALUE(MID(L745,FIND("/",L745)+1,FIND("/",L745,FIND("/",L745)+1)-FIND("/",L745)-1)))</f>
        <v/>
      </c>
      <c r="Y745" s="7" t="str">
        <f aca="false">IF(L745="","",VALUE(MID(L745,FIND("/",L745,FIND("/",L745)+1)+1,LEN(L745)-FIND("/",L745,FIND("/",L745)+1))))</f>
        <v/>
      </c>
      <c r="Z745" s="7" t="str">
        <f aca="false">IF(OR(L745="",W745=""),"",IFERROR(INDEX('لیست‌ها'!$Q$3:$Q$53,MATCH(W745,'لیست‌ها'!$P$3:$P$53,0))+IF(X745&lt;=6,(X745-1)*31+Y745,IF(X745&lt;=11,186+(X745-7)*30+Y745,336+Y745))-1,""))</f>
        <v/>
      </c>
      <c r="AA745" s="7" t="str">
        <f aca="false">IF(H745="","",VALUE(LEFT(H745,FIND("/",H745)-1)))</f>
        <v/>
      </c>
      <c r="AB745" s="7" t="str">
        <f aca="false">IF(H745="","",VALUE(MID(H745,FIND("/",H745)+1,FIND("/",H745,FIND("/",H745)+1)-FIND("/",H745)-1)))</f>
        <v/>
      </c>
      <c r="AC745" s="7" t="str">
        <f aca="false">IF(H745="","",VALUE(MID(H745,FIND("/",H745,FIND("/",H745)+1)+1,LEN(H745)-FIND("/",H745,FIND("/",H745)+1))))</f>
        <v/>
      </c>
      <c r="AD745" s="7" t="str">
        <f aca="false">IF(OR(H745="",AA745=""),"",IFERROR(INDEX('لیست‌ها'!$Q$3:$Q$53,MATCH(AA745,'لیست‌ها'!$P$3:$P$53,0))+IF(AB745&lt;=6,(AB745-1)*31+AC745,IF(AB745&lt;=11,186+(AB745-7)*30+AC745,336+AC745))-1,""))</f>
        <v/>
      </c>
      <c r="AE745" s="7" t="str">
        <f aca="false">IF(P745="","",VALUE(LEFT(P745,FIND("/",P745)-1)))</f>
        <v/>
      </c>
      <c r="AF745" s="7" t="str">
        <f aca="false">IF(P745="","",VALUE(MID(P745,FIND("/",P745)+1,FIND("/",P745,FIND("/",P745)+1)-FIND("/",P745)-1)))</f>
        <v/>
      </c>
      <c r="AG745" s="7" t="str">
        <f aca="false">IF(P745="","",VALUE(MID(P745,FIND("/",P745,FIND("/",P745)+1)+1,LEN(P745)-FIND("/",P745,FIND("/",P745)+1))))</f>
        <v/>
      </c>
      <c r="AH745" s="7" t="str">
        <f aca="false">IF(OR(P745="",AE745=""),"",IFERROR(INDEX('لیست‌ها'!$Q$3:$Q$53,MATCH(AE745,'لیست‌ها'!$P$3:$P$53,0))+IF(AF745&lt;=6,(AF745-1)*31+AG745,IF(AF745&lt;=11,186+(AF745-7)*30+AG745,336+AG745))-1,""))</f>
        <v/>
      </c>
      <c r="AI745" s="7" t="str">
        <f aca="false">IF(W745="","",W745&amp;"-"&amp;TEXT(X745,"00"))</f>
        <v/>
      </c>
      <c r="AJ745" s="7" t="str">
        <f aca="false">IF(W745="","",W745*12+X745)</f>
        <v/>
      </c>
      <c r="AK745" s="7" t="str">
        <f aca="false">IF(U745="تاخیر",V745+ROW()/100000,"")</f>
        <v/>
      </c>
    </row>
    <row r="746" customFormat="false" ht="15" hidden="false" customHeight="false" outlineLevel="0" collapsed="false">
      <c r="A746" s="7" t="str">
        <f aca="false">IF(B746="","",ROW()-3)</f>
        <v/>
      </c>
      <c r="B746" s="8"/>
      <c r="C746" s="8"/>
      <c r="D746" s="8"/>
      <c r="E746" s="9"/>
      <c r="F746" s="9"/>
      <c r="G746" s="8"/>
      <c r="H746" s="8"/>
      <c r="I746" s="8"/>
      <c r="J746" s="9"/>
      <c r="K746" s="8"/>
      <c r="L746" s="8"/>
      <c r="M746" s="8"/>
      <c r="N746" s="8"/>
      <c r="O746" s="8"/>
      <c r="P746" s="8"/>
      <c r="Q746" s="8"/>
      <c r="R746" s="9"/>
      <c r="S746" s="8"/>
      <c r="T746" s="9"/>
      <c r="U746" s="10" t="str">
        <f aca="true">IF(B746="","",IF(OR(P746&lt;&gt;"",I746="می‌باشد"),"بسته",IF(AND(L746&lt;&gt;"",W746=""),"خطای فرمت تاریخ ایجاد",IF(AND(H746&lt;&gt;"",AA746=""),"خطای فرمت مهلت",IF(AND(H746&lt;&gt;"",AD746&lt;&gt;"",TODAY()&gt;AD746),"تاخیر",IF(L746&lt;&gt;"","در حال انجام",""))))))</f>
        <v/>
      </c>
      <c r="V746" s="7" t="n">
        <f aca="true">IF(U746="تاخیر",TODAY()-AD746,IF(AND(U746="بسته",AH746&lt;&gt;"",AD746&lt;&gt;"",AH746&gt;AD746),AH746-AD746,0))</f>
        <v>0</v>
      </c>
      <c r="W746" s="7" t="str">
        <f aca="false">IF(L746="","",VALUE(LEFT(L746,FIND("/",L746)-1)))</f>
        <v/>
      </c>
      <c r="X746" s="7" t="str">
        <f aca="false">IF(L746="","",VALUE(MID(L746,FIND("/",L746)+1,FIND("/",L746,FIND("/",L746)+1)-FIND("/",L746)-1)))</f>
        <v/>
      </c>
      <c r="Y746" s="7" t="str">
        <f aca="false">IF(L746="","",VALUE(MID(L746,FIND("/",L746,FIND("/",L746)+1)+1,LEN(L746)-FIND("/",L746,FIND("/",L746)+1))))</f>
        <v/>
      </c>
      <c r="Z746" s="7" t="str">
        <f aca="false">IF(OR(L746="",W746=""),"",IFERROR(INDEX('لیست‌ها'!$Q$3:$Q$53,MATCH(W746,'لیست‌ها'!$P$3:$P$53,0))+IF(X746&lt;=6,(X746-1)*31+Y746,IF(X746&lt;=11,186+(X746-7)*30+Y746,336+Y746))-1,""))</f>
        <v/>
      </c>
      <c r="AA746" s="7" t="str">
        <f aca="false">IF(H746="","",VALUE(LEFT(H746,FIND("/",H746)-1)))</f>
        <v/>
      </c>
      <c r="AB746" s="7" t="str">
        <f aca="false">IF(H746="","",VALUE(MID(H746,FIND("/",H746)+1,FIND("/",H746,FIND("/",H746)+1)-FIND("/",H746)-1)))</f>
        <v/>
      </c>
      <c r="AC746" s="7" t="str">
        <f aca="false">IF(H746="","",VALUE(MID(H746,FIND("/",H746,FIND("/",H746)+1)+1,LEN(H746)-FIND("/",H746,FIND("/",H746)+1))))</f>
        <v/>
      </c>
      <c r="AD746" s="7" t="str">
        <f aca="false">IF(OR(H746="",AA746=""),"",IFERROR(INDEX('لیست‌ها'!$Q$3:$Q$53,MATCH(AA746,'لیست‌ها'!$P$3:$P$53,0))+IF(AB746&lt;=6,(AB746-1)*31+AC746,IF(AB746&lt;=11,186+(AB746-7)*30+AC746,336+AC746))-1,""))</f>
        <v/>
      </c>
      <c r="AE746" s="7" t="str">
        <f aca="false">IF(P746="","",VALUE(LEFT(P746,FIND("/",P746)-1)))</f>
        <v/>
      </c>
      <c r="AF746" s="7" t="str">
        <f aca="false">IF(P746="","",VALUE(MID(P746,FIND("/",P746)+1,FIND("/",P746,FIND("/",P746)+1)-FIND("/",P746)-1)))</f>
        <v/>
      </c>
      <c r="AG746" s="7" t="str">
        <f aca="false">IF(P746="","",VALUE(MID(P746,FIND("/",P746,FIND("/",P746)+1)+1,LEN(P746)-FIND("/",P746,FIND("/",P746)+1))))</f>
        <v/>
      </c>
      <c r="AH746" s="7" t="str">
        <f aca="false">IF(OR(P746="",AE746=""),"",IFERROR(INDEX('لیست‌ها'!$Q$3:$Q$53,MATCH(AE746,'لیست‌ها'!$P$3:$P$53,0))+IF(AF746&lt;=6,(AF746-1)*31+AG746,IF(AF746&lt;=11,186+(AF746-7)*30+AG746,336+AG746))-1,""))</f>
        <v/>
      </c>
      <c r="AI746" s="7" t="str">
        <f aca="false">IF(W746="","",W746&amp;"-"&amp;TEXT(X746,"00"))</f>
        <v/>
      </c>
      <c r="AJ746" s="7" t="str">
        <f aca="false">IF(W746="","",W746*12+X746)</f>
        <v/>
      </c>
      <c r="AK746" s="7" t="str">
        <f aca="false">IF(U746="تاخیر",V746+ROW()/100000,"")</f>
        <v/>
      </c>
    </row>
    <row r="747" customFormat="false" ht="15" hidden="false" customHeight="false" outlineLevel="0" collapsed="false">
      <c r="A747" s="7" t="str">
        <f aca="false">IF(B747="","",ROW()-3)</f>
        <v/>
      </c>
      <c r="B747" s="8"/>
      <c r="C747" s="8"/>
      <c r="D747" s="8"/>
      <c r="E747" s="9"/>
      <c r="F747" s="9"/>
      <c r="G747" s="8"/>
      <c r="H747" s="8"/>
      <c r="I747" s="8"/>
      <c r="J747" s="9"/>
      <c r="K747" s="8"/>
      <c r="L747" s="8"/>
      <c r="M747" s="8"/>
      <c r="N747" s="8"/>
      <c r="O747" s="8"/>
      <c r="P747" s="8"/>
      <c r="Q747" s="8"/>
      <c r="R747" s="9"/>
      <c r="S747" s="8"/>
      <c r="T747" s="9"/>
      <c r="U747" s="10" t="str">
        <f aca="true">IF(B747="","",IF(OR(P747&lt;&gt;"",I747="می‌باشد"),"بسته",IF(AND(L747&lt;&gt;"",W747=""),"خطای فرمت تاریخ ایجاد",IF(AND(H747&lt;&gt;"",AA747=""),"خطای فرمت مهلت",IF(AND(H747&lt;&gt;"",AD747&lt;&gt;"",TODAY()&gt;AD747),"تاخیر",IF(L747&lt;&gt;"","در حال انجام",""))))))</f>
        <v/>
      </c>
      <c r="V747" s="7" t="n">
        <f aca="true">IF(U747="تاخیر",TODAY()-AD747,IF(AND(U747="بسته",AH747&lt;&gt;"",AD747&lt;&gt;"",AH747&gt;AD747),AH747-AD747,0))</f>
        <v>0</v>
      </c>
      <c r="W747" s="7" t="str">
        <f aca="false">IF(L747="","",VALUE(LEFT(L747,FIND("/",L747)-1)))</f>
        <v/>
      </c>
      <c r="X747" s="7" t="str">
        <f aca="false">IF(L747="","",VALUE(MID(L747,FIND("/",L747)+1,FIND("/",L747,FIND("/",L747)+1)-FIND("/",L747)-1)))</f>
        <v/>
      </c>
      <c r="Y747" s="7" t="str">
        <f aca="false">IF(L747="","",VALUE(MID(L747,FIND("/",L747,FIND("/",L747)+1)+1,LEN(L747)-FIND("/",L747,FIND("/",L747)+1))))</f>
        <v/>
      </c>
      <c r="Z747" s="7" t="str">
        <f aca="false">IF(OR(L747="",W747=""),"",IFERROR(INDEX('لیست‌ها'!$Q$3:$Q$53,MATCH(W747,'لیست‌ها'!$P$3:$P$53,0))+IF(X747&lt;=6,(X747-1)*31+Y747,IF(X747&lt;=11,186+(X747-7)*30+Y747,336+Y747))-1,""))</f>
        <v/>
      </c>
      <c r="AA747" s="7" t="str">
        <f aca="false">IF(H747="","",VALUE(LEFT(H747,FIND("/",H747)-1)))</f>
        <v/>
      </c>
      <c r="AB747" s="7" t="str">
        <f aca="false">IF(H747="","",VALUE(MID(H747,FIND("/",H747)+1,FIND("/",H747,FIND("/",H747)+1)-FIND("/",H747)-1)))</f>
        <v/>
      </c>
      <c r="AC747" s="7" t="str">
        <f aca="false">IF(H747="","",VALUE(MID(H747,FIND("/",H747,FIND("/",H747)+1)+1,LEN(H747)-FIND("/",H747,FIND("/",H747)+1))))</f>
        <v/>
      </c>
      <c r="AD747" s="7" t="str">
        <f aca="false">IF(OR(H747="",AA747=""),"",IFERROR(INDEX('لیست‌ها'!$Q$3:$Q$53,MATCH(AA747,'لیست‌ها'!$P$3:$P$53,0))+IF(AB747&lt;=6,(AB747-1)*31+AC747,IF(AB747&lt;=11,186+(AB747-7)*30+AC747,336+AC747))-1,""))</f>
        <v/>
      </c>
      <c r="AE747" s="7" t="str">
        <f aca="false">IF(P747="","",VALUE(LEFT(P747,FIND("/",P747)-1)))</f>
        <v/>
      </c>
      <c r="AF747" s="7" t="str">
        <f aca="false">IF(P747="","",VALUE(MID(P747,FIND("/",P747)+1,FIND("/",P747,FIND("/",P747)+1)-FIND("/",P747)-1)))</f>
        <v/>
      </c>
      <c r="AG747" s="7" t="str">
        <f aca="false">IF(P747="","",VALUE(MID(P747,FIND("/",P747,FIND("/",P747)+1)+1,LEN(P747)-FIND("/",P747,FIND("/",P747)+1))))</f>
        <v/>
      </c>
      <c r="AH747" s="7" t="str">
        <f aca="false">IF(OR(P747="",AE747=""),"",IFERROR(INDEX('لیست‌ها'!$Q$3:$Q$53,MATCH(AE747,'لیست‌ها'!$P$3:$P$53,0))+IF(AF747&lt;=6,(AF747-1)*31+AG747,IF(AF747&lt;=11,186+(AF747-7)*30+AG747,336+AG747))-1,""))</f>
        <v/>
      </c>
      <c r="AI747" s="7" t="str">
        <f aca="false">IF(W747="","",W747&amp;"-"&amp;TEXT(X747,"00"))</f>
        <v/>
      </c>
      <c r="AJ747" s="7" t="str">
        <f aca="false">IF(W747="","",W747*12+X747)</f>
        <v/>
      </c>
      <c r="AK747" s="7" t="str">
        <f aca="false">IF(U747="تاخیر",V747+ROW()/100000,"")</f>
        <v/>
      </c>
    </row>
    <row r="748" customFormat="false" ht="15" hidden="false" customHeight="false" outlineLevel="0" collapsed="false">
      <c r="A748" s="7" t="str">
        <f aca="false">IF(B748="","",ROW()-3)</f>
        <v/>
      </c>
      <c r="B748" s="8"/>
      <c r="C748" s="8"/>
      <c r="D748" s="8"/>
      <c r="E748" s="9"/>
      <c r="F748" s="9"/>
      <c r="G748" s="8"/>
      <c r="H748" s="8"/>
      <c r="I748" s="8"/>
      <c r="J748" s="9"/>
      <c r="K748" s="8"/>
      <c r="L748" s="8"/>
      <c r="M748" s="8"/>
      <c r="N748" s="8"/>
      <c r="O748" s="8"/>
      <c r="P748" s="8"/>
      <c r="Q748" s="8"/>
      <c r="R748" s="9"/>
      <c r="S748" s="8"/>
      <c r="T748" s="9"/>
      <c r="U748" s="10" t="str">
        <f aca="true">IF(B748="","",IF(OR(P748&lt;&gt;"",I748="می‌باشد"),"بسته",IF(AND(L748&lt;&gt;"",W748=""),"خطای فرمت تاریخ ایجاد",IF(AND(H748&lt;&gt;"",AA748=""),"خطای فرمت مهلت",IF(AND(H748&lt;&gt;"",AD748&lt;&gt;"",TODAY()&gt;AD748),"تاخیر",IF(L748&lt;&gt;"","در حال انجام",""))))))</f>
        <v/>
      </c>
      <c r="V748" s="7" t="n">
        <f aca="true">IF(U748="تاخیر",TODAY()-AD748,IF(AND(U748="بسته",AH748&lt;&gt;"",AD748&lt;&gt;"",AH748&gt;AD748),AH748-AD748,0))</f>
        <v>0</v>
      </c>
      <c r="W748" s="7" t="str">
        <f aca="false">IF(L748="","",VALUE(LEFT(L748,FIND("/",L748)-1)))</f>
        <v/>
      </c>
      <c r="X748" s="7" t="str">
        <f aca="false">IF(L748="","",VALUE(MID(L748,FIND("/",L748)+1,FIND("/",L748,FIND("/",L748)+1)-FIND("/",L748)-1)))</f>
        <v/>
      </c>
      <c r="Y748" s="7" t="str">
        <f aca="false">IF(L748="","",VALUE(MID(L748,FIND("/",L748,FIND("/",L748)+1)+1,LEN(L748)-FIND("/",L748,FIND("/",L748)+1))))</f>
        <v/>
      </c>
      <c r="Z748" s="7" t="str">
        <f aca="false">IF(OR(L748="",W748=""),"",IFERROR(INDEX('لیست‌ها'!$Q$3:$Q$53,MATCH(W748,'لیست‌ها'!$P$3:$P$53,0))+IF(X748&lt;=6,(X748-1)*31+Y748,IF(X748&lt;=11,186+(X748-7)*30+Y748,336+Y748))-1,""))</f>
        <v/>
      </c>
      <c r="AA748" s="7" t="str">
        <f aca="false">IF(H748="","",VALUE(LEFT(H748,FIND("/",H748)-1)))</f>
        <v/>
      </c>
      <c r="AB748" s="7" t="str">
        <f aca="false">IF(H748="","",VALUE(MID(H748,FIND("/",H748)+1,FIND("/",H748,FIND("/",H748)+1)-FIND("/",H748)-1)))</f>
        <v/>
      </c>
      <c r="AC748" s="7" t="str">
        <f aca="false">IF(H748="","",VALUE(MID(H748,FIND("/",H748,FIND("/",H748)+1)+1,LEN(H748)-FIND("/",H748,FIND("/",H748)+1))))</f>
        <v/>
      </c>
      <c r="AD748" s="7" t="str">
        <f aca="false">IF(OR(H748="",AA748=""),"",IFERROR(INDEX('لیست‌ها'!$Q$3:$Q$53,MATCH(AA748,'لیست‌ها'!$P$3:$P$53,0))+IF(AB748&lt;=6,(AB748-1)*31+AC748,IF(AB748&lt;=11,186+(AB748-7)*30+AC748,336+AC748))-1,""))</f>
        <v/>
      </c>
      <c r="AE748" s="7" t="str">
        <f aca="false">IF(P748="","",VALUE(LEFT(P748,FIND("/",P748)-1)))</f>
        <v/>
      </c>
      <c r="AF748" s="7" t="str">
        <f aca="false">IF(P748="","",VALUE(MID(P748,FIND("/",P748)+1,FIND("/",P748,FIND("/",P748)+1)-FIND("/",P748)-1)))</f>
        <v/>
      </c>
      <c r="AG748" s="7" t="str">
        <f aca="false">IF(P748="","",VALUE(MID(P748,FIND("/",P748,FIND("/",P748)+1)+1,LEN(P748)-FIND("/",P748,FIND("/",P748)+1))))</f>
        <v/>
      </c>
      <c r="AH748" s="7" t="str">
        <f aca="false">IF(OR(P748="",AE748=""),"",IFERROR(INDEX('لیست‌ها'!$Q$3:$Q$53,MATCH(AE748,'لیست‌ها'!$P$3:$P$53,0))+IF(AF748&lt;=6,(AF748-1)*31+AG748,IF(AF748&lt;=11,186+(AF748-7)*30+AG748,336+AG748))-1,""))</f>
        <v/>
      </c>
      <c r="AI748" s="7" t="str">
        <f aca="false">IF(W748="","",W748&amp;"-"&amp;TEXT(X748,"00"))</f>
        <v/>
      </c>
      <c r="AJ748" s="7" t="str">
        <f aca="false">IF(W748="","",W748*12+X748)</f>
        <v/>
      </c>
      <c r="AK748" s="7" t="str">
        <f aca="false">IF(U748="تاخیر",V748+ROW()/100000,"")</f>
        <v/>
      </c>
    </row>
    <row r="749" customFormat="false" ht="15" hidden="false" customHeight="false" outlineLevel="0" collapsed="false">
      <c r="A749" s="7" t="str">
        <f aca="false">IF(B749="","",ROW()-3)</f>
        <v/>
      </c>
      <c r="B749" s="8"/>
      <c r="C749" s="8"/>
      <c r="D749" s="8"/>
      <c r="E749" s="9"/>
      <c r="F749" s="9"/>
      <c r="G749" s="8"/>
      <c r="H749" s="8"/>
      <c r="I749" s="8"/>
      <c r="J749" s="9"/>
      <c r="K749" s="8"/>
      <c r="L749" s="8"/>
      <c r="M749" s="8"/>
      <c r="N749" s="8"/>
      <c r="O749" s="8"/>
      <c r="P749" s="8"/>
      <c r="Q749" s="8"/>
      <c r="R749" s="9"/>
      <c r="S749" s="8"/>
      <c r="T749" s="9"/>
      <c r="U749" s="10" t="str">
        <f aca="true">IF(B749="","",IF(OR(P749&lt;&gt;"",I749="می‌باشد"),"بسته",IF(AND(L749&lt;&gt;"",W749=""),"خطای فرمت تاریخ ایجاد",IF(AND(H749&lt;&gt;"",AA749=""),"خطای فرمت مهلت",IF(AND(H749&lt;&gt;"",AD749&lt;&gt;"",TODAY()&gt;AD749),"تاخیر",IF(L749&lt;&gt;"","در حال انجام",""))))))</f>
        <v/>
      </c>
      <c r="V749" s="7" t="n">
        <f aca="true">IF(U749="تاخیر",TODAY()-AD749,IF(AND(U749="بسته",AH749&lt;&gt;"",AD749&lt;&gt;"",AH749&gt;AD749),AH749-AD749,0))</f>
        <v>0</v>
      </c>
      <c r="W749" s="7" t="str">
        <f aca="false">IF(L749="","",VALUE(LEFT(L749,FIND("/",L749)-1)))</f>
        <v/>
      </c>
      <c r="X749" s="7" t="str">
        <f aca="false">IF(L749="","",VALUE(MID(L749,FIND("/",L749)+1,FIND("/",L749,FIND("/",L749)+1)-FIND("/",L749)-1)))</f>
        <v/>
      </c>
      <c r="Y749" s="7" t="str">
        <f aca="false">IF(L749="","",VALUE(MID(L749,FIND("/",L749,FIND("/",L749)+1)+1,LEN(L749)-FIND("/",L749,FIND("/",L749)+1))))</f>
        <v/>
      </c>
      <c r="Z749" s="7" t="str">
        <f aca="false">IF(OR(L749="",W749=""),"",IFERROR(INDEX('لیست‌ها'!$Q$3:$Q$53,MATCH(W749,'لیست‌ها'!$P$3:$P$53,0))+IF(X749&lt;=6,(X749-1)*31+Y749,IF(X749&lt;=11,186+(X749-7)*30+Y749,336+Y749))-1,""))</f>
        <v/>
      </c>
      <c r="AA749" s="7" t="str">
        <f aca="false">IF(H749="","",VALUE(LEFT(H749,FIND("/",H749)-1)))</f>
        <v/>
      </c>
      <c r="AB749" s="7" t="str">
        <f aca="false">IF(H749="","",VALUE(MID(H749,FIND("/",H749)+1,FIND("/",H749,FIND("/",H749)+1)-FIND("/",H749)-1)))</f>
        <v/>
      </c>
      <c r="AC749" s="7" t="str">
        <f aca="false">IF(H749="","",VALUE(MID(H749,FIND("/",H749,FIND("/",H749)+1)+1,LEN(H749)-FIND("/",H749,FIND("/",H749)+1))))</f>
        <v/>
      </c>
      <c r="AD749" s="7" t="str">
        <f aca="false">IF(OR(H749="",AA749=""),"",IFERROR(INDEX('لیست‌ها'!$Q$3:$Q$53,MATCH(AA749,'لیست‌ها'!$P$3:$P$53,0))+IF(AB749&lt;=6,(AB749-1)*31+AC749,IF(AB749&lt;=11,186+(AB749-7)*30+AC749,336+AC749))-1,""))</f>
        <v/>
      </c>
      <c r="AE749" s="7" t="str">
        <f aca="false">IF(P749="","",VALUE(LEFT(P749,FIND("/",P749)-1)))</f>
        <v/>
      </c>
      <c r="AF749" s="7" t="str">
        <f aca="false">IF(P749="","",VALUE(MID(P749,FIND("/",P749)+1,FIND("/",P749,FIND("/",P749)+1)-FIND("/",P749)-1)))</f>
        <v/>
      </c>
      <c r="AG749" s="7" t="str">
        <f aca="false">IF(P749="","",VALUE(MID(P749,FIND("/",P749,FIND("/",P749)+1)+1,LEN(P749)-FIND("/",P749,FIND("/",P749)+1))))</f>
        <v/>
      </c>
      <c r="AH749" s="7" t="str">
        <f aca="false">IF(OR(P749="",AE749=""),"",IFERROR(INDEX('لیست‌ها'!$Q$3:$Q$53,MATCH(AE749,'لیست‌ها'!$P$3:$P$53,0))+IF(AF749&lt;=6,(AF749-1)*31+AG749,IF(AF749&lt;=11,186+(AF749-7)*30+AG749,336+AG749))-1,""))</f>
        <v/>
      </c>
      <c r="AI749" s="7" t="str">
        <f aca="false">IF(W749="","",W749&amp;"-"&amp;TEXT(X749,"00"))</f>
        <v/>
      </c>
      <c r="AJ749" s="7" t="str">
        <f aca="false">IF(W749="","",W749*12+X749)</f>
        <v/>
      </c>
      <c r="AK749" s="7" t="str">
        <f aca="false">IF(U749="تاخیر",V749+ROW()/100000,"")</f>
        <v/>
      </c>
    </row>
    <row r="750" customFormat="false" ht="15" hidden="false" customHeight="false" outlineLevel="0" collapsed="false">
      <c r="A750" s="7" t="str">
        <f aca="false">IF(B750="","",ROW()-3)</f>
        <v/>
      </c>
      <c r="B750" s="8"/>
      <c r="C750" s="8"/>
      <c r="D750" s="8"/>
      <c r="E750" s="9"/>
      <c r="F750" s="9"/>
      <c r="G750" s="8"/>
      <c r="H750" s="8"/>
      <c r="I750" s="8"/>
      <c r="J750" s="9"/>
      <c r="K750" s="8"/>
      <c r="L750" s="8"/>
      <c r="M750" s="8"/>
      <c r="N750" s="8"/>
      <c r="O750" s="8"/>
      <c r="P750" s="8"/>
      <c r="Q750" s="8"/>
      <c r="R750" s="9"/>
      <c r="S750" s="8"/>
      <c r="T750" s="9"/>
      <c r="U750" s="10" t="str">
        <f aca="true">IF(B750="","",IF(OR(P750&lt;&gt;"",I750="می‌باشد"),"بسته",IF(AND(L750&lt;&gt;"",W750=""),"خطای فرمت تاریخ ایجاد",IF(AND(H750&lt;&gt;"",AA750=""),"خطای فرمت مهلت",IF(AND(H750&lt;&gt;"",AD750&lt;&gt;"",TODAY()&gt;AD750),"تاخیر",IF(L750&lt;&gt;"","در حال انجام",""))))))</f>
        <v/>
      </c>
      <c r="V750" s="7" t="n">
        <f aca="true">IF(U750="تاخیر",TODAY()-AD750,IF(AND(U750="بسته",AH750&lt;&gt;"",AD750&lt;&gt;"",AH750&gt;AD750),AH750-AD750,0))</f>
        <v>0</v>
      </c>
      <c r="W750" s="7" t="str">
        <f aca="false">IF(L750="","",VALUE(LEFT(L750,FIND("/",L750)-1)))</f>
        <v/>
      </c>
      <c r="X750" s="7" t="str">
        <f aca="false">IF(L750="","",VALUE(MID(L750,FIND("/",L750)+1,FIND("/",L750,FIND("/",L750)+1)-FIND("/",L750)-1)))</f>
        <v/>
      </c>
      <c r="Y750" s="7" t="str">
        <f aca="false">IF(L750="","",VALUE(MID(L750,FIND("/",L750,FIND("/",L750)+1)+1,LEN(L750)-FIND("/",L750,FIND("/",L750)+1))))</f>
        <v/>
      </c>
      <c r="Z750" s="7" t="str">
        <f aca="false">IF(OR(L750="",W750=""),"",IFERROR(INDEX('لیست‌ها'!$Q$3:$Q$53,MATCH(W750,'لیست‌ها'!$P$3:$P$53,0))+IF(X750&lt;=6,(X750-1)*31+Y750,IF(X750&lt;=11,186+(X750-7)*30+Y750,336+Y750))-1,""))</f>
        <v/>
      </c>
      <c r="AA750" s="7" t="str">
        <f aca="false">IF(H750="","",VALUE(LEFT(H750,FIND("/",H750)-1)))</f>
        <v/>
      </c>
      <c r="AB750" s="7" t="str">
        <f aca="false">IF(H750="","",VALUE(MID(H750,FIND("/",H750)+1,FIND("/",H750,FIND("/",H750)+1)-FIND("/",H750)-1)))</f>
        <v/>
      </c>
      <c r="AC750" s="7" t="str">
        <f aca="false">IF(H750="","",VALUE(MID(H750,FIND("/",H750,FIND("/",H750)+1)+1,LEN(H750)-FIND("/",H750,FIND("/",H750)+1))))</f>
        <v/>
      </c>
      <c r="AD750" s="7" t="str">
        <f aca="false">IF(OR(H750="",AA750=""),"",IFERROR(INDEX('لیست‌ها'!$Q$3:$Q$53,MATCH(AA750,'لیست‌ها'!$P$3:$P$53,0))+IF(AB750&lt;=6,(AB750-1)*31+AC750,IF(AB750&lt;=11,186+(AB750-7)*30+AC750,336+AC750))-1,""))</f>
        <v/>
      </c>
      <c r="AE750" s="7" t="str">
        <f aca="false">IF(P750="","",VALUE(LEFT(P750,FIND("/",P750)-1)))</f>
        <v/>
      </c>
      <c r="AF750" s="7" t="str">
        <f aca="false">IF(P750="","",VALUE(MID(P750,FIND("/",P750)+1,FIND("/",P750,FIND("/",P750)+1)-FIND("/",P750)-1)))</f>
        <v/>
      </c>
      <c r="AG750" s="7" t="str">
        <f aca="false">IF(P750="","",VALUE(MID(P750,FIND("/",P750,FIND("/",P750)+1)+1,LEN(P750)-FIND("/",P750,FIND("/",P750)+1))))</f>
        <v/>
      </c>
      <c r="AH750" s="7" t="str">
        <f aca="false">IF(OR(P750="",AE750=""),"",IFERROR(INDEX('لیست‌ها'!$Q$3:$Q$53,MATCH(AE750,'لیست‌ها'!$P$3:$P$53,0))+IF(AF750&lt;=6,(AF750-1)*31+AG750,IF(AF750&lt;=11,186+(AF750-7)*30+AG750,336+AG750))-1,""))</f>
        <v/>
      </c>
      <c r="AI750" s="7" t="str">
        <f aca="false">IF(W750="","",W750&amp;"-"&amp;TEXT(X750,"00"))</f>
        <v/>
      </c>
      <c r="AJ750" s="7" t="str">
        <f aca="false">IF(W750="","",W750*12+X750)</f>
        <v/>
      </c>
      <c r="AK750" s="7" t="str">
        <f aca="false">IF(U750="تاخیر",V750+ROW()/100000,"")</f>
        <v/>
      </c>
    </row>
    <row r="751" customFormat="false" ht="15" hidden="false" customHeight="false" outlineLevel="0" collapsed="false">
      <c r="A751" s="7" t="str">
        <f aca="false">IF(B751="","",ROW()-3)</f>
        <v/>
      </c>
      <c r="B751" s="8"/>
      <c r="C751" s="8"/>
      <c r="D751" s="8"/>
      <c r="E751" s="9"/>
      <c r="F751" s="9"/>
      <c r="G751" s="8"/>
      <c r="H751" s="8"/>
      <c r="I751" s="8"/>
      <c r="J751" s="9"/>
      <c r="K751" s="8"/>
      <c r="L751" s="8"/>
      <c r="M751" s="8"/>
      <c r="N751" s="8"/>
      <c r="O751" s="8"/>
      <c r="P751" s="8"/>
      <c r="Q751" s="8"/>
      <c r="R751" s="9"/>
      <c r="S751" s="8"/>
      <c r="T751" s="9"/>
      <c r="U751" s="10" t="str">
        <f aca="true">IF(B751="","",IF(OR(P751&lt;&gt;"",I751="می‌باشد"),"بسته",IF(AND(L751&lt;&gt;"",W751=""),"خطای فرمت تاریخ ایجاد",IF(AND(H751&lt;&gt;"",AA751=""),"خطای فرمت مهلت",IF(AND(H751&lt;&gt;"",AD751&lt;&gt;"",TODAY()&gt;AD751),"تاخیر",IF(L751&lt;&gt;"","در حال انجام",""))))))</f>
        <v/>
      </c>
      <c r="V751" s="7" t="n">
        <f aca="true">IF(U751="تاخیر",TODAY()-AD751,IF(AND(U751="بسته",AH751&lt;&gt;"",AD751&lt;&gt;"",AH751&gt;AD751),AH751-AD751,0))</f>
        <v>0</v>
      </c>
      <c r="W751" s="7" t="str">
        <f aca="false">IF(L751="","",VALUE(LEFT(L751,FIND("/",L751)-1)))</f>
        <v/>
      </c>
      <c r="X751" s="7" t="str">
        <f aca="false">IF(L751="","",VALUE(MID(L751,FIND("/",L751)+1,FIND("/",L751,FIND("/",L751)+1)-FIND("/",L751)-1)))</f>
        <v/>
      </c>
      <c r="Y751" s="7" t="str">
        <f aca="false">IF(L751="","",VALUE(MID(L751,FIND("/",L751,FIND("/",L751)+1)+1,LEN(L751)-FIND("/",L751,FIND("/",L751)+1))))</f>
        <v/>
      </c>
      <c r="Z751" s="7" t="str">
        <f aca="false">IF(OR(L751="",W751=""),"",IFERROR(INDEX('لیست‌ها'!$Q$3:$Q$53,MATCH(W751,'لیست‌ها'!$P$3:$P$53,0))+IF(X751&lt;=6,(X751-1)*31+Y751,IF(X751&lt;=11,186+(X751-7)*30+Y751,336+Y751))-1,""))</f>
        <v/>
      </c>
      <c r="AA751" s="7" t="str">
        <f aca="false">IF(H751="","",VALUE(LEFT(H751,FIND("/",H751)-1)))</f>
        <v/>
      </c>
      <c r="AB751" s="7" t="str">
        <f aca="false">IF(H751="","",VALUE(MID(H751,FIND("/",H751)+1,FIND("/",H751,FIND("/",H751)+1)-FIND("/",H751)-1)))</f>
        <v/>
      </c>
      <c r="AC751" s="7" t="str">
        <f aca="false">IF(H751="","",VALUE(MID(H751,FIND("/",H751,FIND("/",H751)+1)+1,LEN(H751)-FIND("/",H751,FIND("/",H751)+1))))</f>
        <v/>
      </c>
      <c r="AD751" s="7" t="str">
        <f aca="false">IF(OR(H751="",AA751=""),"",IFERROR(INDEX('لیست‌ها'!$Q$3:$Q$53,MATCH(AA751,'لیست‌ها'!$P$3:$P$53,0))+IF(AB751&lt;=6,(AB751-1)*31+AC751,IF(AB751&lt;=11,186+(AB751-7)*30+AC751,336+AC751))-1,""))</f>
        <v/>
      </c>
      <c r="AE751" s="7" t="str">
        <f aca="false">IF(P751="","",VALUE(LEFT(P751,FIND("/",P751)-1)))</f>
        <v/>
      </c>
      <c r="AF751" s="7" t="str">
        <f aca="false">IF(P751="","",VALUE(MID(P751,FIND("/",P751)+1,FIND("/",P751,FIND("/",P751)+1)-FIND("/",P751)-1)))</f>
        <v/>
      </c>
      <c r="AG751" s="7" t="str">
        <f aca="false">IF(P751="","",VALUE(MID(P751,FIND("/",P751,FIND("/",P751)+1)+1,LEN(P751)-FIND("/",P751,FIND("/",P751)+1))))</f>
        <v/>
      </c>
      <c r="AH751" s="7" t="str">
        <f aca="false">IF(OR(P751="",AE751=""),"",IFERROR(INDEX('لیست‌ها'!$Q$3:$Q$53,MATCH(AE751,'لیست‌ها'!$P$3:$P$53,0))+IF(AF751&lt;=6,(AF751-1)*31+AG751,IF(AF751&lt;=11,186+(AF751-7)*30+AG751,336+AG751))-1,""))</f>
        <v/>
      </c>
      <c r="AI751" s="7" t="str">
        <f aca="false">IF(W751="","",W751&amp;"-"&amp;TEXT(X751,"00"))</f>
        <v/>
      </c>
      <c r="AJ751" s="7" t="str">
        <f aca="false">IF(W751="","",W751*12+X751)</f>
        <v/>
      </c>
      <c r="AK751" s="7" t="str">
        <f aca="false">IF(U751="تاخیر",V751+ROW()/100000,"")</f>
        <v/>
      </c>
    </row>
    <row r="752" customFormat="false" ht="15" hidden="false" customHeight="false" outlineLevel="0" collapsed="false">
      <c r="A752" s="7" t="str">
        <f aca="false">IF(B752="","",ROW()-3)</f>
        <v/>
      </c>
      <c r="B752" s="8"/>
      <c r="C752" s="8"/>
      <c r="D752" s="8"/>
      <c r="E752" s="9"/>
      <c r="F752" s="9"/>
      <c r="G752" s="8"/>
      <c r="H752" s="8"/>
      <c r="I752" s="8"/>
      <c r="J752" s="9"/>
      <c r="K752" s="8"/>
      <c r="L752" s="8"/>
      <c r="M752" s="8"/>
      <c r="N752" s="8"/>
      <c r="O752" s="8"/>
      <c r="P752" s="8"/>
      <c r="Q752" s="8"/>
      <c r="R752" s="9"/>
      <c r="S752" s="8"/>
      <c r="T752" s="9"/>
      <c r="U752" s="10" t="str">
        <f aca="true">IF(B752="","",IF(OR(P752&lt;&gt;"",I752="می‌باشد"),"بسته",IF(AND(L752&lt;&gt;"",W752=""),"خطای فرمت تاریخ ایجاد",IF(AND(H752&lt;&gt;"",AA752=""),"خطای فرمت مهلت",IF(AND(H752&lt;&gt;"",AD752&lt;&gt;"",TODAY()&gt;AD752),"تاخیر",IF(L752&lt;&gt;"","در حال انجام",""))))))</f>
        <v/>
      </c>
      <c r="V752" s="7" t="n">
        <f aca="true">IF(U752="تاخیر",TODAY()-AD752,IF(AND(U752="بسته",AH752&lt;&gt;"",AD752&lt;&gt;"",AH752&gt;AD752),AH752-AD752,0))</f>
        <v>0</v>
      </c>
      <c r="W752" s="7" t="str">
        <f aca="false">IF(L752="","",VALUE(LEFT(L752,FIND("/",L752)-1)))</f>
        <v/>
      </c>
      <c r="X752" s="7" t="str">
        <f aca="false">IF(L752="","",VALUE(MID(L752,FIND("/",L752)+1,FIND("/",L752,FIND("/",L752)+1)-FIND("/",L752)-1)))</f>
        <v/>
      </c>
      <c r="Y752" s="7" t="str">
        <f aca="false">IF(L752="","",VALUE(MID(L752,FIND("/",L752,FIND("/",L752)+1)+1,LEN(L752)-FIND("/",L752,FIND("/",L752)+1))))</f>
        <v/>
      </c>
      <c r="Z752" s="7" t="str">
        <f aca="false">IF(OR(L752="",W752=""),"",IFERROR(INDEX('لیست‌ها'!$Q$3:$Q$53,MATCH(W752,'لیست‌ها'!$P$3:$P$53,0))+IF(X752&lt;=6,(X752-1)*31+Y752,IF(X752&lt;=11,186+(X752-7)*30+Y752,336+Y752))-1,""))</f>
        <v/>
      </c>
      <c r="AA752" s="7" t="str">
        <f aca="false">IF(H752="","",VALUE(LEFT(H752,FIND("/",H752)-1)))</f>
        <v/>
      </c>
      <c r="AB752" s="7" t="str">
        <f aca="false">IF(H752="","",VALUE(MID(H752,FIND("/",H752)+1,FIND("/",H752,FIND("/",H752)+1)-FIND("/",H752)-1)))</f>
        <v/>
      </c>
      <c r="AC752" s="7" t="str">
        <f aca="false">IF(H752="","",VALUE(MID(H752,FIND("/",H752,FIND("/",H752)+1)+1,LEN(H752)-FIND("/",H752,FIND("/",H752)+1))))</f>
        <v/>
      </c>
      <c r="AD752" s="7" t="str">
        <f aca="false">IF(OR(H752="",AA752=""),"",IFERROR(INDEX('لیست‌ها'!$Q$3:$Q$53,MATCH(AA752,'لیست‌ها'!$P$3:$P$53,0))+IF(AB752&lt;=6,(AB752-1)*31+AC752,IF(AB752&lt;=11,186+(AB752-7)*30+AC752,336+AC752))-1,""))</f>
        <v/>
      </c>
      <c r="AE752" s="7" t="str">
        <f aca="false">IF(P752="","",VALUE(LEFT(P752,FIND("/",P752)-1)))</f>
        <v/>
      </c>
      <c r="AF752" s="7" t="str">
        <f aca="false">IF(P752="","",VALUE(MID(P752,FIND("/",P752)+1,FIND("/",P752,FIND("/",P752)+1)-FIND("/",P752)-1)))</f>
        <v/>
      </c>
      <c r="AG752" s="7" t="str">
        <f aca="false">IF(P752="","",VALUE(MID(P752,FIND("/",P752,FIND("/",P752)+1)+1,LEN(P752)-FIND("/",P752,FIND("/",P752)+1))))</f>
        <v/>
      </c>
      <c r="AH752" s="7" t="str">
        <f aca="false">IF(OR(P752="",AE752=""),"",IFERROR(INDEX('لیست‌ها'!$Q$3:$Q$53,MATCH(AE752,'لیست‌ها'!$P$3:$P$53,0))+IF(AF752&lt;=6,(AF752-1)*31+AG752,IF(AF752&lt;=11,186+(AF752-7)*30+AG752,336+AG752))-1,""))</f>
        <v/>
      </c>
      <c r="AI752" s="7" t="str">
        <f aca="false">IF(W752="","",W752&amp;"-"&amp;TEXT(X752,"00"))</f>
        <v/>
      </c>
      <c r="AJ752" s="7" t="str">
        <f aca="false">IF(W752="","",W752*12+X752)</f>
        <v/>
      </c>
      <c r="AK752" s="7" t="str">
        <f aca="false">IF(U752="تاخیر",V752+ROW()/100000,"")</f>
        <v/>
      </c>
    </row>
    <row r="753" customFormat="false" ht="15" hidden="false" customHeight="false" outlineLevel="0" collapsed="false">
      <c r="A753" s="7" t="str">
        <f aca="false">IF(B753="","",ROW()-3)</f>
        <v/>
      </c>
      <c r="B753" s="8"/>
      <c r="C753" s="8"/>
      <c r="D753" s="8"/>
      <c r="E753" s="9"/>
      <c r="F753" s="9"/>
      <c r="G753" s="8"/>
      <c r="H753" s="8"/>
      <c r="I753" s="8"/>
      <c r="J753" s="9"/>
      <c r="K753" s="8"/>
      <c r="L753" s="8"/>
      <c r="M753" s="8"/>
      <c r="N753" s="8"/>
      <c r="O753" s="8"/>
      <c r="P753" s="8"/>
      <c r="Q753" s="8"/>
      <c r="R753" s="9"/>
      <c r="S753" s="8"/>
      <c r="T753" s="9"/>
      <c r="U753" s="10" t="str">
        <f aca="true">IF(B753="","",IF(OR(P753&lt;&gt;"",I753="می‌باشد"),"بسته",IF(AND(L753&lt;&gt;"",W753=""),"خطای فرمت تاریخ ایجاد",IF(AND(H753&lt;&gt;"",AA753=""),"خطای فرمت مهلت",IF(AND(H753&lt;&gt;"",AD753&lt;&gt;"",TODAY()&gt;AD753),"تاخیر",IF(L753&lt;&gt;"","در حال انجام",""))))))</f>
        <v/>
      </c>
      <c r="V753" s="7" t="n">
        <f aca="true">IF(U753="تاخیر",TODAY()-AD753,IF(AND(U753="بسته",AH753&lt;&gt;"",AD753&lt;&gt;"",AH753&gt;AD753),AH753-AD753,0))</f>
        <v>0</v>
      </c>
      <c r="W753" s="7" t="str">
        <f aca="false">IF(L753="","",VALUE(LEFT(L753,FIND("/",L753)-1)))</f>
        <v/>
      </c>
      <c r="X753" s="7" t="str">
        <f aca="false">IF(L753="","",VALUE(MID(L753,FIND("/",L753)+1,FIND("/",L753,FIND("/",L753)+1)-FIND("/",L753)-1)))</f>
        <v/>
      </c>
      <c r="Y753" s="7" t="str">
        <f aca="false">IF(L753="","",VALUE(MID(L753,FIND("/",L753,FIND("/",L753)+1)+1,LEN(L753)-FIND("/",L753,FIND("/",L753)+1))))</f>
        <v/>
      </c>
      <c r="Z753" s="7" t="str">
        <f aca="false">IF(OR(L753="",W753=""),"",IFERROR(INDEX('لیست‌ها'!$Q$3:$Q$53,MATCH(W753,'لیست‌ها'!$P$3:$P$53,0))+IF(X753&lt;=6,(X753-1)*31+Y753,IF(X753&lt;=11,186+(X753-7)*30+Y753,336+Y753))-1,""))</f>
        <v/>
      </c>
      <c r="AA753" s="7" t="str">
        <f aca="false">IF(H753="","",VALUE(LEFT(H753,FIND("/",H753)-1)))</f>
        <v/>
      </c>
      <c r="AB753" s="7" t="str">
        <f aca="false">IF(H753="","",VALUE(MID(H753,FIND("/",H753)+1,FIND("/",H753,FIND("/",H753)+1)-FIND("/",H753)-1)))</f>
        <v/>
      </c>
      <c r="AC753" s="7" t="str">
        <f aca="false">IF(H753="","",VALUE(MID(H753,FIND("/",H753,FIND("/",H753)+1)+1,LEN(H753)-FIND("/",H753,FIND("/",H753)+1))))</f>
        <v/>
      </c>
      <c r="AD753" s="7" t="str">
        <f aca="false">IF(OR(H753="",AA753=""),"",IFERROR(INDEX('لیست‌ها'!$Q$3:$Q$53,MATCH(AA753,'لیست‌ها'!$P$3:$P$53,0))+IF(AB753&lt;=6,(AB753-1)*31+AC753,IF(AB753&lt;=11,186+(AB753-7)*30+AC753,336+AC753))-1,""))</f>
        <v/>
      </c>
      <c r="AE753" s="7" t="str">
        <f aca="false">IF(P753="","",VALUE(LEFT(P753,FIND("/",P753)-1)))</f>
        <v/>
      </c>
      <c r="AF753" s="7" t="str">
        <f aca="false">IF(P753="","",VALUE(MID(P753,FIND("/",P753)+1,FIND("/",P753,FIND("/",P753)+1)-FIND("/",P753)-1)))</f>
        <v/>
      </c>
      <c r="AG753" s="7" t="str">
        <f aca="false">IF(P753="","",VALUE(MID(P753,FIND("/",P753,FIND("/",P753)+1)+1,LEN(P753)-FIND("/",P753,FIND("/",P753)+1))))</f>
        <v/>
      </c>
      <c r="AH753" s="7" t="str">
        <f aca="false">IF(OR(P753="",AE753=""),"",IFERROR(INDEX('لیست‌ها'!$Q$3:$Q$53,MATCH(AE753,'لیست‌ها'!$P$3:$P$53,0))+IF(AF753&lt;=6,(AF753-1)*31+AG753,IF(AF753&lt;=11,186+(AF753-7)*30+AG753,336+AG753))-1,""))</f>
        <v/>
      </c>
      <c r="AI753" s="7" t="str">
        <f aca="false">IF(W753="","",W753&amp;"-"&amp;TEXT(X753,"00"))</f>
        <v/>
      </c>
      <c r="AJ753" s="7" t="str">
        <f aca="false">IF(W753="","",W753*12+X753)</f>
        <v/>
      </c>
      <c r="AK753" s="7" t="str">
        <f aca="false">IF(U753="تاخیر",V753+ROW()/100000,"")</f>
        <v/>
      </c>
    </row>
    <row r="754" customFormat="false" ht="15" hidden="false" customHeight="false" outlineLevel="0" collapsed="false">
      <c r="A754" s="7" t="str">
        <f aca="false">IF(B754="","",ROW()-3)</f>
        <v/>
      </c>
      <c r="B754" s="8"/>
      <c r="C754" s="8"/>
      <c r="D754" s="8"/>
      <c r="E754" s="9"/>
      <c r="F754" s="9"/>
      <c r="G754" s="8"/>
      <c r="H754" s="8"/>
      <c r="I754" s="8"/>
      <c r="J754" s="9"/>
      <c r="K754" s="8"/>
      <c r="L754" s="8"/>
      <c r="M754" s="8"/>
      <c r="N754" s="8"/>
      <c r="O754" s="8"/>
      <c r="P754" s="8"/>
      <c r="Q754" s="8"/>
      <c r="R754" s="9"/>
      <c r="S754" s="8"/>
      <c r="T754" s="9"/>
      <c r="U754" s="10" t="str">
        <f aca="true">IF(B754="","",IF(OR(P754&lt;&gt;"",I754="می‌باشد"),"بسته",IF(AND(L754&lt;&gt;"",W754=""),"خطای فرمت تاریخ ایجاد",IF(AND(H754&lt;&gt;"",AA754=""),"خطای فرمت مهلت",IF(AND(H754&lt;&gt;"",AD754&lt;&gt;"",TODAY()&gt;AD754),"تاخیر",IF(L754&lt;&gt;"","در حال انجام",""))))))</f>
        <v/>
      </c>
      <c r="V754" s="7" t="n">
        <f aca="true">IF(U754="تاخیر",TODAY()-AD754,IF(AND(U754="بسته",AH754&lt;&gt;"",AD754&lt;&gt;"",AH754&gt;AD754),AH754-AD754,0))</f>
        <v>0</v>
      </c>
      <c r="W754" s="7" t="str">
        <f aca="false">IF(L754="","",VALUE(LEFT(L754,FIND("/",L754)-1)))</f>
        <v/>
      </c>
      <c r="X754" s="7" t="str">
        <f aca="false">IF(L754="","",VALUE(MID(L754,FIND("/",L754)+1,FIND("/",L754,FIND("/",L754)+1)-FIND("/",L754)-1)))</f>
        <v/>
      </c>
      <c r="Y754" s="7" t="str">
        <f aca="false">IF(L754="","",VALUE(MID(L754,FIND("/",L754,FIND("/",L754)+1)+1,LEN(L754)-FIND("/",L754,FIND("/",L754)+1))))</f>
        <v/>
      </c>
      <c r="Z754" s="7" t="str">
        <f aca="false">IF(OR(L754="",W754=""),"",IFERROR(INDEX('لیست‌ها'!$Q$3:$Q$53,MATCH(W754,'لیست‌ها'!$P$3:$P$53,0))+IF(X754&lt;=6,(X754-1)*31+Y754,IF(X754&lt;=11,186+(X754-7)*30+Y754,336+Y754))-1,""))</f>
        <v/>
      </c>
      <c r="AA754" s="7" t="str">
        <f aca="false">IF(H754="","",VALUE(LEFT(H754,FIND("/",H754)-1)))</f>
        <v/>
      </c>
      <c r="AB754" s="7" t="str">
        <f aca="false">IF(H754="","",VALUE(MID(H754,FIND("/",H754)+1,FIND("/",H754,FIND("/",H754)+1)-FIND("/",H754)-1)))</f>
        <v/>
      </c>
      <c r="AC754" s="7" t="str">
        <f aca="false">IF(H754="","",VALUE(MID(H754,FIND("/",H754,FIND("/",H754)+1)+1,LEN(H754)-FIND("/",H754,FIND("/",H754)+1))))</f>
        <v/>
      </c>
      <c r="AD754" s="7" t="str">
        <f aca="false">IF(OR(H754="",AA754=""),"",IFERROR(INDEX('لیست‌ها'!$Q$3:$Q$53,MATCH(AA754,'لیست‌ها'!$P$3:$P$53,0))+IF(AB754&lt;=6,(AB754-1)*31+AC754,IF(AB754&lt;=11,186+(AB754-7)*30+AC754,336+AC754))-1,""))</f>
        <v/>
      </c>
      <c r="AE754" s="7" t="str">
        <f aca="false">IF(P754="","",VALUE(LEFT(P754,FIND("/",P754)-1)))</f>
        <v/>
      </c>
      <c r="AF754" s="7" t="str">
        <f aca="false">IF(P754="","",VALUE(MID(P754,FIND("/",P754)+1,FIND("/",P754,FIND("/",P754)+1)-FIND("/",P754)-1)))</f>
        <v/>
      </c>
      <c r="AG754" s="7" t="str">
        <f aca="false">IF(P754="","",VALUE(MID(P754,FIND("/",P754,FIND("/",P754)+1)+1,LEN(P754)-FIND("/",P754,FIND("/",P754)+1))))</f>
        <v/>
      </c>
      <c r="AH754" s="7" t="str">
        <f aca="false">IF(OR(P754="",AE754=""),"",IFERROR(INDEX('لیست‌ها'!$Q$3:$Q$53,MATCH(AE754,'لیست‌ها'!$P$3:$P$53,0))+IF(AF754&lt;=6,(AF754-1)*31+AG754,IF(AF754&lt;=11,186+(AF754-7)*30+AG754,336+AG754))-1,""))</f>
        <v/>
      </c>
      <c r="AI754" s="7" t="str">
        <f aca="false">IF(W754="","",W754&amp;"-"&amp;TEXT(X754,"00"))</f>
        <v/>
      </c>
      <c r="AJ754" s="7" t="str">
        <f aca="false">IF(W754="","",W754*12+X754)</f>
        <v/>
      </c>
      <c r="AK754" s="7" t="str">
        <f aca="false">IF(U754="تاخیر",V754+ROW()/100000,"")</f>
        <v/>
      </c>
    </row>
    <row r="755" customFormat="false" ht="15" hidden="false" customHeight="false" outlineLevel="0" collapsed="false">
      <c r="A755" s="7" t="str">
        <f aca="false">IF(B755="","",ROW()-3)</f>
        <v/>
      </c>
      <c r="B755" s="8"/>
      <c r="C755" s="8"/>
      <c r="D755" s="8"/>
      <c r="E755" s="9"/>
      <c r="F755" s="9"/>
      <c r="G755" s="8"/>
      <c r="H755" s="8"/>
      <c r="I755" s="8"/>
      <c r="J755" s="9"/>
      <c r="K755" s="8"/>
      <c r="L755" s="8"/>
      <c r="M755" s="8"/>
      <c r="N755" s="8"/>
      <c r="O755" s="8"/>
      <c r="P755" s="8"/>
      <c r="Q755" s="8"/>
      <c r="R755" s="9"/>
      <c r="S755" s="8"/>
      <c r="T755" s="9"/>
      <c r="U755" s="10" t="str">
        <f aca="true">IF(B755="","",IF(OR(P755&lt;&gt;"",I755="می‌باشد"),"بسته",IF(AND(L755&lt;&gt;"",W755=""),"خطای فرمت تاریخ ایجاد",IF(AND(H755&lt;&gt;"",AA755=""),"خطای فرمت مهلت",IF(AND(H755&lt;&gt;"",AD755&lt;&gt;"",TODAY()&gt;AD755),"تاخیر",IF(L755&lt;&gt;"","در حال انجام",""))))))</f>
        <v/>
      </c>
      <c r="V755" s="7" t="n">
        <f aca="true">IF(U755="تاخیر",TODAY()-AD755,IF(AND(U755="بسته",AH755&lt;&gt;"",AD755&lt;&gt;"",AH755&gt;AD755),AH755-AD755,0))</f>
        <v>0</v>
      </c>
      <c r="W755" s="7" t="str">
        <f aca="false">IF(L755="","",VALUE(LEFT(L755,FIND("/",L755)-1)))</f>
        <v/>
      </c>
      <c r="X755" s="7" t="str">
        <f aca="false">IF(L755="","",VALUE(MID(L755,FIND("/",L755)+1,FIND("/",L755,FIND("/",L755)+1)-FIND("/",L755)-1)))</f>
        <v/>
      </c>
      <c r="Y755" s="7" t="str">
        <f aca="false">IF(L755="","",VALUE(MID(L755,FIND("/",L755,FIND("/",L755)+1)+1,LEN(L755)-FIND("/",L755,FIND("/",L755)+1))))</f>
        <v/>
      </c>
      <c r="Z755" s="7" t="str">
        <f aca="false">IF(OR(L755="",W755=""),"",IFERROR(INDEX('لیست‌ها'!$Q$3:$Q$53,MATCH(W755,'لیست‌ها'!$P$3:$P$53,0))+IF(X755&lt;=6,(X755-1)*31+Y755,IF(X755&lt;=11,186+(X755-7)*30+Y755,336+Y755))-1,""))</f>
        <v/>
      </c>
      <c r="AA755" s="7" t="str">
        <f aca="false">IF(H755="","",VALUE(LEFT(H755,FIND("/",H755)-1)))</f>
        <v/>
      </c>
      <c r="AB755" s="7" t="str">
        <f aca="false">IF(H755="","",VALUE(MID(H755,FIND("/",H755)+1,FIND("/",H755,FIND("/",H755)+1)-FIND("/",H755)-1)))</f>
        <v/>
      </c>
      <c r="AC755" s="7" t="str">
        <f aca="false">IF(H755="","",VALUE(MID(H755,FIND("/",H755,FIND("/",H755)+1)+1,LEN(H755)-FIND("/",H755,FIND("/",H755)+1))))</f>
        <v/>
      </c>
      <c r="AD755" s="7" t="str">
        <f aca="false">IF(OR(H755="",AA755=""),"",IFERROR(INDEX('لیست‌ها'!$Q$3:$Q$53,MATCH(AA755,'لیست‌ها'!$P$3:$P$53,0))+IF(AB755&lt;=6,(AB755-1)*31+AC755,IF(AB755&lt;=11,186+(AB755-7)*30+AC755,336+AC755))-1,""))</f>
        <v/>
      </c>
      <c r="AE755" s="7" t="str">
        <f aca="false">IF(P755="","",VALUE(LEFT(P755,FIND("/",P755)-1)))</f>
        <v/>
      </c>
      <c r="AF755" s="7" t="str">
        <f aca="false">IF(P755="","",VALUE(MID(P755,FIND("/",P755)+1,FIND("/",P755,FIND("/",P755)+1)-FIND("/",P755)-1)))</f>
        <v/>
      </c>
      <c r="AG755" s="7" t="str">
        <f aca="false">IF(P755="","",VALUE(MID(P755,FIND("/",P755,FIND("/",P755)+1)+1,LEN(P755)-FIND("/",P755,FIND("/",P755)+1))))</f>
        <v/>
      </c>
      <c r="AH755" s="7" t="str">
        <f aca="false">IF(OR(P755="",AE755=""),"",IFERROR(INDEX('لیست‌ها'!$Q$3:$Q$53,MATCH(AE755,'لیست‌ها'!$P$3:$P$53,0))+IF(AF755&lt;=6,(AF755-1)*31+AG755,IF(AF755&lt;=11,186+(AF755-7)*30+AG755,336+AG755))-1,""))</f>
        <v/>
      </c>
      <c r="AI755" s="7" t="str">
        <f aca="false">IF(W755="","",W755&amp;"-"&amp;TEXT(X755,"00"))</f>
        <v/>
      </c>
      <c r="AJ755" s="7" t="str">
        <f aca="false">IF(W755="","",W755*12+X755)</f>
        <v/>
      </c>
      <c r="AK755" s="7" t="str">
        <f aca="false">IF(U755="تاخیر",V755+ROW()/100000,"")</f>
        <v/>
      </c>
    </row>
    <row r="756" customFormat="false" ht="15" hidden="false" customHeight="false" outlineLevel="0" collapsed="false">
      <c r="A756" s="7" t="str">
        <f aca="false">IF(B756="","",ROW()-3)</f>
        <v/>
      </c>
      <c r="B756" s="8"/>
      <c r="C756" s="8"/>
      <c r="D756" s="8"/>
      <c r="E756" s="9"/>
      <c r="F756" s="9"/>
      <c r="G756" s="8"/>
      <c r="H756" s="8"/>
      <c r="I756" s="8"/>
      <c r="J756" s="9"/>
      <c r="K756" s="8"/>
      <c r="L756" s="8"/>
      <c r="M756" s="8"/>
      <c r="N756" s="8"/>
      <c r="O756" s="8"/>
      <c r="P756" s="8"/>
      <c r="Q756" s="8"/>
      <c r="R756" s="9"/>
      <c r="S756" s="8"/>
      <c r="T756" s="9"/>
      <c r="U756" s="10" t="str">
        <f aca="true">IF(B756="","",IF(OR(P756&lt;&gt;"",I756="می‌باشد"),"بسته",IF(AND(L756&lt;&gt;"",W756=""),"خطای فرمت تاریخ ایجاد",IF(AND(H756&lt;&gt;"",AA756=""),"خطای فرمت مهلت",IF(AND(H756&lt;&gt;"",AD756&lt;&gt;"",TODAY()&gt;AD756),"تاخیر",IF(L756&lt;&gt;"","در حال انجام",""))))))</f>
        <v/>
      </c>
      <c r="V756" s="7" t="n">
        <f aca="true">IF(U756="تاخیر",TODAY()-AD756,IF(AND(U756="بسته",AH756&lt;&gt;"",AD756&lt;&gt;"",AH756&gt;AD756),AH756-AD756,0))</f>
        <v>0</v>
      </c>
      <c r="W756" s="7" t="str">
        <f aca="false">IF(L756="","",VALUE(LEFT(L756,FIND("/",L756)-1)))</f>
        <v/>
      </c>
      <c r="X756" s="7" t="str">
        <f aca="false">IF(L756="","",VALUE(MID(L756,FIND("/",L756)+1,FIND("/",L756,FIND("/",L756)+1)-FIND("/",L756)-1)))</f>
        <v/>
      </c>
      <c r="Y756" s="7" t="str">
        <f aca="false">IF(L756="","",VALUE(MID(L756,FIND("/",L756,FIND("/",L756)+1)+1,LEN(L756)-FIND("/",L756,FIND("/",L756)+1))))</f>
        <v/>
      </c>
      <c r="Z756" s="7" t="str">
        <f aca="false">IF(OR(L756="",W756=""),"",IFERROR(INDEX('لیست‌ها'!$Q$3:$Q$53,MATCH(W756,'لیست‌ها'!$P$3:$P$53,0))+IF(X756&lt;=6,(X756-1)*31+Y756,IF(X756&lt;=11,186+(X756-7)*30+Y756,336+Y756))-1,""))</f>
        <v/>
      </c>
      <c r="AA756" s="7" t="str">
        <f aca="false">IF(H756="","",VALUE(LEFT(H756,FIND("/",H756)-1)))</f>
        <v/>
      </c>
      <c r="AB756" s="7" t="str">
        <f aca="false">IF(H756="","",VALUE(MID(H756,FIND("/",H756)+1,FIND("/",H756,FIND("/",H756)+1)-FIND("/",H756)-1)))</f>
        <v/>
      </c>
      <c r="AC756" s="7" t="str">
        <f aca="false">IF(H756="","",VALUE(MID(H756,FIND("/",H756,FIND("/",H756)+1)+1,LEN(H756)-FIND("/",H756,FIND("/",H756)+1))))</f>
        <v/>
      </c>
      <c r="AD756" s="7" t="str">
        <f aca="false">IF(OR(H756="",AA756=""),"",IFERROR(INDEX('لیست‌ها'!$Q$3:$Q$53,MATCH(AA756,'لیست‌ها'!$P$3:$P$53,0))+IF(AB756&lt;=6,(AB756-1)*31+AC756,IF(AB756&lt;=11,186+(AB756-7)*30+AC756,336+AC756))-1,""))</f>
        <v/>
      </c>
      <c r="AE756" s="7" t="str">
        <f aca="false">IF(P756="","",VALUE(LEFT(P756,FIND("/",P756)-1)))</f>
        <v/>
      </c>
      <c r="AF756" s="7" t="str">
        <f aca="false">IF(P756="","",VALUE(MID(P756,FIND("/",P756)+1,FIND("/",P756,FIND("/",P756)+1)-FIND("/",P756)-1)))</f>
        <v/>
      </c>
      <c r="AG756" s="7" t="str">
        <f aca="false">IF(P756="","",VALUE(MID(P756,FIND("/",P756,FIND("/",P756)+1)+1,LEN(P756)-FIND("/",P756,FIND("/",P756)+1))))</f>
        <v/>
      </c>
      <c r="AH756" s="7" t="str">
        <f aca="false">IF(OR(P756="",AE756=""),"",IFERROR(INDEX('لیست‌ها'!$Q$3:$Q$53,MATCH(AE756,'لیست‌ها'!$P$3:$P$53,0))+IF(AF756&lt;=6,(AF756-1)*31+AG756,IF(AF756&lt;=11,186+(AF756-7)*30+AG756,336+AG756))-1,""))</f>
        <v/>
      </c>
      <c r="AI756" s="7" t="str">
        <f aca="false">IF(W756="","",W756&amp;"-"&amp;TEXT(X756,"00"))</f>
        <v/>
      </c>
      <c r="AJ756" s="7" t="str">
        <f aca="false">IF(W756="","",W756*12+X756)</f>
        <v/>
      </c>
      <c r="AK756" s="7" t="str">
        <f aca="false">IF(U756="تاخیر",V756+ROW()/100000,"")</f>
        <v/>
      </c>
    </row>
    <row r="757" customFormat="false" ht="15" hidden="false" customHeight="false" outlineLevel="0" collapsed="false">
      <c r="A757" s="7" t="str">
        <f aca="false">IF(B757="","",ROW()-3)</f>
        <v/>
      </c>
      <c r="B757" s="8"/>
      <c r="C757" s="8"/>
      <c r="D757" s="8"/>
      <c r="E757" s="9"/>
      <c r="F757" s="9"/>
      <c r="G757" s="8"/>
      <c r="H757" s="8"/>
      <c r="I757" s="8"/>
      <c r="J757" s="9"/>
      <c r="K757" s="8"/>
      <c r="L757" s="8"/>
      <c r="M757" s="8"/>
      <c r="N757" s="8"/>
      <c r="O757" s="8"/>
      <c r="P757" s="8"/>
      <c r="Q757" s="8"/>
      <c r="R757" s="9"/>
      <c r="S757" s="8"/>
      <c r="T757" s="9"/>
      <c r="U757" s="10" t="str">
        <f aca="true">IF(B757="","",IF(OR(P757&lt;&gt;"",I757="می‌باشد"),"بسته",IF(AND(L757&lt;&gt;"",W757=""),"خطای فرمت تاریخ ایجاد",IF(AND(H757&lt;&gt;"",AA757=""),"خطای فرمت مهلت",IF(AND(H757&lt;&gt;"",AD757&lt;&gt;"",TODAY()&gt;AD757),"تاخیر",IF(L757&lt;&gt;"","در حال انجام",""))))))</f>
        <v/>
      </c>
      <c r="V757" s="7" t="n">
        <f aca="true">IF(U757="تاخیر",TODAY()-AD757,IF(AND(U757="بسته",AH757&lt;&gt;"",AD757&lt;&gt;"",AH757&gt;AD757),AH757-AD757,0))</f>
        <v>0</v>
      </c>
      <c r="W757" s="7" t="str">
        <f aca="false">IF(L757="","",VALUE(LEFT(L757,FIND("/",L757)-1)))</f>
        <v/>
      </c>
      <c r="X757" s="7" t="str">
        <f aca="false">IF(L757="","",VALUE(MID(L757,FIND("/",L757)+1,FIND("/",L757,FIND("/",L757)+1)-FIND("/",L757)-1)))</f>
        <v/>
      </c>
      <c r="Y757" s="7" t="str">
        <f aca="false">IF(L757="","",VALUE(MID(L757,FIND("/",L757,FIND("/",L757)+1)+1,LEN(L757)-FIND("/",L757,FIND("/",L757)+1))))</f>
        <v/>
      </c>
      <c r="Z757" s="7" t="str">
        <f aca="false">IF(OR(L757="",W757=""),"",IFERROR(INDEX('لیست‌ها'!$Q$3:$Q$53,MATCH(W757,'لیست‌ها'!$P$3:$P$53,0))+IF(X757&lt;=6,(X757-1)*31+Y757,IF(X757&lt;=11,186+(X757-7)*30+Y757,336+Y757))-1,""))</f>
        <v/>
      </c>
      <c r="AA757" s="7" t="str">
        <f aca="false">IF(H757="","",VALUE(LEFT(H757,FIND("/",H757)-1)))</f>
        <v/>
      </c>
      <c r="AB757" s="7" t="str">
        <f aca="false">IF(H757="","",VALUE(MID(H757,FIND("/",H757)+1,FIND("/",H757,FIND("/",H757)+1)-FIND("/",H757)-1)))</f>
        <v/>
      </c>
      <c r="AC757" s="7" t="str">
        <f aca="false">IF(H757="","",VALUE(MID(H757,FIND("/",H757,FIND("/",H757)+1)+1,LEN(H757)-FIND("/",H757,FIND("/",H757)+1))))</f>
        <v/>
      </c>
      <c r="AD757" s="7" t="str">
        <f aca="false">IF(OR(H757="",AA757=""),"",IFERROR(INDEX('لیست‌ها'!$Q$3:$Q$53,MATCH(AA757,'لیست‌ها'!$P$3:$P$53,0))+IF(AB757&lt;=6,(AB757-1)*31+AC757,IF(AB757&lt;=11,186+(AB757-7)*30+AC757,336+AC757))-1,""))</f>
        <v/>
      </c>
      <c r="AE757" s="7" t="str">
        <f aca="false">IF(P757="","",VALUE(LEFT(P757,FIND("/",P757)-1)))</f>
        <v/>
      </c>
      <c r="AF757" s="7" t="str">
        <f aca="false">IF(P757="","",VALUE(MID(P757,FIND("/",P757)+1,FIND("/",P757,FIND("/",P757)+1)-FIND("/",P757)-1)))</f>
        <v/>
      </c>
      <c r="AG757" s="7" t="str">
        <f aca="false">IF(P757="","",VALUE(MID(P757,FIND("/",P757,FIND("/",P757)+1)+1,LEN(P757)-FIND("/",P757,FIND("/",P757)+1))))</f>
        <v/>
      </c>
      <c r="AH757" s="7" t="str">
        <f aca="false">IF(OR(P757="",AE757=""),"",IFERROR(INDEX('لیست‌ها'!$Q$3:$Q$53,MATCH(AE757,'لیست‌ها'!$P$3:$P$53,0))+IF(AF757&lt;=6,(AF757-1)*31+AG757,IF(AF757&lt;=11,186+(AF757-7)*30+AG757,336+AG757))-1,""))</f>
        <v/>
      </c>
      <c r="AI757" s="7" t="str">
        <f aca="false">IF(W757="","",W757&amp;"-"&amp;TEXT(X757,"00"))</f>
        <v/>
      </c>
      <c r="AJ757" s="7" t="str">
        <f aca="false">IF(W757="","",W757*12+X757)</f>
        <v/>
      </c>
      <c r="AK757" s="7" t="str">
        <f aca="false">IF(U757="تاخیر",V757+ROW()/100000,"")</f>
        <v/>
      </c>
    </row>
    <row r="758" customFormat="false" ht="15" hidden="false" customHeight="false" outlineLevel="0" collapsed="false">
      <c r="A758" s="7" t="str">
        <f aca="false">IF(B758="","",ROW()-3)</f>
        <v/>
      </c>
      <c r="B758" s="8"/>
      <c r="C758" s="8"/>
      <c r="D758" s="8"/>
      <c r="E758" s="9"/>
      <c r="F758" s="9"/>
      <c r="G758" s="8"/>
      <c r="H758" s="8"/>
      <c r="I758" s="8"/>
      <c r="J758" s="9"/>
      <c r="K758" s="8"/>
      <c r="L758" s="8"/>
      <c r="M758" s="8"/>
      <c r="N758" s="8"/>
      <c r="O758" s="8"/>
      <c r="P758" s="8"/>
      <c r="Q758" s="8"/>
      <c r="R758" s="9"/>
      <c r="S758" s="8"/>
      <c r="T758" s="9"/>
      <c r="U758" s="10" t="str">
        <f aca="true">IF(B758="","",IF(OR(P758&lt;&gt;"",I758="می‌باشد"),"بسته",IF(AND(L758&lt;&gt;"",W758=""),"خطای فرمت تاریخ ایجاد",IF(AND(H758&lt;&gt;"",AA758=""),"خطای فرمت مهلت",IF(AND(H758&lt;&gt;"",AD758&lt;&gt;"",TODAY()&gt;AD758),"تاخیر",IF(L758&lt;&gt;"","در حال انجام",""))))))</f>
        <v/>
      </c>
      <c r="V758" s="7" t="n">
        <f aca="true">IF(U758="تاخیر",TODAY()-AD758,IF(AND(U758="بسته",AH758&lt;&gt;"",AD758&lt;&gt;"",AH758&gt;AD758),AH758-AD758,0))</f>
        <v>0</v>
      </c>
      <c r="W758" s="7" t="str">
        <f aca="false">IF(L758="","",VALUE(LEFT(L758,FIND("/",L758)-1)))</f>
        <v/>
      </c>
      <c r="X758" s="7" t="str">
        <f aca="false">IF(L758="","",VALUE(MID(L758,FIND("/",L758)+1,FIND("/",L758,FIND("/",L758)+1)-FIND("/",L758)-1)))</f>
        <v/>
      </c>
      <c r="Y758" s="7" t="str">
        <f aca="false">IF(L758="","",VALUE(MID(L758,FIND("/",L758,FIND("/",L758)+1)+1,LEN(L758)-FIND("/",L758,FIND("/",L758)+1))))</f>
        <v/>
      </c>
      <c r="Z758" s="7" t="str">
        <f aca="false">IF(OR(L758="",W758=""),"",IFERROR(INDEX('لیست‌ها'!$Q$3:$Q$53,MATCH(W758,'لیست‌ها'!$P$3:$P$53,0))+IF(X758&lt;=6,(X758-1)*31+Y758,IF(X758&lt;=11,186+(X758-7)*30+Y758,336+Y758))-1,""))</f>
        <v/>
      </c>
      <c r="AA758" s="7" t="str">
        <f aca="false">IF(H758="","",VALUE(LEFT(H758,FIND("/",H758)-1)))</f>
        <v/>
      </c>
      <c r="AB758" s="7" t="str">
        <f aca="false">IF(H758="","",VALUE(MID(H758,FIND("/",H758)+1,FIND("/",H758,FIND("/",H758)+1)-FIND("/",H758)-1)))</f>
        <v/>
      </c>
      <c r="AC758" s="7" t="str">
        <f aca="false">IF(H758="","",VALUE(MID(H758,FIND("/",H758,FIND("/",H758)+1)+1,LEN(H758)-FIND("/",H758,FIND("/",H758)+1))))</f>
        <v/>
      </c>
      <c r="AD758" s="7" t="str">
        <f aca="false">IF(OR(H758="",AA758=""),"",IFERROR(INDEX('لیست‌ها'!$Q$3:$Q$53,MATCH(AA758,'لیست‌ها'!$P$3:$P$53,0))+IF(AB758&lt;=6,(AB758-1)*31+AC758,IF(AB758&lt;=11,186+(AB758-7)*30+AC758,336+AC758))-1,""))</f>
        <v/>
      </c>
      <c r="AE758" s="7" t="str">
        <f aca="false">IF(P758="","",VALUE(LEFT(P758,FIND("/",P758)-1)))</f>
        <v/>
      </c>
      <c r="AF758" s="7" t="str">
        <f aca="false">IF(P758="","",VALUE(MID(P758,FIND("/",P758)+1,FIND("/",P758,FIND("/",P758)+1)-FIND("/",P758)-1)))</f>
        <v/>
      </c>
      <c r="AG758" s="7" t="str">
        <f aca="false">IF(P758="","",VALUE(MID(P758,FIND("/",P758,FIND("/",P758)+1)+1,LEN(P758)-FIND("/",P758,FIND("/",P758)+1))))</f>
        <v/>
      </c>
      <c r="AH758" s="7" t="str">
        <f aca="false">IF(OR(P758="",AE758=""),"",IFERROR(INDEX('لیست‌ها'!$Q$3:$Q$53,MATCH(AE758,'لیست‌ها'!$P$3:$P$53,0))+IF(AF758&lt;=6,(AF758-1)*31+AG758,IF(AF758&lt;=11,186+(AF758-7)*30+AG758,336+AG758))-1,""))</f>
        <v/>
      </c>
      <c r="AI758" s="7" t="str">
        <f aca="false">IF(W758="","",W758&amp;"-"&amp;TEXT(X758,"00"))</f>
        <v/>
      </c>
      <c r="AJ758" s="7" t="str">
        <f aca="false">IF(W758="","",W758*12+X758)</f>
        <v/>
      </c>
      <c r="AK758" s="7" t="str">
        <f aca="false">IF(U758="تاخیر",V758+ROW()/100000,"")</f>
        <v/>
      </c>
    </row>
    <row r="759" customFormat="false" ht="15" hidden="false" customHeight="false" outlineLevel="0" collapsed="false">
      <c r="A759" s="7" t="str">
        <f aca="false">IF(B759="","",ROW()-3)</f>
        <v/>
      </c>
      <c r="B759" s="8"/>
      <c r="C759" s="8"/>
      <c r="D759" s="8"/>
      <c r="E759" s="9"/>
      <c r="F759" s="9"/>
      <c r="G759" s="8"/>
      <c r="H759" s="8"/>
      <c r="I759" s="8"/>
      <c r="J759" s="9"/>
      <c r="K759" s="8"/>
      <c r="L759" s="8"/>
      <c r="M759" s="8"/>
      <c r="N759" s="8"/>
      <c r="O759" s="8"/>
      <c r="P759" s="8"/>
      <c r="Q759" s="8"/>
      <c r="R759" s="9"/>
      <c r="S759" s="8"/>
      <c r="T759" s="9"/>
      <c r="U759" s="10" t="str">
        <f aca="true">IF(B759="","",IF(OR(P759&lt;&gt;"",I759="می‌باشد"),"بسته",IF(AND(L759&lt;&gt;"",W759=""),"خطای فرمت تاریخ ایجاد",IF(AND(H759&lt;&gt;"",AA759=""),"خطای فرمت مهلت",IF(AND(H759&lt;&gt;"",AD759&lt;&gt;"",TODAY()&gt;AD759),"تاخیر",IF(L759&lt;&gt;"","در حال انجام",""))))))</f>
        <v/>
      </c>
      <c r="V759" s="7" t="n">
        <f aca="true">IF(U759="تاخیر",TODAY()-AD759,IF(AND(U759="بسته",AH759&lt;&gt;"",AD759&lt;&gt;"",AH759&gt;AD759),AH759-AD759,0))</f>
        <v>0</v>
      </c>
      <c r="W759" s="7" t="str">
        <f aca="false">IF(L759="","",VALUE(LEFT(L759,FIND("/",L759)-1)))</f>
        <v/>
      </c>
      <c r="X759" s="7" t="str">
        <f aca="false">IF(L759="","",VALUE(MID(L759,FIND("/",L759)+1,FIND("/",L759,FIND("/",L759)+1)-FIND("/",L759)-1)))</f>
        <v/>
      </c>
      <c r="Y759" s="7" t="str">
        <f aca="false">IF(L759="","",VALUE(MID(L759,FIND("/",L759,FIND("/",L759)+1)+1,LEN(L759)-FIND("/",L759,FIND("/",L759)+1))))</f>
        <v/>
      </c>
      <c r="Z759" s="7" t="str">
        <f aca="false">IF(OR(L759="",W759=""),"",IFERROR(INDEX('لیست‌ها'!$Q$3:$Q$53,MATCH(W759,'لیست‌ها'!$P$3:$P$53,0))+IF(X759&lt;=6,(X759-1)*31+Y759,IF(X759&lt;=11,186+(X759-7)*30+Y759,336+Y759))-1,""))</f>
        <v/>
      </c>
      <c r="AA759" s="7" t="str">
        <f aca="false">IF(H759="","",VALUE(LEFT(H759,FIND("/",H759)-1)))</f>
        <v/>
      </c>
      <c r="AB759" s="7" t="str">
        <f aca="false">IF(H759="","",VALUE(MID(H759,FIND("/",H759)+1,FIND("/",H759,FIND("/",H759)+1)-FIND("/",H759)-1)))</f>
        <v/>
      </c>
      <c r="AC759" s="7" t="str">
        <f aca="false">IF(H759="","",VALUE(MID(H759,FIND("/",H759,FIND("/",H759)+1)+1,LEN(H759)-FIND("/",H759,FIND("/",H759)+1))))</f>
        <v/>
      </c>
      <c r="AD759" s="7" t="str">
        <f aca="false">IF(OR(H759="",AA759=""),"",IFERROR(INDEX('لیست‌ها'!$Q$3:$Q$53,MATCH(AA759,'لیست‌ها'!$P$3:$P$53,0))+IF(AB759&lt;=6,(AB759-1)*31+AC759,IF(AB759&lt;=11,186+(AB759-7)*30+AC759,336+AC759))-1,""))</f>
        <v/>
      </c>
      <c r="AE759" s="7" t="str">
        <f aca="false">IF(P759="","",VALUE(LEFT(P759,FIND("/",P759)-1)))</f>
        <v/>
      </c>
      <c r="AF759" s="7" t="str">
        <f aca="false">IF(P759="","",VALUE(MID(P759,FIND("/",P759)+1,FIND("/",P759,FIND("/",P759)+1)-FIND("/",P759)-1)))</f>
        <v/>
      </c>
      <c r="AG759" s="7" t="str">
        <f aca="false">IF(P759="","",VALUE(MID(P759,FIND("/",P759,FIND("/",P759)+1)+1,LEN(P759)-FIND("/",P759,FIND("/",P759)+1))))</f>
        <v/>
      </c>
      <c r="AH759" s="7" t="str">
        <f aca="false">IF(OR(P759="",AE759=""),"",IFERROR(INDEX('لیست‌ها'!$Q$3:$Q$53,MATCH(AE759,'لیست‌ها'!$P$3:$P$53,0))+IF(AF759&lt;=6,(AF759-1)*31+AG759,IF(AF759&lt;=11,186+(AF759-7)*30+AG759,336+AG759))-1,""))</f>
        <v/>
      </c>
      <c r="AI759" s="7" t="str">
        <f aca="false">IF(W759="","",W759&amp;"-"&amp;TEXT(X759,"00"))</f>
        <v/>
      </c>
      <c r="AJ759" s="7" t="str">
        <f aca="false">IF(W759="","",W759*12+X759)</f>
        <v/>
      </c>
      <c r="AK759" s="7" t="str">
        <f aca="false">IF(U759="تاخیر",V759+ROW()/100000,"")</f>
        <v/>
      </c>
    </row>
    <row r="760" customFormat="false" ht="15" hidden="false" customHeight="false" outlineLevel="0" collapsed="false">
      <c r="A760" s="7" t="str">
        <f aca="false">IF(B760="","",ROW()-3)</f>
        <v/>
      </c>
      <c r="B760" s="8"/>
      <c r="C760" s="8"/>
      <c r="D760" s="8"/>
      <c r="E760" s="9"/>
      <c r="F760" s="9"/>
      <c r="G760" s="8"/>
      <c r="H760" s="8"/>
      <c r="I760" s="8"/>
      <c r="J760" s="9"/>
      <c r="K760" s="8"/>
      <c r="L760" s="8"/>
      <c r="M760" s="8"/>
      <c r="N760" s="8"/>
      <c r="O760" s="8"/>
      <c r="P760" s="8"/>
      <c r="Q760" s="8"/>
      <c r="R760" s="9"/>
      <c r="S760" s="8"/>
      <c r="T760" s="9"/>
      <c r="U760" s="10" t="str">
        <f aca="true">IF(B760="","",IF(OR(P760&lt;&gt;"",I760="می‌باشد"),"بسته",IF(AND(L760&lt;&gt;"",W760=""),"خطای فرمت تاریخ ایجاد",IF(AND(H760&lt;&gt;"",AA760=""),"خطای فرمت مهلت",IF(AND(H760&lt;&gt;"",AD760&lt;&gt;"",TODAY()&gt;AD760),"تاخیر",IF(L760&lt;&gt;"","در حال انجام",""))))))</f>
        <v/>
      </c>
      <c r="V760" s="7" t="n">
        <f aca="true">IF(U760="تاخیر",TODAY()-AD760,IF(AND(U760="بسته",AH760&lt;&gt;"",AD760&lt;&gt;"",AH760&gt;AD760),AH760-AD760,0))</f>
        <v>0</v>
      </c>
      <c r="W760" s="7" t="str">
        <f aca="false">IF(L760="","",VALUE(LEFT(L760,FIND("/",L760)-1)))</f>
        <v/>
      </c>
      <c r="X760" s="7" t="str">
        <f aca="false">IF(L760="","",VALUE(MID(L760,FIND("/",L760)+1,FIND("/",L760,FIND("/",L760)+1)-FIND("/",L760)-1)))</f>
        <v/>
      </c>
      <c r="Y760" s="7" t="str">
        <f aca="false">IF(L760="","",VALUE(MID(L760,FIND("/",L760,FIND("/",L760)+1)+1,LEN(L760)-FIND("/",L760,FIND("/",L760)+1))))</f>
        <v/>
      </c>
      <c r="Z760" s="7" t="str">
        <f aca="false">IF(OR(L760="",W760=""),"",IFERROR(INDEX('لیست‌ها'!$Q$3:$Q$53,MATCH(W760,'لیست‌ها'!$P$3:$P$53,0))+IF(X760&lt;=6,(X760-1)*31+Y760,IF(X760&lt;=11,186+(X760-7)*30+Y760,336+Y760))-1,""))</f>
        <v/>
      </c>
      <c r="AA760" s="7" t="str">
        <f aca="false">IF(H760="","",VALUE(LEFT(H760,FIND("/",H760)-1)))</f>
        <v/>
      </c>
      <c r="AB760" s="7" t="str">
        <f aca="false">IF(H760="","",VALUE(MID(H760,FIND("/",H760)+1,FIND("/",H760,FIND("/",H760)+1)-FIND("/",H760)-1)))</f>
        <v/>
      </c>
      <c r="AC760" s="7" t="str">
        <f aca="false">IF(H760="","",VALUE(MID(H760,FIND("/",H760,FIND("/",H760)+1)+1,LEN(H760)-FIND("/",H760,FIND("/",H760)+1))))</f>
        <v/>
      </c>
      <c r="AD760" s="7" t="str">
        <f aca="false">IF(OR(H760="",AA760=""),"",IFERROR(INDEX('لیست‌ها'!$Q$3:$Q$53,MATCH(AA760,'لیست‌ها'!$P$3:$P$53,0))+IF(AB760&lt;=6,(AB760-1)*31+AC760,IF(AB760&lt;=11,186+(AB760-7)*30+AC760,336+AC760))-1,""))</f>
        <v/>
      </c>
      <c r="AE760" s="7" t="str">
        <f aca="false">IF(P760="","",VALUE(LEFT(P760,FIND("/",P760)-1)))</f>
        <v/>
      </c>
      <c r="AF760" s="7" t="str">
        <f aca="false">IF(P760="","",VALUE(MID(P760,FIND("/",P760)+1,FIND("/",P760,FIND("/",P760)+1)-FIND("/",P760)-1)))</f>
        <v/>
      </c>
      <c r="AG760" s="7" t="str">
        <f aca="false">IF(P760="","",VALUE(MID(P760,FIND("/",P760,FIND("/",P760)+1)+1,LEN(P760)-FIND("/",P760,FIND("/",P760)+1))))</f>
        <v/>
      </c>
      <c r="AH760" s="7" t="str">
        <f aca="false">IF(OR(P760="",AE760=""),"",IFERROR(INDEX('لیست‌ها'!$Q$3:$Q$53,MATCH(AE760,'لیست‌ها'!$P$3:$P$53,0))+IF(AF760&lt;=6,(AF760-1)*31+AG760,IF(AF760&lt;=11,186+(AF760-7)*30+AG760,336+AG760))-1,""))</f>
        <v/>
      </c>
      <c r="AI760" s="7" t="str">
        <f aca="false">IF(W760="","",W760&amp;"-"&amp;TEXT(X760,"00"))</f>
        <v/>
      </c>
      <c r="AJ760" s="7" t="str">
        <f aca="false">IF(W760="","",W760*12+X760)</f>
        <v/>
      </c>
      <c r="AK760" s="7" t="str">
        <f aca="false">IF(U760="تاخیر",V760+ROW()/100000,"")</f>
        <v/>
      </c>
    </row>
    <row r="761" customFormat="false" ht="15" hidden="false" customHeight="false" outlineLevel="0" collapsed="false">
      <c r="A761" s="7" t="str">
        <f aca="false">IF(B761="","",ROW()-3)</f>
        <v/>
      </c>
      <c r="B761" s="8"/>
      <c r="C761" s="8"/>
      <c r="D761" s="8"/>
      <c r="E761" s="9"/>
      <c r="F761" s="9"/>
      <c r="G761" s="8"/>
      <c r="H761" s="8"/>
      <c r="I761" s="8"/>
      <c r="J761" s="9"/>
      <c r="K761" s="8"/>
      <c r="L761" s="8"/>
      <c r="M761" s="8"/>
      <c r="N761" s="8"/>
      <c r="O761" s="8"/>
      <c r="P761" s="8"/>
      <c r="Q761" s="8"/>
      <c r="R761" s="9"/>
      <c r="S761" s="8"/>
      <c r="T761" s="9"/>
      <c r="U761" s="10" t="str">
        <f aca="true">IF(B761="","",IF(OR(P761&lt;&gt;"",I761="می‌باشد"),"بسته",IF(AND(L761&lt;&gt;"",W761=""),"خطای فرمت تاریخ ایجاد",IF(AND(H761&lt;&gt;"",AA761=""),"خطای فرمت مهلت",IF(AND(H761&lt;&gt;"",AD761&lt;&gt;"",TODAY()&gt;AD761),"تاخیر",IF(L761&lt;&gt;"","در حال انجام",""))))))</f>
        <v/>
      </c>
      <c r="V761" s="7" t="n">
        <f aca="true">IF(U761="تاخیر",TODAY()-AD761,IF(AND(U761="بسته",AH761&lt;&gt;"",AD761&lt;&gt;"",AH761&gt;AD761),AH761-AD761,0))</f>
        <v>0</v>
      </c>
      <c r="W761" s="7" t="str">
        <f aca="false">IF(L761="","",VALUE(LEFT(L761,FIND("/",L761)-1)))</f>
        <v/>
      </c>
      <c r="X761" s="7" t="str">
        <f aca="false">IF(L761="","",VALUE(MID(L761,FIND("/",L761)+1,FIND("/",L761,FIND("/",L761)+1)-FIND("/",L761)-1)))</f>
        <v/>
      </c>
      <c r="Y761" s="7" t="str">
        <f aca="false">IF(L761="","",VALUE(MID(L761,FIND("/",L761,FIND("/",L761)+1)+1,LEN(L761)-FIND("/",L761,FIND("/",L761)+1))))</f>
        <v/>
      </c>
      <c r="Z761" s="7" t="str">
        <f aca="false">IF(OR(L761="",W761=""),"",IFERROR(INDEX('لیست‌ها'!$Q$3:$Q$53,MATCH(W761,'لیست‌ها'!$P$3:$P$53,0))+IF(X761&lt;=6,(X761-1)*31+Y761,IF(X761&lt;=11,186+(X761-7)*30+Y761,336+Y761))-1,""))</f>
        <v/>
      </c>
      <c r="AA761" s="7" t="str">
        <f aca="false">IF(H761="","",VALUE(LEFT(H761,FIND("/",H761)-1)))</f>
        <v/>
      </c>
      <c r="AB761" s="7" t="str">
        <f aca="false">IF(H761="","",VALUE(MID(H761,FIND("/",H761)+1,FIND("/",H761,FIND("/",H761)+1)-FIND("/",H761)-1)))</f>
        <v/>
      </c>
      <c r="AC761" s="7" t="str">
        <f aca="false">IF(H761="","",VALUE(MID(H761,FIND("/",H761,FIND("/",H761)+1)+1,LEN(H761)-FIND("/",H761,FIND("/",H761)+1))))</f>
        <v/>
      </c>
      <c r="AD761" s="7" t="str">
        <f aca="false">IF(OR(H761="",AA761=""),"",IFERROR(INDEX('لیست‌ها'!$Q$3:$Q$53,MATCH(AA761,'لیست‌ها'!$P$3:$P$53,0))+IF(AB761&lt;=6,(AB761-1)*31+AC761,IF(AB761&lt;=11,186+(AB761-7)*30+AC761,336+AC761))-1,""))</f>
        <v/>
      </c>
      <c r="AE761" s="7" t="str">
        <f aca="false">IF(P761="","",VALUE(LEFT(P761,FIND("/",P761)-1)))</f>
        <v/>
      </c>
      <c r="AF761" s="7" t="str">
        <f aca="false">IF(P761="","",VALUE(MID(P761,FIND("/",P761)+1,FIND("/",P761,FIND("/",P761)+1)-FIND("/",P761)-1)))</f>
        <v/>
      </c>
      <c r="AG761" s="7" t="str">
        <f aca="false">IF(P761="","",VALUE(MID(P761,FIND("/",P761,FIND("/",P761)+1)+1,LEN(P761)-FIND("/",P761,FIND("/",P761)+1))))</f>
        <v/>
      </c>
      <c r="AH761" s="7" t="str">
        <f aca="false">IF(OR(P761="",AE761=""),"",IFERROR(INDEX('لیست‌ها'!$Q$3:$Q$53,MATCH(AE761,'لیست‌ها'!$P$3:$P$53,0))+IF(AF761&lt;=6,(AF761-1)*31+AG761,IF(AF761&lt;=11,186+(AF761-7)*30+AG761,336+AG761))-1,""))</f>
        <v/>
      </c>
      <c r="AI761" s="7" t="str">
        <f aca="false">IF(W761="","",W761&amp;"-"&amp;TEXT(X761,"00"))</f>
        <v/>
      </c>
      <c r="AJ761" s="7" t="str">
        <f aca="false">IF(W761="","",W761*12+X761)</f>
        <v/>
      </c>
      <c r="AK761" s="7" t="str">
        <f aca="false">IF(U761="تاخیر",V761+ROW()/100000,"")</f>
        <v/>
      </c>
    </row>
    <row r="762" customFormat="false" ht="15" hidden="false" customHeight="false" outlineLevel="0" collapsed="false">
      <c r="A762" s="7" t="str">
        <f aca="false">IF(B762="","",ROW()-3)</f>
        <v/>
      </c>
      <c r="B762" s="8"/>
      <c r="C762" s="8"/>
      <c r="D762" s="8"/>
      <c r="E762" s="9"/>
      <c r="F762" s="9"/>
      <c r="G762" s="8"/>
      <c r="H762" s="8"/>
      <c r="I762" s="8"/>
      <c r="J762" s="9"/>
      <c r="K762" s="8"/>
      <c r="L762" s="8"/>
      <c r="M762" s="8"/>
      <c r="N762" s="8"/>
      <c r="O762" s="8"/>
      <c r="P762" s="8"/>
      <c r="Q762" s="8"/>
      <c r="R762" s="9"/>
      <c r="S762" s="8"/>
      <c r="T762" s="9"/>
      <c r="U762" s="10" t="str">
        <f aca="true">IF(B762="","",IF(OR(P762&lt;&gt;"",I762="می‌باشد"),"بسته",IF(AND(L762&lt;&gt;"",W762=""),"خطای فرمت تاریخ ایجاد",IF(AND(H762&lt;&gt;"",AA762=""),"خطای فرمت مهلت",IF(AND(H762&lt;&gt;"",AD762&lt;&gt;"",TODAY()&gt;AD762),"تاخیر",IF(L762&lt;&gt;"","در حال انجام",""))))))</f>
        <v/>
      </c>
      <c r="V762" s="7" t="n">
        <f aca="true">IF(U762="تاخیر",TODAY()-AD762,IF(AND(U762="بسته",AH762&lt;&gt;"",AD762&lt;&gt;"",AH762&gt;AD762),AH762-AD762,0))</f>
        <v>0</v>
      </c>
      <c r="W762" s="7" t="str">
        <f aca="false">IF(L762="","",VALUE(LEFT(L762,FIND("/",L762)-1)))</f>
        <v/>
      </c>
      <c r="X762" s="7" t="str">
        <f aca="false">IF(L762="","",VALUE(MID(L762,FIND("/",L762)+1,FIND("/",L762,FIND("/",L762)+1)-FIND("/",L762)-1)))</f>
        <v/>
      </c>
      <c r="Y762" s="7" t="str">
        <f aca="false">IF(L762="","",VALUE(MID(L762,FIND("/",L762,FIND("/",L762)+1)+1,LEN(L762)-FIND("/",L762,FIND("/",L762)+1))))</f>
        <v/>
      </c>
      <c r="Z762" s="7" t="str">
        <f aca="false">IF(OR(L762="",W762=""),"",IFERROR(INDEX('لیست‌ها'!$Q$3:$Q$53,MATCH(W762,'لیست‌ها'!$P$3:$P$53,0))+IF(X762&lt;=6,(X762-1)*31+Y762,IF(X762&lt;=11,186+(X762-7)*30+Y762,336+Y762))-1,""))</f>
        <v/>
      </c>
      <c r="AA762" s="7" t="str">
        <f aca="false">IF(H762="","",VALUE(LEFT(H762,FIND("/",H762)-1)))</f>
        <v/>
      </c>
      <c r="AB762" s="7" t="str">
        <f aca="false">IF(H762="","",VALUE(MID(H762,FIND("/",H762)+1,FIND("/",H762,FIND("/",H762)+1)-FIND("/",H762)-1)))</f>
        <v/>
      </c>
      <c r="AC762" s="7" t="str">
        <f aca="false">IF(H762="","",VALUE(MID(H762,FIND("/",H762,FIND("/",H762)+1)+1,LEN(H762)-FIND("/",H762,FIND("/",H762)+1))))</f>
        <v/>
      </c>
      <c r="AD762" s="7" t="str">
        <f aca="false">IF(OR(H762="",AA762=""),"",IFERROR(INDEX('لیست‌ها'!$Q$3:$Q$53,MATCH(AA762,'لیست‌ها'!$P$3:$P$53,0))+IF(AB762&lt;=6,(AB762-1)*31+AC762,IF(AB762&lt;=11,186+(AB762-7)*30+AC762,336+AC762))-1,""))</f>
        <v/>
      </c>
      <c r="AE762" s="7" t="str">
        <f aca="false">IF(P762="","",VALUE(LEFT(P762,FIND("/",P762)-1)))</f>
        <v/>
      </c>
      <c r="AF762" s="7" t="str">
        <f aca="false">IF(P762="","",VALUE(MID(P762,FIND("/",P762)+1,FIND("/",P762,FIND("/",P762)+1)-FIND("/",P762)-1)))</f>
        <v/>
      </c>
      <c r="AG762" s="7" t="str">
        <f aca="false">IF(P762="","",VALUE(MID(P762,FIND("/",P762,FIND("/",P762)+1)+1,LEN(P762)-FIND("/",P762,FIND("/",P762)+1))))</f>
        <v/>
      </c>
      <c r="AH762" s="7" t="str">
        <f aca="false">IF(OR(P762="",AE762=""),"",IFERROR(INDEX('لیست‌ها'!$Q$3:$Q$53,MATCH(AE762,'لیست‌ها'!$P$3:$P$53,0))+IF(AF762&lt;=6,(AF762-1)*31+AG762,IF(AF762&lt;=11,186+(AF762-7)*30+AG762,336+AG762))-1,""))</f>
        <v/>
      </c>
      <c r="AI762" s="7" t="str">
        <f aca="false">IF(W762="","",W762&amp;"-"&amp;TEXT(X762,"00"))</f>
        <v/>
      </c>
      <c r="AJ762" s="7" t="str">
        <f aca="false">IF(W762="","",W762*12+X762)</f>
        <v/>
      </c>
      <c r="AK762" s="7" t="str">
        <f aca="false">IF(U762="تاخیر",V762+ROW()/100000,"")</f>
        <v/>
      </c>
    </row>
    <row r="763" customFormat="false" ht="15" hidden="false" customHeight="false" outlineLevel="0" collapsed="false">
      <c r="A763" s="7" t="str">
        <f aca="false">IF(B763="","",ROW()-3)</f>
        <v/>
      </c>
      <c r="B763" s="8"/>
      <c r="C763" s="8"/>
      <c r="D763" s="8"/>
      <c r="E763" s="9"/>
      <c r="F763" s="9"/>
      <c r="G763" s="8"/>
      <c r="H763" s="8"/>
      <c r="I763" s="8"/>
      <c r="J763" s="9"/>
      <c r="K763" s="8"/>
      <c r="L763" s="8"/>
      <c r="M763" s="8"/>
      <c r="N763" s="8"/>
      <c r="O763" s="8"/>
      <c r="P763" s="8"/>
      <c r="Q763" s="8"/>
      <c r="R763" s="9"/>
      <c r="S763" s="8"/>
      <c r="T763" s="9"/>
      <c r="U763" s="10" t="str">
        <f aca="true">IF(B763="","",IF(OR(P763&lt;&gt;"",I763="می‌باشد"),"بسته",IF(AND(L763&lt;&gt;"",W763=""),"خطای فرمت تاریخ ایجاد",IF(AND(H763&lt;&gt;"",AA763=""),"خطای فرمت مهلت",IF(AND(H763&lt;&gt;"",AD763&lt;&gt;"",TODAY()&gt;AD763),"تاخیر",IF(L763&lt;&gt;"","در حال انجام",""))))))</f>
        <v/>
      </c>
      <c r="V763" s="7" t="n">
        <f aca="true">IF(U763="تاخیر",TODAY()-AD763,IF(AND(U763="بسته",AH763&lt;&gt;"",AD763&lt;&gt;"",AH763&gt;AD763),AH763-AD763,0))</f>
        <v>0</v>
      </c>
      <c r="W763" s="7" t="str">
        <f aca="false">IF(L763="","",VALUE(LEFT(L763,FIND("/",L763)-1)))</f>
        <v/>
      </c>
      <c r="X763" s="7" t="str">
        <f aca="false">IF(L763="","",VALUE(MID(L763,FIND("/",L763)+1,FIND("/",L763,FIND("/",L763)+1)-FIND("/",L763)-1)))</f>
        <v/>
      </c>
      <c r="Y763" s="7" t="str">
        <f aca="false">IF(L763="","",VALUE(MID(L763,FIND("/",L763,FIND("/",L763)+1)+1,LEN(L763)-FIND("/",L763,FIND("/",L763)+1))))</f>
        <v/>
      </c>
      <c r="Z763" s="7" t="str">
        <f aca="false">IF(OR(L763="",W763=""),"",IFERROR(INDEX('لیست‌ها'!$Q$3:$Q$53,MATCH(W763,'لیست‌ها'!$P$3:$P$53,0))+IF(X763&lt;=6,(X763-1)*31+Y763,IF(X763&lt;=11,186+(X763-7)*30+Y763,336+Y763))-1,""))</f>
        <v/>
      </c>
      <c r="AA763" s="7" t="str">
        <f aca="false">IF(H763="","",VALUE(LEFT(H763,FIND("/",H763)-1)))</f>
        <v/>
      </c>
      <c r="AB763" s="7" t="str">
        <f aca="false">IF(H763="","",VALUE(MID(H763,FIND("/",H763)+1,FIND("/",H763,FIND("/",H763)+1)-FIND("/",H763)-1)))</f>
        <v/>
      </c>
      <c r="AC763" s="7" t="str">
        <f aca="false">IF(H763="","",VALUE(MID(H763,FIND("/",H763,FIND("/",H763)+1)+1,LEN(H763)-FIND("/",H763,FIND("/",H763)+1))))</f>
        <v/>
      </c>
      <c r="AD763" s="7" t="str">
        <f aca="false">IF(OR(H763="",AA763=""),"",IFERROR(INDEX('لیست‌ها'!$Q$3:$Q$53,MATCH(AA763,'لیست‌ها'!$P$3:$P$53,0))+IF(AB763&lt;=6,(AB763-1)*31+AC763,IF(AB763&lt;=11,186+(AB763-7)*30+AC763,336+AC763))-1,""))</f>
        <v/>
      </c>
      <c r="AE763" s="7" t="str">
        <f aca="false">IF(P763="","",VALUE(LEFT(P763,FIND("/",P763)-1)))</f>
        <v/>
      </c>
      <c r="AF763" s="7" t="str">
        <f aca="false">IF(P763="","",VALUE(MID(P763,FIND("/",P763)+1,FIND("/",P763,FIND("/",P763)+1)-FIND("/",P763)-1)))</f>
        <v/>
      </c>
      <c r="AG763" s="7" t="str">
        <f aca="false">IF(P763="","",VALUE(MID(P763,FIND("/",P763,FIND("/",P763)+1)+1,LEN(P763)-FIND("/",P763,FIND("/",P763)+1))))</f>
        <v/>
      </c>
      <c r="AH763" s="7" t="str">
        <f aca="false">IF(OR(P763="",AE763=""),"",IFERROR(INDEX('لیست‌ها'!$Q$3:$Q$53,MATCH(AE763,'لیست‌ها'!$P$3:$P$53,0))+IF(AF763&lt;=6,(AF763-1)*31+AG763,IF(AF763&lt;=11,186+(AF763-7)*30+AG763,336+AG763))-1,""))</f>
        <v/>
      </c>
      <c r="AI763" s="7" t="str">
        <f aca="false">IF(W763="","",W763&amp;"-"&amp;TEXT(X763,"00"))</f>
        <v/>
      </c>
      <c r="AJ763" s="7" t="str">
        <f aca="false">IF(W763="","",W763*12+X763)</f>
        <v/>
      </c>
      <c r="AK763" s="7" t="str">
        <f aca="false">IF(U763="تاخیر",V763+ROW()/100000,"")</f>
        <v/>
      </c>
    </row>
    <row r="764" customFormat="false" ht="15" hidden="false" customHeight="false" outlineLevel="0" collapsed="false">
      <c r="A764" s="7" t="str">
        <f aca="false">IF(B764="","",ROW()-3)</f>
        <v/>
      </c>
      <c r="B764" s="8"/>
      <c r="C764" s="8"/>
      <c r="D764" s="8"/>
      <c r="E764" s="9"/>
      <c r="F764" s="9"/>
      <c r="G764" s="8"/>
      <c r="H764" s="8"/>
      <c r="I764" s="8"/>
      <c r="J764" s="9"/>
      <c r="K764" s="8"/>
      <c r="L764" s="8"/>
      <c r="M764" s="8"/>
      <c r="N764" s="8"/>
      <c r="O764" s="8"/>
      <c r="P764" s="8"/>
      <c r="Q764" s="8"/>
      <c r="R764" s="9"/>
      <c r="S764" s="8"/>
      <c r="T764" s="9"/>
      <c r="U764" s="10" t="str">
        <f aca="true">IF(B764="","",IF(OR(P764&lt;&gt;"",I764="می‌باشد"),"بسته",IF(AND(L764&lt;&gt;"",W764=""),"خطای فرمت تاریخ ایجاد",IF(AND(H764&lt;&gt;"",AA764=""),"خطای فرمت مهلت",IF(AND(H764&lt;&gt;"",AD764&lt;&gt;"",TODAY()&gt;AD764),"تاخیر",IF(L764&lt;&gt;"","در حال انجام",""))))))</f>
        <v/>
      </c>
      <c r="V764" s="7" t="n">
        <f aca="true">IF(U764="تاخیر",TODAY()-AD764,IF(AND(U764="بسته",AH764&lt;&gt;"",AD764&lt;&gt;"",AH764&gt;AD764),AH764-AD764,0))</f>
        <v>0</v>
      </c>
      <c r="W764" s="7" t="str">
        <f aca="false">IF(L764="","",VALUE(LEFT(L764,FIND("/",L764)-1)))</f>
        <v/>
      </c>
      <c r="X764" s="7" t="str">
        <f aca="false">IF(L764="","",VALUE(MID(L764,FIND("/",L764)+1,FIND("/",L764,FIND("/",L764)+1)-FIND("/",L764)-1)))</f>
        <v/>
      </c>
      <c r="Y764" s="7" t="str">
        <f aca="false">IF(L764="","",VALUE(MID(L764,FIND("/",L764,FIND("/",L764)+1)+1,LEN(L764)-FIND("/",L764,FIND("/",L764)+1))))</f>
        <v/>
      </c>
      <c r="Z764" s="7" t="str">
        <f aca="false">IF(OR(L764="",W764=""),"",IFERROR(INDEX('لیست‌ها'!$Q$3:$Q$53,MATCH(W764,'لیست‌ها'!$P$3:$P$53,0))+IF(X764&lt;=6,(X764-1)*31+Y764,IF(X764&lt;=11,186+(X764-7)*30+Y764,336+Y764))-1,""))</f>
        <v/>
      </c>
      <c r="AA764" s="7" t="str">
        <f aca="false">IF(H764="","",VALUE(LEFT(H764,FIND("/",H764)-1)))</f>
        <v/>
      </c>
      <c r="AB764" s="7" t="str">
        <f aca="false">IF(H764="","",VALUE(MID(H764,FIND("/",H764)+1,FIND("/",H764,FIND("/",H764)+1)-FIND("/",H764)-1)))</f>
        <v/>
      </c>
      <c r="AC764" s="7" t="str">
        <f aca="false">IF(H764="","",VALUE(MID(H764,FIND("/",H764,FIND("/",H764)+1)+1,LEN(H764)-FIND("/",H764,FIND("/",H764)+1))))</f>
        <v/>
      </c>
      <c r="AD764" s="7" t="str">
        <f aca="false">IF(OR(H764="",AA764=""),"",IFERROR(INDEX('لیست‌ها'!$Q$3:$Q$53,MATCH(AA764,'لیست‌ها'!$P$3:$P$53,0))+IF(AB764&lt;=6,(AB764-1)*31+AC764,IF(AB764&lt;=11,186+(AB764-7)*30+AC764,336+AC764))-1,""))</f>
        <v/>
      </c>
      <c r="AE764" s="7" t="str">
        <f aca="false">IF(P764="","",VALUE(LEFT(P764,FIND("/",P764)-1)))</f>
        <v/>
      </c>
      <c r="AF764" s="7" t="str">
        <f aca="false">IF(P764="","",VALUE(MID(P764,FIND("/",P764)+1,FIND("/",P764,FIND("/",P764)+1)-FIND("/",P764)-1)))</f>
        <v/>
      </c>
      <c r="AG764" s="7" t="str">
        <f aca="false">IF(P764="","",VALUE(MID(P764,FIND("/",P764,FIND("/",P764)+1)+1,LEN(P764)-FIND("/",P764,FIND("/",P764)+1))))</f>
        <v/>
      </c>
      <c r="AH764" s="7" t="str">
        <f aca="false">IF(OR(P764="",AE764=""),"",IFERROR(INDEX('لیست‌ها'!$Q$3:$Q$53,MATCH(AE764,'لیست‌ها'!$P$3:$P$53,0))+IF(AF764&lt;=6,(AF764-1)*31+AG764,IF(AF764&lt;=11,186+(AF764-7)*30+AG764,336+AG764))-1,""))</f>
        <v/>
      </c>
      <c r="AI764" s="7" t="str">
        <f aca="false">IF(W764="","",W764&amp;"-"&amp;TEXT(X764,"00"))</f>
        <v/>
      </c>
      <c r="AJ764" s="7" t="str">
        <f aca="false">IF(W764="","",W764*12+X764)</f>
        <v/>
      </c>
      <c r="AK764" s="7" t="str">
        <f aca="false">IF(U764="تاخیر",V764+ROW()/100000,"")</f>
        <v/>
      </c>
    </row>
    <row r="765" customFormat="false" ht="15" hidden="false" customHeight="false" outlineLevel="0" collapsed="false">
      <c r="A765" s="7" t="str">
        <f aca="false">IF(B765="","",ROW()-3)</f>
        <v/>
      </c>
      <c r="B765" s="8"/>
      <c r="C765" s="8"/>
      <c r="D765" s="8"/>
      <c r="E765" s="9"/>
      <c r="F765" s="9"/>
      <c r="G765" s="8"/>
      <c r="H765" s="8"/>
      <c r="I765" s="8"/>
      <c r="J765" s="9"/>
      <c r="K765" s="8"/>
      <c r="L765" s="8"/>
      <c r="M765" s="8"/>
      <c r="N765" s="8"/>
      <c r="O765" s="8"/>
      <c r="P765" s="8"/>
      <c r="Q765" s="8"/>
      <c r="R765" s="9"/>
      <c r="S765" s="8"/>
      <c r="T765" s="9"/>
      <c r="U765" s="10" t="str">
        <f aca="true">IF(B765="","",IF(OR(P765&lt;&gt;"",I765="می‌باشد"),"بسته",IF(AND(L765&lt;&gt;"",W765=""),"خطای فرمت تاریخ ایجاد",IF(AND(H765&lt;&gt;"",AA765=""),"خطای فرمت مهلت",IF(AND(H765&lt;&gt;"",AD765&lt;&gt;"",TODAY()&gt;AD765),"تاخیر",IF(L765&lt;&gt;"","در حال انجام",""))))))</f>
        <v/>
      </c>
      <c r="V765" s="7" t="n">
        <f aca="true">IF(U765="تاخیر",TODAY()-AD765,IF(AND(U765="بسته",AH765&lt;&gt;"",AD765&lt;&gt;"",AH765&gt;AD765),AH765-AD765,0))</f>
        <v>0</v>
      </c>
      <c r="W765" s="7" t="str">
        <f aca="false">IF(L765="","",VALUE(LEFT(L765,FIND("/",L765)-1)))</f>
        <v/>
      </c>
      <c r="X765" s="7" t="str">
        <f aca="false">IF(L765="","",VALUE(MID(L765,FIND("/",L765)+1,FIND("/",L765,FIND("/",L765)+1)-FIND("/",L765)-1)))</f>
        <v/>
      </c>
      <c r="Y765" s="7" t="str">
        <f aca="false">IF(L765="","",VALUE(MID(L765,FIND("/",L765,FIND("/",L765)+1)+1,LEN(L765)-FIND("/",L765,FIND("/",L765)+1))))</f>
        <v/>
      </c>
      <c r="Z765" s="7" t="str">
        <f aca="false">IF(OR(L765="",W765=""),"",IFERROR(INDEX('لیست‌ها'!$Q$3:$Q$53,MATCH(W765,'لیست‌ها'!$P$3:$P$53,0))+IF(X765&lt;=6,(X765-1)*31+Y765,IF(X765&lt;=11,186+(X765-7)*30+Y765,336+Y765))-1,""))</f>
        <v/>
      </c>
      <c r="AA765" s="7" t="str">
        <f aca="false">IF(H765="","",VALUE(LEFT(H765,FIND("/",H765)-1)))</f>
        <v/>
      </c>
      <c r="AB765" s="7" t="str">
        <f aca="false">IF(H765="","",VALUE(MID(H765,FIND("/",H765)+1,FIND("/",H765,FIND("/",H765)+1)-FIND("/",H765)-1)))</f>
        <v/>
      </c>
      <c r="AC765" s="7" t="str">
        <f aca="false">IF(H765="","",VALUE(MID(H765,FIND("/",H765,FIND("/",H765)+1)+1,LEN(H765)-FIND("/",H765,FIND("/",H765)+1))))</f>
        <v/>
      </c>
      <c r="AD765" s="7" t="str">
        <f aca="false">IF(OR(H765="",AA765=""),"",IFERROR(INDEX('لیست‌ها'!$Q$3:$Q$53,MATCH(AA765,'لیست‌ها'!$P$3:$P$53,0))+IF(AB765&lt;=6,(AB765-1)*31+AC765,IF(AB765&lt;=11,186+(AB765-7)*30+AC765,336+AC765))-1,""))</f>
        <v/>
      </c>
      <c r="AE765" s="7" t="str">
        <f aca="false">IF(P765="","",VALUE(LEFT(P765,FIND("/",P765)-1)))</f>
        <v/>
      </c>
      <c r="AF765" s="7" t="str">
        <f aca="false">IF(P765="","",VALUE(MID(P765,FIND("/",P765)+1,FIND("/",P765,FIND("/",P765)+1)-FIND("/",P765)-1)))</f>
        <v/>
      </c>
      <c r="AG765" s="7" t="str">
        <f aca="false">IF(P765="","",VALUE(MID(P765,FIND("/",P765,FIND("/",P765)+1)+1,LEN(P765)-FIND("/",P765,FIND("/",P765)+1))))</f>
        <v/>
      </c>
      <c r="AH765" s="7" t="str">
        <f aca="false">IF(OR(P765="",AE765=""),"",IFERROR(INDEX('لیست‌ها'!$Q$3:$Q$53,MATCH(AE765,'لیست‌ها'!$P$3:$P$53,0))+IF(AF765&lt;=6,(AF765-1)*31+AG765,IF(AF765&lt;=11,186+(AF765-7)*30+AG765,336+AG765))-1,""))</f>
        <v/>
      </c>
      <c r="AI765" s="7" t="str">
        <f aca="false">IF(W765="","",W765&amp;"-"&amp;TEXT(X765,"00"))</f>
        <v/>
      </c>
      <c r="AJ765" s="7" t="str">
        <f aca="false">IF(W765="","",W765*12+X765)</f>
        <v/>
      </c>
      <c r="AK765" s="7" t="str">
        <f aca="false">IF(U765="تاخیر",V765+ROW()/100000,"")</f>
        <v/>
      </c>
    </row>
    <row r="766" customFormat="false" ht="15" hidden="false" customHeight="false" outlineLevel="0" collapsed="false">
      <c r="A766" s="7" t="str">
        <f aca="false">IF(B766="","",ROW()-3)</f>
        <v/>
      </c>
      <c r="B766" s="8"/>
      <c r="C766" s="8"/>
      <c r="D766" s="8"/>
      <c r="E766" s="9"/>
      <c r="F766" s="9"/>
      <c r="G766" s="8"/>
      <c r="H766" s="8"/>
      <c r="I766" s="8"/>
      <c r="J766" s="9"/>
      <c r="K766" s="8"/>
      <c r="L766" s="8"/>
      <c r="M766" s="8"/>
      <c r="N766" s="8"/>
      <c r="O766" s="8"/>
      <c r="P766" s="8"/>
      <c r="Q766" s="8"/>
      <c r="R766" s="9"/>
      <c r="S766" s="8"/>
      <c r="T766" s="9"/>
      <c r="U766" s="10" t="str">
        <f aca="true">IF(B766="","",IF(OR(P766&lt;&gt;"",I766="می‌باشد"),"بسته",IF(AND(L766&lt;&gt;"",W766=""),"خطای فرمت تاریخ ایجاد",IF(AND(H766&lt;&gt;"",AA766=""),"خطای فرمت مهلت",IF(AND(H766&lt;&gt;"",AD766&lt;&gt;"",TODAY()&gt;AD766),"تاخیر",IF(L766&lt;&gt;"","در حال انجام",""))))))</f>
        <v/>
      </c>
      <c r="V766" s="7" t="n">
        <f aca="true">IF(U766="تاخیر",TODAY()-AD766,IF(AND(U766="بسته",AH766&lt;&gt;"",AD766&lt;&gt;"",AH766&gt;AD766),AH766-AD766,0))</f>
        <v>0</v>
      </c>
      <c r="W766" s="7" t="str">
        <f aca="false">IF(L766="","",VALUE(LEFT(L766,FIND("/",L766)-1)))</f>
        <v/>
      </c>
      <c r="X766" s="7" t="str">
        <f aca="false">IF(L766="","",VALUE(MID(L766,FIND("/",L766)+1,FIND("/",L766,FIND("/",L766)+1)-FIND("/",L766)-1)))</f>
        <v/>
      </c>
      <c r="Y766" s="7" t="str">
        <f aca="false">IF(L766="","",VALUE(MID(L766,FIND("/",L766,FIND("/",L766)+1)+1,LEN(L766)-FIND("/",L766,FIND("/",L766)+1))))</f>
        <v/>
      </c>
      <c r="Z766" s="7" t="str">
        <f aca="false">IF(OR(L766="",W766=""),"",IFERROR(INDEX('لیست‌ها'!$Q$3:$Q$53,MATCH(W766,'لیست‌ها'!$P$3:$P$53,0))+IF(X766&lt;=6,(X766-1)*31+Y766,IF(X766&lt;=11,186+(X766-7)*30+Y766,336+Y766))-1,""))</f>
        <v/>
      </c>
      <c r="AA766" s="7" t="str">
        <f aca="false">IF(H766="","",VALUE(LEFT(H766,FIND("/",H766)-1)))</f>
        <v/>
      </c>
      <c r="AB766" s="7" t="str">
        <f aca="false">IF(H766="","",VALUE(MID(H766,FIND("/",H766)+1,FIND("/",H766,FIND("/",H766)+1)-FIND("/",H766)-1)))</f>
        <v/>
      </c>
      <c r="AC766" s="7" t="str">
        <f aca="false">IF(H766="","",VALUE(MID(H766,FIND("/",H766,FIND("/",H766)+1)+1,LEN(H766)-FIND("/",H766,FIND("/",H766)+1))))</f>
        <v/>
      </c>
      <c r="AD766" s="7" t="str">
        <f aca="false">IF(OR(H766="",AA766=""),"",IFERROR(INDEX('لیست‌ها'!$Q$3:$Q$53,MATCH(AA766,'لیست‌ها'!$P$3:$P$53,0))+IF(AB766&lt;=6,(AB766-1)*31+AC766,IF(AB766&lt;=11,186+(AB766-7)*30+AC766,336+AC766))-1,""))</f>
        <v/>
      </c>
      <c r="AE766" s="7" t="str">
        <f aca="false">IF(P766="","",VALUE(LEFT(P766,FIND("/",P766)-1)))</f>
        <v/>
      </c>
      <c r="AF766" s="7" t="str">
        <f aca="false">IF(P766="","",VALUE(MID(P766,FIND("/",P766)+1,FIND("/",P766,FIND("/",P766)+1)-FIND("/",P766)-1)))</f>
        <v/>
      </c>
      <c r="AG766" s="7" t="str">
        <f aca="false">IF(P766="","",VALUE(MID(P766,FIND("/",P766,FIND("/",P766)+1)+1,LEN(P766)-FIND("/",P766,FIND("/",P766)+1))))</f>
        <v/>
      </c>
      <c r="AH766" s="7" t="str">
        <f aca="false">IF(OR(P766="",AE766=""),"",IFERROR(INDEX('لیست‌ها'!$Q$3:$Q$53,MATCH(AE766,'لیست‌ها'!$P$3:$P$53,0))+IF(AF766&lt;=6,(AF766-1)*31+AG766,IF(AF766&lt;=11,186+(AF766-7)*30+AG766,336+AG766))-1,""))</f>
        <v/>
      </c>
      <c r="AI766" s="7" t="str">
        <f aca="false">IF(W766="","",W766&amp;"-"&amp;TEXT(X766,"00"))</f>
        <v/>
      </c>
      <c r="AJ766" s="7" t="str">
        <f aca="false">IF(W766="","",W766*12+X766)</f>
        <v/>
      </c>
      <c r="AK766" s="7" t="str">
        <f aca="false">IF(U766="تاخیر",V766+ROW()/100000,"")</f>
        <v/>
      </c>
    </row>
    <row r="767" customFormat="false" ht="15" hidden="false" customHeight="false" outlineLevel="0" collapsed="false">
      <c r="A767" s="7" t="str">
        <f aca="false">IF(B767="","",ROW()-3)</f>
        <v/>
      </c>
      <c r="B767" s="8"/>
      <c r="C767" s="8"/>
      <c r="D767" s="8"/>
      <c r="E767" s="9"/>
      <c r="F767" s="9"/>
      <c r="G767" s="8"/>
      <c r="H767" s="8"/>
      <c r="I767" s="8"/>
      <c r="J767" s="9"/>
      <c r="K767" s="8"/>
      <c r="L767" s="8"/>
      <c r="M767" s="8"/>
      <c r="N767" s="8"/>
      <c r="O767" s="8"/>
      <c r="P767" s="8"/>
      <c r="Q767" s="8"/>
      <c r="R767" s="9"/>
      <c r="S767" s="8"/>
      <c r="T767" s="9"/>
      <c r="U767" s="10" t="str">
        <f aca="true">IF(B767="","",IF(OR(P767&lt;&gt;"",I767="می‌باشد"),"بسته",IF(AND(L767&lt;&gt;"",W767=""),"خطای فرمت تاریخ ایجاد",IF(AND(H767&lt;&gt;"",AA767=""),"خطای فرمت مهلت",IF(AND(H767&lt;&gt;"",AD767&lt;&gt;"",TODAY()&gt;AD767),"تاخیر",IF(L767&lt;&gt;"","در حال انجام",""))))))</f>
        <v/>
      </c>
      <c r="V767" s="7" t="n">
        <f aca="true">IF(U767="تاخیر",TODAY()-AD767,IF(AND(U767="بسته",AH767&lt;&gt;"",AD767&lt;&gt;"",AH767&gt;AD767),AH767-AD767,0))</f>
        <v>0</v>
      </c>
      <c r="W767" s="7" t="str">
        <f aca="false">IF(L767="","",VALUE(LEFT(L767,FIND("/",L767)-1)))</f>
        <v/>
      </c>
      <c r="X767" s="7" t="str">
        <f aca="false">IF(L767="","",VALUE(MID(L767,FIND("/",L767)+1,FIND("/",L767,FIND("/",L767)+1)-FIND("/",L767)-1)))</f>
        <v/>
      </c>
      <c r="Y767" s="7" t="str">
        <f aca="false">IF(L767="","",VALUE(MID(L767,FIND("/",L767,FIND("/",L767)+1)+1,LEN(L767)-FIND("/",L767,FIND("/",L767)+1))))</f>
        <v/>
      </c>
      <c r="Z767" s="7" t="str">
        <f aca="false">IF(OR(L767="",W767=""),"",IFERROR(INDEX('لیست‌ها'!$Q$3:$Q$53,MATCH(W767,'لیست‌ها'!$P$3:$P$53,0))+IF(X767&lt;=6,(X767-1)*31+Y767,IF(X767&lt;=11,186+(X767-7)*30+Y767,336+Y767))-1,""))</f>
        <v/>
      </c>
      <c r="AA767" s="7" t="str">
        <f aca="false">IF(H767="","",VALUE(LEFT(H767,FIND("/",H767)-1)))</f>
        <v/>
      </c>
      <c r="AB767" s="7" t="str">
        <f aca="false">IF(H767="","",VALUE(MID(H767,FIND("/",H767)+1,FIND("/",H767,FIND("/",H767)+1)-FIND("/",H767)-1)))</f>
        <v/>
      </c>
      <c r="AC767" s="7" t="str">
        <f aca="false">IF(H767="","",VALUE(MID(H767,FIND("/",H767,FIND("/",H767)+1)+1,LEN(H767)-FIND("/",H767,FIND("/",H767)+1))))</f>
        <v/>
      </c>
      <c r="AD767" s="7" t="str">
        <f aca="false">IF(OR(H767="",AA767=""),"",IFERROR(INDEX('لیست‌ها'!$Q$3:$Q$53,MATCH(AA767,'لیست‌ها'!$P$3:$P$53,0))+IF(AB767&lt;=6,(AB767-1)*31+AC767,IF(AB767&lt;=11,186+(AB767-7)*30+AC767,336+AC767))-1,""))</f>
        <v/>
      </c>
      <c r="AE767" s="7" t="str">
        <f aca="false">IF(P767="","",VALUE(LEFT(P767,FIND("/",P767)-1)))</f>
        <v/>
      </c>
      <c r="AF767" s="7" t="str">
        <f aca="false">IF(P767="","",VALUE(MID(P767,FIND("/",P767)+1,FIND("/",P767,FIND("/",P767)+1)-FIND("/",P767)-1)))</f>
        <v/>
      </c>
      <c r="AG767" s="7" t="str">
        <f aca="false">IF(P767="","",VALUE(MID(P767,FIND("/",P767,FIND("/",P767)+1)+1,LEN(P767)-FIND("/",P767,FIND("/",P767)+1))))</f>
        <v/>
      </c>
      <c r="AH767" s="7" t="str">
        <f aca="false">IF(OR(P767="",AE767=""),"",IFERROR(INDEX('لیست‌ها'!$Q$3:$Q$53,MATCH(AE767,'لیست‌ها'!$P$3:$P$53,0))+IF(AF767&lt;=6,(AF767-1)*31+AG767,IF(AF767&lt;=11,186+(AF767-7)*30+AG767,336+AG767))-1,""))</f>
        <v/>
      </c>
      <c r="AI767" s="7" t="str">
        <f aca="false">IF(W767="","",W767&amp;"-"&amp;TEXT(X767,"00"))</f>
        <v/>
      </c>
      <c r="AJ767" s="7" t="str">
        <f aca="false">IF(W767="","",W767*12+X767)</f>
        <v/>
      </c>
      <c r="AK767" s="7" t="str">
        <f aca="false">IF(U767="تاخیر",V767+ROW()/100000,"")</f>
        <v/>
      </c>
    </row>
    <row r="768" customFormat="false" ht="15" hidden="false" customHeight="false" outlineLevel="0" collapsed="false">
      <c r="A768" s="7" t="str">
        <f aca="false">IF(B768="","",ROW()-3)</f>
        <v/>
      </c>
      <c r="B768" s="8"/>
      <c r="C768" s="8"/>
      <c r="D768" s="8"/>
      <c r="E768" s="9"/>
      <c r="F768" s="9"/>
      <c r="G768" s="8"/>
      <c r="H768" s="8"/>
      <c r="I768" s="8"/>
      <c r="J768" s="9"/>
      <c r="K768" s="8"/>
      <c r="L768" s="8"/>
      <c r="M768" s="8"/>
      <c r="N768" s="8"/>
      <c r="O768" s="8"/>
      <c r="P768" s="8"/>
      <c r="Q768" s="8"/>
      <c r="R768" s="9"/>
      <c r="S768" s="8"/>
      <c r="T768" s="9"/>
      <c r="U768" s="10" t="str">
        <f aca="true">IF(B768="","",IF(OR(P768&lt;&gt;"",I768="می‌باشد"),"بسته",IF(AND(L768&lt;&gt;"",W768=""),"خطای فرمت تاریخ ایجاد",IF(AND(H768&lt;&gt;"",AA768=""),"خطای فرمت مهلت",IF(AND(H768&lt;&gt;"",AD768&lt;&gt;"",TODAY()&gt;AD768),"تاخیر",IF(L768&lt;&gt;"","در حال انجام",""))))))</f>
        <v/>
      </c>
      <c r="V768" s="7" t="n">
        <f aca="true">IF(U768="تاخیر",TODAY()-AD768,IF(AND(U768="بسته",AH768&lt;&gt;"",AD768&lt;&gt;"",AH768&gt;AD768),AH768-AD768,0))</f>
        <v>0</v>
      </c>
      <c r="W768" s="7" t="str">
        <f aca="false">IF(L768="","",VALUE(LEFT(L768,FIND("/",L768)-1)))</f>
        <v/>
      </c>
      <c r="X768" s="7" t="str">
        <f aca="false">IF(L768="","",VALUE(MID(L768,FIND("/",L768)+1,FIND("/",L768,FIND("/",L768)+1)-FIND("/",L768)-1)))</f>
        <v/>
      </c>
      <c r="Y768" s="7" t="str">
        <f aca="false">IF(L768="","",VALUE(MID(L768,FIND("/",L768,FIND("/",L768)+1)+1,LEN(L768)-FIND("/",L768,FIND("/",L768)+1))))</f>
        <v/>
      </c>
      <c r="Z768" s="7" t="str">
        <f aca="false">IF(OR(L768="",W768=""),"",IFERROR(INDEX('لیست‌ها'!$Q$3:$Q$53,MATCH(W768,'لیست‌ها'!$P$3:$P$53,0))+IF(X768&lt;=6,(X768-1)*31+Y768,IF(X768&lt;=11,186+(X768-7)*30+Y768,336+Y768))-1,""))</f>
        <v/>
      </c>
      <c r="AA768" s="7" t="str">
        <f aca="false">IF(H768="","",VALUE(LEFT(H768,FIND("/",H768)-1)))</f>
        <v/>
      </c>
      <c r="AB768" s="7" t="str">
        <f aca="false">IF(H768="","",VALUE(MID(H768,FIND("/",H768)+1,FIND("/",H768,FIND("/",H768)+1)-FIND("/",H768)-1)))</f>
        <v/>
      </c>
      <c r="AC768" s="7" t="str">
        <f aca="false">IF(H768="","",VALUE(MID(H768,FIND("/",H768,FIND("/",H768)+1)+1,LEN(H768)-FIND("/",H768,FIND("/",H768)+1))))</f>
        <v/>
      </c>
      <c r="AD768" s="7" t="str">
        <f aca="false">IF(OR(H768="",AA768=""),"",IFERROR(INDEX('لیست‌ها'!$Q$3:$Q$53,MATCH(AA768,'لیست‌ها'!$P$3:$P$53,0))+IF(AB768&lt;=6,(AB768-1)*31+AC768,IF(AB768&lt;=11,186+(AB768-7)*30+AC768,336+AC768))-1,""))</f>
        <v/>
      </c>
      <c r="AE768" s="7" t="str">
        <f aca="false">IF(P768="","",VALUE(LEFT(P768,FIND("/",P768)-1)))</f>
        <v/>
      </c>
      <c r="AF768" s="7" t="str">
        <f aca="false">IF(P768="","",VALUE(MID(P768,FIND("/",P768)+1,FIND("/",P768,FIND("/",P768)+1)-FIND("/",P768)-1)))</f>
        <v/>
      </c>
      <c r="AG768" s="7" t="str">
        <f aca="false">IF(P768="","",VALUE(MID(P768,FIND("/",P768,FIND("/",P768)+1)+1,LEN(P768)-FIND("/",P768,FIND("/",P768)+1))))</f>
        <v/>
      </c>
      <c r="AH768" s="7" t="str">
        <f aca="false">IF(OR(P768="",AE768=""),"",IFERROR(INDEX('لیست‌ها'!$Q$3:$Q$53,MATCH(AE768,'لیست‌ها'!$P$3:$P$53,0))+IF(AF768&lt;=6,(AF768-1)*31+AG768,IF(AF768&lt;=11,186+(AF768-7)*30+AG768,336+AG768))-1,""))</f>
        <v/>
      </c>
      <c r="AI768" s="7" t="str">
        <f aca="false">IF(W768="","",W768&amp;"-"&amp;TEXT(X768,"00"))</f>
        <v/>
      </c>
      <c r="AJ768" s="7" t="str">
        <f aca="false">IF(W768="","",W768*12+X768)</f>
        <v/>
      </c>
      <c r="AK768" s="7" t="str">
        <f aca="false">IF(U768="تاخیر",V768+ROW()/100000,"")</f>
        <v/>
      </c>
    </row>
    <row r="769" customFormat="false" ht="15" hidden="false" customHeight="false" outlineLevel="0" collapsed="false">
      <c r="A769" s="7" t="str">
        <f aca="false">IF(B769="","",ROW()-3)</f>
        <v/>
      </c>
      <c r="B769" s="8"/>
      <c r="C769" s="8"/>
      <c r="D769" s="8"/>
      <c r="E769" s="9"/>
      <c r="F769" s="9"/>
      <c r="G769" s="8"/>
      <c r="H769" s="8"/>
      <c r="I769" s="8"/>
      <c r="J769" s="9"/>
      <c r="K769" s="8"/>
      <c r="L769" s="8"/>
      <c r="M769" s="8"/>
      <c r="N769" s="8"/>
      <c r="O769" s="8"/>
      <c r="P769" s="8"/>
      <c r="Q769" s="8"/>
      <c r="R769" s="9"/>
      <c r="S769" s="8"/>
      <c r="T769" s="9"/>
      <c r="U769" s="10" t="str">
        <f aca="true">IF(B769="","",IF(OR(P769&lt;&gt;"",I769="می‌باشد"),"بسته",IF(AND(L769&lt;&gt;"",W769=""),"خطای فرمت تاریخ ایجاد",IF(AND(H769&lt;&gt;"",AA769=""),"خطای فرمت مهلت",IF(AND(H769&lt;&gt;"",AD769&lt;&gt;"",TODAY()&gt;AD769),"تاخیر",IF(L769&lt;&gt;"","در حال انجام",""))))))</f>
        <v/>
      </c>
      <c r="V769" s="7" t="n">
        <f aca="true">IF(U769="تاخیر",TODAY()-AD769,IF(AND(U769="بسته",AH769&lt;&gt;"",AD769&lt;&gt;"",AH769&gt;AD769),AH769-AD769,0))</f>
        <v>0</v>
      </c>
      <c r="W769" s="7" t="str">
        <f aca="false">IF(L769="","",VALUE(LEFT(L769,FIND("/",L769)-1)))</f>
        <v/>
      </c>
      <c r="X769" s="7" t="str">
        <f aca="false">IF(L769="","",VALUE(MID(L769,FIND("/",L769)+1,FIND("/",L769,FIND("/",L769)+1)-FIND("/",L769)-1)))</f>
        <v/>
      </c>
      <c r="Y769" s="7" t="str">
        <f aca="false">IF(L769="","",VALUE(MID(L769,FIND("/",L769,FIND("/",L769)+1)+1,LEN(L769)-FIND("/",L769,FIND("/",L769)+1))))</f>
        <v/>
      </c>
      <c r="Z769" s="7" t="str">
        <f aca="false">IF(OR(L769="",W769=""),"",IFERROR(INDEX('لیست‌ها'!$Q$3:$Q$53,MATCH(W769,'لیست‌ها'!$P$3:$P$53,0))+IF(X769&lt;=6,(X769-1)*31+Y769,IF(X769&lt;=11,186+(X769-7)*30+Y769,336+Y769))-1,""))</f>
        <v/>
      </c>
      <c r="AA769" s="7" t="str">
        <f aca="false">IF(H769="","",VALUE(LEFT(H769,FIND("/",H769)-1)))</f>
        <v/>
      </c>
      <c r="AB769" s="7" t="str">
        <f aca="false">IF(H769="","",VALUE(MID(H769,FIND("/",H769)+1,FIND("/",H769,FIND("/",H769)+1)-FIND("/",H769)-1)))</f>
        <v/>
      </c>
      <c r="AC769" s="7" t="str">
        <f aca="false">IF(H769="","",VALUE(MID(H769,FIND("/",H769,FIND("/",H769)+1)+1,LEN(H769)-FIND("/",H769,FIND("/",H769)+1))))</f>
        <v/>
      </c>
      <c r="AD769" s="7" t="str">
        <f aca="false">IF(OR(H769="",AA769=""),"",IFERROR(INDEX('لیست‌ها'!$Q$3:$Q$53,MATCH(AA769,'لیست‌ها'!$P$3:$P$53,0))+IF(AB769&lt;=6,(AB769-1)*31+AC769,IF(AB769&lt;=11,186+(AB769-7)*30+AC769,336+AC769))-1,""))</f>
        <v/>
      </c>
      <c r="AE769" s="7" t="str">
        <f aca="false">IF(P769="","",VALUE(LEFT(P769,FIND("/",P769)-1)))</f>
        <v/>
      </c>
      <c r="AF769" s="7" t="str">
        <f aca="false">IF(P769="","",VALUE(MID(P769,FIND("/",P769)+1,FIND("/",P769,FIND("/",P769)+1)-FIND("/",P769)-1)))</f>
        <v/>
      </c>
      <c r="AG769" s="7" t="str">
        <f aca="false">IF(P769="","",VALUE(MID(P769,FIND("/",P769,FIND("/",P769)+1)+1,LEN(P769)-FIND("/",P769,FIND("/",P769)+1))))</f>
        <v/>
      </c>
      <c r="AH769" s="7" t="str">
        <f aca="false">IF(OR(P769="",AE769=""),"",IFERROR(INDEX('لیست‌ها'!$Q$3:$Q$53,MATCH(AE769,'لیست‌ها'!$P$3:$P$53,0))+IF(AF769&lt;=6,(AF769-1)*31+AG769,IF(AF769&lt;=11,186+(AF769-7)*30+AG769,336+AG769))-1,""))</f>
        <v/>
      </c>
      <c r="AI769" s="7" t="str">
        <f aca="false">IF(W769="","",W769&amp;"-"&amp;TEXT(X769,"00"))</f>
        <v/>
      </c>
      <c r="AJ769" s="7" t="str">
        <f aca="false">IF(W769="","",W769*12+X769)</f>
        <v/>
      </c>
      <c r="AK769" s="7" t="str">
        <f aca="false">IF(U769="تاخیر",V769+ROW()/100000,"")</f>
        <v/>
      </c>
    </row>
    <row r="770" customFormat="false" ht="15" hidden="false" customHeight="false" outlineLevel="0" collapsed="false">
      <c r="A770" s="7" t="str">
        <f aca="false">IF(B770="","",ROW()-3)</f>
        <v/>
      </c>
      <c r="B770" s="8"/>
      <c r="C770" s="8"/>
      <c r="D770" s="8"/>
      <c r="E770" s="9"/>
      <c r="F770" s="9"/>
      <c r="G770" s="8"/>
      <c r="H770" s="8"/>
      <c r="I770" s="8"/>
      <c r="J770" s="9"/>
      <c r="K770" s="8"/>
      <c r="L770" s="8"/>
      <c r="M770" s="8"/>
      <c r="N770" s="8"/>
      <c r="O770" s="8"/>
      <c r="P770" s="8"/>
      <c r="Q770" s="8"/>
      <c r="R770" s="9"/>
      <c r="S770" s="8"/>
      <c r="T770" s="9"/>
      <c r="U770" s="10" t="str">
        <f aca="true">IF(B770="","",IF(OR(P770&lt;&gt;"",I770="می‌باشد"),"بسته",IF(AND(L770&lt;&gt;"",W770=""),"خطای فرمت تاریخ ایجاد",IF(AND(H770&lt;&gt;"",AA770=""),"خطای فرمت مهلت",IF(AND(H770&lt;&gt;"",AD770&lt;&gt;"",TODAY()&gt;AD770),"تاخیر",IF(L770&lt;&gt;"","در حال انجام",""))))))</f>
        <v/>
      </c>
      <c r="V770" s="7" t="n">
        <f aca="true">IF(U770="تاخیر",TODAY()-AD770,IF(AND(U770="بسته",AH770&lt;&gt;"",AD770&lt;&gt;"",AH770&gt;AD770),AH770-AD770,0))</f>
        <v>0</v>
      </c>
      <c r="W770" s="7" t="str">
        <f aca="false">IF(L770="","",VALUE(LEFT(L770,FIND("/",L770)-1)))</f>
        <v/>
      </c>
      <c r="X770" s="7" t="str">
        <f aca="false">IF(L770="","",VALUE(MID(L770,FIND("/",L770)+1,FIND("/",L770,FIND("/",L770)+1)-FIND("/",L770)-1)))</f>
        <v/>
      </c>
      <c r="Y770" s="7" t="str">
        <f aca="false">IF(L770="","",VALUE(MID(L770,FIND("/",L770,FIND("/",L770)+1)+1,LEN(L770)-FIND("/",L770,FIND("/",L770)+1))))</f>
        <v/>
      </c>
      <c r="Z770" s="7" t="str">
        <f aca="false">IF(OR(L770="",W770=""),"",IFERROR(INDEX('لیست‌ها'!$Q$3:$Q$53,MATCH(W770,'لیست‌ها'!$P$3:$P$53,0))+IF(X770&lt;=6,(X770-1)*31+Y770,IF(X770&lt;=11,186+(X770-7)*30+Y770,336+Y770))-1,""))</f>
        <v/>
      </c>
      <c r="AA770" s="7" t="str">
        <f aca="false">IF(H770="","",VALUE(LEFT(H770,FIND("/",H770)-1)))</f>
        <v/>
      </c>
      <c r="AB770" s="7" t="str">
        <f aca="false">IF(H770="","",VALUE(MID(H770,FIND("/",H770)+1,FIND("/",H770,FIND("/",H770)+1)-FIND("/",H770)-1)))</f>
        <v/>
      </c>
      <c r="AC770" s="7" t="str">
        <f aca="false">IF(H770="","",VALUE(MID(H770,FIND("/",H770,FIND("/",H770)+1)+1,LEN(H770)-FIND("/",H770,FIND("/",H770)+1))))</f>
        <v/>
      </c>
      <c r="AD770" s="7" t="str">
        <f aca="false">IF(OR(H770="",AA770=""),"",IFERROR(INDEX('لیست‌ها'!$Q$3:$Q$53,MATCH(AA770,'لیست‌ها'!$P$3:$P$53,0))+IF(AB770&lt;=6,(AB770-1)*31+AC770,IF(AB770&lt;=11,186+(AB770-7)*30+AC770,336+AC770))-1,""))</f>
        <v/>
      </c>
      <c r="AE770" s="7" t="str">
        <f aca="false">IF(P770="","",VALUE(LEFT(P770,FIND("/",P770)-1)))</f>
        <v/>
      </c>
      <c r="AF770" s="7" t="str">
        <f aca="false">IF(P770="","",VALUE(MID(P770,FIND("/",P770)+1,FIND("/",P770,FIND("/",P770)+1)-FIND("/",P770)-1)))</f>
        <v/>
      </c>
      <c r="AG770" s="7" t="str">
        <f aca="false">IF(P770="","",VALUE(MID(P770,FIND("/",P770,FIND("/",P770)+1)+1,LEN(P770)-FIND("/",P770,FIND("/",P770)+1))))</f>
        <v/>
      </c>
      <c r="AH770" s="7" t="str">
        <f aca="false">IF(OR(P770="",AE770=""),"",IFERROR(INDEX('لیست‌ها'!$Q$3:$Q$53,MATCH(AE770,'لیست‌ها'!$P$3:$P$53,0))+IF(AF770&lt;=6,(AF770-1)*31+AG770,IF(AF770&lt;=11,186+(AF770-7)*30+AG770,336+AG770))-1,""))</f>
        <v/>
      </c>
      <c r="AI770" s="7" t="str">
        <f aca="false">IF(W770="","",W770&amp;"-"&amp;TEXT(X770,"00"))</f>
        <v/>
      </c>
      <c r="AJ770" s="7" t="str">
        <f aca="false">IF(W770="","",W770*12+X770)</f>
        <v/>
      </c>
      <c r="AK770" s="7" t="str">
        <f aca="false">IF(U770="تاخیر",V770+ROW()/100000,"")</f>
        <v/>
      </c>
    </row>
    <row r="771" customFormat="false" ht="15" hidden="false" customHeight="false" outlineLevel="0" collapsed="false">
      <c r="A771" s="7" t="str">
        <f aca="false">IF(B771="","",ROW()-3)</f>
        <v/>
      </c>
      <c r="B771" s="8"/>
      <c r="C771" s="8"/>
      <c r="D771" s="8"/>
      <c r="E771" s="9"/>
      <c r="F771" s="9"/>
      <c r="G771" s="8"/>
      <c r="H771" s="8"/>
      <c r="I771" s="8"/>
      <c r="J771" s="9"/>
      <c r="K771" s="8"/>
      <c r="L771" s="8"/>
      <c r="M771" s="8"/>
      <c r="N771" s="8"/>
      <c r="O771" s="8"/>
      <c r="P771" s="8"/>
      <c r="Q771" s="8"/>
      <c r="R771" s="9"/>
      <c r="S771" s="8"/>
      <c r="T771" s="9"/>
      <c r="U771" s="10" t="str">
        <f aca="true">IF(B771="","",IF(OR(P771&lt;&gt;"",I771="می‌باشد"),"بسته",IF(AND(L771&lt;&gt;"",W771=""),"خطای فرمت تاریخ ایجاد",IF(AND(H771&lt;&gt;"",AA771=""),"خطای فرمت مهلت",IF(AND(H771&lt;&gt;"",AD771&lt;&gt;"",TODAY()&gt;AD771),"تاخیر",IF(L771&lt;&gt;"","در حال انجام",""))))))</f>
        <v/>
      </c>
      <c r="V771" s="7" t="n">
        <f aca="true">IF(U771="تاخیر",TODAY()-AD771,IF(AND(U771="بسته",AH771&lt;&gt;"",AD771&lt;&gt;"",AH771&gt;AD771),AH771-AD771,0))</f>
        <v>0</v>
      </c>
      <c r="W771" s="7" t="str">
        <f aca="false">IF(L771="","",VALUE(LEFT(L771,FIND("/",L771)-1)))</f>
        <v/>
      </c>
      <c r="X771" s="7" t="str">
        <f aca="false">IF(L771="","",VALUE(MID(L771,FIND("/",L771)+1,FIND("/",L771,FIND("/",L771)+1)-FIND("/",L771)-1)))</f>
        <v/>
      </c>
      <c r="Y771" s="7" t="str">
        <f aca="false">IF(L771="","",VALUE(MID(L771,FIND("/",L771,FIND("/",L771)+1)+1,LEN(L771)-FIND("/",L771,FIND("/",L771)+1))))</f>
        <v/>
      </c>
      <c r="Z771" s="7" t="str">
        <f aca="false">IF(OR(L771="",W771=""),"",IFERROR(INDEX('لیست‌ها'!$Q$3:$Q$53,MATCH(W771,'لیست‌ها'!$P$3:$P$53,0))+IF(X771&lt;=6,(X771-1)*31+Y771,IF(X771&lt;=11,186+(X771-7)*30+Y771,336+Y771))-1,""))</f>
        <v/>
      </c>
      <c r="AA771" s="7" t="str">
        <f aca="false">IF(H771="","",VALUE(LEFT(H771,FIND("/",H771)-1)))</f>
        <v/>
      </c>
      <c r="AB771" s="7" t="str">
        <f aca="false">IF(H771="","",VALUE(MID(H771,FIND("/",H771)+1,FIND("/",H771,FIND("/",H771)+1)-FIND("/",H771)-1)))</f>
        <v/>
      </c>
      <c r="AC771" s="7" t="str">
        <f aca="false">IF(H771="","",VALUE(MID(H771,FIND("/",H771,FIND("/",H771)+1)+1,LEN(H771)-FIND("/",H771,FIND("/",H771)+1))))</f>
        <v/>
      </c>
      <c r="AD771" s="7" t="str">
        <f aca="false">IF(OR(H771="",AA771=""),"",IFERROR(INDEX('لیست‌ها'!$Q$3:$Q$53,MATCH(AA771,'لیست‌ها'!$P$3:$P$53,0))+IF(AB771&lt;=6,(AB771-1)*31+AC771,IF(AB771&lt;=11,186+(AB771-7)*30+AC771,336+AC771))-1,""))</f>
        <v/>
      </c>
      <c r="AE771" s="7" t="str">
        <f aca="false">IF(P771="","",VALUE(LEFT(P771,FIND("/",P771)-1)))</f>
        <v/>
      </c>
      <c r="AF771" s="7" t="str">
        <f aca="false">IF(P771="","",VALUE(MID(P771,FIND("/",P771)+1,FIND("/",P771,FIND("/",P771)+1)-FIND("/",P771)-1)))</f>
        <v/>
      </c>
      <c r="AG771" s="7" t="str">
        <f aca="false">IF(P771="","",VALUE(MID(P771,FIND("/",P771,FIND("/",P771)+1)+1,LEN(P771)-FIND("/",P771,FIND("/",P771)+1))))</f>
        <v/>
      </c>
      <c r="AH771" s="7" t="str">
        <f aca="false">IF(OR(P771="",AE771=""),"",IFERROR(INDEX('لیست‌ها'!$Q$3:$Q$53,MATCH(AE771,'لیست‌ها'!$P$3:$P$53,0))+IF(AF771&lt;=6,(AF771-1)*31+AG771,IF(AF771&lt;=11,186+(AF771-7)*30+AG771,336+AG771))-1,""))</f>
        <v/>
      </c>
      <c r="AI771" s="7" t="str">
        <f aca="false">IF(W771="","",W771&amp;"-"&amp;TEXT(X771,"00"))</f>
        <v/>
      </c>
      <c r="AJ771" s="7" t="str">
        <f aca="false">IF(W771="","",W771*12+X771)</f>
        <v/>
      </c>
      <c r="AK771" s="7" t="str">
        <f aca="false">IF(U771="تاخیر",V771+ROW()/100000,"")</f>
        <v/>
      </c>
    </row>
    <row r="772" customFormat="false" ht="15" hidden="false" customHeight="false" outlineLevel="0" collapsed="false">
      <c r="A772" s="7" t="str">
        <f aca="false">IF(B772="","",ROW()-3)</f>
        <v/>
      </c>
      <c r="B772" s="8"/>
      <c r="C772" s="8"/>
      <c r="D772" s="8"/>
      <c r="E772" s="9"/>
      <c r="F772" s="9"/>
      <c r="G772" s="8"/>
      <c r="H772" s="8"/>
      <c r="I772" s="8"/>
      <c r="J772" s="9"/>
      <c r="K772" s="8"/>
      <c r="L772" s="8"/>
      <c r="M772" s="8"/>
      <c r="N772" s="8"/>
      <c r="O772" s="8"/>
      <c r="P772" s="8"/>
      <c r="Q772" s="8"/>
      <c r="R772" s="9"/>
      <c r="S772" s="8"/>
      <c r="T772" s="9"/>
      <c r="U772" s="10" t="str">
        <f aca="true">IF(B772="","",IF(OR(P772&lt;&gt;"",I772="می‌باشد"),"بسته",IF(AND(L772&lt;&gt;"",W772=""),"خطای فرمت تاریخ ایجاد",IF(AND(H772&lt;&gt;"",AA772=""),"خطای فرمت مهلت",IF(AND(H772&lt;&gt;"",AD772&lt;&gt;"",TODAY()&gt;AD772),"تاخیر",IF(L772&lt;&gt;"","در حال انجام",""))))))</f>
        <v/>
      </c>
      <c r="V772" s="7" t="n">
        <f aca="true">IF(U772="تاخیر",TODAY()-AD772,IF(AND(U772="بسته",AH772&lt;&gt;"",AD772&lt;&gt;"",AH772&gt;AD772),AH772-AD772,0))</f>
        <v>0</v>
      </c>
      <c r="W772" s="7" t="str">
        <f aca="false">IF(L772="","",VALUE(LEFT(L772,FIND("/",L772)-1)))</f>
        <v/>
      </c>
      <c r="X772" s="7" t="str">
        <f aca="false">IF(L772="","",VALUE(MID(L772,FIND("/",L772)+1,FIND("/",L772,FIND("/",L772)+1)-FIND("/",L772)-1)))</f>
        <v/>
      </c>
      <c r="Y772" s="7" t="str">
        <f aca="false">IF(L772="","",VALUE(MID(L772,FIND("/",L772,FIND("/",L772)+1)+1,LEN(L772)-FIND("/",L772,FIND("/",L772)+1))))</f>
        <v/>
      </c>
      <c r="Z772" s="7" t="str">
        <f aca="false">IF(OR(L772="",W772=""),"",IFERROR(INDEX('لیست‌ها'!$Q$3:$Q$53,MATCH(W772,'لیست‌ها'!$P$3:$P$53,0))+IF(X772&lt;=6,(X772-1)*31+Y772,IF(X772&lt;=11,186+(X772-7)*30+Y772,336+Y772))-1,""))</f>
        <v/>
      </c>
      <c r="AA772" s="7" t="str">
        <f aca="false">IF(H772="","",VALUE(LEFT(H772,FIND("/",H772)-1)))</f>
        <v/>
      </c>
      <c r="AB772" s="7" t="str">
        <f aca="false">IF(H772="","",VALUE(MID(H772,FIND("/",H772)+1,FIND("/",H772,FIND("/",H772)+1)-FIND("/",H772)-1)))</f>
        <v/>
      </c>
      <c r="AC772" s="7" t="str">
        <f aca="false">IF(H772="","",VALUE(MID(H772,FIND("/",H772,FIND("/",H772)+1)+1,LEN(H772)-FIND("/",H772,FIND("/",H772)+1))))</f>
        <v/>
      </c>
      <c r="AD772" s="7" t="str">
        <f aca="false">IF(OR(H772="",AA772=""),"",IFERROR(INDEX('لیست‌ها'!$Q$3:$Q$53,MATCH(AA772,'لیست‌ها'!$P$3:$P$53,0))+IF(AB772&lt;=6,(AB772-1)*31+AC772,IF(AB772&lt;=11,186+(AB772-7)*30+AC772,336+AC772))-1,""))</f>
        <v/>
      </c>
      <c r="AE772" s="7" t="str">
        <f aca="false">IF(P772="","",VALUE(LEFT(P772,FIND("/",P772)-1)))</f>
        <v/>
      </c>
      <c r="AF772" s="7" t="str">
        <f aca="false">IF(P772="","",VALUE(MID(P772,FIND("/",P772)+1,FIND("/",P772,FIND("/",P772)+1)-FIND("/",P772)-1)))</f>
        <v/>
      </c>
      <c r="AG772" s="7" t="str">
        <f aca="false">IF(P772="","",VALUE(MID(P772,FIND("/",P772,FIND("/",P772)+1)+1,LEN(P772)-FIND("/",P772,FIND("/",P772)+1))))</f>
        <v/>
      </c>
      <c r="AH772" s="7" t="str">
        <f aca="false">IF(OR(P772="",AE772=""),"",IFERROR(INDEX('لیست‌ها'!$Q$3:$Q$53,MATCH(AE772,'لیست‌ها'!$P$3:$P$53,0))+IF(AF772&lt;=6,(AF772-1)*31+AG772,IF(AF772&lt;=11,186+(AF772-7)*30+AG772,336+AG772))-1,""))</f>
        <v/>
      </c>
      <c r="AI772" s="7" t="str">
        <f aca="false">IF(W772="","",W772&amp;"-"&amp;TEXT(X772,"00"))</f>
        <v/>
      </c>
      <c r="AJ772" s="7" t="str">
        <f aca="false">IF(W772="","",W772*12+X772)</f>
        <v/>
      </c>
      <c r="AK772" s="7" t="str">
        <f aca="false">IF(U772="تاخیر",V772+ROW()/100000,"")</f>
        <v/>
      </c>
    </row>
    <row r="773" customFormat="false" ht="15" hidden="false" customHeight="false" outlineLevel="0" collapsed="false">
      <c r="A773" s="7" t="str">
        <f aca="false">IF(B773="","",ROW()-3)</f>
        <v/>
      </c>
      <c r="B773" s="8"/>
      <c r="C773" s="8"/>
      <c r="D773" s="8"/>
      <c r="E773" s="9"/>
      <c r="F773" s="9"/>
      <c r="G773" s="8"/>
      <c r="H773" s="8"/>
      <c r="I773" s="8"/>
      <c r="J773" s="9"/>
      <c r="K773" s="8"/>
      <c r="L773" s="8"/>
      <c r="M773" s="8"/>
      <c r="N773" s="8"/>
      <c r="O773" s="8"/>
      <c r="P773" s="8"/>
      <c r="Q773" s="8"/>
      <c r="R773" s="9"/>
      <c r="S773" s="8"/>
      <c r="T773" s="9"/>
      <c r="U773" s="10" t="str">
        <f aca="true">IF(B773="","",IF(OR(P773&lt;&gt;"",I773="می‌باشد"),"بسته",IF(AND(L773&lt;&gt;"",W773=""),"خطای فرمت تاریخ ایجاد",IF(AND(H773&lt;&gt;"",AA773=""),"خطای فرمت مهلت",IF(AND(H773&lt;&gt;"",AD773&lt;&gt;"",TODAY()&gt;AD773),"تاخیر",IF(L773&lt;&gt;"","در حال انجام",""))))))</f>
        <v/>
      </c>
      <c r="V773" s="7" t="n">
        <f aca="true">IF(U773="تاخیر",TODAY()-AD773,IF(AND(U773="بسته",AH773&lt;&gt;"",AD773&lt;&gt;"",AH773&gt;AD773),AH773-AD773,0))</f>
        <v>0</v>
      </c>
      <c r="W773" s="7" t="str">
        <f aca="false">IF(L773="","",VALUE(LEFT(L773,FIND("/",L773)-1)))</f>
        <v/>
      </c>
      <c r="X773" s="7" t="str">
        <f aca="false">IF(L773="","",VALUE(MID(L773,FIND("/",L773)+1,FIND("/",L773,FIND("/",L773)+1)-FIND("/",L773)-1)))</f>
        <v/>
      </c>
      <c r="Y773" s="7" t="str">
        <f aca="false">IF(L773="","",VALUE(MID(L773,FIND("/",L773,FIND("/",L773)+1)+1,LEN(L773)-FIND("/",L773,FIND("/",L773)+1))))</f>
        <v/>
      </c>
      <c r="Z773" s="7" t="str">
        <f aca="false">IF(OR(L773="",W773=""),"",IFERROR(INDEX('لیست‌ها'!$Q$3:$Q$53,MATCH(W773,'لیست‌ها'!$P$3:$P$53,0))+IF(X773&lt;=6,(X773-1)*31+Y773,IF(X773&lt;=11,186+(X773-7)*30+Y773,336+Y773))-1,""))</f>
        <v/>
      </c>
      <c r="AA773" s="7" t="str">
        <f aca="false">IF(H773="","",VALUE(LEFT(H773,FIND("/",H773)-1)))</f>
        <v/>
      </c>
      <c r="AB773" s="7" t="str">
        <f aca="false">IF(H773="","",VALUE(MID(H773,FIND("/",H773)+1,FIND("/",H773,FIND("/",H773)+1)-FIND("/",H773)-1)))</f>
        <v/>
      </c>
      <c r="AC773" s="7" t="str">
        <f aca="false">IF(H773="","",VALUE(MID(H773,FIND("/",H773,FIND("/",H773)+1)+1,LEN(H773)-FIND("/",H773,FIND("/",H773)+1))))</f>
        <v/>
      </c>
      <c r="AD773" s="7" t="str">
        <f aca="false">IF(OR(H773="",AA773=""),"",IFERROR(INDEX('لیست‌ها'!$Q$3:$Q$53,MATCH(AA773,'لیست‌ها'!$P$3:$P$53,0))+IF(AB773&lt;=6,(AB773-1)*31+AC773,IF(AB773&lt;=11,186+(AB773-7)*30+AC773,336+AC773))-1,""))</f>
        <v/>
      </c>
      <c r="AE773" s="7" t="str">
        <f aca="false">IF(P773="","",VALUE(LEFT(P773,FIND("/",P773)-1)))</f>
        <v/>
      </c>
      <c r="AF773" s="7" t="str">
        <f aca="false">IF(P773="","",VALUE(MID(P773,FIND("/",P773)+1,FIND("/",P773,FIND("/",P773)+1)-FIND("/",P773)-1)))</f>
        <v/>
      </c>
      <c r="AG773" s="7" t="str">
        <f aca="false">IF(P773="","",VALUE(MID(P773,FIND("/",P773,FIND("/",P773)+1)+1,LEN(P773)-FIND("/",P773,FIND("/",P773)+1))))</f>
        <v/>
      </c>
      <c r="AH773" s="7" t="str">
        <f aca="false">IF(OR(P773="",AE773=""),"",IFERROR(INDEX('لیست‌ها'!$Q$3:$Q$53,MATCH(AE773,'لیست‌ها'!$P$3:$P$53,0))+IF(AF773&lt;=6,(AF773-1)*31+AG773,IF(AF773&lt;=11,186+(AF773-7)*30+AG773,336+AG773))-1,""))</f>
        <v/>
      </c>
      <c r="AI773" s="7" t="str">
        <f aca="false">IF(W773="","",W773&amp;"-"&amp;TEXT(X773,"00"))</f>
        <v/>
      </c>
      <c r="AJ773" s="7" t="str">
        <f aca="false">IF(W773="","",W773*12+X773)</f>
        <v/>
      </c>
      <c r="AK773" s="7" t="str">
        <f aca="false">IF(U773="تاخیر",V773+ROW()/100000,"")</f>
        <v/>
      </c>
    </row>
    <row r="774" customFormat="false" ht="15" hidden="false" customHeight="false" outlineLevel="0" collapsed="false">
      <c r="A774" s="7" t="str">
        <f aca="false">IF(B774="","",ROW()-3)</f>
        <v/>
      </c>
      <c r="B774" s="8"/>
      <c r="C774" s="8"/>
      <c r="D774" s="8"/>
      <c r="E774" s="9"/>
      <c r="F774" s="9"/>
      <c r="G774" s="8"/>
      <c r="H774" s="8"/>
      <c r="I774" s="8"/>
      <c r="J774" s="9"/>
      <c r="K774" s="8"/>
      <c r="L774" s="8"/>
      <c r="M774" s="8"/>
      <c r="N774" s="8"/>
      <c r="O774" s="8"/>
      <c r="P774" s="8"/>
      <c r="Q774" s="8"/>
      <c r="R774" s="9"/>
      <c r="S774" s="8"/>
      <c r="T774" s="9"/>
      <c r="U774" s="10" t="str">
        <f aca="true">IF(B774="","",IF(OR(P774&lt;&gt;"",I774="می‌باشد"),"بسته",IF(AND(L774&lt;&gt;"",W774=""),"خطای فرمت تاریخ ایجاد",IF(AND(H774&lt;&gt;"",AA774=""),"خطای فرمت مهلت",IF(AND(H774&lt;&gt;"",AD774&lt;&gt;"",TODAY()&gt;AD774),"تاخیر",IF(L774&lt;&gt;"","در حال انجام",""))))))</f>
        <v/>
      </c>
      <c r="V774" s="7" t="n">
        <f aca="true">IF(U774="تاخیر",TODAY()-AD774,IF(AND(U774="بسته",AH774&lt;&gt;"",AD774&lt;&gt;"",AH774&gt;AD774),AH774-AD774,0))</f>
        <v>0</v>
      </c>
      <c r="W774" s="7" t="str">
        <f aca="false">IF(L774="","",VALUE(LEFT(L774,FIND("/",L774)-1)))</f>
        <v/>
      </c>
      <c r="X774" s="7" t="str">
        <f aca="false">IF(L774="","",VALUE(MID(L774,FIND("/",L774)+1,FIND("/",L774,FIND("/",L774)+1)-FIND("/",L774)-1)))</f>
        <v/>
      </c>
      <c r="Y774" s="7" t="str">
        <f aca="false">IF(L774="","",VALUE(MID(L774,FIND("/",L774,FIND("/",L774)+1)+1,LEN(L774)-FIND("/",L774,FIND("/",L774)+1))))</f>
        <v/>
      </c>
      <c r="Z774" s="7" t="str">
        <f aca="false">IF(OR(L774="",W774=""),"",IFERROR(INDEX('لیست‌ها'!$Q$3:$Q$53,MATCH(W774,'لیست‌ها'!$P$3:$P$53,0))+IF(X774&lt;=6,(X774-1)*31+Y774,IF(X774&lt;=11,186+(X774-7)*30+Y774,336+Y774))-1,""))</f>
        <v/>
      </c>
      <c r="AA774" s="7" t="str">
        <f aca="false">IF(H774="","",VALUE(LEFT(H774,FIND("/",H774)-1)))</f>
        <v/>
      </c>
      <c r="AB774" s="7" t="str">
        <f aca="false">IF(H774="","",VALUE(MID(H774,FIND("/",H774)+1,FIND("/",H774,FIND("/",H774)+1)-FIND("/",H774)-1)))</f>
        <v/>
      </c>
      <c r="AC774" s="7" t="str">
        <f aca="false">IF(H774="","",VALUE(MID(H774,FIND("/",H774,FIND("/",H774)+1)+1,LEN(H774)-FIND("/",H774,FIND("/",H774)+1))))</f>
        <v/>
      </c>
      <c r="AD774" s="7" t="str">
        <f aca="false">IF(OR(H774="",AA774=""),"",IFERROR(INDEX('لیست‌ها'!$Q$3:$Q$53,MATCH(AA774,'لیست‌ها'!$P$3:$P$53,0))+IF(AB774&lt;=6,(AB774-1)*31+AC774,IF(AB774&lt;=11,186+(AB774-7)*30+AC774,336+AC774))-1,""))</f>
        <v/>
      </c>
      <c r="AE774" s="7" t="str">
        <f aca="false">IF(P774="","",VALUE(LEFT(P774,FIND("/",P774)-1)))</f>
        <v/>
      </c>
      <c r="AF774" s="7" t="str">
        <f aca="false">IF(P774="","",VALUE(MID(P774,FIND("/",P774)+1,FIND("/",P774,FIND("/",P774)+1)-FIND("/",P774)-1)))</f>
        <v/>
      </c>
      <c r="AG774" s="7" t="str">
        <f aca="false">IF(P774="","",VALUE(MID(P774,FIND("/",P774,FIND("/",P774)+1)+1,LEN(P774)-FIND("/",P774,FIND("/",P774)+1))))</f>
        <v/>
      </c>
      <c r="AH774" s="7" t="str">
        <f aca="false">IF(OR(P774="",AE774=""),"",IFERROR(INDEX('لیست‌ها'!$Q$3:$Q$53,MATCH(AE774,'لیست‌ها'!$P$3:$P$53,0))+IF(AF774&lt;=6,(AF774-1)*31+AG774,IF(AF774&lt;=11,186+(AF774-7)*30+AG774,336+AG774))-1,""))</f>
        <v/>
      </c>
      <c r="AI774" s="7" t="str">
        <f aca="false">IF(W774="","",W774&amp;"-"&amp;TEXT(X774,"00"))</f>
        <v/>
      </c>
      <c r="AJ774" s="7" t="str">
        <f aca="false">IF(W774="","",W774*12+X774)</f>
        <v/>
      </c>
      <c r="AK774" s="7" t="str">
        <f aca="false">IF(U774="تاخیر",V774+ROW()/100000,"")</f>
        <v/>
      </c>
    </row>
    <row r="775" customFormat="false" ht="15" hidden="false" customHeight="false" outlineLevel="0" collapsed="false">
      <c r="A775" s="7" t="str">
        <f aca="false">IF(B775="","",ROW()-3)</f>
        <v/>
      </c>
      <c r="B775" s="8"/>
      <c r="C775" s="8"/>
      <c r="D775" s="8"/>
      <c r="E775" s="9"/>
      <c r="F775" s="9"/>
      <c r="G775" s="8"/>
      <c r="H775" s="8"/>
      <c r="I775" s="8"/>
      <c r="J775" s="9"/>
      <c r="K775" s="8"/>
      <c r="L775" s="8"/>
      <c r="M775" s="8"/>
      <c r="N775" s="8"/>
      <c r="O775" s="8"/>
      <c r="P775" s="8"/>
      <c r="Q775" s="8"/>
      <c r="R775" s="9"/>
      <c r="S775" s="8"/>
      <c r="T775" s="9"/>
      <c r="U775" s="10" t="str">
        <f aca="true">IF(B775="","",IF(OR(P775&lt;&gt;"",I775="می‌باشد"),"بسته",IF(AND(L775&lt;&gt;"",W775=""),"خطای فرمت تاریخ ایجاد",IF(AND(H775&lt;&gt;"",AA775=""),"خطای فرمت مهلت",IF(AND(H775&lt;&gt;"",AD775&lt;&gt;"",TODAY()&gt;AD775),"تاخیر",IF(L775&lt;&gt;"","در حال انجام",""))))))</f>
        <v/>
      </c>
      <c r="V775" s="7" t="n">
        <f aca="true">IF(U775="تاخیر",TODAY()-AD775,IF(AND(U775="بسته",AH775&lt;&gt;"",AD775&lt;&gt;"",AH775&gt;AD775),AH775-AD775,0))</f>
        <v>0</v>
      </c>
      <c r="W775" s="7" t="str">
        <f aca="false">IF(L775="","",VALUE(LEFT(L775,FIND("/",L775)-1)))</f>
        <v/>
      </c>
      <c r="X775" s="7" t="str">
        <f aca="false">IF(L775="","",VALUE(MID(L775,FIND("/",L775)+1,FIND("/",L775,FIND("/",L775)+1)-FIND("/",L775)-1)))</f>
        <v/>
      </c>
      <c r="Y775" s="7" t="str">
        <f aca="false">IF(L775="","",VALUE(MID(L775,FIND("/",L775,FIND("/",L775)+1)+1,LEN(L775)-FIND("/",L775,FIND("/",L775)+1))))</f>
        <v/>
      </c>
      <c r="Z775" s="7" t="str">
        <f aca="false">IF(OR(L775="",W775=""),"",IFERROR(INDEX('لیست‌ها'!$Q$3:$Q$53,MATCH(W775,'لیست‌ها'!$P$3:$P$53,0))+IF(X775&lt;=6,(X775-1)*31+Y775,IF(X775&lt;=11,186+(X775-7)*30+Y775,336+Y775))-1,""))</f>
        <v/>
      </c>
      <c r="AA775" s="7" t="str">
        <f aca="false">IF(H775="","",VALUE(LEFT(H775,FIND("/",H775)-1)))</f>
        <v/>
      </c>
      <c r="AB775" s="7" t="str">
        <f aca="false">IF(H775="","",VALUE(MID(H775,FIND("/",H775)+1,FIND("/",H775,FIND("/",H775)+1)-FIND("/",H775)-1)))</f>
        <v/>
      </c>
      <c r="AC775" s="7" t="str">
        <f aca="false">IF(H775="","",VALUE(MID(H775,FIND("/",H775,FIND("/",H775)+1)+1,LEN(H775)-FIND("/",H775,FIND("/",H775)+1))))</f>
        <v/>
      </c>
      <c r="AD775" s="7" t="str">
        <f aca="false">IF(OR(H775="",AA775=""),"",IFERROR(INDEX('لیست‌ها'!$Q$3:$Q$53,MATCH(AA775,'لیست‌ها'!$P$3:$P$53,0))+IF(AB775&lt;=6,(AB775-1)*31+AC775,IF(AB775&lt;=11,186+(AB775-7)*30+AC775,336+AC775))-1,""))</f>
        <v/>
      </c>
      <c r="AE775" s="7" t="str">
        <f aca="false">IF(P775="","",VALUE(LEFT(P775,FIND("/",P775)-1)))</f>
        <v/>
      </c>
      <c r="AF775" s="7" t="str">
        <f aca="false">IF(P775="","",VALUE(MID(P775,FIND("/",P775)+1,FIND("/",P775,FIND("/",P775)+1)-FIND("/",P775)-1)))</f>
        <v/>
      </c>
      <c r="AG775" s="7" t="str">
        <f aca="false">IF(P775="","",VALUE(MID(P775,FIND("/",P775,FIND("/",P775)+1)+1,LEN(P775)-FIND("/",P775,FIND("/",P775)+1))))</f>
        <v/>
      </c>
      <c r="AH775" s="7" t="str">
        <f aca="false">IF(OR(P775="",AE775=""),"",IFERROR(INDEX('لیست‌ها'!$Q$3:$Q$53,MATCH(AE775,'لیست‌ها'!$P$3:$P$53,0))+IF(AF775&lt;=6,(AF775-1)*31+AG775,IF(AF775&lt;=11,186+(AF775-7)*30+AG775,336+AG775))-1,""))</f>
        <v/>
      </c>
      <c r="AI775" s="7" t="str">
        <f aca="false">IF(W775="","",W775&amp;"-"&amp;TEXT(X775,"00"))</f>
        <v/>
      </c>
      <c r="AJ775" s="7" t="str">
        <f aca="false">IF(W775="","",W775*12+X775)</f>
        <v/>
      </c>
      <c r="AK775" s="7" t="str">
        <f aca="false">IF(U775="تاخیر",V775+ROW()/100000,"")</f>
        <v/>
      </c>
    </row>
    <row r="776" customFormat="false" ht="15" hidden="false" customHeight="false" outlineLevel="0" collapsed="false">
      <c r="A776" s="7" t="str">
        <f aca="false">IF(B776="","",ROW()-3)</f>
        <v/>
      </c>
      <c r="B776" s="8"/>
      <c r="C776" s="8"/>
      <c r="D776" s="8"/>
      <c r="E776" s="9"/>
      <c r="F776" s="9"/>
      <c r="G776" s="8"/>
      <c r="H776" s="8"/>
      <c r="I776" s="8"/>
      <c r="J776" s="9"/>
      <c r="K776" s="8"/>
      <c r="L776" s="8"/>
      <c r="M776" s="8"/>
      <c r="N776" s="8"/>
      <c r="O776" s="8"/>
      <c r="P776" s="8"/>
      <c r="Q776" s="8"/>
      <c r="R776" s="9"/>
      <c r="S776" s="8"/>
      <c r="T776" s="9"/>
      <c r="U776" s="10" t="str">
        <f aca="true">IF(B776="","",IF(OR(P776&lt;&gt;"",I776="می‌باشد"),"بسته",IF(AND(L776&lt;&gt;"",W776=""),"خطای فرمت تاریخ ایجاد",IF(AND(H776&lt;&gt;"",AA776=""),"خطای فرمت مهلت",IF(AND(H776&lt;&gt;"",AD776&lt;&gt;"",TODAY()&gt;AD776),"تاخیر",IF(L776&lt;&gt;"","در حال انجام",""))))))</f>
        <v/>
      </c>
      <c r="V776" s="7" t="n">
        <f aca="true">IF(U776="تاخیر",TODAY()-AD776,IF(AND(U776="بسته",AH776&lt;&gt;"",AD776&lt;&gt;"",AH776&gt;AD776),AH776-AD776,0))</f>
        <v>0</v>
      </c>
      <c r="W776" s="7" t="str">
        <f aca="false">IF(L776="","",VALUE(LEFT(L776,FIND("/",L776)-1)))</f>
        <v/>
      </c>
      <c r="X776" s="7" t="str">
        <f aca="false">IF(L776="","",VALUE(MID(L776,FIND("/",L776)+1,FIND("/",L776,FIND("/",L776)+1)-FIND("/",L776)-1)))</f>
        <v/>
      </c>
      <c r="Y776" s="7" t="str">
        <f aca="false">IF(L776="","",VALUE(MID(L776,FIND("/",L776,FIND("/",L776)+1)+1,LEN(L776)-FIND("/",L776,FIND("/",L776)+1))))</f>
        <v/>
      </c>
      <c r="Z776" s="7" t="str">
        <f aca="false">IF(OR(L776="",W776=""),"",IFERROR(INDEX('لیست‌ها'!$Q$3:$Q$53,MATCH(W776,'لیست‌ها'!$P$3:$P$53,0))+IF(X776&lt;=6,(X776-1)*31+Y776,IF(X776&lt;=11,186+(X776-7)*30+Y776,336+Y776))-1,""))</f>
        <v/>
      </c>
      <c r="AA776" s="7" t="str">
        <f aca="false">IF(H776="","",VALUE(LEFT(H776,FIND("/",H776)-1)))</f>
        <v/>
      </c>
      <c r="AB776" s="7" t="str">
        <f aca="false">IF(H776="","",VALUE(MID(H776,FIND("/",H776)+1,FIND("/",H776,FIND("/",H776)+1)-FIND("/",H776)-1)))</f>
        <v/>
      </c>
      <c r="AC776" s="7" t="str">
        <f aca="false">IF(H776="","",VALUE(MID(H776,FIND("/",H776,FIND("/",H776)+1)+1,LEN(H776)-FIND("/",H776,FIND("/",H776)+1))))</f>
        <v/>
      </c>
      <c r="AD776" s="7" t="str">
        <f aca="false">IF(OR(H776="",AA776=""),"",IFERROR(INDEX('لیست‌ها'!$Q$3:$Q$53,MATCH(AA776,'لیست‌ها'!$P$3:$P$53,0))+IF(AB776&lt;=6,(AB776-1)*31+AC776,IF(AB776&lt;=11,186+(AB776-7)*30+AC776,336+AC776))-1,""))</f>
        <v/>
      </c>
      <c r="AE776" s="7" t="str">
        <f aca="false">IF(P776="","",VALUE(LEFT(P776,FIND("/",P776)-1)))</f>
        <v/>
      </c>
      <c r="AF776" s="7" t="str">
        <f aca="false">IF(P776="","",VALUE(MID(P776,FIND("/",P776)+1,FIND("/",P776,FIND("/",P776)+1)-FIND("/",P776)-1)))</f>
        <v/>
      </c>
      <c r="AG776" s="7" t="str">
        <f aca="false">IF(P776="","",VALUE(MID(P776,FIND("/",P776,FIND("/",P776)+1)+1,LEN(P776)-FIND("/",P776,FIND("/",P776)+1))))</f>
        <v/>
      </c>
      <c r="AH776" s="7" t="str">
        <f aca="false">IF(OR(P776="",AE776=""),"",IFERROR(INDEX('لیست‌ها'!$Q$3:$Q$53,MATCH(AE776,'لیست‌ها'!$P$3:$P$53,0))+IF(AF776&lt;=6,(AF776-1)*31+AG776,IF(AF776&lt;=11,186+(AF776-7)*30+AG776,336+AG776))-1,""))</f>
        <v/>
      </c>
      <c r="AI776" s="7" t="str">
        <f aca="false">IF(W776="","",W776&amp;"-"&amp;TEXT(X776,"00"))</f>
        <v/>
      </c>
      <c r="AJ776" s="7" t="str">
        <f aca="false">IF(W776="","",W776*12+X776)</f>
        <v/>
      </c>
      <c r="AK776" s="7" t="str">
        <f aca="false">IF(U776="تاخیر",V776+ROW()/100000,"")</f>
        <v/>
      </c>
    </row>
    <row r="777" customFormat="false" ht="15" hidden="false" customHeight="false" outlineLevel="0" collapsed="false">
      <c r="A777" s="7" t="str">
        <f aca="false">IF(B777="","",ROW()-3)</f>
        <v/>
      </c>
      <c r="B777" s="8"/>
      <c r="C777" s="8"/>
      <c r="D777" s="8"/>
      <c r="E777" s="9"/>
      <c r="F777" s="9"/>
      <c r="G777" s="8"/>
      <c r="H777" s="8"/>
      <c r="I777" s="8"/>
      <c r="J777" s="9"/>
      <c r="K777" s="8"/>
      <c r="L777" s="8"/>
      <c r="M777" s="8"/>
      <c r="N777" s="8"/>
      <c r="O777" s="8"/>
      <c r="P777" s="8"/>
      <c r="Q777" s="8"/>
      <c r="R777" s="9"/>
      <c r="S777" s="8"/>
      <c r="T777" s="9"/>
      <c r="U777" s="10" t="str">
        <f aca="true">IF(B777="","",IF(OR(P777&lt;&gt;"",I777="می‌باشد"),"بسته",IF(AND(L777&lt;&gt;"",W777=""),"خطای فرمت تاریخ ایجاد",IF(AND(H777&lt;&gt;"",AA777=""),"خطای فرمت مهلت",IF(AND(H777&lt;&gt;"",AD777&lt;&gt;"",TODAY()&gt;AD777),"تاخیر",IF(L777&lt;&gt;"","در حال انجام",""))))))</f>
        <v/>
      </c>
      <c r="V777" s="7" t="n">
        <f aca="true">IF(U777="تاخیر",TODAY()-AD777,IF(AND(U777="بسته",AH777&lt;&gt;"",AD777&lt;&gt;"",AH777&gt;AD777),AH777-AD777,0))</f>
        <v>0</v>
      </c>
      <c r="W777" s="7" t="str">
        <f aca="false">IF(L777="","",VALUE(LEFT(L777,FIND("/",L777)-1)))</f>
        <v/>
      </c>
      <c r="X777" s="7" t="str">
        <f aca="false">IF(L777="","",VALUE(MID(L777,FIND("/",L777)+1,FIND("/",L777,FIND("/",L777)+1)-FIND("/",L777)-1)))</f>
        <v/>
      </c>
      <c r="Y777" s="7" t="str">
        <f aca="false">IF(L777="","",VALUE(MID(L777,FIND("/",L777,FIND("/",L777)+1)+1,LEN(L777)-FIND("/",L777,FIND("/",L777)+1))))</f>
        <v/>
      </c>
      <c r="Z777" s="7" t="str">
        <f aca="false">IF(OR(L777="",W777=""),"",IFERROR(INDEX('لیست‌ها'!$Q$3:$Q$53,MATCH(W777,'لیست‌ها'!$P$3:$P$53,0))+IF(X777&lt;=6,(X777-1)*31+Y777,IF(X777&lt;=11,186+(X777-7)*30+Y777,336+Y777))-1,""))</f>
        <v/>
      </c>
      <c r="AA777" s="7" t="str">
        <f aca="false">IF(H777="","",VALUE(LEFT(H777,FIND("/",H777)-1)))</f>
        <v/>
      </c>
      <c r="AB777" s="7" t="str">
        <f aca="false">IF(H777="","",VALUE(MID(H777,FIND("/",H777)+1,FIND("/",H777,FIND("/",H777)+1)-FIND("/",H777)-1)))</f>
        <v/>
      </c>
      <c r="AC777" s="7" t="str">
        <f aca="false">IF(H777="","",VALUE(MID(H777,FIND("/",H777,FIND("/",H777)+1)+1,LEN(H777)-FIND("/",H777,FIND("/",H777)+1))))</f>
        <v/>
      </c>
      <c r="AD777" s="7" t="str">
        <f aca="false">IF(OR(H777="",AA777=""),"",IFERROR(INDEX('لیست‌ها'!$Q$3:$Q$53,MATCH(AA777,'لیست‌ها'!$P$3:$P$53,0))+IF(AB777&lt;=6,(AB777-1)*31+AC777,IF(AB777&lt;=11,186+(AB777-7)*30+AC777,336+AC777))-1,""))</f>
        <v/>
      </c>
      <c r="AE777" s="7" t="str">
        <f aca="false">IF(P777="","",VALUE(LEFT(P777,FIND("/",P777)-1)))</f>
        <v/>
      </c>
      <c r="AF777" s="7" t="str">
        <f aca="false">IF(P777="","",VALUE(MID(P777,FIND("/",P777)+1,FIND("/",P777,FIND("/",P777)+1)-FIND("/",P777)-1)))</f>
        <v/>
      </c>
      <c r="AG777" s="7" t="str">
        <f aca="false">IF(P777="","",VALUE(MID(P777,FIND("/",P777,FIND("/",P777)+1)+1,LEN(P777)-FIND("/",P777,FIND("/",P777)+1))))</f>
        <v/>
      </c>
      <c r="AH777" s="7" t="str">
        <f aca="false">IF(OR(P777="",AE777=""),"",IFERROR(INDEX('لیست‌ها'!$Q$3:$Q$53,MATCH(AE777,'لیست‌ها'!$P$3:$P$53,0))+IF(AF777&lt;=6,(AF777-1)*31+AG777,IF(AF777&lt;=11,186+(AF777-7)*30+AG777,336+AG777))-1,""))</f>
        <v/>
      </c>
      <c r="AI777" s="7" t="str">
        <f aca="false">IF(W777="","",W777&amp;"-"&amp;TEXT(X777,"00"))</f>
        <v/>
      </c>
      <c r="AJ777" s="7" t="str">
        <f aca="false">IF(W777="","",W777*12+X777)</f>
        <v/>
      </c>
      <c r="AK777" s="7" t="str">
        <f aca="false">IF(U777="تاخیر",V777+ROW()/100000,"")</f>
        <v/>
      </c>
    </row>
    <row r="778" customFormat="false" ht="15" hidden="false" customHeight="false" outlineLevel="0" collapsed="false">
      <c r="A778" s="7" t="str">
        <f aca="false">IF(B778="","",ROW()-3)</f>
        <v/>
      </c>
      <c r="B778" s="8"/>
      <c r="C778" s="8"/>
      <c r="D778" s="8"/>
      <c r="E778" s="9"/>
      <c r="F778" s="9"/>
      <c r="G778" s="8"/>
      <c r="H778" s="8"/>
      <c r="I778" s="8"/>
      <c r="J778" s="9"/>
      <c r="K778" s="8"/>
      <c r="L778" s="8"/>
      <c r="M778" s="8"/>
      <c r="N778" s="8"/>
      <c r="O778" s="8"/>
      <c r="P778" s="8"/>
      <c r="Q778" s="8"/>
      <c r="R778" s="9"/>
      <c r="S778" s="8"/>
      <c r="T778" s="9"/>
      <c r="U778" s="10" t="str">
        <f aca="true">IF(B778="","",IF(OR(P778&lt;&gt;"",I778="می‌باشد"),"بسته",IF(AND(L778&lt;&gt;"",W778=""),"خطای فرمت تاریخ ایجاد",IF(AND(H778&lt;&gt;"",AA778=""),"خطای فرمت مهلت",IF(AND(H778&lt;&gt;"",AD778&lt;&gt;"",TODAY()&gt;AD778),"تاخیر",IF(L778&lt;&gt;"","در حال انجام",""))))))</f>
        <v/>
      </c>
      <c r="V778" s="7" t="n">
        <f aca="true">IF(U778="تاخیر",TODAY()-AD778,IF(AND(U778="بسته",AH778&lt;&gt;"",AD778&lt;&gt;"",AH778&gt;AD778),AH778-AD778,0))</f>
        <v>0</v>
      </c>
      <c r="W778" s="7" t="str">
        <f aca="false">IF(L778="","",VALUE(LEFT(L778,FIND("/",L778)-1)))</f>
        <v/>
      </c>
      <c r="X778" s="7" t="str">
        <f aca="false">IF(L778="","",VALUE(MID(L778,FIND("/",L778)+1,FIND("/",L778,FIND("/",L778)+1)-FIND("/",L778)-1)))</f>
        <v/>
      </c>
      <c r="Y778" s="7" t="str">
        <f aca="false">IF(L778="","",VALUE(MID(L778,FIND("/",L778,FIND("/",L778)+1)+1,LEN(L778)-FIND("/",L778,FIND("/",L778)+1))))</f>
        <v/>
      </c>
      <c r="Z778" s="7" t="str">
        <f aca="false">IF(OR(L778="",W778=""),"",IFERROR(INDEX('لیست‌ها'!$Q$3:$Q$53,MATCH(W778,'لیست‌ها'!$P$3:$P$53,0))+IF(X778&lt;=6,(X778-1)*31+Y778,IF(X778&lt;=11,186+(X778-7)*30+Y778,336+Y778))-1,""))</f>
        <v/>
      </c>
      <c r="AA778" s="7" t="str">
        <f aca="false">IF(H778="","",VALUE(LEFT(H778,FIND("/",H778)-1)))</f>
        <v/>
      </c>
      <c r="AB778" s="7" t="str">
        <f aca="false">IF(H778="","",VALUE(MID(H778,FIND("/",H778)+1,FIND("/",H778,FIND("/",H778)+1)-FIND("/",H778)-1)))</f>
        <v/>
      </c>
      <c r="AC778" s="7" t="str">
        <f aca="false">IF(H778="","",VALUE(MID(H778,FIND("/",H778,FIND("/",H778)+1)+1,LEN(H778)-FIND("/",H778,FIND("/",H778)+1))))</f>
        <v/>
      </c>
      <c r="AD778" s="7" t="str">
        <f aca="false">IF(OR(H778="",AA778=""),"",IFERROR(INDEX('لیست‌ها'!$Q$3:$Q$53,MATCH(AA778,'لیست‌ها'!$P$3:$P$53,0))+IF(AB778&lt;=6,(AB778-1)*31+AC778,IF(AB778&lt;=11,186+(AB778-7)*30+AC778,336+AC778))-1,""))</f>
        <v/>
      </c>
      <c r="AE778" s="7" t="str">
        <f aca="false">IF(P778="","",VALUE(LEFT(P778,FIND("/",P778)-1)))</f>
        <v/>
      </c>
      <c r="AF778" s="7" t="str">
        <f aca="false">IF(P778="","",VALUE(MID(P778,FIND("/",P778)+1,FIND("/",P778,FIND("/",P778)+1)-FIND("/",P778)-1)))</f>
        <v/>
      </c>
      <c r="AG778" s="7" t="str">
        <f aca="false">IF(P778="","",VALUE(MID(P778,FIND("/",P778,FIND("/",P778)+1)+1,LEN(P778)-FIND("/",P778,FIND("/",P778)+1))))</f>
        <v/>
      </c>
      <c r="AH778" s="7" t="str">
        <f aca="false">IF(OR(P778="",AE778=""),"",IFERROR(INDEX('لیست‌ها'!$Q$3:$Q$53,MATCH(AE778,'لیست‌ها'!$P$3:$P$53,0))+IF(AF778&lt;=6,(AF778-1)*31+AG778,IF(AF778&lt;=11,186+(AF778-7)*30+AG778,336+AG778))-1,""))</f>
        <v/>
      </c>
      <c r="AI778" s="7" t="str">
        <f aca="false">IF(W778="","",W778&amp;"-"&amp;TEXT(X778,"00"))</f>
        <v/>
      </c>
      <c r="AJ778" s="7" t="str">
        <f aca="false">IF(W778="","",W778*12+X778)</f>
        <v/>
      </c>
      <c r="AK778" s="7" t="str">
        <f aca="false">IF(U778="تاخیر",V778+ROW()/100000,"")</f>
        <v/>
      </c>
    </row>
    <row r="779" customFormat="false" ht="15" hidden="false" customHeight="false" outlineLevel="0" collapsed="false">
      <c r="A779" s="7" t="str">
        <f aca="false">IF(B779="","",ROW()-3)</f>
        <v/>
      </c>
      <c r="B779" s="8"/>
      <c r="C779" s="8"/>
      <c r="D779" s="8"/>
      <c r="E779" s="9"/>
      <c r="F779" s="9"/>
      <c r="G779" s="8"/>
      <c r="H779" s="8"/>
      <c r="I779" s="8"/>
      <c r="J779" s="9"/>
      <c r="K779" s="8"/>
      <c r="L779" s="8"/>
      <c r="M779" s="8"/>
      <c r="N779" s="8"/>
      <c r="O779" s="8"/>
      <c r="P779" s="8"/>
      <c r="Q779" s="8"/>
      <c r="R779" s="9"/>
      <c r="S779" s="8"/>
      <c r="T779" s="9"/>
      <c r="U779" s="10" t="str">
        <f aca="true">IF(B779="","",IF(OR(P779&lt;&gt;"",I779="می‌باشد"),"بسته",IF(AND(L779&lt;&gt;"",W779=""),"خطای فرمت تاریخ ایجاد",IF(AND(H779&lt;&gt;"",AA779=""),"خطای فرمت مهلت",IF(AND(H779&lt;&gt;"",AD779&lt;&gt;"",TODAY()&gt;AD779),"تاخیر",IF(L779&lt;&gt;"","در حال انجام",""))))))</f>
        <v/>
      </c>
      <c r="V779" s="7" t="n">
        <f aca="true">IF(U779="تاخیر",TODAY()-AD779,IF(AND(U779="بسته",AH779&lt;&gt;"",AD779&lt;&gt;"",AH779&gt;AD779),AH779-AD779,0))</f>
        <v>0</v>
      </c>
      <c r="W779" s="7" t="str">
        <f aca="false">IF(L779="","",VALUE(LEFT(L779,FIND("/",L779)-1)))</f>
        <v/>
      </c>
      <c r="X779" s="7" t="str">
        <f aca="false">IF(L779="","",VALUE(MID(L779,FIND("/",L779)+1,FIND("/",L779,FIND("/",L779)+1)-FIND("/",L779)-1)))</f>
        <v/>
      </c>
      <c r="Y779" s="7" t="str">
        <f aca="false">IF(L779="","",VALUE(MID(L779,FIND("/",L779,FIND("/",L779)+1)+1,LEN(L779)-FIND("/",L779,FIND("/",L779)+1))))</f>
        <v/>
      </c>
      <c r="Z779" s="7" t="str">
        <f aca="false">IF(OR(L779="",W779=""),"",IFERROR(INDEX('لیست‌ها'!$Q$3:$Q$53,MATCH(W779,'لیست‌ها'!$P$3:$P$53,0))+IF(X779&lt;=6,(X779-1)*31+Y779,IF(X779&lt;=11,186+(X779-7)*30+Y779,336+Y779))-1,""))</f>
        <v/>
      </c>
      <c r="AA779" s="7" t="str">
        <f aca="false">IF(H779="","",VALUE(LEFT(H779,FIND("/",H779)-1)))</f>
        <v/>
      </c>
      <c r="AB779" s="7" t="str">
        <f aca="false">IF(H779="","",VALUE(MID(H779,FIND("/",H779)+1,FIND("/",H779,FIND("/",H779)+1)-FIND("/",H779)-1)))</f>
        <v/>
      </c>
      <c r="AC779" s="7" t="str">
        <f aca="false">IF(H779="","",VALUE(MID(H779,FIND("/",H779,FIND("/",H779)+1)+1,LEN(H779)-FIND("/",H779,FIND("/",H779)+1))))</f>
        <v/>
      </c>
      <c r="AD779" s="7" t="str">
        <f aca="false">IF(OR(H779="",AA779=""),"",IFERROR(INDEX('لیست‌ها'!$Q$3:$Q$53,MATCH(AA779,'لیست‌ها'!$P$3:$P$53,0))+IF(AB779&lt;=6,(AB779-1)*31+AC779,IF(AB779&lt;=11,186+(AB779-7)*30+AC779,336+AC779))-1,""))</f>
        <v/>
      </c>
      <c r="AE779" s="7" t="str">
        <f aca="false">IF(P779="","",VALUE(LEFT(P779,FIND("/",P779)-1)))</f>
        <v/>
      </c>
      <c r="AF779" s="7" t="str">
        <f aca="false">IF(P779="","",VALUE(MID(P779,FIND("/",P779)+1,FIND("/",P779,FIND("/",P779)+1)-FIND("/",P779)-1)))</f>
        <v/>
      </c>
      <c r="AG779" s="7" t="str">
        <f aca="false">IF(P779="","",VALUE(MID(P779,FIND("/",P779,FIND("/",P779)+1)+1,LEN(P779)-FIND("/",P779,FIND("/",P779)+1))))</f>
        <v/>
      </c>
      <c r="AH779" s="7" t="str">
        <f aca="false">IF(OR(P779="",AE779=""),"",IFERROR(INDEX('لیست‌ها'!$Q$3:$Q$53,MATCH(AE779,'لیست‌ها'!$P$3:$P$53,0))+IF(AF779&lt;=6,(AF779-1)*31+AG779,IF(AF779&lt;=11,186+(AF779-7)*30+AG779,336+AG779))-1,""))</f>
        <v/>
      </c>
      <c r="AI779" s="7" t="str">
        <f aca="false">IF(W779="","",W779&amp;"-"&amp;TEXT(X779,"00"))</f>
        <v/>
      </c>
      <c r="AJ779" s="7" t="str">
        <f aca="false">IF(W779="","",W779*12+X779)</f>
        <v/>
      </c>
      <c r="AK779" s="7" t="str">
        <f aca="false">IF(U779="تاخیر",V779+ROW()/100000,"")</f>
        <v/>
      </c>
    </row>
    <row r="780" customFormat="false" ht="15" hidden="false" customHeight="false" outlineLevel="0" collapsed="false">
      <c r="A780" s="7" t="str">
        <f aca="false">IF(B780="","",ROW()-3)</f>
        <v/>
      </c>
      <c r="B780" s="8"/>
      <c r="C780" s="8"/>
      <c r="D780" s="8"/>
      <c r="E780" s="9"/>
      <c r="F780" s="9"/>
      <c r="G780" s="8"/>
      <c r="H780" s="8"/>
      <c r="I780" s="8"/>
      <c r="J780" s="9"/>
      <c r="K780" s="8"/>
      <c r="L780" s="8"/>
      <c r="M780" s="8"/>
      <c r="N780" s="8"/>
      <c r="O780" s="8"/>
      <c r="P780" s="8"/>
      <c r="Q780" s="8"/>
      <c r="R780" s="9"/>
      <c r="S780" s="8"/>
      <c r="T780" s="9"/>
      <c r="U780" s="10" t="str">
        <f aca="true">IF(B780="","",IF(OR(P780&lt;&gt;"",I780="می‌باشد"),"بسته",IF(AND(L780&lt;&gt;"",W780=""),"خطای فرمت تاریخ ایجاد",IF(AND(H780&lt;&gt;"",AA780=""),"خطای فرمت مهلت",IF(AND(H780&lt;&gt;"",AD780&lt;&gt;"",TODAY()&gt;AD780),"تاخیر",IF(L780&lt;&gt;"","در حال انجام",""))))))</f>
        <v/>
      </c>
      <c r="V780" s="7" t="n">
        <f aca="true">IF(U780="تاخیر",TODAY()-AD780,IF(AND(U780="بسته",AH780&lt;&gt;"",AD780&lt;&gt;"",AH780&gt;AD780),AH780-AD780,0))</f>
        <v>0</v>
      </c>
      <c r="W780" s="7" t="str">
        <f aca="false">IF(L780="","",VALUE(LEFT(L780,FIND("/",L780)-1)))</f>
        <v/>
      </c>
      <c r="X780" s="7" t="str">
        <f aca="false">IF(L780="","",VALUE(MID(L780,FIND("/",L780)+1,FIND("/",L780,FIND("/",L780)+1)-FIND("/",L780)-1)))</f>
        <v/>
      </c>
      <c r="Y780" s="7" t="str">
        <f aca="false">IF(L780="","",VALUE(MID(L780,FIND("/",L780,FIND("/",L780)+1)+1,LEN(L780)-FIND("/",L780,FIND("/",L780)+1))))</f>
        <v/>
      </c>
      <c r="Z780" s="7" t="str">
        <f aca="false">IF(OR(L780="",W780=""),"",IFERROR(INDEX('لیست‌ها'!$Q$3:$Q$53,MATCH(W780,'لیست‌ها'!$P$3:$P$53,0))+IF(X780&lt;=6,(X780-1)*31+Y780,IF(X780&lt;=11,186+(X780-7)*30+Y780,336+Y780))-1,""))</f>
        <v/>
      </c>
      <c r="AA780" s="7" t="str">
        <f aca="false">IF(H780="","",VALUE(LEFT(H780,FIND("/",H780)-1)))</f>
        <v/>
      </c>
      <c r="AB780" s="7" t="str">
        <f aca="false">IF(H780="","",VALUE(MID(H780,FIND("/",H780)+1,FIND("/",H780,FIND("/",H780)+1)-FIND("/",H780)-1)))</f>
        <v/>
      </c>
      <c r="AC780" s="7" t="str">
        <f aca="false">IF(H780="","",VALUE(MID(H780,FIND("/",H780,FIND("/",H780)+1)+1,LEN(H780)-FIND("/",H780,FIND("/",H780)+1))))</f>
        <v/>
      </c>
      <c r="AD780" s="7" t="str">
        <f aca="false">IF(OR(H780="",AA780=""),"",IFERROR(INDEX('لیست‌ها'!$Q$3:$Q$53,MATCH(AA780,'لیست‌ها'!$P$3:$P$53,0))+IF(AB780&lt;=6,(AB780-1)*31+AC780,IF(AB780&lt;=11,186+(AB780-7)*30+AC780,336+AC780))-1,""))</f>
        <v/>
      </c>
      <c r="AE780" s="7" t="str">
        <f aca="false">IF(P780="","",VALUE(LEFT(P780,FIND("/",P780)-1)))</f>
        <v/>
      </c>
      <c r="AF780" s="7" t="str">
        <f aca="false">IF(P780="","",VALUE(MID(P780,FIND("/",P780)+1,FIND("/",P780,FIND("/",P780)+1)-FIND("/",P780)-1)))</f>
        <v/>
      </c>
      <c r="AG780" s="7" t="str">
        <f aca="false">IF(P780="","",VALUE(MID(P780,FIND("/",P780,FIND("/",P780)+1)+1,LEN(P780)-FIND("/",P780,FIND("/",P780)+1))))</f>
        <v/>
      </c>
      <c r="AH780" s="7" t="str">
        <f aca="false">IF(OR(P780="",AE780=""),"",IFERROR(INDEX('لیست‌ها'!$Q$3:$Q$53,MATCH(AE780,'لیست‌ها'!$P$3:$P$53,0))+IF(AF780&lt;=6,(AF780-1)*31+AG780,IF(AF780&lt;=11,186+(AF780-7)*30+AG780,336+AG780))-1,""))</f>
        <v/>
      </c>
      <c r="AI780" s="7" t="str">
        <f aca="false">IF(W780="","",W780&amp;"-"&amp;TEXT(X780,"00"))</f>
        <v/>
      </c>
      <c r="AJ780" s="7" t="str">
        <f aca="false">IF(W780="","",W780*12+X780)</f>
        <v/>
      </c>
      <c r="AK780" s="7" t="str">
        <f aca="false">IF(U780="تاخیر",V780+ROW()/100000,"")</f>
        <v/>
      </c>
    </row>
    <row r="781" customFormat="false" ht="15" hidden="false" customHeight="false" outlineLevel="0" collapsed="false">
      <c r="A781" s="7" t="str">
        <f aca="false">IF(B781="","",ROW()-3)</f>
        <v/>
      </c>
      <c r="B781" s="8"/>
      <c r="C781" s="8"/>
      <c r="D781" s="8"/>
      <c r="E781" s="9"/>
      <c r="F781" s="9"/>
      <c r="G781" s="8"/>
      <c r="H781" s="8"/>
      <c r="I781" s="8"/>
      <c r="J781" s="9"/>
      <c r="K781" s="8"/>
      <c r="L781" s="8"/>
      <c r="M781" s="8"/>
      <c r="N781" s="8"/>
      <c r="O781" s="8"/>
      <c r="P781" s="8"/>
      <c r="Q781" s="8"/>
      <c r="R781" s="9"/>
      <c r="S781" s="8"/>
      <c r="T781" s="9"/>
      <c r="U781" s="10" t="str">
        <f aca="true">IF(B781="","",IF(OR(P781&lt;&gt;"",I781="می‌باشد"),"بسته",IF(AND(L781&lt;&gt;"",W781=""),"خطای فرمت تاریخ ایجاد",IF(AND(H781&lt;&gt;"",AA781=""),"خطای فرمت مهلت",IF(AND(H781&lt;&gt;"",AD781&lt;&gt;"",TODAY()&gt;AD781),"تاخیر",IF(L781&lt;&gt;"","در حال انجام",""))))))</f>
        <v/>
      </c>
      <c r="V781" s="7" t="n">
        <f aca="true">IF(U781="تاخیر",TODAY()-AD781,IF(AND(U781="بسته",AH781&lt;&gt;"",AD781&lt;&gt;"",AH781&gt;AD781),AH781-AD781,0))</f>
        <v>0</v>
      </c>
      <c r="W781" s="7" t="str">
        <f aca="false">IF(L781="","",VALUE(LEFT(L781,FIND("/",L781)-1)))</f>
        <v/>
      </c>
      <c r="X781" s="7" t="str">
        <f aca="false">IF(L781="","",VALUE(MID(L781,FIND("/",L781)+1,FIND("/",L781,FIND("/",L781)+1)-FIND("/",L781)-1)))</f>
        <v/>
      </c>
      <c r="Y781" s="7" t="str">
        <f aca="false">IF(L781="","",VALUE(MID(L781,FIND("/",L781,FIND("/",L781)+1)+1,LEN(L781)-FIND("/",L781,FIND("/",L781)+1))))</f>
        <v/>
      </c>
      <c r="Z781" s="7" t="str">
        <f aca="false">IF(OR(L781="",W781=""),"",IFERROR(INDEX('لیست‌ها'!$Q$3:$Q$53,MATCH(W781,'لیست‌ها'!$P$3:$P$53,0))+IF(X781&lt;=6,(X781-1)*31+Y781,IF(X781&lt;=11,186+(X781-7)*30+Y781,336+Y781))-1,""))</f>
        <v/>
      </c>
      <c r="AA781" s="7" t="str">
        <f aca="false">IF(H781="","",VALUE(LEFT(H781,FIND("/",H781)-1)))</f>
        <v/>
      </c>
      <c r="AB781" s="7" t="str">
        <f aca="false">IF(H781="","",VALUE(MID(H781,FIND("/",H781)+1,FIND("/",H781,FIND("/",H781)+1)-FIND("/",H781)-1)))</f>
        <v/>
      </c>
      <c r="AC781" s="7" t="str">
        <f aca="false">IF(H781="","",VALUE(MID(H781,FIND("/",H781,FIND("/",H781)+1)+1,LEN(H781)-FIND("/",H781,FIND("/",H781)+1))))</f>
        <v/>
      </c>
      <c r="AD781" s="7" t="str">
        <f aca="false">IF(OR(H781="",AA781=""),"",IFERROR(INDEX('لیست‌ها'!$Q$3:$Q$53,MATCH(AA781,'لیست‌ها'!$P$3:$P$53,0))+IF(AB781&lt;=6,(AB781-1)*31+AC781,IF(AB781&lt;=11,186+(AB781-7)*30+AC781,336+AC781))-1,""))</f>
        <v/>
      </c>
      <c r="AE781" s="7" t="str">
        <f aca="false">IF(P781="","",VALUE(LEFT(P781,FIND("/",P781)-1)))</f>
        <v/>
      </c>
      <c r="AF781" s="7" t="str">
        <f aca="false">IF(P781="","",VALUE(MID(P781,FIND("/",P781)+1,FIND("/",P781,FIND("/",P781)+1)-FIND("/",P781)-1)))</f>
        <v/>
      </c>
      <c r="AG781" s="7" t="str">
        <f aca="false">IF(P781="","",VALUE(MID(P781,FIND("/",P781,FIND("/",P781)+1)+1,LEN(P781)-FIND("/",P781,FIND("/",P781)+1))))</f>
        <v/>
      </c>
      <c r="AH781" s="7" t="str">
        <f aca="false">IF(OR(P781="",AE781=""),"",IFERROR(INDEX('لیست‌ها'!$Q$3:$Q$53,MATCH(AE781,'لیست‌ها'!$P$3:$P$53,0))+IF(AF781&lt;=6,(AF781-1)*31+AG781,IF(AF781&lt;=11,186+(AF781-7)*30+AG781,336+AG781))-1,""))</f>
        <v/>
      </c>
      <c r="AI781" s="7" t="str">
        <f aca="false">IF(W781="","",W781&amp;"-"&amp;TEXT(X781,"00"))</f>
        <v/>
      </c>
      <c r="AJ781" s="7" t="str">
        <f aca="false">IF(W781="","",W781*12+X781)</f>
        <v/>
      </c>
      <c r="AK781" s="7" t="str">
        <f aca="false">IF(U781="تاخیر",V781+ROW()/100000,"")</f>
        <v/>
      </c>
    </row>
    <row r="782" customFormat="false" ht="15" hidden="false" customHeight="false" outlineLevel="0" collapsed="false">
      <c r="A782" s="7" t="str">
        <f aca="false">IF(B782="","",ROW()-3)</f>
        <v/>
      </c>
      <c r="B782" s="8"/>
      <c r="C782" s="8"/>
      <c r="D782" s="8"/>
      <c r="E782" s="9"/>
      <c r="F782" s="9"/>
      <c r="G782" s="8"/>
      <c r="H782" s="8"/>
      <c r="I782" s="8"/>
      <c r="J782" s="9"/>
      <c r="K782" s="8"/>
      <c r="L782" s="8"/>
      <c r="M782" s="8"/>
      <c r="N782" s="8"/>
      <c r="O782" s="8"/>
      <c r="P782" s="8"/>
      <c r="Q782" s="8"/>
      <c r="R782" s="9"/>
      <c r="S782" s="8"/>
      <c r="T782" s="9"/>
      <c r="U782" s="10" t="str">
        <f aca="true">IF(B782="","",IF(OR(P782&lt;&gt;"",I782="می‌باشد"),"بسته",IF(AND(L782&lt;&gt;"",W782=""),"خطای فرمت تاریخ ایجاد",IF(AND(H782&lt;&gt;"",AA782=""),"خطای فرمت مهلت",IF(AND(H782&lt;&gt;"",AD782&lt;&gt;"",TODAY()&gt;AD782),"تاخیر",IF(L782&lt;&gt;"","در حال انجام",""))))))</f>
        <v/>
      </c>
      <c r="V782" s="7" t="n">
        <f aca="true">IF(U782="تاخیر",TODAY()-AD782,IF(AND(U782="بسته",AH782&lt;&gt;"",AD782&lt;&gt;"",AH782&gt;AD782),AH782-AD782,0))</f>
        <v>0</v>
      </c>
      <c r="W782" s="7" t="str">
        <f aca="false">IF(L782="","",VALUE(LEFT(L782,FIND("/",L782)-1)))</f>
        <v/>
      </c>
      <c r="X782" s="7" t="str">
        <f aca="false">IF(L782="","",VALUE(MID(L782,FIND("/",L782)+1,FIND("/",L782,FIND("/",L782)+1)-FIND("/",L782)-1)))</f>
        <v/>
      </c>
      <c r="Y782" s="7" t="str">
        <f aca="false">IF(L782="","",VALUE(MID(L782,FIND("/",L782,FIND("/",L782)+1)+1,LEN(L782)-FIND("/",L782,FIND("/",L782)+1))))</f>
        <v/>
      </c>
      <c r="Z782" s="7" t="str">
        <f aca="false">IF(OR(L782="",W782=""),"",IFERROR(INDEX('لیست‌ها'!$Q$3:$Q$53,MATCH(W782,'لیست‌ها'!$P$3:$P$53,0))+IF(X782&lt;=6,(X782-1)*31+Y782,IF(X782&lt;=11,186+(X782-7)*30+Y782,336+Y782))-1,""))</f>
        <v/>
      </c>
      <c r="AA782" s="7" t="str">
        <f aca="false">IF(H782="","",VALUE(LEFT(H782,FIND("/",H782)-1)))</f>
        <v/>
      </c>
      <c r="AB782" s="7" t="str">
        <f aca="false">IF(H782="","",VALUE(MID(H782,FIND("/",H782)+1,FIND("/",H782,FIND("/",H782)+1)-FIND("/",H782)-1)))</f>
        <v/>
      </c>
      <c r="AC782" s="7" t="str">
        <f aca="false">IF(H782="","",VALUE(MID(H782,FIND("/",H782,FIND("/",H782)+1)+1,LEN(H782)-FIND("/",H782,FIND("/",H782)+1))))</f>
        <v/>
      </c>
      <c r="AD782" s="7" t="str">
        <f aca="false">IF(OR(H782="",AA782=""),"",IFERROR(INDEX('لیست‌ها'!$Q$3:$Q$53,MATCH(AA782,'لیست‌ها'!$P$3:$P$53,0))+IF(AB782&lt;=6,(AB782-1)*31+AC782,IF(AB782&lt;=11,186+(AB782-7)*30+AC782,336+AC782))-1,""))</f>
        <v/>
      </c>
      <c r="AE782" s="7" t="str">
        <f aca="false">IF(P782="","",VALUE(LEFT(P782,FIND("/",P782)-1)))</f>
        <v/>
      </c>
      <c r="AF782" s="7" t="str">
        <f aca="false">IF(P782="","",VALUE(MID(P782,FIND("/",P782)+1,FIND("/",P782,FIND("/",P782)+1)-FIND("/",P782)-1)))</f>
        <v/>
      </c>
      <c r="AG782" s="7" t="str">
        <f aca="false">IF(P782="","",VALUE(MID(P782,FIND("/",P782,FIND("/",P782)+1)+1,LEN(P782)-FIND("/",P782,FIND("/",P782)+1))))</f>
        <v/>
      </c>
      <c r="AH782" s="7" t="str">
        <f aca="false">IF(OR(P782="",AE782=""),"",IFERROR(INDEX('لیست‌ها'!$Q$3:$Q$53,MATCH(AE782,'لیست‌ها'!$P$3:$P$53,0))+IF(AF782&lt;=6,(AF782-1)*31+AG782,IF(AF782&lt;=11,186+(AF782-7)*30+AG782,336+AG782))-1,""))</f>
        <v/>
      </c>
      <c r="AI782" s="7" t="str">
        <f aca="false">IF(W782="","",W782&amp;"-"&amp;TEXT(X782,"00"))</f>
        <v/>
      </c>
      <c r="AJ782" s="7" t="str">
        <f aca="false">IF(W782="","",W782*12+X782)</f>
        <v/>
      </c>
      <c r="AK782" s="7" t="str">
        <f aca="false">IF(U782="تاخیر",V782+ROW()/100000,"")</f>
        <v/>
      </c>
    </row>
    <row r="783" customFormat="false" ht="15" hidden="false" customHeight="false" outlineLevel="0" collapsed="false">
      <c r="A783" s="7" t="str">
        <f aca="false">IF(B783="","",ROW()-3)</f>
        <v/>
      </c>
      <c r="B783" s="8"/>
      <c r="C783" s="8"/>
      <c r="D783" s="8"/>
      <c r="E783" s="9"/>
      <c r="F783" s="9"/>
      <c r="G783" s="8"/>
      <c r="H783" s="8"/>
      <c r="I783" s="8"/>
      <c r="J783" s="9"/>
      <c r="K783" s="8"/>
      <c r="L783" s="8"/>
      <c r="M783" s="8"/>
      <c r="N783" s="8"/>
      <c r="O783" s="8"/>
      <c r="P783" s="8"/>
      <c r="Q783" s="8"/>
      <c r="R783" s="9"/>
      <c r="S783" s="8"/>
      <c r="T783" s="9"/>
      <c r="U783" s="10" t="str">
        <f aca="true">IF(B783="","",IF(OR(P783&lt;&gt;"",I783="می‌باشد"),"بسته",IF(AND(L783&lt;&gt;"",W783=""),"خطای فرمت تاریخ ایجاد",IF(AND(H783&lt;&gt;"",AA783=""),"خطای فرمت مهلت",IF(AND(H783&lt;&gt;"",AD783&lt;&gt;"",TODAY()&gt;AD783),"تاخیر",IF(L783&lt;&gt;"","در حال انجام",""))))))</f>
        <v/>
      </c>
      <c r="V783" s="7" t="n">
        <f aca="true">IF(U783="تاخیر",TODAY()-AD783,IF(AND(U783="بسته",AH783&lt;&gt;"",AD783&lt;&gt;"",AH783&gt;AD783),AH783-AD783,0))</f>
        <v>0</v>
      </c>
      <c r="W783" s="7" t="str">
        <f aca="false">IF(L783="","",VALUE(LEFT(L783,FIND("/",L783)-1)))</f>
        <v/>
      </c>
      <c r="X783" s="7" t="str">
        <f aca="false">IF(L783="","",VALUE(MID(L783,FIND("/",L783)+1,FIND("/",L783,FIND("/",L783)+1)-FIND("/",L783)-1)))</f>
        <v/>
      </c>
      <c r="Y783" s="7" t="str">
        <f aca="false">IF(L783="","",VALUE(MID(L783,FIND("/",L783,FIND("/",L783)+1)+1,LEN(L783)-FIND("/",L783,FIND("/",L783)+1))))</f>
        <v/>
      </c>
      <c r="Z783" s="7" t="str">
        <f aca="false">IF(OR(L783="",W783=""),"",IFERROR(INDEX('لیست‌ها'!$Q$3:$Q$53,MATCH(W783,'لیست‌ها'!$P$3:$P$53,0))+IF(X783&lt;=6,(X783-1)*31+Y783,IF(X783&lt;=11,186+(X783-7)*30+Y783,336+Y783))-1,""))</f>
        <v/>
      </c>
      <c r="AA783" s="7" t="str">
        <f aca="false">IF(H783="","",VALUE(LEFT(H783,FIND("/",H783)-1)))</f>
        <v/>
      </c>
      <c r="AB783" s="7" t="str">
        <f aca="false">IF(H783="","",VALUE(MID(H783,FIND("/",H783)+1,FIND("/",H783,FIND("/",H783)+1)-FIND("/",H783)-1)))</f>
        <v/>
      </c>
      <c r="AC783" s="7" t="str">
        <f aca="false">IF(H783="","",VALUE(MID(H783,FIND("/",H783,FIND("/",H783)+1)+1,LEN(H783)-FIND("/",H783,FIND("/",H783)+1))))</f>
        <v/>
      </c>
      <c r="AD783" s="7" t="str">
        <f aca="false">IF(OR(H783="",AA783=""),"",IFERROR(INDEX('لیست‌ها'!$Q$3:$Q$53,MATCH(AA783,'لیست‌ها'!$P$3:$P$53,0))+IF(AB783&lt;=6,(AB783-1)*31+AC783,IF(AB783&lt;=11,186+(AB783-7)*30+AC783,336+AC783))-1,""))</f>
        <v/>
      </c>
      <c r="AE783" s="7" t="str">
        <f aca="false">IF(P783="","",VALUE(LEFT(P783,FIND("/",P783)-1)))</f>
        <v/>
      </c>
      <c r="AF783" s="7" t="str">
        <f aca="false">IF(P783="","",VALUE(MID(P783,FIND("/",P783)+1,FIND("/",P783,FIND("/",P783)+1)-FIND("/",P783)-1)))</f>
        <v/>
      </c>
      <c r="AG783" s="7" t="str">
        <f aca="false">IF(P783="","",VALUE(MID(P783,FIND("/",P783,FIND("/",P783)+1)+1,LEN(P783)-FIND("/",P783,FIND("/",P783)+1))))</f>
        <v/>
      </c>
      <c r="AH783" s="7" t="str">
        <f aca="false">IF(OR(P783="",AE783=""),"",IFERROR(INDEX('لیست‌ها'!$Q$3:$Q$53,MATCH(AE783,'لیست‌ها'!$P$3:$P$53,0))+IF(AF783&lt;=6,(AF783-1)*31+AG783,IF(AF783&lt;=11,186+(AF783-7)*30+AG783,336+AG783))-1,""))</f>
        <v/>
      </c>
      <c r="AI783" s="7" t="str">
        <f aca="false">IF(W783="","",W783&amp;"-"&amp;TEXT(X783,"00"))</f>
        <v/>
      </c>
      <c r="AJ783" s="7" t="str">
        <f aca="false">IF(W783="","",W783*12+X783)</f>
        <v/>
      </c>
      <c r="AK783" s="7" t="str">
        <f aca="false">IF(U783="تاخیر",V783+ROW()/100000,"")</f>
        <v/>
      </c>
    </row>
    <row r="784" customFormat="false" ht="15" hidden="false" customHeight="false" outlineLevel="0" collapsed="false">
      <c r="A784" s="7" t="str">
        <f aca="false">IF(B784="","",ROW()-3)</f>
        <v/>
      </c>
      <c r="B784" s="8"/>
      <c r="C784" s="8"/>
      <c r="D784" s="8"/>
      <c r="E784" s="9"/>
      <c r="F784" s="9"/>
      <c r="G784" s="8"/>
      <c r="H784" s="8"/>
      <c r="I784" s="8"/>
      <c r="J784" s="9"/>
      <c r="K784" s="8"/>
      <c r="L784" s="8"/>
      <c r="M784" s="8"/>
      <c r="N784" s="8"/>
      <c r="O784" s="8"/>
      <c r="P784" s="8"/>
      <c r="Q784" s="8"/>
      <c r="R784" s="9"/>
      <c r="S784" s="8"/>
      <c r="T784" s="9"/>
      <c r="U784" s="10" t="str">
        <f aca="true">IF(B784="","",IF(OR(P784&lt;&gt;"",I784="می‌باشد"),"بسته",IF(AND(L784&lt;&gt;"",W784=""),"خطای فرمت تاریخ ایجاد",IF(AND(H784&lt;&gt;"",AA784=""),"خطای فرمت مهلت",IF(AND(H784&lt;&gt;"",AD784&lt;&gt;"",TODAY()&gt;AD784),"تاخیر",IF(L784&lt;&gt;"","در حال انجام",""))))))</f>
        <v/>
      </c>
      <c r="V784" s="7" t="n">
        <f aca="true">IF(U784="تاخیر",TODAY()-AD784,IF(AND(U784="بسته",AH784&lt;&gt;"",AD784&lt;&gt;"",AH784&gt;AD784),AH784-AD784,0))</f>
        <v>0</v>
      </c>
      <c r="W784" s="7" t="str">
        <f aca="false">IF(L784="","",VALUE(LEFT(L784,FIND("/",L784)-1)))</f>
        <v/>
      </c>
      <c r="X784" s="7" t="str">
        <f aca="false">IF(L784="","",VALUE(MID(L784,FIND("/",L784)+1,FIND("/",L784,FIND("/",L784)+1)-FIND("/",L784)-1)))</f>
        <v/>
      </c>
      <c r="Y784" s="7" t="str">
        <f aca="false">IF(L784="","",VALUE(MID(L784,FIND("/",L784,FIND("/",L784)+1)+1,LEN(L784)-FIND("/",L784,FIND("/",L784)+1))))</f>
        <v/>
      </c>
      <c r="Z784" s="7" t="str">
        <f aca="false">IF(OR(L784="",W784=""),"",IFERROR(INDEX('لیست‌ها'!$Q$3:$Q$53,MATCH(W784,'لیست‌ها'!$P$3:$P$53,0))+IF(X784&lt;=6,(X784-1)*31+Y784,IF(X784&lt;=11,186+(X784-7)*30+Y784,336+Y784))-1,""))</f>
        <v/>
      </c>
      <c r="AA784" s="7" t="str">
        <f aca="false">IF(H784="","",VALUE(LEFT(H784,FIND("/",H784)-1)))</f>
        <v/>
      </c>
      <c r="AB784" s="7" t="str">
        <f aca="false">IF(H784="","",VALUE(MID(H784,FIND("/",H784)+1,FIND("/",H784,FIND("/",H784)+1)-FIND("/",H784)-1)))</f>
        <v/>
      </c>
      <c r="AC784" s="7" t="str">
        <f aca="false">IF(H784="","",VALUE(MID(H784,FIND("/",H784,FIND("/",H784)+1)+1,LEN(H784)-FIND("/",H784,FIND("/",H784)+1))))</f>
        <v/>
      </c>
      <c r="AD784" s="7" t="str">
        <f aca="false">IF(OR(H784="",AA784=""),"",IFERROR(INDEX('لیست‌ها'!$Q$3:$Q$53,MATCH(AA784,'لیست‌ها'!$P$3:$P$53,0))+IF(AB784&lt;=6,(AB784-1)*31+AC784,IF(AB784&lt;=11,186+(AB784-7)*30+AC784,336+AC784))-1,""))</f>
        <v/>
      </c>
      <c r="AE784" s="7" t="str">
        <f aca="false">IF(P784="","",VALUE(LEFT(P784,FIND("/",P784)-1)))</f>
        <v/>
      </c>
      <c r="AF784" s="7" t="str">
        <f aca="false">IF(P784="","",VALUE(MID(P784,FIND("/",P784)+1,FIND("/",P784,FIND("/",P784)+1)-FIND("/",P784)-1)))</f>
        <v/>
      </c>
      <c r="AG784" s="7" t="str">
        <f aca="false">IF(P784="","",VALUE(MID(P784,FIND("/",P784,FIND("/",P784)+1)+1,LEN(P784)-FIND("/",P784,FIND("/",P784)+1))))</f>
        <v/>
      </c>
      <c r="AH784" s="7" t="str">
        <f aca="false">IF(OR(P784="",AE784=""),"",IFERROR(INDEX('لیست‌ها'!$Q$3:$Q$53,MATCH(AE784,'لیست‌ها'!$P$3:$P$53,0))+IF(AF784&lt;=6,(AF784-1)*31+AG784,IF(AF784&lt;=11,186+(AF784-7)*30+AG784,336+AG784))-1,""))</f>
        <v/>
      </c>
      <c r="AI784" s="7" t="str">
        <f aca="false">IF(W784="","",W784&amp;"-"&amp;TEXT(X784,"00"))</f>
        <v/>
      </c>
      <c r="AJ784" s="7" t="str">
        <f aca="false">IF(W784="","",W784*12+X784)</f>
        <v/>
      </c>
      <c r="AK784" s="7" t="str">
        <f aca="false">IF(U784="تاخیر",V784+ROW()/100000,"")</f>
        <v/>
      </c>
    </row>
    <row r="785" customFormat="false" ht="15" hidden="false" customHeight="false" outlineLevel="0" collapsed="false">
      <c r="A785" s="7" t="str">
        <f aca="false">IF(B785="","",ROW()-3)</f>
        <v/>
      </c>
      <c r="B785" s="8"/>
      <c r="C785" s="8"/>
      <c r="D785" s="8"/>
      <c r="E785" s="9"/>
      <c r="F785" s="9"/>
      <c r="G785" s="8"/>
      <c r="H785" s="8"/>
      <c r="I785" s="8"/>
      <c r="J785" s="9"/>
      <c r="K785" s="8"/>
      <c r="L785" s="8"/>
      <c r="M785" s="8"/>
      <c r="N785" s="8"/>
      <c r="O785" s="8"/>
      <c r="P785" s="8"/>
      <c r="Q785" s="8"/>
      <c r="R785" s="9"/>
      <c r="S785" s="8"/>
      <c r="T785" s="9"/>
      <c r="U785" s="10" t="str">
        <f aca="true">IF(B785="","",IF(OR(P785&lt;&gt;"",I785="می‌باشد"),"بسته",IF(AND(L785&lt;&gt;"",W785=""),"خطای فرمت تاریخ ایجاد",IF(AND(H785&lt;&gt;"",AA785=""),"خطای فرمت مهلت",IF(AND(H785&lt;&gt;"",AD785&lt;&gt;"",TODAY()&gt;AD785),"تاخیر",IF(L785&lt;&gt;"","در حال انجام",""))))))</f>
        <v/>
      </c>
      <c r="V785" s="7" t="n">
        <f aca="true">IF(U785="تاخیر",TODAY()-AD785,IF(AND(U785="بسته",AH785&lt;&gt;"",AD785&lt;&gt;"",AH785&gt;AD785),AH785-AD785,0))</f>
        <v>0</v>
      </c>
      <c r="W785" s="7" t="str">
        <f aca="false">IF(L785="","",VALUE(LEFT(L785,FIND("/",L785)-1)))</f>
        <v/>
      </c>
      <c r="X785" s="7" t="str">
        <f aca="false">IF(L785="","",VALUE(MID(L785,FIND("/",L785)+1,FIND("/",L785,FIND("/",L785)+1)-FIND("/",L785)-1)))</f>
        <v/>
      </c>
      <c r="Y785" s="7" t="str">
        <f aca="false">IF(L785="","",VALUE(MID(L785,FIND("/",L785,FIND("/",L785)+1)+1,LEN(L785)-FIND("/",L785,FIND("/",L785)+1))))</f>
        <v/>
      </c>
      <c r="Z785" s="7" t="str">
        <f aca="false">IF(OR(L785="",W785=""),"",IFERROR(INDEX('لیست‌ها'!$Q$3:$Q$53,MATCH(W785,'لیست‌ها'!$P$3:$P$53,0))+IF(X785&lt;=6,(X785-1)*31+Y785,IF(X785&lt;=11,186+(X785-7)*30+Y785,336+Y785))-1,""))</f>
        <v/>
      </c>
      <c r="AA785" s="7" t="str">
        <f aca="false">IF(H785="","",VALUE(LEFT(H785,FIND("/",H785)-1)))</f>
        <v/>
      </c>
      <c r="AB785" s="7" t="str">
        <f aca="false">IF(H785="","",VALUE(MID(H785,FIND("/",H785)+1,FIND("/",H785,FIND("/",H785)+1)-FIND("/",H785)-1)))</f>
        <v/>
      </c>
      <c r="AC785" s="7" t="str">
        <f aca="false">IF(H785="","",VALUE(MID(H785,FIND("/",H785,FIND("/",H785)+1)+1,LEN(H785)-FIND("/",H785,FIND("/",H785)+1))))</f>
        <v/>
      </c>
      <c r="AD785" s="7" t="str">
        <f aca="false">IF(OR(H785="",AA785=""),"",IFERROR(INDEX('لیست‌ها'!$Q$3:$Q$53,MATCH(AA785,'لیست‌ها'!$P$3:$P$53,0))+IF(AB785&lt;=6,(AB785-1)*31+AC785,IF(AB785&lt;=11,186+(AB785-7)*30+AC785,336+AC785))-1,""))</f>
        <v/>
      </c>
      <c r="AE785" s="7" t="str">
        <f aca="false">IF(P785="","",VALUE(LEFT(P785,FIND("/",P785)-1)))</f>
        <v/>
      </c>
      <c r="AF785" s="7" t="str">
        <f aca="false">IF(P785="","",VALUE(MID(P785,FIND("/",P785)+1,FIND("/",P785,FIND("/",P785)+1)-FIND("/",P785)-1)))</f>
        <v/>
      </c>
      <c r="AG785" s="7" t="str">
        <f aca="false">IF(P785="","",VALUE(MID(P785,FIND("/",P785,FIND("/",P785)+1)+1,LEN(P785)-FIND("/",P785,FIND("/",P785)+1))))</f>
        <v/>
      </c>
      <c r="AH785" s="7" t="str">
        <f aca="false">IF(OR(P785="",AE785=""),"",IFERROR(INDEX('لیست‌ها'!$Q$3:$Q$53,MATCH(AE785,'لیست‌ها'!$P$3:$P$53,0))+IF(AF785&lt;=6,(AF785-1)*31+AG785,IF(AF785&lt;=11,186+(AF785-7)*30+AG785,336+AG785))-1,""))</f>
        <v/>
      </c>
      <c r="AI785" s="7" t="str">
        <f aca="false">IF(W785="","",W785&amp;"-"&amp;TEXT(X785,"00"))</f>
        <v/>
      </c>
      <c r="AJ785" s="7" t="str">
        <f aca="false">IF(W785="","",W785*12+X785)</f>
        <v/>
      </c>
      <c r="AK785" s="7" t="str">
        <f aca="false">IF(U785="تاخیر",V785+ROW()/100000,"")</f>
        <v/>
      </c>
    </row>
    <row r="786" customFormat="false" ht="15" hidden="false" customHeight="false" outlineLevel="0" collapsed="false">
      <c r="A786" s="7" t="str">
        <f aca="false">IF(B786="","",ROW()-3)</f>
        <v/>
      </c>
      <c r="B786" s="8"/>
      <c r="C786" s="8"/>
      <c r="D786" s="8"/>
      <c r="E786" s="9"/>
      <c r="F786" s="9"/>
      <c r="G786" s="8"/>
      <c r="H786" s="8"/>
      <c r="I786" s="8"/>
      <c r="J786" s="9"/>
      <c r="K786" s="8"/>
      <c r="L786" s="8"/>
      <c r="M786" s="8"/>
      <c r="N786" s="8"/>
      <c r="O786" s="8"/>
      <c r="P786" s="8"/>
      <c r="Q786" s="8"/>
      <c r="R786" s="9"/>
      <c r="S786" s="8"/>
      <c r="T786" s="9"/>
      <c r="U786" s="10" t="str">
        <f aca="true">IF(B786="","",IF(OR(P786&lt;&gt;"",I786="می‌باشد"),"بسته",IF(AND(L786&lt;&gt;"",W786=""),"خطای فرمت تاریخ ایجاد",IF(AND(H786&lt;&gt;"",AA786=""),"خطای فرمت مهلت",IF(AND(H786&lt;&gt;"",AD786&lt;&gt;"",TODAY()&gt;AD786),"تاخیر",IF(L786&lt;&gt;"","در حال انجام",""))))))</f>
        <v/>
      </c>
      <c r="V786" s="7" t="n">
        <f aca="true">IF(U786="تاخیر",TODAY()-AD786,IF(AND(U786="بسته",AH786&lt;&gt;"",AD786&lt;&gt;"",AH786&gt;AD786),AH786-AD786,0))</f>
        <v>0</v>
      </c>
      <c r="W786" s="7" t="str">
        <f aca="false">IF(L786="","",VALUE(LEFT(L786,FIND("/",L786)-1)))</f>
        <v/>
      </c>
      <c r="X786" s="7" t="str">
        <f aca="false">IF(L786="","",VALUE(MID(L786,FIND("/",L786)+1,FIND("/",L786,FIND("/",L786)+1)-FIND("/",L786)-1)))</f>
        <v/>
      </c>
      <c r="Y786" s="7" t="str">
        <f aca="false">IF(L786="","",VALUE(MID(L786,FIND("/",L786,FIND("/",L786)+1)+1,LEN(L786)-FIND("/",L786,FIND("/",L786)+1))))</f>
        <v/>
      </c>
      <c r="Z786" s="7" t="str">
        <f aca="false">IF(OR(L786="",W786=""),"",IFERROR(INDEX('لیست‌ها'!$Q$3:$Q$53,MATCH(W786,'لیست‌ها'!$P$3:$P$53,0))+IF(X786&lt;=6,(X786-1)*31+Y786,IF(X786&lt;=11,186+(X786-7)*30+Y786,336+Y786))-1,""))</f>
        <v/>
      </c>
      <c r="AA786" s="7" t="str">
        <f aca="false">IF(H786="","",VALUE(LEFT(H786,FIND("/",H786)-1)))</f>
        <v/>
      </c>
      <c r="AB786" s="7" t="str">
        <f aca="false">IF(H786="","",VALUE(MID(H786,FIND("/",H786)+1,FIND("/",H786,FIND("/",H786)+1)-FIND("/",H786)-1)))</f>
        <v/>
      </c>
      <c r="AC786" s="7" t="str">
        <f aca="false">IF(H786="","",VALUE(MID(H786,FIND("/",H786,FIND("/",H786)+1)+1,LEN(H786)-FIND("/",H786,FIND("/",H786)+1))))</f>
        <v/>
      </c>
      <c r="AD786" s="7" t="str">
        <f aca="false">IF(OR(H786="",AA786=""),"",IFERROR(INDEX('لیست‌ها'!$Q$3:$Q$53,MATCH(AA786,'لیست‌ها'!$P$3:$P$53,0))+IF(AB786&lt;=6,(AB786-1)*31+AC786,IF(AB786&lt;=11,186+(AB786-7)*30+AC786,336+AC786))-1,""))</f>
        <v/>
      </c>
      <c r="AE786" s="7" t="str">
        <f aca="false">IF(P786="","",VALUE(LEFT(P786,FIND("/",P786)-1)))</f>
        <v/>
      </c>
      <c r="AF786" s="7" t="str">
        <f aca="false">IF(P786="","",VALUE(MID(P786,FIND("/",P786)+1,FIND("/",P786,FIND("/",P786)+1)-FIND("/",P786)-1)))</f>
        <v/>
      </c>
      <c r="AG786" s="7" t="str">
        <f aca="false">IF(P786="","",VALUE(MID(P786,FIND("/",P786,FIND("/",P786)+1)+1,LEN(P786)-FIND("/",P786,FIND("/",P786)+1))))</f>
        <v/>
      </c>
      <c r="AH786" s="7" t="str">
        <f aca="false">IF(OR(P786="",AE786=""),"",IFERROR(INDEX('لیست‌ها'!$Q$3:$Q$53,MATCH(AE786,'لیست‌ها'!$P$3:$P$53,0))+IF(AF786&lt;=6,(AF786-1)*31+AG786,IF(AF786&lt;=11,186+(AF786-7)*30+AG786,336+AG786))-1,""))</f>
        <v/>
      </c>
      <c r="AI786" s="7" t="str">
        <f aca="false">IF(W786="","",W786&amp;"-"&amp;TEXT(X786,"00"))</f>
        <v/>
      </c>
      <c r="AJ786" s="7" t="str">
        <f aca="false">IF(W786="","",W786*12+X786)</f>
        <v/>
      </c>
      <c r="AK786" s="7" t="str">
        <f aca="false">IF(U786="تاخیر",V786+ROW()/100000,"")</f>
        <v/>
      </c>
    </row>
    <row r="787" customFormat="false" ht="15" hidden="false" customHeight="false" outlineLevel="0" collapsed="false">
      <c r="A787" s="7" t="str">
        <f aca="false">IF(B787="","",ROW()-3)</f>
        <v/>
      </c>
      <c r="B787" s="8"/>
      <c r="C787" s="8"/>
      <c r="D787" s="8"/>
      <c r="E787" s="9"/>
      <c r="F787" s="9"/>
      <c r="G787" s="8"/>
      <c r="H787" s="8"/>
      <c r="I787" s="8"/>
      <c r="J787" s="9"/>
      <c r="K787" s="8"/>
      <c r="L787" s="8"/>
      <c r="M787" s="8"/>
      <c r="N787" s="8"/>
      <c r="O787" s="8"/>
      <c r="P787" s="8"/>
      <c r="Q787" s="8"/>
      <c r="R787" s="9"/>
      <c r="S787" s="8"/>
      <c r="T787" s="9"/>
      <c r="U787" s="10" t="str">
        <f aca="true">IF(B787="","",IF(OR(P787&lt;&gt;"",I787="می‌باشد"),"بسته",IF(AND(L787&lt;&gt;"",W787=""),"خطای فرمت تاریخ ایجاد",IF(AND(H787&lt;&gt;"",AA787=""),"خطای فرمت مهلت",IF(AND(H787&lt;&gt;"",AD787&lt;&gt;"",TODAY()&gt;AD787),"تاخیر",IF(L787&lt;&gt;"","در حال انجام",""))))))</f>
        <v/>
      </c>
      <c r="V787" s="7" t="n">
        <f aca="true">IF(U787="تاخیر",TODAY()-AD787,IF(AND(U787="بسته",AH787&lt;&gt;"",AD787&lt;&gt;"",AH787&gt;AD787),AH787-AD787,0))</f>
        <v>0</v>
      </c>
      <c r="W787" s="7" t="str">
        <f aca="false">IF(L787="","",VALUE(LEFT(L787,FIND("/",L787)-1)))</f>
        <v/>
      </c>
      <c r="X787" s="7" t="str">
        <f aca="false">IF(L787="","",VALUE(MID(L787,FIND("/",L787)+1,FIND("/",L787,FIND("/",L787)+1)-FIND("/",L787)-1)))</f>
        <v/>
      </c>
      <c r="Y787" s="7" t="str">
        <f aca="false">IF(L787="","",VALUE(MID(L787,FIND("/",L787,FIND("/",L787)+1)+1,LEN(L787)-FIND("/",L787,FIND("/",L787)+1))))</f>
        <v/>
      </c>
      <c r="Z787" s="7" t="str">
        <f aca="false">IF(OR(L787="",W787=""),"",IFERROR(INDEX('لیست‌ها'!$Q$3:$Q$53,MATCH(W787,'لیست‌ها'!$P$3:$P$53,0))+IF(X787&lt;=6,(X787-1)*31+Y787,IF(X787&lt;=11,186+(X787-7)*30+Y787,336+Y787))-1,""))</f>
        <v/>
      </c>
      <c r="AA787" s="7" t="str">
        <f aca="false">IF(H787="","",VALUE(LEFT(H787,FIND("/",H787)-1)))</f>
        <v/>
      </c>
      <c r="AB787" s="7" t="str">
        <f aca="false">IF(H787="","",VALUE(MID(H787,FIND("/",H787)+1,FIND("/",H787,FIND("/",H787)+1)-FIND("/",H787)-1)))</f>
        <v/>
      </c>
      <c r="AC787" s="7" t="str">
        <f aca="false">IF(H787="","",VALUE(MID(H787,FIND("/",H787,FIND("/",H787)+1)+1,LEN(H787)-FIND("/",H787,FIND("/",H787)+1))))</f>
        <v/>
      </c>
      <c r="AD787" s="7" t="str">
        <f aca="false">IF(OR(H787="",AA787=""),"",IFERROR(INDEX('لیست‌ها'!$Q$3:$Q$53,MATCH(AA787,'لیست‌ها'!$P$3:$P$53,0))+IF(AB787&lt;=6,(AB787-1)*31+AC787,IF(AB787&lt;=11,186+(AB787-7)*30+AC787,336+AC787))-1,""))</f>
        <v/>
      </c>
      <c r="AE787" s="7" t="str">
        <f aca="false">IF(P787="","",VALUE(LEFT(P787,FIND("/",P787)-1)))</f>
        <v/>
      </c>
      <c r="AF787" s="7" t="str">
        <f aca="false">IF(P787="","",VALUE(MID(P787,FIND("/",P787)+1,FIND("/",P787,FIND("/",P787)+1)-FIND("/",P787)-1)))</f>
        <v/>
      </c>
      <c r="AG787" s="7" t="str">
        <f aca="false">IF(P787="","",VALUE(MID(P787,FIND("/",P787,FIND("/",P787)+1)+1,LEN(P787)-FIND("/",P787,FIND("/",P787)+1))))</f>
        <v/>
      </c>
      <c r="AH787" s="7" t="str">
        <f aca="false">IF(OR(P787="",AE787=""),"",IFERROR(INDEX('لیست‌ها'!$Q$3:$Q$53,MATCH(AE787,'لیست‌ها'!$P$3:$P$53,0))+IF(AF787&lt;=6,(AF787-1)*31+AG787,IF(AF787&lt;=11,186+(AF787-7)*30+AG787,336+AG787))-1,""))</f>
        <v/>
      </c>
      <c r="AI787" s="7" t="str">
        <f aca="false">IF(W787="","",W787&amp;"-"&amp;TEXT(X787,"00"))</f>
        <v/>
      </c>
      <c r="AJ787" s="7" t="str">
        <f aca="false">IF(W787="","",W787*12+X787)</f>
        <v/>
      </c>
      <c r="AK787" s="7" t="str">
        <f aca="false">IF(U787="تاخیر",V787+ROW()/100000,"")</f>
        <v/>
      </c>
    </row>
    <row r="788" customFormat="false" ht="15" hidden="false" customHeight="false" outlineLevel="0" collapsed="false">
      <c r="A788" s="7" t="str">
        <f aca="false">IF(B788="","",ROW()-3)</f>
        <v/>
      </c>
      <c r="B788" s="8"/>
      <c r="C788" s="8"/>
      <c r="D788" s="8"/>
      <c r="E788" s="9"/>
      <c r="F788" s="9"/>
      <c r="G788" s="8"/>
      <c r="H788" s="8"/>
      <c r="I788" s="8"/>
      <c r="J788" s="9"/>
      <c r="K788" s="8"/>
      <c r="L788" s="8"/>
      <c r="M788" s="8"/>
      <c r="N788" s="8"/>
      <c r="O788" s="8"/>
      <c r="P788" s="8"/>
      <c r="Q788" s="8"/>
      <c r="R788" s="9"/>
      <c r="S788" s="8"/>
      <c r="T788" s="9"/>
      <c r="U788" s="10" t="str">
        <f aca="true">IF(B788="","",IF(OR(P788&lt;&gt;"",I788="می‌باشد"),"بسته",IF(AND(L788&lt;&gt;"",W788=""),"خطای فرمت تاریخ ایجاد",IF(AND(H788&lt;&gt;"",AA788=""),"خطای فرمت مهلت",IF(AND(H788&lt;&gt;"",AD788&lt;&gt;"",TODAY()&gt;AD788),"تاخیر",IF(L788&lt;&gt;"","در حال انجام",""))))))</f>
        <v/>
      </c>
      <c r="V788" s="7" t="n">
        <f aca="true">IF(U788="تاخیر",TODAY()-AD788,IF(AND(U788="بسته",AH788&lt;&gt;"",AD788&lt;&gt;"",AH788&gt;AD788),AH788-AD788,0))</f>
        <v>0</v>
      </c>
      <c r="W788" s="7" t="str">
        <f aca="false">IF(L788="","",VALUE(LEFT(L788,FIND("/",L788)-1)))</f>
        <v/>
      </c>
      <c r="X788" s="7" t="str">
        <f aca="false">IF(L788="","",VALUE(MID(L788,FIND("/",L788)+1,FIND("/",L788,FIND("/",L788)+1)-FIND("/",L788)-1)))</f>
        <v/>
      </c>
      <c r="Y788" s="7" t="str">
        <f aca="false">IF(L788="","",VALUE(MID(L788,FIND("/",L788,FIND("/",L788)+1)+1,LEN(L788)-FIND("/",L788,FIND("/",L788)+1))))</f>
        <v/>
      </c>
      <c r="Z788" s="7" t="str">
        <f aca="false">IF(OR(L788="",W788=""),"",IFERROR(INDEX('لیست‌ها'!$Q$3:$Q$53,MATCH(W788,'لیست‌ها'!$P$3:$P$53,0))+IF(X788&lt;=6,(X788-1)*31+Y788,IF(X788&lt;=11,186+(X788-7)*30+Y788,336+Y788))-1,""))</f>
        <v/>
      </c>
      <c r="AA788" s="7" t="str">
        <f aca="false">IF(H788="","",VALUE(LEFT(H788,FIND("/",H788)-1)))</f>
        <v/>
      </c>
      <c r="AB788" s="7" t="str">
        <f aca="false">IF(H788="","",VALUE(MID(H788,FIND("/",H788)+1,FIND("/",H788,FIND("/",H788)+1)-FIND("/",H788)-1)))</f>
        <v/>
      </c>
      <c r="AC788" s="7" t="str">
        <f aca="false">IF(H788="","",VALUE(MID(H788,FIND("/",H788,FIND("/",H788)+1)+1,LEN(H788)-FIND("/",H788,FIND("/",H788)+1))))</f>
        <v/>
      </c>
      <c r="AD788" s="7" t="str">
        <f aca="false">IF(OR(H788="",AA788=""),"",IFERROR(INDEX('لیست‌ها'!$Q$3:$Q$53,MATCH(AA788,'لیست‌ها'!$P$3:$P$53,0))+IF(AB788&lt;=6,(AB788-1)*31+AC788,IF(AB788&lt;=11,186+(AB788-7)*30+AC788,336+AC788))-1,""))</f>
        <v/>
      </c>
      <c r="AE788" s="7" t="str">
        <f aca="false">IF(P788="","",VALUE(LEFT(P788,FIND("/",P788)-1)))</f>
        <v/>
      </c>
      <c r="AF788" s="7" t="str">
        <f aca="false">IF(P788="","",VALUE(MID(P788,FIND("/",P788)+1,FIND("/",P788,FIND("/",P788)+1)-FIND("/",P788)-1)))</f>
        <v/>
      </c>
      <c r="AG788" s="7" t="str">
        <f aca="false">IF(P788="","",VALUE(MID(P788,FIND("/",P788,FIND("/",P788)+1)+1,LEN(P788)-FIND("/",P788,FIND("/",P788)+1))))</f>
        <v/>
      </c>
      <c r="AH788" s="7" t="str">
        <f aca="false">IF(OR(P788="",AE788=""),"",IFERROR(INDEX('لیست‌ها'!$Q$3:$Q$53,MATCH(AE788,'لیست‌ها'!$P$3:$P$53,0))+IF(AF788&lt;=6,(AF788-1)*31+AG788,IF(AF788&lt;=11,186+(AF788-7)*30+AG788,336+AG788))-1,""))</f>
        <v/>
      </c>
      <c r="AI788" s="7" t="str">
        <f aca="false">IF(W788="","",W788&amp;"-"&amp;TEXT(X788,"00"))</f>
        <v/>
      </c>
      <c r="AJ788" s="7" t="str">
        <f aca="false">IF(W788="","",W788*12+X788)</f>
        <v/>
      </c>
      <c r="AK788" s="7" t="str">
        <f aca="false">IF(U788="تاخیر",V788+ROW()/100000,"")</f>
        <v/>
      </c>
    </row>
    <row r="789" customFormat="false" ht="15" hidden="false" customHeight="false" outlineLevel="0" collapsed="false">
      <c r="A789" s="7" t="str">
        <f aca="false">IF(B789="","",ROW()-3)</f>
        <v/>
      </c>
      <c r="B789" s="8"/>
      <c r="C789" s="8"/>
      <c r="D789" s="8"/>
      <c r="E789" s="9"/>
      <c r="F789" s="9"/>
      <c r="G789" s="8"/>
      <c r="H789" s="8"/>
      <c r="I789" s="8"/>
      <c r="J789" s="9"/>
      <c r="K789" s="8"/>
      <c r="L789" s="8"/>
      <c r="M789" s="8"/>
      <c r="N789" s="8"/>
      <c r="O789" s="8"/>
      <c r="P789" s="8"/>
      <c r="Q789" s="8"/>
      <c r="R789" s="9"/>
      <c r="S789" s="8"/>
      <c r="T789" s="9"/>
      <c r="U789" s="10" t="str">
        <f aca="true">IF(B789="","",IF(OR(P789&lt;&gt;"",I789="می‌باشد"),"بسته",IF(AND(L789&lt;&gt;"",W789=""),"خطای فرمت تاریخ ایجاد",IF(AND(H789&lt;&gt;"",AA789=""),"خطای فرمت مهلت",IF(AND(H789&lt;&gt;"",AD789&lt;&gt;"",TODAY()&gt;AD789),"تاخیر",IF(L789&lt;&gt;"","در حال انجام",""))))))</f>
        <v/>
      </c>
      <c r="V789" s="7" t="n">
        <f aca="true">IF(U789="تاخیر",TODAY()-AD789,IF(AND(U789="بسته",AH789&lt;&gt;"",AD789&lt;&gt;"",AH789&gt;AD789),AH789-AD789,0))</f>
        <v>0</v>
      </c>
      <c r="W789" s="7" t="str">
        <f aca="false">IF(L789="","",VALUE(LEFT(L789,FIND("/",L789)-1)))</f>
        <v/>
      </c>
      <c r="X789" s="7" t="str">
        <f aca="false">IF(L789="","",VALUE(MID(L789,FIND("/",L789)+1,FIND("/",L789,FIND("/",L789)+1)-FIND("/",L789)-1)))</f>
        <v/>
      </c>
      <c r="Y789" s="7" t="str">
        <f aca="false">IF(L789="","",VALUE(MID(L789,FIND("/",L789,FIND("/",L789)+1)+1,LEN(L789)-FIND("/",L789,FIND("/",L789)+1))))</f>
        <v/>
      </c>
      <c r="Z789" s="7" t="str">
        <f aca="false">IF(OR(L789="",W789=""),"",IFERROR(INDEX('لیست‌ها'!$Q$3:$Q$53,MATCH(W789,'لیست‌ها'!$P$3:$P$53,0))+IF(X789&lt;=6,(X789-1)*31+Y789,IF(X789&lt;=11,186+(X789-7)*30+Y789,336+Y789))-1,""))</f>
        <v/>
      </c>
      <c r="AA789" s="7" t="str">
        <f aca="false">IF(H789="","",VALUE(LEFT(H789,FIND("/",H789)-1)))</f>
        <v/>
      </c>
      <c r="AB789" s="7" t="str">
        <f aca="false">IF(H789="","",VALUE(MID(H789,FIND("/",H789)+1,FIND("/",H789,FIND("/",H789)+1)-FIND("/",H789)-1)))</f>
        <v/>
      </c>
      <c r="AC789" s="7" t="str">
        <f aca="false">IF(H789="","",VALUE(MID(H789,FIND("/",H789,FIND("/",H789)+1)+1,LEN(H789)-FIND("/",H789,FIND("/",H789)+1))))</f>
        <v/>
      </c>
      <c r="AD789" s="7" t="str">
        <f aca="false">IF(OR(H789="",AA789=""),"",IFERROR(INDEX('لیست‌ها'!$Q$3:$Q$53,MATCH(AA789,'لیست‌ها'!$P$3:$P$53,0))+IF(AB789&lt;=6,(AB789-1)*31+AC789,IF(AB789&lt;=11,186+(AB789-7)*30+AC789,336+AC789))-1,""))</f>
        <v/>
      </c>
      <c r="AE789" s="7" t="str">
        <f aca="false">IF(P789="","",VALUE(LEFT(P789,FIND("/",P789)-1)))</f>
        <v/>
      </c>
      <c r="AF789" s="7" t="str">
        <f aca="false">IF(P789="","",VALUE(MID(P789,FIND("/",P789)+1,FIND("/",P789,FIND("/",P789)+1)-FIND("/",P789)-1)))</f>
        <v/>
      </c>
      <c r="AG789" s="7" t="str">
        <f aca="false">IF(P789="","",VALUE(MID(P789,FIND("/",P789,FIND("/",P789)+1)+1,LEN(P789)-FIND("/",P789,FIND("/",P789)+1))))</f>
        <v/>
      </c>
      <c r="AH789" s="7" t="str">
        <f aca="false">IF(OR(P789="",AE789=""),"",IFERROR(INDEX('لیست‌ها'!$Q$3:$Q$53,MATCH(AE789,'لیست‌ها'!$P$3:$P$53,0))+IF(AF789&lt;=6,(AF789-1)*31+AG789,IF(AF789&lt;=11,186+(AF789-7)*30+AG789,336+AG789))-1,""))</f>
        <v/>
      </c>
      <c r="AI789" s="7" t="str">
        <f aca="false">IF(W789="","",W789&amp;"-"&amp;TEXT(X789,"00"))</f>
        <v/>
      </c>
      <c r="AJ789" s="7" t="str">
        <f aca="false">IF(W789="","",W789*12+X789)</f>
        <v/>
      </c>
      <c r="AK789" s="7" t="str">
        <f aca="false">IF(U789="تاخیر",V789+ROW()/100000,"")</f>
        <v/>
      </c>
    </row>
    <row r="790" customFormat="false" ht="15" hidden="false" customHeight="false" outlineLevel="0" collapsed="false">
      <c r="A790" s="7" t="str">
        <f aca="false">IF(B790="","",ROW()-3)</f>
        <v/>
      </c>
      <c r="B790" s="8"/>
      <c r="C790" s="8"/>
      <c r="D790" s="8"/>
      <c r="E790" s="9"/>
      <c r="F790" s="9"/>
      <c r="G790" s="8"/>
      <c r="H790" s="8"/>
      <c r="I790" s="8"/>
      <c r="J790" s="9"/>
      <c r="K790" s="8"/>
      <c r="L790" s="8"/>
      <c r="M790" s="8"/>
      <c r="N790" s="8"/>
      <c r="O790" s="8"/>
      <c r="P790" s="8"/>
      <c r="Q790" s="8"/>
      <c r="R790" s="9"/>
      <c r="S790" s="8"/>
      <c r="T790" s="9"/>
      <c r="U790" s="10" t="str">
        <f aca="true">IF(B790="","",IF(OR(P790&lt;&gt;"",I790="می‌باشد"),"بسته",IF(AND(L790&lt;&gt;"",W790=""),"خطای فرمت تاریخ ایجاد",IF(AND(H790&lt;&gt;"",AA790=""),"خطای فرمت مهلت",IF(AND(H790&lt;&gt;"",AD790&lt;&gt;"",TODAY()&gt;AD790),"تاخیر",IF(L790&lt;&gt;"","در حال انجام",""))))))</f>
        <v/>
      </c>
      <c r="V790" s="7" t="n">
        <f aca="true">IF(U790="تاخیر",TODAY()-AD790,IF(AND(U790="بسته",AH790&lt;&gt;"",AD790&lt;&gt;"",AH790&gt;AD790),AH790-AD790,0))</f>
        <v>0</v>
      </c>
      <c r="W790" s="7" t="str">
        <f aca="false">IF(L790="","",VALUE(LEFT(L790,FIND("/",L790)-1)))</f>
        <v/>
      </c>
      <c r="X790" s="7" t="str">
        <f aca="false">IF(L790="","",VALUE(MID(L790,FIND("/",L790)+1,FIND("/",L790,FIND("/",L790)+1)-FIND("/",L790)-1)))</f>
        <v/>
      </c>
      <c r="Y790" s="7" t="str">
        <f aca="false">IF(L790="","",VALUE(MID(L790,FIND("/",L790,FIND("/",L790)+1)+1,LEN(L790)-FIND("/",L790,FIND("/",L790)+1))))</f>
        <v/>
      </c>
      <c r="Z790" s="7" t="str">
        <f aca="false">IF(OR(L790="",W790=""),"",IFERROR(INDEX('لیست‌ها'!$Q$3:$Q$53,MATCH(W790,'لیست‌ها'!$P$3:$P$53,0))+IF(X790&lt;=6,(X790-1)*31+Y790,IF(X790&lt;=11,186+(X790-7)*30+Y790,336+Y790))-1,""))</f>
        <v/>
      </c>
      <c r="AA790" s="7" t="str">
        <f aca="false">IF(H790="","",VALUE(LEFT(H790,FIND("/",H790)-1)))</f>
        <v/>
      </c>
      <c r="AB790" s="7" t="str">
        <f aca="false">IF(H790="","",VALUE(MID(H790,FIND("/",H790)+1,FIND("/",H790,FIND("/",H790)+1)-FIND("/",H790)-1)))</f>
        <v/>
      </c>
      <c r="AC790" s="7" t="str">
        <f aca="false">IF(H790="","",VALUE(MID(H790,FIND("/",H790,FIND("/",H790)+1)+1,LEN(H790)-FIND("/",H790,FIND("/",H790)+1))))</f>
        <v/>
      </c>
      <c r="AD790" s="7" t="str">
        <f aca="false">IF(OR(H790="",AA790=""),"",IFERROR(INDEX('لیست‌ها'!$Q$3:$Q$53,MATCH(AA790,'لیست‌ها'!$P$3:$P$53,0))+IF(AB790&lt;=6,(AB790-1)*31+AC790,IF(AB790&lt;=11,186+(AB790-7)*30+AC790,336+AC790))-1,""))</f>
        <v/>
      </c>
      <c r="AE790" s="7" t="str">
        <f aca="false">IF(P790="","",VALUE(LEFT(P790,FIND("/",P790)-1)))</f>
        <v/>
      </c>
      <c r="AF790" s="7" t="str">
        <f aca="false">IF(P790="","",VALUE(MID(P790,FIND("/",P790)+1,FIND("/",P790,FIND("/",P790)+1)-FIND("/",P790)-1)))</f>
        <v/>
      </c>
      <c r="AG790" s="7" t="str">
        <f aca="false">IF(P790="","",VALUE(MID(P790,FIND("/",P790,FIND("/",P790)+1)+1,LEN(P790)-FIND("/",P790,FIND("/",P790)+1))))</f>
        <v/>
      </c>
      <c r="AH790" s="7" t="str">
        <f aca="false">IF(OR(P790="",AE790=""),"",IFERROR(INDEX('لیست‌ها'!$Q$3:$Q$53,MATCH(AE790,'لیست‌ها'!$P$3:$P$53,0))+IF(AF790&lt;=6,(AF790-1)*31+AG790,IF(AF790&lt;=11,186+(AF790-7)*30+AG790,336+AG790))-1,""))</f>
        <v/>
      </c>
      <c r="AI790" s="7" t="str">
        <f aca="false">IF(W790="","",W790&amp;"-"&amp;TEXT(X790,"00"))</f>
        <v/>
      </c>
      <c r="AJ790" s="7" t="str">
        <f aca="false">IF(W790="","",W790*12+X790)</f>
        <v/>
      </c>
      <c r="AK790" s="7" t="str">
        <f aca="false">IF(U790="تاخیر",V790+ROW()/100000,"")</f>
        <v/>
      </c>
    </row>
    <row r="791" customFormat="false" ht="15" hidden="false" customHeight="false" outlineLevel="0" collapsed="false">
      <c r="A791" s="7" t="str">
        <f aca="false">IF(B791="","",ROW()-3)</f>
        <v/>
      </c>
      <c r="B791" s="8"/>
      <c r="C791" s="8"/>
      <c r="D791" s="8"/>
      <c r="E791" s="9"/>
      <c r="F791" s="9"/>
      <c r="G791" s="8"/>
      <c r="H791" s="8"/>
      <c r="I791" s="8"/>
      <c r="J791" s="9"/>
      <c r="K791" s="8"/>
      <c r="L791" s="8"/>
      <c r="M791" s="8"/>
      <c r="N791" s="8"/>
      <c r="O791" s="8"/>
      <c r="P791" s="8"/>
      <c r="Q791" s="8"/>
      <c r="R791" s="9"/>
      <c r="S791" s="8"/>
      <c r="T791" s="9"/>
      <c r="U791" s="10" t="str">
        <f aca="true">IF(B791="","",IF(OR(P791&lt;&gt;"",I791="می‌باشد"),"بسته",IF(AND(L791&lt;&gt;"",W791=""),"خطای فرمت تاریخ ایجاد",IF(AND(H791&lt;&gt;"",AA791=""),"خطای فرمت مهلت",IF(AND(H791&lt;&gt;"",AD791&lt;&gt;"",TODAY()&gt;AD791),"تاخیر",IF(L791&lt;&gt;"","در حال انجام",""))))))</f>
        <v/>
      </c>
      <c r="V791" s="7" t="n">
        <f aca="true">IF(U791="تاخیر",TODAY()-AD791,IF(AND(U791="بسته",AH791&lt;&gt;"",AD791&lt;&gt;"",AH791&gt;AD791),AH791-AD791,0))</f>
        <v>0</v>
      </c>
      <c r="W791" s="7" t="str">
        <f aca="false">IF(L791="","",VALUE(LEFT(L791,FIND("/",L791)-1)))</f>
        <v/>
      </c>
      <c r="X791" s="7" t="str">
        <f aca="false">IF(L791="","",VALUE(MID(L791,FIND("/",L791)+1,FIND("/",L791,FIND("/",L791)+1)-FIND("/",L791)-1)))</f>
        <v/>
      </c>
      <c r="Y791" s="7" t="str">
        <f aca="false">IF(L791="","",VALUE(MID(L791,FIND("/",L791,FIND("/",L791)+1)+1,LEN(L791)-FIND("/",L791,FIND("/",L791)+1))))</f>
        <v/>
      </c>
      <c r="Z791" s="7" t="str">
        <f aca="false">IF(OR(L791="",W791=""),"",IFERROR(INDEX('لیست‌ها'!$Q$3:$Q$53,MATCH(W791,'لیست‌ها'!$P$3:$P$53,0))+IF(X791&lt;=6,(X791-1)*31+Y791,IF(X791&lt;=11,186+(X791-7)*30+Y791,336+Y791))-1,""))</f>
        <v/>
      </c>
      <c r="AA791" s="7" t="str">
        <f aca="false">IF(H791="","",VALUE(LEFT(H791,FIND("/",H791)-1)))</f>
        <v/>
      </c>
      <c r="AB791" s="7" t="str">
        <f aca="false">IF(H791="","",VALUE(MID(H791,FIND("/",H791)+1,FIND("/",H791,FIND("/",H791)+1)-FIND("/",H791)-1)))</f>
        <v/>
      </c>
      <c r="AC791" s="7" t="str">
        <f aca="false">IF(H791="","",VALUE(MID(H791,FIND("/",H791,FIND("/",H791)+1)+1,LEN(H791)-FIND("/",H791,FIND("/",H791)+1))))</f>
        <v/>
      </c>
      <c r="AD791" s="7" t="str">
        <f aca="false">IF(OR(H791="",AA791=""),"",IFERROR(INDEX('لیست‌ها'!$Q$3:$Q$53,MATCH(AA791,'لیست‌ها'!$P$3:$P$53,0))+IF(AB791&lt;=6,(AB791-1)*31+AC791,IF(AB791&lt;=11,186+(AB791-7)*30+AC791,336+AC791))-1,""))</f>
        <v/>
      </c>
      <c r="AE791" s="7" t="str">
        <f aca="false">IF(P791="","",VALUE(LEFT(P791,FIND("/",P791)-1)))</f>
        <v/>
      </c>
      <c r="AF791" s="7" t="str">
        <f aca="false">IF(P791="","",VALUE(MID(P791,FIND("/",P791)+1,FIND("/",P791,FIND("/",P791)+1)-FIND("/",P791)-1)))</f>
        <v/>
      </c>
      <c r="AG791" s="7" t="str">
        <f aca="false">IF(P791="","",VALUE(MID(P791,FIND("/",P791,FIND("/",P791)+1)+1,LEN(P791)-FIND("/",P791,FIND("/",P791)+1))))</f>
        <v/>
      </c>
      <c r="AH791" s="7" t="str">
        <f aca="false">IF(OR(P791="",AE791=""),"",IFERROR(INDEX('لیست‌ها'!$Q$3:$Q$53,MATCH(AE791,'لیست‌ها'!$P$3:$P$53,0))+IF(AF791&lt;=6,(AF791-1)*31+AG791,IF(AF791&lt;=11,186+(AF791-7)*30+AG791,336+AG791))-1,""))</f>
        <v/>
      </c>
      <c r="AI791" s="7" t="str">
        <f aca="false">IF(W791="","",W791&amp;"-"&amp;TEXT(X791,"00"))</f>
        <v/>
      </c>
      <c r="AJ791" s="7" t="str">
        <f aca="false">IF(W791="","",W791*12+X791)</f>
        <v/>
      </c>
      <c r="AK791" s="7" t="str">
        <f aca="false">IF(U791="تاخیر",V791+ROW()/100000,"")</f>
        <v/>
      </c>
    </row>
    <row r="792" customFormat="false" ht="15" hidden="false" customHeight="false" outlineLevel="0" collapsed="false">
      <c r="A792" s="7" t="str">
        <f aca="false">IF(B792="","",ROW()-3)</f>
        <v/>
      </c>
      <c r="B792" s="8"/>
      <c r="C792" s="8"/>
      <c r="D792" s="8"/>
      <c r="E792" s="9"/>
      <c r="F792" s="9"/>
      <c r="G792" s="8"/>
      <c r="H792" s="8"/>
      <c r="I792" s="8"/>
      <c r="J792" s="9"/>
      <c r="K792" s="8"/>
      <c r="L792" s="8"/>
      <c r="M792" s="8"/>
      <c r="N792" s="8"/>
      <c r="O792" s="8"/>
      <c r="P792" s="8"/>
      <c r="Q792" s="8"/>
      <c r="R792" s="9"/>
      <c r="S792" s="8"/>
      <c r="T792" s="9"/>
      <c r="U792" s="10" t="str">
        <f aca="true">IF(B792="","",IF(OR(P792&lt;&gt;"",I792="می‌باشد"),"بسته",IF(AND(L792&lt;&gt;"",W792=""),"خطای فرمت تاریخ ایجاد",IF(AND(H792&lt;&gt;"",AA792=""),"خطای فرمت مهلت",IF(AND(H792&lt;&gt;"",AD792&lt;&gt;"",TODAY()&gt;AD792),"تاخیر",IF(L792&lt;&gt;"","در حال انجام",""))))))</f>
        <v/>
      </c>
      <c r="V792" s="7" t="n">
        <f aca="true">IF(U792="تاخیر",TODAY()-AD792,IF(AND(U792="بسته",AH792&lt;&gt;"",AD792&lt;&gt;"",AH792&gt;AD792),AH792-AD792,0))</f>
        <v>0</v>
      </c>
      <c r="W792" s="7" t="str">
        <f aca="false">IF(L792="","",VALUE(LEFT(L792,FIND("/",L792)-1)))</f>
        <v/>
      </c>
      <c r="X792" s="7" t="str">
        <f aca="false">IF(L792="","",VALUE(MID(L792,FIND("/",L792)+1,FIND("/",L792,FIND("/",L792)+1)-FIND("/",L792)-1)))</f>
        <v/>
      </c>
      <c r="Y792" s="7" t="str">
        <f aca="false">IF(L792="","",VALUE(MID(L792,FIND("/",L792,FIND("/",L792)+1)+1,LEN(L792)-FIND("/",L792,FIND("/",L792)+1))))</f>
        <v/>
      </c>
      <c r="Z792" s="7" t="str">
        <f aca="false">IF(OR(L792="",W792=""),"",IFERROR(INDEX('لیست‌ها'!$Q$3:$Q$53,MATCH(W792,'لیست‌ها'!$P$3:$P$53,0))+IF(X792&lt;=6,(X792-1)*31+Y792,IF(X792&lt;=11,186+(X792-7)*30+Y792,336+Y792))-1,""))</f>
        <v/>
      </c>
      <c r="AA792" s="7" t="str">
        <f aca="false">IF(H792="","",VALUE(LEFT(H792,FIND("/",H792)-1)))</f>
        <v/>
      </c>
      <c r="AB792" s="7" t="str">
        <f aca="false">IF(H792="","",VALUE(MID(H792,FIND("/",H792)+1,FIND("/",H792,FIND("/",H792)+1)-FIND("/",H792)-1)))</f>
        <v/>
      </c>
      <c r="AC792" s="7" t="str">
        <f aca="false">IF(H792="","",VALUE(MID(H792,FIND("/",H792,FIND("/",H792)+1)+1,LEN(H792)-FIND("/",H792,FIND("/",H792)+1))))</f>
        <v/>
      </c>
      <c r="AD792" s="7" t="str">
        <f aca="false">IF(OR(H792="",AA792=""),"",IFERROR(INDEX('لیست‌ها'!$Q$3:$Q$53,MATCH(AA792,'لیست‌ها'!$P$3:$P$53,0))+IF(AB792&lt;=6,(AB792-1)*31+AC792,IF(AB792&lt;=11,186+(AB792-7)*30+AC792,336+AC792))-1,""))</f>
        <v/>
      </c>
      <c r="AE792" s="7" t="str">
        <f aca="false">IF(P792="","",VALUE(LEFT(P792,FIND("/",P792)-1)))</f>
        <v/>
      </c>
      <c r="AF792" s="7" t="str">
        <f aca="false">IF(P792="","",VALUE(MID(P792,FIND("/",P792)+1,FIND("/",P792,FIND("/",P792)+1)-FIND("/",P792)-1)))</f>
        <v/>
      </c>
      <c r="AG792" s="7" t="str">
        <f aca="false">IF(P792="","",VALUE(MID(P792,FIND("/",P792,FIND("/",P792)+1)+1,LEN(P792)-FIND("/",P792,FIND("/",P792)+1))))</f>
        <v/>
      </c>
      <c r="AH792" s="7" t="str">
        <f aca="false">IF(OR(P792="",AE792=""),"",IFERROR(INDEX('لیست‌ها'!$Q$3:$Q$53,MATCH(AE792,'لیست‌ها'!$P$3:$P$53,0))+IF(AF792&lt;=6,(AF792-1)*31+AG792,IF(AF792&lt;=11,186+(AF792-7)*30+AG792,336+AG792))-1,""))</f>
        <v/>
      </c>
      <c r="AI792" s="7" t="str">
        <f aca="false">IF(W792="","",W792&amp;"-"&amp;TEXT(X792,"00"))</f>
        <v/>
      </c>
      <c r="AJ792" s="7" t="str">
        <f aca="false">IF(W792="","",W792*12+X792)</f>
        <v/>
      </c>
      <c r="AK792" s="7" t="str">
        <f aca="false">IF(U792="تاخیر",V792+ROW()/100000,"")</f>
        <v/>
      </c>
    </row>
    <row r="793" customFormat="false" ht="15" hidden="false" customHeight="false" outlineLevel="0" collapsed="false">
      <c r="A793" s="7" t="str">
        <f aca="false">IF(B793="","",ROW()-3)</f>
        <v/>
      </c>
      <c r="B793" s="8"/>
      <c r="C793" s="8"/>
      <c r="D793" s="8"/>
      <c r="E793" s="9"/>
      <c r="F793" s="9"/>
      <c r="G793" s="8"/>
      <c r="H793" s="8"/>
      <c r="I793" s="8"/>
      <c r="J793" s="9"/>
      <c r="K793" s="8"/>
      <c r="L793" s="8"/>
      <c r="M793" s="8"/>
      <c r="N793" s="8"/>
      <c r="O793" s="8"/>
      <c r="P793" s="8"/>
      <c r="Q793" s="8"/>
      <c r="R793" s="9"/>
      <c r="S793" s="8"/>
      <c r="T793" s="9"/>
      <c r="U793" s="10" t="str">
        <f aca="true">IF(B793="","",IF(OR(P793&lt;&gt;"",I793="می‌باشد"),"بسته",IF(AND(L793&lt;&gt;"",W793=""),"خطای فرمت تاریخ ایجاد",IF(AND(H793&lt;&gt;"",AA793=""),"خطای فرمت مهلت",IF(AND(H793&lt;&gt;"",AD793&lt;&gt;"",TODAY()&gt;AD793),"تاخیر",IF(L793&lt;&gt;"","در حال انجام",""))))))</f>
        <v/>
      </c>
      <c r="V793" s="7" t="n">
        <f aca="true">IF(U793="تاخیر",TODAY()-AD793,IF(AND(U793="بسته",AH793&lt;&gt;"",AD793&lt;&gt;"",AH793&gt;AD793),AH793-AD793,0))</f>
        <v>0</v>
      </c>
      <c r="W793" s="7" t="str">
        <f aca="false">IF(L793="","",VALUE(LEFT(L793,FIND("/",L793)-1)))</f>
        <v/>
      </c>
      <c r="X793" s="7" t="str">
        <f aca="false">IF(L793="","",VALUE(MID(L793,FIND("/",L793)+1,FIND("/",L793,FIND("/",L793)+1)-FIND("/",L793)-1)))</f>
        <v/>
      </c>
      <c r="Y793" s="7" t="str">
        <f aca="false">IF(L793="","",VALUE(MID(L793,FIND("/",L793,FIND("/",L793)+1)+1,LEN(L793)-FIND("/",L793,FIND("/",L793)+1))))</f>
        <v/>
      </c>
      <c r="Z793" s="7" t="str">
        <f aca="false">IF(OR(L793="",W793=""),"",IFERROR(INDEX('لیست‌ها'!$Q$3:$Q$53,MATCH(W793,'لیست‌ها'!$P$3:$P$53,0))+IF(X793&lt;=6,(X793-1)*31+Y793,IF(X793&lt;=11,186+(X793-7)*30+Y793,336+Y793))-1,""))</f>
        <v/>
      </c>
      <c r="AA793" s="7" t="str">
        <f aca="false">IF(H793="","",VALUE(LEFT(H793,FIND("/",H793)-1)))</f>
        <v/>
      </c>
      <c r="AB793" s="7" t="str">
        <f aca="false">IF(H793="","",VALUE(MID(H793,FIND("/",H793)+1,FIND("/",H793,FIND("/",H793)+1)-FIND("/",H793)-1)))</f>
        <v/>
      </c>
      <c r="AC793" s="7" t="str">
        <f aca="false">IF(H793="","",VALUE(MID(H793,FIND("/",H793,FIND("/",H793)+1)+1,LEN(H793)-FIND("/",H793,FIND("/",H793)+1))))</f>
        <v/>
      </c>
      <c r="AD793" s="7" t="str">
        <f aca="false">IF(OR(H793="",AA793=""),"",IFERROR(INDEX('لیست‌ها'!$Q$3:$Q$53,MATCH(AA793,'لیست‌ها'!$P$3:$P$53,0))+IF(AB793&lt;=6,(AB793-1)*31+AC793,IF(AB793&lt;=11,186+(AB793-7)*30+AC793,336+AC793))-1,""))</f>
        <v/>
      </c>
      <c r="AE793" s="7" t="str">
        <f aca="false">IF(P793="","",VALUE(LEFT(P793,FIND("/",P793)-1)))</f>
        <v/>
      </c>
      <c r="AF793" s="7" t="str">
        <f aca="false">IF(P793="","",VALUE(MID(P793,FIND("/",P793)+1,FIND("/",P793,FIND("/",P793)+1)-FIND("/",P793)-1)))</f>
        <v/>
      </c>
      <c r="AG793" s="7" t="str">
        <f aca="false">IF(P793="","",VALUE(MID(P793,FIND("/",P793,FIND("/",P793)+1)+1,LEN(P793)-FIND("/",P793,FIND("/",P793)+1))))</f>
        <v/>
      </c>
      <c r="AH793" s="7" t="str">
        <f aca="false">IF(OR(P793="",AE793=""),"",IFERROR(INDEX('لیست‌ها'!$Q$3:$Q$53,MATCH(AE793,'لیست‌ها'!$P$3:$P$53,0))+IF(AF793&lt;=6,(AF793-1)*31+AG793,IF(AF793&lt;=11,186+(AF793-7)*30+AG793,336+AG793))-1,""))</f>
        <v/>
      </c>
      <c r="AI793" s="7" t="str">
        <f aca="false">IF(W793="","",W793&amp;"-"&amp;TEXT(X793,"00"))</f>
        <v/>
      </c>
      <c r="AJ793" s="7" t="str">
        <f aca="false">IF(W793="","",W793*12+X793)</f>
        <v/>
      </c>
      <c r="AK793" s="7" t="str">
        <f aca="false">IF(U793="تاخیر",V793+ROW()/100000,"")</f>
        <v/>
      </c>
    </row>
    <row r="794" customFormat="false" ht="15" hidden="false" customHeight="false" outlineLevel="0" collapsed="false">
      <c r="A794" s="7" t="str">
        <f aca="false">IF(B794="","",ROW()-3)</f>
        <v/>
      </c>
      <c r="B794" s="8"/>
      <c r="C794" s="8"/>
      <c r="D794" s="8"/>
      <c r="E794" s="9"/>
      <c r="F794" s="9"/>
      <c r="G794" s="8"/>
      <c r="H794" s="8"/>
      <c r="I794" s="8"/>
      <c r="J794" s="9"/>
      <c r="K794" s="8"/>
      <c r="L794" s="8"/>
      <c r="M794" s="8"/>
      <c r="N794" s="8"/>
      <c r="O794" s="8"/>
      <c r="P794" s="8"/>
      <c r="Q794" s="8"/>
      <c r="R794" s="9"/>
      <c r="S794" s="8"/>
      <c r="T794" s="9"/>
      <c r="U794" s="10" t="str">
        <f aca="true">IF(B794="","",IF(OR(P794&lt;&gt;"",I794="می‌باشد"),"بسته",IF(AND(L794&lt;&gt;"",W794=""),"خطای فرمت تاریخ ایجاد",IF(AND(H794&lt;&gt;"",AA794=""),"خطای فرمت مهلت",IF(AND(H794&lt;&gt;"",AD794&lt;&gt;"",TODAY()&gt;AD794),"تاخیر",IF(L794&lt;&gt;"","در حال انجام",""))))))</f>
        <v/>
      </c>
      <c r="V794" s="7" t="n">
        <f aca="true">IF(U794="تاخیر",TODAY()-AD794,IF(AND(U794="بسته",AH794&lt;&gt;"",AD794&lt;&gt;"",AH794&gt;AD794),AH794-AD794,0))</f>
        <v>0</v>
      </c>
      <c r="W794" s="7" t="str">
        <f aca="false">IF(L794="","",VALUE(LEFT(L794,FIND("/",L794)-1)))</f>
        <v/>
      </c>
      <c r="X794" s="7" t="str">
        <f aca="false">IF(L794="","",VALUE(MID(L794,FIND("/",L794)+1,FIND("/",L794,FIND("/",L794)+1)-FIND("/",L794)-1)))</f>
        <v/>
      </c>
      <c r="Y794" s="7" t="str">
        <f aca="false">IF(L794="","",VALUE(MID(L794,FIND("/",L794,FIND("/",L794)+1)+1,LEN(L794)-FIND("/",L794,FIND("/",L794)+1))))</f>
        <v/>
      </c>
      <c r="Z794" s="7" t="str">
        <f aca="false">IF(OR(L794="",W794=""),"",IFERROR(INDEX('لیست‌ها'!$Q$3:$Q$53,MATCH(W794,'لیست‌ها'!$P$3:$P$53,0))+IF(X794&lt;=6,(X794-1)*31+Y794,IF(X794&lt;=11,186+(X794-7)*30+Y794,336+Y794))-1,""))</f>
        <v/>
      </c>
      <c r="AA794" s="7" t="str">
        <f aca="false">IF(H794="","",VALUE(LEFT(H794,FIND("/",H794)-1)))</f>
        <v/>
      </c>
      <c r="AB794" s="7" t="str">
        <f aca="false">IF(H794="","",VALUE(MID(H794,FIND("/",H794)+1,FIND("/",H794,FIND("/",H794)+1)-FIND("/",H794)-1)))</f>
        <v/>
      </c>
      <c r="AC794" s="7" t="str">
        <f aca="false">IF(H794="","",VALUE(MID(H794,FIND("/",H794,FIND("/",H794)+1)+1,LEN(H794)-FIND("/",H794,FIND("/",H794)+1))))</f>
        <v/>
      </c>
      <c r="AD794" s="7" t="str">
        <f aca="false">IF(OR(H794="",AA794=""),"",IFERROR(INDEX('لیست‌ها'!$Q$3:$Q$53,MATCH(AA794,'لیست‌ها'!$P$3:$P$53,0))+IF(AB794&lt;=6,(AB794-1)*31+AC794,IF(AB794&lt;=11,186+(AB794-7)*30+AC794,336+AC794))-1,""))</f>
        <v/>
      </c>
      <c r="AE794" s="7" t="str">
        <f aca="false">IF(P794="","",VALUE(LEFT(P794,FIND("/",P794)-1)))</f>
        <v/>
      </c>
      <c r="AF794" s="7" t="str">
        <f aca="false">IF(P794="","",VALUE(MID(P794,FIND("/",P794)+1,FIND("/",P794,FIND("/",P794)+1)-FIND("/",P794)-1)))</f>
        <v/>
      </c>
      <c r="AG794" s="7" t="str">
        <f aca="false">IF(P794="","",VALUE(MID(P794,FIND("/",P794,FIND("/",P794)+1)+1,LEN(P794)-FIND("/",P794,FIND("/",P794)+1))))</f>
        <v/>
      </c>
      <c r="AH794" s="7" t="str">
        <f aca="false">IF(OR(P794="",AE794=""),"",IFERROR(INDEX('لیست‌ها'!$Q$3:$Q$53,MATCH(AE794,'لیست‌ها'!$P$3:$P$53,0))+IF(AF794&lt;=6,(AF794-1)*31+AG794,IF(AF794&lt;=11,186+(AF794-7)*30+AG794,336+AG794))-1,""))</f>
        <v/>
      </c>
      <c r="AI794" s="7" t="str">
        <f aca="false">IF(W794="","",W794&amp;"-"&amp;TEXT(X794,"00"))</f>
        <v/>
      </c>
      <c r="AJ794" s="7" t="str">
        <f aca="false">IF(W794="","",W794*12+X794)</f>
        <v/>
      </c>
      <c r="AK794" s="7" t="str">
        <f aca="false">IF(U794="تاخیر",V794+ROW()/100000,"")</f>
        <v/>
      </c>
    </row>
    <row r="795" customFormat="false" ht="15" hidden="false" customHeight="false" outlineLevel="0" collapsed="false">
      <c r="A795" s="7" t="str">
        <f aca="false">IF(B795="","",ROW()-3)</f>
        <v/>
      </c>
      <c r="B795" s="8"/>
      <c r="C795" s="8"/>
      <c r="D795" s="8"/>
      <c r="E795" s="9"/>
      <c r="F795" s="9"/>
      <c r="G795" s="8"/>
      <c r="H795" s="8"/>
      <c r="I795" s="8"/>
      <c r="J795" s="9"/>
      <c r="K795" s="8"/>
      <c r="L795" s="8"/>
      <c r="M795" s="8"/>
      <c r="N795" s="8"/>
      <c r="O795" s="8"/>
      <c r="P795" s="8"/>
      <c r="Q795" s="8"/>
      <c r="R795" s="9"/>
      <c r="S795" s="8"/>
      <c r="T795" s="9"/>
      <c r="U795" s="10" t="str">
        <f aca="true">IF(B795="","",IF(OR(P795&lt;&gt;"",I795="می‌باشد"),"بسته",IF(AND(L795&lt;&gt;"",W795=""),"خطای فرمت تاریخ ایجاد",IF(AND(H795&lt;&gt;"",AA795=""),"خطای فرمت مهلت",IF(AND(H795&lt;&gt;"",AD795&lt;&gt;"",TODAY()&gt;AD795),"تاخیر",IF(L795&lt;&gt;"","در حال انجام",""))))))</f>
        <v/>
      </c>
      <c r="V795" s="7" t="n">
        <f aca="true">IF(U795="تاخیر",TODAY()-AD795,IF(AND(U795="بسته",AH795&lt;&gt;"",AD795&lt;&gt;"",AH795&gt;AD795),AH795-AD795,0))</f>
        <v>0</v>
      </c>
      <c r="W795" s="7" t="str">
        <f aca="false">IF(L795="","",VALUE(LEFT(L795,FIND("/",L795)-1)))</f>
        <v/>
      </c>
      <c r="X795" s="7" t="str">
        <f aca="false">IF(L795="","",VALUE(MID(L795,FIND("/",L795)+1,FIND("/",L795,FIND("/",L795)+1)-FIND("/",L795)-1)))</f>
        <v/>
      </c>
      <c r="Y795" s="7" t="str">
        <f aca="false">IF(L795="","",VALUE(MID(L795,FIND("/",L795,FIND("/",L795)+1)+1,LEN(L795)-FIND("/",L795,FIND("/",L795)+1))))</f>
        <v/>
      </c>
      <c r="Z795" s="7" t="str">
        <f aca="false">IF(OR(L795="",W795=""),"",IFERROR(INDEX('لیست‌ها'!$Q$3:$Q$53,MATCH(W795,'لیست‌ها'!$P$3:$P$53,0))+IF(X795&lt;=6,(X795-1)*31+Y795,IF(X795&lt;=11,186+(X795-7)*30+Y795,336+Y795))-1,""))</f>
        <v/>
      </c>
      <c r="AA795" s="7" t="str">
        <f aca="false">IF(H795="","",VALUE(LEFT(H795,FIND("/",H795)-1)))</f>
        <v/>
      </c>
      <c r="AB795" s="7" t="str">
        <f aca="false">IF(H795="","",VALUE(MID(H795,FIND("/",H795)+1,FIND("/",H795,FIND("/",H795)+1)-FIND("/",H795)-1)))</f>
        <v/>
      </c>
      <c r="AC795" s="7" t="str">
        <f aca="false">IF(H795="","",VALUE(MID(H795,FIND("/",H795,FIND("/",H795)+1)+1,LEN(H795)-FIND("/",H795,FIND("/",H795)+1))))</f>
        <v/>
      </c>
      <c r="AD795" s="7" t="str">
        <f aca="false">IF(OR(H795="",AA795=""),"",IFERROR(INDEX('لیست‌ها'!$Q$3:$Q$53,MATCH(AA795,'لیست‌ها'!$P$3:$P$53,0))+IF(AB795&lt;=6,(AB795-1)*31+AC795,IF(AB795&lt;=11,186+(AB795-7)*30+AC795,336+AC795))-1,""))</f>
        <v/>
      </c>
      <c r="AE795" s="7" t="str">
        <f aca="false">IF(P795="","",VALUE(LEFT(P795,FIND("/",P795)-1)))</f>
        <v/>
      </c>
      <c r="AF795" s="7" t="str">
        <f aca="false">IF(P795="","",VALUE(MID(P795,FIND("/",P795)+1,FIND("/",P795,FIND("/",P795)+1)-FIND("/",P795)-1)))</f>
        <v/>
      </c>
      <c r="AG795" s="7" t="str">
        <f aca="false">IF(P795="","",VALUE(MID(P795,FIND("/",P795,FIND("/",P795)+1)+1,LEN(P795)-FIND("/",P795,FIND("/",P795)+1))))</f>
        <v/>
      </c>
      <c r="AH795" s="7" t="str">
        <f aca="false">IF(OR(P795="",AE795=""),"",IFERROR(INDEX('لیست‌ها'!$Q$3:$Q$53,MATCH(AE795,'لیست‌ها'!$P$3:$P$53,0))+IF(AF795&lt;=6,(AF795-1)*31+AG795,IF(AF795&lt;=11,186+(AF795-7)*30+AG795,336+AG795))-1,""))</f>
        <v/>
      </c>
      <c r="AI795" s="7" t="str">
        <f aca="false">IF(W795="","",W795&amp;"-"&amp;TEXT(X795,"00"))</f>
        <v/>
      </c>
      <c r="AJ795" s="7" t="str">
        <f aca="false">IF(W795="","",W795*12+X795)</f>
        <v/>
      </c>
      <c r="AK795" s="7" t="str">
        <f aca="false">IF(U795="تاخیر",V795+ROW()/100000,"")</f>
        <v/>
      </c>
    </row>
    <row r="796" customFormat="false" ht="15" hidden="false" customHeight="false" outlineLevel="0" collapsed="false">
      <c r="A796" s="7" t="str">
        <f aca="false">IF(B796="","",ROW()-3)</f>
        <v/>
      </c>
      <c r="B796" s="8"/>
      <c r="C796" s="8"/>
      <c r="D796" s="8"/>
      <c r="E796" s="9"/>
      <c r="F796" s="9"/>
      <c r="G796" s="8"/>
      <c r="H796" s="8"/>
      <c r="I796" s="8"/>
      <c r="J796" s="9"/>
      <c r="K796" s="8"/>
      <c r="L796" s="8"/>
      <c r="M796" s="8"/>
      <c r="N796" s="8"/>
      <c r="O796" s="8"/>
      <c r="P796" s="8"/>
      <c r="Q796" s="8"/>
      <c r="R796" s="9"/>
      <c r="S796" s="8"/>
      <c r="T796" s="9"/>
      <c r="U796" s="10" t="str">
        <f aca="true">IF(B796="","",IF(OR(P796&lt;&gt;"",I796="می‌باشد"),"بسته",IF(AND(L796&lt;&gt;"",W796=""),"خطای فرمت تاریخ ایجاد",IF(AND(H796&lt;&gt;"",AA796=""),"خطای فرمت مهلت",IF(AND(H796&lt;&gt;"",AD796&lt;&gt;"",TODAY()&gt;AD796),"تاخیر",IF(L796&lt;&gt;"","در حال انجام",""))))))</f>
        <v/>
      </c>
      <c r="V796" s="7" t="n">
        <f aca="true">IF(U796="تاخیر",TODAY()-AD796,IF(AND(U796="بسته",AH796&lt;&gt;"",AD796&lt;&gt;"",AH796&gt;AD796),AH796-AD796,0))</f>
        <v>0</v>
      </c>
      <c r="W796" s="7" t="str">
        <f aca="false">IF(L796="","",VALUE(LEFT(L796,FIND("/",L796)-1)))</f>
        <v/>
      </c>
      <c r="X796" s="7" t="str">
        <f aca="false">IF(L796="","",VALUE(MID(L796,FIND("/",L796)+1,FIND("/",L796,FIND("/",L796)+1)-FIND("/",L796)-1)))</f>
        <v/>
      </c>
      <c r="Y796" s="7" t="str">
        <f aca="false">IF(L796="","",VALUE(MID(L796,FIND("/",L796,FIND("/",L796)+1)+1,LEN(L796)-FIND("/",L796,FIND("/",L796)+1))))</f>
        <v/>
      </c>
      <c r="Z796" s="7" t="str">
        <f aca="false">IF(OR(L796="",W796=""),"",IFERROR(INDEX('لیست‌ها'!$Q$3:$Q$53,MATCH(W796,'لیست‌ها'!$P$3:$P$53,0))+IF(X796&lt;=6,(X796-1)*31+Y796,IF(X796&lt;=11,186+(X796-7)*30+Y796,336+Y796))-1,""))</f>
        <v/>
      </c>
      <c r="AA796" s="7" t="str">
        <f aca="false">IF(H796="","",VALUE(LEFT(H796,FIND("/",H796)-1)))</f>
        <v/>
      </c>
      <c r="AB796" s="7" t="str">
        <f aca="false">IF(H796="","",VALUE(MID(H796,FIND("/",H796)+1,FIND("/",H796,FIND("/",H796)+1)-FIND("/",H796)-1)))</f>
        <v/>
      </c>
      <c r="AC796" s="7" t="str">
        <f aca="false">IF(H796="","",VALUE(MID(H796,FIND("/",H796,FIND("/",H796)+1)+1,LEN(H796)-FIND("/",H796,FIND("/",H796)+1))))</f>
        <v/>
      </c>
      <c r="AD796" s="7" t="str">
        <f aca="false">IF(OR(H796="",AA796=""),"",IFERROR(INDEX('لیست‌ها'!$Q$3:$Q$53,MATCH(AA796,'لیست‌ها'!$P$3:$P$53,0))+IF(AB796&lt;=6,(AB796-1)*31+AC796,IF(AB796&lt;=11,186+(AB796-7)*30+AC796,336+AC796))-1,""))</f>
        <v/>
      </c>
      <c r="AE796" s="7" t="str">
        <f aca="false">IF(P796="","",VALUE(LEFT(P796,FIND("/",P796)-1)))</f>
        <v/>
      </c>
      <c r="AF796" s="7" t="str">
        <f aca="false">IF(P796="","",VALUE(MID(P796,FIND("/",P796)+1,FIND("/",P796,FIND("/",P796)+1)-FIND("/",P796)-1)))</f>
        <v/>
      </c>
      <c r="AG796" s="7" t="str">
        <f aca="false">IF(P796="","",VALUE(MID(P796,FIND("/",P796,FIND("/",P796)+1)+1,LEN(P796)-FIND("/",P796,FIND("/",P796)+1))))</f>
        <v/>
      </c>
      <c r="AH796" s="7" t="str">
        <f aca="false">IF(OR(P796="",AE796=""),"",IFERROR(INDEX('لیست‌ها'!$Q$3:$Q$53,MATCH(AE796,'لیست‌ها'!$P$3:$P$53,0))+IF(AF796&lt;=6,(AF796-1)*31+AG796,IF(AF796&lt;=11,186+(AF796-7)*30+AG796,336+AG796))-1,""))</f>
        <v/>
      </c>
      <c r="AI796" s="7" t="str">
        <f aca="false">IF(W796="","",W796&amp;"-"&amp;TEXT(X796,"00"))</f>
        <v/>
      </c>
      <c r="AJ796" s="7" t="str">
        <f aca="false">IF(W796="","",W796*12+X796)</f>
        <v/>
      </c>
      <c r="AK796" s="7" t="str">
        <f aca="false">IF(U796="تاخیر",V796+ROW()/100000,"")</f>
        <v/>
      </c>
    </row>
    <row r="797" customFormat="false" ht="15" hidden="false" customHeight="false" outlineLevel="0" collapsed="false">
      <c r="A797" s="7" t="str">
        <f aca="false">IF(B797="","",ROW()-3)</f>
        <v/>
      </c>
      <c r="B797" s="8"/>
      <c r="C797" s="8"/>
      <c r="D797" s="8"/>
      <c r="E797" s="9"/>
      <c r="F797" s="9"/>
      <c r="G797" s="8"/>
      <c r="H797" s="8"/>
      <c r="I797" s="8"/>
      <c r="J797" s="9"/>
      <c r="K797" s="8"/>
      <c r="L797" s="8"/>
      <c r="M797" s="8"/>
      <c r="N797" s="8"/>
      <c r="O797" s="8"/>
      <c r="P797" s="8"/>
      <c r="Q797" s="8"/>
      <c r="R797" s="9"/>
      <c r="S797" s="8"/>
      <c r="T797" s="9"/>
      <c r="U797" s="10" t="str">
        <f aca="true">IF(B797="","",IF(OR(P797&lt;&gt;"",I797="می‌باشد"),"بسته",IF(AND(L797&lt;&gt;"",W797=""),"خطای فرمت تاریخ ایجاد",IF(AND(H797&lt;&gt;"",AA797=""),"خطای فرمت مهلت",IF(AND(H797&lt;&gt;"",AD797&lt;&gt;"",TODAY()&gt;AD797),"تاخیر",IF(L797&lt;&gt;"","در حال انجام",""))))))</f>
        <v/>
      </c>
      <c r="V797" s="7" t="n">
        <f aca="true">IF(U797="تاخیر",TODAY()-AD797,IF(AND(U797="بسته",AH797&lt;&gt;"",AD797&lt;&gt;"",AH797&gt;AD797),AH797-AD797,0))</f>
        <v>0</v>
      </c>
      <c r="W797" s="7" t="str">
        <f aca="false">IF(L797="","",VALUE(LEFT(L797,FIND("/",L797)-1)))</f>
        <v/>
      </c>
      <c r="X797" s="7" t="str">
        <f aca="false">IF(L797="","",VALUE(MID(L797,FIND("/",L797)+1,FIND("/",L797,FIND("/",L797)+1)-FIND("/",L797)-1)))</f>
        <v/>
      </c>
      <c r="Y797" s="7" t="str">
        <f aca="false">IF(L797="","",VALUE(MID(L797,FIND("/",L797,FIND("/",L797)+1)+1,LEN(L797)-FIND("/",L797,FIND("/",L797)+1))))</f>
        <v/>
      </c>
      <c r="Z797" s="7" t="str">
        <f aca="false">IF(OR(L797="",W797=""),"",IFERROR(INDEX('لیست‌ها'!$Q$3:$Q$53,MATCH(W797,'لیست‌ها'!$P$3:$P$53,0))+IF(X797&lt;=6,(X797-1)*31+Y797,IF(X797&lt;=11,186+(X797-7)*30+Y797,336+Y797))-1,""))</f>
        <v/>
      </c>
      <c r="AA797" s="7" t="str">
        <f aca="false">IF(H797="","",VALUE(LEFT(H797,FIND("/",H797)-1)))</f>
        <v/>
      </c>
      <c r="AB797" s="7" t="str">
        <f aca="false">IF(H797="","",VALUE(MID(H797,FIND("/",H797)+1,FIND("/",H797,FIND("/",H797)+1)-FIND("/",H797)-1)))</f>
        <v/>
      </c>
      <c r="AC797" s="7" t="str">
        <f aca="false">IF(H797="","",VALUE(MID(H797,FIND("/",H797,FIND("/",H797)+1)+1,LEN(H797)-FIND("/",H797,FIND("/",H797)+1))))</f>
        <v/>
      </c>
      <c r="AD797" s="7" t="str">
        <f aca="false">IF(OR(H797="",AA797=""),"",IFERROR(INDEX('لیست‌ها'!$Q$3:$Q$53,MATCH(AA797,'لیست‌ها'!$P$3:$P$53,0))+IF(AB797&lt;=6,(AB797-1)*31+AC797,IF(AB797&lt;=11,186+(AB797-7)*30+AC797,336+AC797))-1,""))</f>
        <v/>
      </c>
      <c r="AE797" s="7" t="str">
        <f aca="false">IF(P797="","",VALUE(LEFT(P797,FIND("/",P797)-1)))</f>
        <v/>
      </c>
      <c r="AF797" s="7" t="str">
        <f aca="false">IF(P797="","",VALUE(MID(P797,FIND("/",P797)+1,FIND("/",P797,FIND("/",P797)+1)-FIND("/",P797)-1)))</f>
        <v/>
      </c>
      <c r="AG797" s="7" t="str">
        <f aca="false">IF(P797="","",VALUE(MID(P797,FIND("/",P797,FIND("/",P797)+1)+1,LEN(P797)-FIND("/",P797,FIND("/",P797)+1))))</f>
        <v/>
      </c>
      <c r="AH797" s="7" t="str">
        <f aca="false">IF(OR(P797="",AE797=""),"",IFERROR(INDEX('لیست‌ها'!$Q$3:$Q$53,MATCH(AE797,'لیست‌ها'!$P$3:$P$53,0))+IF(AF797&lt;=6,(AF797-1)*31+AG797,IF(AF797&lt;=11,186+(AF797-7)*30+AG797,336+AG797))-1,""))</f>
        <v/>
      </c>
      <c r="AI797" s="7" t="str">
        <f aca="false">IF(W797="","",W797&amp;"-"&amp;TEXT(X797,"00"))</f>
        <v/>
      </c>
      <c r="AJ797" s="7" t="str">
        <f aca="false">IF(W797="","",W797*12+X797)</f>
        <v/>
      </c>
      <c r="AK797" s="7" t="str">
        <f aca="false">IF(U797="تاخیر",V797+ROW()/100000,"")</f>
        <v/>
      </c>
    </row>
    <row r="798" customFormat="false" ht="15" hidden="false" customHeight="false" outlineLevel="0" collapsed="false">
      <c r="A798" s="7" t="str">
        <f aca="false">IF(B798="","",ROW()-3)</f>
        <v/>
      </c>
      <c r="B798" s="8"/>
      <c r="C798" s="8"/>
      <c r="D798" s="8"/>
      <c r="E798" s="9"/>
      <c r="F798" s="9"/>
      <c r="G798" s="8"/>
      <c r="H798" s="8"/>
      <c r="I798" s="8"/>
      <c r="J798" s="9"/>
      <c r="K798" s="8"/>
      <c r="L798" s="8"/>
      <c r="M798" s="8"/>
      <c r="N798" s="8"/>
      <c r="O798" s="8"/>
      <c r="P798" s="8"/>
      <c r="Q798" s="8"/>
      <c r="R798" s="9"/>
      <c r="S798" s="8"/>
      <c r="T798" s="9"/>
      <c r="U798" s="10" t="str">
        <f aca="true">IF(B798="","",IF(OR(P798&lt;&gt;"",I798="می‌باشد"),"بسته",IF(AND(L798&lt;&gt;"",W798=""),"خطای فرمت تاریخ ایجاد",IF(AND(H798&lt;&gt;"",AA798=""),"خطای فرمت مهلت",IF(AND(H798&lt;&gt;"",AD798&lt;&gt;"",TODAY()&gt;AD798),"تاخیر",IF(L798&lt;&gt;"","در حال انجام",""))))))</f>
        <v/>
      </c>
      <c r="V798" s="7" t="n">
        <f aca="true">IF(U798="تاخیر",TODAY()-AD798,IF(AND(U798="بسته",AH798&lt;&gt;"",AD798&lt;&gt;"",AH798&gt;AD798),AH798-AD798,0))</f>
        <v>0</v>
      </c>
      <c r="W798" s="7" t="str">
        <f aca="false">IF(L798="","",VALUE(LEFT(L798,FIND("/",L798)-1)))</f>
        <v/>
      </c>
      <c r="X798" s="7" t="str">
        <f aca="false">IF(L798="","",VALUE(MID(L798,FIND("/",L798)+1,FIND("/",L798,FIND("/",L798)+1)-FIND("/",L798)-1)))</f>
        <v/>
      </c>
      <c r="Y798" s="7" t="str">
        <f aca="false">IF(L798="","",VALUE(MID(L798,FIND("/",L798,FIND("/",L798)+1)+1,LEN(L798)-FIND("/",L798,FIND("/",L798)+1))))</f>
        <v/>
      </c>
      <c r="Z798" s="7" t="str">
        <f aca="false">IF(OR(L798="",W798=""),"",IFERROR(INDEX('لیست‌ها'!$Q$3:$Q$53,MATCH(W798,'لیست‌ها'!$P$3:$P$53,0))+IF(X798&lt;=6,(X798-1)*31+Y798,IF(X798&lt;=11,186+(X798-7)*30+Y798,336+Y798))-1,""))</f>
        <v/>
      </c>
      <c r="AA798" s="7" t="str">
        <f aca="false">IF(H798="","",VALUE(LEFT(H798,FIND("/",H798)-1)))</f>
        <v/>
      </c>
      <c r="AB798" s="7" t="str">
        <f aca="false">IF(H798="","",VALUE(MID(H798,FIND("/",H798)+1,FIND("/",H798,FIND("/",H798)+1)-FIND("/",H798)-1)))</f>
        <v/>
      </c>
      <c r="AC798" s="7" t="str">
        <f aca="false">IF(H798="","",VALUE(MID(H798,FIND("/",H798,FIND("/",H798)+1)+1,LEN(H798)-FIND("/",H798,FIND("/",H798)+1))))</f>
        <v/>
      </c>
      <c r="AD798" s="7" t="str">
        <f aca="false">IF(OR(H798="",AA798=""),"",IFERROR(INDEX('لیست‌ها'!$Q$3:$Q$53,MATCH(AA798,'لیست‌ها'!$P$3:$P$53,0))+IF(AB798&lt;=6,(AB798-1)*31+AC798,IF(AB798&lt;=11,186+(AB798-7)*30+AC798,336+AC798))-1,""))</f>
        <v/>
      </c>
      <c r="AE798" s="7" t="str">
        <f aca="false">IF(P798="","",VALUE(LEFT(P798,FIND("/",P798)-1)))</f>
        <v/>
      </c>
      <c r="AF798" s="7" t="str">
        <f aca="false">IF(P798="","",VALUE(MID(P798,FIND("/",P798)+1,FIND("/",P798,FIND("/",P798)+1)-FIND("/",P798)-1)))</f>
        <v/>
      </c>
      <c r="AG798" s="7" t="str">
        <f aca="false">IF(P798="","",VALUE(MID(P798,FIND("/",P798,FIND("/",P798)+1)+1,LEN(P798)-FIND("/",P798,FIND("/",P798)+1))))</f>
        <v/>
      </c>
      <c r="AH798" s="7" t="str">
        <f aca="false">IF(OR(P798="",AE798=""),"",IFERROR(INDEX('لیست‌ها'!$Q$3:$Q$53,MATCH(AE798,'لیست‌ها'!$P$3:$P$53,0))+IF(AF798&lt;=6,(AF798-1)*31+AG798,IF(AF798&lt;=11,186+(AF798-7)*30+AG798,336+AG798))-1,""))</f>
        <v/>
      </c>
      <c r="AI798" s="7" t="str">
        <f aca="false">IF(W798="","",W798&amp;"-"&amp;TEXT(X798,"00"))</f>
        <v/>
      </c>
      <c r="AJ798" s="7" t="str">
        <f aca="false">IF(W798="","",W798*12+X798)</f>
        <v/>
      </c>
      <c r="AK798" s="7" t="str">
        <f aca="false">IF(U798="تاخیر",V798+ROW()/100000,"")</f>
        <v/>
      </c>
    </row>
    <row r="799" customFormat="false" ht="15" hidden="false" customHeight="false" outlineLevel="0" collapsed="false">
      <c r="A799" s="7" t="str">
        <f aca="false">IF(B799="","",ROW()-3)</f>
        <v/>
      </c>
      <c r="B799" s="8"/>
      <c r="C799" s="8"/>
      <c r="D799" s="8"/>
      <c r="E799" s="9"/>
      <c r="F799" s="9"/>
      <c r="G799" s="8"/>
      <c r="H799" s="8"/>
      <c r="I799" s="8"/>
      <c r="J799" s="9"/>
      <c r="K799" s="8"/>
      <c r="L799" s="8"/>
      <c r="M799" s="8"/>
      <c r="N799" s="8"/>
      <c r="O799" s="8"/>
      <c r="P799" s="8"/>
      <c r="Q799" s="8"/>
      <c r="R799" s="9"/>
      <c r="S799" s="8"/>
      <c r="T799" s="9"/>
      <c r="U799" s="10" t="str">
        <f aca="true">IF(B799="","",IF(OR(P799&lt;&gt;"",I799="می‌باشد"),"بسته",IF(AND(L799&lt;&gt;"",W799=""),"خطای فرمت تاریخ ایجاد",IF(AND(H799&lt;&gt;"",AA799=""),"خطای فرمت مهلت",IF(AND(H799&lt;&gt;"",AD799&lt;&gt;"",TODAY()&gt;AD799),"تاخیر",IF(L799&lt;&gt;"","در حال انجام",""))))))</f>
        <v/>
      </c>
      <c r="V799" s="7" t="n">
        <f aca="true">IF(U799="تاخیر",TODAY()-AD799,IF(AND(U799="بسته",AH799&lt;&gt;"",AD799&lt;&gt;"",AH799&gt;AD799),AH799-AD799,0))</f>
        <v>0</v>
      </c>
      <c r="W799" s="7" t="str">
        <f aca="false">IF(L799="","",VALUE(LEFT(L799,FIND("/",L799)-1)))</f>
        <v/>
      </c>
      <c r="X799" s="7" t="str">
        <f aca="false">IF(L799="","",VALUE(MID(L799,FIND("/",L799)+1,FIND("/",L799,FIND("/",L799)+1)-FIND("/",L799)-1)))</f>
        <v/>
      </c>
      <c r="Y799" s="7" t="str">
        <f aca="false">IF(L799="","",VALUE(MID(L799,FIND("/",L799,FIND("/",L799)+1)+1,LEN(L799)-FIND("/",L799,FIND("/",L799)+1))))</f>
        <v/>
      </c>
      <c r="Z799" s="7" t="str">
        <f aca="false">IF(OR(L799="",W799=""),"",IFERROR(INDEX('لیست‌ها'!$Q$3:$Q$53,MATCH(W799,'لیست‌ها'!$P$3:$P$53,0))+IF(X799&lt;=6,(X799-1)*31+Y799,IF(X799&lt;=11,186+(X799-7)*30+Y799,336+Y799))-1,""))</f>
        <v/>
      </c>
      <c r="AA799" s="7" t="str">
        <f aca="false">IF(H799="","",VALUE(LEFT(H799,FIND("/",H799)-1)))</f>
        <v/>
      </c>
      <c r="AB799" s="7" t="str">
        <f aca="false">IF(H799="","",VALUE(MID(H799,FIND("/",H799)+1,FIND("/",H799,FIND("/",H799)+1)-FIND("/",H799)-1)))</f>
        <v/>
      </c>
      <c r="AC799" s="7" t="str">
        <f aca="false">IF(H799="","",VALUE(MID(H799,FIND("/",H799,FIND("/",H799)+1)+1,LEN(H799)-FIND("/",H799,FIND("/",H799)+1))))</f>
        <v/>
      </c>
      <c r="AD799" s="7" t="str">
        <f aca="false">IF(OR(H799="",AA799=""),"",IFERROR(INDEX('لیست‌ها'!$Q$3:$Q$53,MATCH(AA799,'لیست‌ها'!$P$3:$P$53,0))+IF(AB799&lt;=6,(AB799-1)*31+AC799,IF(AB799&lt;=11,186+(AB799-7)*30+AC799,336+AC799))-1,""))</f>
        <v/>
      </c>
      <c r="AE799" s="7" t="str">
        <f aca="false">IF(P799="","",VALUE(LEFT(P799,FIND("/",P799)-1)))</f>
        <v/>
      </c>
      <c r="AF799" s="7" t="str">
        <f aca="false">IF(P799="","",VALUE(MID(P799,FIND("/",P799)+1,FIND("/",P799,FIND("/",P799)+1)-FIND("/",P799)-1)))</f>
        <v/>
      </c>
      <c r="AG799" s="7" t="str">
        <f aca="false">IF(P799="","",VALUE(MID(P799,FIND("/",P799,FIND("/",P799)+1)+1,LEN(P799)-FIND("/",P799,FIND("/",P799)+1))))</f>
        <v/>
      </c>
      <c r="AH799" s="7" t="str">
        <f aca="false">IF(OR(P799="",AE799=""),"",IFERROR(INDEX('لیست‌ها'!$Q$3:$Q$53,MATCH(AE799,'لیست‌ها'!$P$3:$P$53,0))+IF(AF799&lt;=6,(AF799-1)*31+AG799,IF(AF799&lt;=11,186+(AF799-7)*30+AG799,336+AG799))-1,""))</f>
        <v/>
      </c>
      <c r="AI799" s="7" t="str">
        <f aca="false">IF(W799="","",W799&amp;"-"&amp;TEXT(X799,"00"))</f>
        <v/>
      </c>
      <c r="AJ799" s="7" t="str">
        <f aca="false">IF(W799="","",W799*12+X799)</f>
        <v/>
      </c>
      <c r="AK799" s="7" t="str">
        <f aca="false">IF(U799="تاخیر",V799+ROW()/100000,"")</f>
        <v/>
      </c>
    </row>
    <row r="800" customFormat="false" ht="15" hidden="false" customHeight="false" outlineLevel="0" collapsed="false">
      <c r="A800" s="7" t="str">
        <f aca="false">IF(B800="","",ROW()-3)</f>
        <v/>
      </c>
      <c r="B800" s="8"/>
      <c r="C800" s="8"/>
      <c r="D800" s="8"/>
      <c r="E800" s="9"/>
      <c r="F800" s="9"/>
      <c r="G800" s="8"/>
      <c r="H800" s="8"/>
      <c r="I800" s="8"/>
      <c r="J800" s="9"/>
      <c r="K800" s="8"/>
      <c r="L800" s="8"/>
      <c r="M800" s="8"/>
      <c r="N800" s="8"/>
      <c r="O800" s="8"/>
      <c r="P800" s="8"/>
      <c r="Q800" s="8"/>
      <c r="R800" s="9"/>
      <c r="S800" s="8"/>
      <c r="T800" s="9"/>
      <c r="U800" s="10" t="str">
        <f aca="true">IF(B800="","",IF(OR(P800&lt;&gt;"",I800="می‌باشد"),"بسته",IF(AND(L800&lt;&gt;"",W800=""),"خطای فرمت تاریخ ایجاد",IF(AND(H800&lt;&gt;"",AA800=""),"خطای فرمت مهلت",IF(AND(H800&lt;&gt;"",AD800&lt;&gt;"",TODAY()&gt;AD800),"تاخیر",IF(L800&lt;&gt;"","در حال انجام",""))))))</f>
        <v/>
      </c>
      <c r="V800" s="7" t="n">
        <f aca="true">IF(U800="تاخیر",TODAY()-AD800,IF(AND(U800="بسته",AH800&lt;&gt;"",AD800&lt;&gt;"",AH800&gt;AD800),AH800-AD800,0))</f>
        <v>0</v>
      </c>
      <c r="W800" s="7" t="str">
        <f aca="false">IF(L800="","",VALUE(LEFT(L800,FIND("/",L800)-1)))</f>
        <v/>
      </c>
      <c r="X800" s="7" t="str">
        <f aca="false">IF(L800="","",VALUE(MID(L800,FIND("/",L800)+1,FIND("/",L800,FIND("/",L800)+1)-FIND("/",L800)-1)))</f>
        <v/>
      </c>
      <c r="Y800" s="7" t="str">
        <f aca="false">IF(L800="","",VALUE(MID(L800,FIND("/",L800,FIND("/",L800)+1)+1,LEN(L800)-FIND("/",L800,FIND("/",L800)+1))))</f>
        <v/>
      </c>
      <c r="Z800" s="7" t="str">
        <f aca="false">IF(OR(L800="",W800=""),"",IFERROR(INDEX('لیست‌ها'!$Q$3:$Q$53,MATCH(W800,'لیست‌ها'!$P$3:$P$53,0))+IF(X800&lt;=6,(X800-1)*31+Y800,IF(X800&lt;=11,186+(X800-7)*30+Y800,336+Y800))-1,""))</f>
        <v/>
      </c>
      <c r="AA800" s="7" t="str">
        <f aca="false">IF(H800="","",VALUE(LEFT(H800,FIND("/",H800)-1)))</f>
        <v/>
      </c>
      <c r="AB800" s="7" t="str">
        <f aca="false">IF(H800="","",VALUE(MID(H800,FIND("/",H800)+1,FIND("/",H800,FIND("/",H800)+1)-FIND("/",H800)-1)))</f>
        <v/>
      </c>
      <c r="AC800" s="7" t="str">
        <f aca="false">IF(H800="","",VALUE(MID(H800,FIND("/",H800,FIND("/",H800)+1)+1,LEN(H800)-FIND("/",H800,FIND("/",H800)+1))))</f>
        <v/>
      </c>
      <c r="AD800" s="7" t="str">
        <f aca="false">IF(OR(H800="",AA800=""),"",IFERROR(INDEX('لیست‌ها'!$Q$3:$Q$53,MATCH(AA800,'لیست‌ها'!$P$3:$P$53,0))+IF(AB800&lt;=6,(AB800-1)*31+AC800,IF(AB800&lt;=11,186+(AB800-7)*30+AC800,336+AC800))-1,""))</f>
        <v/>
      </c>
      <c r="AE800" s="7" t="str">
        <f aca="false">IF(P800="","",VALUE(LEFT(P800,FIND("/",P800)-1)))</f>
        <v/>
      </c>
      <c r="AF800" s="7" t="str">
        <f aca="false">IF(P800="","",VALUE(MID(P800,FIND("/",P800)+1,FIND("/",P800,FIND("/",P800)+1)-FIND("/",P800)-1)))</f>
        <v/>
      </c>
      <c r="AG800" s="7" t="str">
        <f aca="false">IF(P800="","",VALUE(MID(P800,FIND("/",P800,FIND("/",P800)+1)+1,LEN(P800)-FIND("/",P800,FIND("/",P800)+1))))</f>
        <v/>
      </c>
      <c r="AH800" s="7" t="str">
        <f aca="false">IF(OR(P800="",AE800=""),"",IFERROR(INDEX('لیست‌ها'!$Q$3:$Q$53,MATCH(AE800,'لیست‌ها'!$P$3:$P$53,0))+IF(AF800&lt;=6,(AF800-1)*31+AG800,IF(AF800&lt;=11,186+(AF800-7)*30+AG800,336+AG800))-1,""))</f>
        <v/>
      </c>
      <c r="AI800" s="7" t="str">
        <f aca="false">IF(W800="","",W800&amp;"-"&amp;TEXT(X800,"00"))</f>
        <v/>
      </c>
      <c r="AJ800" s="7" t="str">
        <f aca="false">IF(W800="","",W800*12+X800)</f>
        <v/>
      </c>
      <c r="AK800" s="7" t="str">
        <f aca="false">IF(U800="تاخیر",V800+ROW()/100000,"")</f>
        <v/>
      </c>
    </row>
    <row r="801" customFormat="false" ht="15" hidden="false" customHeight="false" outlineLevel="0" collapsed="false">
      <c r="A801" s="7" t="str">
        <f aca="false">IF(B801="","",ROW()-3)</f>
        <v/>
      </c>
      <c r="B801" s="8"/>
      <c r="C801" s="8"/>
      <c r="D801" s="8"/>
      <c r="E801" s="9"/>
      <c r="F801" s="9"/>
      <c r="G801" s="8"/>
      <c r="H801" s="8"/>
      <c r="I801" s="8"/>
      <c r="J801" s="9"/>
      <c r="K801" s="8"/>
      <c r="L801" s="8"/>
      <c r="M801" s="8"/>
      <c r="N801" s="8"/>
      <c r="O801" s="8"/>
      <c r="P801" s="8"/>
      <c r="Q801" s="8"/>
      <c r="R801" s="9"/>
      <c r="S801" s="8"/>
      <c r="T801" s="9"/>
      <c r="U801" s="10" t="str">
        <f aca="true">IF(B801="","",IF(OR(P801&lt;&gt;"",I801="می‌باشد"),"بسته",IF(AND(L801&lt;&gt;"",W801=""),"خطای فرمت تاریخ ایجاد",IF(AND(H801&lt;&gt;"",AA801=""),"خطای فرمت مهلت",IF(AND(H801&lt;&gt;"",AD801&lt;&gt;"",TODAY()&gt;AD801),"تاخیر",IF(L801&lt;&gt;"","در حال انجام",""))))))</f>
        <v/>
      </c>
      <c r="V801" s="7" t="n">
        <f aca="true">IF(U801="تاخیر",TODAY()-AD801,IF(AND(U801="بسته",AH801&lt;&gt;"",AD801&lt;&gt;"",AH801&gt;AD801),AH801-AD801,0))</f>
        <v>0</v>
      </c>
      <c r="W801" s="7" t="str">
        <f aca="false">IF(L801="","",VALUE(LEFT(L801,FIND("/",L801)-1)))</f>
        <v/>
      </c>
      <c r="X801" s="7" t="str">
        <f aca="false">IF(L801="","",VALUE(MID(L801,FIND("/",L801)+1,FIND("/",L801,FIND("/",L801)+1)-FIND("/",L801)-1)))</f>
        <v/>
      </c>
      <c r="Y801" s="7" t="str">
        <f aca="false">IF(L801="","",VALUE(MID(L801,FIND("/",L801,FIND("/",L801)+1)+1,LEN(L801)-FIND("/",L801,FIND("/",L801)+1))))</f>
        <v/>
      </c>
      <c r="Z801" s="7" t="str">
        <f aca="false">IF(OR(L801="",W801=""),"",IFERROR(INDEX('لیست‌ها'!$Q$3:$Q$53,MATCH(W801,'لیست‌ها'!$P$3:$P$53,0))+IF(X801&lt;=6,(X801-1)*31+Y801,IF(X801&lt;=11,186+(X801-7)*30+Y801,336+Y801))-1,""))</f>
        <v/>
      </c>
      <c r="AA801" s="7" t="str">
        <f aca="false">IF(H801="","",VALUE(LEFT(H801,FIND("/",H801)-1)))</f>
        <v/>
      </c>
      <c r="AB801" s="7" t="str">
        <f aca="false">IF(H801="","",VALUE(MID(H801,FIND("/",H801)+1,FIND("/",H801,FIND("/",H801)+1)-FIND("/",H801)-1)))</f>
        <v/>
      </c>
      <c r="AC801" s="7" t="str">
        <f aca="false">IF(H801="","",VALUE(MID(H801,FIND("/",H801,FIND("/",H801)+1)+1,LEN(H801)-FIND("/",H801,FIND("/",H801)+1))))</f>
        <v/>
      </c>
      <c r="AD801" s="7" t="str">
        <f aca="false">IF(OR(H801="",AA801=""),"",IFERROR(INDEX('لیست‌ها'!$Q$3:$Q$53,MATCH(AA801,'لیست‌ها'!$P$3:$P$53,0))+IF(AB801&lt;=6,(AB801-1)*31+AC801,IF(AB801&lt;=11,186+(AB801-7)*30+AC801,336+AC801))-1,""))</f>
        <v/>
      </c>
      <c r="AE801" s="7" t="str">
        <f aca="false">IF(P801="","",VALUE(LEFT(P801,FIND("/",P801)-1)))</f>
        <v/>
      </c>
      <c r="AF801" s="7" t="str">
        <f aca="false">IF(P801="","",VALUE(MID(P801,FIND("/",P801)+1,FIND("/",P801,FIND("/",P801)+1)-FIND("/",P801)-1)))</f>
        <v/>
      </c>
      <c r="AG801" s="7" t="str">
        <f aca="false">IF(P801="","",VALUE(MID(P801,FIND("/",P801,FIND("/",P801)+1)+1,LEN(P801)-FIND("/",P801,FIND("/",P801)+1))))</f>
        <v/>
      </c>
      <c r="AH801" s="7" t="str">
        <f aca="false">IF(OR(P801="",AE801=""),"",IFERROR(INDEX('لیست‌ها'!$Q$3:$Q$53,MATCH(AE801,'لیست‌ها'!$P$3:$P$53,0))+IF(AF801&lt;=6,(AF801-1)*31+AG801,IF(AF801&lt;=11,186+(AF801-7)*30+AG801,336+AG801))-1,""))</f>
        <v/>
      </c>
      <c r="AI801" s="7" t="str">
        <f aca="false">IF(W801="","",W801&amp;"-"&amp;TEXT(X801,"00"))</f>
        <v/>
      </c>
      <c r="AJ801" s="7" t="str">
        <f aca="false">IF(W801="","",W801*12+X801)</f>
        <v/>
      </c>
      <c r="AK801" s="7" t="str">
        <f aca="false">IF(U801="تاخیر",V801+ROW()/100000,"")</f>
        <v/>
      </c>
    </row>
    <row r="802" customFormat="false" ht="15" hidden="false" customHeight="false" outlineLevel="0" collapsed="false">
      <c r="A802" s="7" t="str">
        <f aca="false">IF(B802="","",ROW()-3)</f>
        <v/>
      </c>
      <c r="B802" s="8"/>
      <c r="C802" s="8"/>
      <c r="D802" s="8"/>
      <c r="E802" s="9"/>
      <c r="F802" s="9"/>
      <c r="G802" s="8"/>
      <c r="H802" s="8"/>
      <c r="I802" s="8"/>
      <c r="J802" s="9"/>
      <c r="K802" s="8"/>
      <c r="L802" s="8"/>
      <c r="M802" s="8"/>
      <c r="N802" s="8"/>
      <c r="O802" s="8"/>
      <c r="P802" s="8"/>
      <c r="Q802" s="8"/>
      <c r="R802" s="9"/>
      <c r="S802" s="8"/>
      <c r="T802" s="9"/>
      <c r="U802" s="10" t="str">
        <f aca="true">IF(B802="","",IF(OR(P802&lt;&gt;"",I802="می‌باشد"),"بسته",IF(AND(L802&lt;&gt;"",W802=""),"خطای فرمت تاریخ ایجاد",IF(AND(H802&lt;&gt;"",AA802=""),"خطای فرمت مهلت",IF(AND(H802&lt;&gt;"",AD802&lt;&gt;"",TODAY()&gt;AD802),"تاخیر",IF(L802&lt;&gt;"","در حال انجام",""))))))</f>
        <v/>
      </c>
      <c r="V802" s="7" t="n">
        <f aca="true">IF(U802="تاخیر",TODAY()-AD802,IF(AND(U802="بسته",AH802&lt;&gt;"",AD802&lt;&gt;"",AH802&gt;AD802),AH802-AD802,0))</f>
        <v>0</v>
      </c>
      <c r="W802" s="7" t="str">
        <f aca="false">IF(L802="","",VALUE(LEFT(L802,FIND("/",L802)-1)))</f>
        <v/>
      </c>
      <c r="X802" s="7" t="str">
        <f aca="false">IF(L802="","",VALUE(MID(L802,FIND("/",L802)+1,FIND("/",L802,FIND("/",L802)+1)-FIND("/",L802)-1)))</f>
        <v/>
      </c>
      <c r="Y802" s="7" t="str">
        <f aca="false">IF(L802="","",VALUE(MID(L802,FIND("/",L802,FIND("/",L802)+1)+1,LEN(L802)-FIND("/",L802,FIND("/",L802)+1))))</f>
        <v/>
      </c>
      <c r="Z802" s="7" t="str">
        <f aca="false">IF(OR(L802="",W802=""),"",IFERROR(INDEX('لیست‌ها'!$Q$3:$Q$53,MATCH(W802,'لیست‌ها'!$P$3:$P$53,0))+IF(X802&lt;=6,(X802-1)*31+Y802,IF(X802&lt;=11,186+(X802-7)*30+Y802,336+Y802))-1,""))</f>
        <v/>
      </c>
      <c r="AA802" s="7" t="str">
        <f aca="false">IF(H802="","",VALUE(LEFT(H802,FIND("/",H802)-1)))</f>
        <v/>
      </c>
      <c r="AB802" s="7" t="str">
        <f aca="false">IF(H802="","",VALUE(MID(H802,FIND("/",H802)+1,FIND("/",H802,FIND("/",H802)+1)-FIND("/",H802)-1)))</f>
        <v/>
      </c>
      <c r="AC802" s="7" t="str">
        <f aca="false">IF(H802="","",VALUE(MID(H802,FIND("/",H802,FIND("/",H802)+1)+1,LEN(H802)-FIND("/",H802,FIND("/",H802)+1))))</f>
        <v/>
      </c>
      <c r="AD802" s="7" t="str">
        <f aca="false">IF(OR(H802="",AA802=""),"",IFERROR(INDEX('لیست‌ها'!$Q$3:$Q$53,MATCH(AA802,'لیست‌ها'!$P$3:$P$53,0))+IF(AB802&lt;=6,(AB802-1)*31+AC802,IF(AB802&lt;=11,186+(AB802-7)*30+AC802,336+AC802))-1,""))</f>
        <v/>
      </c>
      <c r="AE802" s="7" t="str">
        <f aca="false">IF(P802="","",VALUE(LEFT(P802,FIND("/",P802)-1)))</f>
        <v/>
      </c>
      <c r="AF802" s="7" t="str">
        <f aca="false">IF(P802="","",VALUE(MID(P802,FIND("/",P802)+1,FIND("/",P802,FIND("/",P802)+1)-FIND("/",P802)-1)))</f>
        <v/>
      </c>
      <c r="AG802" s="7" t="str">
        <f aca="false">IF(P802="","",VALUE(MID(P802,FIND("/",P802,FIND("/",P802)+1)+1,LEN(P802)-FIND("/",P802,FIND("/",P802)+1))))</f>
        <v/>
      </c>
      <c r="AH802" s="7" t="str">
        <f aca="false">IF(OR(P802="",AE802=""),"",IFERROR(INDEX('لیست‌ها'!$Q$3:$Q$53,MATCH(AE802,'لیست‌ها'!$P$3:$P$53,0))+IF(AF802&lt;=6,(AF802-1)*31+AG802,IF(AF802&lt;=11,186+(AF802-7)*30+AG802,336+AG802))-1,""))</f>
        <v/>
      </c>
      <c r="AI802" s="7" t="str">
        <f aca="false">IF(W802="","",W802&amp;"-"&amp;TEXT(X802,"00"))</f>
        <v/>
      </c>
      <c r="AJ802" s="7" t="str">
        <f aca="false">IF(W802="","",W802*12+X802)</f>
        <v/>
      </c>
      <c r="AK802" s="7" t="str">
        <f aca="false">IF(U802="تاخیر",V802+ROW()/100000,"")</f>
        <v/>
      </c>
    </row>
    <row r="803" customFormat="false" ht="15" hidden="false" customHeight="false" outlineLevel="0" collapsed="false">
      <c r="A803" s="7" t="str">
        <f aca="false">IF(B803="","",ROW()-3)</f>
        <v/>
      </c>
      <c r="B803" s="8"/>
      <c r="C803" s="8"/>
      <c r="D803" s="8"/>
      <c r="E803" s="9"/>
      <c r="F803" s="9"/>
      <c r="G803" s="8"/>
      <c r="H803" s="8"/>
      <c r="I803" s="8"/>
      <c r="J803" s="9"/>
      <c r="K803" s="8"/>
      <c r="L803" s="8"/>
      <c r="M803" s="8"/>
      <c r="N803" s="8"/>
      <c r="O803" s="8"/>
      <c r="P803" s="8"/>
      <c r="Q803" s="8"/>
      <c r="R803" s="9"/>
      <c r="S803" s="8"/>
      <c r="T803" s="9"/>
      <c r="U803" s="10" t="str">
        <f aca="true">IF(B803="","",IF(OR(P803&lt;&gt;"",I803="می‌باشد"),"بسته",IF(AND(L803&lt;&gt;"",W803=""),"خطای فرمت تاریخ ایجاد",IF(AND(H803&lt;&gt;"",AA803=""),"خطای فرمت مهلت",IF(AND(H803&lt;&gt;"",AD803&lt;&gt;"",TODAY()&gt;AD803),"تاخیر",IF(L803&lt;&gt;"","در حال انجام",""))))))</f>
        <v/>
      </c>
      <c r="V803" s="7" t="n">
        <f aca="true">IF(U803="تاخیر",TODAY()-AD803,IF(AND(U803="بسته",AH803&lt;&gt;"",AD803&lt;&gt;"",AH803&gt;AD803),AH803-AD803,0))</f>
        <v>0</v>
      </c>
      <c r="W803" s="7" t="str">
        <f aca="false">IF(L803="","",VALUE(LEFT(L803,FIND("/",L803)-1)))</f>
        <v/>
      </c>
      <c r="X803" s="7" t="str">
        <f aca="false">IF(L803="","",VALUE(MID(L803,FIND("/",L803)+1,FIND("/",L803,FIND("/",L803)+1)-FIND("/",L803)-1)))</f>
        <v/>
      </c>
      <c r="Y803" s="7" t="str">
        <f aca="false">IF(L803="","",VALUE(MID(L803,FIND("/",L803,FIND("/",L803)+1)+1,LEN(L803)-FIND("/",L803,FIND("/",L803)+1))))</f>
        <v/>
      </c>
      <c r="Z803" s="7" t="str">
        <f aca="false">IF(OR(L803="",W803=""),"",IFERROR(INDEX('لیست‌ها'!$Q$3:$Q$53,MATCH(W803,'لیست‌ها'!$P$3:$P$53,0))+IF(X803&lt;=6,(X803-1)*31+Y803,IF(X803&lt;=11,186+(X803-7)*30+Y803,336+Y803))-1,""))</f>
        <v/>
      </c>
      <c r="AA803" s="7" t="str">
        <f aca="false">IF(H803="","",VALUE(LEFT(H803,FIND("/",H803)-1)))</f>
        <v/>
      </c>
      <c r="AB803" s="7" t="str">
        <f aca="false">IF(H803="","",VALUE(MID(H803,FIND("/",H803)+1,FIND("/",H803,FIND("/",H803)+1)-FIND("/",H803)-1)))</f>
        <v/>
      </c>
      <c r="AC803" s="7" t="str">
        <f aca="false">IF(H803="","",VALUE(MID(H803,FIND("/",H803,FIND("/",H803)+1)+1,LEN(H803)-FIND("/",H803,FIND("/",H803)+1))))</f>
        <v/>
      </c>
      <c r="AD803" s="7" t="str">
        <f aca="false">IF(OR(H803="",AA803=""),"",IFERROR(INDEX('لیست‌ها'!$Q$3:$Q$53,MATCH(AA803,'لیست‌ها'!$P$3:$P$53,0))+IF(AB803&lt;=6,(AB803-1)*31+AC803,IF(AB803&lt;=11,186+(AB803-7)*30+AC803,336+AC803))-1,""))</f>
        <v/>
      </c>
      <c r="AE803" s="7" t="str">
        <f aca="false">IF(P803="","",VALUE(LEFT(P803,FIND("/",P803)-1)))</f>
        <v/>
      </c>
      <c r="AF803" s="7" t="str">
        <f aca="false">IF(P803="","",VALUE(MID(P803,FIND("/",P803)+1,FIND("/",P803,FIND("/",P803)+1)-FIND("/",P803)-1)))</f>
        <v/>
      </c>
      <c r="AG803" s="7" t="str">
        <f aca="false">IF(P803="","",VALUE(MID(P803,FIND("/",P803,FIND("/",P803)+1)+1,LEN(P803)-FIND("/",P803,FIND("/",P803)+1))))</f>
        <v/>
      </c>
      <c r="AH803" s="7" t="str">
        <f aca="false">IF(OR(P803="",AE803=""),"",IFERROR(INDEX('لیست‌ها'!$Q$3:$Q$53,MATCH(AE803,'لیست‌ها'!$P$3:$P$53,0))+IF(AF803&lt;=6,(AF803-1)*31+AG803,IF(AF803&lt;=11,186+(AF803-7)*30+AG803,336+AG803))-1,""))</f>
        <v/>
      </c>
      <c r="AI803" s="7" t="str">
        <f aca="false">IF(W803="","",W803&amp;"-"&amp;TEXT(X803,"00"))</f>
        <v/>
      </c>
      <c r="AJ803" s="7" t="str">
        <f aca="false">IF(W803="","",W803*12+X803)</f>
        <v/>
      </c>
      <c r="AK803" s="7" t="str">
        <f aca="false">IF(U803="تاخیر",V803+ROW()/100000,"")</f>
        <v/>
      </c>
    </row>
    <row r="804" customFormat="false" ht="15" hidden="false" customHeight="false" outlineLevel="0" collapsed="false">
      <c r="A804" s="7" t="str">
        <f aca="false">IF(B804="","",ROW()-3)</f>
        <v/>
      </c>
      <c r="B804" s="8"/>
      <c r="C804" s="8"/>
      <c r="D804" s="8"/>
      <c r="E804" s="9"/>
      <c r="F804" s="9"/>
      <c r="G804" s="8"/>
      <c r="H804" s="8"/>
      <c r="I804" s="8"/>
      <c r="J804" s="9"/>
      <c r="K804" s="8"/>
      <c r="L804" s="8"/>
      <c r="M804" s="8"/>
      <c r="N804" s="8"/>
      <c r="O804" s="8"/>
      <c r="P804" s="8"/>
      <c r="Q804" s="8"/>
      <c r="R804" s="9"/>
      <c r="S804" s="8"/>
      <c r="T804" s="9"/>
      <c r="U804" s="10" t="str">
        <f aca="true">IF(B804="","",IF(OR(P804&lt;&gt;"",I804="می‌باشد"),"بسته",IF(AND(L804&lt;&gt;"",W804=""),"خطای فرمت تاریخ ایجاد",IF(AND(H804&lt;&gt;"",AA804=""),"خطای فرمت مهلت",IF(AND(H804&lt;&gt;"",AD804&lt;&gt;"",TODAY()&gt;AD804),"تاخیر",IF(L804&lt;&gt;"","در حال انجام",""))))))</f>
        <v/>
      </c>
      <c r="V804" s="7" t="n">
        <f aca="true">IF(U804="تاخیر",TODAY()-AD804,IF(AND(U804="بسته",AH804&lt;&gt;"",AD804&lt;&gt;"",AH804&gt;AD804),AH804-AD804,0))</f>
        <v>0</v>
      </c>
      <c r="W804" s="7" t="str">
        <f aca="false">IF(L804="","",VALUE(LEFT(L804,FIND("/",L804)-1)))</f>
        <v/>
      </c>
      <c r="X804" s="7" t="str">
        <f aca="false">IF(L804="","",VALUE(MID(L804,FIND("/",L804)+1,FIND("/",L804,FIND("/",L804)+1)-FIND("/",L804)-1)))</f>
        <v/>
      </c>
      <c r="Y804" s="7" t="str">
        <f aca="false">IF(L804="","",VALUE(MID(L804,FIND("/",L804,FIND("/",L804)+1)+1,LEN(L804)-FIND("/",L804,FIND("/",L804)+1))))</f>
        <v/>
      </c>
      <c r="Z804" s="7" t="str">
        <f aca="false">IF(OR(L804="",W804=""),"",IFERROR(INDEX('لیست‌ها'!$Q$3:$Q$53,MATCH(W804,'لیست‌ها'!$P$3:$P$53,0))+IF(X804&lt;=6,(X804-1)*31+Y804,IF(X804&lt;=11,186+(X804-7)*30+Y804,336+Y804))-1,""))</f>
        <v/>
      </c>
      <c r="AA804" s="7" t="str">
        <f aca="false">IF(H804="","",VALUE(LEFT(H804,FIND("/",H804)-1)))</f>
        <v/>
      </c>
      <c r="AB804" s="7" t="str">
        <f aca="false">IF(H804="","",VALUE(MID(H804,FIND("/",H804)+1,FIND("/",H804,FIND("/",H804)+1)-FIND("/",H804)-1)))</f>
        <v/>
      </c>
      <c r="AC804" s="7" t="str">
        <f aca="false">IF(H804="","",VALUE(MID(H804,FIND("/",H804,FIND("/",H804)+1)+1,LEN(H804)-FIND("/",H804,FIND("/",H804)+1))))</f>
        <v/>
      </c>
      <c r="AD804" s="7" t="str">
        <f aca="false">IF(OR(H804="",AA804=""),"",IFERROR(INDEX('لیست‌ها'!$Q$3:$Q$53,MATCH(AA804,'لیست‌ها'!$P$3:$P$53,0))+IF(AB804&lt;=6,(AB804-1)*31+AC804,IF(AB804&lt;=11,186+(AB804-7)*30+AC804,336+AC804))-1,""))</f>
        <v/>
      </c>
      <c r="AE804" s="7" t="str">
        <f aca="false">IF(P804="","",VALUE(LEFT(P804,FIND("/",P804)-1)))</f>
        <v/>
      </c>
      <c r="AF804" s="7" t="str">
        <f aca="false">IF(P804="","",VALUE(MID(P804,FIND("/",P804)+1,FIND("/",P804,FIND("/",P804)+1)-FIND("/",P804)-1)))</f>
        <v/>
      </c>
      <c r="AG804" s="7" t="str">
        <f aca="false">IF(P804="","",VALUE(MID(P804,FIND("/",P804,FIND("/",P804)+1)+1,LEN(P804)-FIND("/",P804,FIND("/",P804)+1))))</f>
        <v/>
      </c>
      <c r="AH804" s="7" t="str">
        <f aca="false">IF(OR(P804="",AE804=""),"",IFERROR(INDEX('لیست‌ها'!$Q$3:$Q$53,MATCH(AE804,'لیست‌ها'!$P$3:$P$53,0))+IF(AF804&lt;=6,(AF804-1)*31+AG804,IF(AF804&lt;=11,186+(AF804-7)*30+AG804,336+AG804))-1,""))</f>
        <v/>
      </c>
      <c r="AI804" s="7" t="str">
        <f aca="false">IF(W804="","",W804&amp;"-"&amp;TEXT(X804,"00"))</f>
        <v/>
      </c>
      <c r="AJ804" s="7" t="str">
        <f aca="false">IF(W804="","",W804*12+X804)</f>
        <v/>
      </c>
      <c r="AK804" s="7" t="str">
        <f aca="false">IF(U804="تاخیر",V804+ROW()/100000,"")</f>
        <v/>
      </c>
    </row>
    <row r="805" customFormat="false" ht="15" hidden="false" customHeight="false" outlineLevel="0" collapsed="false">
      <c r="A805" s="7" t="str">
        <f aca="false">IF(B805="","",ROW()-3)</f>
        <v/>
      </c>
      <c r="B805" s="8"/>
      <c r="C805" s="8"/>
      <c r="D805" s="8"/>
      <c r="E805" s="9"/>
      <c r="F805" s="9"/>
      <c r="G805" s="8"/>
      <c r="H805" s="8"/>
      <c r="I805" s="8"/>
      <c r="J805" s="9"/>
      <c r="K805" s="8"/>
      <c r="L805" s="8"/>
      <c r="M805" s="8"/>
      <c r="N805" s="8"/>
      <c r="O805" s="8"/>
      <c r="P805" s="8"/>
      <c r="Q805" s="8"/>
      <c r="R805" s="9"/>
      <c r="S805" s="8"/>
      <c r="T805" s="9"/>
      <c r="U805" s="10" t="str">
        <f aca="true">IF(B805="","",IF(OR(P805&lt;&gt;"",I805="می‌باشد"),"بسته",IF(AND(L805&lt;&gt;"",W805=""),"خطای فرمت تاریخ ایجاد",IF(AND(H805&lt;&gt;"",AA805=""),"خطای فرمت مهلت",IF(AND(H805&lt;&gt;"",AD805&lt;&gt;"",TODAY()&gt;AD805),"تاخیر",IF(L805&lt;&gt;"","در حال انجام",""))))))</f>
        <v/>
      </c>
      <c r="V805" s="7" t="n">
        <f aca="true">IF(U805="تاخیر",TODAY()-AD805,IF(AND(U805="بسته",AH805&lt;&gt;"",AD805&lt;&gt;"",AH805&gt;AD805),AH805-AD805,0))</f>
        <v>0</v>
      </c>
      <c r="W805" s="7" t="str">
        <f aca="false">IF(L805="","",VALUE(LEFT(L805,FIND("/",L805)-1)))</f>
        <v/>
      </c>
      <c r="X805" s="7" t="str">
        <f aca="false">IF(L805="","",VALUE(MID(L805,FIND("/",L805)+1,FIND("/",L805,FIND("/",L805)+1)-FIND("/",L805)-1)))</f>
        <v/>
      </c>
      <c r="Y805" s="7" t="str">
        <f aca="false">IF(L805="","",VALUE(MID(L805,FIND("/",L805,FIND("/",L805)+1)+1,LEN(L805)-FIND("/",L805,FIND("/",L805)+1))))</f>
        <v/>
      </c>
      <c r="Z805" s="7" t="str">
        <f aca="false">IF(OR(L805="",W805=""),"",IFERROR(INDEX('لیست‌ها'!$Q$3:$Q$53,MATCH(W805,'لیست‌ها'!$P$3:$P$53,0))+IF(X805&lt;=6,(X805-1)*31+Y805,IF(X805&lt;=11,186+(X805-7)*30+Y805,336+Y805))-1,""))</f>
        <v/>
      </c>
      <c r="AA805" s="7" t="str">
        <f aca="false">IF(H805="","",VALUE(LEFT(H805,FIND("/",H805)-1)))</f>
        <v/>
      </c>
      <c r="AB805" s="7" t="str">
        <f aca="false">IF(H805="","",VALUE(MID(H805,FIND("/",H805)+1,FIND("/",H805,FIND("/",H805)+1)-FIND("/",H805)-1)))</f>
        <v/>
      </c>
      <c r="AC805" s="7" t="str">
        <f aca="false">IF(H805="","",VALUE(MID(H805,FIND("/",H805,FIND("/",H805)+1)+1,LEN(H805)-FIND("/",H805,FIND("/",H805)+1))))</f>
        <v/>
      </c>
      <c r="AD805" s="7" t="str">
        <f aca="false">IF(OR(H805="",AA805=""),"",IFERROR(INDEX('لیست‌ها'!$Q$3:$Q$53,MATCH(AA805,'لیست‌ها'!$P$3:$P$53,0))+IF(AB805&lt;=6,(AB805-1)*31+AC805,IF(AB805&lt;=11,186+(AB805-7)*30+AC805,336+AC805))-1,""))</f>
        <v/>
      </c>
      <c r="AE805" s="7" t="str">
        <f aca="false">IF(P805="","",VALUE(LEFT(P805,FIND("/",P805)-1)))</f>
        <v/>
      </c>
      <c r="AF805" s="7" t="str">
        <f aca="false">IF(P805="","",VALUE(MID(P805,FIND("/",P805)+1,FIND("/",P805,FIND("/",P805)+1)-FIND("/",P805)-1)))</f>
        <v/>
      </c>
      <c r="AG805" s="7" t="str">
        <f aca="false">IF(P805="","",VALUE(MID(P805,FIND("/",P805,FIND("/",P805)+1)+1,LEN(P805)-FIND("/",P805,FIND("/",P805)+1))))</f>
        <v/>
      </c>
      <c r="AH805" s="7" t="str">
        <f aca="false">IF(OR(P805="",AE805=""),"",IFERROR(INDEX('لیست‌ها'!$Q$3:$Q$53,MATCH(AE805,'لیست‌ها'!$P$3:$P$53,0))+IF(AF805&lt;=6,(AF805-1)*31+AG805,IF(AF805&lt;=11,186+(AF805-7)*30+AG805,336+AG805))-1,""))</f>
        <v/>
      </c>
      <c r="AI805" s="7" t="str">
        <f aca="false">IF(W805="","",W805&amp;"-"&amp;TEXT(X805,"00"))</f>
        <v/>
      </c>
      <c r="AJ805" s="7" t="str">
        <f aca="false">IF(W805="","",W805*12+X805)</f>
        <v/>
      </c>
      <c r="AK805" s="7" t="str">
        <f aca="false">IF(U805="تاخیر",V805+ROW()/100000,"")</f>
        <v/>
      </c>
    </row>
    <row r="806" customFormat="false" ht="15" hidden="false" customHeight="false" outlineLevel="0" collapsed="false">
      <c r="A806" s="7" t="str">
        <f aca="false">IF(B806="","",ROW()-3)</f>
        <v/>
      </c>
      <c r="B806" s="8"/>
      <c r="C806" s="8"/>
      <c r="D806" s="8"/>
      <c r="E806" s="9"/>
      <c r="F806" s="9"/>
      <c r="G806" s="8"/>
      <c r="H806" s="8"/>
      <c r="I806" s="8"/>
      <c r="J806" s="9"/>
      <c r="K806" s="8"/>
      <c r="L806" s="8"/>
      <c r="M806" s="8"/>
      <c r="N806" s="8"/>
      <c r="O806" s="8"/>
      <c r="P806" s="8"/>
      <c r="Q806" s="8"/>
      <c r="R806" s="9"/>
      <c r="S806" s="8"/>
      <c r="T806" s="9"/>
      <c r="U806" s="10" t="str">
        <f aca="true">IF(B806="","",IF(OR(P806&lt;&gt;"",I806="می‌باشد"),"بسته",IF(AND(L806&lt;&gt;"",W806=""),"خطای فرمت تاریخ ایجاد",IF(AND(H806&lt;&gt;"",AA806=""),"خطای فرمت مهلت",IF(AND(H806&lt;&gt;"",AD806&lt;&gt;"",TODAY()&gt;AD806),"تاخیر",IF(L806&lt;&gt;"","در حال انجام",""))))))</f>
        <v/>
      </c>
      <c r="V806" s="7" t="n">
        <f aca="true">IF(U806="تاخیر",TODAY()-AD806,IF(AND(U806="بسته",AH806&lt;&gt;"",AD806&lt;&gt;"",AH806&gt;AD806),AH806-AD806,0))</f>
        <v>0</v>
      </c>
      <c r="W806" s="7" t="str">
        <f aca="false">IF(L806="","",VALUE(LEFT(L806,FIND("/",L806)-1)))</f>
        <v/>
      </c>
      <c r="X806" s="7" t="str">
        <f aca="false">IF(L806="","",VALUE(MID(L806,FIND("/",L806)+1,FIND("/",L806,FIND("/",L806)+1)-FIND("/",L806)-1)))</f>
        <v/>
      </c>
      <c r="Y806" s="7" t="str">
        <f aca="false">IF(L806="","",VALUE(MID(L806,FIND("/",L806,FIND("/",L806)+1)+1,LEN(L806)-FIND("/",L806,FIND("/",L806)+1))))</f>
        <v/>
      </c>
      <c r="Z806" s="7" t="str">
        <f aca="false">IF(OR(L806="",W806=""),"",IFERROR(INDEX('لیست‌ها'!$Q$3:$Q$53,MATCH(W806,'لیست‌ها'!$P$3:$P$53,0))+IF(X806&lt;=6,(X806-1)*31+Y806,IF(X806&lt;=11,186+(X806-7)*30+Y806,336+Y806))-1,""))</f>
        <v/>
      </c>
      <c r="AA806" s="7" t="str">
        <f aca="false">IF(H806="","",VALUE(LEFT(H806,FIND("/",H806)-1)))</f>
        <v/>
      </c>
      <c r="AB806" s="7" t="str">
        <f aca="false">IF(H806="","",VALUE(MID(H806,FIND("/",H806)+1,FIND("/",H806,FIND("/",H806)+1)-FIND("/",H806)-1)))</f>
        <v/>
      </c>
      <c r="AC806" s="7" t="str">
        <f aca="false">IF(H806="","",VALUE(MID(H806,FIND("/",H806,FIND("/",H806)+1)+1,LEN(H806)-FIND("/",H806,FIND("/",H806)+1))))</f>
        <v/>
      </c>
      <c r="AD806" s="7" t="str">
        <f aca="false">IF(OR(H806="",AA806=""),"",IFERROR(INDEX('لیست‌ها'!$Q$3:$Q$53,MATCH(AA806,'لیست‌ها'!$P$3:$P$53,0))+IF(AB806&lt;=6,(AB806-1)*31+AC806,IF(AB806&lt;=11,186+(AB806-7)*30+AC806,336+AC806))-1,""))</f>
        <v/>
      </c>
      <c r="AE806" s="7" t="str">
        <f aca="false">IF(P806="","",VALUE(LEFT(P806,FIND("/",P806)-1)))</f>
        <v/>
      </c>
      <c r="AF806" s="7" t="str">
        <f aca="false">IF(P806="","",VALUE(MID(P806,FIND("/",P806)+1,FIND("/",P806,FIND("/",P806)+1)-FIND("/",P806)-1)))</f>
        <v/>
      </c>
      <c r="AG806" s="7" t="str">
        <f aca="false">IF(P806="","",VALUE(MID(P806,FIND("/",P806,FIND("/",P806)+1)+1,LEN(P806)-FIND("/",P806,FIND("/",P806)+1))))</f>
        <v/>
      </c>
      <c r="AH806" s="7" t="str">
        <f aca="false">IF(OR(P806="",AE806=""),"",IFERROR(INDEX('لیست‌ها'!$Q$3:$Q$53,MATCH(AE806,'لیست‌ها'!$P$3:$P$53,0))+IF(AF806&lt;=6,(AF806-1)*31+AG806,IF(AF806&lt;=11,186+(AF806-7)*30+AG806,336+AG806))-1,""))</f>
        <v/>
      </c>
      <c r="AI806" s="7" t="str">
        <f aca="false">IF(W806="","",W806&amp;"-"&amp;TEXT(X806,"00"))</f>
        <v/>
      </c>
      <c r="AJ806" s="7" t="str">
        <f aca="false">IF(W806="","",W806*12+X806)</f>
        <v/>
      </c>
      <c r="AK806" s="7" t="str">
        <f aca="false">IF(U806="تاخیر",V806+ROW()/100000,"")</f>
        <v/>
      </c>
    </row>
    <row r="807" customFormat="false" ht="15" hidden="false" customHeight="false" outlineLevel="0" collapsed="false">
      <c r="A807" s="7" t="str">
        <f aca="false">IF(B807="","",ROW()-3)</f>
        <v/>
      </c>
      <c r="B807" s="8"/>
      <c r="C807" s="8"/>
      <c r="D807" s="8"/>
      <c r="E807" s="9"/>
      <c r="F807" s="9"/>
      <c r="G807" s="8"/>
      <c r="H807" s="8"/>
      <c r="I807" s="8"/>
      <c r="J807" s="9"/>
      <c r="K807" s="8"/>
      <c r="L807" s="8"/>
      <c r="M807" s="8"/>
      <c r="N807" s="8"/>
      <c r="O807" s="8"/>
      <c r="P807" s="8"/>
      <c r="Q807" s="8"/>
      <c r="R807" s="9"/>
      <c r="S807" s="8"/>
      <c r="T807" s="9"/>
      <c r="U807" s="10" t="str">
        <f aca="true">IF(B807="","",IF(OR(P807&lt;&gt;"",I807="می‌باشد"),"بسته",IF(AND(L807&lt;&gt;"",W807=""),"خطای فرمت تاریخ ایجاد",IF(AND(H807&lt;&gt;"",AA807=""),"خطای فرمت مهلت",IF(AND(H807&lt;&gt;"",AD807&lt;&gt;"",TODAY()&gt;AD807),"تاخیر",IF(L807&lt;&gt;"","در حال انجام",""))))))</f>
        <v/>
      </c>
      <c r="V807" s="7" t="n">
        <f aca="true">IF(U807="تاخیر",TODAY()-AD807,IF(AND(U807="بسته",AH807&lt;&gt;"",AD807&lt;&gt;"",AH807&gt;AD807),AH807-AD807,0))</f>
        <v>0</v>
      </c>
      <c r="W807" s="7" t="str">
        <f aca="false">IF(L807="","",VALUE(LEFT(L807,FIND("/",L807)-1)))</f>
        <v/>
      </c>
      <c r="X807" s="7" t="str">
        <f aca="false">IF(L807="","",VALUE(MID(L807,FIND("/",L807)+1,FIND("/",L807,FIND("/",L807)+1)-FIND("/",L807)-1)))</f>
        <v/>
      </c>
      <c r="Y807" s="7" t="str">
        <f aca="false">IF(L807="","",VALUE(MID(L807,FIND("/",L807,FIND("/",L807)+1)+1,LEN(L807)-FIND("/",L807,FIND("/",L807)+1))))</f>
        <v/>
      </c>
      <c r="Z807" s="7" t="str">
        <f aca="false">IF(OR(L807="",W807=""),"",IFERROR(INDEX('لیست‌ها'!$Q$3:$Q$53,MATCH(W807,'لیست‌ها'!$P$3:$P$53,0))+IF(X807&lt;=6,(X807-1)*31+Y807,IF(X807&lt;=11,186+(X807-7)*30+Y807,336+Y807))-1,""))</f>
        <v/>
      </c>
      <c r="AA807" s="7" t="str">
        <f aca="false">IF(H807="","",VALUE(LEFT(H807,FIND("/",H807)-1)))</f>
        <v/>
      </c>
      <c r="AB807" s="7" t="str">
        <f aca="false">IF(H807="","",VALUE(MID(H807,FIND("/",H807)+1,FIND("/",H807,FIND("/",H807)+1)-FIND("/",H807)-1)))</f>
        <v/>
      </c>
      <c r="AC807" s="7" t="str">
        <f aca="false">IF(H807="","",VALUE(MID(H807,FIND("/",H807,FIND("/",H807)+1)+1,LEN(H807)-FIND("/",H807,FIND("/",H807)+1))))</f>
        <v/>
      </c>
      <c r="AD807" s="7" t="str">
        <f aca="false">IF(OR(H807="",AA807=""),"",IFERROR(INDEX('لیست‌ها'!$Q$3:$Q$53,MATCH(AA807,'لیست‌ها'!$P$3:$P$53,0))+IF(AB807&lt;=6,(AB807-1)*31+AC807,IF(AB807&lt;=11,186+(AB807-7)*30+AC807,336+AC807))-1,""))</f>
        <v/>
      </c>
      <c r="AE807" s="7" t="str">
        <f aca="false">IF(P807="","",VALUE(LEFT(P807,FIND("/",P807)-1)))</f>
        <v/>
      </c>
      <c r="AF807" s="7" t="str">
        <f aca="false">IF(P807="","",VALUE(MID(P807,FIND("/",P807)+1,FIND("/",P807,FIND("/",P807)+1)-FIND("/",P807)-1)))</f>
        <v/>
      </c>
      <c r="AG807" s="7" t="str">
        <f aca="false">IF(P807="","",VALUE(MID(P807,FIND("/",P807,FIND("/",P807)+1)+1,LEN(P807)-FIND("/",P807,FIND("/",P807)+1))))</f>
        <v/>
      </c>
      <c r="AH807" s="7" t="str">
        <f aca="false">IF(OR(P807="",AE807=""),"",IFERROR(INDEX('لیست‌ها'!$Q$3:$Q$53,MATCH(AE807,'لیست‌ها'!$P$3:$P$53,0))+IF(AF807&lt;=6,(AF807-1)*31+AG807,IF(AF807&lt;=11,186+(AF807-7)*30+AG807,336+AG807))-1,""))</f>
        <v/>
      </c>
      <c r="AI807" s="7" t="str">
        <f aca="false">IF(W807="","",W807&amp;"-"&amp;TEXT(X807,"00"))</f>
        <v/>
      </c>
      <c r="AJ807" s="7" t="str">
        <f aca="false">IF(W807="","",W807*12+X807)</f>
        <v/>
      </c>
      <c r="AK807" s="7" t="str">
        <f aca="false">IF(U807="تاخیر",V807+ROW()/100000,"")</f>
        <v/>
      </c>
    </row>
    <row r="808" customFormat="false" ht="15" hidden="false" customHeight="false" outlineLevel="0" collapsed="false">
      <c r="A808" s="7" t="str">
        <f aca="false">IF(B808="","",ROW()-3)</f>
        <v/>
      </c>
      <c r="B808" s="8"/>
      <c r="C808" s="8"/>
      <c r="D808" s="8"/>
      <c r="E808" s="9"/>
      <c r="F808" s="9"/>
      <c r="G808" s="8"/>
      <c r="H808" s="8"/>
      <c r="I808" s="8"/>
      <c r="J808" s="9"/>
      <c r="K808" s="8"/>
      <c r="L808" s="8"/>
      <c r="M808" s="8"/>
      <c r="N808" s="8"/>
      <c r="O808" s="8"/>
      <c r="P808" s="8"/>
      <c r="Q808" s="8"/>
      <c r="R808" s="9"/>
      <c r="S808" s="8"/>
      <c r="T808" s="9"/>
      <c r="U808" s="10" t="str">
        <f aca="true">IF(B808="","",IF(OR(P808&lt;&gt;"",I808="می‌باشد"),"بسته",IF(AND(L808&lt;&gt;"",W808=""),"خطای فرمت تاریخ ایجاد",IF(AND(H808&lt;&gt;"",AA808=""),"خطای فرمت مهلت",IF(AND(H808&lt;&gt;"",AD808&lt;&gt;"",TODAY()&gt;AD808),"تاخیر",IF(L808&lt;&gt;"","در حال انجام",""))))))</f>
        <v/>
      </c>
      <c r="V808" s="7" t="n">
        <f aca="true">IF(U808="تاخیر",TODAY()-AD808,IF(AND(U808="بسته",AH808&lt;&gt;"",AD808&lt;&gt;"",AH808&gt;AD808),AH808-AD808,0))</f>
        <v>0</v>
      </c>
      <c r="W808" s="7" t="str">
        <f aca="false">IF(L808="","",VALUE(LEFT(L808,FIND("/",L808)-1)))</f>
        <v/>
      </c>
      <c r="X808" s="7" t="str">
        <f aca="false">IF(L808="","",VALUE(MID(L808,FIND("/",L808)+1,FIND("/",L808,FIND("/",L808)+1)-FIND("/",L808)-1)))</f>
        <v/>
      </c>
      <c r="Y808" s="7" t="str">
        <f aca="false">IF(L808="","",VALUE(MID(L808,FIND("/",L808,FIND("/",L808)+1)+1,LEN(L808)-FIND("/",L808,FIND("/",L808)+1))))</f>
        <v/>
      </c>
      <c r="Z808" s="7" t="str">
        <f aca="false">IF(OR(L808="",W808=""),"",IFERROR(INDEX('لیست‌ها'!$Q$3:$Q$53,MATCH(W808,'لیست‌ها'!$P$3:$P$53,0))+IF(X808&lt;=6,(X808-1)*31+Y808,IF(X808&lt;=11,186+(X808-7)*30+Y808,336+Y808))-1,""))</f>
        <v/>
      </c>
      <c r="AA808" s="7" t="str">
        <f aca="false">IF(H808="","",VALUE(LEFT(H808,FIND("/",H808)-1)))</f>
        <v/>
      </c>
      <c r="AB808" s="7" t="str">
        <f aca="false">IF(H808="","",VALUE(MID(H808,FIND("/",H808)+1,FIND("/",H808,FIND("/",H808)+1)-FIND("/",H808)-1)))</f>
        <v/>
      </c>
      <c r="AC808" s="7" t="str">
        <f aca="false">IF(H808="","",VALUE(MID(H808,FIND("/",H808,FIND("/",H808)+1)+1,LEN(H808)-FIND("/",H808,FIND("/",H808)+1))))</f>
        <v/>
      </c>
      <c r="AD808" s="7" t="str">
        <f aca="false">IF(OR(H808="",AA808=""),"",IFERROR(INDEX('لیست‌ها'!$Q$3:$Q$53,MATCH(AA808,'لیست‌ها'!$P$3:$P$53,0))+IF(AB808&lt;=6,(AB808-1)*31+AC808,IF(AB808&lt;=11,186+(AB808-7)*30+AC808,336+AC808))-1,""))</f>
        <v/>
      </c>
      <c r="AE808" s="7" t="str">
        <f aca="false">IF(P808="","",VALUE(LEFT(P808,FIND("/",P808)-1)))</f>
        <v/>
      </c>
      <c r="AF808" s="7" t="str">
        <f aca="false">IF(P808="","",VALUE(MID(P808,FIND("/",P808)+1,FIND("/",P808,FIND("/",P808)+1)-FIND("/",P808)-1)))</f>
        <v/>
      </c>
      <c r="AG808" s="7" t="str">
        <f aca="false">IF(P808="","",VALUE(MID(P808,FIND("/",P808,FIND("/",P808)+1)+1,LEN(P808)-FIND("/",P808,FIND("/",P808)+1))))</f>
        <v/>
      </c>
      <c r="AH808" s="7" t="str">
        <f aca="false">IF(OR(P808="",AE808=""),"",IFERROR(INDEX('لیست‌ها'!$Q$3:$Q$53,MATCH(AE808,'لیست‌ها'!$P$3:$P$53,0))+IF(AF808&lt;=6,(AF808-1)*31+AG808,IF(AF808&lt;=11,186+(AF808-7)*30+AG808,336+AG808))-1,""))</f>
        <v/>
      </c>
      <c r="AI808" s="7" t="str">
        <f aca="false">IF(W808="","",W808&amp;"-"&amp;TEXT(X808,"00"))</f>
        <v/>
      </c>
      <c r="AJ808" s="7" t="str">
        <f aca="false">IF(W808="","",W808*12+X808)</f>
        <v/>
      </c>
      <c r="AK808" s="7" t="str">
        <f aca="false">IF(U808="تاخیر",V808+ROW()/100000,"")</f>
        <v/>
      </c>
    </row>
    <row r="809" customFormat="false" ht="15" hidden="false" customHeight="false" outlineLevel="0" collapsed="false">
      <c r="A809" s="7" t="str">
        <f aca="false">IF(B809="","",ROW()-3)</f>
        <v/>
      </c>
      <c r="B809" s="8"/>
      <c r="C809" s="8"/>
      <c r="D809" s="8"/>
      <c r="E809" s="9"/>
      <c r="F809" s="9"/>
      <c r="G809" s="8"/>
      <c r="H809" s="8"/>
      <c r="I809" s="8"/>
      <c r="J809" s="9"/>
      <c r="K809" s="8"/>
      <c r="L809" s="8"/>
      <c r="M809" s="8"/>
      <c r="N809" s="8"/>
      <c r="O809" s="8"/>
      <c r="P809" s="8"/>
      <c r="Q809" s="8"/>
      <c r="R809" s="9"/>
      <c r="S809" s="8"/>
      <c r="T809" s="9"/>
      <c r="U809" s="10" t="str">
        <f aca="true">IF(B809="","",IF(OR(P809&lt;&gt;"",I809="می‌باشد"),"بسته",IF(AND(L809&lt;&gt;"",W809=""),"خطای فرمت تاریخ ایجاد",IF(AND(H809&lt;&gt;"",AA809=""),"خطای فرمت مهلت",IF(AND(H809&lt;&gt;"",AD809&lt;&gt;"",TODAY()&gt;AD809),"تاخیر",IF(L809&lt;&gt;"","در حال انجام",""))))))</f>
        <v/>
      </c>
      <c r="V809" s="7" t="n">
        <f aca="true">IF(U809="تاخیر",TODAY()-AD809,IF(AND(U809="بسته",AH809&lt;&gt;"",AD809&lt;&gt;"",AH809&gt;AD809),AH809-AD809,0))</f>
        <v>0</v>
      </c>
      <c r="W809" s="7" t="str">
        <f aca="false">IF(L809="","",VALUE(LEFT(L809,FIND("/",L809)-1)))</f>
        <v/>
      </c>
      <c r="X809" s="7" t="str">
        <f aca="false">IF(L809="","",VALUE(MID(L809,FIND("/",L809)+1,FIND("/",L809,FIND("/",L809)+1)-FIND("/",L809)-1)))</f>
        <v/>
      </c>
      <c r="Y809" s="7" t="str">
        <f aca="false">IF(L809="","",VALUE(MID(L809,FIND("/",L809,FIND("/",L809)+1)+1,LEN(L809)-FIND("/",L809,FIND("/",L809)+1))))</f>
        <v/>
      </c>
      <c r="Z809" s="7" t="str">
        <f aca="false">IF(OR(L809="",W809=""),"",IFERROR(INDEX('لیست‌ها'!$Q$3:$Q$53,MATCH(W809,'لیست‌ها'!$P$3:$P$53,0))+IF(X809&lt;=6,(X809-1)*31+Y809,IF(X809&lt;=11,186+(X809-7)*30+Y809,336+Y809))-1,""))</f>
        <v/>
      </c>
      <c r="AA809" s="7" t="str">
        <f aca="false">IF(H809="","",VALUE(LEFT(H809,FIND("/",H809)-1)))</f>
        <v/>
      </c>
      <c r="AB809" s="7" t="str">
        <f aca="false">IF(H809="","",VALUE(MID(H809,FIND("/",H809)+1,FIND("/",H809,FIND("/",H809)+1)-FIND("/",H809)-1)))</f>
        <v/>
      </c>
      <c r="AC809" s="7" t="str">
        <f aca="false">IF(H809="","",VALUE(MID(H809,FIND("/",H809,FIND("/",H809)+1)+1,LEN(H809)-FIND("/",H809,FIND("/",H809)+1))))</f>
        <v/>
      </c>
      <c r="AD809" s="7" t="str">
        <f aca="false">IF(OR(H809="",AA809=""),"",IFERROR(INDEX('لیست‌ها'!$Q$3:$Q$53,MATCH(AA809,'لیست‌ها'!$P$3:$P$53,0))+IF(AB809&lt;=6,(AB809-1)*31+AC809,IF(AB809&lt;=11,186+(AB809-7)*30+AC809,336+AC809))-1,""))</f>
        <v/>
      </c>
      <c r="AE809" s="7" t="str">
        <f aca="false">IF(P809="","",VALUE(LEFT(P809,FIND("/",P809)-1)))</f>
        <v/>
      </c>
      <c r="AF809" s="7" t="str">
        <f aca="false">IF(P809="","",VALUE(MID(P809,FIND("/",P809)+1,FIND("/",P809,FIND("/",P809)+1)-FIND("/",P809)-1)))</f>
        <v/>
      </c>
      <c r="AG809" s="7" t="str">
        <f aca="false">IF(P809="","",VALUE(MID(P809,FIND("/",P809,FIND("/",P809)+1)+1,LEN(P809)-FIND("/",P809,FIND("/",P809)+1))))</f>
        <v/>
      </c>
      <c r="AH809" s="7" t="str">
        <f aca="false">IF(OR(P809="",AE809=""),"",IFERROR(INDEX('لیست‌ها'!$Q$3:$Q$53,MATCH(AE809,'لیست‌ها'!$P$3:$P$53,0))+IF(AF809&lt;=6,(AF809-1)*31+AG809,IF(AF809&lt;=11,186+(AF809-7)*30+AG809,336+AG809))-1,""))</f>
        <v/>
      </c>
      <c r="AI809" s="7" t="str">
        <f aca="false">IF(W809="","",W809&amp;"-"&amp;TEXT(X809,"00"))</f>
        <v/>
      </c>
      <c r="AJ809" s="7" t="str">
        <f aca="false">IF(W809="","",W809*12+X809)</f>
        <v/>
      </c>
      <c r="AK809" s="7" t="str">
        <f aca="false">IF(U809="تاخیر",V809+ROW()/100000,"")</f>
        <v/>
      </c>
    </row>
    <row r="810" customFormat="false" ht="15" hidden="false" customHeight="false" outlineLevel="0" collapsed="false">
      <c r="A810" s="7" t="str">
        <f aca="false">IF(B810="","",ROW()-3)</f>
        <v/>
      </c>
      <c r="B810" s="8"/>
      <c r="C810" s="8"/>
      <c r="D810" s="8"/>
      <c r="E810" s="9"/>
      <c r="F810" s="9"/>
      <c r="G810" s="8"/>
      <c r="H810" s="8"/>
      <c r="I810" s="8"/>
      <c r="J810" s="9"/>
      <c r="K810" s="8"/>
      <c r="L810" s="8"/>
      <c r="M810" s="8"/>
      <c r="N810" s="8"/>
      <c r="O810" s="8"/>
      <c r="P810" s="8"/>
      <c r="Q810" s="8"/>
      <c r="R810" s="9"/>
      <c r="S810" s="8"/>
      <c r="T810" s="9"/>
      <c r="U810" s="10" t="str">
        <f aca="true">IF(B810="","",IF(OR(P810&lt;&gt;"",I810="می‌باشد"),"بسته",IF(AND(L810&lt;&gt;"",W810=""),"خطای فرمت تاریخ ایجاد",IF(AND(H810&lt;&gt;"",AA810=""),"خطای فرمت مهلت",IF(AND(H810&lt;&gt;"",AD810&lt;&gt;"",TODAY()&gt;AD810),"تاخیر",IF(L810&lt;&gt;"","در حال انجام",""))))))</f>
        <v/>
      </c>
      <c r="V810" s="7" t="n">
        <f aca="true">IF(U810="تاخیر",TODAY()-AD810,IF(AND(U810="بسته",AH810&lt;&gt;"",AD810&lt;&gt;"",AH810&gt;AD810),AH810-AD810,0))</f>
        <v>0</v>
      </c>
      <c r="W810" s="7" t="str">
        <f aca="false">IF(L810="","",VALUE(LEFT(L810,FIND("/",L810)-1)))</f>
        <v/>
      </c>
      <c r="X810" s="7" t="str">
        <f aca="false">IF(L810="","",VALUE(MID(L810,FIND("/",L810)+1,FIND("/",L810,FIND("/",L810)+1)-FIND("/",L810)-1)))</f>
        <v/>
      </c>
      <c r="Y810" s="7" t="str">
        <f aca="false">IF(L810="","",VALUE(MID(L810,FIND("/",L810,FIND("/",L810)+1)+1,LEN(L810)-FIND("/",L810,FIND("/",L810)+1))))</f>
        <v/>
      </c>
      <c r="Z810" s="7" t="str">
        <f aca="false">IF(OR(L810="",W810=""),"",IFERROR(INDEX('لیست‌ها'!$Q$3:$Q$53,MATCH(W810,'لیست‌ها'!$P$3:$P$53,0))+IF(X810&lt;=6,(X810-1)*31+Y810,IF(X810&lt;=11,186+(X810-7)*30+Y810,336+Y810))-1,""))</f>
        <v/>
      </c>
      <c r="AA810" s="7" t="str">
        <f aca="false">IF(H810="","",VALUE(LEFT(H810,FIND("/",H810)-1)))</f>
        <v/>
      </c>
      <c r="AB810" s="7" t="str">
        <f aca="false">IF(H810="","",VALUE(MID(H810,FIND("/",H810)+1,FIND("/",H810,FIND("/",H810)+1)-FIND("/",H810)-1)))</f>
        <v/>
      </c>
      <c r="AC810" s="7" t="str">
        <f aca="false">IF(H810="","",VALUE(MID(H810,FIND("/",H810,FIND("/",H810)+1)+1,LEN(H810)-FIND("/",H810,FIND("/",H810)+1))))</f>
        <v/>
      </c>
      <c r="AD810" s="7" t="str">
        <f aca="false">IF(OR(H810="",AA810=""),"",IFERROR(INDEX('لیست‌ها'!$Q$3:$Q$53,MATCH(AA810,'لیست‌ها'!$P$3:$P$53,0))+IF(AB810&lt;=6,(AB810-1)*31+AC810,IF(AB810&lt;=11,186+(AB810-7)*30+AC810,336+AC810))-1,""))</f>
        <v/>
      </c>
      <c r="AE810" s="7" t="str">
        <f aca="false">IF(P810="","",VALUE(LEFT(P810,FIND("/",P810)-1)))</f>
        <v/>
      </c>
      <c r="AF810" s="7" t="str">
        <f aca="false">IF(P810="","",VALUE(MID(P810,FIND("/",P810)+1,FIND("/",P810,FIND("/",P810)+1)-FIND("/",P810)-1)))</f>
        <v/>
      </c>
      <c r="AG810" s="7" t="str">
        <f aca="false">IF(P810="","",VALUE(MID(P810,FIND("/",P810,FIND("/",P810)+1)+1,LEN(P810)-FIND("/",P810,FIND("/",P810)+1))))</f>
        <v/>
      </c>
      <c r="AH810" s="7" t="str">
        <f aca="false">IF(OR(P810="",AE810=""),"",IFERROR(INDEX('لیست‌ها'!$Q$3:$Q$53,MATCH(AE810,'لیست‌ها'!$P$3:$P$53,0))+IF(AF810&lt;=6,(AF810-1)*31+AG810,IF(AF810&lt;=11,186+(AF810-7)*30+AG810,336+AG810))-1,""))</f>
        <v/>
      </c>
      <c r="AI810" s="7" t="str">
        <f aca="false">IF(W810="","",W810&amp;"-"&amp;TEXT(X810,"00"))</f>
        <v/>
      </c>
      <c r="AJ810" s="7" t="str">
        <f aca="false">IF(W810="","",W810*12+X810)</f>
        <v/>
      </c>
      <c r="AK810" s="7" t="str">
        <f aca="false">IF(U810="تاخیر",V810+ROW()/100000,"")</f>
        <v/>
      </c>
    </row>
    <row r="811" customFormat="false" ht="15" hidden="false" customHeight="false" outlineLevel="0" collapsed="false">
      <c r="A811" s="7" t="str">
        <f aca="false">IF(B811="","",ROW()-3)</f>
        <v/>
      </c>
      <c r="B811" s="8"/>
      <c r="C811" s="8"/>
      <c r="D811" s="8"/>
      <c r="E811" s="9"/>
      <c r="F811" s="9"/>
      <c r="G811" s="8"/>
      <c r="H811" s="8"/>
      <c r="I811" s="8"/>
      <c r="J811" s="9"/>
      <c r="K811" s="8"/>
      <c r="L811" s="8"/>
      <c r="M811" s="8"/>
      <c r="N811" s="8"/>
      <c r="O811" s="8"/>
      <c r="P811" s="8"/>
      <c r="Q811" s="8"/>
      <c r="R811" s="9"/>
      <c r="S811" s="8"/>
      <c r="T811" s="9"/>
      <c r="U811" s="10" t="str">
        <f aca="true">IF(B811="","",IF(OR(P811&lt;&gt;"",I811="می‌باشد"),"بسته",IF(AND(L811&lt;&gt;"",W811=""),"خطای فرمت تاریخ ایجاد",IF(AND(H811&lt;&gt;"",AA811=""),"خطای فرمت مهلت",IF(AND(H811&lt;&gt;"",AD811&lt;&gt;"",TODAY()&gt;AD811),"تاخیر",IF(L811&lt;&gt;"","در حال انجام",""))))))</f>
        <v/>
      </c>
      <c r="V811" s="7" t="n">
        <f aca="true">IF(U811="تاخیر",TODAY()-AD811,IF(AND(U811="بسته",AH811&lt;&gt;"",AD811&lt;&gt;"",AH811&gt;AD811),AH811-AD811,0))</f>
        <v>0</v>
      </c>
      <c r="W811" s="7" t="str">
        <f aca="false">IF(L811="","",VALUE(LEFT(L811,FIND("/",L811)-1)))</f>
        <v/>
      </c>
      <c r="X811" s="7" t="str">
        <f aca="false">IF(L811="","",VALUE(MID(L811,FIND("/",L811)+1,FIND("/",L811,FIND("/",L811)+1)-FIND("/",L811)-1)))</f>
        <v/>
      </c>
      <c r="Y811" s="7" t="str">
        <f aca="false">IF(L811="","",VALUE(MID(L811,FIND("/",L811,FIND("/",L811)+1)+1,LEN(L811)-FIND("/",L811,FIND("/",L811)+1))))</f>
        <v/>
      </c>
      <c r="Z811" s="7" t="str">
        <f aca="false">IF(OR(L811="",W811=""),"",IFERROR(INDEX('لیست‌ها'!$Q$3:$Q$53,MATCH(W811,'لیست‌ها'!$P$3:$P$53,0))+IF(X811&lt;=6,(X811-1)*31+Y811,IF(X811&lt;=11,186+(X811-7)*30+Y811,336+Y811))-1,""))</f>
        <v/>
      </c>
      <c r="AA811" s="7" t="str">
        <f aca="false">IF(H811="","",VALUE(LEFT(H811,FIND("/",H811)-1)))</f>
        <v/>
      </c>
      <c r="AB811" s="7" t="str">
        <f aca="false">IF(H811="","",VALUE(MID(H811,FIND("/",H811)+1,FIND("/",H811,FIND("/",H811)+1)-FIND("/",H811)-1)))</f>
        <v/>
      </c>
      <c r="AC811" s="7" t="str">
        <f aca="false">IF(H811="","",VALUE(MID(H811,FIND("/",H811,FIND("/",H811)+1)+1,LEN(H811)-FIND("/",H811,FIND("/",H811)+1))))</f>
        <v/>
      </c>
      <c r="AD811" s="7" t="str">
        <f aca="false">IF(OR(H811="",AA811=""),"",IFERROR(INDEX('لیست‌ها'!$Q$3:$Q$53,MATCH(AA811,'لیست‌ها'!$P$3:$P$53,0))+IF(AB811&lt;=6,(AB811-1)*31+AC811,IF(AB811&lt;=11,186+(AB811-7)*30+AC811,336+AC811))-1,""))</f>
        <v/>
      </c>
      <c r="AE811" s="7" t="str">
        <f aca="false">IF(P811="","",VALUE(LEFT(P811,FIND("/",P811)-1)))</f>
        <v/>
      </c>
      <c r="AF811" s="7" t="str">
        <f aca="false">IF(P811="","",VALUE(MID(P811,FIND("/",P811)+1,FIND("/",P811,FIND("/",P811)+1)-FIND("/",P811)-1)))</f>
        <v/>
      </c>
      <c r="AG811" s="7" t="str">
        <f aca="false">IF(P811="","",VALUE(MID(P811,FIND("/",P811,FIND("/",P811)+1)+1,LEN(P811)-FIND("/",P811,FIND("/",P811)+1))))</f>
        <v/>
      </c>
      <c r="AH811" s="7" t="str">
        <f aca="false">IF(OR(P811="",AE811=""),"",IFERROR(INDEX('لیست‌ها'!$Q$3:$Q$53,MATCH(AE811,'لیست‌ها'!$P$3:$P$53,0))+IF(AF811&lt;=6,(AF811-1)*31+AG811,IF(AF811&lt;=11,186+(AF811-7)*30+AG811,336+AG811))-1,""))</f>
        <v/>
      </c>
      <c r="AI811" s="7" t="str">
        <f aca="false">IF(W811="","",W811&amp;"-"&amp;TEXT(X811,"00"))</f>
        <v/>
      </c>
      <c r="AJ811" s="7" t="str">
        <f aca="false">IF(W811="","",W811*12+X811)</f>
        <v/>
      </c>
      <c r="AK811" s="7" t="str">
        <f aca="false">IF(U811="تاخیر",V811+ROW()/100000,"")</f>
        <v/>
      </c>
    </row>
    <row r="812" customFormat="false" ht="15" hidden="false" customHeight="false" outlineLevel="0" collapsed="false">
      <c r="A812" s="7" t="str">
        <f aca="false">IF(B812="","",ROW()-3)</f>
        <v/>
      </c>
      <c r="B812" s="8"/>
      <c r="C812" s="8"/>
      <c r="D812" s="8"/>
      <c r="E812" s="9"/>
      <c r="F812" s="9"/>
      <c r="G812" s="8"/>
      <c r="H812" s="8"/>
      <c r="I812" s="8"/>
      <c r="J812" s="9"/>
      <c r="K812" s="8"/>
      <c r="L812" s="8"/>
      <c r="M812" s="8"/>
      <c r="N812" s="8"/>
      <c r="O812" s="8"/>
      <c r="P812" s="8"/>
      <c r="Q812" s="8"/>
      <c r="R812" s="9"/>
      <c r="S812" s="8"/>
      <c r="T812" s="9"/>
      <c r="U812" s="10" t="str">
        <f aca="true">IF(B812="","",IF(OR(P812&lt;&gt;"",I812="می‌باشد"),"بسته",IF(AND(L812&lt;&gt;"",W812=""),"خطای فرمت تاریخ ایجاد",IF(AND(H812&lt;&gt;"",AA812=""),"خطای فرمت مهلت",IF(AND(H812&lt;&gt;"",AD812&lt;&gt;"",TODAY()&gt;AD812),"تاخیر",IF(L812&lt;&gt;"","در حال انجام",""))))))</f>
        <v/>
      </c>
      <c r="V812" s="7" t="n">
        <f aca="true">IF(U812="تاخیر",TODAY()-AD812,IF(AND(U812="بسته",AH812&lt;&gt;"",AD812&lt;&gt;"",AH812&gt;AD812),AH812-AD812,0))</f>
        <v>0</v>
      </c>
      <c r="W812" s="7" t="str">
        <f aca="false">IF(L812="","",VALUE(LEFT(L812,FIND("/",L812)-1)))</f>
        <v/>
      </c>
      <c r="X812" s="7" t="str">
        <f aca="false">IF(L812="","",VALUE(MID(L812,FIND("/",L812)+1,FIND("/",L812,FIND("/",L812)+1)-FIND("/",L812)-1)))</f>
        <v/>
      </c>
      <c r="Y812" s="7" t="str">
        <f aca="false">IF(L812="","",VALUE(MID(L812,FIND("/",L812,FIND("/",L812)+1)+1,LEN(L812)-FIND("/",L812,FIND("/",L812)+1))))</f>
        <v/>
      </c>
      <c r="Z812" s="7" t="str">
        <f aca="false">IF(OR(L812="",W812=""),"",IFERROR(INDEX('لیست‌ها'!$Q$3:$Q$53,MATCH(W812,'لیست‌ها'!$P$3:$P$53,0))+IF(X812&lt;=6,(X812-1)*31+Y812,IF(X812&lt;=11,186+(X812-7)*30+Y812,336+Y812))-1,""))</f>
        <v/>
      </c>
      <c r="AA812" s="7" t="str">
        <f aca="false">IF(H812="","",VALUE(LEFT(H812,FIND("/",H812)-1)))</f>
        <v/>
      </c>
      <c r="AB812" s="7" t="str">
        <f aca="false">IF(H812="","",VALUE(MID(H812,FIND("/",H812)+1,FIND("/",H812,FIND("/",H812)+1)-FIND("/",H812)-1)))</f>
        <v/>
      </c>
      <c r="AC812" s="7" t="str">
        <f aca="false">IF(H812="","",VALUE(MID(H812,FIND("/",H812,FIND("/",H812)+1)+1,LEN(H812)-FIND("/",H812,FIND("/",H812)+1))))</f>
        <v/>
      </c>
      <c r="AD812" s="7" t="str">
        <f aca="false">IF(OR(H812="",AA812=""),"",IFERROR(INDEX('لیست‌ها'!$Q$3:$Q$53,MATCH(AA812,'لیست‌ها'!$P$3:$P$53,0))+IF(AB812&lt;=6,(AB812-1)*31+AC812,IF(AB812&lt;=11,186+(AB812-7)*30+AC812,336+AC812))-1,""))</f>
        <v/>
      </c>
      <c r="AE812" s="7" t="str">
        <f aca="false">IF(P812="","",VALUE(LEFT(P812,FIND("/",P812)-1)))</f>
        <v/>
      </c>
      <c r="AF812" s="7" t="str">
        <f aca="false">IF(P812="","",VALUE(MID(P812,FIND("/",P812)+1,FIND("/",P812,FIND("/",P812)+1)-FIND("/",P812)-1)))</f>
        <v/>
      </c>
      <c r="AG812" s="7" t="str">
        <f aca="false">IF(P812="","",VALUE(MID(P812,FIND("/",P812,FIND("/",P812)+1)+1,LEN(P812)-FIND("/",P812,FIND("/",P812)+1))))</f>
        <v/>
      </c>
      <c r="AH812" s="7" t="str">
        <f aca="false">IF(OR(P812="",AE812=""),"",IFERROR(INDEX('لیست‌ها'!$Q$3:$Q$53,MATCH(AE812,'لیست‌ها'!$P$3:$P$53,0))+IF(AF812&lt;=6,(AF812-1)*31+AG812,IF(AF812&lt;=11,186+(AF812-7)*30+AG812,336+AG812))-1,""))</f>
        <v/>
      </c>
      <c r="AI812" s="7" t="str">
        <f aca="false">IF(W812="","",W812&amp;"-"&amp;TEXT(X812,"00"))</f>
        <v/>
      </c>
      <c r="AJ812" s="7" t="str">
        <f aca="false">IF(W812="","",W812*12+X812)</f>
        <v/>
      </c>
      <c r="AK812" s="7" t="str">
        <f aca="false">IF(U812="تاخیر",V812+ROW()/100000,"")</f>
        <v/>
      </c>
    </row>
    <row r="813" customFormat="false" ht="15" hidden="false" customHeight="false" outlineLevel="0" collapsed="false">
      <c r="A813" s="7" t="str">
        <f aca="false">IF(B813="","",ROW()-3)</f>
        <v/>
      </c>
      <c r="B813" s="8"/>
      <c r="C813" s="8"/>
      <c r="D813" s="8"/>
      <c r="E813" s="9"/>
      <c r="F813" s="9"/>
      <c r="G813" s="8"/>
      <c r="H813" s="8"/>
      <c r="I813" s="8"/>
      <c r="J813" s="9"/>
      <c r="K813" s="8"/>
      <c r="L813" s="8"/>
      <c r="M813" s="8"/>
      <c r="N813" s="8"/>
      <c r="O813" s="8"/>
      <c r="P813" s="8"/>
      <c r="Q813" s="8"/>
      <c r="R813" s="9"/>
      <c r="S813" s="8"/>
      <c r="T813" s="9"/>
      <c r="U813" s="10" t="str">
        <f aca="true">IF(B813="","",IF(OR(P813&lt;&gt;"",I813="می‌باشد"),"بسته",IF(AND(L813&lt;&gt;"",W813=""),"خطای فرمت تاریخ ایجاد",IF(AND(H813&lt;&gt;"",AA813=""),"خطای فرمت مهلت",IF(AND(H813&lt;&gt;"",AD813&lt;&gt;"",TODAY()&gt;AD813),"تاخیر",IF(L813&lt;&gt;"","در حال انجام",""))))))</f>
        <v/>
      </c>
      <c r="V813" s="7" t="n">
        <f aca="true">IF(U813="تاخیر",TODAY()-AD813,IF(AND(U813="بسته",AH813&lt;&gt;"",AD813&lt;&gt;"",AH813&gt;AD813),AH813-AD813,0))</f>
        <v>0</v>
      </c>
      <c r="W813" s="7" t="str">
        <f aca="false">IF(L813="","",VALUE(LEFT(L813,FIND("/",L813)-1)))</f>
        <v/>
      </c>
      <c r="X813" s="7" t="str">
        <f aca="false">IF(L813="","",VALUE(MID(L813,FIND("/",L813)+1,FIND("/",L813,FIND("/",L813)+1)-FIND("/",L813)-1)))</f>
        <v/>
      </c>
      <c r="Y813" s="7" t="str">
        <f aca="false">IF(L813="","",VALUE(MID(L813,FIND("/",L813,FIND("/",L813)+1)+1,LEN(L813)-FIND("/",L813,FIND("/",L813)+1))))</f>
        <v/>
      </c>
      <c r="Z813" s="7" t="str">
        <f aca="false">IF(OR(L813="",W813=""),"",IFERROR(INDEX('لیست‌ها'!$Q$3:$Q$53,MATCH(W813,'لیست‌ها'!$P$3:$P$53,0))+IF(X813&lt;=6,(X813-1)*31+Y813,IF(X813&lt;=11,186+(X813-7)*30+Y813,336+Y813))-1,""))</f>
        <v/>
      </c>
      <c r="AA813" s="7" t="str">
        <f aca="false">IF(H813="","",VALUE(LEFT(H813,FIND("/",H813)-1)))</f>
        <v/>
      </c>
      <c r="AB813" s="7" t="str">
        <f aca="false">IF(H813="","",VALUE(MID(H813,FIND("/",H813)+1,FIND("/",H813,FIND("/",H813)+1)-FIND("/",H813)-1)))</f>
        <v/>
      </c>
      <c r="AC813" s="7" t="str">
        <f aca="false">IF(H813="","",VALUE(MID(H813,FIND("/",H813,FIND("/",H813)+1)+1,LEN(H813)-FIND("/",H813,FIND("/",H813)+1))))</f>
        <v/>
      </c>
      <c r="AD813" s="7" t="str">
        <f aca="false">IF(OR(H813="",AA813=""),"",IFERROR(INDEX('لیست‌ها'!$Q$3:$Q$53,MATCH(AA813,'لیست‌ها'!$P$3:$P$53,0))+IF(AB813&lt;=6,(AB813-1)*31+AC813,IF(AB813&lt;=11,186+(AB813-7)*30+AC813,336+AC813))-1,""))</f>
        <v/>
      </c>
      <c r="AE813" s="7" t="str">
        <f aca="false">IF(P813="","",VALUE(LEFT(P813,FIND("/",P813)-1)))</f>
        <v/>
      </c>
      <c r="AF813" s="7" t="str">
        <f aca="false">IF(P813="","",VALUE(MID(P813,FIND("/",P813)+1,FIND("/",P813,FIND("/",P813)+1)-FIND("/",P813)-1)))</f>
        <v/>
      </c>
      <c r="AG813" s="7" t="str">
        <f aca="false">IF(P813="","",VALUE(MID(P813,FIND("/",P813,FIND("/",P813)+1)+1,LEN(P813)-FIND("/",P813,FIND("/",P813)+1))))</f>
        <v/>
      </c>
      <c r="AH813" s="7" t="str">
        <f aca="false">IF(OR(P813="",AE813=""),"",IFERROR(INDEX('لیست‌ها'!$Q$3:$Q$53,MATCH(AE813,'لیست‌ها'!$P$3:$P$53,0))+IF(AF813&lt;=6,(AF813-1)*31+AG813,IF(AF813&lt;=11,186+(AF813-7)*30+AG813,336+AG813))-1,""))</f>
        <v/>
      </c>
      <c r="AI813" s="7" t="str">
        <f aca="false">IF(W813="","",W813&amp;"-"&amp;TEXT(X813,"00"))</f>
        <v/>
      </c>
      <c r="AJ813" s="7" t="str">
        <f aca="false">IF(W813="","",W813*12+X813)</f>
        <v/>
      </c>
      <c r="AK813" s="7" t="str">
        <f aca="false">IF(U813="تاخیر",V813+ROW()/100000,"")</f>
        <v/>
      </c>
    </row>
    <row r="814" customFormat="false" ht="15" hidden="false" customHeight="false" outlineLevel="0" collapsed="false">
      <c r="A814" s="7" t="str">
        <f aca="false">IF(B814="","",ROW()-3)</f>
        <v/>
      </c>
      <c r="B814" s="8"/>
      <c r="C814" s="8"/>
      <c r="D814" s="8"/>
      <c r="E814" s="9"/>
      <c r="F814" s="9"/>
      <c r="G814" s="8"/>
      <c r="H814" s="8"/>
      <c r="I814" s="8"/>
      <c r="J814" s="9"/>
      <c r="K814" s="8"/>
      <c r="L814" s="8"/>
      <c r="M814" s="8"/>
      <c r="N814" s="8"/>
      <c r="O814" s="8"/>
      <c r="P814" s="8"/>
      <c r="Q814" s="8"/>
      <c r="R814" s="9"/>
      <c r="S814" s="8"/>
      <c r="T814" s="9"/>
      <c r="U814" s="10" t="str">
        <f aca="true">IF(B814="","",IF(OR(P814&lt;&gt;"",I814="می‌باشد"),"بسته",IF(AND(L814&lt;&gt;"",W814=""),"خطای فرمت تاریخ ایجاد",IF(AND(H814&lt;&gt;"",AA814=""),"خطای فرمت مهلت",IF(AND(H814&lt;&gt;"",AD814&lt;&gt;"",TODAY()&gt;AD814),"تاخیر",IF(L814&lt;&gt;"","در حال انجام",""))))))</f>
        <v/>
      </c>
      <c r="V814" s="7" t="n">
        <f aca="true">IF(U814="تاخیر",TODAY()-AD814,IF(AND(U814="بسته",AH814&lt;&gt;"",AD814&lt;&gt;"",AH814&gt;AD814),AH814-AD814,0))</f>
        <v>0</v>
      </c>
      <c r="W814" s="7" t="str">
        <f aca="false">IF(L814="","",VALUE(LEFT(L814,FIND("/",L814)-1)))</f>
        <v/>
      </c>
      <c r="X814" s="7" t="str">
        <f aca="false">IF(L814="","",VALUE(MID(L814,FIND("/",L814)+1,FIND("/",L814,FIND("/",L814)+1)-FIND("/",L814)-1)))</f>
        <v/>
      </c>
      <c r="Y814" s="7" t="str">
        <f aca="false">IF(L814="","",VALUE(MID(L814,FIND("/",L814,FIND("/",L814)+1)+1,LEN(L814)-FIND("/",L814,FIND("/",L814)+1))))</f>
        <v/>
      </c>
      <c r="Z814" s="7" t="str">
        <f aca="false">IF(OR(L814="",W814=""),"",IFERROR(INDEX('لیست‌ها'!$Q$3:$Q$53,MATCH(W814,'لیست‌ها'!$P$3:$P$53,0))+IF(X814&lt;=6,(X814-1)*31+Y814,IF(X814&lt;=11,186+(X814-7)*30+Y814,336+Y814))-1,""))</f>
        <v/>
      </c>
      <c r="AA814" s="7" t="str">
        <f aca="false">IF(H814="","",VALUE(LEFT(H814,FIND("/",H814)-1)))</f>
        <v/>
      </c>
      <c r="AB814" s="7" t="str">
        <f aca="false">IF(H814="","",VALUE(MID(H814,FIND("/",H814)+1,FIND("/",H814,FIND("/",H814)+1)-FIND("/",H814)-1)))</f>
        <v/>
      </c>
      <c r="AC814" s="7" t="str">
        <f aca="false">IF(H814="","",VALUE(MID(H814,FIND("/",H814,FIND("/",H814)+1)+1,LEN(H814)-FIND("/",H814,FIND("/",H814)+1))))</f>
        <v/>
      </c>
      <c r="AD814" s="7" t="str">
        <f aca="false">IF(OR(H814="",AA814=""),"",IFERROR(INDEX('لیست‌ها'!$Q$3:$Q$53,MATCH(AA814,'لیست‌ها'!$P$3:$P$53,0))+IF(AB814&lt;=6,(AB814-1)*31+AC814,IF(AB814&lt;=11,186+(AB814-7)*30+AC814,336+AC814))-1,""))</f>
        <v/>
      </c>
      <c r="AE814" s="7" t="str">
        <f aca="false">IF(P814="","",VALUE(LEFT(P814,FIND("/",P814)-1)))</f>
        <v/>
      </c>
      <c r="AF814" s="7" t="str">
        <f aca="false">IF(P814="","",VALUE(MID(P814,FIND("/",P814)+1,FIND("/",P814,FIND("/",P814)+1)-FIND("/",P814)-1)))</f>
        <v/>
      </c>
      <c r="AG814" s="7" t="str">
        <f aca="false">IF(P814="","",VALUE(MID(P814,FIND("/",P814,FIND("/",P814)+1)+1,LEN(P814)-FIND("/",P814,FIND("/",P814)+1))))</f>
        <v/>
      </c>
      <c r="AH814" s="7" t="str">
        <f aca="false">IF(OR(P814="",AE814=""),"",IFERROR(INDEX('لیست‌ها'!$Q$3:$Q$53,MATCH(AE814,'لیست‌ها'!$P$3:$P$53,0))+IF(AF814&lt;=6,(AF814-1)*31+AG814,IF(AF814&lt;=11,186+(AF814-7)*30+AG814,336+AG814))-1,""))</f>
        <v/>
      </c>
      <c r="AI814" s="7" t="str">
        <f aca="false">IF(W814="","",W814&amp;"-"&amp;TEXT(X814,"00"))</f>
        <v/>
      </c>
      <c r="AJ814" s="7" t="str">
        <f aca="false">IF(W814="","",W814*12+X814)</f>
        <v/>
      </c>
      <c r="AK814" s="7" t="str">
        <f aca="false">IF(U814="تاخیر",V814+ROW()/100000,"")</f>
        <v/>
      </c>
    </row>
    <row r="815" customFormat="false" ht="15" hidden="false" customHeight="false" outlineLevel="0" collapsed="false">
      <c r="A815" s="7" t="str">
        <f aca="false">IF(B815="","",ROW()-3)</f>
        <v/>
      </c>
      <c r="B815" s="8"/>
      <c r="C815" s="8"/>
      <c r="D815" s="8"/>
      <c r="E815" s="9"/>
      <c r="F815" s="9"/>
      <c r="G815" s="8"/>
      <c r="H815" s="8"/>
      <c r="I815" s="8"/>
      <c r="J815" s="9"/>
      <c r="K815" s="8"/>
      <c r="L815" s="8"/>
      <c r="M815" s="8"/>
      <c r="N815" s="8"/>
      <c r="O815" s="8"/>
      <c r="P815" s="8"/>
      <c r="Q815" s="8"/>
      <c r="R815" s="9"/>
      <c r="S815" s="8"/>
      <c r="T815" s="9"/>
      <c r="U815" s="10" t="str">
        <f aca="true">IF(B815="","",IF(OR(P815&lt;&gt;"",I815="می‌باشد"),"بسته",IF(AND(L815&lt;&gt;"",W815=""),"خطای فرمت تاریخ ایجاد",IF(AND(H815&lt;&gt;"",AA815=""),"خطای فرمت مهلت",IF(AND(H815&lt;&gt;"",AD815&lt;&gt;"",TODAY()&gt;AD815),"تاخیر",IF(L815&lt;&gt;"","در حال انجام",""))))))</f>
        <v/>
      </c>
      <c r="V815" s="7" t="n">
        <f aca="true">IF(U815="تاخیر",TODAY()-AD815,IF(AND(U815="بسته",AH815&lt;&gt;"",AD815&lt;&gt;"",AH815&gt;AD815),AH815-AD815,0))</f>
        <v>0</v>
      </c>
      <c r="W815" s="7" t="str">
        <f aca="false">IF(L815="","",VALUE(LEFT(L815,FIND("/",L815)-1)))</f>
        <v/>
      </c>
      <c r="X815" s="7" t="str">
        <f aca="false">IF(L815="","",VALUE(MID(L815,FIND("/",L815)+1,FIND("/",L815,FIND("/",L815)+1)-FIND("/",L815)-1)))</f>
        <v/>
      </c>
      <c r="Y815" s="7" t="str">
        <f aca="false">IF(L815="","",VALUE(MID(L815,FIND("/",L815,FIND("/",L815)+1)+1,LEN(L815)-FIND("/",L815,FIND("/",L815)+1))))</f>
        <v/>
      </c>
      <c r="Z815" s="7" t="str">
        <f aca="false">IF(OR(L815="",W815=""),"",IFERROR(INDEX('لیست‌ها'!$Q$3:$Q$53,MATCH(W815,'لیست‌ها'!$P$3:$P$53,0))+IF(X815&lt;=6,(X815-1)*31+Y815,IF(X815&lt;=11,186+(X815-7)*30+Y815,336+Y815))-1,""))</f>
        <v/>
      </c>
      <c r="AA815" s="7" t="str">
        <f aca="false">IF(H815="","",VALUE(LEFT(H815,FIND("/",H815)-1)))</f>
        <v/>
      </c>
      <c r="AB815" s="7" t="str">
        <f aca="false">IF(H815="","",VALUE(MID(H815,FIND("/",H815)+1,FIND("/",H815,FIND("/",H815)+1)-FIND("/",H815)-1)))</f>
        <v/>
      </c>
      <c r="AC815" s="7" t="str">
        <f aca="false">IF(H815="","",VALUE(MID(H815,FIND("/",H815,FIND("/",H815)+1)+1,LEN(H815)-FIND("/",H815,FIND("/",H815)+1))))</f>
        <v/>
      </c>
      <c r="AD815" s="7" t="str">
        <f aca="false">IF(OR(H815="",AA815=""),"",IFERROR(INDEX('لیست‌ها'!$Q$3:$Q$53,MATCH(AA815,'لیست‌ها'!$P$3:$P$53,0))+IF(AB815&lt;=6,(AB815-1)*31+AC815,IF(AB815&lt;=11,186+(AB815-7)*30+AC815,336+AC815))-1,""))</f>
        <v/>
      </c>
      <c r="AE815" s="7" t="str">
        <f aca="false">IF(P815="","",VALUE(LEFT(P815,FIND("/",P815)-1)))</f>
        <v/>
      </c>
      <c r="AF815" s="7" t="str">
        <f aca="false">IF(P815="","",VALUE(MID(P815,FIND("/",P815)+1,FIND("/",P815,FIND("/",P815)+1)-FIND("/",P815)-1)))</f>
        <v/>
      </c>
      <c r="AG815" s="7" t="str">
        <f aca="false">IF(P815="","",VALUE(MID(P815,FIND("/",P815,FIND("/",P815)+1)+1,LEN(P815)-FIND("/",P815,FIND("/",P815)+1))))</f>
        <v/>
      </c>
      <c r="AH815" s="7" t="str">
        <f aca="false">IF(OR(P815="",AE815=""),"",IFERROR(INDEX('لیست‌ها'!$Q$3:$Q$53,MATCH(AE815,'لیست‌ها'!$P$3:$P$53,0))+IF(AF815&lt;=6,(AF815-1)*31+AG815,IF(AF815&lt;=11,186+(AF815-7)*30+AG815,336+AG815))-1,""))</f>
        <v/>
      </c>
      <c r="AI815" s="7" t="str">
        <f aca="false">IF(W815="","",W815&amp;"-"&amp;TEXT(X815,"00"))</f>
        <v/>
      </c>
      <c r="AJ815" s="7" t="str">
        <f aca="false">IF(W815="","",W815*12+X815)</f>
        <v/>
      </c>
      <c r="AK815" s="7" t="str">
        <f aca="false">IF(U815="تاخیر",V815+ROW()/100000,"")</f>
        <v/>
      </c>
    </row>
    <row r="816" customFormat="false" ht="15" hidden="false" customHeight="false" outlineLevel="0" collapsed="false">
      <c r="A816" s="7" t="str">
        <f aca="false">IF(B816="","",ROW()-3)</f>
        <v/>
      </c>
      <c r="B816" s="8"/>
      <c r="C816" s="8"/>
      <c r="D816" s="8"/>
      <c r="E816" s="9"/>
      <c r="F816" s="9"/>
      <c r="G816" s="8"/>
      <c r="H816" s="8"/>
      <c r="I816" s="8"/>
      <c r="J816" s="9"/>
      <c r="K816" s="8"/>
      <c r="L816" s="8"/>
      <c r="M816" s="8"/>
      <c r="N816" s="8"/>
      <c r="O816" s="8"/>
      <c r="P816" s="8"/>
      <c r="Q816" s="8"/>
      <c r="R816" s="9"/>
      <c r="S816" s="8"/>
      <c r="T816" s="9"/>
      <c r="U816" s="10" t="str">
        <f aca="true">IF(B816="","",IF(OR(P816&lt;&gt;"",I816="می‌باشد"),"بسته",IF(AND(L816&lt;&gt;"",W816=""),"خطای فرمت تاریخ ایجاد",IF(AND(H816&lt;&gt;"",AA816=""),"خطای فرمت مهلت",IF(AND(H816&lt;&gt;"",AD816&lt;&gt;"",TODAY()&gt;AD816),"تاخیر",IF(L816&lt;&gt;"","در حال انجام",""))))))</f>
        <v/>
      </c>
      <c r="V816" s="7" t="n">
        <f aca="true">IF(U816="تاخیر",TODAY()-AD816,IF(AND(U816="بسته",AH816&lt;&gt;"",AD816&lt;&gt;"",AH816&gt;AD816),AH816-AD816,0))</f>
        <v>0</v>
      </c>
      <c r="W816" s="7" t="str">
        <f aca="false">IF(L816="","",VALUE(LEFT(L816,FIND("/",L816)-1)))</f>
        <v/>
      </c>
      <c r="X816" s="7" t="str">
        <f aca="false">IF(L816="","",VALUE(MID(L816,FIND("/",L816)+1,FIND("/",L816,FIND("/",L816)+1)-FIND("/",L816)-1)))</f>
        <v/>
      </c>
      <c r="Y816" s="7" t="str">
        <f aca="false">IF(L816="","",VALUE(MID(L816,FIND("/",L816,FIND("/",L816)+1)+1,LEN(L816)-FIND("/",L816,FIND("/",L816)+1))))</f>
        <v/>
      </c>
      <c r="Z816" s="7" t="str">
        <f aca="false">IF(OR(L816="",W816=""),"",IFERROR(INDEX('لیست‌ها'!$Q$3:$Q$53,MATCH(W816,'لیست‌ها'!$P$3:$P$53,0))+IF(X816&lt;=6,(X816-1)*31+Y816,IF(X816&lt;=11,186+(X816-7)*30+Y816,336+Y816))-1,""))</f>
        <v/>
      </c>
      <c r="AA816" s="7" t="str">
        <f aca="false">IF(H816="","",VALUE(LEFT(H816,FIND("/",H816)-1)))</f>
        <v/>
      </c>
      <c r="AB816" s="7" t="str">
        <f aca="false">IF(H816="","",VALUE(MID(H816,FIND("/",H816)+1,FIND("/",H816,FIND("/",H816)+1)-FIND("/",H816)-1)))</f>
        <v/>
      </c>
      <c r="AC816" s="7" t="str">
        <f aca="false">IF(H816="","",VALUE(MID(H816,FIND("/",H816,FIND("/",H816)+1)+1,LEN(H816)-FIND("/",H816,FIND("/",H816)+1))))</f>
        <v/>
      </c>
      <c r="AD816" s="7" t="str">
        <f aca="false">IF(OR(H816="",AA816=""),"",IFERROR(INDEX('لیست‌ها'!$Q$3:$Q$53,MATCH(AA816,'لیست‌ها'!$P$3:$P$53,0))+IF(AB816&lt;=6,(AB816-1)*31+AC816,IF(AB816&lt;=11,186+(AB816-7)*30+AC816,336+AC816))-1,""))</f>
        <v/>
      </c>
      <c r="AE816" s="7" t="str">
        <f aca="false">IF(P816="","",VALUE(LEFT(P816,FIND("/",P816)-1)))</f>
        <v/>
      </c>
      <c r="AF816" s="7" t="str">
        <f aca="false">IF(P816="","",VALUE(MID(P816,FIND("/",P816)+1,FIND("/",P816,FIND("/",P816)+1)-FIND("/",P816)-1)))</f>
        <v/>
      </c>
      <c r="AG816" s="7" t="str">
        <f aca="false">IF(P816="","",VALUE(MID(P816,FIND("/",P816,FIND("/",P816)+1)+1,LEN(P816)-FIND("/",P816,FIND("/",P816)+1))))</f>
        <v/>
      </c>
      <c r="AH816" s="7" t="str">
        <f aca="false">IF(OR(P816="",AE816=""),"",IFERROR(INDEX('لیست‌ها'!$Q$3:$Q$53,MATCH(AE816,'لیست‌ها'!$P$3:$P$53,0))+IF(AF816&lt;=6,(AF816-1)*31+AG816,IF(AF816&lt;=11,186+(AF816-7)*30+AG816,336+AG816))-1,""))</f>
        <v/>
      </c>
      <c r="AI816" s="7" t="str">
        <f aca="false">IF(W816="","",W816&amp;"-"&amp;TEXT(X816,"00"))</f>
        <v/>
      </c>
      <c r="AJ816" s="7" t="str">
        <f aca="false">IF(W816="","",W816*12+X816)</f>
        <v/>
      </c>
      <c r="AK816" s="7" t="str">
        <f aca="false">IF(U816="تاخیر",V816+ROW()/100000,"")</f>
        <v/>
      </c>
    </row>
    <row r="817" customFormat="false" ht="15" hidden="false" customHeight="false" outlineLevel="0" collapsed="false">
      <c r="A817" s="7" t="str">
        <f aca="false">IF(B817="","",ROW()-3)</f>
        <v/>
      </c>
      <c r="B817" s="8"/>
      <c r="C817" s="8"/>
      <c r="D817" s="8"/>
      <c r="E817" s="9"/>
      <c r="F817" s="9"/>
      <c r="G817" s="8"/>
      <c r="H817" s="8"/>
      <c r="I817" s="8"/>
      <c r="J817" s="9"/>
      <c r="K817" s="8"/>
      <c r="L817" s="8"/>
      <c r="M817" s="8"/>
      <c r="N817" s="8"/>
      <c r="O817" s="8"/>
      <c r="P817" s="8"/>
      <c r="Q817" s="8"/>
      <c r="R817" s="9"/>
      <c r="S817" s="8"/>
      <c r="T817" s="9"/>
      <c r="U817" s="10" t="str">
        <f aca="true">IF(B817="","",IF(OR(P817&lt;&gt;"",I817="می‌باشد"),"بسته",IF(AND(L817&lt;&gt;"",W817=""),"خطای فرمت تاریخ ایجاد",IF(AND(H817&lt;&gt;"",AA817=""),"خطای فرمت مهلت",IF(AND(H817&lt;&gt;"",AD817&lt;&gt;"",TODAY()&gt;AD817),"تاخیر",IF(L817&lt;&gt;"","در حال انجام",""))))))</f>
        <v/>
      </c>
      <c r="V817" s="7" t="n">
        <f aca="true">IF(U817="تاخیر",TODAY()-AD817,IF(AND(U817="بسته",AH817&lt;&gt;"",AD817&lt;&gt;"",AH817&gt;AD817),AH817-AD817,0))</f>
        <v>0</v>
      </c>
      <c r="W817" s="7" t="str">
        <f aca="false">IF(L817="","",VALUE(LEFT(L817,FIND("/",L817)-1)))</f>
        <v/>
      </c>
      <c r="X817" s="7" t="str">
        <f aca="false">IF(L817="","",VALUE(MID(L817,FIND("/",L817)+1,FIND("/",L817,FIND("/",L817)+1)-FIND("/",L817)-1)))</f>
        <v/>
      </c>
      <c r="Y817" s="7" t="str">
        <f aca="false">IF(L817="","",VALUE(MID(L817,FIND("/",L817,FIND("/",L817)+1)+1,LEN(L817)-FIND("/",L817,FIND("/",L817)+1))))</f>
        <v/>
      </c>
      <c r="Z817" s="7" t="str">
        <f aca="false">IF(OR(L817="",W817=""),"",IFERROR(INDEX('لیست‌ها'!$Q$3:$Q$53,MATCH(W817,'لیست‌ها'!$P$3:$P$53,0))+IF(X817&lt;=6,(X817-1)*31+Y817,IF(X817&lt;=11,186+(X817-7)*30+Y817,336+Y817))-1,""))</f>
        <v/>
      </c>
      <c r="AA817" s="7" t="str">
        <f aca="false">IF(H817="","",VALUE(LEFT(H817,FIND("/",H817)-1)))</f>
        <v/>
      </c>
      <c r="AB817" s="7" t="str">
        <f aca="false">IF(H817="","",VALUE(MID(H817,FIND("/",H817)+1,FIND("/",H817,FIND("/",H817)+1)-FIND("/",H817)-1)))</f>
        <v/>
      </c>
      <c r="AC817" s="7" t="str">
        <f aca="false">IF(H817="","",VALUE(MID(H817,FIND("/",H817,FIND("/",H817)+1)+1,LEN(H817)-FIND("/",H817,FIND("/",H817)+1))))</f>
        <v/>
      </c>
      <c r="AD817" s="7" t="str">
        <f aca="false">IF(OR(H817="",AA817=""),"",IFERROR(INDEX('لیست‌ها'!$Q$3:$Q$53,MATCH(AA817,'لیست‌ها'!$P$3:$P$53,0))+IF(AB817&lt;=6,(AB817-1)*31+AC817,IF(AB817&lt;=11,186+(AB817-7)*30+AC817,336+AC817))-1,""))</f>
        <v/>
      </c>
      <c r="AE817" s="7" t="str">
        <f aca="false">IF(P817="","",VALUE(LEFT(P817,FIND("/",P817)-1)))</f>
        <v/>
      </c>
      <c r="AF817" s="7" t="str">
        <f aca="false">IF(P817="","",VALUE(MID(P817,FIND("/",P817)+1,FIND("/",P817,FIND("/",P817)+1)-FIND("/",P817)-1)))</f>
        <v/>
      </c>
      <c r="AG817" s="7" t="str">
        <f aca="false">IF(P817="","",VALUE(MID(P817,FIND("/",P817,FIND("/",P817)+1)+1,LEN(P817)-FIND("/",P817,FIND("/",P817)+1))))</f>
        <v/>
      </c>
      <c r="AH817" s="7" t="str">
        <f aca="false">IF(OR(P817="",AE817=""),"",IFERROR(INDEX('لیست‌ها'!$Q$3:$Q$53,MATCH(AE817,'لیست‌ها'!$P$3:$P$53,0))+IF(AF817&lt;=6,(AF817-1)*31+AG817,IF(AF817&lt;=11,186+(AF817-7)*30+AG817,336+AG817))-1,""))</f>
        <v/>
      </c>
      <c r="AI817" s="7" t="str">
        <f aca="false">IF(W817="","",W817&amp;"-"&amp;TEXT(X817,"00"))</f>
        <v/>
      </c>
      <c r="AJ817" s="7" t="str">
        <f aca="false">IF(W817="","",W817*12+X817)</f>
        <v/>
      </c>
      <c r="AK817" s="7" t="str">
        <f aca="false">IF(U817="تاخیر",V817+ROW()/100000,"")</f>
        <v/>
      </c>
    </row>
    <row r="818" customFormat="false" ht="15" hidden="false" customHeight="false" outlineLevel="0" collapsed="false">
      <c r="A818" s="7" t="str">
        <f aca="false">IF(B818="","",ROW()-3)</f>
        <v/>
      </c>
      <c r="B818" s="8"/>
      <c r="C818" s="8"/>
      <c r="D818" s="8"/>
      <c r="E818" s="9"/>
      <c r="F818" s="9"/>
      <c r="G818" s="8"/>
      <c r="H818" s="8"/>
      <c r="I818" s="8"/>
      <c r="J818" s="9"/>
      <c r="K818" s="8"/>
      <c r="L818" s="8"/>
      <c r="M818" s="8"/>
      <c r="N818" s="8"/>
      <c r="O818" s="8"/>
      <c r="P818" s="8"/>
      <c r="Q818" s="8"/>
      <c r="R818" s="9"/>
      <c r="S818" s="8"/>
      <c r="T818" s="9"/>
      <c r="U818" s="10" t="str">
        <f aca="true">IF(B818="","",IF(OR(P818&lt;&gt;"",I818="می‌باشد"),"بسته",IF(AND(L818&lt;&gt;"",W818=""),"خطای فرمت تاریخ ایجاد",IF(AND(H818&lt;&gt;"",AA818=""),"خطای فرمت مهلت",IF(AND(H818&lt;&gt;"",AD818&lt;&gt;"",TODAY()&gt;AD818),"تاخیر",IF(L818&lt;&gt;"","در حال انجام",""))))))</f>
        <v/>
      </c>
      <c r="V818" s="7" t="n">
        <f aca="true">IF(U818="تاخیر",TODAY()-AD818,IF(AND(U818="بسته",AH818&lt;&gt;"",AD818&lt;&gt;"",AH818&gt;AD818),AH818-AD818,0))</f>
        <v>0</v>
      </c>
      <c r="W818" s="7" t="str">
        <f aca="false">IF(L818="","",VALUE(LEFT(L818,FIND("/",L818)-1)))</f>
        <v/>
      </c>
      <c r="X818" s="7" t="str">
        <f aca="false">IF(L818="","",VALUE(MID(L818,FIND("/",L818)+1,FIND("/",L818,FIND("/",L818)+1)-FIND("/",L818)-1)))</f>
        <v/>
      </c>
      <c r="Y818" s="7" t="str">
        <f aca="false">IF(L818="","",VALUE(MID(L818,FIND("/",L818,FIND("/",L818)+1)+1,LEN(L818)-FIND("/",L818,FIND("/",L818)+1))))</f>
        <v/>
      </c>
      <c r="Z818" s="7" t="str">
        <f aca="false">IF(OR(L818="",W818=""),"",IFERROR(INDEX('لیست‌ها'!$Q$3:$Q$53,MATCH(W818,'لیست‌ها'!$P$3:$P$53,0))+IF(X818&lt;=6,(X818-1)*31+Y818,IF(X818&lt;=11,186+(X818-7)*30+Y818,336+Y818))-1,""))</f>
        <v/>
      </c>
      <c r="AA818" s="7" t="str">
        <f aca="false">IF(H818="","",VALUE(LEFT(H818,FIND("/",H818)-1)))</f>
        <v/>
      </c>
      <c r="AB818" s="7" t="str">
        <f aca="false">IF(H818="","",VALUE(MID(H818,FIND("/",H818)+1,FIND("/",H818,FIND("/",H818)+1)-FIND("/",H818)-1)))</f>
        <v/>
      </c>
      <c r="AC818" s="7" t="str">
        <f aca="false">IF(H818="","",VALUE(MID(H818,FIND("/",H818,FIND("/",H818)+1)+1,LEN(H818)-FIND("/",H818,FIND("/",H818)+1))))</f>
        <v/>
      </c>
      <c r="AD818" s="7" t="str">
        <f aca="false">IF(OR(H818="",AA818=""),"",IFERROR(INDEX('لیست‌ها'!$Q$3:$Q$53,MATCH(AA818,'لیست‌ها'!$P$3:$P$53,0))+IF(AB818&lt;=6,(AB818-1)*31+AC818,IF(AB818&lt;=11,186+(AB818-7)*30+AC818,336+AC818))-1,""))</f>
        <v/>
      </c>
      <c r="AE818" s="7" t="str">
        <f aca="false">IF(P818="","",VALUE(LEFT(P818,FIND("/",P818)-1)))</f>
        <v/>
      </c>
      <c r="AF818" s="7" t="str">
        <f aca="false">IF(P818="","",VALUE(MID(P818,FIND("/",P818)+1,FIND("/",P818,FIND("/",P818)+1)-FIND("/",P818)-1)))</f>
        <v/>
      </c>
      <c r="AG818" s="7" t="str">
        <f aca="false">IF(P818="","",VALUE(MID(P818,FIND("/",P818,FIND("/",P818)+1)+1,LEN(P818)-FIND("/",P818,FIND("/",P818)+1))))</f>
        <v/>
      </c>
      <c r="AH818" s="7" t="str">
        <f aca="false">IF(OR(P818="",AE818=""),"",IFERROR(INDEX('لیست‌ها'!$Q$3:$Q$53,MATCH(AE818,'لیست‌ها'!$P$3:$P$53,0))+IF(AF818&lt;=6,(AF818-1)*31+AG818,IF(AF818&lt;=11,186+(AF818-7)*30+AG818,336+AG818))-1,""))</f>
        <v/>
      </c>
      <c r="AI818" s="7" t="str">
        <f aca="false">IF(W818="","",W818&amp;"-"&amp;TEXT(X818,"00"))</f>
        <v/>
      </c>
      <c r="AJ818" s="7" t="str">
        <f aca="false">IF(W818="","",W818*12+X818)</f>
        <v/>
      </c>
      <c r="AK818" s="7" t="str">
        <f aca="false">IF(U818="تاخیر",V818+ROW()/100000,"")</f>
        <v/>
      </c>
    </row>
    <row r="819" customFormat="false" ht="15" hidden="false" customHeight="false" outlineLevel="0" collapsed="false">
      <c r="A819" s="7" t="str">
        <f aca="false">IF(B819="","",ROW()-3)</f>
        <v/>
      </c>
      <c r="B819" s="8"/>
      <c r="C819" s="8"/>
      <c r="D819" s="8"/>
      <c r="E819" s="9"/>
      <c r="F819" s="9"/>
      <c r="G819" s="8"/>
      <c r="H819" s="8"/>
      <c r="I819" s="8"/>
      <c r="J819" s="9"/>
      <c r="K819" s="8"/>
      <c r="L819" s="8"/>
      <c r="M819" s="8"/>
      <c r="N819" s="8"/>
      <c r="O819" s="8"/>
      <c r="P819" s="8"/>
      <c r="Q819" s="8"/>
      <c r="R819" s="9"/>
      <c r="S819" s="8"/>
      <c r="T819" s="9"/>
      <c r="U819" s="10" t="str">
        <f aca="true">IF(B819="","",IF(OR(P819&lt;&gt;"",I819="می‌باشد"),"بسته",IF(AND(L819&lt;&gt;"",W819=""),"خطای فرمت تاریخ ایجاد",IF(AND(H819&lt;&gt;"",AA819=""),"خطای فرمت مهلت",IF(AND(H819&lt;&gt;"",AD819&lt;&gt;"",TODAY()&gt;AD819),"تاخیر",IF(L819&lt;&gt;"","در حال انجام",""))))))</f>
        <v/>
      </c>
      <c r="V819" s="7" t="n">
        <f aca="true">IF(U819="تاخیر",TODAY()-AD819,IF(AND(U819="بسته",AH819&lt;&gt;"",AD819&lt;&gt;"",AH819&gt;AD819),AH819-AD819,0))</f>
        <v>0</v>
      </c>
      <c r="W819" s="7" t="str">
        <f aca="false">IF(L819="","",VALUE(LEFT(L819,FIND("/",L819)-1)))</f>
        <v/>
      </c>
      <c r="X819" s="7" t="str">
        <f aca="false">IF(L819="","",VALUE(MID(L819,FIND("/",L819)+1,FIND("/",L819,FIND("/",L819)+1)-FIND("/",L819)-1)))</f>
        <v/>
      </c>
      <c r="Y819" s="7" t="str">
        <f aca="false">IF(L819="","",VALUE(MID(L819,FIND("/",L819,FIND("/",L819)+1)+1,LEN(L819)-FIND("/",L819,FIND("/",L819)+1))))</f>
        <v/>
      </c>
      <c r="Z819" s="7" t="str">
        <f aca="false">IF(OR(L819="",W819=""),"",IFERROR(INDEX('لیست‌ها'!$Q$3:$Q$53,MATCH(W819,'لیست‌ها'!$P$3:$P$53,0))+IF(X819&lt;=6,(X819-1)*31+Y819,IF(X819&lt;=11,186+(X819-7)*30+Y819,336+Y819))-1,""))</f>
        <v/>
      </c>
      <c r="AA819" s="7" t="str">
        <f aca="false">IF(H819="","",VALUE(LEFT(H819,FIND("/",H819)-1)))</f>
        <v/>
      </c>
      <c r="AB819" s="7" t="str">
        <f aca="false">IF(H819="","",VALUE(MID(H819,FIND("/",H819)+1,FIND("/",H819,FIND("/",H819)+1)-FIND("/",H819)-1)))</f>
        <v/>
      </c>
      <c r="AC819" s="7" t="str">
        <f aca="false">IF(H819="","",VALUE(MID(H819,FIND("/",H819,FIND("/",H819)+1)+1,LEN(H819)-FIND("/",H819,FIND("/",H819)+1))))</f>
        <v/>
      </c>
      <c r="AD819" s="7" t="str">
        <f aca="false">IF(OR(H819="",AA819=""),"",IFERROR(INDEX('لیست‌ها'!$Q$3:$Q$53,MATCH(AA819,'لیست‌ها'!$P$3:$P$53,0))+IF(AB819&lt;=6,(AB819-1)*31+AC819,IF(AB819&lt;=11,186+(AB819-7)*30+AC819,336+AC819))-1,""))</f>
        <v/>
      </c>
      <c r="AE819" s="7" t="str">
        <f aca="false">IF(P819="","",VALUE(LEFT(P819,FIND("/",P819)-1)))</f>
        <v/>
      </c>
      <c r="AF819" s="7" t="str">
        <f aca="false">IF(P819="","",VALUE(MID(P819,FIND("/",P819)+1,FIND("/",P819,FIND("/",P819)+1)-FIND("/",P819)-1)))</f>
        <v/>
      </c>
      <c r="AG819" s="7" t="str">
        <f aca="false">IF(P819="","",VALUE(MID(P819,FIND("/",P819,FIND("/",P819)+1)+1,LEN(P819)-FIND("/",P819,FIND("/",P819)+1))))</f>
        <v/>
      </c>
      <c r="AH819" s="7" t="str">
        <f aca="false">IF(OR(P819="",AE819=""),"",IFERROR(INDEX('لیست‌ها'!$Q$3:$Q$53,MATCH(AE819,'لیست‌ها'!$P$3:$P$53,0))+IF(AF819&lt;=6,(AF819-1)*31+AG819,IF(AF819&lt;=11,186+(AF819-7)*30+AG819,336+AG819))-1,""))</f>
        <v/>
      </c>
      <c r="AI819" s="7" t="str">
        <f aca="false">IF(W819="","",W819&amp;"-"&amp;TEXT(X819,"00"))</f>
        <v/>
      </c>
      <c r="AJ819" s="7" t="str">
        <f aca="false">IF(W819="","",W819*12+X819)</f>
        <v/>
      </c>
      <c r="AK819" s="7" t="str">
        <f aca="false">IF(U819="تاخیر",V819+ROW()/100000,"")</f>
        <v/>
      </c>
    </row>
    <row r="820" customFormat="false" ht="15" hidden="false" customHeight="false" outlineLevel="0" collapsed="false">
      <c r="A820" s="7" t="str">
        <f aca="false">IF(B820="","",ROW()-3)</f>
        <v/>
      </c>
      <c r="B820" s="8"/>
      <c r="C820" s="8"/>
      <c r="D820" s="8"/>
      <c r="E820" s="9"/>
      <c r="F820" s="9"/>
      <c r="G820" s="8"/>
      <c r="H820" s="8"/>
      <c r="I820" s="8"/>
      <c r="J820" s="9"/>
      <c r="K820" s="8"/>
      <c r="L820" s="8"/>
      <c r="M820" s="8"/>
      <c r="N820" s="8"/>
      <c r="O820" s="8"/>
      <c r="P820" s="8"/>
      <c r="Q820" s="8"/>
      <c r="R820" s="9"/>
      <c r="S820" s="8"/>
      <c r="T820" s="9"/>
      <c r="U820" s="10" t="str">
        <f aca="true">IF(B820="","",IF(OR(P820&lt;&gt;"",I820="می‌باشد"),"بسته",IF(AND(L820&lt;&gt;"",W820=""),"خطای فرمت تاریخ ایجاد",IF(AND(H820&lt;&gt;"",AA820=""),"خطای فرمت مهلت",IF(AND(H820&lt;&gt;"",AD820&lt;&gt;"",TODAY()&gt;AD820),"تاخیر",IF(L820&lt;&gt;"","در حال انجام",""))))))</f>
        <v/>
      </c>
      <c r="V820" s="7" t="n">
        <f aca="true">IF(U820="تاخیر",TODAY()-AD820,IF(AND(U820="بسته",AH820&lt;&gt;"",AD820&lt;&gt;"",AH820&gt;AD820),AH820-AD820,0))</f>
        <v>0</v>
      </c>
      <c r="W820" s="7" t="str">
        <f aca="false">IF(L820="","",VALUE(LEFT(L820,FIND("/",L820)-1)))</f>
        <v/>
      </c>
      <c r="X820" s="7" t="str">
        <f aca="false">IF(L820="","",VALUE(MID(L820,FIND("/",L820)+1,FIND("/",L820,FIND("/",L820)+1)-FIND("/",L820)-1)))</f>
        <v/>
      </c>
      <c r="Y820" s="7" t="str">
        <f aca="false">IF(L820="","",VALUE(MID(L820,FIND("/",L820,FIND("/",L820)+1)+1,LEN(L820)-FIND("/",L820,FIND("/",L820)+1))))</f>
        <v/>
      </c>
      <c r="Z820" s="7" t="str">
        <f aca="false">IF(OR(L820="",W820=""),"",IFERROR(INDEX('لیست‌ها'!$Q$3:$Q$53,MATCH(W820,'لیست‌ها'!$P$3:$P$53,0))+IF(X820&lt;=6,(X820-1)*31+Y820,IF(X820&lt;=11,186+(X820-7)*30+Y820,336+Y820))-1,""))</f>
        <v/>
      </c>
      <c r="AA820" s="7" t="str">
        <f aca="false">IF(H820="","",VALUE(LEFT(H820,FIND("/",H820)-1)))</f>
        <v/>
      </c>
      <c r="AB820" s="7" t="str">
        <f aca="false">IF(H820="","",VALUE(MID(H820,FIND("/",H820)+1,FIND("/",H820,FIND("/",H820)+1)-FIND("/",H820)-1)))</f>
        <v/>
      </c>
      <c r="AC820" s="7" t="str">
        <f aca="false">IF(H820="","",VALUE(MID(H820,FIND("/",H820,FIND("/",H820)+1)+1,LEN(H820)-FIND("/",H820,FIND("/",H820)+1))))</f>
        <v/>
      </c>
      <c r="AD820" s="7" t="str">
        <f aca="false">IF(OR(H820="",AA820=""),"",IFERROR(INDEX('لیست‌ها'!$Q$3:$Q$53,MATCH(AA820,'لیست‌ها'!$P$3:$P$53,0))+IF(AB820&lt;=6,(AB820-1)*31+AC820,IF(AB820&lt;=11,186+(AB820-7)*30+AC820,336+AC820))-1,""))</f>
        <v/>
      </c>
      <c r="AE820" s="7" t="str">
        <f aca="false">IF(P820="","",VALUE(LEFT(P820,FIND("/",P820)-1)))</f>
        <v/>
      </c>
      <c r="AF820" s="7" t="str">
        <f aca="false">IF(P820="","",VALUE(MID(P820,FIND("/",P820)+1,FIND("/",P820,FIND("/",P820)+1)-FIND("/",P820)-1)))</f>
        <v/>
      </c>
      <c r="AG820" s="7" t="str">
        <f aca="false">IF(P820="","",VALUE(MID(P820,FIND("/",P820,FIND("/",P820)+1)+1,LEN(P820)-FIND("/",P820,FIND("/",P820)+1))))</f>
        <v/>
      </c>
      <c r="AH820" s="7" t="str">
        <f aca="false">IF(OR(P820="",AE820=""),"",IFERROR(INDEX('لیست‌ها'!$Q$3:$Q$53,MATCH(AE820,'لیست‌ها'!$P$3:$P$53,0))+IF(AF820&lt;=6,(AF820-1)*31+AG820,IF(AF820&lt;=11,186+(AF820-7)*30+AG820,336+AG820))-1,""))</f>
        <v/>
      </c>
      <c r="AI820" s="7" t="str">
        <f aca="false">IF(W820="","",W820&amp;"-"&amp;TEXT(X820,"00"))</f>
        <v/>
      </c>
      <c r="AJ820" s="7" t="str">
        <f aca="false">IF(W820="","",W820*12+X820)</f>
        <v/>
      </c>
      <c r="AK820" s="7" t="str">
        <f aca="false">IF(U820="تاخیر",V820+ROW()/100000,"")</f>
        <v/>
      </c>
    </row>
    <row r="821" customFormat="false" ht="15" hidden="false" customHeight="false" outlineLevel="0" collapsed="false">
      <c r="A821" s="7" t="str">
        <f aca="false">IF(B821="","",ROW()-3)</f>
        <v/>
      </c>
      <c r="B821" s="8"/>
      <c r="C821" s="8"/>
      <c r="D821" s="8"/>
      <c r="E821" s="9"/>
      <c r="F821" s="9"/>
      <c r="G821" s="8"/>
      <c r="H821" s="8"/>
      <c r="I821" s="8"/>
      <c r="J821" s="9"/>
      <c r="K821" s="8"/>
      <c r="L821" s="8"/>
      <c r="M821" s="8"/>
      <c r="N821" s="8"/>
      <c r="O821" s="8"/>
      <c r="P821" s="8"/>
      <c r="Q821" s="8"/>
      <c r="R821" s="9"/>
      <c r="S821" s="8"/>
      <c r="T821" s="9"/>
      <c r="U821" s="10" t="str">
        <f aca="true">IF(B821="","",IF(OR(P821&lt;&gt;"",I821="می‌باشد"),"بسته",IF(AND(L821&lt;&gt;"",W821=""),"خطای فرمت تاریخ ایجاد",IF(AND(H821&lt;&gt;"",AA821=""),"خطای فرمت مهلت",IF(AND(H821&lt;&gt;"",AD821&lt;&gt;"",TODAY()&gt;AD821),"تاخیر",IF(L821&lt;&gt;"","در حال انجام",""))))))</f>
        <v/>
      </c>
      <c r="V821" s="7" t="n">
        <f aca="true">IF(U821="تاخیر",TODAY()-AD821,IF(AND(U821="بسته",AH821&lt;&gt;"",AD821&lt;&gt;"",AH821&gt;AD821),AH821-AD821,0))</f>
        <v>0</v>
      </c>
      <c r="W821" s="7" t="str">
        <f aca="false">IF(L821="","",VALUE(LEFT(L821,FIND("/",L821)-1)))</f>
        <v/>
      </c>
      <c r="X821" s="7" t="str">
        <f aca="false">IF(L821="","",VALUE(MID(L821,FIND("/",L821)+1,FIND("/",L821,FIND("/",L821)+1)-FIND("/",L821)-1)))</f>
        <v/>
      </c>
      <c r="Y821" s="7" t="str">
        <f aca="false">IF(L821="","",VALUE(MID(L821,FIND("/",L821,FIND("/",L821)+1)+1,LEN(L821)-FIND("/",L821,FIND("/",L821)+1))))</f>
        <v/>
      </c>
      <c r="Z821" s="7" t="str">
        <f aca="false">IF(OR(L821="",W821=""),"",IFERROR(INDEX('لیست‌ها'!$Q$3:$Q$53,MATCH(W821,'لیست‌ها'!$P$3:$P$53,0))+IF(X821&lt;=6,(X821-1)*31+Y821,IF(X821&lt;=11,186+(X821-7)*30+Y821,336+Y821))-1,""))</f>
        <v/>
      </c>
      <c r="AA821" s="7" t="str">
        <f aca="false">IF(H821="","",VALUE(LEFT(H821,FIND("/",H821)-1)))</f>
        <v/>
      </c>
      <c r="AB821" s="7" t="str">
        <f aca="false">IF(H821="","",VALUE(MID(H821,FIND("/",H821)+1,FIND("/",H821,FIND("/",H821)+1)-FIND("/",H821)-1)))</f>
        <v/>
      </c>
      <c r="AC821" s="7" t="str">
        <f aca="false">IF(H821="","",VALUE(MID(H821,FIND("/",H821,FIND("/",H821)+1)+1,LEN(H821)-FIND("/",H821,FIND("/",H821)+1))))</f>
        <v/>
      </c>
      <c r="AD821" s="7" t="str">
        <f aca="false">IF(OR(H821="",AA821=""),"",IFERROR(INDEX('لیست‌ها'!$Q$3:$Q$53,MATCH(AA821,'لیست‌ها'!$P$3:$P$53,0))+IF(AB821&lt;=6,(AB821-1)*31+AC821,IF(AB821&lt;=11,186+(AB821-7)*30+AC821,336+AC821))-1,""))</f>
        <v/>
      </c>
      <c r="AE821" s="7" t="str">
        <f aca="false">IF(P821="","",VALUE(LEFT(P821,FIND("/",P821)-1)))</f>
        <v/>
      </c>
      <c r="AF821" s="7" t="str">
        <f aca="false">IF(P821="","",VALUE(MID(P821,FIND("/",P821)+1,FIND("/",P821,FIND("/",P821)+1)-FIND("/",P821)-1)))</f>
        <v/>
      </c>
      <c r="AG821" s="7" t="str">
        <f aca="false">IF(P821="","",VALUE(MID(P821,FIND("/",P821,FIND("/",P821)+1)+1,LEN(P821)-FIND("/",P821,FIND("/",P821)+1))))</f>
        <v/>
      </c>
      <c r="AH821" s="7" t="str">
        <f aca="false">IF(OR(P821="",AE821=""),"",IFERROR(INDEX('لیست‌ها'!$Q$3:$Q$53,MATCH(AE821,'لیست‌ها'!$P$3:$P$53,0))+IF(AF821&lt;=6,(AF821-1)*31+AG821,IF(AF821&lt;=11,186+(AF821-7)*30+AG821,336+AG821))-1,""))</f>
        <v/>
      </c>
      <c r="AI821" s="7" t="str">
        <f aca="false">IF(W821="","",W821&amp;"-"&amp;TEXT(X821,"00"))</f>
        <v/>
      </c>
      <c r="AJ821" s="7" t="str">
        <f aca="false">IF(W821="","",W821*12+X821)</f>
        <v/>
      </c>
      <c r="AK821" s="7" t="str">
        <f aca="false">IF(U821="تاخیر",V821+ROW()/100000,"")</f>
        <v/>
      </c>
    </row>
    <row r="822" customFormat="false" ht="15" hidden="false" customHeight="false" outlineLevel="0" collapsed="false">
      <c r="A822" s="7" t="str">
        <f aca="false">IF(B822="","",ROW()-3)</f>
        <v/>
      </c>
      <c r="B822" s="8"/>
      <c r="C822" s="8"/>
      <c r="D822" s="8"/>
      <c r="E822" s="9"/>
      <c r="F822" s="9"/>
      <c r="G822" s="8"/>
      <c r="H822" s="8"/>
      <c r="I822" s="8"/>
      <c r="J822" s="9"/>
      <c r="K822" s="8"/>
      <c r="L822" s="8"/>
      <c r="M822" s="8"/>
      <c r="N822" s="8"/>
      <c r="O822" s="8"/>
      <c r="P822" s="8"/>
      <c r="Q822" s="8"/>
      <c r="R822" s="9"/>
      <c r="S822" s="8"/>
      <c r="T822" s="9"/>
      <c r="U822" s="10" t="str">
        <f aca="true">IF(B822="","",IF(OR(P822&lt;&gt;"",I822="می‌باشد"),"بسته",IF(AND(L822&lt;&gt;"",W822=""),"خطای فرمت تاریخ ایجاد",IF(AND(H822&lt;&gt;"",AA822=""),"خطای فرمت مهلت",IF(AND(H822&lt;&gt;"",AD822&lt;&gt;"",TODAY()&gt;AD822),"تاخیر",IF(L822&lt;&gt;"","در حال انجام",""))))))</f>
        <v/>
      </c>
      <c r="V822" s="7" t="n">
        <f aca="true">IF(U822="تاخیر",TODAY()-AD822,IF(AND(U822="بسته",AH822&lt;&gt;"",AD822&lt;&gt;"",AH822&gt;AD822),AH822-AD822,0))</f>
        <v>0</v>
      </c>
      <c r="W822" s="7" t="str">
        <f aca="false">IF(L822="","",VALUE(LEFT(L822,FIND("/",L822)-1)))</f>
        <v/>
      </c>
      <c r="X822" s="7" t="str">
        <f aca="false">IF(L822="","",VALUE(MID(L822,FIND("/",L822)+1,FIND("/",L822,FIND("/",L822)+1)-FIND("/",L822)-1)))</f>
        <v/>
      </c>
      <c r="Y822" s="7" t="str">
        <f aca="false">IF(L822="","",VALUE(MID(L822,FIND("/",L822,FIND("/",L822)+1)+1,LEN(L822)-FIND("/",L822,FIND("/",L822)+1))))</f>
        <v/>
      </c>
      <c r="Z822" s="7" t="str">
        <f aca="false">IF(OR(L822="",W822=""),"",IFERROR(INDEX('لیست‌ها'!$Q$3:$Q$53,MATCH(W822,'لیست‌ها'!$P$3:$P$53,0))+IF(X822&lt;=6,(X822-1)*31+Y822,IF(X822&lt;=11,186+(X822-7)*30+Y822,336+Y822))-1,""))</f>
        <v/>
      </c>
      <c r="AA822" s="7" t="str">
        <f aca="false">IF(H822="","",VALUE(LEFT(H822,FIND("/",H822)-1)))</f>
        <v/>
      </c>
      <c r="AB822" s="7" t="str">
        <f aca="false">IF(H822="","",VALUE(MID(H822,FIND("/",H822)+1,FIND("/",H822,FIND("/",H822)+1)-FIND("/",H822)-1)))</f>
        <v/>
      </c>
      <c r="AC822" s="7" t="str">
        <f aca="false">IF(H822="","",VALUE(MID(H822,FIND("/",H822,FIND("/",H822)+1)+1,LEN(H822)-FIND("/",H822,FIND("/",H822)+1))))</f>
        <v/>
      </c>
      <c r="AD822" s="7" t="str">
        <f aca="false">IF(OR(H822="",AA822=""),"",IFERROR(INDEX('لیست‌ها'!$Q$3:$Q$53,MATCH(AA822,'لیست‌ها'!$P$3:$P$53,0))+IF(AB822&lt;=6,(AB822-1)*31+AC822,IF(AB822&lt;=11,186+(AB822-7)*30+AC822,336+AC822))-1,""))</f>
        <v/>
      </c>
      <c r="AE822" s="7" t="str">
        <f aca="false">IF(P822="","",VALUE(LEFT(P822,FIND("/",P822)-1)))</f>
        <v/>
      </c>
      <c r="AF822" s="7" t="str">
        <f aca="false">IF(P822="","",VALUE(MID(P822,FIND("/",P822)+1,FIND("/",P822,FIND("/",P822)+1)-FIND("/",P822)-1)))</f>
        <v/>
      </c>
      <c r="AG822" s="7" t="str">
        <f aca="false">IF(P822="","",VALUE(MID(P822,FIND("/",P822,FIND("/",P822)+1)+1,LEN(P822)-FIND("/",P822,FIND("/",P822)+1))))</f>
        <v/>
      </c>
      <c r="AH822" s="7" t="str">
        <f aca="false">IF(OR(P822="",AE822=""),"",IFERROR(INDEX('لیست‌ها'!$Q$3:$Q$53,MATCH(AE822,'لیست‌ها'!$P$3:$P$53,0))+IF(AF822&lt;=6,(AF822-1)*31+AG822,IF(AF822&lt;=11,186+(AF822-7)*30+AG822,336+AG822))-1,""))</f>
        <v/>
      </c>
      <c r="AI822" s="7" t="str">
        <f aca="false">IF(W822="","",W822&amp;"-"&amp;TEXT(X822,"00"))</f>
        <v/>
      </c>
      <c r="AJ822" s="7" t="str">
        <f aca="false">IF(W822="","",W822*12+X822)</f>
        <v/>
      </c>
      <c r="AK822" s="7" t="str">
        <f aca="false">IF(U822="تاخیر",V822+ROW()/100000,"")</f>
        <v/>
      </c>
    </row>
    <row r="823" customFormat="false" ht="15" hidden="false" customHeight="false" outlineLevel="0" collapsed="false">
      <c r="A823" s="7" t="str">
        <f aca="false">IF(B823="","",ROW()-3)</f>
        <v/>
      </c>
      <c r="B823" s="8"/>
      <c r="C823" s="8"/>
      <c r="D823" s="8"/>
      <c r="E823" s="9"/>
      <c r="F823" s="9"/>
      <c r="G823" s="8"/>
      <c r="H823" s="8"/>
      <c r="I823" s="8"/>
      <c r="J823" s="9"/>
      <c r="K823" s="8"/>
      <c r="L823" s="8"/>
      <c r="M823" s="8"/>
      <c r="N823" s="8"/>
      <c r="O823" s="8"/>
      <c r="P823" s="8"/>
      <c r="Q823" s="8"/>
      <c r="R823" s="9"/>
      <c r="S823" s="8"/>
      <c r="T823" s="9"/>
      <c r="U823" s="10" t="str">
        <f aca="true">IF(B823="","",IF(OR(P823&lt;&gt;"",I823="می‌باشد"),"بسته",IF(AND(L823&lt;&gt;"",W823=""),"خطای فرمت تاریخ ایجاد",IF(AND(H823&lt;&gt;"",AA823=""),"خطای فرمت مهلت",IF(AND(H823&lt;&gt;"",AD823&lt;&gt;"",TODAY()&gt;AD823),"تاخیر",IF(L823&lt;&gt;"","در حال انجام",""))))))</f>
        <v/>
      </c>
      <c r="V823" s="7" t="n">
        <f aca="true">IF(U823="تاخیر",TODAY()-AD823,IF(AND(U823="بسته",AH823&lt;&gt;"",AD823&lt;&gt;"",AH823&gt;AD823),AH823-AD823,0))</f>
        <v>0</v>
      </c>
      <c r="W823" s="7" t="str">
        <f aca="false">IF(L823="","",VALUE(LEFT(L823,FIND("/",L823)-1)))</f>
        <v/>
      </c>
      <c r="X823" s="7" t="str">
        <f aca="false">IF(L823="","",VALUE(MID(L823,FIND("/",L823)+1,FIND("/",L823,FIND("/",L823)+1)-FIND("/",L823)-1)))</f>
        <v/>
      </c>
      <c r="Y823" s="7" t="str">
        <f aca="false">IF(L823="","",VALUE(MID(L823,FIND("/",L823,FIND("/",L823)+1)+1,LEN(L823)-FIND("/",L823,FIND("/",L823)+1))))</f>
        <v/>
      </c>
      <c r="Z823" s="7" t="str">
        <f aca="false">IF(OR(L823="",W823=""),"",IFERROR(INDEX('لیست‌ها'!$Q$3:$Q$53,MATCH(W823,'لیست‌ها'!$P$3:$P$53,0))+IF(X823&lt;=6,(X823-1)*31+Y823,IF(X823&lt;=11,186+(X823-7)*30+Y823,336+Y823))-1,""))</f>
        <v/>
      </c>
      <c r="AA823" s="7" t="str">
        <f aca="false">IF(H823="","",VALUE(LEFT(H823,FIND("/",H823)-1)))</f>
        <v/>
      </c>
      <c r="AB823" s="7" t="str">
        <f aca="false">IF(H823="","",VALUE(MID(H823,FIND("/",H823)+1,FIND("/",H823,FIND("/",H823)+1)-FIND("/",H823)-1)))</f>
        <v/>
      </c>
      <c r="AC823" s="7" t="str">
        <f aca="false">IF(H823="","",VALUE(MID(H823,FIND("/",H823,FIND("/",H823)+1)+1,LEN(H823)-FIND("/",H823,FIND("/",H823)+1))))</f>
        <v/>
      </c>
      <c r="AD823" s="7" t="str">
        <f aca="false">IF(OR(H823="",AA823=""),"",IFERROR(INDEX('لیست‌ها'!$Q$3:$Q$53,MATCH(AA823,'لیست‌ها'!$P$3:$P$53,0))+IF(AB823&lt;=6,(AB823-1)*31+AC823,IF(AB823&lt;=11,186+(AB823-7)*30+AC823,336+AC823))-1,""))</f>
        <v/>
      </c>
      <c r="AE823" s="7" t="str">
        <f aca="false">IF(P823="","",VALUE(LEFT(P823,FIND("/",P823)-1)))</f>
        <v/>
      </c>
      <c r="AF823" s="7" t="str">
        <f aca="false">IF(P823="","",VALUE(MID(P823,FIND("/",P823)+1,FIND("/",P823,FIND("/",P823)+1)-FIND("/",P823)-1)))</f>
        <v/>
      </c>
      <c r="AG823" s="7" t="str">
        <f aca="false">IF(P823="","",VALUE(MID(P823,FIND("/",P823,FIND("/",P823)+1)+1,LEN(P823)-FIND("/",P823,FIND("/",P823)+1))))</f>
        <v/>
      </c>
      <c r="AH823" s="7" t="str">
        <f aca="false">IF(OR(P823="",AE823=""),"",IFERROR(INDEX('لیست‌ها'!$Q$3:$Q$53,MATCH(AE823,'لیست‌ها'!$P$3:$P$53,0))+IF(AF823&lt;=6,(AF823-1)*31+AG823,IF(AF823&lt;=11,186+(AF823-7)*30+AG823,336+AG823))-1,""))</f>
        <v/>
      </c>
      <c r="AI823" s="7" t="str">
        <f aca="false">IF(W823="","",W823&amp;"-"&amp;TEXT(X823,"00"))</f>
        <v/>
      </c>
      <c r="AJ823" s="7" t="str">
        <f aca="false">IF(W823="","",W823*12+X823)</f>
        <v/>
      </c>
      <c r="AK823" s="7" t="str">
        <f aca="false">IF(U823="تاخیر",V823+ROW()/100000,"")</f>
        <v/>
      </c>
    </row>
    <row r="824" customFormat="false" ht="15" hidden="false" customHeight="false" outlineLevel="0" collapsed="false">
      <c r="A824" s="7" t="str">
        <f aca="false">IF(B824="","",ROW()-3)</f>
        <v/>
      </c>
      <c r="B824" s="8"/>
      <c r="C824" s="8"/>
      <c r="D824" s="8"/>
      <c r="E824" s="9"/>
      <c r="F824" s="9"/>
      <c r="G824" s="8"/>
      <c r="H824" s="8"/>
      <c r="I824" s="8"/>
      <c r="J824" s="9"/>
      <c r="K824" s="8"/>
      <c r="L824" s="8"/>
      <c r="M824" s="8"/>
      <c r="N824" s="8"/>
      <c r="O824" s="8"/>
      <c r="P824" s="8"/>
      <c r="Q824" s="8"/>
      <c r="R824" s="9"/>
      <c r="S824" s="8"/>
      <c r="T824" s="9"/>
      <c r="U824" s="10" t="str">
        <f aca="true">IF(B824="","",IF(OR(P824&lt;&gt;"",I824="می‌باشد"),"بسته",IF(AND(L824&lt;&gt;"",W824=""),"خطای فرمت تاریخ ایجاد",IF(AND(H824&lt;&gt;"",AA824=""),"خطای فرمت مهلت",IF(AND(H824&lt;&gt;"",AD824&lt;&gt;"",TODAY()&gt;AD824),"تاخیر",IF(L824&lt;&gt;"","در حال انجام",""))))))</f>
        <v/>
      </c>
      <c r="V824" s="7" t="n">
        <f aca="true">IF(U824="تاخیر",TODAY()-AD824,IF(AND(U824="بسته",AH824&lt;&gt;"",AD824&lt;&gt;"",AH824&gt;AD824),AH824-AD824,0))</f>
        <v>0</v>
      </c>
      <c r="W824" s="7" t="str">
        <f aca="false">IF(L824="","",VALUE(LEFT(L824,FIND("/",L824)-1)))</f>
        <v/>
      </c>
      <c r="X824" s="7" t="str">
        <f aca="false">IF(L824="","",VALUE(MID(L824,FIND("/",L824)+1,FIND("/",L824,FIND("/",L824)+1)-FIND("/",L824)-1)))</f>
        <v/>
      </c>
      <c r="Y824" s="7" t="str">
        <f aca="false">IF(L824="","",VALUE(MID(L824,FIND("/",L824,FIND("/",L824)+1)+1,LEN(L824)-FIND("/",L824,FIND("/",L824)+1))))</f>
        <v/>
      </c>
      <c r="Z824" s="7" t="str">
        <f aca="false">IF(OR(L824="",W824=""),"",IFERROR(INDEX('لیست‌ها'!$Q$3:$Q$53,MATCH(W824,'لیست‌ها'!$P$3:$P$53,0))+IF(X824&lt;=6,(X824-1)*31+Y824,IF(X824&lt;=11,186+(X824-7)*30+Y824,336+Y824))-1,""))</f>
        <v/>
      </c>
      <c r="AA824" s="7" t="str">
        <f aca="false">IF(H824="","",VALUE(LEFT(H824,FIND("/",H824)-1)))</f>
        <v/>
      </c>
      <c r="AB824" s="7" t="str">
        <f aca="false">IF(H824="","",VALUE(MID(H824,FIND("/",H824)+1,FIND("/",H824,FIND("/",H824)+1)-FIND("/",H824)-1)))</f>
        <v/>
      </c>
      <c r="AC824" s="7" t="str">
        <f aca="false">IF(H824="","",VALUE(MID(H824,FIND("/",H824,FIND("/",H824)+1)+1,LEN(H824)-FIND("/",H824,FIND("/",H824)+1))))</f>
        <v/>
      </c>
      <c r="AD824" s="7" t="str">
        <f aca="false">IF(OR(H824="",AA824=""),"",IFERROR(INDEX('لیست‌ها'!$Q$3:$Q$53,MATCH(AA824,'لیست‌ها'!$P$3:$P$53,0))+IF(AB824&lt;=6,(AB824-1)*31+AC824,IF(AB824&lt;=11,186+(AB824-7)*30+AC824,336+AC824))-1,""))</f>
        <v/>
      </c>
      <c r="AE824" s="7" t="str">
        <f aca="false">IF(P824="","",VALUE(LEFT(P824,FIND("/",P824)-1)))</f>
        <v/>
      </c>
      <c r="AF824" s="7" t="str">
        <f aca="false">IF(P824="","",VALUE(MID(P824,FIND("/",P824)+1,FIND("/",P824,FIND("/",P824)+1)-FIND("/",P824)-1)))</f>
        <v/>
      </c>
      <c r="AG824" s="7" t="str">
        <f aca="false">IF(P824="","",VALUE(MID(P824,FIND("/",P824,FIND("/",P824)+1)+1,LEN(P824)-FIND("/",P824,FIND("/",P824)+1))))</f>
        <v/>
      </c>
      <c r="AH824" s="7" t="str">
        <f aca="false">IF(OR(P824="",AE824=""),"",IFERROR(INDEX('لیست‌ها'!$Q$3:$Q$53,MATCH(AE824,'لیست‌ها'!$P$3:$P$53,0))+IF(AF824&lt;=6,(AF824-1)*31+AG824,IF(AF824&lt;=11,186+(AF824-7)*30+AG824,336+AG824))-1,""))</f>
        <v/>
      </c>
      <c r="AI824" s="7" t="str">
        <f aca="false">IF(W824="","",W824&amp;"-"&amp;TEXT(X824,"00"))</f>
        <v/>
      </c>
      <c r="AJ824" s="7" t="str">
        <f aca="false">IF(W824="","",W824*12+X824)</f>
        <v/>
      </c>
      <c r="AK824" s="7" t="str">
        <f aca="false">IF(U824="تاخیر",V824+ROW()/100000,"")</f>
        <v/>
      </c>
    </row>
    <row r="825" customFormat="false" ht="15" hidden="false" customHeight="false" outlineLevel="0" collapsed="false">
      <c r="A825" s="7" t="str">
        <f aca="false">IF(B825="","",ROW()-3)</f>
        <v/>
      </c>
      <c r="B825" s="8"/>
      <c r="C825" s="8"/>
      <c r="D825" s="8"/>
      <c r="E825" s="9"/>
      <c r="F825" s="9"/>
      <c r="G825" s="8"/>
      <c r="H825" s="8"/>
      <c r="I825" s="8"/>
      <c r="J825" s="9"/>
      <c r="K825" s="8"/>
      <c r="L825" s="8"/>
      <c r="M825" s="8"/>
      <c r="N825" s="8"/>
      <c r="O825" s="8"/>
      <c r="P825" s="8"/>
      <c r="Q825" s="8"/>
      <c r="R825" s="9"/>
      <c r="S825" s="8"/>
      <c r="T825" s="9"/>
      <c r="U825" s="10" t="str">
        <f aca="true">IF(B825="","",IF(OR(P825&lt;&gt;"",I825="می‌باشد"),"بسته",IF(AND(L825&lt;&gt;"",W825=""),"خطای فرمت تاریخ ایجاد",IF(AND(H825&lt;&gt;"",AA825=""),"خطای فرمت مهلت",IF(AND(H825&lt;&gt;"",AD825&lt;&gt;"",TODAY()&gt;AD825),"تاخیر",IF(L825&lt;&gt;"","در حال انجام",""))))))</f>
        <v/>
      </c>
      <c r="V825" s="7" t="n">
        <f aca="true">IF(U825="تاخیر",TODAY()-AD825,IF(AND(U825="بسته",AH825&lt;&gt;"",AD825&lt;&gt;"",AH825&gt;AD825),AH825-AD825,0))</f>
        <v>0</v>
      </c>
      <c r="W825" s="7" t="str">
        <f aca="false">IF(L825="","",VALUE(LEFT(L825,FIND("/",L825)-1)))</f>
        <v/>
      </c>
      <c r="X825" s="7" t="str">
        <f aca="false">IF(L825="","",VALUE(MID(L825,FIND("/",L825)+1,FIND("/",L825,FIND("/",L825)+1)-FIND("/",L825)-1)))</f>
        <v/>
      </c>
      <c r="Y825" s="7" t="str">
        <f aca="false">IF(L825="","",VALUE(MID(L825,FIND("/",L825,FIND("/",L825)+1)+1,LEN(L825)-FIND("/",L825,FIND("/",L825)+1))))</f>
        <v/>
      </c>
      <c r="Z825" s="7" t="str">
        <f aca="false">IF(OR(L825="",W825=""),"",IFERROR(INDEX('لیست‌ها'!$Q$3:$Q$53,MATCH(W825,'لیست‌ها'!$P$3:$P$53,0))+IF(X825&lt;=6,(X825-1)*31+Y825,IF(X825&lt;=11,186+(X825-7)*30+Y825,336+Y825))-1,""))</f>
        <v/>
      </c>
      <c r="AA825" s="7" t="str">
        <f aca="false">IF(H825="","",VALUE(LEFT(H825,FIND("/",H825)-1)))</f>
        <v/>
      </c>
      <c r="AB825" s="7" t="str">
        <f aca="false">IF(H825="","",VALUE(MID(H825,FIND("/",H825)+1,FIND("/",H825,FIND("/",H825)+1)-FIND("/",H825)-1)))</f>
        <v/>
      </c>
      <c r="AC825" s="7" t="str">
        <f aca="false">IF(H825="","",VALUE(MID(H825,FIND("/",H825,FIND("/",H825)+1)+1,LEN(H825)-FIND("/",H825,FIND("/",H825)+1))))</f>
        <v/>
      </c>
      <c r="AD825" s="7" t="str">
        <f aca="false">IF(OR(H825="",AA825=""),"",IFERROR(INDEX('لیست‌ها'!$Q$3:$Q$53,MATCH(AA825,'لیست‌ها'!$P$3:$P$53,0))+IF(AB825&lt;=6,(AB825-1)*31+AC825,IF(AB825&lt;=11,186+(AB825-7)*30+AC825,336+AC825))-1,""))</f>
        <v/>
      </c>
      <c r="AE825" s="7" t="str">
        <f aca="false">IF(P825="","",VALUE(LEFT(P825,FIND("/",P825)-1)))</f>
        <v/>
      </c>
      <c r="AF825" s="7" t="str">
        <f aca="false">IF(P825="","",VALUE(MID(P825,FIND("/",P825)+1,FIND("/",P825,FIND("/",P825)+1)-FIND("/",P825)-1)))</f>
        <v/>
      </c>
      <c r="AG825" s="7" t="str">
        <f aca="false">IF(P825="","",VALUE(MID(P825,FIND("/",P825,FIND("/",P825)+1)+1,LEN(P825)-FIND("/",P825,FIND("/",P825)+1))))</f>
        <v/>
      </c>
      <c r="AH825" s="7" t="str">
        <f aca="false">IF(OR(P825="",AE825=""),"",IFERROR(INDEX('لیست‌ها'!$Q$3:$Q$53,MATCH(AE825,'لیست‌ها'!$P$3:$P$53,0))+IF(AF825&lt;=6,(AF825-1)*31+AG825,IF(AF825&lt;=11,186+(AF825-7)*30+AG825,336+AG825))-1,""))</f>
        <v/>
      </c>
      <c r="AI825" s="7" t="str">
        <f aca="false">IF(W825="","",W825&amp;"-"&amp;TEXT(X825,"00"))</f>
        <v/>
      </c>
      <c r="AJ825" s="7" t="str">
        <f aca="false">IF(W825="","",W825*12+X825)</f>
        <v/>
      </c>
      <c r="AK825" s="7" t="str">
        <f aca="false">IF(U825="تاخیر",V825+ROW()/100000,"")</f>
        <v/>
      </c>
    </row>
    <row r="826" customFormat="false" ht="15" hidden="false" customHeight="false" outlineLevel="0" collapsed="false">
      <c r="A826" s="7" t="str">
        <f aca="false">IF(B826="","",ROW()-3)</f>
        <v/>
      </c>
      <c r="B826" s="8"/>
      <c r="C826" s="8"/>
      <c r="D826" s="8"/>
      <c r="E826" s="9"/>
      <c r="F826" s="9"/>
      <c r="G826" s="8"/>
      <c r="H826" s="8"/>
      <c r="I826" s="8"/>
      <c r="J826" s="9"/>
      <c r="K826" s="8"/>
      <c r="L826" s="8"/>
      <c r="M826" s="8"/>
      <c r="N826" s="8"/>
      <c r="O826" s="8"/>
      <c r="P826" s="8"/>
      <c r="Q826" s="8"/>
      <c r="R826" s="9"/>
      <c r="S826" s="8"/>
      <c r="T826" s="9"/>
      <c r="U826" s="10" t="str">
        <f aca="true">IF(B826="","",IF(OR(P826&lt;&gt;"",I826="می‌باشد"),"بسته",IF(AND(L826&lt;&gt;"",W826=""),"خطای فرمت تاریخ ایجاد",IF(AND(H826&lt;&gt;"",AA826=""),"خطای فرمت مهلت",IF(AND(H826&lt;&gt;"",AD826&lt;&gt;"",TODAY()&gt;AD826),"تاخیر",IF(L826&lt;&gt;"","در حال انجام",""))))))</f>
        <v/>
      </c>
      <c r="V826" s="7" t="n">
        <f aca="true">IF(U826="تاخیر",TODAY()-AD826,IF(AND(U826="بسته",AH826&lt;&gt;"",AD826&lt;&gt;"",AH826&gt;AD826),AH826-AD826,0))</f>
        <v>0</v>
      </c>
      <c r="W826" s="7" t="str">
        <f aca="false">IF(L826="","",VALUE(LEFT(L826,FIND("/",L826)-1)))</f>
        <v/>
      </c>
      <c r="X826" s="7" t="str">
        <f aca="false">IF(L826="","",VALUE(MID(L826,FIND("/",L826)+1,FIND("/",L826,FIND("/",L826)+1)-FIND("/",L826)-1)))</f>
        <v/>
      </c>
      <c r="Y826" s="7" t="str">
        <f aca="false">IF(L826="","",VALUE(MID(L826,FIND("/",L826,FIND("/",L826)+1)+1,LEN(L826)-FIND("/",L826,FIND("/",L826)+1))))</f>
        <v/>
      </c>
      <c r="Z826" s="7" t="str">
        <f aca="false">IF(OR(L826="",W826=""),"",IFERROR(INDEX('لیست‌ها'!$Q$3:$Q$53,MATCH(W826,'لیست‌ها'!$P$3:$P$53,0))+IF(X826&lt;=6,(X826-1)*31+Y826,IF(X826&lt;=11,186+(X826-7)*30+Y826,336+Y826))-1,""))</f>
        <v/>
      </c>
      <c r="AA826" s="7" t="str">
        <f aca="false">IF(H826="","",VALUE(LEFT(H826,FIND("/",H826)-1)))</f>
        <v/>
      </c>
      <c r="AB826" s="7" t="str">
        <f aca="false">IF(H826="","",VALUE(MID(H826,FIND("/",H826)+1,FIND("/",H826,FIND("/",H826)+1)-FIND("/",H826)-1)))</f>
        <v/>
      </c>
      <c r="AC826" s="7" t="str">
        <f aca="false">IF(H826="","",VALUE(MID(H826,FIND("/",H826,FIND("/",H826)+1)+1,LEN(H826)-FIND("/",H826,FIND("/",H826)+1))))</f>
        <v/>
      </c>
      <c r="AD826" s="7" t="str">
        <f aca="false">IF(OR(H826="",AA826=""),"",IFERROR(INDEX('لیست‌ها'!$Q$3:$Q$53,MATCH(AA826,'لیست‌ها'!$P$3:$P$53,0))+IF(AB826&lt;=6,(AB826-1)*31+AC826,IF(AB826&lt;=11,186+(AB826-7)*30+AC826,336+AC826))-1,""))</f>
        <v/>
      </c>
      <c r="AE826" s="7" t="str">
        <f aca="false">IF(P826="","",VALUE(LEFT(P826,FIND("/",P826)-1)))</f>
        <v/>
      </c>
      <c r="AF826" s="7" t="str">
        <f aca="false">IF(P826="","",VALUE(MID(P826,FIND("/",P826)+1,FIND("/",P826,FIND("/",P826)+1)-FIND("/",P826)-1)))</f>
        <v/>
      </c>
      <c r="AG826" s="7" t="str">
        <f aca="false">IF(P826="","",VALUE(MID(P826,FIND("/",P826,FIND("/",P826)+1)+1,LEN(P826)-FIND("/",P826,FIND("/",P826)+1))))</f>
        <v/>
      </c>
      <c r="AH826" s="7" t="str">
        <f aca="false">IF(OR(P826="",AE826=""),"",IFERROR(INDEX('لیست‌ها'!$Q$3:$Q$53,MATCH(AE826,'لیست‌ها'!$P$3:$P$53,0))+IF(AF826&lt;=6,(AF826-1)*31+AG826,IF(AF826&lt;=11,186+(AF826-7)*30+AG826,336+AG826))-1,""))</f>
        <v/>
      </c>
      <c r="AI826" s="7" t="str">
        <f aca="false">IF(W826="","",W826&amp;"-"&amp;TEXT(X826,"00"))</f>
        <v/>
      </c>
      <c r="AJ826" s="7" t="str">
        <f aca="false">IF(W826="","",W826*12+X826)</f>
        <v/>
      </c>
      <c r="AK826" s="7" t="str">
        <f aca="false">IF(U826="تاخیر",V826+ROW()/100000,"")</f>
        <v/>
      </c>
    </row>
    <row r="827" customFormat="false" ht="15" hidden="false" customHeight="false" outlineLevel="0" collapsed="false">
      <c r="A827" s="7" t="str">
        <f aca="false">IF(B827="","",ROW()-3)</f>
        <v/>
      </c>
      <c r="B827" s="8"/>
      <c r="C827" s="8"/>
      <c r="D827" s="8"/>
      <c r="E827" s="9"/>
      <c r="F827" s="9"/>
      <c r="G827" s="8"/>
      <c r="H827" s="8"/>
      <c r="I827" s="8"/>
      <c r="J827" s="9"/>
      <c r="K827" s="8"/>
      <c r="L827" s="8"/>
      <c r="M827" s="8"/>
      <c r="N827" s="8"/>
      <c r="O827" s="8"/>
      <c r="P827" s="8"/>
      <c r="Q827" s="8"/>
      <c r="R827" s="9"/>
      <c r="S827" s="8"/>
      <c r="T827" s="9"/>
      <c r="U827" s="10" t="str">
        <f aca="true">IF(B827="","",IF(OR(P827&lt;&gt;"",I827="می‌باشد"),"بسته",IF(AND(L827&lt;&gt;"",W827=""),"خطای فرمت تاریخ ایجاد",IF(AND(H827&lt;&gt;"",AA827=""),"خطای فرمت مهلت",IF(AND(H827&lt;&gt;"",AD827&lt;&gt;"",TODAY()&gt;AD827),"تاخیر",IF(L827&lt;&gt;"","در حال انجام",""))))))</f>
        <v/>
      </c>
      <c r="V827" s="7" t="n">
        <f aca="true">IF(U827="تاخیر",TODAY()-AD827,IF(AND(U827="بسته",AH827&lt;&gt;"",AD827&lt;&gt;"",AH827&gt;AD827),AH827-AD827,0))</f>
        <v>0</v>
      </c>
      <c r="W827" s="7" t="str">
        <f aca="false">IF(L827="","",VALUE(LEFT(L827,FIND("/",L827)-1)))</f>
        <v/>
      </c>
      <c r="X827" s="7" t="str">
        <f aca="false">IF(L827="","",VALUE(MID(L827,FIND("/",L827)+1,FIND("/",L827,FIND("/",L827)+1)-FIND("/",L827)-1)))</f>
        <v/>
      </c>
      <c r="Y827" s="7" t="str">
        <f aca="false">IF(L827="","",VALUE(MID(L827,FIND("/",L827,FIND("/",L827)+1)+1,LEN(L827)-FIND("/",L827,FIND("/",L827)+1))))</f>
        <v/>
      </c>
      <c r="Z827" s="7" t="str">
        <f aca="false">IF(OR(L827="",W827=""),"",IFERROR(INDEX('لیست‌ها'!$Q$3:$Q$53,MATCH(W827,'لیست‌ها'!$P$3:$P$53,0))+IF(X827&lt;=6,(X827-1)*31+Y827,IF(X827&lt;=11,186+(X827-7)*30+Y827,336+Y827))-1,""))</f>
        <v/>
      </c>
      <c r="AA827" s="7" t="str">
        <f aca="false">IF(H827="","",VALUE(LEFT(H827,FIND("/",H827)-1)))</f>
        <v/>
      </c>
      <c r="AB827" s="7" t="str">
        <f aca="false">IF(H827="","",VALUE(MID(H827,FIND("/",H827)+1,FIND("/",H827,FIND("/",H827)+1)-FIND("/",H827)-1)))</f>
        <v/>
      </c>
      <c r="AC827" s="7" t="str">
        <f aca="false">IF(H827="","",VALUE(MID(H827,FIND("/",H827,FIND("/",H827)+1)+1,LEN(H827)-FIND("/",H827,FIND("/",H827)+1))))</f>
        <v/>
      </c>
      <c r="AD827" s="7" t="str">
        <f aca="false">IF(OR(H827="",AA827=""),"",IFERROR(INDEX('لیست‌ها'!$Q$3:$Q$53,MATCH(AA827,'لیست‌ها'!$P$3:$P$53,0))+IF(AB827&lt;=6,(AB827-1)*31+AC827,IF(AB827&lt;=11,186+(AB827-7)*30+AC827,336+AC827))-1,""))</f>
        <v/>
      </c>
      <c r="AE827" s="7" t="str">
        <f aca="false">IF(P827="","",VALUE(LEFT(P827,FIND("/",P827)-1)))</f>
        <v/>
      </c>
      <c r="AF827" s="7" t="str">
        <f aca="false">IF(P827="","",VALUE(MID(P827,FIND("/",P827)+1,FIND("/",P827,FIND("/",P827)+1)-FIND("/",P827)-1)))</f>
        <v/>
      </c>
      <c r="AG827" s="7" t="str">
        <f aca="false">IF(P827="","",VALUE(MID(P827,FIND("/",P827,FIND("/",P827)+1)+1,LEN(P827)-FIND("/",P827,FIND("/",P827)+1))))</f>
        <v/>
      </c>
      <c r="AH827" s="7" t="str">
        <f aca="false">IF(OR(P827="",AE827=""),"",IFERROR(INDEX('لیست‌ها'!$Q$3:$Q$53,MATCH(AE827,'لیست‌ها'!$P$3:$P$53,0))+IF(AF827&lt;=6,(AF827-1)*31+AG827,IF(AF827&lt;=11,186+(AF827-7)*30+AG827,336+AG827))-1,""))</f>
        <v/>
      </c>
      <c r="AI827" s="7" t="str">
        <f aca="false">IF(W827="","",W827&amp;"-"&amp;TEXT(X827,"00"))</f>
        <v/>
      </c>
      <c r="AJ827" s="7" t="str">
        <f aca="false">IF(W827="","",W827*12+X827)</f>
        <v/>
      </c>
      <c r="AK827" s="7" t="str">
        <f aca="false">IF(U827="تاخیر",V827+ROW()/100000,"")</f>
        <v/>
      </c>
    </row>
    <row r="828" customFormat="false" ht="15" hidden="false" customHeight="false" outlineLevel="0" collapsed="false">
      <c r="A828" s="7" t="str">
        <f aca="false">IF(B828="","",ROW()-3)</f>
        <v/>
      </c>
      <c r="B828" s="8"/>
      <c r="C828" s="8"/>
      <c r="D828" s="8"/>
      <c r="E828" s="9"/>
      <c r="F828" s="9"/>
      <c r="G828" s="8"/>
      <c r="H828" s="8"/>
      <c r="I828" s="8"/>
      <c r="J828" s="9"/>
      <c r="K828" s="8"/>
      <c r="L828" s="8"/>
      <c r="M828" s="8"/>
      <c r="N828" s="8"/>
      <c r="O828" s="8"/>
      <c r="P828" s="8"/>
      <c r="Q828" s="8"/>
      <c r="R828" s="9"/>
      <c r="S828" s="8"/>
      <c r="T828" s="9"/>
      <c r="U828" s="10" t="str">
        <f aca="true">IF(B828="","",IF(OR(P828&lt;&gt;"",I828="می‌باشد"),"بسته",IF(AND(L828&lt;&gt;"",W828=""),"خطای فرمت تاریخ ایجاد",IF(AND(H828&lt;&gt;"",AA828=""),"خطای فرمت مهلت",IF(AND(H828&lt;&gt;"",AD828&lt;&gt;"",TODAY()&gt;AD828),"تاخیر",IF(L828&lt;&gt;"","در حال انجام",""))))))</f>
        <v/>
      </c>
      <c r="V828" s="7" t="n">
        <f aca="true">IF(U828="تاخیر",TODAY()-AD828,IF(AND(U828="بسته",AH828&lt;&gt;"",AD828&lt;&gt;"",AH828&gt;AD828),AH828-AD828,0))</f>
        <v>0</v>
      </c>
      <c r="W828" s="7" t="str">
        <f aca="false">IF(L828="","",VALUE(LEFT(L828,FIND("/",L828)-1)))</f>
        <v/>
      </c>
      <c r="X828" s="7" t="str">
        <f aca="false">IF(L828="","",VALUE(MID(L828,FIND("/",L828)+1,FIND("/",L828,FIND("/",L828)+1)-FIND("/",L828)-1)))</f>
        <v/>
      </c>
      <c r="Y828" s="7" t="str">
        <f aca="false">IF(L828="","",VALUE(MID(L828,FIND("/",L828,FIND("/",L828)+1)+1,LEN(L828)-FIND("/",L828,FIND("/",L828)+1))))</f>
        <v/>
      </c>
      <c r="Z828" s="7" t="str">
        <f aca="false">IF(OR(L828="",W828=""),"",IFERROR(INDEX('لیست‌ها'!$Q$3:$Q$53,MATCH(W828,'لیست‌ها'!$P$3:$P$53,0))+IF(X828&lt;=6,(X828-1)*31+Y828,IF(X828&lt;=11,186+(X828-7)*30+Y828,336+Y828))-1,""))</f>
        <v/>
      </c>
      <c r="AA828" s="7" t="str">
        <f aca="false">IF(H828="","",VALUE(LEFT(H828,FIND("/",H828)-1)))</f>
        <v/>
      </c>
      <c r="AB828" s="7" t="str">
        <f aca="false">IF(H828="","",VALUE(MID(H828,FIND("/",H828)+1,FIND("/",H828,FIND("/",H828)+1)-FIND("/",H828)-1)))</f>
        <v/>
      </c>
      <c r="AC828" s="7" t="str">
        <f aca="false">IF(H828="","",VALUE(MID(H828,FIND("/",H828,FIND("/",H828)+1)+1,LEN(H828)-FIND("/",H828,FIND("/",H828)+1))))</f>
        <v/>
      </c>
      <c r="AD828" s="7" t="str">
        <f aca="false">IF(OR(H828="",AA828=""),"",IFERROR(INDEX('لیست‌ها'!$Q$3:$Q$53,MATCH(AA828,'لیست‌ها'!$P$3:$P$53,0))+IF(AB828&lt;=6,(AB828-1)*31+AC828,IF(AB828&lt;=11,186+(AB828-7)*30+AC828,336+AC828))-1,""))</f>
        <v/>
      </c>
      <c r="AE828" s="7" t="str">
        <f aca="false">IF(P828="","",VALUE(LEFT(P828,FIND("/",P828)-1)))</f>
        <v/>
      </c>
      <c r="AF828" s="7" t="str">
        <f aca="false">IF(P828="","",VALUE(MID(P828,FIND("/",P828)+1,FIND("/",P828,FIND("/",P828)+1)-FIND("/",P828)-1)))</f>
        <v/>
      </c>
      <c r="AG828" s="7" t="str">
        <f aca="false">IF(P828="","",VALUE(MID(P828,FIND("/",P828,FIND("/",P828)+1)+1,LEN(P828)-FIND("/",P828,FIND("/",P828)+1))))</f>
        <v/>
      </c>
      <c r="AH828" s="7" t="str">
        <f aca="false">IF(OR(P828="",AE828=""),"",IFERROR(INDEX('لیست‌ها'!$Q$3:$Q$53,MATCH(AE828,'لیست‌ها'!$P$3:$P$53,0))+IF(AF828&lt;=6,(AF828-1)*31+AG828,IF(AF828&lt;=11,186+(AF828-7)*30+AG828,336+AG828))-1,""))</f>
        <v/>
      </c>
      <c r="AI828" s="7" t="str">
        <f aca="false">IF(W828="","",W828&amp;"-"&amp;TEXT(X828,"00"))</f>
        <v/>
      </c>
      <c r="AJ828" s="7" t="str">
        <f aca="false">IF(W828="","",W828*12+X828)</f>
        <v/>
      </c>
      <c r="AK828" s="7" t="str">
        <f aca="false">IF(U828="تاخیر",V828+ROW()/100000,"")</f>
        <v/>
      </c>
    </row>
    <row r="829" customFormat="false" ht="15" hidden="false" customHeight="false" outlineLevel="0" collapsed="false">
      <c r="A829" s="7" t="str">
        <f aca="false">IF(B829="","",ROW()-3)</f>
        <v/>
      </c>
      <c r="B829" s="8"/>
      <c r="C829" s="8"/>
      <c r="D829" s="8"/>
      <c r="E829" s="9"/>
      <c r="F829" s="9"/>
      <c r="G829" s="8"/>
      <c r="H829" s="8"/>
      <c r="I829" s="8"/>
      <c r="J829" s="9"/>
      <c r="K829" s="8"/>
      <c r="L829" s="8"/>
      <c r="M829" s="8"/>
      <c r="N829" s="8"/>
      <c r="O829" s="8"/>
      <c r="P829" s="8"/>
      <c r="Q829" s="8"/>
      <c r="R829" s="9"/>
      <c r="S829" s="8"/>
      <c r="T829" s="9"/>
      <c r="U829" s="10" t="str">
        <f aca="true">IF(B829="","",IF(OR(P829&lt;&gt;"",I829="می‌باشد"),"بسته",IF(AND(L829&lt;&gt;"",W829=""),"خطای فرمت تاریخ ایجاد",IF(AND(H829&lt;&gt;"",AA829=""),"خطای فرمت مهلت",IF(AND(H829&lt;&gt;"",AD829&lt;&gt;"",TODAY()&gt;AD829),"تاخیر",IF(L829&lt;&gt;"","در حال انجام",""))))))</f>
        <v/>
      </c>
      <c r="V829" s="7" t="n">
        <f aca="true">IF(U829="تاخیر",TODAY()-AD829,IF(AND(U829="بسته",AH829&lt;&gt;"",AD829&lt;&gt;"",AH829&gt;AD829),AH829-AD829,0))</f>
        <v>0</v>
      </c>
      <c r="W829" s="7" t="str">
        <f aca="false">IF(L829="","",VALUE(LEFT(L829,FIND("/",L829)-1)))</f>
        <v/>
      </c>
      <c r="X829" s="7" t="str">
        <f aca="false">IF(L829="","",VALUE(MID(L829,FIND("/",L829)+1,FIND("/",L829,FIND("/",L829)+1)-FIND("/",L829)-1)))</f>
        <v/>
      </c>
      <c r="Y829" s="7" t="str">
        <f aca="false">IF(L829="","",VALUE(MID(L829,FIND("/",L829,FIND("/",L829)+1)+1,LEN(L829)-FIND("/",L829,FIND("/",L829)+1))))</f>
        <v/>
      </c>
      <c r="Z829" s="7" t="str">
        <f aca="false">IF(OR(L829="",W829=""),"",IFERROR(INDEX('لیست‌ها'!$Q$3:$Q$53,MATCH(W829,'لیست‌ها'!$P$3:$P$53,0))+IF(X829&lt;=6,(X829-1)*31+Y829,IF(X829&lt;=11,186+(X829-7)*30+Y829,336+Y829))-1,""))</f>
        <v/>
      </c>
      <c r="AA829" s="7" t="str">
        <f aca="false">IF(H829="","",VALUE(LEFT(H829,FIND("/",H829)-1)))</f>
        <v/>
      </c>
      <c r="AB829" s="7" t="str">
        <f aca="false">IF(H829="","",VALUE(MID(H829,FIND("/",H829)+1,FIND("/",H829,FIND("/",H829)+1)-FIND("/",H829)-1)))</f>
        <v/>
      </c>
      <c r="AC829" s="7" t="str">
        <f aca="false">IF(H829="","",VALUE(MID(H829,FIND("/",H829,FIND("/",H829)+1)+1,LEN(H829)-FIND("/",H829,FIND("/",H829)+1))))</f>
        <v/>
      </c>
      <c r="AD829" s="7" t="str">
        <f aca="false">IF(OR(H829="",AA829=""),"",IFERROR(INDEX('لیست‌ها'!$Q$3:$Q$53,MATCH(AA829,'لیست‌ها'!$P$3:$P$53,0))+IF(AB829&lt;=6,(AB829-1)*31+AC829,IF(AB829&lt;=11,186+(AB829-7)*30+AC829,336+AC829))-1,""))</f>
        <v/>
      </c>
      <c r="AE829" s="7" t="str">
        <f aca="false">IF(P829="","",VALUE(LEFT(P829,FIND("/",P829)-1)))</f>
        <v/>
      </c>
      <c r="AF829" s="7" t="str">
        <f aca="false">IF(P829="","",VALUE(MID(P829,FIND("/",P829)+1,FIND("/",P829,FIND("/",P829)+1)-FIND("/",P829)-1)))</f>
        <v/>
      </c>
      <c r="AG829" s="7" t="str">
        <f aca="false">IF(P829="","",VALUE(MID(P829,FIND("/",P829,FIND("/",P829)+1)+1,LEN(P829)-FIND("/",P829,FIND("/",P829)+1))))</f>
        <v/>
      </c>
      <c r="AH829" s="7" t="str">
        <f aca="false">IF(OR(P829="",AE829=""),"",IFERROR(INDEX('لیست‌ها'!$Q$3:$Q$53,MATCH(AE829,'لیست‌ها'!$P$3:$P$53,0))+IF(AF829&lt;=6,(AF829-1)*31+AG829,IF(AF829&lt;=11,186+(AF829-7)*30+AG829,336+AG829))-1,""))</f>
        <v/>
      </c>
      <c r="AI829" s="7" t="str">
        <f aca="false">IF(W829="","",W829&amp;"-"&amp;TEXT(X829,"00"))</f>
        <v/>
      </c>
      <c r="AJ829" s="7" t="str">
        <f aca="false">IF(W829="","",W829*12+X829)</f>
        <v/>
      </c>
      <c r="AK829" s="7" t="str">
        <f aca="false">IF(U829="تاخیر",V829+ROW()/100000,"")</f>
        <v/>
      </c>
    </row>
    <row r="830" customFormat="false" ht="15" hidden="false" customHeight="false" outlineLevel="0" collapsed="false">
      <c r="A830" s="7" t="str">
        <f aca="false">IF(B830="","",ROW()-3)</f>
        <v/>
      </c>
      <c r="B830" s="8"/>
      <c r="C830" s="8"/>
      <c r="D830" s="8"/>
      <c r="E830" s="9"/>
      <c r="F830" s="9"/>
      <c r="G830" s="8"/>
      <c r="H830" s="8"/>
      <c r="I830" s="8"/>
      <c r="J830" s="9"/>
      <c r="K830" s="8"/>
      <c r="L830" s="8"/>
      <c r="M830" s="8"/>
      <c r="N830" s="8"/>
      <c r="O830" s="8"/>
      <c r="P830" s="8"/>
      <c r="Q830" s="8"/>
      <c r="R830" s="9"/>
      <c r="S830" s="8"/>
      <c r="T830" s="9"/>
      <c r="U830" s="10" t="str">
        <f aca="true">IF(B830="","",IF(OR(P830&lt;&gt;"",I830="می‌باشد"),"بسته",IF(AND(L830&lt;&gt;"",W830=""),"خطای فرمت تاریخ ایجاد",IF(AND(H830&lt;&gt;"",AA830=""),"خطای فرمت مهلت",IF(AND(H830&lt;&gt;"",AD830&lt;&gt;"",TODAY()&gt;AD830),"تاخیر",IF(L830&lt;&gt;"","در حال انجام",""))))))</f>
        <v/>
      </c>
      <c r="V830" s="7" t="n">
        <f aca="true">IF(U830="تاخیر",TODAY()-AD830,IF(AND(U830="بسته",AH830&lt;&gt;"",AD830&lt;&gt;"",AH830&gt;AD830),AH830-AD830,0))</f>
        <v>0</v>
      </c>
      <c r="W830" s="7" t="str">
        <f aca="false">IF(L830="","",VALUE(LEFT(L830,FIND("/",L830)-1)))</f>
        <v/>
      </c>
      <c r="X830" s="7" t="str">
        <f aca="false">IF(L830="","",VALUE(MID(L830,FIND("/",L830)+1,FIND("/",L830,FIND("/",L830)+1)-FIND("/",L830)-1)))</f>
        <v/>
      </c>
      <c r="Y830" s="7" t="str">
        <f aca="false">IF(L830="","",VALUE(MID(L830,FIND("/",L830,FIND("/",L830)+1)+1,LEN(L830)-FIND("/",L830,FIND("/",L830)+1))))</f>
        <v/>
      </c>
      <c r="Z830" s="7" t="str">
        <f aca="false">IF(OR(L830="",W830=""),"",IFERROR(INDEX('لیست‌ها'!$Q$3:$Q$53,MATCH(W830,'لیست‌ها'!$P$3:$P$53,0))+IF(X830&lt;=6,(X830-1)*31+Y830,IF(X830&lt;=11,186+(X830-7)*30+Y830,336+Y830))-1,""))</f>
        <v/>
      </c>
      <c r="AA830" s="7" t="str">
        <f aca="false">IF(H830="","",VALUE(LEFT(H830,FIND("/",H830)-1)))</f>
        <v/>
      </c>
      <c r="AB830" s="7" t="str">
        <f aca="false">IF(H830="","",VALUE(MID(H830,FIND("/",H830)+1,FIND("/",H830,FIND("/",H830)+1)-FIND("/",H830)-1)))</f>
        <v/>
      </c>
      <c r="AC830" s="7" t="str">
        <f aca="false">IF(H830="","",VALUE(MID(H830,FIND("/",H830,FIND("/",H830)+1)+1,LEN(H830)-FIND("/",H830,FIND("/",H830)+1))))</f>
        <v/>
      </c>
      <c r="AD830" s="7" t="str">
        <f aca="false">IF(OR(H830="",AA830=""),"",IFERROR(INDEX('لیست‌ها'!$Q$3:$Q$53,MATCH(AA830,'لیست‌ها'!$P$3:$P$53,0))+IF(AB830&lt;=6,(AB830-1)*31+AC830,IF(AB830&lt;=11,186+(AB830-7)*30+AC830,336+AC830))-1,""))</f>
        <v/>
      </c>
      <c r="AE830" s="7" t="str">
        <f aca="false">IF(P830="","",VALUE(LEFT(P830,FIND("/",P830)-1)))</f>
        <v/>
      </c>
      <c r="AF830" s="7" t="str">
        <f aca="false">IF(P830="","",VALUE(MID(P830,FIND("/",P830)+1,FIND("/",P830,FIND("/",P830)+1)-FIND("/",P830)-1)))</f>
        <v/>
      </c>
      <c r="AG830" s="7" t="str">
        <f aca="false">IF(P830="","",VALUE(MID(P830,FIND("/",P830,FIND("/",P830)+1)+1,LEN(P830)-FIND("/",P830,FIND("/",P830)+1))))</f>
        <v/>
      </c>
      <c r="AH830" s="7" t="str">
        <f aca="false">IF(OR(P830="",AE830=""),"",IFERROR(INDEX('لیست‌ها'!$Q$3:$Q$53,MATCH(AE830,'لیست‌ها'!$P$3:$P$53,0))+IF(AF830&lt;=6,(AF830-1)*31+AG830,IF(AF830&lt;=11,186+(AF830-7)*30+AG830,336+AG830))-1,""))</f>
        <v/>
      </c>
      <c r="AI830" s="7" t="str">
        <f aca="false">IF(W830="","",W830&amp;"-"&amp;TEXT(X830,"00"))</f>
        <v/>
      </c>
      <c r="AJ830" s="7" t="str">
        <f aca="false">IF(W830="","",W830*12+X830)</f>
        <v/>
      </c>
      <c r="AK830" s="7" t="str">
        <f aca="false">IF(U830="تاخیر",V830+ROW()/100000,"")</f>
        <v/>
      </c>
    </row>
    <row r="831" customFormat="false" ht="15" hidden="false" customHeight="false" outlineLevel="0" collapsed="false">
      <c r="A831" s="7" t="str">
        <f aca="false">IF(B831="","",ROW()-3)</f>
        <v/>
      </c>
      <c r="B831" s="8"/>
      <c r="C831" s="8"/>
      <c r="D831" s="8"/>
      <c r="E831" s="9"/>
      <c r="F831" s="9"/>
      <c r="G831" s="8"/>
      <c r="H831" s="8"/>
      <c r="I831" s="8"/>
      <c r="J831" s="9"/>
      <c r="K831" s="8"/>
      <c r="L831" s="8"/>
      <c r="M831" s="8"/>
      <c r="N831" s="8"/>
      <c r="O831" s="8"/>
      <c r="P831" s="8"/>
      <c r="Q831" s="8"/>
      <c r="R831" s="9"/>
      <c r="S831" s="8"/>
      <c r="T831" s="9"/>
      <c r="U831" s="10" t="str">
        <f aca="true">IF(B831="","",IF(OR(P831&lt;&gt;"",I831="می‌باشد"),"بسته",IF(AND(L831&lt;&gt;"",W831=""),"خطای فرمت تاریخ ایجاد",IF(AND(H831&lt;&gt;"",AA831=""),"خطای فرمت مهلت",IF(AND(H831&lt;&gt;"",AD831&lt;&gt;"",TODAY()&gt;AD831),"تاخیر",IF(L831&lt;&gt;"","در حال انجام",""))))))</f>
        <v/>
      </c>
      <c r="V831" s="7" t="n">
        <f aca="true">IF(U831="تاخیر",TODAY()-AD831,IF(AND(U831="بسته",AH831&lt;&gt;"",AD831&lt;&gt;"",AH831&gt;AD831),AH831-AD831,0))</f>
        <v>0</v>
      </c>
      <c r="W831" s="7" t="str">
        <f aca="false">IF(L831="","",VALUE(LEFT(L831,FIND("/",L831)-1)))</f>
        <v/>
      </c>
      <c r="X831" s="7" t="str">
        <f aca="false">IF(L831="","",VALUE(MID(L831,FIND("/",L831)+1,FIND("/",L831,FIND("/",L831)+1)-FIND("/",L831)-1)))</f>
        <v/>
      </c>
      <c r="Y831" s="7" t="str">
        <f aca="false">IF(L831="","",VALUE(MID(L831,FIND("/",L831,FIND("/",L831)+1)+1,LEN(L831)-FIND("/",L831,FIND("/",L831)+1))))</f>
        <v/>
      </c>
      <c r="Z831" s="7" t="str">
        <f aca="false">IF(OR(L831="",W831=""),"",IFERROR(INDEX('لیست‌ها'!$Q$3:$Q$53,MATCH(W831,'لیست‌ها'!$P$3:$P$53,0))+IF(X831&lt;=6,(X831-1)*31+Y831,IF(X831&lt;=11,186+(X831-7)*30+Y831,336+Y831))-1,""))</f>
        <v/>
      </c>
      <c r="AA831" s="7" t="str">
        <f aca="false">IF(H831="","",VALUE(LEFT(H831,FIND("/",H831)-1)))</f>
        <v/>
      </c>
      <c r="AB831" s="7" t="str">
        <f aca="false">IF(H831="","",VALUE(MID(H831,FIND("/",H831)+1,FIND("/",H831,FIND("/",H831)+1)-FIND("/",H831)-1)))</f>
        <v/>
      </c>
      <c r="AC831" s="7" t="str">
        <f aca="false">IF(H831="","",VALUE(MID(H831,FIND("/",H831,FIND("/",H831)+1)+1,LEN(H831)-FIND("/",H831,FIND("/",H831)+1))))</f>
        <v/>
      </c>
      <c r="AD831" s="7" t="str">
        <f aca="false">IF(OR(H831="",AA831=""),"",IFERROR(INDEX('لیست‌ها'!$Q$3:$Q$53,MATCH(AA831,'لیست‌ها'!$P$3:$P$53,0))+IF(AB831&lt;=6,(AB831-1)*31+AC831,IF(AB831&lt;=11,186+(AB831-7)*30+AC831,336+AC831))-1,""))</f>
        <v/>
      </c>
      <c r="AE831" s="7" t="str">
        <f aca="false">IF(P831="","",VALUE(LEFT(P831,FIND("/",P831)-1)))</f>
        <v/>
      </c>
      <c r="AF831" s="7" t="str">
        <f aca="false">IF(P831="","",VALUE(MID(P831,FIND("/",P831)+1,FIND("/",P831,FIND("/",P831)+1)-FIND("/",P831)-1)))</f>
        <v/>
      </c>
      <c r="AG831" s="7" t="str">
        <f aca="false">IF(P831="","",VALUE(MID(P831,FIND("/",P831,FIND("/",P831)+1)+1,LEN(P831)-FIND("/",P831,FIND("/",P831)+1))))</f>
        <v/>
      </c>
      <c r="AH831" s="7" t="str">
        <f aca="false">IF(OR(P831="",AE831=""),"",IFERROR(INDEX('لیست‌ها'!$Q$3:$Q$53,MATCH(AE831,'لیست‌ها'!$P$3:$P$53,0))+IF(AF831&lt;=6,(AF831-1)*31+AG831,IF(AF831&lt;=11,186+(AF831-7)*30+AG831,336+AG831))-1,""))</f>
        <v/>
      </c>
      <c r="AI831" s="7" t="str">
        <f aca="false">IF(W831="","",W831&amp;"-"&amp;TEXT(X831,"00"))</f>
        <v/>
      </c>
      <c r="AJ831" s="7" t="str">
        <f aca="false">IF(W831="","",W831*12+X831)</f>
        <v/>
      </c>
      <c r="AK831" s="7" t="str">
        <f aca="false">IF(U831="تاخیر",V831+ROW()/100000,"")</f>
        <v/>
      </c>
    </row>
    <row r="832" customFormat="false" ht="15" hidden="false" customHeight="false" outlineLevel="0" collapsed="false">
      <c r="A832" s="7" t="str">
        <f aca="false">IF(B832="","",ROW()-3)</f>
        <v/>
      </c>
      <c r="B832" s="8"/>
      <c r="C832" s="8"/>
      <c r="D832" s="8"/>
      <c r="E832" s="9"/>
      <c r="F832" s="9"/>
      <c r="G832" s="8"/>
      <c r="H832" s="8"/>
      <c r="I832" s="8"/>
      <c r="J832" s="9"/>
      <c r="K832" s="8"/>
      <c r="L832" s="8"/>
      <c r="M832" s="8"/>
      <c r="N832" s="8"/>
      <c r="O832" s="8"/>
      <c r="P832" s="8"/>
      <c r="Q832" s="8"/>
      <c r="R832" s="9"/>
      <c r="S832" s="8"/>
      <c r="T832" s="9"/>
      <c r="U832" s="10" t="str">
        <f aca="true">IF(B832="","",IF(OR(P832&lt;&gt;"",I832="می‌باشد"),"بسته",IF(AND(L832&lt;&gt;"",W832=""),"خطای فرمت تاریخ ایجاد",IF(AND(H832&lt;&gt;"",AA832=""),"خطای فرمت مهلت",IF(AND(H832&lt;&gt;"",AD832&lt;&gt;"",TODAY()&gt;AD832),"تاخیر",IF(L832&lt;&gt;"","در حال انجام",""))))))</f>
        <v/>
      </c>
      <c r="V832" s="7" t="n">
        <f aca="true">IF(U832="تاخیر",TODAY()-AD832,IF(AND(U832="بسته",AH832&lt;&gt;"",AD832&lt;&gt;"",AH832&gt;AD832),AH832-AD832,0))</f>
        <v>0</v>
      </c>
      <c r="W832" s="7" t="str">
        <f aca="false">IF(L832="","",VALUE(LEFT(L832,FIND("/",L832)-1)))</f>
        <v/>
      </c>
      <c r="X832" s="7" t="str">
        <f aca="false">IF(L832="","",VALUE(MID(L832,FIND("/",L832)+1,FIND("/",L832,FIND("/",L832)+1)-FIND("/",L832)-1)))</f>
        <v/>
      </c>
      <c r="Y832" s="7" t="str">
        <f aca="false">IF(L832="","",VALUE(MID(L832,FIND("/",L832,FIND("/",L832)+1)+1,LEN(L832)-FIND("/",L832,FIND("/",L832)+1))))</f>
        <v/>
      </c>
      <c r="Z832" s="7" t="str">
        <f aca="false">IF(OR(L832="",W832=""),"",IFERROR(INDEX('لیست‌ها'!$Q$3:$Q$53,MATCH(W832,'لیست‌ها'!$P$3:$P$53,0))+IF(X832&lt;=6,(X832-1)*31+Y832,IF(X832&lt;=11,186+(X832-7)*30+Y832,336+Y832))-1,""))</f>
        <v/>
      </c>
      <c r="AA832" s="7" t="str">
        <f aca="false">IF(H832="","",VALUE(LEFT(H832,FIND("/",H832)-1)))</f>
        <v/>
      </c>
      <c r="AB832" s="7" t="str">
        <f aca="false">IF(H832="","",VALUE(MID(H832,FIND("/",H832)+1,FIND("/",H832,FIND("/",H832)+1)-FIND("/",H832)-1)))</f>
        <v/>
      </c>
      <c r="AC832" s="7" t="str">
        <f aca="false">IF(H832="","",VALUE(MID(H832,FIND("/",H832,FIND("/",H832)+1)+1,LEN(H832)-FIND("/",H832,FIND("/",H832)+1))))</f>
        <v/>
      </c>
      <c r="AD832" s="7" t="str">
        <f aca="false">IF(OR(H832="",AA832=""),"",IFERROR(INDEX('لیست‌ها'!$Q$3:$Q$53,MATCH(AA832,'لیست‌ها'!$P$3:$P$53,0))+IF(AB832&lt;=6,(AB832-1)*31+AC832,IF(AB832&lt;=11,186+(AB832-7)*30+AC832,336+AC832))-1,""))</f>
        <v/>
      </c>
      <c r="AE832" s="7" t="str">
        <f aca="false">IF(P832="","",VALUE(LEFT(P832,FIND("/",P832)-1)))</f>
        <v/>
      </c>
      <c r="AF832" s="7" t="str">
        <f aca="false">IF(P832="","",VALUE(MID(P832,FIND("/",P832)+1,FIND("/",P832,FIND("/",P832)+1)-FIND("/",P832)-1)))</f>
        <v/>
      </c>
      <c r="AG832" s="7" t="str">
        <f aca="false">IF(P832="","",VALUE(MID(P832,FIND("/",P832,FIND("/",P832)+1)+1,LEN(P832)-FIND("/",P832,FIND("/",P832)+1))))</f>
        <v/>
      </c>
      <c r="AH832" s="7" t="str">
        <f aca="false">IF(OR(P832="",AE832=""),"",IFERROR(INDEX('لیست‌ها'!$Q$3:$Q$53,MATCH(AE832,'لیست‌ها'!$P$3:$P$53,0))+IF(AF832&lt;=6,(AF832-1)*31+AG832,IF(AF832&lt;=11,186+(AF832-7)*30+AG832,336+AG832))-1,""))</f>
        <v/>
      </c>
      <c r="AI832" s="7" t="str">
        <f aca="false">IF(W832="","",W832&amp;"-"&amp;TEXT(X832,"00"))</f>
        <v/>
      </c>
      <c r="AJ832" s="7" t="str">
        <f aca="false">IF(W832="","",W832*12+X832)</f>
        <v/>
      </c>
      <c r="AK832" s="7" t="str">
        <f aca="false">IF(U832="تاخیر",V832+ROW()/100000,"")</f>
        <v/>
      </c>
    </row>
    <row r="833" customFormat="false" ht="15" hidden="false" customHeight="false" outlineLevel="0" collapsed="false">
      <c r="A833" s="7" t="str">
        <f aca="false">IF(B833="","",ROW()-3)</f>
        <v/>
      </c>
      <c r="B833" s="8"/>
      <c r="C833" s="8"/>
      <c r="D833" s="8"/>
      <c r="E833" s="9"/>
      <c r="F833" s="9"/>
      <c r="G833" s="8"/>
      <c r="H833" s="8"/>
      <c r="I833" s="8"/>
      <c r="J833" s="9"/>
      <c r="K833" s="8"/>
      <c r="L833" s="8"/>
      <c r="M833" s="8"/>
      <c r="N833" s="8"/>
      <c r="O833" s="8"/>
      <c r="P833" s="8"/>
      <c r="Q833" s="8"/>
      <c r="R833" s="9"/>
      <c r="S833" s="8"/>
      <c r="T833" s="9"/>
      <c r="U833" s="10" t="str">
        <f aca="true">IF(B833="","",IF(OR(P833&lt;&gt;"",I833="می‌باشد"),"بسته",IF(AND(L833&lt;&gt;"",W833=""),"خطای فرمت تاریخ ایجاد",IF(AND(H833&lt;&gt;"",AA833=""),"خطای فرمت مهلت",IF(AND(H833&lt;&gt;"",AD833&lt;&gt;"",TODAY()&gt;AD833),"تاخیر",IF(L833&lt;&gt;"","در حال انجام",""))))))</f>
        <v/>
      </c>
      <c r="V833" s="7" t="n">
        <f aca="true">IF(U833="تاخیر",TODAY()-AD833,IF(AND(U833="بسته",AH833&lt;&gt;"",AD833&lt;&gt;"",AH833&gt;AD833),AH833-AD833,0))</f>
        <v>0</v>
      </c>
      <c r="W833" s="7" t="str">
        <f aca="false">IF(L833="","",VALUE(LEFT(L833,FIND("/",L833)-1)))</f>
        <v/>
      </c>
      <c r="X833" s="7" t="str">
        <f aca="false">IF(L833="","",VALUE(MID(L833,FIND("/",L833)+1,FIND("/",L833,FIND("/",L833)+1)-FIND("/",L833)-1)))</f>
        <v/>
      </c>
      <c r="Y833" s="7" t="str">
        <f aca="false">IF(L833="","",VALUE(MID(L833,FIND("/",L833,FIND("/",L833)+1)+1,LEN(L833)-FIND("/",L833,FIND("/",L833)+1))))</f>
        <v/>
      </c>
      <c r="Z833" s="7" t="str">
        <f aca="false">IF(OR(L833="",W833=""),"",IFERROR(INDEX('لیست‌ها'!$Q$3:$Q$53,MATCH(W833,'لیست‌ها'!$P$3:$P$53,0))+IF(X833&lt;=6,(X833-1)*31+Y833,IF(X833&lt;=11,186+(X833-7)*30+Y833,336+Y833))-1,""))</f>
        <v/>
      </c>
      <c r="AA833" s="7" t="str">
        <f aca="false">IF(H833="","",VALUE(LEFT(H833,FIND("/",H833)-1)))</f>
        <v/>
      </c>
      <c r="AB833" s="7" t="str">
        <f aca="false">IF(H833="","",VALUE(MID(H833,FIND("/",H833)+1,FIND("/",H833,FIND("/",H833)+1)-FIND("/",H833)-1)))</f>
        <v/>
      </c>
      <c r="AC833" s="7" t="str">
        <f aca="false">IF(H833="","",VALUE(MID(H833,FIND("/",H833,FIND("/",H833)+1)+1,LEN(H833)-FIND("/",H833,FIND("/",H833)+1))))</f>
        <v/>
      </c>
      <c r="AD833" s="7" t="str">
        <f aca="false">IF(OR(H833="",AA833=""),"",IFERROR(INDEX('لیست‌ها'!$Q$3:$Q$53,MATCH(AA833,'لیست‌ها'!$P$3:$P$53,0))+IF(AB833&lt;=6,(AB833-1)*31+AC833,IF(AB833&lt;=11,186+(AB833-7)*30+AC833,336+AC833))-1,""))</f>
        <v/>
      </c>
      <c r="AE833" s="7" t="str">
        <f aca="false">IF(P833="","",VALUE(LEFT(P833,FIND("/",P833)-1)))</f>
        <v/>
      </c>
      <c r="AF833" s="7" t="str">
        <f aca="false">IF(P833="","",VALUE(MID(P833,FIND("/",P833)+1,FIND("/",P833,FIND("/",P833)+1)-FIND("/",P833)-1)))</f>
        <v/>
      </c>
      <c r="AG833" s="7" t="str">
        <f aca="false">IF(P833="","",VALUE(MID(P833,FIND("/",P833,FIND("/",P833)+1)+1,LEN(P833)-FIND("/",P833,FIND("/",P833)+1))))</f>
        <v/>
      </c>
      <c r="AH833" s="7" t="str">
        <f aca="false">IF(OR(P833="",AE833=""),"",IFERROR(INDEX('لیست‌ها'!$Q$3:$Q$53,MATCH(AE833,'لیست‌ها'!$P$3:$P$53,0))+IF(AF833&lt;=6,(AF833-1)*31+AG833,IF(AF833&lt;=11,186+(AF833-7)*30+AG833,336+AG833))-1,""))</f>
        <v/>
      </c>
      <c r="AI833" s="7" t="str">
        <f aca="false">IF(W833="","",W833&amp;"-"&amp;TEXT(X833,"00"))</f>
        <v/>
      </c>
      <c r="AJ833" s="7" t="str">
        <f aca="false">IF(W833="","",W833*12+X833)</f>
        <v/>
      </c>
      <c r="AK833" s="7" t="str">
        <f aca="false">IF(U833="تاخیر",V833+ROW()/100000,"")</f>
        <v/>
      </c>
    </row>
    <row r="834" customFormat="false" ht="15" hidden="false" customHeight="false" outlineLevel="0" collapsed="false">
      <c r="A834" s="7" t="str">
        <f aca="false">IF(B834="","",ROW()-3)</f>
        <v/>
      </c>
      <c r="B834" s="8"/>
      <c r="C834" s="8"/>
      <c r="D834" s="8"/>
      <c r="E834" s="9"/>
      <c r="F834" s="9"/>
      <c r="G834" s="8"/>
      <c r="H834" s="8"/>
      <c r="I834" s="8"/>
      <c r="J834" s="9"/>
      <c r="K834" s="8"/>
      <c r="L834" s="8"/>
      <c r="M834" s="8"/>
      <c r="N834" s="8"/>
      <c r="O834" s="8"/>
      <c r="P834" s="8"/>
      <c r="Q834" s="8"/>
      <c r="R834" s="9"/>
      <c r="S834" s="8"/>
      <c r="T834" s="9"/>
      <c r="U834" s="10" t="str">
        <f aca="true">IF(B834="","",IF(OR(P834&lt;&gt;"",I834="می‌باشد"),"بسته",IF(AND(L834&lt;&gt;"",W834=""),"خطای فرمت تاریخ ایجاد",IF(AND(H834&lt;&gt;"",AA834=""),"خطای فرمت مهلت",IF(AND(H834&lt;&gt;"",AD834&lt;&gt;"",TODAY()&gt;AD834),"تاخیر",IF(L834&lt;&gt;"","در حال انجام",""))))))</f>
        <v/>
      </c>
      <c r="V834" s="7" t="n">
        <f aca="true">IF(U834="تاخیر",TODAY()-AD834,IF(AND(U834="بسته",AH834&lt;&gt;"",AD834&lt;&gt;"",AH834&gt;AD834),AH834-AD834,0))</f>
        <v>0</v>
      </c>
      <c r="W834" s="7" t="str">
        <f aca="false">IF(L834="","",VALUE(LEFT(L834,FIND("/",L834)-1)))</f>
        <v/>
      </c>
      <c r="X834" s="7" t="str">
        <f aca="false">IF(L834="","",VALUE(MID(L834,FIND("/",L834)+1,FIND("/",L834,FIND("/",L834)+1)-FIND("/",L834)-1)))</f>
        <v/>
      </c>
      <c r="Y834" s="7" t="str">
        <f aca="false">IF(L834="","",VALUE(MID(L834,FIND("/",L834,FIND("/",L834)+1)+1,LEN(L834)-FIND("/",L834,FIND("/",L834)+1))))</f>
        <v/>
      </c>
      <c r="Z834" s="7" t="str">
        <f aca="false">IF(OR(L834="",W834=""),"",IFERROR(INDEX('لیست‌ها'!$Q$3:$Q$53,MATCH(W834,'لیست‌ها'!$P$3:$P$53,0))+IF(X834&lt;=6,(X834-1)*31+Y834,IF(X834&lt;=11,186+(X834-7)*30+Y834,336+Y834))-1,""))</f>
        <v/>
      </c>
      <c r="AA834" s="7" t="str">
        <f aca="false">IF(H834="","",VALUE(LEFT(H834,FIND("/",H834)-1)))</f>
        <v/>
      </c>
      <c r="AB834" s="7" t="str">
        <f aca="false">IF(H834="","",VALUE(MID(H834,FIND("/",H834)+1,FIND("/",H834,FIND("/",H834)+1)-FIND("/",H834)-1)))</f>
        <v/>
      </c>
      <c r="AC834" s="7" t="str">
        <f aca="false">IF(H834="","",VALUE(MID(H834,FIND("/",H834,FIND("/",H834)+1)+1,LEN(H834)-FIND("/",H834,FIND("/",H834)+1))))</f>
        <v/>
      </c>
      <c r="AD834" s="7" t="str">
        <f aca="false">IF(OR(H834="",AA834=""),"",IFERROR(INDEX('لیست‌ها'!$Q$3:$Q$53,MATCH(AA834,'لیست‌ها'!$P$3:$P$53,0))+IF(AB834&lt;=6,(AB834-1)*31+AC834,IF(AB834&lt;=11,186+(AB834-7)*30+AC834,336+AC834))-1,""))</f>
        <v/>
      </c>
      <c r="AE834" s="7" t="str">
        <f aca="false">IF(P834="","",VALUE(LEFT(P834,FIND("/",P834)-1)))</f>
        <v/>
      </c>
      <c r="AF834" s="7" t="str">
        <f aca="false">IF(P834="","",VALUE(MID(P834,FIND("/",P834)+1,FIND("/",P834,FIND("/",P834)+1)-FIND("/",P834)-1)))</f>
        <v/>
      </c>
      <c r="AG834" s="7" t="str">
        <f aca="false">IF(P834="","",VALUE(MID(P834,FIND("/",P834,FIND("/",P834)+1)+1,LEN(P834)-FIND("/",P834,FIND("/",P834)+1))))</f>
        <v/>
      </c>
      <c r="AH834" s="7" t="str">
        <f aca="false">IF(OR(P834="",AE834=""),"",IFERROR(INDEX('لیست‌ها'!$Q$3:$Q$53,MATCH(AE834,'لیست‌ها'!$P$3:$P$53,0))+IF(AF834&lt;=6,(AF834-1)*31+AG834,IF(AF834&lt;=11,186+(AF834-7)*30+AG834,336+AG834))-1,""))</f>
        <v/>
      </c>
      <c r="AI834" s="7" t="str">
        <f aca="false">IF(W834="","",W834&amp;"-"&amp;TEXT(X834,"00"))</f>
        <v/>
      </c>
      <c r="AJ834" s="7" t="str">
        <f aca="false">IF(W834="","",W834*12+X834)</f>
        <v/>
      </c>
      <c r="AK834" s="7" t="str">
        <f aca="false">IF(U834="تاخیر",V834+ROW()/100000,"")</f>
        <v/>
      </c>
    </row>
    <row r="835" customFormat="false" ht="15" hidden="false" customHeight="false" outlineLevel="0" collapsed="false">
      <c r="A835" s="7" t="str">
        <f aca="false">IF(B835="","",ROW()-3)</f>
        <v/>
      </c>
      <c r="B835" s="8"/>
      <c r="C835" s="8"/>
      <c r="D835" s="8"/>
      <c r="E835" s="9"/>
      <c r="F835" s="9"/>
      <c r="G835" s="8"/>
      <c r="H835" s="8"/>
      <c r="I835" s="8"/>
      <c r="J835" s="9"/>
      <c r="K835" s="8"/>
      <c r="L835" s="8"/>
      <c r="M835" s="8"/>
      <c r="N835" s="8"/>
      <c r="O835" s="8"/>
      <c r="P835" s="8"/>
      <c r="Q835" s="8"/>
      <c r="R835" s="9"/>
      <c r="S835" s="8"/>
      <c r="T835" s="9"/>
      <c r="U835" s="10" t="str">
        <f aca="true">IF(B835="","",IF(OR(P835&lt;&gt;"",I835="می‌باشد"),"بسته",IF(AND(L835&lt;&gt;"",W835=""),"خطای فرمت تاریخ ایجاد",IF(AND(H835&lt;&gt;"",AA835=""),"خطای فرمت مهلت",IF(AND(H835&lt;&gt;"",AD835&lt;&gt;"",TODAY()&gt;AD835),"تاخیر",IF(L835&lt;&gt;"","در حال انجام",""))))))</f>
        <v/>
      </c>
      <c r="V835" s="7" t="n">
        <f aca="true">IF(U835="تاخیر",TODAY()-AD835,IF(AND(U835="بسته",AH835&lt;&gt;"",AD835&lt;&gt;"",AH835&gt;AD835),AH835-AD835,0))</f>
        <v>0</v>
      </c>
      <c r="W835" s="7" t="str">
        <f aca="false">IF(L835="","",VALUE(LEFT(L835,FIND("/",L835)-1)))</f>
        <v/>
      </c>
      <c r="X835" s="7" t="str">
        <f aca="false">IF(L835="","",VALUE(MID(L835,FIND("/",L835)+1,FIND("/",L835,FIND("/",L835)+1)-FIND("/",L835)-1)))</f>
        <v/>
      </c>
      <c r="Y835" s="7" t="str">
        <f aca="false">IF(L835="","",VALUE(MID(L835,FIND("/",L835,FIND("/",L835)+1)+1,LEN(L835)-FIND("/",L835,FIND("/",L835)+1))))</f>
        <v/>
      </c>
      <c r="Z835" s="7" t="str">
        <f aca="false">IF(OR(L835="",W835=""),"",IFERROR(INDEX('لیست‌ها'!$Q$3:$Q$53,MATCH(W835,'لیست‌ها'!$P$3:$P$53,0))+IF(X835&lt;=6,(X835-1)*31+Y835,IF(X835&lt;=11,186+(X835-7)*30+Y835,336+Y835))-1,""))</f>
        <v/>
      </c>
      <c r="AA835" s="7" t="str">
        <f aca="false">IF(H835="","",VALUE(LEFT(H835,FIND("/",H835)-1)))</f>
        <v/>
      </c>
      <c r="AB835" s="7" t="str">
        <f aca="false">IF(H835="","",VALUE(MID(H835,FIND("/",H835)+1,FIND("/",H835,FIND("/",H835)+1)-FIND("/",H835)-1)))</f>
        <v/>
      </c>
      <c r="AC835" s="7" t="str">
        <f aca="false">IF(H835="","",VALUE(MID(H835,FIND("/",H835,FIND("/",H835)+1)+1,LEN(H835)-FIND("/",H835,FIND("/",H835)+1))))</f>
        <v/>
      </c>
      <c r="AD835" s="7" t="str">
        <f aca="false">IF(OR(H835="",AA835=""),"",IFERROR(INDEX('لیست‌ها'!$Q$3:$Q$53,MATCH(AA835,'لیست‌ها'!$P$3:$P$53,0))+IF(AB835&lt;=6,(AB835-1)*31+AC835,IF(AB835&lt;=11,186+(AB835-7)*30+AC835,336+AC835))-1,""))</f>
        <v/>
      </c>
      <c r="AE835" s="7" t="str">
        <f aca="false">IF(P835="","",VALUE(LEFT(P835,FIND("/",P835)-1)))</f>
        <v/>
      </c>
      <c r="AF835" s="7" t="str">
        <f aca="false">IF(P835="","",VALUE(MID(P835,FIND("/",P835)+1,FIND("/",P835,FIND("/",P835)+1)-FIND("/",P835)-1)))</f>
        <v/>
      </c>
      <c r="AG835" s="7" t="str">
        <f aca="false">IF(P835="","",VALUE(MID(P835,FIND("/",P835,FIND("/",P835)+1)+1,LEN(P835)-FIND("/",P835,FIND("/",P835)+1))))</f>
        <v/>
      </c>
      <c r="AH835" s="7" t="str">
        <f aca="false">IF(OR(P835="",AE835=""),"",IFERROR(INDEX('لیست‌ها'!$Q$3:$Q$53,MATCH(AE835,'لیست‌ها'!$P$3:$P$53,0))+IF(AF835&lt;=6,(AF835-1)*31+AG835,IF(AF835&lt;=11,186+(AF835-7)*30+AG835,336+AG835))-1,""))</f>
        <v/>
      </c>
      <c r="AI835" s="7" t="str">
        <f aca="false">IF(W835="","",W835&amp;"-"&amp;TEXT(X835,"00"))</f>
        <v/>
      </c>
      <c r="AJ835" s="7" t="str">
        <f aca="false">IF(W835="","",W835*12+X835)</f>
        <v/>
      </c>
      <c r="AK835" s="7" t="str">
        <f aca="false">IF(U835="تاخیر",V835+ROW()/100000,"")</f>
        <v/>
      </c>
    </row>
    <row r="836" customFormat="false" ht="15" hidden="false" customHeight="false" outlineLevel="0" collapsed="false">
      <c r="A836" s="7" t="str">
        <f aca="false">IF(B836="","",ROW()-3)</f>
        <v/>
      </c>
      <c r="B836" s="8"/>
      <c r="C836" s="8"/>
      <c r="D836" s="8"/>
      <c r="E836" s="9"/>
      <c r="F836" s="9"/>
      <c r="G836" s="8"/>
      <c r="H836" s="8"/>
      <c r="I836" s="8"/>
      <c r="J836" s="9"/>
      <c r="K836" s="8"/>
      <c r="L836" s="8"/>
      <c r="M836" s="8"/>
      <c r="N836" s="8"/>
      <c r="O836" s="8"/>
      <c r="P836" s="8"/>
      <c r="Q836" s="8"/>
      <c r="R836" s="9"/>
      <c r="S836" s="8"/>
      <c r="T836" s="9"/>
      <c r="U836" s="10" t="str">
        <f aca="true">IF(B836="","",IF(OR(P836&lt;&gt;"",I836="می‌باشد"),"بسته",IF(AND(L836&lt;&gt;"",W836=""),"خطای فرمت تاریخ ایجاد",IF(AND(H836&lt;&gt;"",AA836=""),"خطای فرمت مهلت",IF(AND(H836&lt;&gt;"",AD836&lt;&gt;"",TODAY()&gt;AD836),"تاخیر",IF(L836&lt;&gt;"","در حال انجام",""))))))</f>
        <v/>
      </c>
      <c r="V836" s="7" t="n">
        <f aca="true">IF(U836="تاخیر",TODAY()-AD836,IF(AND(U836="بسته",AH836&lt;&gt;"",AD836&lt;&gt;"",AH836&gt;AD836),AH836-AD836,0))</f>
        <v>0</v>
      </c>
      <c r="W836" s="7" t="str">
        <f aca="false">IF(L836="","",VALUE(LEFT(L836,FIND("/",L836)-1)))</f>
        <v/>
      </c>
      <c r="X836" s="7" t="str">
        <f aca="false">IF(L836="","",VALUE(MID(L836,FIND("/",L836)+1,FIND("/",L836,FIND("/",L836)+1)-FIND("/",L836)-1)))</f>
        <v/>
      </c>
      <c r="Y836" s="7" t="str">
        <f aca="false">IF(L836="","",VALUE(MID(L836,FIND("/",L836,FIND("/",L836)+1)+1,LEN(L836)-FIND("/",L836,FIND("/",L836)+1))))</f>
        <v/>
      </c>
      <c r="Z836" s="7" t="str">
        <f aca="false">IF(OR(L836="",W836=""),"",IFERROR(INDEX('لیست‌ها'!$Q$3:$Q$53,MATCH(W836,'لیست‌ها'!$P$3:$P$53,0))+IF(X836&lt;=6,(X836-1)*31+Y836,IF(X836&lt;=11,186+(X836-7)*30+Y836,336+Y836))-1,""))</f>
        <v/>
      </c>
      <c r="AA836" s="7" t="str">
        <f aca="false">IF(H836="","",VALUE(LEFT(H836,FIND("/",H836)-1)))</f>
        <v/>
      </c>
      <c r="AB836" s="7" t="str">
        <f aca="false">IF(H836="","",VALUE(MID(H836,FIND("/",H836)+1,FIND("/",H836,FIND("/",H836)+1)-FIND("/",H836)-1)))</f>
        <v/>
      </c>
      <c r="AC836" s="7" t="str">
        <f aca="false">IF(H836="","",VALUE(MID(H836,FIND("/",H836,FIND("/",H836)+1)+1,LEN(H836)-FIND("/",H836,FIND("/",H836)+1))))</f>
        <v/>
      </c>
      <c r="AD836" s="7" t="str">
        <f aca="false">IF(OR(H836="",AA836=""),"",IFERROR(INDEX('لیست‌ها'!$Q$3:$Q$53,MATCH(AA836,'لیست‌ها'!$P$3:$P$53,0))+IF(AB836&lt;=6,(AB836-1)*31+AC836,IF(AB836&lt;=11,186+(AB836-7)*30+AC836,336+AC836))-1,""))</f>
        <v/>
      </c>
      <c r="AE836" s="7" t="str">
        <f aca="false">IF(P836="","",VALUE(LEFT(P836,FIND("/",P836)-1)))</f>
        <v/>
      </c>
      <c r="AF836" s="7" t="str">
        <f aca="false">IF(P836="","",VALUE(MID(P836,FIND("/",P836)+1,FIND("/",P836,FIND("/",P836)+1)-FIND("/",P836)-1)))</f>
        <v/>
      </c>
      <c r="AG836" s="7" t="str">
        <f aca="false">IF(P836="","",VALUE(MID(P836,FIND("/",P836,FIND("/",P836)+1)+1,LEN(P836)-FIND("/",P836,FIND("/",P836)+1))))</f>
        <v/>
      </c>
      <c r="AH836" s="7" t="str">
        <f aca="false">IF(OR(P836="",AE836=""),"",IFERROR(INDEX('لیست‌ها'!$Q$3:$Q$53,MATCH(AE836,'لیست‌ها'!$P$3:$P$53,0))+IF(AF836&lt;=6,(AF836-1)*31+AG836,IF(AF836&lt;=11,186+(AF836-7)*30+AG836,336+AG836))-1,""))</f>
        <v/>
      </c>
      <c r="AI836" s="7" t="str">
        <f aca="false">IF(W836="","",W836&amp;"-"&amp;TEXT(X836,"00"))</f>
        <v/>
      </c>
      <c r="AJ836" s="7" t="str">
        <f aca="false">IF(W836="","",W836*12+X836)</f>
        <v/>
      </c>
      <c r="AK836" s="7" t="str">
        <f aca="false">IF(U836="تاخیر",V836+ROW()/100000,"")</f>
        <v/>
      </c>
    </row>
    <row r="837" customFormat="false" ht="15" hidden="false" customHeight="false" outlineLevel="0" collapsed="false">
      <c r="A837" s="7" t="str">
        <f aca="false">IF(B837="","",ROW()-3)</f>
        <v/>
      </c>
      <c r="B837" s="8"/>
      <c r="C837" s="8"/>
      <c r="D837" s="8"/>
      <c r="E837" s="9"/>
      <c r="F837" s="9"/>
      <c r="G837" s="8"/>
      <c r="H837" s="8"/>
      <c r="I837" s="8"/>
      <c r="J837" s="9"/>
      <c r="K837" s="8"/>
      <c r="L837" s="8"/>
      <c r="M837" s="8"/>
      <c r="N837" s="8"/>
      <c r="O837" s="8"/>
      <c r="P837" s="8"/>
      <c r="Q837" s="8"/>
      <c r="R837" s="9"/>
      <c r="S837" s="8"/>
      <c r="T837" s="9"/>
      <c r="U837" s="10" t="str">
        <f aca="true">IF(B837="","",IF(OR(P837&lt;&gt;"",I837="می‌باشد"),"بسته",IF(AND(L837&lt;&gt;"",W837=""),"خطای فرمت تاریخ ایجاد",IF(AND(H837&lt;&gt;"",AA837=""),"خطای فرمت مهلت",IF(AND(H837&lt;&gt;"",AD837&lt;&gt;"",TODAY()&gt;AD837),"تاخیر",IF(L837&lt;&gt;"","در حال انجام",""))))))</f>
        <v/>
      </c>
      <c r="V837" s="7" t="n">
        <f aca="true">IF(U837="تاخیر",TODAY()-AD837,IF(AND(U837="بسته",AH837&lt;&gt;"",AD837&lt;&gt;"",AH837&gt;AD837),AH837-AD837,0))</f>
        <v>0</v>
      </c>
      <c r="W837" s="7" t="str">
        <f aca="false">IF(L837="","",VALUE(LEFT(L837,FIND("/",L837)-1)))</f>
        <v/>
      </c>
      <c r="X837" s="7" t="str">
        <f aca="false">IF(L837="","",VALUE(MID(L837,FIND("/",L837)+1,FIND("/",L837,FIND("/",L837)+1)-FIND("/",L837)-1)))</f>
        <v/>
      </c>
      <c r="Y837" s="7" t="str">
        <f aca="false">IF(L837="","",VALUE(MID(L837,FIND("/",L837,FIND("/",L837)+1)+1,LEN(L837)-FIND("/",L837,FIND("/",L837)+1))))</f>
        <v/>
      </c>
      <c r="Z837" s="7" t="str">
        <f aca="false">IF(OR(L837="",W837=""),"",IFERROR(INDEX('لیست‌ها'!$Q$3:$Q$53,MATCH(W837,'لیست‌ها'!$P$3:$P$53,0))+IF(X837&lt;=6,(X837-1)*31+Y837,IF(X837&lt;=11,186+(X837-7)*30+Y837,336+Y837))-1,""))</f>
        <v/>
      </c>
      <c r="AA837" s="7" t="str">
        <f aca="false">IF(H837="","",VALUE(LEFT(H837,FIND("/",H837)-1)))</f>
        <v/>
      </c>
      <c r="AB837" s="7" t="str">
        <f aca="false">IF(H837="","",VALUE(MID(H837,FIND("/",H837)+1,FIND("/",H837,FIND("/",H837)+1)-FIND("/",H837)-1)))</f>
        <v/>
      </c>
      <c r="AC837" s="7" t="str">
        <f aca="false">IF(H837="","",VALUE(MID(H837,FIND("/",H837,FIND("/",H837)+1)+1,LEN(H837)-FIND("/",H837,FIND("/",H837)+1))))</f>
        <v/>
      </c>
      <c r="AD837" s="7" t="str">
        <f aca="false">IF(OR(H837="",AA837=""),"",IFERROR(INDEX('لیست‌ها'!$Q$3:$Q$53,MATCH(AA837,'لیست‌ها'!$P$3:$P$53,0))+IF(AB837&lt;=6,(AB837-1)*31+AC837,IF(AB837&lt;=11,186+(AB837-7)*30+AC837,336+AC837))-1,""))</f>
        <v/>
      </c>
      <c r="AE837" s="7" t="str">
        <f aca="false">IF(P837="","",VALUE(LEFT(P837,FIND("/",P837)-1)))</f>
        <v/>
      </c>
      <c r="AF837" s="7" t="str">
        <f aca="false">IF(P837="","",VALUE(MID(P837,FIND("/",P837)+1,FIND("/",P837,FIND("/",P837)+1)-FIND("/",P837)-1)))</f>
        <v/>
      </c>
      <c r="AG837" s="7" t="str">
        <f aca="false">IF(P837="","",VALUE(MID(P837,FIND("/",P837,FIND("/",P837)+1)+1,LEN(P837)-FIND("/",P837,FIND("/",P837)+1))))</f>
        <v/>
      </c>
      <c r="AH837" s="7" t="str">
        <f aca="false">IF(OR(P837="",AE837=""),"",IFERROR(INDEX('لیست‌ها'!$Q$3:$Q$53,MATCH(AE837,'لیست‌ها'!$P$3:$P$53,0))+IF(AF837&lt;=6,(AF837-1)*31+AG837,IF(AF837&lt;=11,186+(AF837-7)*30+AG837,336+AG837))-1,""))</f>
        <v/>
      </c>
      <c r="AI837" s="7" t="str">
        <f aca="false">IF(W837="","",W837&amp;"-"&amp;TEXT(X837,"00"))</f>
        <v/>
      </c>
      <c r="AJ837" s="7" t="str">
        <f aca="false">IF(W837="","",W837*12+X837)</f>
        <v/>
      </c>
      <c r="AK837" s="7" t="str">
        <f aca="false">IF(U837="تاخیر",V837+ROW()/100000,"")</f>
        <v/>
      </c>
    </row>
    <row r="838" customFormat="false" ht="15" hidden="false" customHeight="false" outlineLevel="0" collapsed="false">
      <c r="A838" s="7" t="str">
        <f aca="false">IF(B838="","",ROW()-3)</f>
        <v/>
      </c>
      <c r="B838" s="8"/>
      <c r="C838" s="8"/>
      <c r="D838" s="8"/>
      <c r="E838" s="9"/>
      <c r="F838" s="9"/>
      <c r="G838" s="8"/>
      <c r="H838" s="8"/>
      <c r="I838" s="8"/>
      <c r="J838" s="9"/>
      <c r="K838" s="8"/>
      <c r="L838" s="8"/>
      <c r="M838" s="8"/>
      <c r="N838" s="8"/>
      <c r="O838" s="8"/>
      <c r="P838" s="8"/>
      <c r="Q838" s="8"/>
      <c r="R838" s="9"/>
      <c r="S838" s="8"/>
      <c r="T838" s="9"/>
      <c r="U838" s="10" t="str">
        <f aca="true">IF(B838="","",IF(OR(P838&lt;&gt;"",I838="می‌باشد"),"بسته",IF(AND(L838&lt;&gt;"",W838=""),"خطای فرمت تاریخ ایجاد",IF(AND(H838&lt;&gt;"",AA838=""),"خطای فرمت مهلت",IF(AND(H838&lt;&gt;"",AD838&lt;&gt;"",TODAY()&gt;AD838),"تاخیر",IF(L838&lt;&gt;"","در حال انجام",""))))))</f>
        <v/>
      </c>
      <c r="V838" s="7" t="n">
        <f aca="true">IF(U838="تاخیر",TODAY()-AD838,IF(AND(U838="بسته",AH838&lt;&gt;"",AD838&lt;&gt;"",AH838&gt;AD838),AH838-AD838,0))</f>
        <v>0</v>
      </c>
      <c r="W838" s="7" t="str">
        <f aca="false">IF(L838="","",VALUE(LEFT(L838,FIND("/",L838)-1)))</f>
        <v/>
      </c>
      <c r="X838" s="7" t="str">
        <f aca="false">IF(L838="","",VALUE(MID(L838,FIND("/",L838)+1,FIND("/",L838,FIND("/",L838)+1)-FIND("/",L838)-1)))</f>
        <v/>
      </c>
      <c r="Y838" s="7" t="str">
        <f aca="false">IF(L838="","",VALUE(MID(L838,FIND("/",L838,FIND("/",L838)+1)+1,LEN(L838)-FIND("/",L838,FIND("/",L838)+1))))</f>
        <v/>
      </c>
      <c r="Z838" s="7" t="str">
        <f aca="false">IF(OR(L838="",W838=""),"",IFERROR(INDEX('لیست‌ها'!$Q$3:$Q$53,MATCH(W838,'لیست‌ها'!$P$3:$P$53,0))+IF(X838&lt;=6,(X838-1)*31+Y838,IF(X838&lt;=11,186+(X838-7)*30+Y838,336+Y838))-1,""))</f>
        <v/>
      </c>
      <c r="AA838" s="7" t="str">
        <f aca="false">IF(H838="","",VALUE(LEFT(H838,FIND("/",H838)-1)))</f>
        <v/>
      </c>
      <c r="AB838" s="7" t="str">
        <f aca="false">IF(H838="","",VALUE(MID(H838,FIND("/",H838)+1,FIND("/",H838,FIND("/",H838)+1)-FIND("/",H838)-1)))</f>
        <v/>
      </c>
      <c r="AC838" s="7" t="str">
        <f aca="false">IF(H838="","",VALUE(MID(H838,FIND("/",H838,FIND("/",H838)+1)+1,LEN(H838)-FIND("/",H838,FIND("/",H838)+1))))</f>
        <v/>
      </c>
      <c r="AD838" s="7" t="str">
        <f aca="false">IF(OR(H838="",AA838=""),"",IFERROR(INDEX('لیست‌ها'!$Q$3:$Q$53,MATCH(AA838,'لیست‌ها'!$P$3:$P$53,0))+IF(AB838&lt;=6,(AB838-1)*31+AC838,IF(AB838&lt;=11,186+(AB838-7)*30+AC838,336+AC838))-1,""))</f>
        <v/>
      </c>
      <c r="AE838" s="7" t="str">
        <f aca="false">IF(P838="","",VALUE(LEFT(P838,FIND("/",P838)-1)))</f>
        <v/>
      </c>
      <c r="AF838" s="7" t="str">
        <f aca="false">IF(P838="","",VALUE(MID(P838,FIND("/",P838)+1,FIND("/",P838,FIND("/",P838)+1)-FIND("/",P838)-1)))</f>
        <v/>
      </c>
      <c r="AG838" s="7" t="str">
        <f aca="false">IF(P838="","",VALUE(MID(P838,FIND("/",P838,FIND("/",P838)+1)+1,LEN(P838)-FIND("/",P838,FIND("/",P838)+1))))</f>
        <v/>
      </c>
      <c r="AH838" s="7" t="str">
        <f aca="false">IF(OR(P838="",AE838=""),"",IFERROR(INDEX('لیست‌ها'!$Q$3:$Q$53,MATCH(AE838,'لیست‌ها'!$P$3:$P$53,0))+IF(AF838&lt;=6,(AF838-1)*31+AG838,IF(AF838&lt;=11,186+(AF838-7)*30+AG838,336+AG838))-1,""))</f>
        <v/>
      </c>
      <c r="AI838" s="7" t="str">
        <f aca="false">IF(W838="","",W838&amp;"-"&amp;TEXT(X838,"00"))</f>
        <v/>
      </c>
      <c r="AJ838" s="7" t="str">
        <f aca="false">IF(W838="","",W838*12+X838)</f>
        <v/>
      </c>
      <c r="AK838" s="7" t="str">
        <f aca="false">IF(U838="تاخیر",V838+ROW()/100000,"")</f>
        <v/>
      </c>
    </row>
    <row r="839" customFormat="false" ht="15" hidden="false" customHeight="false" outlineLevel="0" collapsed="false">
      <c r="A839" s="7" t="str">
        <f aca="false">IF(B839="","",ROW()-3)</f>
        <v/>
      </c>
      <c r="B839" s="8"/>
      <c r="C839" s="8"/>
      <c r="D839" s="8"/>
      <c r="E839" s="9"/>
      <c r="F839" s="9"/>
      <c r="G839" s="8"/>
      <c r="H839" s="8"/>
      <c r="I839" s="8"/>
      <c r="J839" s="9"/>
      <c r="K839" s="8"/>
      <c r="L839" s="8"/>
      <c r="M839" s="8"/>
      <c r="N839" s="8"/>
      <c r="O839" s="8"/>
      <c r="P839" s="8"/>
      <c r="Q839" s="8"/>
      <c r="R839" s="9"/>
      <c r="S839" s="8"/>
      <c r="T839" s="9"/>
      <c r="U839" s="10" t="str">
        <f aca="true">IF(B839="","",IF(OR(P839&lt;&gt;"",I839="می‌باشد"),"بسته",IF(AND(L839&lt;&gt;"",W839=""),"خطای فرمت تاریخ ایجاد",IF(AND(H839&lt;&gt;"",AA839=""),"خطای فرمت مهلت",IF(AND(H839&lt;&gt;"",AD839&lt;&gt;"",TODAY()&gt;AD839),"تاخیر",IF(L839&lt;&gt;"","در حال انجام",""))))))</f>
        <v/>
      </c>
      <c r="V839" s="7" t="n">
        <f aca="true">IF(U839="تاخیر",TODAY()-AD839,IF(AND(U839="بسته",AH839&lt;&gt;"",AD839&lt;&gt;"",AH839&gt;AD839),AH839-AD839,0))</f>
        <v>0</v>
      </c>
      <c r="W839" s="7" t="str">
        <f aca="false">IF(L839="","",VALUE(LEFT(L839,FIND("/",L839)-1)))</f>
        <v/>
      </c>
      <c r="X839" s="7" t="str">
        <f aca="false">IF(L839="","",VALUE(MID(L839,FIND("/",L839)+1,FIND("/",L839,FIND("/",L839)+1)-FIND("/",L839)-1)))</f>
        <v/>
      </c>
      <c r="Y839" s="7" t="str">
        <f aca="false">IF(L839="","",VALUE(MID(L839,FIND("/",L839,FIND("/",L839)+1)+1,LEN(L839)-FIND("/",L839,FIND("/",L839)+1))))</f>
        <v/>
      </c>
      <c r="Z839" s="7" t="str">
        <f aca="false">IF(OR(L839="",W839=""),"",IFERROR(INDEX('لیست‌ها'!$Q$3:$Q$53,MATCH(W839,'لیست‌ها'!$P$3:$P$53,0))+IF(X839&lt;=6,(X839-1)*31+Y839,IF(X839&lt;=11,186+(X839-7)*30+Y839,336+Y839))-1,""))</f>
        <v/>
      </c>
      <c r="AA839" s="7" t="str">
        <f aca="false">IF(H839="","",VALUE(LEFT(H839,FIND("/",H839)-1)))</f>
        <v/>
      </c>
      <c r="AB839" s="7" t="str">
        <f aca="false">IF(H839="","",VALUE(MID(H839,FIND("/",H839)+1,FIND("/",H839,FIND("/",H839)+1)-FIND("/",H839)-1)))</f>
        <v/>
      </c>
      <c r="AC839" s="7" t="str">
        <f aca="false">IF(H839="","",VALUE(MID(H839,FIND("/",H839,FIND("/",H839)+1)+1,LEN(H839)-FIND("/",H839,FIND("/",H839)+1))))</f>
        <v/>
      </c>
      <c r="AD839" s="7" t="str">
        <f aca="false">IF(OR(H839="",AA839=""),"",IFERROR(INDEX('لیست‌ها'!$Q$3:$Q$53,MATCH(AA839,'لیست‌ها'!$P$3:$P$53,0))+IF(AB839&lt;=6,(AB839-1)*31+AC839,IF(AB839&lt;=11,186+(AB839-7)*30+AC839,336+AC839))-1,""))</f>
        <v/>
      </c>
      <c r="AE839" s="7" t="str">
        <f aca="false">IF(P839="","",VALUE(LEFT(P839,FIND("/",P839)-1)))</f>
        <v/>
      </c>
      <c r="AF839" s="7" t="str">
        <f aca="false">IF(P839="","",VALUE(MID(P839,FIND("/",P839)+1,FIND("/",P839,FIND("/",P839)+1)-FIND("/",P839)-1)))</f>
        <v/>
      </c>
      <c r="AG839" s="7" t="str">
        <f aca="false">IF(P839="","",VALUE(MID(P839,FIND("/",P839,FIND("/",P839)+1)+1,LEN(P839)-FIND("/",P839,FIND("/",P839)+1))))</f>
        <v/>
      </c>
      <c r="AH839" s="7" t="str">
        <f aca="false">IF(OR(P839="",AE839=""),"",IFERROR(INDEX('لیست‌ها'!$Q$3:$Q$53,MATCH(AE839,'لیست‌ها'!$P$3:$P$53,0))+IF(AF839&lt;=6,(AF839-1)*31+AG839,IF(AF839&lt;=11,186+(AF839-7)*30+AG839,336+AG839))-1,""))</f>
        <v/>
      </c>
      <c r="AI839" s="7" t="str">
        <f aca="false">IF(W839="","",W839&amp;"-"&amp;TEXT(X839,"00"))</f>
        <v/>
      </c>
      <c r="AJ839" s="7" t="str">
        <f aca="false">IF(W839="","",W839*12+X839)</f>
        <v/>
      </c>
      <c r="AK839" s="7" t="str">
        <f aca="false">IF(U839="تاخیر",V839+ROW()/100000,"")</f>
        <v/>
      </c>
    </row>
    <row r="840" customFormat="false" ht="15" hidden="false" customHeight="false" outlineLevel="0" collapsed="false">
      <c r="A840" s="7" t="str">
        <f aca="false">IF(B840="","",ROW()-3)</f>
        <v/>
      </c>
      <c r="B840" s="8"/>
      <c r="C840" s="8"/>
      <c r="D840" s="8"/>
      <c r="E840" s="9"/>
      <c r="F840" s="9"/>
      <c r="G840" s="8"/>
      <c r="H840" s="8"/>
      <c r="I840" s="8"/>
      <c r="J840" s="9"/>
      <c r="K840" s="8"/>
      <c r="L840" s="8"/>
      <c r="M840" s="8"/>
      <c r="N840" s="8"/>
      <c r="O840" s="8"/>
      <c r="P840" s="8"/>
      <c r="Q840" s="8"/>
      <c r="R840" s="9"/>
      <c r="S840" s="8"/>
      <c r="T840" s="9"/>
      <c r="U840" s="10" t="str">
        <f aca="true">IF(B840="","",IF(OR(P840&lt;&gt;"",I840="می‌باشد"),"بسته",IF(AND(L840&lt;&gt;"",W840=""),"خطای فرمت تاریخ ایجاد",IF(AND(H840&lt;&gt;"",AA840=""),"خطای فرمت مهلت",IF(AND(H840&lt;&gt;"",AD840&lt;&gt;"",TODAY()&gt;AD840),"تاخیر",IF(L840&lt;&gt;"","در حال انجام",""))))))</f>
        <v/>
      </c>
      <c r="V840" s="7" t="n">
        <f aca="true">IF(U840="تاخیر",TODAY()-AD840,IF(AND(U840="بسته",AH840&lt;&gt;"",AD840&lt;&gt;"",AH840&gt;AD840),AH840-AD840,0))</f>
        <v>0</v>
      </c>
      <c r="W840" s="7" t="str">
        <f aca="false">IF(L840="","",VALUE(LEFT(L840,FIND("/",L840)-1)))</f>
        <v/>
      </c>
      <c r="X840" s="7" t="str">
        <f aca="false">IF(L840="","",VALUE(MID(L840,FIND("/",L840)+1,FIND("/",L840,FIND("/",L840)+1)-FIND("/",L840)-1)))</f>
        <v/>
      </c>
      <c r="Y840" s="7" t="str">
        <f aca="false">IF(L840="","",VALUE(MID(L840,FIND("/",L840,FIND("/",L840)+1)+1,LEN(L840)-FIND("/",L840,FIND("/",L840)+1))))</f>
        <v/>
      </c>
      <c r="Z840" s="7" t="str">
        <f aca="false">IF(OR(L840="",W840=""),"",IFERROR(INDEX('لیست‌ها'!$Q$3:$Q$53,MATCH(W840,'لیست‌ها'!$P$3:$P$53,0))+IF(X840&lt;=6,(X840-1)*31+Y840,IF(X840&lt;=11,186+(X840-7)*30+Y840,336+Y840))-1,""))</f>
        <v/>
      </c>
      <c r="AA840" s="7" t="str">
        <f aca="false">IF(H840="","",VALUE(LEFT(H840,FIND("/",H840)-1)))</f>
        <v/>
      </c>
      <c r="AB840" s="7" t="str">
        <f aca="false">IF(H840="","",VALUE(MID(H840,FIND("/",H840)+1,FIND("/",H840,FIND("/",H840)+1)-FIND("/",H840)-1)))</f>
        <v/>
      </c>
      <c r="AC840" s="7" t="str">
        <f aca="false">IF(H840="","",VALUE(MID(H840,FIND("/",H840,FIND("/",H840)+1)+1,LEN(H840)-FIND("/",H840,FIND("/",H840)+1))))</f>
        <v/>
      </c>
      <c r="AD840" s="7" t="str">
        <f aca="false">IF(OR(H840="",AA840=""),"",IFERROR(INDEX('لیست‌ها'!$Q$3:$Q$53,MATCH(AA840,'لیست‌ها'!$P$3:$P$53,0))+IF(AB840&lt;=6,(AB840-1)*31+AC840,IF(AB840&lt;=11,186+(AB840-7)*30+AC840,336+AC840))-1,""))</f>
        <v/>
      </c>
      <c r="AE840" s="7" t="str">
        <f aca="false">IF(P840="","",VALUE(LEFT(P840,FIND("/",P840)-1)))</f>
        <v/>
      </c>
      <c r="AF840" s="7" t="str">
        <f aca="false">IF(P840="","",VALUE(MID(P840,FIND("/",P840)+1,FIND("/",P840,FIND("/",P840)+1)-FIND("/",P840)-1)))</f>
        <v/>
      </c>
      <c r="AG840" s="7" t="str">
        <f aca="false">IF(P840="","",VALUE(MID(P840,FIND("/",P840,FIND("/",P840)+1)+1,LEN(P840)-FIND("/",P840,FIND("/",P840)+1))))</f>
        <v/>
      </c>
      <c r="AH840" s="7" t="str">
        <f aca="false">IF(OR(P840="",AE840=""),"",IFERROR(INDEX('لیست‌ها'!$Q$3:$Q$53,MATCH(AE840,'لیست‌ها'!$P$3:$P$53,0))+IF(AF840&lt;=6,(AF840-1)*31+AG840,IF(AF840&lt;=11,186+(AF840-7)*30+AG840,336+AG840))-1,""))</f>
        <v/>
      </c>
      <c r="AI840" s="7" t="str">
        <f aca="false">IF(W840="","",W840&amp;"-"&amp;TEXT(X840,"00"))</f>
        <v/>
      </c>
      <c r="AJ840" s="7" t="str">
        <f aca="false">IF(W840="","",W840*12+X840)</f>
        <v/>
      </c>
      <c r="AK840" s="7" t="str">
        <f aca="false">IF(U840="تاخیر",V840+ROW()/100000,"")</f>
        <v/>
      </c>
    </row>
    <row r="841" customFormat="false" ht="15" hidden="false" customHeight="false" outlineLevel="0" collapsed="false">
      <c r="A841" s="7" t="str">
        <f aca="false">IF(B841="","",ROW()-3)</f>
        <v/>
      </c>
      <c r="B841" s="8"/>
      <c r="C841" s="8"/>
      <c r="D841" s="8"/>
      <c r="E841" s="9"/>
      <c r="F841" s="9"/>
      <c r="G841" s="8"/>
      <c r="H841" s="8"/>
      <c r="I841" s="8"/>
      <c r="J841" s="9"/>
      <c r="K841" s="8"/>
      <c r="L841" s="8"/>
      <c r="M841" s="8"/>
      <c r="N841" s="8"/>
      <c r="O841" s="8"/>
      <c r="P841" s="8"/>
      <c r="Q841" s="8"/>
      <c r="R841" s="9"/>
      <c r="S841" s="8"/>
      <c r="T841" s="9"/>
      <c r="U841" s="10" t="str">
        <f aca="true">IF(B841="","",IF(OR(P841&lt;&gt;"",I841="می‌باشد"),"بسته",IF(AND(L841&lt;&gt;"",W841=""),"خطای فرمت تاریخ ایجاد",IF(AND(H841&lt;&gt;"",AA841=""),"خطای فرمت مهلت",IF(AND(H841&lt;&gt;"",AD841&lt;&gt;"",TODAY()&gt;AD841),"تاخیر",IF(L841&lt;&gt;"","در حال انجام",""))))))</f>
        <v/>
      </c>
      <c r="V841" s="7" t="n">
        <f aca="true">IF(U841="تاخیر",TODAY()-AD841,IF(AND(U841="بسته",AH841&lt;&gt;"",AD841&lt;&gt;"",AH841&gt;AD841),AH841-AD841,0))</f>
        <v>0</v>
      </c>
      <c r="W841" s="7" t="str">
        <f aca="false">IF(L841="","",VALUE(LEFT(L841,FIND("/",L841)-1)))</f>
        <v/>
      </c>
      <c r="X841" s="7" t="str">
        <f aca="false">IF(L841="","",VALUE(MID(L841,FIND("/",L841)+1,FIND("/",L841,FIND("/",L841)+1)-FIND("/",L841)-1)))</f>
        <v/>
      </c>
      <c r="Y841" s="7" t="str">
        <f aca="false">IF(L841="","",VALUE(MID(L841,FIND("/",L841,FIND("/",L841)+1)+1,LEN(L841)-FIND("/",L841,FIND("/",L841)+1))))</f>
        <v/>
      </c>
      <c r="Z841" s="7" t="str">
        <f aca="false">IF(OR(L841="",W841=""),"",IFERROR(INDEX('لیست‌ها'!$Q$3:$Q$53,MATCH(W841,'لیست‌ها'!$P$3:$P$53,0))+IF(X841&lt;=6,(X841-1)*31+Y841,IF(X841&lt;=11,186+(X841-7)*30+Y841,336+Y841))-1,""))</f>
        <v/>
      </c>
      <c r="AA841" s="7" t="str">
        <f aca="false">IF(H841="","",VALUE(LEFT(H841,FIND("/",H841)-1)))</f>
        <v/>
      </c>
      <c r="AB841" s="7" t="str">
        <f aca="false">IF(H841="","",VALUE(MID(H841,FIND("/",H841)+1,FIND("/",H841,FIND("/",H841)+1)-FIND("/",H841)-1)))</f>
        <v/>
      </c>
      <c r="AC841" s="7" t="str">
        <f aca="false">IF(H841="","",VALUE(MID(H841,FIND("/",H841,FIND("/",H841)+1)+1,LEN(H841)-FIND("/",H841,FIND("/",H841)+1))))</f>
        <v/>
      </c>
      <c r="AD841" s="7" t="str">
        <f aca="false">IF(OR(H841="",AA841=""),"",IFERROR(INDEX('لیست‌ها'!$Q$3:$Q$53,MATCH(AA841,'لیست‌ها'!$P$3:$P$53,0))+IF(AB841&lt;=6,(AB841-1)*31+AC841,IF(AB841&lt;=11,186+(AB841-7)*30+AC841,336+AC841))-1,""))</f>
        <v/>
      </c>
      <c r="AE841" s="7" t="str">
        <f aca="false">IF(P841="","",VALUE(LEFT(P841,FIND("/",P841)-1)))</f>
        <v/>
      </c>
      <c r="AF841" s="7" t="str">
        <f aca="false">IF(P841="","",VALUE(MID(P841,FIND("/",P841)+1,FIND("/",P841,FIND("/",P841)+1)-FIND("/",P841)-1)))</f>
        <v/>
      </c>
      <c r="AG841" s="7" t="str">
        <f aca="false">IF(P841="","",VALUE(MID(P841,FIND("/",P841,FIND("/",P841)+1)+1,LEN(P841)-FIND("/",P841,FIND("/",P841)+1))))</f>
        <v/>
      </c>
      <c r="AH841" s="7" t="str">
        <f aca="false">IF(OR(P841="",AE841=""),"",IFERROR(INDEX('لیست‌ها'!$Q$3:$Q$53,MATCH(AE841,'لیست‌ها'!$P$3:$P$53,0))+IF(AF841&lt;=6,(AF841-1)*31+AG841,IF(AF841&lt;=11,186+(AF841-7)*30+AG841,336+AG841))-1,""))</f>
        <v/>
      </c>
      <c r="AI841" s="7" t="str">
        <f aca="false">IF(W841="","",W841&amp;"-"&amp;TEXT(X841,"00"))</f>
        <v/>
      </c>
      <c r="AJ841" s="7" t="str">
        <f aca="false">IF(W841="","",W841*12+X841)</f>
        <v/>
      </c>
      <c r="AK841" s="7" t="str">
        <f aca="false">IF(U841="تاخیر",V841+ROW()/100000,"")</f>
        <v/>
      </c>
    </row>
    <row r="842" customFormat="false" ht="15" hidden="false" customHeight="false" outlineLevel="0" collapsed="false">
      <c r="A842" s="7" t="str">
        <f aca="false">IF(B842="","",ROW()-3)</f>
        <v/>
      </c>
      <c r="B842" s="8"/>
      <c r="C842" s="8"/>
      <c r="D842" s="8"/>
      <c r="E842" s="9"/>
      <c r="F842" s="9"/>
      <c r="G842" s="8"/>
      <c r="H842" s="8"/>
      <c r="I842" s="8"/>
      <c r="J842" s="9"/>
      <c r="K842" s="8"/>
      <c r="L842" s="8"/>
      <c r="M842" s="8"/>
      <c r="N842" s="8"/>
      <c r="O842" s="8"/>
      <c r="P842" s="8"/>
      <c r="Q842" s="8"/>
      <c r="R842" s="9"/>
      <c r="S842" s="8"/>
      <c r="T842" s="9"/>
      <c r="U842" s="10" t="str">
        <f aca="true">IF(B842="","",IF(OR(P842&lt;&gt;"",I842="می‌باشد"),"بسته",IF(AND(L842&lt;&gt;"",W842=""),"خطای فرمت تاریخ ایجاد",IF(AND(H842&lt;&gt;"",AA842=""),"خطای فرمت مهلت",IF(AND(H842&lt;&gt;"",AD842&lt;&gt;"",TODAY()&gt;AD842),"تاخیر",IF(L842&lt;&gt;"","در حال انجام",""))))))</f>
        <v/>
      </c>
      <c r="V842" s="7" t="n">
        <f aca="true">IF(U842="تاخیر",TODAY()-AD842,IF(AND(U842="بسته",AH842&lt;&gt;"",AD842&lt;&gt;"",AH842&gt;AD842),AH842-AD842,0))</f>
        <v>0</v>
      </c>
      <c r="W842" s="7" t="str">
        <f aca="false">IF(L842="","",VALUE(LEFT(L842,FIND("/",L842)-1)))</f>
        <v/>
      </c>
      <c r="X842" s="7" t="str">
        <f aca="false">IF(L842="","",VALUE(MID(L842,FIND("/",L842)+1,FIND("/",L842,FIND("/",L842)+1)-FIND("/",L842)-1)))</f>
        <v/>
      </c>
      <c r="Y842" s="7" t="str">
        <f aca="false">IF(L842="","",VALUE(MID(L842,FIND("/",L842,FIND("/",L842)+1)+1,LEN(L842)-FIND("/",L842,FIND("/",L842)+1))))</f>
        <v/>
      </c>
      <c r="Z842" s="7" t="str">
        <f aca="false">IF(OR(L842="",W842=""),"",IFERROR(INDEX('لیست‌ها'!$Q$3:$Q$53,MATCH(W842,'لیست‌ها'!$P$3:$P$53,0))+IF(X842&lt;=6,(X842-1)*31+Y842,IF(X842&lt;=11,186+(X842-7)*30+Y842,336+Y842))-1,""))</f>
        <v/>
      </c>
      <c r="AA842" s="7" t="str">
        <f aca="false">IF(H842="","",VALUE(LEFT(H842,FIND("/",H842)-1)))</f>
        <v/>
      </c>
      <c r="AB842" s="7" t="str">
        <f aca="false">IF(H842="","",VALUE(MID(H842,FIND("/",H842)+1,FIND("/",H842,FIND("/",H842)+1)-FIND("/",H842)-1)))</f>
        <v/>
      </c>
      <c r="AC842" s="7" t="str">
        <f aca="false">IF(H842="","",VALUE(MID(H842,FIND("/",H842,FIND("/",H842)+1)+1,LEN(H842)-FIND("/",H842,FIND("/",H842)+1))))</f>
        <v/>
      </c>
      <c r="AD842" s="7" t="str">
        <f aca="false">IF(OR(H842="",AA842=""),"",IFERROR(INDEX('لیست‌ها'!$Q$3:$Q$53,MATCH(AA842,'لیست‌ها'!$P$3:$P$53,0))+IF(AB842&lt;=6,(AB842-1)*31+AC842,IF(AB842&lt;=11,186+(AB842-7)*30+AC842,336+AC842))-1,""))</f>
        <v/>
      </c>
      <c r="AE842" s="7" t="str">
        <f aca="false">IF(P842="","",VALUE(LEFT(P842,FIND("/",P842)-1)))</f>
        <v/>
      </c>
      <c r="AF842" s="7" t="str">
        <f aca="false">IF(P842="","",VALUE(MID(P842,FIND("/",P842)+1,FIND("/",P842,FIND("/",P842)+1)-FIND("/",P842)-1)))</f>
        <v/>
      </c>
      <c r="AG842" s="7" t="str">
        <f aca="false">IF(P842="","",VALUE(MID(P842,FIND("/",P842,FIND("/",P842)+1)+1,LEN(P842)-FIND("/",P842,FIND("/",P842)+1))))</f>
        <v/>
      </c>
      <c r="AH842" s="7" t="str">
        <f aca="false">IF(OR(P842="",AE842=""),"",IFERROR(INDEX('لیست‌ها'!$Q$3:$Q$53,MATCH(AE842,'لیست‌ها'!$P$3:$P$53,0))+IF(AF842&lt;=6,(AF842-1)*31+AG842,IF(AF842&lt;=11,186+(AF842-7)*30+AG842,336+AG842))-1,""))</f>
        <v/>
      </c>
      <c r="AI842" s="7" t="str">
        <f aca="false">IF(W842="","",W842&amp;"-"&amp;TEXT(X842,"00"))</f>
        <v/>
      </c>
      <c r="AJ842" s="7" t="str">
        <f aca="false">IF(W842="","",W842*12+X842)</f>
        <v/>
      </c>
      <c r="AK842" s="7" t="str">
        <f aca="false">IF(U842="تاخیر",V842+ROW()/100000,"")</f>
        <v/>
      </c>
    </row>
    <row r="843" customFormat="false" ht="15" hidden="false" customHeight="false" outlineLevel="0" collapsed="false">
      <c r="A843" s="7" t="str">
        <f aca="false">IF(B843="","",ROW()-3)</f>
        <v/>
      </c>
      <c r="B843" s="8"/>
      <c r="C843" s="8"/>
      <c r="D843" s="8"/>
      <c r="E843" s="9"/>
      <c r="F843" s="9"/>
      <c r="G843" s="8"/>
      <c r="H843" s="8"/>
      <c r="I843" s="8"/>
      <c r="J843" s="9"/>
      <c r="K843" s="8"/>
      <c r="L843" s="8"/>
      <c r="M843" s="8"/>
      <c r="N843" s="8"/>
      <c r="O843" s="8"/>
      <c r="P843" s="8"/>
      <c r="Q843" s="8"/>
      <c r="R843" s="9"/>
      <c r="S843" s="8"/>
      <c r="T843" s="9"/>
      <c r="U843" s="10" t="str">
        <f aca="true">IF(B843="","",IF(OR(P843&lt;&gt;"",I843="می‌باشد"),"بسته",IF(AND(L843&lt;&gt;"",W843=""),"خطای فرمت تاریخ ایجاد",IF(AND(H843&lt;&gt;"",AA843=""),"خطای فرمت مهلت",IF(AND(H843&lt;&gt;"",AD843&lt;&gt;"",TODAY()&gt;AD843),"تاخیر",IF(L843&lt;&gt;"","در حال انجام",""))))))</f>
        <v/>
      </c>
      <c r="V843" s="7" t="n">
        <f aca="true">IF(U843="تاخیر",TODAY()-AD843,IF(AND(U843="بسته",AH843&lt;&gt;"",AD843&lt;&gt;"",AH843&gt;AD843),AH843-AD843,0))</f>
        <v>0</v>
      </c>
      <c r="W843" s="7" t="str">
        <f aca="false">IF(L843="","",VALUE(LEFT(L843,FIND("/",L843)-1)))</f>
        <v/>
      </c>
      <c r="X843" s="7" t="str">
        <f aca="false">IF(L843="","",VALUE(MID(L843,FIND("/",L843)+1,FIND("/",L843,FIND("/",L843)+1)-FIND("/",L843)-1)))</f>
        <v/>
      </c>
      <c r="Y843" s="7" t="str">
        <f aca="false">IF(L843="","",VALUE(MID(L843,FIND("/",L843,FIND("/",L843)+1)+1,LEN(L843)-FIND("/",L843,FIND("/",L843)+1))))</f>
        <v/>
      </c>
      <c r="Z843" s="7" t="str">
        <f aca="false">IF(OR(L843="",W843=""),"",IFERROR(INDEX('لیست‌ها'!$Q$3:$Q$53,MATCH(W843,'لیست‌ها'!$P$3:$P$53,0))+IF(X843&lt;=6,(X843-1)*31+Y843,IF(X843&lt;=11,186+(X843-7)*30+Y843,336+Y843))-1,""))</f>
        <v/>
      </c>
      <c r="AA843" s="7" t="str">
        <f aca="false">IF(H843="","",VALUE(LEFT(H843,FIND("/",H843)-1)))</f>
        <v/>
      </c>
      <c r="AB843" s="7" t="str">
        <f aca="false">IF(H843="","",VALUE(MID(H843,FIND("/",H843)+1,FIND("/",H843,FIND("/",H843)+1)-FIND("/",H843)-1)))</f>
        <v/>
      </c>
      <c r="AC843" s="7" t="str">
        <f aca="false">IF(H843="","",VALUE(MID(H843,FIND("/",H843,FIND("/",H843)+1)+1,LEN(H843)-FIND("/",H843,FIND("/",H843)+1))))</f>
        <v/>
      </c>
      <c r="AD843" s="7" t="str">
        <f aca="false">IF(OR(H843="",AA843=""),"",IFERROR(INDEX('لیست‌ها'!$Q$3:$Q$53,MATCH(AA843,'لیست‌ها'!$P$3:$P$53,0))+IF(AB843&lt;=6,(AB843-1)*31+AC843,IF(AB843&lt;=11,186+(AB843-7)*30+AC843,336+AC843))-1,""))</f>
        <v/>
      </c>
      <c r="AE843" s="7" t="str">
        <f aca="false">IF(P843="","",VALUE(LEFT(P843,FIND("/",P843)-1)))</f>
        <v/>
      </c>
      <c r="AF843" s="7" t="str">
        <f aca="false">IF(P843="","",VALUE(MID(P843,FIND("/",P843)+1,FIND("/",P843,FIND("/",P843)+1)-FIND("/",P843)-1)))</f>
        <v/>
      </c>
      <c r="AG843" s="7" t="str">
        <f aca="false">IF(P843="","",VALUE(MID(P843,FIND("/",P843,FIND("/",P843)+1)+1,LEN(P843)-FIND("/",P843,FIND("/",P843)+1))))</f>
        <v/>
      </c>
      <c r="AH843" s="7" t="str">
        <f aca="false">IF(OR(P843="",AE843=""),"",IFERROR(INDEX('لیست‌ها'!$Q$3:$Q$53,MATCH(AE843,'لیست‌ها'!$P$3:$P$53,0))+IF(AF843&lt;=6,(AF843-1)*31+AG843,IF(AF843&lt;=11,186+(AF843-7)*30+AG843,336+AG843))-1,""))</f>
        <v/>
      </c>
      <c r="AI843" s="7" t="str">
        <f aca="false">IF(W843="","",W843&amp;"-"&amp;TEXT(X843,"00"))</f>
        <v/>
      </c>
      <c r="AJ843" s="7" t="str">
        <f aca="false">IF(W843="","",W843*12+X843)</f>
        <v/>
      </c>
      <c r="AK843" s="7" t="str">
        <f aca="false">IF(U843="تاخیر",V843+ROW()/100000,"")</f>
        <v/>
      </c>
    </row>
    <row r="844" customFormat="false" ht="15" hidden="false" customHeight="false" outlineLevel="0" collapsed="false">
      <c r="A844" s="7" t="str">
        <f aca="false">IF(B844="","",ROW()-3)</f>
        <v/>
      </c>
      <c r="B844" s="8"/>
      <c r="C844" s="8"/>
      <c r="D844" s="8"/>
      <c r="E844" s="9"/>
      <c r="F844" s="9"/>
      <c r="G844" s="8"/>
      <c r="H844" s="8"/>
      <c r="I844" s="8"/>
      <c r="J844" s="9"/>
      <c r="K844" s="8"/>
      <c r="L844" s="8"/>
      <c r="M844" s="8"/>
      <c r="N844" s="8"/>
      <c r="O844" s="8"/>
      <c r="P844" s="8"/>
      <c r="Q844" s="8"/>
      <c r="R844" s="9"/>
      <c r="S844" s="8"/>
      <c r="T844" s="9"/>
      <c r="U844" s="10" t="str">
        <f aca="true">IF(B844="","",IF(OR(P844&lt;&gt;"",I844="می‌باشد"),"بسته",IF(AND(L844&lt;&gt;"",W844=""),"خطای فرمت تاریخ ایجاد",IF(AND(H844&lt;&gt;"",AA844=""),"خطای فرمت مهلت",IF(AND(H844&lt;&gt;"",AD844&lt;&gt;"",TODAY()&gt;AD844),"تاخیر",IF(L844&lt;&gt;"","در حال انجام",""))))))</f>
        <v/>
      </c>
      <c r="V844" s="7" t="n">
        <f aca="true">IF(U844="تاخیر",TODAY()-AD844,IF(AND(U844="بسته",AH844&lt;&gt;"",AD844&lt;&gt;"",AH844&gt;AD844),AH844-AD844,0))</f>
        <v>0</v>
      </c>
      <c r="W844" s="7" t="str">
        <f aca="false">IF(L844="","",VALUE(LEFT(L844,FIND("/",L844)-1)))</f>
        <v/>
      </c>
      <c r="X844" s="7" t="str">
        <f aca="false">IF(L844="","",VALUE(MID(L844,FIND("/",L844)+1,FIND("/",L844,FIND("/",L844)+1)-FIND("/",L844)-1)))</f>
        <v/>
      </c>
      <c r="Y844" s="7" t="str">
        <f aca="false">IF(L844="","",VALUE(MID(L844,FIND("/",L844,FIND("/",L844)+1)+1,LEN(L844)-FIND("/",L844,FIND("/",L844)+1))))</f>
        <v/>
      </c>
      <c r="Z844" s="7" t="str">
        <f aca="false">IF(OR(L844="",W844=""),"",IFERROR(INDEX('لیست‌ها'!$Q$3:$Q$53,MATCH(W844,'لیست‌ها'!$P$3:$P$53,0))+IF(X844&lt;=6,(X844-1)*31+Y844,IF(X844&lt;=11,186+(X844-7)*30+Y844,336+Y844))-1,""))</f>
        <v/>
      </c>
      <c r="AA844" s="7" t="str">
        <f aca="false">IF(H844="","",VALUE(LEFT(H844,FIND("/",H844)-1)))</f>
        <v/>
      </c>
      <c r="AB844" s="7" t="str">
        <f aca="false">IF(H844="","",VALUE(MID(H844,FIND("/",H844)+1,FIND("/",H844,FIND("/",H844)+1)-FIND("/",H844)-1)))</f>
        <v/>
      </c>
      <c r="AC844" s="7" t="str">
        <f aca="false">IF(H844="","",VALUE(MID(H844,FIND("/",H844,FIND("/",H844)+1)+1,LEN(H844)-FIND("/",H844,FIND("/",H844)+1))))</f>
        <v/>
      </c>
      <c r="AD844" s="7" t="str">
        <f aca="false">IF(OR(H844="",AA844=""),"",IFERROR(INDEX('لیست‌ها'!$Q$3:$Q$53,MATCH(AA844,'لیست‌ها'!$P$3:$P$53,0))+IF(AB844&lt;=6,(AB844-1)*31+AC844,IF(AB844&lt;=11,186+(AB844-7)*30+AC844,336+AC844))-1,""))</f>
        <v/>
      </c>
      <c r="AE844" s="7" t="str">
        <f aca="false">IF(P844="","",VALUE(LEFT(P844,FIND("/",P844)-1)))</f>
        <v/>
      </c>
      <c r="AF844" s="7" t="str">
        <f aca="false">IF(P844="","",VALUE(MID(P844,FIND("/",P844)+1,FIND("/",P844,FIND("/",P844)+1)-FIND("/",P844)-1)))</f>
        <v/>
      </c>
      <c r="AG844" s="7" t="str">
        <f aca="false">IF(P844="","",VALUE(MID(P844,FIND("/",P844,FIND("/",P844)+1)+1,LEN(P844)-FIND("/",P844,FIND("/",P844)+1))))</f>
        <v/>
      </c>
      <c r="AH844" s="7" t="str">
        <f aca="false">IF(OR(P844="",AE844=""),"",IFERROR(INDEX('لیست‌ها'!$Q$3:$Q$53,MATCH(AE844,'لیست‌ها'!$P$3:$P$53,0))+IF(AF844&lt;=6,(AF844-1)*31+AG844,IF(AF844&lt;=11,186+(AF844-7)*30+AG844,336+AG844))-1,""))</f>
        <v/>
      </c>
      <c r="AI844" s="7" t="str">
        <f aca="false">IF(W844="","",W844&amp;"-"&amp;TEXT(X844,"00"))</f>
        <v/>
      </c>
      <c r="AJ844" s="7" t="str">
        <f aca="false">IF(W844="","",W844*12+X844)</f>
        <v/>
      </c>
      <c r="AK844" s="7" t="str">
        <f aca="false">IF(U844="تاخیر",V844+ROW()/100000,"")</f>
        <v/>
      </c>
    </row>
    <row r="845" customFormat="false" ht="15" hidden="false" customHeight="false" outlineLevel="0" collapsed="false">
      <c r="A845" s="7" t="str">
        <f aca="false">IF(B845="","",ROW()-3)</f>
        <v/>
      </c>
      <c r="B845" s="8"/>
      <c r="C845" s="8"/>
      <c r="D845" s="8"/>
      <c r="E845" s="9"/>
      <c r="F845" s="9"/>
      <c r="G845" s="8"/>
      <c r="H845" s="8"/>
      <c r="I845" s="8"/>
      <c r="J845" s="9"/>
      <c r="K845" s="8"/>
      <c r="L845" s="8"/>
      <c r="M845" s="8"/>
      <c r="N845" s="8"/>
      <c r="O845" s="8"/>
      <c r="P845" s="8"/>
      <c r="Q845" s="8"/>
      <c r="R845" s="9"/>
      <c r="S845" s="8"/>
      <c r="T845" s="9"/>
      <c r="U845" s="10" t="str">
        <f aca="true">IF(B845="","",IF(OR(P845&lt;&gt;"",I845="می‌باشد"),"بسته",IF(AND(L845&lt;&gt;"",W845=""),"خطای فرمت تاریخ ایجاد",IF(AND(H845&lt;&gt;"",AA845=""),"خطای فرمت مهلت",IF(AND(H845&lt;&gt;"",AD845&lt;&gt;"",TODAY()&gt;AD845),"تاخیر",IF(L845&lt;&gt;"","در حال انجام",""))))))</f>
        <v/>
      </c>
      <c r="V845" s="7" t="n">
        <f aca="true">IF(U845="تاخیر",TODAY()-AD845,IF(AND(U845="بسته",AH845&lt;&gt;"",AD845&lt;&gt;"",AH845&gt;AD845),AH845-AD845,0))</f>
        <v>0</v>
      </c>
      <c r="W845" s="7" t="str">
        <f aca="false">IF(L845="","",VALUE(LEFT(L845,FIND("/",L845)-1)))</f>
        <v/>
      </c>
      <c r="X845" s="7" t="str">
        <f aca="false">IF(L845="","",VALUE(MID(L845,FIND("/",L845)+1,FIND("/",L845,FIND("/",L845)+1)-FIND("/",L845)-1)))</f>
        <v/>
      </c>
      <c r="Y845" s="7" t="str">
        <f aca="false">IF(L845="","",VALUE(MID(L845,FIND("/",L845,FIND("/",L845)+1)+1,LEN(L845)-FIND("/",L845,FIND("/",L845)+1))))</f>
        <v/>
      </c>
      <c r="Z845" s="7" t="str">
        <f aca="false">IF(OR(L845="",W845=""),"",IFERROR(INDEX('لیست‌ها'!$Q$3:$Q$53,MATCH(W845,'لیست‌ها'!$P$3:$P$53,0))+IF(X845&lt;=6,(X845-1)*31+Y845,IF(X845&lt;=11,186+(X845-7)*30+Y845,336+Y845))-1,""))</f>
        <v/>
      </c>
      <c r="AA845" s="7" t="str">
        <f aca="false">IF(H845="","",VALUE(LEFT(H845,FIND("/",H845)-1)))</f>
        <v/>
      </c>
      <c r="AB845" s="7" t="str">
        <f aca="false">IF(H845="","",VALUE(MID(H845,FIND("/",H845)+1,FIND("/",H845,FIND("/",H845)+1)-FIND("/",H845)-1)))</f>
        <v/>
      </c>
      <c r="AC845" s="7" t="str">
        <f aca="false">IF(H845="","",VALUE(MID(H845,FIND("/",H845,FIND("/",H845)+1)+1,LEN(H845)-FIND("/",H845,FIND("/",H845)+1))))</f>
        <v/>
      </c>
      <c r="AD845" s="7" t="str">
        <f aca="false">IF(OR(H845="",AA845=""),"",IFERROR(INDEX('لیست‌ها'!$Q$3:$Q$53,MATCH(AA845,'لیست‌ها'!$P$3:$P$53,0))+IF(AB845&lt;=6,(AB845-1)*31+AC845,IF(AB845&lt;=11,186+(AB845-7)*30+AC845,336+AC845))-1,""))</f>
        <v/>
      </c>
      <c r="AE845" s="7" t="str">
        <f aca="false">IF(P845="","",VALUE(LEFT(P845,FIND("/",P845)-1)))</f>
        <v/>
      </c>
      <c r="AF845" s="7" t="str">
        <f aca="false">IF(P845="","",VALUE(MID(P845,FIND("/",P845)+1,FIND("/",P845,FIND("/",P845)+1)-FIND("/",P845)-1)))</f>
        <v/>
      </c>
      <c r="AG845" s="7" t="str">
        <f aca="false">IF(P845="","",VALUE(MID(P845,FIND("/",P845,FIND("/",P845)+1)+1,LEN(P845)-FIND("/",P845,FIND("/",P845)+1))))</f>
        <v/>
      </c>
      <c r="AH845" s="7" t="str">
        <f aca="false">IF(OR(P845="",AE845=""),"",IFERROR(INDEX('لیست‌ها'!$Q$3:$Q$53,MATCH(AE845,'لیست‌ها'!$P$3:$P$53,0))+IF(AF845&lt;=6,(AF845-1)*31+AG845,IF(AF845&lt;=11,186+(AF845-7)*30+AG845,336+AG845))-1,""))</f>
        <v/>
      </c>
      <c r="AI845" s="7" t="str">
        <f aca="false">IF(W845="","",W845&amp;"-"&amp;TEXT(X845,"00"))</f>
        <v/>
      </c>
      <c r="AJ845" s="7" t="str">
        <f aca="false">IF(W845="","",W845*12+X845)</f>
        <v/>
      </c>
      <c r="AK845" s="7" t="str">
        <f aca="false">IF(U845="تاخیر",V845+ROW()/100000,"")</f>
        <v/>
      </c>
    </row>
    <row r="846" customFormat="false" ht="15" hidden="false" customHeight="false" outlineLevel="0" collapsed="false">
      <c r="A846" s="7" t="str">
        <f aca="false">IF(B846="","",ROW()-3)</f>
        <v/>
      </c>
      <c r="B846" s="8"/>
      <c r="C846" s="8"/>
      <c r="D846" s="8"/>
      <c r="E846" s="9"/>
      <c r="F846" s="9"/>
      <c r="G846" s="8"/>
      <c r="H846" s="8"/>
      <c r="I846" s="8"/>
      <c r="J846" s="9"/>
      <c r="K846" s="8"/>
      <c r="L846" s="8"/>
      <c r="M846" s="8"/>
      <c r="N846" s="8"/>
      <c r="O846" s="8"/>
      <c r="P846" s="8"/>
      <c r="Q846" s="8"/>
      <c r="R846" s="9"/>
      <c r="S846" s="8"/>
      <c r="T846" s="9"/>
      <c r="U846" s="10" t="str">
        <f aca="true">IF(B846="","",IF(OR(P846&lt;&gt;"",I846="می‌باشد"),"بسته",IF(AND(L846&lt;&gt;"",W846=""),"خطای فرمت تاریخ ایجاد",IF(AND(H846&lt;&gt;"",AA846=""),"خطای فرمت مهلت",IF(AND(H846&lt;&gt;"",AD846&lt;&gt;"",TODAY()&gt;AD846),"تاخیر",IF(L846&lt;&gt;"","در حال انجام",""))))))</f>
        <v/>
      </c>
      <c r="V846" s="7" t="n">
        <f aca="true">IF(U846="تاخیر",TODAY()-AD846,IF(AND(U846="بسته",AH846&lt;&gt;"",AD846&lt;&gt;"",AH846&gt;AD846),AH846-AD846,0))</f>
        <v>0</v>
      </c>
      <c r="W846" s="7" t="str">
        <f aca="false">IF(L846="","",VALUE(LEFT(L846,FIND("/",L846)-1)))</f>
        <v/>
      </c>
      <c r="X846" s="7" t="str">
        <f aca="false">IF(L846="","",VALUE(MID(L846,FIND("/",L846)+1,FIND("/",L846,FIND("/",L846)+1)-FIND("/",L846)-1)))</f>
        <v/>
      </c>
      <c r="Y846" s="7" t="str">
        <f aca="false">IF(L846="","",VALUE(MID(L846,FIND("/",L846,FIND("/",L846)+1)+1,LEN(L846)-FIND("/",L846,FIND("/",L846)+1))))</f>
        <v/>
      </c>
      <c r="Z846" s="7" t="str">
        <f aca="false">IF(OR(L846="",W846=""),"",IFERROR(INDEX('لیست‌ها'!$Q$3:$Q$53,MATCH(W846,'لیست‌ها'!$P$3:$P$53,0))+IF(X846&lt;=6,(X846-1)*31+Y846,IF(X846&lt;=11,186+(X846-7)*30+Y846,336+Y846))-1,""))</f>
        <v/>
      </c>
      <c r="AA846" s="7" t="str">
        <f aca="false">IF(H846="","",VALUE(LEFT(H846,FIND("/",H846)-1)))</f>
        <v/>
      </c>
      <c r="AB846" s="7" t="str">
        <f aca="false">IF(H846="","",VALUE(MID(H846,FIND("/",H846)+1,FIND("/",H846,FIND("/",H846)+1)-FIND("/",H846)-1)))</f>
        <v/>
      </c>
      <c r="AC846" s="7" t="str">
        <f aca="false">IF(H846="","",VALUE(MID(H846,FIND("/",H846,FIND("/",H846)+1)+1,LEN(H846)-FIND("/",H846,FIND("/",H846)+1))))</f>
        <v/>
      </c>
      <c r="AD846" s="7" t="str">
        <f aca="false">IF(OR(H846="",AA846=""),"",IFERROR(INDEX('لیست‌ها'!$Q$3:$Q$53,MATCH(AA846,'لیست‌ها'!$P$3:$P$53,0))+IF(AB846&lt;=6,(AB846-1)*31+AC846,IF(AB846&lt;=11,186+(AB846-7)*30+AC846,336+AC846))-1,""))</f>
        <v/>
      </c>
      <c r="AE846" s="7" t="str">
        <f aca="false">IF(P846="","",VALUE(LEFT(P846,FIND("/",P846)-1)))</f>
        <v/>
      </c>
      <c r="AF846" s="7" t="str">
        <f aca="false">IF(P846="","",VALUE(MID(P846,FIND("/",P846)+1,FIND("/",P846,FIND("/",P846)+1)-FIND("/",P846)-1)))</f>
        <v/>
      </c>
      <c r="AG846" s="7" t="str">
        <f aca="false">IF(P846="","",VALUE(MID(P846,FIND("/",P846,FIND("/",P846)+1)+1,LEN(P846)-FIND("/",P846,FIND("/",P846)+1))))</f>
        <v/>
      </c>
      <c r="AH846" s="7" t="str">
        <f aca="false">IF(OR(P846="",AE846=""),"",IFERROR(INDEX('لیست‌ها'!$Q$3:$Q$53,MATCH(AE846,'لیست‌ها'!$P$3:$P$53,0))+IF(AF846&lt;=6,(AF846-1)*31+AG846,IF(AF846&lt;=11,186+(AF846-7)*30+AG846,336+AG846))-1,""))</f>
        <v/>
      </c>
      <c r="AI846" s="7" t="str">
        <f aca="false">IF(W846="","",W846&amp;"-"&amp;TEXT(X846,"00"))</f>
        <v/>
      </c>
      <c r="AJ846" s="7" t="str">
        <f aca="false">IF(W846="","",W846*12+X846)</f>
        <v/>
      </c>
      <c r="AK846" s="7" t="str">
        <f aca="false">IF(U846="تاخیر",V846+ROW()/100000,"")</f>
        <v/>
      </c>
    </row>
    <row r="847" customFormat="false" ht="15" hidden="false" customHeight="false" outlineLevel="0" collapsed="false">
      <c r="A847" s="7" t="str">
        <f aca="false">IF(B847="","",ROW()-3)</f>
        <v/>
      </c>
      <c r="B847" s="8"/>
      <c r="C847" s="8"/>
      <c r="D847" s="8"/>
      <c r="E847" s="9"/>
      <c r="F847" s="9"/>
      <c r="G847" s="8"/>
      <c r="H847" s="8"/>
      <c r="I847" s="8"/>
      <c r="J847" s="9"/>
      <c r="K847" s="8"/>
      <c r="L847" s="8"/>
      <c r="M847" s="8"/>
      <c r="N847" s="8"/>
      <c r="O847" s="8"/>
      <c r="P847" s="8"/>
      <c r="Q847" s="8"/>
      <c r="R847" s="9"/>
      <c r="S847" s="8"/>
      <c r="T847" s="9"/>
      <c r="U847" s="10" t="str">
        <f aca="true">IF(B847="","",IF(OR(P847&lt;&gt;"",I847="می‌باشد"),"بسته",IF(AND(L847&lt;&gt;"",W847=""),"خطای فرمت تاریخ ایجاد",IF(AND(H847&lt;&gt;"",AA847=""),"خطای فرمت مهلت",IF(AND(H847&lt;&gt;"",AD847&lt;&gt;"",TODAY()&gt;AD847),"تاخیر",IF(L847&lt;&gt;"","در حال انجام",""))))))</f>
        <v/>
      </c>
      <c r="V847" s="7" t="n">
        <f aca="true">IF(U847="تاخیر",TODAY()-AD847,IF(AND(U847="بسته",AH847&lt;&gt;"",AD847&lt;&gt;"",AH847&gt;AD847),AH847-AD847,0))</f>
        <v>0</v>
      </c>
      <c r="W847" s="7" t="str">
        <f aca="false">IF(L847="","",VALUE(LEFT(L847,FIND("/",L847)-1)))</f>
        <v/>
      </c>
      <c r="X847" s="7" t="str">
        <f aca="false">IF(L847="","",VALUE(MID(L847,FIND("/",L847)+1,FIND("/",L847,FIND("/",L847)+1)-FIND("/",L847)-1)))</f>
        <v/>
      </c>
      <c r="Y847" s="7" t="str">
        <f aca="false">IF(L847="","",VALUE(MID(L847,FIND("/",L847,FIND("/",L847)+1)+1,LEN(L847)-FIND("/",L847,FIND("/",L847)+1))))</f>
        <v/>
      </c>
      <c r="Z847" s="7" t="str">
        <f aca="false">IF(OR(L847="",W847=""),"",IFERROR(INDEX('لیست‌ها'!$Q$3:$Q$53,MATCH(W847,'لیست‌ها'!$P$3:$P$53,0))+IF(X847&lt;=6,(X847-1)*31+Y847,IF(X847&lt;=11,186+(X847-7)*30+Y847,336+Y847))-1,""))</f>
        <v/>
      </c>
      <c r="AA847" s="7" t="str">
        <f aca="false">IF(H847="","",VALUE(LEFT(H847,FIND("/",H847)-1)))</f>
        <v/>
      </c>
      <c r="AB847" s="7" t="str">
        <f aca="false">IF(H847="","",VALUE(MID(H847,FIND("/",H847)+1,FIND("/",H847,FIND("/",H847)+1)-FIND("/",H847)-1)))</f>
        <v/>
      </c>
      <c r="AC847" s="7" t="str">
        <f aca="false">IF(H847="","",VALUE(MID(H847,FIND("/",H847,FIND("/",H847)+1)+1,LEN(H847)-FIND("/",H847,FIND("/",H847)+1))))</f>
        <v/>
      </c>
      <c r="AD847" s="7" t="str">
        <f aca="false">IF(OR(H847="",AA847=""),"",IFERROR(INDEX('لیست‌ها'!$Q$3:$Q$53,MATCH(AA847,'لیست‌ها'!$P$3:$P$53,0))+IF(AB847&lt;=6,(AB847-1)*31+AC847,IF(AB847&lt;=11,186+(AB847-7)*30+AC847,336+AC847))-1,""))</f>
        <v/>
      </c>
      <c r="AE847" s="7" t="str">
        <f aca="false">IF(P847="","",VALUE(LEFT(P847,FIND("/",P847)-1)))</f>
        <v/>
      </c>
      <c r="AF847" s="7" t="str">
        <f aca="false">IF(P847="","",VALUE(MID(P847,FIND("/",P847)+1,FIND("/",P847,FIND("/",P847)+1)-FIND("/",P847)-1)))</f>
        <v/>
      </c>
      <c r="AG847" s="7" t="str">
        <f aca="false">IF(P847="","",VALUE(MID(P847,FIND("/",P847,FIND("/",P847)+1)+1,LEN(P847)-FIND("/",P847,FIND("/",P847)+1))))</f>
        <v/>
      </c>
      <c r="AH847" s="7" t="str">
        <f aca="false">IF(OR(P847="",AE847=""),"",IFERROR(INDEX('لیست‌ها'!$Q$3:$Q$53,MATCH(AE847,'لیست‌ها'!$P$3:$P$53,0))+IF(AF847&lt;=6,(AF847-1)*31+AG847,IF(AF847&lt;=11,186+(AF847-7)*30+AG847,336+AG847))-1,""))</f>
        <v/>
      </c>
      <c r="AI847" s="7" t="str">
        <f aca="false">IF(W847="","",W847&amp;"-"&amp;TEXT(X847,"00"))</f>
        <v/>
      </c>
      <c r="AJ847" s="7" t="str">
        <f aca="false">IF(W847="","",W847*12+X847)</f>
        <v/>
      </c>
      <c r="AK847" s="7" t="str">
        <f aca="false">IF(U847="تاخیر",V847+ROW()/100000,"")</f>
        <v/>
      </c>
    </row>
    <row r="848" customFormat="false" ht="15" hidden="false" customHeight="false" outlineLevel="0" collapsed="false">
      <c r="A848" s="7" t="str">
        <f aca="false">IF(B848="","",ROW()-3)</f>
        <v/>
      </c>
      <c r="B848" s="8"/>
      <c r="C848" s="8"/>
      <c r="D848" s="8"/>
      <c r="E848" s="9"/>
      <c r="F848" s="9"/>
      <c r="G848" s="8"/>
      <c r="H848" s="8"/>
      <c r="I848" s="8"/>
      <c r="J848" s="9"/>
      <c r="K848" s="8"/>
      <c r="L848" s="8"/>
      <c r="M848" s="8"/>
      <c r="N848" s="8"/>
      <c r="O848" s="8"/>
      <c r="P848" s="8"/>
      <c r="Q848" s="8"/>
      <c r="R848" s="9"/>
      <c r="S848" s="8"/>
      <c r="T848" s="9"/>
      <c r="U848" s="10" t="str">
        <f aca="true">IF(B848="","",IF(OR(P848&lt;&gt;"",I848="می‌باشد"),"بسته",IF(AND(L848&lt;&gt;"",W848=""),"خطای فرمت تاریخ ایجاد",IF(AND(H848&lt;&gt;"",AA848=""),"خطای فرمت مهلت",IF(AND(H848&lt;&gt;"",AD848&lt;&gt;"",TODAY()&gt;AD848),"تاخیر",IF(L848&lt;&gt;"","در حال انجام",""))))))</f>
        <v/>
      </c>
      <c r="V848" s="7" t="n">
        <f aca="true">IF(U848="تاخیر",TODAY()-AD848,IF(AND(U848="بسته",AH848&lt;&gt;"",AD848&lt;&gt;"",AH848&gt;AD848),AH848-AD848,0))</f>
        <v>0</v>
      </c>
      <c r="W848" s="7" t="str">
        <f aca="false">IF(L848="","",VALUE(LEFT(L848,FIND("/",L848)-1)))</f>
        <v/>
      </c>
      <c r="X848" s="7" t="str">
        <f aca="false">IF(L848="","",VALUE(MID(L848,FIND("/",L848)+1,FIND("/",L848,FIND("/",L848)+1)-FIND("/",L848)-1)))</f>
        <v/>
      </c>
      <c r="Y848" s="7" t="str">
        <f aca="false">IF(L848="","",VALUE(MID(L848,FIND("/",L848,FIND("/",L848)+1)+1,LEN(L848)-FIND("/",L848,FIND("/",L848)+1))))</f>
        <v/>
      </c>
      <c r="Z848" s="7" t="str">
        <f aca="false">IF(OR(L848="",W848=""),"",IFERROR(INDEX('لیست‌ها'!$Q$3:$Q$53,MATCH(W848,'لیست‌ها'!$P$3:$P$53,0))+IF(X848&lt;=6,(X848-1)*31+Y848,IF(X848&lt;=11,186+(X848-7)*30+Y848,336+Y848))-1,""))</f>
        <v/>
      </c>
      <c r="AA848" s="7" t="str">
        <f aca="false">IF(H848="","",VALUE(LEFT(H848,FIND("/",H848)-1)))</f>
        <v/>
      </c>
      <c r="AB848" s="7" t="str">
        <f aca="false">IF(H848="","",VALUE(MID(H848,FIND("/",H848)+1,FIND("/",H848,FIND("/",H848)+1)-FIND("/",H848)-1)))</f>
        <v/>
      </c>
      <c r="AC848" s="7" t="str">
        <f aca="false">IF(H848="","",VALUE(MID(H848,FIND("/",H848,FIND("/",H848)+1)+1,LEN(H848)-FIND("/",H848,FIND("/",H848)+1))))</f>
        <v/>
      </c>
      <c r="AD848" s="7" t="str">
        <f aca="false">IF(OR(H848="",AA848=""),"",IFERROR(INDEX('لیست‌ها'!$Q$3:$Q$53,MATCH(AA848,'لیست‌ها'!$P$3:$P$53,0))+IF(AB848&lt;=6,(AB848-1)*31+AC848,IF(AB848&lt;=11,186+(AB848-7)*30+AC848,336+AC848))-1,""))</f>
        <v/>
      </c>
      <c r="AE848" s="7" t="str">
        <f aca="false">IF(P848="","",VALUE(LEFT(P848,FIND("/",P848)-1)))</f>
        <v/>
      </c>
      <c r="AF848" s="7" t="str">
        <f aca="false">IF(P848="","",VALUE(MID(P848,FIND("/",P848)+1,FIND("/",P848,FIND("/",P848)+1)-FIND("/",P848)-1)))</f>
        <v/>
      </c>
      <c r="AG848" s="7" t="str">
        <f aca="false">IF(P848="","",VALUE(MID(P848,FIND("/",P848,FIND("/",P848)+1)+1,LEN(P848)-FIND("/",P848,FIND("/",P848)+1))))</f>
        <v/>
      </c>
      <c r="AH848" s="7" t="str">
        <f aca="false">IF(OR(P848="",AE848=""),"",IFERROR(INDEX('لیست‌ها'!$Q$3:$Q$53,MATCH(AE848,'لیست‌ها'!$P$3:$P$53,0))+IF(AF848&lt;=6,(AF848-1)*31+AG848,IF(AF848&lt;=11,186+(AF848-7)*30+AG848,336+AG848))-1,""))</f>
        <v/>
      </c>
      <c r="AI848" s="7" t="str">
        <f aca="false">IF(W848="","",W848&amp;"-"&amp;TEXT(X848,"00"))</f>
        <v/>
      </c>
      <c r="AJ848" s="7" t="str">
        <f aca="false">IF(W848="","",W848*12+X848)</f>
        <v/>
      </c>
      <c r="AK848" s="7" t="str">
        <f aca="false">IF(U848="تاخیر",V848+ROW()/100000,"")</f>
        <v/>
      </c>
    </row>
    <row r="849" customFormat="false" ht="15" hidden="false" customHeight="false" outlineLevel="0" collapsed="false">
      <c r="A849" s="7" t="str">
        <f aca="false">IF(B849="","",ROW()-3)</f>
        <v/>
      </c>
      <c r="B849" s="8"/>
      <c r="C849" s="8"/>
      <c r="D849" s="8"/>
      <c r="E849" s="9"/>
      <c r="F849" s="9"/>
      <c r="G849" s="8"/>
      <c r="H849" s="8"/>
      <c r="I849" s="8"/>
      <c r="J849" s="9"/>
      <c r="K849" s="8"/>
      <c r="L849" s="8"/>
      <c r="M849" s="8"/>
      <c r="N849" s="8"/>
      <c r="O849" s="8"/>
      <c r="P849" s="8"/>
      <c r="Q849" s="8"/>
      <c r="R849" s="9"/>
      <c r="S849" s="8"/>
      <c r="T849" s="9"/>
      <c r="U849" s="10" t="str">
        <f aca="true">IF(B849="","",IF(OR(P849&lt;&gt;"",I849="می‌باشد"),"بسته",IF(AND(L849&lt;&gt;"",W849=""),"خطای فرمت تاریخ ایجاد",IF(AND(H849&lt;&gt;"",AA849=""),"خطای فرمت مهلت",IF(AND(H849&lt;&gt;"",AD849&lt;&gt;"",TODAY()&gt;AD849),"تاخیر",IF(L849&lt;&gt;"","در حال انجام",""))))))</f>
        <v/>
      </c>
      <c r="V849" s="7" t="n">
        <f aca="true">IF(U849="تاخیر",TODAY()-AD849,IF(AND(U849="بسته",AH849&lt;&gt;"",AD849&lt;&gt;"",AH849&gt;AD849),AH849-AD849,0))</f>
        <v>0</v>
      </c>
      <c r="W849" s="7" t="str">
        <f aca="false">IF(L849="","",VALUE(LEFT(L849,FIND("/",L849)-1)))</f>
        <v/>
      </c>
      <c r="X849" s="7" t="str">
        <f aca="false">IF(L849="","",VALUE(MID(L849,FIND("/",L849)+1,FIND("/",L849,FIND("/",L849)+1)-FIND("/",L849)-1)))</f>
        <v/>
      </c>
      <c r="Y849" s="7" t="str">
        <f aca="false">IF(L849="","",VALUE(MID(L849,FIND("/",L849,FIND("/",L849)+1)+1,LEN(L849)-FIND("/",L849,FIND("/",L849)+1))))</f>
        <v/>
      </c>
      <c r="Z849" s="7" t="str">
        <f aca="false">IF(OR(L849="",W849=""),"",IFERROR(INDEX('لیست‌ها'!$Q$3:$Q$53,MATCH(W849,'لیست‌ها'!$P$3:$P$53,0))+IF(X849&lt;=6,(X849-1)*31+Y849,IF(X849&lt;=11,186+(X849-7)*30+Y849,336+Y849))-1,""))</f>
        <v/>
      </c>
      <c r="AA849" s="7" t="str">
        <f aca="false">IF(H849="","",VALUE(LEFT(H849,FIND("/",H849)-1)))</f>
        <v/>
      </c>
      <c r="AB849" s="7" t="str">
        <f aca="false">IF(H849="","",VALUE(MID(H849,FIND("/",H849)+1,FIND("/",H849,FIND("/",H849)+1)-FIND("/",H849)-1)))</f>
        <v/>
      </c>
      <c r="AC849" s="7" t="str">
        <f aca="false">IF(H849="","",VALUE(MID(H849,FIND("/",H849,FIND("/",H849)+1)+1,LEN(H849)-FIND("/",H849,FIND("/",H849)+1))))</f>
        <v/>
      </c>
      <c r="AD849" s="7" t="str">
        <f aca="false">IF(OR(H849="",AA849=""),"",IFERROR(INDEX('لیست‌ها'!$Q$3:$Q$53,MATCH(AA849,'لیست‌ها'!$P$3:$P$53,0))+IF(AB849&lt;=6,(AB849-1)*31+AC849,IF(AB849&lt;=11,186+(AB849-7)*30+AC849,336+AC849))-1,""))</f>
        <v/>
      </c>
      <c r="AE849" s="7" t="str">
        <f aca="false">IF(P849="","",VALUE(LEFT(P849,FIND("/",P849)-1)))</f>
        <v/>
      </c>
      <c r="AF849" s="7" t="str">
        <f aca="false">IF(P849="","",VALUE(MID(P849,FIND("/",P849)+1,FIND("/",P849,FIND("/",P849)+1)-FIND("/",P849)-1)))</f>
        <v/>
      </c>
      <c r="AG849" s="7" t="str">
        <f aca="false">IF(P849="","",VALUE(MID(P849,FIND("/",P849,FIND("/",P849)+1)+1,LEN(P849)-FIND("/",P849,FIND("/",P849)+1))))</f>
        <v/>
      </c>
      <c r="AH849" s="7" t="str">
        <f aca="false">IF(OR(P849="",AE849=""),"",IFERROR(INDEX('لیست‌ها'!$Q$3:$Q$53,MATCH(AE849,'لیست‌ها'!$P$3:$P$53,0))+IF(AF849&lt;=6,(AF849-1)*31+AG849,IF(AF849&lt;=11,186+(AF849-7)*30+AG849,336+AG849))-1,""))</f>
        <v/>
      </c>
      <c r="AI849" s="7" t="str">
        <f aca="false">IF(W849="","",W849&amp;"-"&amp;TEXT(X849,"00"))</f>
        <v/>
      </c>
      <c r="AJ849" s="7" t="str">
        <f aca="false">IF(W849="","",W849*12+X849)</f>
        <v/>
      </c>
      <c r="AK849" s="7" t="str">
        <f aca="false">IF(U849="تاخیر",V849+ROW()/100000,"")</f>
        <v/>
      </c>
    </row>
    <row r="850" customFormat="false" ht="15" hidden="false" customHeight="false" outlineLevel="0" collapsed="false">
      <c r="A850" s="7" t="str">
        <f aca="false">IF(B850="","",ROW()-3)</f>
        <v/>
      </c>
      <c r="B850" s="8"/>
      <c r="C850" s="8"/>
      <c r="D850" s="8"/>
      <c r="E850" s="9"/>
      <c r="F850" s="9"/>
      <c r="G850" s="8"/>
      <c r="H850" s="8"/>
      <c r="I850" s="8"/>
      <c r="J850" s="9"/>
      <c r="K850" s="8"/>
      <c r="L850" s="8"/>
      <c r="M850" s="8"/>
      <c r="N850" s="8"/>
      <c r="O850" s="8"/>
      <c r="P850" s="8"/>
      <c r="Q850" s="8"/>
      <c r="R850" s="9"/>
      <c r="S850" s="8"/>
      <c r="T850" s="9"/>
      <c r="U850" s="10" t="str">
        <f aca="true">IF(B850="","",IF(OR(P850&lt;&gt;"",I850="می‌باشد"),"بسته",IF(AND(L850&lt;&gt;"",W850=""),"خطای فرمت تاریخ ایجاد",IF(AND(H850&lt;&gt;"",AA850=""),"خطای فرمت مهلت",IF(AND(H850&lt;&gt;"",AD850&lt;&gt;"",TODAY()&gt;AD850),"تاخیر",IF(L850&lt;&gt;"","در حال انجام",""))))))</f>
        <v/>
      </c>
      <c r="V850" s="7" t="n">
        <f aca="true">IF(U850="تاخیر",TODAY()-AD850,IF(AND(U850="بسته",AH850&lt;&gt;"",AD850&lt;&gt;"",AH850&gt;AD850),AH850-AD850,0))</f>
        <v>0</v>
      </c>
      <c r="W850" s="7" t="str">
        <f aca="false">IF(L850="","",VALUE(LEFT(L850,FIND("/",L850)-1)))</f>
        <v/>
      </c>
      <c r="X850" s="7" t="str">
        <f aca="false">IF(L850="","",VALUE(MID(L850,FIND("/",L850)+1,FIND("/",L850,FIND("/",L850)+1)-FIND("/",L850)-1)))</f>
        <v/>
      </c>
      <c r="Y850" s="7" t="str">
        <f aca="false">IF(L850="","",VALUE(MID(L850,FIND("/",L850,FIND("/",L850)+1)+1,LEN(L850)-FIND("/",L850,FIND("/",L850)+1))))</f>
        <v/>
      </c>
      <c r="Z850" s="7" t="str">
        <f aca="false">IF(OR(L850="",W850=""),"",IFERROR(INDEX('لیست‌ها'!$Q$3:$Q$53,MATCH(W850,'لیست‌ها'!$P$3:$P$53,0))+IF(X850&lt;=6,(X850-1)*31+Y850,IF(X850&lt;=11,186+(X850-7)*30+Y850,336+Y850))-1,""))</f>
        <v/>
      </c>
      <c r="AA850" s="7" t="str">
        <f aca="false">IF(H850="","",VALUE(LEFT(H850,FIND("/",H850)-1)))</f>
        <v/>
      </c>
      <c r="AB850" s="7" t="str">
        <f aca="false">IF(H850="","",VALUE(MID(H850,FIND("/",H850)+1,FIND("/",H850,FIND("/",H850)+1)-FIND("/",H850)-1)))</f>
        <v/>
      </c>
      <c r="AC850" s="7" t="str">
        <f aca="false">IF(H850="","",VALUE(MID(H850,FIND("/",H850,FIND("/",H850)+1)+1,LEN(H850)-FIND("/",H850,FIND("/",H850)+1))))</f>
        <v/>
      </c>
      <c r="AD850" s="7" t="str">
        <f aca="false">IF(OR(H850="",AA850=""),"",IFERROR(INDEX('لیست‌ها'!$Q$3:$Q$53,MATCH(AA850,'لیست‌ها'!$P$3:$P$53,0))+IF(AB850&lt;=6,(AB850-1)*31+AC850,IF(AB850&lt;=11,186+(AB850-7)*30+AC850,336+AC850))-1,""))</f>
        <v/>
      </c>
      <c r="AE850" s="7" t="str">
        <f aca="false">IF(P850="","",VALUE(LEFT(P850,FIND("/",P850)-1)))</f>
        <v/>
      </c>
      <c r="AF850" s="7" t="str">
        <f aca="false">IF(P850="","",VALUE(MID(P850,FIND("/",P850)+1,FIND("/",P850,FIND("/",P850)+1)-FIND("/",P850)-1)))</f>
        <v/>
      </c>
      <c r="AG850" s="7" t="str">
        <f aca="false">IF(P850="","",VALUE(MID(P850,FIND("/",P850,FIND("/",P850)+1)+1,LEN(P850)-FIND("/",P850,FIND("/",P850)+1))))</f>
        <v/>
      </c>
      <c r="AH850" s="7" t="str">
        <f aca="false">IF(OR(P850="",AE850=""),"",IFERROR(INDEX('لیست‌ها'!$Q$3:$Q$53,MATCH(AE850,'لیست‌ها'!$P$3:$P$53,0))+IF(AF850&lt;=6,(AF850-1)*31+AG850,IF(AF850&lt;=11,186+(AF850-7)*30+AG850,336+AG850))-1,""))</f>
        <v/>
      </c>
      <c r="AI850" s="7" t="str">
        <f aca="false">IF(W850="","",W850&amp;"-"&amp;TEXT(X850,"00"))</f>
        <v/>
      </c>
      <c r="AJ850" s="7" t="str">
        <f aca="false">IF(W850="","",W850*12+X850)</f>
        <v/>
      </c>
      <c r="AK850" s="7" t="str">
        <f aca="false">IF(U850="تاخیر",V850+ROW()/100000,"")</f>
        <v/>
      </c>
    </row>
    <row r="851" customFormat="false" ht="15" hidden="false" customHeight="false" outlineLevel="0" collapsed="false">
      <c r="A851" s="7" t="str">
        <f aca="false">IF(B851="","",ROW()-3)</f>
        <v/>
      </c>
      <c r="B851" s="8"/>
      <c r="C851" s="8"/>
      <c r="D851" s="8"/>
      <c r="E851" s="9"/>
      <c r="F851" s="9"/>
      <c r="G851" s="8"/>
      <c r="H851" s="8"/>
      <c r="I851" s="8"/>
      <c r="J851" s="9"/>
      <c r="K851" s="8"/>
      <c r="L851" s="8"/>
      <c r="M851" s="8"/>
      <c r="N851" s="8"/>
      <c r="O851" s="8"/>
      <c r="P851" s="8"/>
      <c r="Q851" s="8"/>
      <c r="R851" s="9"/>
      <c r="S851" s="8"/>
      <c r="T851" s="9"/>
      <c r="U851" s="10" t="str">
        <f aca="true">IF(B851="","",IF(OR(P851&lt;&gt;"",I851="می‌باشد"),"بسته",IF(AND(L851&lt;&gt;"",W851=""),"خطای فرمت تاریخ ایجاد",IF(AND(H851&lt;&gt;"",AA851=""),"خطای فرمت مهلت",IF(AND(H851&lt;&gt;"",AD851&lt;&gt;"",TODAY()&gt;AD851),"تاخیر",IF(L851&lt;&gt;"","در حال انجام",""))))))</f>
        <v/>
      </c>
      <c r="V851" s="7" t="n">
        <f aca="true">IF(U851="تاخیر",TODAY()-AD851,IF(AND(U851="بسته",AH851&lt;&gt;"",AD851&lt;&gt;"",AH851&gt;AD851),AH851-AD851,0))</f>
        <v>0</v>
      </c>
      <c r="W851" s="7" t="str">
        <f aca="false">IF(L851="","",VALUE(LEFT(L851,FIND("/",L851)-1)))</f>
        <v/>
      </c>
      <c r="X851" s="7" t="str">
        <f aca="false">IF(L851="","",VALUE(MID(L851,FIND("/",L851)+1,FIND("/",L851,FIND("/",L851)+1)-FIND("/",L851)-1)))</f>
        <v/>
      </c>
      <c r="Y851" s="7" t="str">
        <f aca="false">IF(L851="","",VALUE(MID(L851,FIND("/",L851,FIND("/",L851)+1)+1,LEN(L851)-FIND("/",L851,FIND("/",L851)+1))))</f>
        <v/>
      </c>
      <c r="Z851" s="7" t="str">
        <f aca="false">IF(OR(L851="",W851=""),"",IFERROR(INDEX('لیست‌ها'!$Q$3:$Q$53,MATCH(W851,'لیست‌ها'!$P$3:$P$53,0))+IF(X851&lt;=6,(X851-1)*31+Y851,IF(X851&lt;=11,186+(X851-7)*30+Y851,336+Y851))-1,""))</f>
        <v/>
      </c>
      <c r="AA851" s="7" t="str">
        <f aca="false">IF(H851="","",VALUE(LEFT(H851,FIND("/",H851)-1)))</f>
        <v/>
      </c>
      <c r="AB851" s="7" t="str">
        <f aca="false">IF(H851="","",VALUE(MID(H851,FIND("/",H851)+1,FIND("/",H851,FIND("/",H851)+1)-FIND("/",H851)-1)))</f>
        <v/>
      </c>
      <c r="AC851" s="7" t="str">
        <f aca="false">IF(H851="","",VALUE(MID(H851,FIND("/",H851,FIND("/",H851)+1)+1,LEN(H851)-FIND("/",H851,FIND("/",H851)+1))))</f>
        <v/>
      </c>
      <c r="AD851" s="7" t="str">
        <f aca="false">IF(OR(H851="",AA851=""),"",IFERROR(INDEX('لیست‌ها'!$Q$3:$Q$53,MATCH(AA851,'لیست‌ها'!$P$3:$P$53,0))+IF(AB851&lt;=6,(AB851-1)*31+AC851,IF(AB851&lt;=11,186+(AB851-7)*30+AC851,336+AC851))-1,""))</f>
        <v/>
      </c>
      <c r="AE851" s="7" t="str">
        <f aca="false">IF(P851="","",VALUE(LEFT(P851,FIND("/",P851)-1)))</f>
        <v/>
      </c>
      <c r="AF851" s="7" t="str">
        <f aca="false">IF(P851="","",VALUE(MID(P851,FIND("/",P851)+1,FIND("/",P851,FIND("/",P851)+1)-FIND("/",P851)-1)))</f>
        <v/>
      </c>
      <c r="AG851" s="7" t="str">
        <f aca="false">IF(P851="","",VALUE(MID(P851,FIND("/",P851,FIND("/",P851)+1)+1,LEN(P851)-FIND("/",P851,FIND("/",P851)+1))))</f>
        <v/>
      </c>
      <c r="AH851" s="7" t="str">
        <f aca="false">IF(OR(P851="",AE851=""),"",IFERROR(INDEX('لیست‌ها'!$Q$3:$Q$53,MATCH(AE851,'لیست‌ها'!$P$3:$P$53,0))+IF(AF851&lt;=6,(AF851-1)*31+AG851,IF(AF851&lt;=11,186+(AF851-7)*30+AG851,336+AG851))-1,""))</f>
        <v/>
      </c>
      <c r="AI851" s="7" t="str">
        <f aca="false">IF(W851="","",W851&amp;"-"&amp;TEXT(X851,"00"))</f>
        <v/>
      </c>
      <c r="AJ851" s="7" t="str">
        <f aca="false">IF(W851="","",W851*12+X851)</f>
        <v/>
      </c>
      <c r="AK851" s="7" t="str">
        <f aca="false">IF(U851="تاخیر",V851+ROW()/100000,"")</f>
        <v/>
      </c>
    </row>
    <row r="852" customFormat="false" ht="15" hidden="false" customHeight="false" outlineLevel="0" collapsed="false">
      <c r="A852" s="7" t="str">
        <f aca="false">IF(B852="","",ROW()-3)</f>
        <v/>
      </c>
      <c r="B852" s="8"/>
      <c r="C852" s="8"/>
      <c r="D852" s="8"/>
      <c r="E852" s="9"/>
      <c r="F852" s="9"/>
      <c r="G852" s="8"/>
      <c r="H852" s="8"/>
      <c r="I852" s="8"/>
      <c r="J852" s="9"/>
      <c r="K852" s="8"/>
      <c r="L852" s="8"/>
      <c r="M852" s="8"/>
      <c r="N852" s="8"/>
      <c r="O852" s="8"/>
      <c r="P852" s="8"/>
      <c r="Q852" s="8"/>
      <c r="R852" s="9"/>
      <c r="S852" s="8"/>
      <c r="T852" s="9"/>
      <c r="U852" s="10" t="str">
        <f aca="true">IF(B852="","",IF(OR(P852&lt;&gt;"",I852="می‌باشد"),"بسته",IF(AND(L852&lt;&gt;"",W852=""),"خطای فرمت تاریخ ایجاد",IF(AND(H852&lt;&gt;"",AA852=""),"خطای فرمت مهلت",IF(AND(H852&lt;&gt;"",AD852&lt;&gt;"",TODAY()&gt;AD852),"تاخیر",IF(L852&lt;&gt;"","در حال انجام",""))))))</f>
        <v/>
      </c>
      <c r="V852" s="7" t="n">
        <f aca="true">IF(U852="تاخیر",TODAY()-AD852,IF(AND(U852="بسته",AH852&lt;&gt;"",AD852&lt;&gt;"",AH852&gt;AD852),AH852-AD852,0))</f>
        <v>0</v>
      </c>
      <c r="W852" s="7" t="str">
        <f aca="false">IF(L852="","",VALUE(LEFT(L852,FIND("/",L852)-1)))</f>
        <v/>
      </c>
      <c r="X852" s="7" t="str">
        <f aca="false">IF(L852="","",VALUE(MID(L852,FIND("/",L852)+1,FIND("/",L852,FIND("/",L852)+1)-FIND("/",L852)-1)))</f>
        <v/>
      </c>
      <c r="Y852" s="7" t="str">
        <f aca="false">IF(L852="","",VALUE(MID(L852,FIND("/",L852,FIND("/",L852)+1)+1,LEN(L852)-FIND("/",L852,FIND("/",L852)+1))))</f>
        <v/>
      </c>
      <c r="Z852" s="7" t="str">
        <f aca="false">IF(OR(L852="",W852=""),"",IFERROR(INDEX('لیست‌ها'!$Q$3:$Q$53,MATCH(W852,'لیست‌ها'!$P$3:$P$53,0))+IF(X852&lt;=6,(X852-1)*31+Y852,IF(X852&lt;=11,186+(X852-7)*30+Y852,336+Y852))-1,""))</f>
        <v/>
      </c>
      <c r="AA852" s="7" t="str">
        <f aca="false">IF(H852="","",VALUE(LEFT(H852,FIND("/",H852)-1)))</f>
        <v/>
      </c>
      <c r="AB852" s="7" t="str">
        <f aca="false">IF(H852="","",VALUE(MID(H852,FIND("/",H852)+1,FIND("/",H852,FIND("/",H852)+1)-FIND("/",H852)-1)))</f>
        <v/>
      </c>
      <c r="AC852" s="7" t="str">
        <f aca="false">IF(H852="","",VALUE(MID(H852,FIND("/",H852,FIND("/",H852)+1)+1,LEN(H852)-FIND("/",H852,FIND("/",H852)+1))))</f>
        <v/>
      </c>
      <c r="AD852" s="7" t="str">
        <f aca="false">IF(OR(H852="",AA852=""),"",IFERROR(INDEX('لیست‌ها'!$Q$3:$Q$53,MATCH(AA852,'لیست‌ها'!$P$3:$P$53,0))+IF(AB852&lt;=6,(AB852-1)*31+AC852,IF(AB852&lt;=11,186+(AB852-7)*30+AC852,336+AC852))-1,""))</f>
        <v/>
      </c>
      <c r="AE852" s="7" t="str">
        <f aca="false">IF(P852="","",VALUE(LEFT(P852,FIND("/",P852)-1)))</f>
        <v/>
      </c>
      <c r="AF852" s="7" t="str">
        <f aca="false">IF(P852="","",VALUE(MID(P852,FIND("/",P852)+1,FIND("/",P852,FIND("/",P852)+1)-FIND("/",P852)-1)))</f>
        <v/>
      </c>
      <c r="AG852" s="7" t="str">
        <f aca="false">IF(P852="","",VALUE(MID(P852,FIND("/",P852,FIND("/",P852)+1)+1,LEN(P852)-FIND("/",P852,FIND("/",P852)+1))))</f>
        <v/>
      </c>
      <c r="AH852" s="7" t="str">
        <f aca="false">IF(OR(P852="",AE852=""),"",IFERROR(INDEX('لیست‌ها'!$Q$3:$Q$53,MATCH(AE852,'لیست‌ها'!$P$3:$P$53,0))+IF(AF852&lt;=6,(AF852-1)*31+AG852,IF(AF852&lt;=11,186+(AF852-7)*30+AG852,336+AG852))-1,""))</f>
        <v/>
      </c>
      <c r="AI852" s="7" t="str">
        <f aca="false">IF(W852="","",W852&amp;"-"&amp;TEXT(X852,"00"))</f>
        <v/>
      </c>
      <c r="AJ852" s="7" t="str">
        <f aca="false">IF(W852="","",W852*12+X852)</f>
        <v/>
      </c>
      <c r="AK852" s="7" t="str">
        <f aca="false">IF(U852="تاخیر",V852+ROW()/100000,"")</f>
        <v/>
      </c>
    </row>
    <row r="853" customFormat="false" ht="15" hidden="false" customHeight="false" outlineLevel="0" collapsed="false">
      <c r="A853" s="7" t="str">
        <f aca="false">IF(B853="","",ROW()-3)</f>
        <v/>
      </c>
      <c r="B853" s="8"/>
      <c r="C853" s="8"/>
      <c r="D853" s="8"/>
      <c r="E853" s="9"/>
      <c r="F853" s="9"/>
      <c r="G853" s="8"/>
      <c r="H853" s="8"/>
      <c r="I853" s="8"/>
      <c r="J853" s="9"/>
      <c r="K853" s="8"/>
      <c r="L853" s="8"/>
      <c r="M853" s="8"/>
      <c r="N853" s="8"/>
      <c r="O853" s="8"/>
      <c r="P853" s="8"/>
      <c r="Q853" s="8"/>
      <c r="R853" s="9"/>
      <c r="S853" s="8"/>
      <c r="T853" s="9"/>
      <c r="U853" s="10" t="str">
        <f aca="true">IF(B853="","",IF(OR(P853&lt;&gt;"",I853="می‌باشد"),"بسته",IF(AND(L853&lt;&gt;"",W853=""),"خطای فرمت تاریخ ایجاد",IF(AND(H853&lt;&gt;"",AA853=""),"خطای فرمت مهلت",IF(AND(H853&lt;&gt;"",AD853&lt;&gt;"",TODAY()&gt;AD853),"تاخیر",IF(L853&lt;&gt;"","در حال انجام",""))))))</f>
        <v/>
      </c>
      <c r="V853" s="7" t="n">
        <f aca="true">IF(U853="تاخیر",TODAY()-AD853,IF(AND(U853="بسته",AH853&lt;&gt;"",AD853&lt;&gt;"",AH853&gt;AD853),AH853-AD853,0))</f>
        <v>0</v>
      </c>
      <c r="W853" s="7" t="str">
        <f aca="false">IF(L853="","",VALUE(LEFT(L853,FIND("/",L853)-1)))</f>
        <v/>
      </c>
      <c r="X853" s="7" t="str">
        <f aca="false">IF(L853="","",VALUE(MID(L853,FIND("/",L853)+1,FIND("/",L853,FIND("/",L853)+1)-FIND("/",L853)-1)))</f>
        <v/>
      </c>
      <c r="Y853" s="7" t="str">
        <f aca="false">IF(L853="","",VALUE(MID(L853,FIND("/",L853,FIND("/",L853)+1)+1,LEN(L853)-FIND("/",L853,FIND("/",L853)+1))))</f>
        <v/>
      </c>
      <c r="Z853" s="7" t="str">
        <f aca="false">IF(OR(L853="",W853=""),"",IFERROR(INDEX('لیست‌ها'!$Q$3:$Q$53,MATCH(W853,'لیست‌ها'!$P$3:$P$53,0))+IF(X853&lt;=6,(X853-1)*31+Y853,IF(X853&lt;=11,186+(X853-7)*30+Y853,336+Y853))-1,""))</f>
        <v/>
      </c>
      <c r="AA853" s="7" t="str">
        <f aca="false">IF(H853="","",VALUE(LEFT(H853,FIND("/",H853)-1)))</f>
        <v/>
      </c>
      <c r="AB853" s="7" t="str">
        <f aca="false">IF(H853="","",VALUE(MID(H853,FIND("/",H853)+1,FIND("/",H853,FIND("/",H853)+1)-FIND("/",H853)-1)))</f>
        <v/>
      </c>
      <c r="AC853" s="7" t="str">
        <f aca="false">IF(H853="","",VALUE(MID(H853,FIND("/",H853,FIND("/",H853)+1)+1,LEN(H853)-FIND("/",H853,FIND("/",H853)+1))))</f>
        <v/>
      </c>
      <c r="AD853" s="7" t="str">
        <f aca="false">IF(OR(H853="",AA853=""),"",IFERROR(INDEX('لیست‌ها'!$Q$3:$Q$53,MATCH(AA853,'لیست‌ها'!$P$3:$P$53,0))+IF(AB853&lt;=6,(AB853-1)*31+AC853,IF(AB853&lt;=11,186+(AB853-7)*30+AC853,336+AC853))-1,""))</f>
        <v/>
      </c>
      <c r="AE853" s="7" t="str">
        <f aca="false">IF(P853="","",VALUE(LEFT(P853,FIND("/",P853)-1)))</f>
        <v/>
      </c>
      <c r="AF853" s="7" t="str">
        <f aca="false">IF(P853="","",VALUE(MID(P853,FIND("/",P853)+1,FIND("/",P853,FIND("/",P853)+1)-FIND("/",P853)-1)))</f>
        <v/>
      </c>
      <c r="AG853" s="7" t="str">
        <f aca="false">IF(P853="","",VALUE(MID(P853,FIND("/",P853,FIND("/",P853)+1)+1,LEN(P853)-FIND("/",P853,FIND("/",P853)+1))))</f>
        <v/>
      </c>
      <c r="AH853" s="7" t="str">
        <f aca="false">IF(OR(P853="",AE853=""),"",IFERROR(INDEX('لیست‌ها'!$Q$3:$Q$53,MATCH(AE853,'لیست‌ها'!$P$3:$P$53,0))+IF(AF853&lt;=6,(AF853-1)*31+AG853,IF(AF853&lt;=11,186+(AF853-7)*30+AG853,336+AG853))-1,""))</f>
        <v/>
      </c>
      <c r="AI853" s="7" t="str">
        <f aca="false">IF(W853="","",W853&amp;"-"&amp;TEXT(X853,"00"))</f>
        <v/>
      </c>
      <c r="AJ853" s="7" t="str">
        <f aca="false">IF(W853="","",W853*12+X853)</f>
        <v/>
      </c>
      <c r="AK853" s="7" t="str">
        <f aca="false">IF(U853="تاخیر",V853+ROW()/100000,"")</f>
        <v/>
      </c>
    </row>
    <row r="854" customFormat="false" ht="15" hidden="false" customHeight="false" outlineLevel="0" collapsed="false">
      <c r="A854" s="7" t="str">
        <f aca="false">IF(B854="","",ROW()-3)</f>
        <v/>
      </c>
      <c r="B854" s="8"/>
      <c r="C854" s="8"/>
      <c r="D854" s="8"/>
      <c r="E854" s="9"/>
      <c r="F854" s="9"/>
      <c r="G854" s="8"/>
      <c r="H854" s="8"/>
      <c r="I854" s="8"/>
      <c r="J854" s="9"/>
      <c r="K854" s="8"/>
      <c r="L854" s="8"/>
      <c r="M854" s="8"/>
      <c r="N854" s="8"/>
      <c r="O854" s="8"/>
      <c r="P854" s="8"/>
      <c r="Q854" s="8"/>
      <c r="R854" s="9"/>
      <c r="S854" s="8"/>
      <c r="T854" s="9"/>
      <c r="U854" s="10" t="str">
        <f aca="true">IF(B854="","",IF(OR(P854&lt;&gt;"",I854="می‌باشد"),"بسته",IF(AND(L854&lt;&gt;"",W854=""),"خطای فرمت تاریخ ایجاد",IF(AND(H854&lt;&gt;"",AA854=""),"خطای فرمت مهلت",IF(AND(H854&lt;&gt;"",AD854&lt;&gt;"",TODAY()&gt;AD854),"تاخیر",IF(L854&lt;&gt;"","در حال انجام",""))))))</f>
        <v/>
      </c>
      <c r="V854" s="7" t="n">
        <f aca="true">IF(U854="تاخیر",TODAY()-AD854,IF(AND(U854="بسته",AH854&lt;&gt;"",AD854&lt;&gt;"",AH854&gt;AD854),AH854-AD854,0))</f>
        <v>0</v>
      </c>
      <c r="W854" s="7" t="str">
        <f aca="false">IF(L854="","",VALUE(LEFT(L854,FIND("/",L854)-1)))</f>
        <v/>
      </c>
      <c r="X854" s="7" t="str">
        <f aca="false">IF(L854="","",VALUE(MID(L854,FIND("/",L854)+1,FIND("/",L854,FIND("/",L854)+1)-FIND("/",L854)-1)))</f>
        <v/>
      </c>
      <c r="Y854" s="7" t="str">
        <f aca="false">IF(L854="","",VALUE(MID(L854,FIND("/",L854,FIND("/",L854)+1)+1,LEN(L854)-FIND("/",L854,FIND("/",L854)+1))))</f>
        <v/>
      </c>
      <c r="Z854" s="7" t="str">
        <f aca="false">IF(OR(L854="",W854=""),"",IFERROR(INDEX('لیست‌ها'!$Q$3:$Q$53,MATCH(W854,'لیست‌ها'!$P$3:$P$53,0))+IF(X854&lt;=6,(X854-1)*31+Y854,IF(X854&lt;=11,186+(X854-7)*30+Y854,336+Y854))-1,""))</f>
        <v/>
      </c>
      <c r="AA854" s="7" t="str">
        <f aca="false">IF(H854="","",VALUE(LEFT(H854,FIND("/",H854)-1)))</f>
        <v/>
      </c>
      <c r="AB854" s="7" t="str">
        <f aca="false">IF(H854="","",VALUE(MID(H854,FIND("/",H854)+1,FIND("/",H854,FIND("/",H854)+1)-FIND("/",H854)-1)))</f>
        <v/>
      </c>
      <c r="AC854" s="7" t="str">
        <f aca="false">IF(H854="","",VALUE(MID(H854,FIND("/",H854,FIND("/",H854)+1)+1,LEN(H854)-FIND("/",H854,FIND("/",H854)+1))))</f>
        <v/>
      </c>
      <c r="AD854" s="7" t="str">
        <f aca="false">IF(OR(H854="",AA854=""),"",IFERROR(INDEX('لیست‌ها'!$Q$3:$Q$53,MATCH(AA854,'لیست‌ها'!$P$3:$P$53,0))+IF(AB854&lt;=6,(AB854-1)*31+AC854,IF(AB854&lt;=11,186+(AB854-7)*30+AC854,336+AC854))-1,""))</f>
        <v/>
      </c>
      <c r="AE854" s="7" t="str">
        <f aca="false">IF(P854="","",VALUE(LEFT(P854,FIND("/",P854)-1)))</f>
        <v/>
      </c>
      <c r="AF854" s="7" t="str">
        <f aca="false">IF(P854="","",VALUE(MID(P854,FIND("/",P854)+1,FIND("/",P854,FIND("/",P854)+1)-FIND("/",P854)-1)))</f>
        <v/>
      </c>
      <c r="AG854" s="7" t="str">
        <f aca="false">IF(P854="","",VALUE(MID(P854,FIND("/",P854,FIND("/",P854)+1)+1,LEN(P854)-FIND("/",P854,FIND("/",P854)+1))))</f>
        <v/>
      </c>
      <c r="AH854" s="7" t="str">
        <f aca="false">IF(OR(P854="",AE854=""),"",IFERROR(INDEX('لیست‌ها'!$Q$3:$Q$53,MATCH(AE854,'لیست‌ها'!$P$3:$P$53,0))+IF(AF854&lt;=6,(AF854-1)*31+AG854,IF(AF854&lt;=11,186+(AF854-7)*30+AG854,336+AG854))-1,""))</f>
        <v/>
      </c>
      <c r="AI854" s="7" t="str">
        <f aca="false">IF(W854="","",W854&amp;"-"&amp;TEXT(X854,"00"))</f>
        <v/>
      </c>
      <c r="AJ854" s="7" t="str">
        <f aca="false">IF(W854="","",W854*12+X854)</f>
        <v/>
      </c>
      <c r="AK854" s="7" t="str">
        <f aca="false">IF(U854="تاخیر",V854+ROW()/100000,"")</f>
        <v/>
      </c>
    </row>
    <row r="855" customFormat="false" ht="15" hidden="false" customHeight="false" outlineLevel="0" collapsed="false">
      <c r="A855" s="7" t="str">
        <f aca="false">IF(B855="","",ROW()-3)</f>
        <v/>
      </c>
      <c r="B855" s="8"/>
      <c r="C855" s="8"/>
      <c r="D855" s="8"/>
      <c r="E855" s="9"/>
      <c r="F855" s="9"/>
      <c r="G855" s="8"/>
      <c r="H855" s="8"/>
      <c r="I855" s="8"/>
      <c r="J855" s="9"/>
      <c r="K855" s="8"/>
      <c r="L855" s="8"/>
      <c r="M855" s="8"/>
      <c r="N855" s="8"/>
      <c r="O855" s="8"/>
      <c r="P855" s="8"/>
      <c r="Q855" s="8"/>
      <c r="R855" s="9"/>
      <c r="S855" s="8"/>
      <c r="T855" s="9"/>
      <c r="U855" s="10" t="str">
        <f aca="true">IF(B855="","",IF(OR(P855&lt;&gt;"",I855="می‌باشد"),"بسته",IF(AND(L855&lt;&gt;"",W855=""),"خطای فرمت تاریخ ایجاد",IF(AND(H855&lt;&gt;"",AA855=""),"خطای فرمت مهلت",IF(AND(H855&lt;&gt;"",AD855&lt;&gt;"",TODAY()&gt;AD855),"تاخیر",IF(L855&lt;&gt;"","در حال انجام",""))))))</f>
        <v/>
      </c>
      <c r="V855" s="7" t="n">
        <f aca="true">IF(U855="تاخیر",TODAY()-AD855,IF(AND(U855="بسته",AH855&lt;&gt;"",AD855&lt;&gt;"",AH855&gt;AD855),AH855-AD855,0))</f>
        <v>0</v>
      </c>
      <c r="W855" s="7" t="str">
        <f aca="false">IF(L855="","",VALUE(LEFT(L855,FIND("/",L855)-1)))</f>
        <v/>
      </c>
      <c r="X855" s="7" t="str">
        <f aca="false">IF(L855="","",VALUE(MID(L855,FIND("/",L855)+1,FIND("/",L855,FIND("/",L855)+1)-FIND("/",L855)-1)))</f>
        <v/>
      </c>
      <c r="Y855" s="7" t="str">
        <f aca="false">IF(L855="","",VALUE(MID(L855,FIND("/",L855,FIND("/",L855)+1)+1,LEN(L855)-FIND("/",L855,FIND("/",L855)+1))))</f>
        <v/>
      </c>
      <c r="Z855" s="7" t="str">
        <f aca="false">IF(OR(L855="",W855=""),"",IFERROR(INDEX('لیست‌ها'!$Q$3:$Q$53,MATCH(W855,'لیست‌ها'!$P$3:$P$53,0))+IF(X855&lt;=6,(X855-1)*31+Y855,IF(X855&lt;=11,186+(X855-7)*30+Y855,336+Y855))-1,""))</f>
        <v/>
      </c>
      <c r="AA855" s="7" t="str">
        <f aca="false">IF(H855="","",VALUE(LEFT(H855,FIND("/",H855)-1)))</f>
        <v/>
      </c>
      <c r="AB855" s="7" t="str">
        <f aca="false">IF(H855="","",VALUE(MID(H855,FIND("/",H855)+1,FIND("/",H855,FIND("/",H855)+1)-FIND("/",H855)-1)))</f>
        <v/>
      </c>
      <c r="AC855" s="7" t="str">
        <f aca="false">IF(H855="","",VALUE(MID(H855,FIND("/",H855,FIND("/",H855)+1)+1,LEN(H855)-FIND("/",H855,FIND("/",H855)+1))))</f>
        <v/>
      </c>
      <c r="AD855" s="7" t="str">
        <f aca="false">IF(OR(H855="",AA855=""),"",IFERROR(INDEX('لیست‌ها'!$Q$3:$Q$53,MATCH(AA855,'لیست‌ها'!$P$3:$P$53,0))+IF(AB855&lt;=6,(AB855-1)*31+AC855,IF(AB855&lt;=11,186+(AB855-7)*30+AC855,336+AC855))-1,""))</f>
        <v/>
      </c>
      <c r="AE855" s="7" t="str">
        <f aca="false">IF(P855="","",VALUE(LEFT(P855,FIND("/",P855)-1)))</f>
        <v/>
      </c>
      <c r="AF855" s="7" t="str">
        <f aca="false">IF(P855="","",VALUE(MID(P855,FIND("/",P855)+1,FIND("/",P855,FIND("/",P855)+1)-FIND("/",P855)-1)))</f>
        <v/>
      </c>
      <c r="AG855" s="7" t="str">
        <f aca="false">IF(P855="","",VALUE(MID(P855,FIND("/",P855,FIND("/",P855)+1)+1,LEN(P855)-FIND("/",P855,FIND("/",P855)+1))))</f>
        <v/>
      </c>
      <c r="AH855" s="7" t="str">
        <f aca="false">IF(OR(P855="",AE855=""),"",IFERROR(INDEX('لیست‌ها'!$Q$3:$Q$53,MATCH(AE855,'لیست‌ها'!$P$3:$P$53,0))+IF(AF855&lt;=6,(AF855-1)*31+AG855,IF(AF855&lt;=11,186+(AF855-7)*30+AG855,336+AG855))-1,""))</f>
        <v/>
      </c>
      <c r="AI855" s="7" t="str">
        <f aca="false">IF(W855="","",W855&amp;"-"&amp;TEXT(X855,"00"))</f>
        <v/>
      </c>
      <c r="AJ855" s="7" t="str">
        <f aca="false">IF(W855="","",W855*12+X855)</f>
        <v/>
      </c>
      <c r="AK855" s="7" t="str">
        <f aca="false">IF(U855="تاخیر",V855+ROW()/100000,"")</f>
        <v/>
      </c>
    </row>
    <row r="856" customFormat="false" ht="15" hidden="false" customHeight="false" outlineLevel="0" collapsed="false">
      <c r="A856" s="7" t="str">
        <f aca="false">IF(B856="","",ROW()-3)</f>
        <v/>
      </c>
      <c r="B856" s="8"/>
      <c r="C856" s="8"/>
      <c r="D856" s="8"/>
      <c r="E856" s="9"/>
      <c r="F856" s="9"/>
      <c r="G856" s="8"/>
      <c r="H856" s="8"/>
      <c r="I856" s="8"/>
      <c r="J856" s="9"/>
      <c r="K856" s="8"/>
      <c r="L856" s="8"/>
      <c r="M856" s="8"/>
      <c r="N856" s="8"/>
      <c r="O856" s="8"/>
      <c r="P856" s="8"/>
      <c r="Q856" s="8"/>
      <c r="R856" s="9"/>
      <c r="S856" s="8"/>
      <c r="T856" s="9"/>
      <c r="U856" s="10" t="str">
        <f aca="true">IF(B856="","",IF(OR(P856&lt;&gt;"",I856="می‌باشد"),"بسته",IF(AND(L856&lt;&gt;"",W856=""),"خطای فرمت تاریخ ایجاد",IF(AND(H856&lt;&gt;"",AA856=""),"خطای فرمت مهلت",IF(AND(H856&lt;&gt;"",AD856&lt;&gt;"",TODAY()&gt;AD856),"تاخیر",IF(L856&lt;&gt;"","در حال انجام",""))))))</f>
        <v/>
      </c>
      <c r="V856" s="7" t="n">
        <f aca="true">IF(U856="تاخیر",TODAY()-AD856,IF(AND(U856="بسته",AH856&lt;&gt;"",AD856&lt;&gt;"",AH856&gt;AD856),AH856-AD856,0))</f>
        <v>0</v>
      </c>
      <c r="W856" s="7" t="str">
        <f aca="false">IF(L856="","",VALUE(LEFT(L856,FIND("/",L856)-1)))</f>
        <v/>
      </c>
      <c r="X856" s="7" t="str">
        <f aca="false">IF(L856="","",VALUE(MID(L856,FIND("/",L856)+1,FIND("/",L856,FIND("/",L856)+1)-FIND("/",L856)-1)))</f>
        <v/>
      </c>
      <c r="Y856" s="7" t="str">
        <f aca="false">IF(L856="","",VALUE(MID(L856,FIND("/",L856,FIND("/",L856)+1)+1,LEN(L856)-FIND("/",L856,FIND("/",L856)+1))))</f>
        <v/>
      </c>
      <c r="Z856" s="7" t="str">
        <f aca="false">IF(OR(L856="",W856=""),"",IFERROR(INDEX('لیست‌ها'!$Q$3:$Q$53,MATCH(W856,'لیست‌ها'!$P$3:$P$53,0))+IF(X856&lt;=6,(X856-1)*31+Y856,IF(X856&lt;=11,186+(X856-7)*30+Y856,336+Y856))-1,""))</f>
        <v/>
      </c>
      <c r="AA856" s="7" t="str">
        <f aca="false">IF(H856="","",VALUE(LEFT(H856,FIND("/",H856)-1)))</f>
        <v/>
      </c>
      <c r="AB856" s="7" t="str">
        <f aca="false">IF(H856="","",VALUE(MID(H856,FIND("/",H856)+1,FIND("/",H856,FIND("/",H856)+1)-FIND("/",H856)-1)))</f>
        <v/>
      </c>
      <c r="AC856" s="7" t="str">
        <f aca="false">IF(H856="","",VALUE(MID(H856,FIND("/",H856,FIND("/",H856)+1)+1,LEN(H856)-FIND("/",H856,FIND("/",H856)+1))))</f>
        <v/>
      </c>
      <c r="AD856" s="7" t="str">
        <f aca="false">IF(OR(H856="",AA856=""),"",IFERROR(INDEX('لیست‌ها'!$Q$3:$Q$53,MATCH(AA856,'لیست‌ها'!$P$3:$P$53,0))+IF(AB856&lt;=6,(AB856-1)*31+AC856,IF(AB856&lt;=11,186+(AB856-7)*30+AC856,336+AC856))-1,""))</f>
        <v/>
      </c>
      <c r="AE856" s="7" t="str">
        <f aca="false">IF(P856="","",VALUE(LEFT(P856,FIND("/",P856)-1)))</f>
        <v/>
      </c>
      <c r="AF856" s="7" t="str">
        <f aca="false">IF(P856="","",VALUE(MID(P856,FIND("/",P856)+1,FIND("/",P856,FIND("/",P856)+1)-FIND("/",P856)-1)))</f>
        <v/>
      </c>
      <c r="AG856" s="7" t="str">
        <f aca="false">IF(P856="","",VALUE(MID(P856,FIND("/",P856,FIND("/",P856)+1)+1,LEN(P856)-FIND("/",P856,FIND("/",P856)+1))))</f>
        <v/>
      </c>
      <c r="AH856" s="7" t="str">
        <f aca="false">IF(OR(P856="",AE856=""),"",IFERROR(INDEX('لیست‌ها'!$Q$3:$Q$53,MATCH(AE856,'لیست‌ها'!$P$3:$P$53,0))+IF(AF856&lt;=6,(AF856-1)*31+AG856,IF(AF856&lt;=11,186+(AF856-7)*30+AG856,336+AG856))-1,""))</f>
        <v/>
      </c>
      <c r="AI856" s="7" t="str">
        <f aca="false">IF(W856="","",W856&amp;"-"&amp;TEXT(X856,"00"))</f>
        <v/>
      </c>
      <c r="AJ856" s="7" t="str">
        <f aca="false">IF(W856="","",W856*12+X856)</f>
        <v/>
      </c>
      <c r="AK856" s="7" t="str">
        <f aca="false">IF(U856="تاخیر",V856+ROW()/100000,"")</f>
        <v/>
      </c>
    </row>
    <row r="857" customFormat="false" ht="15" hidden="false" customHeight="false" outlineLevel="0" collapsed="false">
      <c r="A857" s="7" t="str">
        <f aca="false">IF(B857="","",ROW()-3)</f>
        <v/>
      </c>
      <c r="B857" s="8"/>
      <c r="C857" s="8"/>
      <c r="D857" s="8"/>
      <c r="E857" s="9"/>
      <c r="F857" s="9"/>
      <c r="G857" s="8"/>
      <c r="H857" s="8"/>
      <c r="I857" s="8"/>
      <c r="J857" s="9"/>
      <c r="K857" s="8"/>
      <c r="L857" s="8"/>
      <c r="M857" s="8"/>
      <c r="N857" s="8"/>
      <c r="O857" s="8"/>
      <c r="P857" s="8"/>
      <c r="Q857" s="8"/>
      <c r="R857" s="9"/>
      <c r="S857" s="8"/>
      <c r="T857" s="9"/>
      <c r="U857" s="10" t="str">
        <f aca="true">IF(B857="","",IF(OR(P857&lt;&gt;"",I857="می‌باشد"),"بسته",IF(AND(L857&lt;&gt;"",W857=""),"خطای فرمت تاریخ ایجاد",IF(AND(H857&lt;&gt;"",AA857=""),"خطای فرمت مهلت",IF(AND(H857&lt;&gt;"",AD857&lt;&gt;"",TODAY()&gt;AD857),"تاخیر",IF(L857&lt;&gt;"","در حال انجام",""))))))</f>
        <v/>
      </c>
      <c r="V857" s="7" t="n">
        <f aca="true">IF(U857="تاخیر",TODAY()-AD857,IF(AND(U857="بسته",AH857&lt;&gt;"",AD857&lt;&gt;"",AH857&gt;AD857),AH857-AD857,0))</f>
        <v>0</v>
      </c>
      <c r="W857" s="7" t="str">
        <f aca="false">IF(L857="","",VALUE(LEFT(L857,FIND("/",L857)-1)))</f>
        <v/>
      </c>
      <c r="X857" s="7" t="str">
        <f aca="false">IF(L857="","",VALUE(MID(L857,FIND("/",L857)+1,FIND("/",L857,FIND("/",L857)+1)-FIND("/",L857)-1)))</f>
        <v/>
      </c>
      <c r="Y857" s="7" t="str">
        <f aca="false">IF(L857="","",VALUE(MID(L857,FIND("/",L857,FIND("/",L857)+1)+1,LEN(L857)-FIND("/",L857,FIND("/",L857)+1))))</f>
        <v/>
      </c>
      <c r="Z857" s="7" t="str">
        <f aca="false">IF(OR(L857="",W857=""),"",IFERROR(INDEX('لیست‌ها'!$Q$3:$Q$53,MATCH(W857,'لیست‌ها'!$P$3:$P$53,0))+IF(X857&lt;=6,(X857-1)*31+Y857,IF(X857&lt;=11,186+(X857-7)*30+Y857,336+Y857))-1,""))</f>
        <v/>
      </c>
      <c r="AA857" s="7" t="str">
        <f aca="false">IF(H857="","",VALUE(LEFT(H857,FIND("/",H857)-1)))</f>
        <v/>
      </c>
      <c r="AB857" s="7" t="str">
        <f aca="false">IF(H857="","",VALUE(MID(H857,FIND("/",H857)+1,FIND("/",H857,FIND("/",H857)+1)-FIND("/",H857)-1)))</f>
        <v/>
      </c>
      <c r="AC857" s="7" t="str">
        <f aca="false">IF(H857="","",VALUE(MID(H857,FIND("/",H857,FIND("/",H857)+1)+1,LEN(H857)-FIND("/",H857,FIND("/",H857)+1))))</f>
        <v/>
      </c>
      <c r="AD857" s="7" t="str">
        <f aca="false">IF(OR(H857="",AA857=""),"",IFERROR(INDEX('لیست‌ها'!$Q$3:$Q$53,MATCH(AA857,'لیست‌ها'!$P$3:$P$53,0))+IF(AB857&lt;=6,(AB857-1)*31+AC857,IF(AB857&lt;=11,186+(AB857-7)*30+AC857,336+AC857))-1,""))</f>
        <v/>
      </c>
      <c r="AE857" s="7" t="str">
        <f aca="false">IF(P857="","",VALUE(LEFT(P857,FIND("/",P857)-1)))</f>
        <v/>
      </c>
      <c r="AF857" s="7" t="str">
        <f aca="false">IF(P857="","",VALUE(MID(P857,FIND("/",P857)+1,FIND("/",P857,FIND("/",P857)+1)-FIND("/",P857)-1)))</f>
        <v/>
      </c>
      <c r="AG857" s="7" t="str">
        <f aca="false">IF(P857="","",VALUE(MID(P857,FIND("/",P857,FIND("/",P857)+1)+1,LEN(P857)-FIND("/",P857,FIND("/",P857)+1))))</f>
        <v/>
      </c>
      <c r="AH857" s="7" t="str">
        <f aca="false">IF(OR(P857="",AE857=""),"",IFERROR(INDEX('لیست‌ها'!$Q$3:$Q$53,MATCH(AE857,'لیست‌ها'!$P$3:$P$53,0))+IF(AF857&lt;=6,(AF857-1)*31+AG857,IF(AF857&lt;=11,186+(AF857-7)*30+AG857,336+AG857))-1,""))</f>
        <v/>
      </c>
      <c r="AI857" s="7" t="str">
        <f aca="false">IF(W857="","",W857&amp;"-"&amp;TEXT(X857,"00"))</f>
        <v/>
      </c>
      <c r="AJ857" s="7" t="str">
        <f aca="false">IF(W857="","",W857*12+X857)</f>
        <v/>
      </c>
      <c r="AK857" s="7" t="str">
        <f aca="false">IF(U857="تاخیر",V857+ROW()/100000,"")</f>
        <v/>
      </c>
    </row>
    <row r="858" customFormat="false" ht="15" hidden="false" customHeight="false" outlineLevel="0" collapsed="false">
      <c r="A858" s="7" t="str">
        <f aca="false">IF(B858="","",ROW()-3)</f>
        <v/>
      </c>
      <c r="B858" s="8"/>
      <c r="C858" s="8"/>
      <c r="D858" s="8"/>
      <c r="E858" s="9"/>
      <c r="F858" s="9"/>
      <c r="G858" s="8"/>
      <c r="H858" s="8"/>
      <c r="I858" s="8"/>
      <c r="J858" s="9"/>
      <c r="K858" s="8"/>
      <c r="L858" s="8"/>
      <c r="M858" s="8"/>
      <c r="N858" s="8"/>
      <c r="O858" s="8"/>
      <c r="P858" s="8"/>
      <c r="Q858" s="8"/>
      <c r="R858" s="9"/>
      <c r="S858" s="8"/>
      <c r="T858" s="9"/>
      <c r="U858" s="10" t="str">
        <f aca="true">IF(B858="","",IF(OR(P858&lt;&gt;"",I858="می‌باشد"),"بسته",IF(AND(L858&lt;&gt;"",W858=""),"خطای فرمت تاریخ ایجاد",IF(AND(H858&lt;&gt;"",AA858=""),"خطای فرمت مهلت",IF(AND(H858&lt;&gt;"",AD858&lt;&gt;"",TODAY()&gt;AD858),"تاخیر",IF(L858&lt;&gt;"","در حال انجام",""))))))</f>
        <v/>
      </c>
      <c r="V858" s="7" t="n">
        <f aca="true">IF(U858="تاخیر",TODAY()-AD858,IF(AND(U858="بسته",AH858&lt;&gt;"",AD858&lt;&gt;"",AH858&gt;AD858),AH858-AD858,0))</f>
        <v>0</v>
      </c>
      <c r="W858" s="7" t="str">
        <f aca="false">IF(L858="","",VALUE(LEFT(L858,FIND("/",L858)-1)))</f>
        <v/>
      </c>
      <c r="X858" s="7" t="str">
        <f aca="false">IF(L858="","",VALUE(MID(L858,FIND("/",L858)+1,FIND("/",L858,FIND("/",L858)+1)-FIND("/",L858)-1)))</f>
        <v/>
      </c>
      <c r="Y858" s="7" t="str">
        <f aca="false">IF(L858="","",VALUE(MID(L858,FIND("/",L858,FIND("/",L858)+1)+1,LEN(L858)-FIND("/",L858,FIND("/",L858)+1))))</f>
        <v/>
      </c>
      <c r="Z858" s="7" t="str">
        <f aca="false">IF(OR(L858="",W858=""),"",IFERROR(INDEX('لیست‌ها'!$Q$3:$Q$53,MATCH(W858,'لیست‌ها'!$P$3:$P$53,0))+IF(X858&lt;=6,(X858-1)*31+Y858,IF(X858&lt;=11,186+(X858-7)*30+Y858,336+Y858))-1,""))</f>
        <v/>
      </c>
      <c r="AA858" s="7" t="str">
        <f aca="false">IF(H858="","",VALUE(LEFT(H858,FIND("/",H858)-1)))</f>
        <v/>
      </c>
      <c r="AB858" s="7" t="str">
        <f aca="false">IF(H858="","",VALUE(MID(H858,FIND("/",H858)+1,FIND("/",H858,FIND("/",H858)+1)-FIND("/",H858)-1)))</f>
        <v/>
      </c>
      <c r="AC858" s="7" t="str">
        <f aca="false">IF(H858="","",VALUE(MID(H858,FIND("/",H858,FIND("/",H858)+1)+1,LEN(H858)-FIND("/",H858,FIND("/",H858)+1))))</f>
        <v/>
      </c>
      <c r="AD858" s="7" t="str">
        <f aca="false">IF(OR(H858="",AA858=""),"",IFERROR(INDEX('لیست‌ها'!$Q$3:$Q$53,MATCH(AA858,'لیست‌ها'!$P$3:$P$53,0))+IF(AB858&lt;=6,(AB858-1)*31+AC858,IF(AB858&lt;=11,186+(AB858-7)*30+AC858,336+AC858))-1,""))</f>
        <v/>
      </c>
      <c r="AE858" s="7" t="str">
        <f aca="false">IF(P858="","",VALUE(LEFT(P858,FIND("/",P858)-1)))</f>
        <v/>
      </c>
      <c r="AF858" s="7" t="str">
        <f aca="false">IF(P858="","",VALUE(MID(P858,FIND("/",P858)+1,FIND("/",P858,FIND("/",P858)+1)-FIND("/",P858)-1)))</f>
        <v/>
      </c>
      <c r="AG858" s="7" t="str">
        <f aca="false">IF(P858="","",VALUE(MID(P858,FIND("/",P858,FIND("/",P858)+1)+1,LEN(P858)-FIND("/",P858,FIND("/",P858)+1))))</f>
        <v/>
      </c>
      <c r="AH858" s="7" t="str">
        <f aca="false">IF(OR(P858="",AE858=""),"",IFERROR(INDEX('لیست‌ها'!$Q$3:$Q$53,MATCH(AE858,'لیست‌ها'!$P$3:$P$53,0))+IF(AF858&lt;=6,(AF858-1)*31+AG858,IF(AF858&lt;=11,186+(AF858-7)*30+AG858,336+AG858))-1,""))</f>
        <v/>
      </c>
      <c r="AI858" s="7" t="str">
        <f aca="false">IF(W858="","",W858&amp;"-"&amp;TEXT(X858,"00"))</f>
        <v/>
      </c>
      <c r="AJ858" s="7" t="str">
        <f aca="false">IF(W858="","",W858*12+X858)</f>
        <v/>
      </c>
      <c r="AK858" s="7" t="str">
        <f aca="false">IF(U858="تاخیر",V858+ROW()/100000,"")</f>
        <v/>
      </c>
    </row>
    <row r="859" customFormat="false" ht="15" hidden="false" customHeight="false" outlineLevel="0" collapsed="false">
      <c r="A859" s="7" t="str">
        <f aca="false">IF(B859="","",ROW()-3)</f>
        <v/>
      </c>
      <c r="B859" s="8"/>
      <c r="C859" s="8"/>
      <c r="D859" s="8"/>
      <c r="E859" s="9"/>
      <c r="F859" s="9"/>
      <c r="G859" s="8"/>
      <c r="H859" s="8"/>
      <c r="I859" s="8"/>
      <c r="J859" s="9"/>
      <c r="K859" s="8"/>
      <c r="L859" s="8"/>
      <c r="M859" s="8"/>
      <c r="N859" s="8"/>
      <c r="O859" s="8"/>
      <c r="P859" s="8"/>
      <c r="Q859" s="8"/>
      <c r="R859" s="9"/>
      <c r="S859" s="8"/>
      <c r="T859" s="9"/>
      <c r="U859" s="10" t="str">
        <f aca="true">IF(B859="","",IF(OR(P859&lt;&gt;"",I859="می‌باشد"),"بسته",IF(AND(L859&lt;&gt;"",W859=""),"خطای فرمت تاریخ ایجاد",IF(AND(H859&lt;&gt;"",AA859=""),"خطای فرمت مهلت",IF(AND(H859&lt;&gt;"",AD859&lt;&gt;"",TODAY()&gt;AD859),"تاخیر",IF(L859&lt;&gt;"","در حال انجام",""))))))</f>
        <v/>
      </c>
      <c r="V859" s="7" t="n">
        <f aca="true">IF(U859="تاخیر",TODAY()-AD859,IF(AND(U859="بسته",AH859&lt;&gt;"",AD859&lt;&gt;"",AH859&gt;AD859),AH859-AD859,0))</f>
        <v>0</v>
      </c>
      <c r="W859" s="7" t="str">
        <f aca="false">IF(L859="","",VALUE(LEFT(L859,FIND("/",L859)-1)))</f>
        <v/>
      </c>
      <c r="X859" s="7" t="str">
        <f aca="false">IF(L859="","",VALUE(MID(L859,FIND("/",L859)+1,FIND("/",L859,FIND("/",L859)+1)-FIND("/",L859)-1)))</f>
        <v/>
      </c>
      <c r="Y859" s="7" t="str">
        <f aca="false">IF(L859="","",VALUE(MID(L859,FIND("/",L859,FIND("/",L859)+1)+1,LEN(L859)-FIND("/",L859,FIND("/",L859)+1))))</f>
        <v/>
      </c>
      <c r="Z859" s="7" t="str">
        <f aca="false">IF(OR(L859="",W859=""),"",IFERROR(INDEX('لیست‌ها'!$Q$3:$Q$53,MATCH(W859,'لیست‌ها'!$P$3:$P$53,0))+IF(X859&lt;=6,(X859-1)*31+Y859,IF(X859&lt;=11,186+(X859-7)*30+Y859,336+Y859))-1,""))</f>
        <v/>
      </c>
      <c r="AA859" s="7" t="str">
        <f aca="false">IF(H859="","",VALUE(LEFT(H859,FIND("/",H859)-1)))</f>
        <v/>
      </c>
      <c r="AB859" s="7" t="str">
        <f aca="false">IF(H859="","",VALUE(MID(H859,FIND("/",H859)+1,FIND("/",H859,FIND("/",H859)+1)-FIND("/",H859)-1)))</f>
        <v/>
      </c>
      <c r="AC859" s="7" t="str">
        <f aca="false">IF(H859="","",VALUE(MID(H859,FIND("/",H859,FIND("/",H859)+1)+1,LEN(H859)-FIND("/",H859,FIND("/",H859)+1))))</f>
        <v/>
      </c>
      <c r="AD859" s="7" t="str">
        <f aca="false">IF(OR(H859="",AA859=""),"",IFERROR(INDEX('لیست‌ها'!$Q$3:$Q$53,MATCH(AA859,'لیست‌ها'!$P$3:$P$53,0))+IF(AB859&lt;=6,(AB859-1)*31+AC859,IF(AB859&lt;=11,186+(AB859-7)*30+AC859,336+AC859))-1,""))</f>
        <v/>
      </c>
      <c r="AE859" s="7" t="str">
        <f aca="false">IF(P859="","",VALUE(LEFT(P859,FIND("/",P859)-1)))</f>
        <v/>
      </c>
      <c r="AF859" s="7" t="str">
        <f aca="false">IF(P859="","",VALUE(MID(P859,FIND("/",P859)+1,FIND("/",P859,FIND("/",P859)+1)-FIND("/",P859)-1)))</f>
        <v/>
      </c>
      <c r="AG859" s="7" t="str">
        <f aca="false">IF(P859="","",VALUE(MID(P859,FIND("/",P859,FIND("/",P859)+1)+1,LEN(P859)-FIND("/",P859,FIND("/",P859)+1))))</f>
        <v/>
      </c>
      <c r="AH859" s="7" t="str">
        <f aca="false">IF(OR(P859="",AE859=""),"",IFERROR(INDEX('لیست‌ها'!$Q$3:$Q$53,MATCH(AE859,'لیست‌ها'!$P$3:$P$53,0))+IF(AF859&lt;=6,(AF859-1)*31+AG859,IF(AF859&lt;=11,186+(AF859-7)*30+AG859,336+AG859))-1,""))</f>
        <v/>
      </c>
      <c r="AI859" s="7" t="str">
        <f aca="false">IF(W859="","",W859&amp;"-"&amp;TEXT(X859,"00"))</f>
        <v/>
      </c>
      <c r="AJ859" s="7" t="str">
        <f aca="false">IF(W859="","",W859*12+X859)</f>
        <v/>
      </c>
      <c r="AK859" s="7" t="str">
        <f aca="false">IF(U859="تاخیر",V859+ROW()/100000,"")</f>
        <v/>
      </c>
    </row>
    <row r="860" customFormat="false" ht="15" hidden="false" customHeight="false" outlineLevel="0" collapsed="false">
      <c r="A860" s="7" t="str">
        <f aca="false">IF(B860="","",ROW()-3)</f>
        <v/>
      </c>
      <c r="B860" s="8"/>
      <c r="C860" s="8"/>
      <c r="D860" s="8"/>
      <c r="E860" s="9"/>
      <c r="F860" s="9"/>
      <c r="G860" s="8"/>
      <c r="H860" s="8"/>
      <c r="I860" s="8"/>
      <c r="J860" s="9"/>
      <c r="K860" s="8"/>
      <c r="L860" s="8"/>
      <c r="M860" s="8"/>
      <c r="N860" s="8"/>
      <c r="O860" s="8"/>
      <c r="P860" s="8"/>
      <c r="Q860" s="8"/>
      <c r="R860" s="9"/>
      <c r="S860" s="8"/>
      <c r="T860" s="9"/>
      <c r="U860" s="10" t="str">
        <f aca="true">IF(B860="","",IF(OR(P860&lt;&gt;"",I860="می‌باشد"),"بسته",IF(AND(L860&lt;&gt;"",W860=""),"خطای فرمت تاریخ ایجاد",IF(AND(H860&lt;&gt;"",AA860=""),"خطای فرمت مهلت",IF(AND(H860&lt;&gt;"",AD860&lt;&gt;"",TODAY()&gt;AD860),"تاخیر",IF(L860&lt;&gt;"","در حال انجام",""))))))</f>
        <v/>
      </c>
      <c r="V860" s="7" t="n">
        <f aca="true">IF(U860="تاخیر",TODAY()-AD860,IF(AND(U860="بسته",AH860&lt;&gt;"",AD860&lt;&gt;"",AH860&gt;AD860),AH860-AD860,0))</f>
        <v>0</v>
      </c>
      <c r="W860" s="7" t="str">
        <f aca="false">IF(L860="","",VALUE(LEFT(L860,FIND("/",L860)-1)))</f>
        <v/>
      </c>
      <c r="X860" s="7" t="str">
        <f aca="false">IF(L860="","",VALUE(MID(L860,FIND("/",L860)+1,FIND("/",L860,FIND("/",L860)+1)-FIND("/",L860)-1)))</f>
        <v/>
      </c>
      <c r="Y860" s="7" t="str">
        <f aca="false">IF(L860="","",VALUE(MID(L860,FIND("/",L860,FIND("/",L860)+1)+1,LEN(L860)-FIND("/",L860,FIND("/",L860)+1))))</f>
        <v/>
      </c>
      <c r="Z860" s="7" t="str">
        <f aca="false">IF(OR(L860="",W860=""),"",IFERROR(INDEX('لیست‌ها'!$Q$3:$Q$53,MATCH(W860,'لیست‌ها'!$P$3:$P$53,0))+IF(X860&lt;=6,(X860-1)*31+Y860,IF(X860&lt;=11,186+(X860-7)*30+Y860,336+Y860))-1,""))</f>
        <v/>
      </c>
      <c r="AA860" s="7" t="str">
        <f aca="false">IF(H860="","",VALUE(LEFT(H860,FIND("/",H860)-1)))</f>
        <v/>
      </c>
      <c r="AB860" s="7" t="str">
        <f aca="false">IF(H860="","",VALUE(MID(H860,FIND("/",H860)+1,FIND("/",H860,FIND("/",H860)+1)-FIND("/",H860)-1)))</f>
        <v/>
      </c>
      <c r="AC860" s="7" t="str">
        <f aca="false">IF(H860="","",VALUE(MID(H860,FIND("/",H860,FIND("/",H860)+1)+1,LEN(H860)-FIND("/",H860,FIND("/",H860)+1))))</f>
        <v/>
      </c>
      <c r="AD860" s="7" t="str">
        <f aca="false">IF(OR(H860="",AA860=""),"",IFERROR(INDEX('لیست‌ها'!$Q$3:$Q$53,MATCH(AA860,'لیست‌ها'!$P$3:$P$53,0))+IF(AB860&lt;=6,(AB860-1)*31+AC860,IF(AB860&lt;=11,186+(AB860-7)*30+AC860,336+AC860))-1,""))</f>
        <v/>
      </c>
      <c r="AE860" s="7" t="str">
        <f aca="false">IF(P860="","",VALUE(LEFT(P860,FIND("/",P860)-1)))</f>
        <v/>
      </c>
      <c r="AF860" s="7" t="str">
        <f aca="false">IF(P860="","",VALUE(MID(P860,FIND("/",P860)+1,FIND("/",P860,FIND("/",P860)+1)-FIND("/",P860)-1)))</f>
        <v/>
      </c>
      <c r="AG860" s="7" t="str">
        <f aca="false">IF(P860="","",VALUE(MID(P860,FIND("/",P860,FIND("/",P860)+1)+1,LEN(P860)-FIND("/",P860,FIND("/",P860)+1))))</f>
        <v/>
      </c>
      <c r="AH860" s="7" t="str">
        <f aca="false">IF(OR(P860="",AE860=""),"",IFERROR(INDEX('لیست‌ها'!$Q$3:$Q$53,MATCH(AE860,'لیست‌ها'!$P$3:$P$53,0))+IF(AF860&lt;=6,(AF860-1)*31+AG860,IF(AF860&lt;=11,186+(AF860-7)*30+AG860,336+AG860))-1,""))</f>
        <v/>
      </c>
      <c r="AI860" s="7" t="str">
        <f aca="false">IF(W860="","",W860&amp;"-"&amp;TEXT(X860,"00"))</f>
        <v/>
      </c>
      <c r="AJ860" s="7" t="str">
        <f aca="false">IF(W860="","",W860*12+X860)</f>
        <v/>
      </c>
      <c r="AK860" s="7" t="str">
        <f aca="false">IF(U860="تاخیر",V860+ROW()/100000,"")</f>
        <v/>
      </c>
    </row>
    <row r="861" customFormat="false" ht="15" hidden="false" customHeight="false" outlineLevel="0" collapsed="false">
      <c r="A861" s="7" t="str">
        <f aca="false">IF(B861="","",ROW()-3)</f>
        <v/>
      </c>
      <c r="B861" s="8"/>
      <c r="C861" s="8"/>
      <c r="D861" s="8"/>
      <c r="E861" s="9"/>
      <c r="F861" s="9"/>
      <c r="G861" s="8"/>
      <c r="H861" s="8"/>
      <c r="I861" s="8"/>
      <c r="J861" s="9"/>
      <c r="K861" s="8"/>
      <c r="L861" s="8"/>
      <c r="M861" s="8"/>
      <c r="N861" s="8"/>
      <c r="O861" s="8"/>
      <c r="P861" s="8"/>
      <c r="Q861" s="8"/>
      <c r="R861" s="9"/>
      <c r="S861" s="8"/>
      <c r="T861" s="9"/>
      <c r="U861" s="10" t="str">
        <f aca="true">IF(B861="","",IF(OR(P861&lt;&gt;"",I861="می‌باشد"),"بسته",IF(AND(L861&lt;&gt;"",W861=""),"خطای فرمت تاریخ ایجاد",IF(AND(H861&lt;&gt;"",AA861=""),"خطای فرمت مهلت",IF(AND(H861&lt;&gt;"",AD861&lt;&gt;"",TODAY()&gt;AD861),"تاخیر",IF(L861&lt;&gt;"","در حال انجام",""))))))</f>
        <v/>
      </c>
      <c r="V861" s="7" t="n">
        <f aca="true">IF(U861="تاخیر",TODAY()-AD861,IF(AND(U861="بسته",AH861&lt;&gt;"",AD861&lt;&gt;"",AH861&gt;AD861),AH861-AD861,0))</f>
        <v>0</v>
      </c>
      <c r="W861" s="7" t="str">
        <f aca="false">IF(L861="","",VALUE(LEFT(L861,FIND("/",L861)-1)))</f>
        <v/>
      </c>
      <c r="X861" s="7" t="str">
        <f aca="false">IF(L861="","",VALUE(MID(L861,FIND("/",L861)+1,FIND("/",L861,FIND("/",L861)+1)-FIND("/",L861)-1)))</f>
        <v/>
      </c>
      <c r="Y861" s="7" t="str">
        <f aca="false">IF(L861="","",VALUE(MID(L861,FIND("/",L861,FIND("/",L861)+1)+1,LEN(L861)-FIND("/",L861,FIND("/",L861)+1))))</f>
        <v/>
      </c>
      <c r="Z861" s="7" t="str">
        <f aca="false">IF(OR(L861="",W861=""),"",IFERROR(INDEX('لیست‌ها'!$Q$3:$Q$53,MATCH(W861,'لیست‌ها'!$P$3:$P$53,0))+IF(X861&lt;=6,(X861-1)*31+Y861,IF(X861&lt;=11,186+(X861-7)*30+Y861,336+Y861))-1,""))</f>
        <v/>
      </c>
      <c r="AA861" s="7" t="str">
        <f aca="false">IF(H861="","",VALUE(LEFT(H861,FIND("/",H861)-1)))</f>
        <v/>
      </c>
      <c r="AB861" s="7" t="str">
        <f aca="false">IF(H861="","",VALUE(MID(H861,FIND("/",H861)+1,FIND("/",H861,FIND("/",H861)+1)-FIND("/",H861)-1)))</f>
        <v/>
      </c>
      <c r="AC861" s="7" t="str">
        <f aca="false">IF(H861="","",VALUE(MID(H861,FIND("/",H861,FIND("/",H861)+1)+1,LEN(H861)-FIND("/",H861,FIND("/",H861)+1))))</f>
        <v/>
      </c>
      <c r="AD861" s="7" t="str">
        <f aca="false">IF(OR(H861="",AA861=""),"",IFERROR(INDEX('لیست‌ها'!$Q$3:$Q$53,MATCH(AA861,'لیست‌ها'!$P$3:$P$53,0))+IF(AB861&lt;=6,(AB861-1)*31+AC861,IF(AB861&lt;=11,186+(AB861-7)*30+AC861,336+AC861))-1,""))</f>
        <v/>
      </c>
      <c r="AE861" s="7" t="str">
        <f aca="false">IF(P861="","",VALUE(LEFT(P861,FIND("/",P861)-1)))</f>
        <v/>
      </c>
      <c r="AF861" s="7" t="str">
        <f aca="false">IF(P861="","",VALUE(MID(P861,FIND("/",P861)+1,FIND("/",P861,FIND("/",P861)+1)-FIND("/",P861)-1)))</f>
        <v/>
      </c>
      <c r="AG861" s="7" t="str">
        <f aca="false">IF(P861="","",VALUE(MID(P861,FIND("/",P861,FIND("/",P861)+1)+1,LEN(P861)-FIND("/",P861,FIND("/",P861)+1))))</f>
        <v/>
      </c>
      <c r="AH861" s="7" t="str">
        <f aca="false">IF(OR(P861="",AE861=""),"",IFERROR(INDEX('لیست‌ها'!$Q$3:$Q$53,MATCH(AE861,'لیست‌ها'!$P$3:$P$53,0))+IF(AF861&lt;=6,(AF861-1)*31+AG861,IF(AF861&lt;=11,186+(AF861-7)*30+AG861,336+AG861))-1,""))</f>
        <v/>
      </c>
      <c r="AI861" s="7" t="str">
        <f aca="false">IF(W861="","",W861&amp;"-"&amp;TEXT(X861,"00"))</f>
        <v/>
      </c>
      <c r="AJ861" s="7" t="str">
        <f aca="false">IF(W861="","",W861*12+X861)</f>
        <v/>
      </c>
      <c r="AK861" s="7" t="str">
        <f aca="false">IF(U861="تاخیر",V861+ROW()/100000,"")</f>
        <v/>
      </c>
    </row>
    <row r="862" customFormat="false" ht="15" hidden="false" customHeight="false" outlineLevel="0" collapsed="false">
      <c r="A862" s="7" t="str">
        <f aca="false">IF(B862="","",ROW()-3)</f>
        <v/>
      </c>
      <c r="B862" s="8"/>
      <c r="C862" s="8"/>
      <c r="D862" s="8"/>
      <c r="E862" s="9"/>
      <c r="F862" s="9"/>
      <c r="G862" s="8"/>
      <c r="H862" s="8"/>
      <c r="I862" s="8"/>
      <c r="J862" s="9"/>
      <c r="K862" s="8"/>
      <c r="L862" s="8"/>
      <c r="M862" s="8"/>
      <c r="N862" s="8"/>
      <c r="O862" s="8"/>
      <c r="P862" s="8"/>
      <c r="Q862" s="8"/>
      <c r="R862" s="9"/>
      <c r="S862" s="8"/>
      <c r="T862" s="9"/>
      <c r="U862" s="10" t="str">
        <f aca="true">IF(B862="","",IF(OR(P862&lt;&gt;"",I862="می‌باشد"),"بسته",IF(AND(L862&lt;&gt;"",W862=""),"خطای فرمت تاریخ ایجاد",IF(AND(H862&lt;&gt;"",AA862=""),"خطای فرمت مهلت",IF(AND(H862&lt;&gt;"",AD862&lt;&gt;"",TODAY()&gt;AD862),"تاخیر",IF(L862&lt;&gt;"","در حال انجام",""))))))</f>
        <v/>
      </c>
      <c r="V862" s="7" t="n">
        <f aca="true">IF(U862="تاخیر",TODAY()-AD862,IF(AND(U862="بسته",AH862&lt;&gt;"",AD862&lt;&gt;"",AH862&gt;AD862),AH862-AD862,0))</f>
        <v>0</v>
      </c>
      <c r="W862" s="7" t="str">
        <f aca="false">IF(L862="","",VALUE(LEFT(L862,FIND("/",L862)-1)))</f>
        <v/>
      </c>
      <c r="X862" s="7" t="str">
        <f aca="false">IF(L862="","",VALUE(MID(L862,FIND("/",L862)+1,FIND("/",L862,FIND("/",L862)+1)-FIND("/",L862)-1)))</f>
        <v/>
      </c>
      <c r="Y862" s="7" t="str">
        <f aca="false">IF(L862="","",VALUE(MID(L862,FIND("/",L862,FIND("/",L862)+1)+1,LEN(L862)-FIND("/",L862,FIND("/",L862)+1))))</f>
        <v/>
      </c>
      <c r="Z862" s="7" t="str">
        <f aca="false">IF(OR(L862="",W862=""),"",IFERROR(INDEX('لیست‌ها'!$Q$3:$Q$53,MATCH(W862,'لیست‌ها'!$P$3:$P$53,0))+IF(X862&lt;=6,(X862-1)*31+Y862,IF(X862&lt;=11,186+(X862-7)*30+Y862,336+Y862))-1,""))</f>
        <v/>
      </c>
      <c r="AA862" s="7" t="str">
        <f aca="false">IF(H862="","",VALUE(LEFT(H862,FIND("/",H862)-1)))</f>
        <v/>
      </c>
      <c r="AB862" s="7" t="str">
        <f aca="false">IF(H862="","",VALUE(MID(H862,FIND("/",H862)+1,FIND("/",H862,FIND("/",H862)+1)-FIND("/",H862)-1)))</f>
        <v/>
      </c>
      <c r="AC862" s="7" t="str">
        <f aca="false">IF(H862="","",VALUE(MID(H862,FIND("/",H862,FIND("/",H862)+1)+1,LEN(H862)-FIND("/",H862,FIND("/",H862)+1))))</f>
        <v/>
      </c>
      <c r="AD862" s="7" t="str">
        <f aca="false">IF(OR(H862="",AA862=""),"",IFERROR(INDEX('لیست‌ها'!$Q$3:$Q$53,MATCH(AA862,'لیست‌ها'!$P$3:$P$53,0))+IF(AB862&lt;=6,(AB862-1)*31+AC862,IF(AB862&lt;=11,186+(AB862-7)*30+AC862,336+AC862))-1,""))</f>
        <v/>
      </c>
      <c r="AE862" s="7" t="str">
        <f aca="false">IF(P862="","",VALUE(LEFT(P862,FIND("/",P862)-1)))</f>
        <v/>
      </c>
      <c r="AF862" s="7" t="str">
        <f aca="false">IF(P862="","",VALUE(MID(P862,FIND("/",P862)+1,FIND("/",P862,FIND("/",P862)+1)-FIND("/",P862)-1)))</f>
        <v/>
      </c>
      <c r="AG862" s="7" t="str">
        <f aca="false">IF(P862="","",VALUE(MID(P862,FIND("/",P862,FIND("/",P862)+1)+1,LEN(P862)-FIND("/",P862,FIND("/",P862)+1))))</f>
        <v/>
      </c>
      <c r="AH862" s="7" t="str">
        <f aca="false">IF(OR(P862="",AE862=""),"",IFERROR(INDEX('لیست‌ها'!$Q$3:$Q$53,MATCH(AE862,'لیست‌ها'!$P$3:$P$53,0))+IF(AF862&lt;=6,(AF862-1)*31+AG862,IF(AF862&lt;=11,186+(AF862-7)*30+AG862,336+AG862))-1,""))</f>
        <v/>
      </c>
      <c r="AI862" s="7" t="str">
        <f aca="false">IF(W862="","",W862&amp;"-"&amp;TEXT(X862,"00"))</f>
        <v/>
      </c>
      <c r="AJ862" s="7" t="str">
        <f aca="false">IF(W862="","",W862*12+X862)</f>
        <v/>
      </c>
      <c r="AK862" s="7" t="str">
        <f aca="false">IF(U862="تاخیر",V862+ROW()/100000,"")</f>
        <v/>
      </c>
    </row>
    <row r="863" customFormat="false" ht="15" hidden="false" customHeight="false" outlineLevel="0" collapsed="false">
      <c r="A863" s="7" t="str">
        <f aca="false">IF(B863="","",ROW()-3)</f>
        <v/>
      </c>
      <c r="B863" s="8"/>
      <c r="C863" s="8"/>
      <c r="D863" s="8"/>
      <c r="E863" s="9"/>
      <c r="F863" s="9"/>
      <c r="G863" s="8"/>
      <c r="H863" s="8"/>
      <c r="I863" s="8"/>
      <c r="J863" s="9"/>
      <c r="K863" s="8"/>
      <c r="L863" s="8"/>
      <c r="M863" s="8"/>
      <c r="N863" s="8"/>
      <c r="O863" s="8"/>
      <c r="P863" s="8"/>
      <c r="Q863" s="8"/>
      <c r="R863" s="9"/>
      <c r="S863" s="8"/>
      <c r="T863" s="9"/>
      <c r="U863" s="10" t="str">
        <f aca="true">IF(B863="","",IF(OR(P863&lt;&gt;"",I863="می‌باشد"),"بسته",IF(AND(L863&lt;&gt;"",W863=""),"خطای فرمت تاریخ ایجاد",IF(AND(H863&lt;&gt;"",AA863=""),"خطای فرمت مهلت",IF(AND(H863&lt;&gt;"",AD863&lt;&gt;"",TODAY()&gt;AD863),"تاخیر",IF(L863&lt;&gt;"","در حال انجام",""))))))</f>
        <v/>
      </c>
      <c r="V863" s="7" t="n">
        <f aca="true">IF(U863="تاخیر",TODAY()-AD863,IF(AND(U863="بسته",AH863&lt;&gt;"",AD863&lt;&gt;"",AH863&gt;AD863),AH863-AD863,0))</f>
        <v>0</v>
      </c>
      <c r="W863" s="7" t="str">
        <f aca="false">IF(L863="","",VALUE(LEFT(L863,FIND("/",L863)-1)))</f>
        <v/>
      </c>
      <c r="X863" s="7" t="str">
        <f aca="false">IF(L863="","",VALUE(MID(L863,FIND("/",L863)+1,FIND("/",L863,FIND("/",L863)+1)-FIND("/",L863)-1)))</f>
        <v/>
      </c>
      <c r="Y863" s="7" t="str">
        <f aca="false">IF(L863="","",VALUE(MID(L863,FIND("/",L863,FIND("/",L863)+1)+1,LEN(L863)-FIND("/",L863,FIND("/",L863)+1))))</f>
        <v/>
      </c>
      <c r="Z863" s="7" t="str">
        <f aca="false">IF(OR(L863="",W863=""),"",IFERROR(INDEX('لیست‌ها'!$Q$3:$Q$53,MATCH(W863,'لیست‌ها'!$P$3:$P$53,0))+IF(X863&lt;=6,(X863-1)*31+Y863,IF(X863&lt;=11,186+(X863-7)*30+Y863,336+Y863))-1,""))</f>
        <v/>
      </c>
      <c r="AA863" s="7" t="str">
        <f aca="false">IF(H863="","",VALUE(LEFT(H863,FIND("/",H863)-1)))</f>
        <v/>
      </c>
      <c r="AB863" s="7" t="str">
        <f aca="false">IF(H863="","",VALUE(MID(H863,FIND("/",H863)+1,FIND("/",H863,FIND("/",H863)+1)-FIND("/",H863)-1)))</f>
        <v/>
      </c>
      <c r="AC863" s="7" t="str">
        <f aca="false">IF(H863="","",VALUE(MID(H863,FIND("/",H863,FIND("/",H863)+1)+1,LEN(H863)-FIND("/",H863,FIND("/",H863)+1))))</f>
        <v/>
      </c>
      <c r="AD863" s="7" t="str">
        <f aca="false">IF(OR(H863="",AA863=""),"",IFERROR(INDEX('لیست‌ها'!$Q$3:$Q$53,MATCH(AA863,'لیست‌ها'!$P$3:$P$53,0))+IF(AB863&lt;=6,(AB863-1)*31+AC863,IF(AB863&lt;=11,186+(AB863-7)*30+AC863,336+AC863))-1,""))</f>
        <v/>
      </c>
      <c r="AE863" s="7" t="str">
        <f aca="false">IF(P863="","",VALUE(LEFT(P863,FIND("/",P863)-1)))</f>
        <v/>
      </c>
      <c r="AF863" s="7" t="str">
        <f aca="false">IF(P863="","",VALUE(MID(P863,FIND("/",P863)+1,FIND("/",P863,FIND("/",P863)+1)-FIND("/",P863)-1)))</f>
        <v/>
      </c>
      <c r="AG863" s="7" t="str">
        <f aca="false">IF(P863="","",VALUE(MID(P863,FIND("/",P863,FIND("/",P863)+1)+1,LEN(P863)-FIND("/",P863,FIND("/",P863)+1))))</f>
        <v/>
      </c>
      <c r="AH863" s="7" t="str">
        <f aca="false">IF(OR(P863="",AE863=""),"",IFERROR(INDEX('لیست‌ها'!$Q$3:$Q$53,MATCH(AE863,'لیست‌ها'!$P$3:$P$53,0))+IF(AF863&lt;=6,(AF863-1)*31+AG863,IF(AF863&lt;=11,186+(AF863-7)*30+AG863,336+AG863))-1,""))</f>
        <v/>
      </c>
      <c r="AI863" s="7" t="str">
        <f aca="false">IF(W863="","",W863&amp;"-"&amp;TEXT(X863,"00"))</f>
        <v/>
      </c>
      <c r="AJ863" s="7" t="str">
        <f aca="false">IF(W863="","",W863*12+X863)</f>
        <v/>
      </c>
      <c r="AK863" s="7" t="str">
        <f aca="false">IF(U863="تاخیر",V863+ROW()/100000,"")</f>
        <v/>
      </c>
    </row>
    <row r="864" customFormat="false" ht="15" hidden="false" customHeight="false" outlineLevel="0" collapsed="false">
      <c r="A864" s="7" t="str">
        <f aca="false">IF(B864="","",ROW()-3)</f>
        <v/>
      </c>
      <c r="B864" s="8"/>
      <c r="C864" s="8"/>
      <c r="D864" s="8"/>
      <c r="E864" s="9"/>
      <c r="F864" s="9"/>
      <c r="G864" s="8"/>
      <c r="H864" s="8"/>
      <c r="I864" s="8"/>
      <c r="J864" s="9"/>
      <c r="K864" s="8"/>
      <c r="L864" s="8"/>
      <c r="M864" s="8"/>
      <c r="N864" s="8"/>
      <c r="O864" s="8"/>
      <c r="P864" s="8"/>
      <c r="Q864" s="8"/>
      <c r="R864" s="9"/>
      <c r="S864" s="8"/>
      <c r="T864" s="9"/>
      <c r="U864" s="10" t="str">
        <f aca="true">IF(B864="","",IF(OR(P864&lt;&gt;"",I864="می‌باشد"),"بسته",IF(AND(L864&lt;&gt;"",W864=""),"خطای فرمت تاریخ ایجاد",IF(AND(H864&lt;&gt;"",AA864=""),"خطای فرمت مهلت",IF(AND(H864&lt;&gt;"",AD864&lt;&gt;"",TODAY()&gt;AD864),"تاخیر",IF(L864&lt;&gt;"","در حال انجام",""))))))</f>
        <v/>
      </c>
      <c r="V864" s="7" t="n">
        <f aca="true">IF(U864="تاخیر",TODAY()-AD864,IF(AND(U864="بسته",AH864&lt;&gt;"",AD864&lt;&gt;"",AH864&gt;AD864),AH864-AD864,0))</f>
        <v>0</v>
      </c>
      <c r="W864" s="7" t="str">
        <f aca="false">IF(L864="","",VALUE(LEFT(L864,FIND("/",L864)-1)))</f>
        <v/>
      </c>
      <c r="X864" s="7" t="str">
        <f aca="false">IF(L864="","",VALUE(MID(L864,FIND("/",L864)+1,FIND("/",L864,FIND("/",L864)+1)-FIND("/",L864)-1)))</f>
        <v/>
      </c>
      <c r="Y864" s="7" t="str">
        <f aca="false">IF(L864="","",VALUE(MID(L864,FIND("/",L864,FIND("/",L864)+1)+1,LEN(L864)-FIND("/",L864,FIND("/",L864)+1))))</f>
        <v/>
      </c>
      <c r="Z864" s="7" t="str">
        <f aca="false">IF(OR(L864="",W864=""),"",IFERROR(INDEX('لیست‌ها'!$Q$3:$Q$53,MATCH(W864,'لیست‌ها'!$P$3:$P$53,0))+IF(X864&lt;=6,(X864-1)*31+Y864,IF(X864&lt;=11,186+(X864-7)*30+Y864,336+Y864))-1,""))</f>
        <v/>
      </c>
      <c r="AA864" s="7" t="str">
        <f aca="false">IF(H864="","",VALUE(LEFT(H864,FIND("/",H864)-1)))</f>
        <v/>
      </c>
      <c r="AB864" s="7" t="str">
        <f aca="false">IF(H864="","",VALUE(MID(H864,FIND("/",H864)+1,FIND("/",H864,FIND("/",H864)+1)-FIND("/",H864)-1)))</f>
        <v/>
      </c>
      <c r="AC864" s="7" t="str">
        <f aca="false">IF(H864="","",VALUE(MID(H864,FIND("/",H864,FIND("/",H864)+1)+1,LEN(H864)-FIND("/",H864,FIND("/",H864)+1))))</f>
        <v/>
      </c>
      <c r="AD864" s="7" t="str">
        <f aca="false">IF(OR(H864="",AA864=""),"",IFERROR(INDEX('لیست‌ها'!$Q$3:$Q$53,MATCH(AA864,'لیست‌ها'!$P$3:$P$53,0))+IF(AB864&lt;=6,(AB864-1)*31+AC864,IF(AB864&lt;=11,186+(AB864-7)*30+AC864,336+AC864))-1,""))</f>
        <v/>
      </c>
      <c r="AE864" s="7" t="str">
        <f aca="false">IF(P864="","",VALUE(LEFT(P864,FIND("/",P864)-1)))</f>
        <v/>
      </c>
      <c r="AF864" s="7" t="str">
        <f aca="false">IF(P864="","",VALUE(MID(P864,FIND("/",P864)+1,FIND("/",P864,FIND("/",P864)+1)-FIND("/",P864)-1)))</f>
        <v/>
      </c>
      <c r="AG864" s="7" t="str">
        <f aca="false">IF(P864="","",VALUE(MID(P864,FIND("/",P864,FIND("/",P864)+1)+1,LEN(P864)-FIND("/",P864,FIND("/",P864)+1))))</f>
        <v/>
      </c>
      <c r="AH864" s="7" t="str">
        <f aca="false">IF(OR(P864="",AE864=""),"",IFERROR(INDEX('لیست‌ها'!$Q$3:$Q$53,MATCH(AE864,'لیست‌ها'!$P$3:$P$53,0))+IF(AF864&lt;=6,(AF864-1)*31+AG864,IF(AF864&lt;=11,186+(AF864-7)*30+AG864,336+AG864))-1,""))</f>
        <v/>
      </c>
      <c r="AI864" s="7" t="str">
        <f aca="false">IF(W864="","",W864&amp;"-"&amp;TEXT(X864,"00"))</f>
        <v/>
      </c>
      <c r="AJ864" s="7" t="str">
        <f aca="false">IF(W864="","",W864*12+X864)</f>
        <v/>
      </c>
      <c r="AK864" s="7" t="str">
        <f aca="false">IF(U864="تاخیر",V864+ROW()/100000,"")</f>
        <v/>
      </c>
    </row>
    <row r="865" customFormat="false" ht="15" hidden="false" customHeight="false" outlineLevel="0" collapsed="false">
      <c r="A865" s="7" t="str">
        <f aca="false">IF(B865="","",ROW()-3)</f>
        <v/>
      </c>
      <c r="B865" s="8"/>
      <c r="C865" s="8"/>
      <c r="D865" s="8"/>
      <c r="E865" s="9"/>
      <c r="F865" s="9"/>
      <c r="G865" s="8"/>
      <c r="H865" s="8"/>
      <c r="I865" s="8"/>
      <c r="J865" s="9"/>
      <c r="K865" s="8"/>
      <c r="L865" s="8"/>
      <c r="M865" s="8"/>
      <c r="N865" s="8"/>
      <c r="O865" s="8"/>
      <c r="P865" s="8"/>
      <c r="Q865" s="8"/>
      <c r="R865" s="9"/>
      <c r="S865" s="8"/>
      <c r="T865" s="9"/>
      <c r="U865" s="10" t="str">
        <f aca="true">IF(B865="","",IF(OR(P865&lt;&gt;"",I865="می‌باشد"),"بسته",IF(AND(L865&lt;&gt;"",W865=""),"خطای فرمت تاریخ ایجاد",IF(AND(H865&lt;&gt;"",AA865=""),"خطای فرمت مهلت",IF(AND(H865&lt;&gt;"",AD865&lt;&gt;"",TODAY()&gt;AD865),"تاخیر",IF(L865&lt;&gt;"","در حال انجام",""))))))</f>
        <v/>
      </c>
      <c r="V865" s="7" t="n">
        <f aca="true">IF(U865="تاخیر",TODAY()-AD865,IF(AND(U865="بسته",AH865&lt;&gt;"",AD865&lt;&gt;"",AH865&gt;AD865),AH865-AD865,0))</f>
        <v>0</v>
      </c>
      <c r="W865" s="7" t="str">
        <f aca="false">IF(L865="","",VALUE(LEFT(L865,FIND("/",L865)-1)))</f>
        <v/>
      </c>
      <c r="X865" s="7" t="str">
        <f aca="false">IF(L865="","",VALUE(MID(L865,FIND("/",L865)+1,FIND("/",L865,FIND("/",L865)+1)-FIND("/",L865)-1)))</f>
        <v/>
      </c>
      <c r="Y865" s="7" t="str">
        <f aca="false">IF(L865="","",VALUE(MID(L865,FIND("/",L865,FIND("/",L865)+1)+1,LEN(L865)-FIND("/",L865,FIND("/",L865)+1))))</f>
        <v/>
      </c>
      <c r="Z865" s="7" t="str">
        <f aca="false">IF(OR(L865="",W865=""),"",IFERROR(INDEX('لیست‌ها'!$Q$3:$Q$53,MATCH(W865,'لیست‌ها'!$P$3:$P$53,0))+IF(X865&lt;=6,(X865-1)*31+Y865,IF(X865&lt;=11,186+(X865-7)*30+Y865,336+Y865))-1,""))</f>
        <v/>
      </c>
      <c r="AA865" s="7" t="str">
        <f aca="false">IF(H865="","",VALUE(LEFT(H865,FIND("/",H865)-1)))</f>
        <v/>
      </c>
      <c r="AB865" s="7" t="str">
        <f aca="false">IF(H865="","",VALUE(MID(H865,FIND("/",H865)+1,FIND("/",H865,FIND("/",H865)+1)-FIND("/",H865)-1)))</f>
        <v/>
      </c>
      <c r="AC865" s="7" t="str">
        <f aca="false">IF(H865="","",VALUE(MID(H865,FIND("/",H865,FIND("/",H865)+1)+1,LEN(H865)-FIND("/",H865,FIND("/",H865)+1))))</f>
        <v/>
      </c>
      <c r="AD865" s="7" t="str">
        <f aca="false">IF(OR(H865="",AA865=""),"",IFERROR(INDEX('لیست‌ها'!$Q$3:$Q$53,MATCH(AA865,'لیست‌ها'!$P$3:$P$53,0))+IF(AB865&lt;=6,(AB865-1)*31+AC865,IF(AB865&lt;=11,186+(AB865-7)*30+AC865,336+AC865))-1,""))</f>
        <v/>
      </c>
      <c r="AE865" s="7" t="str">
        <f aca="false">IF(P865="","",VALUE(LEFT(P865,FIND("/",P865)-1)))</f>
        <v/>
      </c>
      <c r="AF865" s="7" t="str">
        <f aca="false">IF(P865="","",VALUE(MID(P865,FIND("/",P865)+1,FIND("/",P865,FIND("/",P865)+1)-FIND("/",P865)-1)))</f>
        <v/>
      </c>
      <c r="AG865" s="7" t="str">
        <f aca="false">IF(P865="","",VALUE(MID(P865,FIND("/",P865,FIND("/",P865)+1)+1,LEN(P865)-FIND("/",P865,FIND("/",P865)+1))))</f>
        <v/>
      </c>
      <c r="AH865" s="7" t="str">
        <f aca="false">IF(OR(P865="",AE865=""),"",IFERROR(INDEX('لیست‌ها'!$Q$3:$Q$53,MATCH(AE865,'لیست‌ها'!$P$3:$P$53,0))+IF(AF865&lt;=6,(AF865-1)*31+AG865,IF(AF865&lt;=11,186+(AF865-7)*30+AG865,336+AG865))-1,""))</f>
        <v/>
      </c>
      <c r="AI865" s="7" t="str">
        <f aca="false">IF(W865="","",W865&amp;"-"&amp;TEXT(X865,"00"))</f>
        <v/>
      </c>
      <c r="AJ865" s="7" t="str">
        <f aca="false">IF(W865="","",W865*12+X865)</f>
        <v/>
      </c>
      <c r="AK865" s="7" t="str">
        <f aca="false">IF(U865="تاخیر",V865+ROW()/100000,"")</f>
        <v/>
      </c>
    </row>
    <row r="866" customFormat="false" ht="15" hidden="false" customHeight="false" outlineLevel="0" collapsed="false">
      <c r="A866" s="7" t="str">
        <f aca="false">IF(B866="","",ROW()-3)</f>
        <v/>
      </c>
      <c r="B866" s="8"/>
      <c r="C866" s="8"/>
      <c r="D866" s="8"/>
      <c r="E866" s="9"/>
      <c r="F866" s="9"/>
      <c r="G866" s="8"/>
      <c r="H866" s="8"/>
      <c r="I866" s="8"/>
      <c r="J866" s="9"/>
      <c r="K866" s="8"/>
      <c r="L866" s="8"/>
      <c r="M866" s="8"/>
      <c r="N866" s="8"/>
      <c r="O866" s="8"/>
      <c r="P866" s="8"/>
      <c r="Q866" s="8"/>
      <c r="R866" s="9"/>
      <c r="S866" s="8"/>
      <c r="T866" s="9"/>
      <c r="U866" s="10" t="str">
        <f aca="true">IF(B866="","",IF(OR(P866&lt;&gt;"",I866="می‌باشد"),"بسته",IF(AND(L866&lt;&gt;"",W866=""),"خطای فرمت تاریخ ایجاد",IF(AND(H866&lt;&gt;"",AA866=""),"خطای فرمت مهلت",IF(AND(H866&lt;&gt;"",AD866&lt;&gt;"",TODAY()&gt;AD866),"تاخیر",IF(L866&lt;&gt;"","در حال انجام",""))))))</f>
        <v/>
      </c>
      <c r="V866" s="7" t="n">
        <f aca="true">IF(U866="تاخیر",TODAY()-AD866,IF(AND(U866="بسته",AH866&lt;&gt;"",AD866&lt;&gt;"",AH866&gt;AD866),AH866-AD866,0))</f>
        <v>0</v>
      </c>
      <c r="W866" s="7" t="str">
        <f aca="false">IF(L866="","",VALUE(LEFT(L866,FIND("/",L866)-1)))</f>
        <v/>
      </c>
      <c r="X866" s="7" t="str">
        <f aca="false">IF(L866="","",VALUE(MID(L866,FIND("/",L866)+1,FIND("/",L866,FIND("/",L866)+1)-FIND("/",L866)-1)))</f>
        <v/>
      </c>
      <c r="Y866" s="7" t="str">
        <f aca="false">IF(L866="","",VALUE(MID(L866,FIND("/",L866,FIND("/",L866)+1)+1,LEN(L866)-FIND("/",L866,FIND("/",L866)+1))))</f>
        <v/>
      </c>
      <c r="Z866" s="7" t="str">
        <f aca="false">IF(OR(L866="",W866=""),"",IFERROR(INDEX('لیست‌ها'!$Q$3:$Q$53,MATCH(W866,'لیست‌ها'!$P$3:$P$53,0))+IF(X866&lt;=6,(X866-1)*31+Y866,IF(X866&lt;=11,186+(X866-7)*30+Y866,336+Y866))-1,""))</f>
        <v/>
      </c>
      <c r="AA866" s="7" t="str">
        <f aca="false">IF(H866="","",VALUE(LEFT(H866,FIND("/",H866)-1)))</f>
        <v/>
      </c>
      <c r="AB866" s="7" t="str">
        <f aca="false">IF(H866="","",VALUE(MID(H866,FIND("/",H866)+1,FIND("/",H866,FIND("/",H866)+1)-FIND("/",H866)-1)))</f>
        <v/>
      </c>
      <c r="AC866" s="7" t="str">
        <f aca="false">IF(H866="","",VALUE(MID(H866,FIND("/",H866,FIND("/",H866)+1)+1,LEN(H866)-FIND("/",H866,FIND("/",H866)+1))))</f>
        <v/>
      </c>
      <c r="AD866" s="7" t="str">
        <f aca="false">IF(OR(H866="",AA866=""),"",IFERROR(INDEX('لیست‌ها'!$Q$3:$Q$53,MATCH(AA866,'لیست‌ها'!$P$3:$P$53,0))+IF(AB866&lt;=6,(AB866-1)*31+AC866,IF(AB866&lt;=11,186+(AB866-7)*30+AC866,336+AC866))-1,""))</f>
        <v/>
      </c>
      <c r="AE866" s="7" t="str">
        <f aca="false">IF(P866="","",VALUE(LEFT(P866,FIND("/",P866)-1)))</f>
        <v/>
      </c>
      <c r="AF866" s="7" t="str">
        <f aca="false">IF(P866="","",VALUE(MID(P866,FIND("/",P866)+1,FIND("/",P866,FIND("/",P866)+1)-FIND("/",P866)-1)))</f>
        <v/>
      </c>
      <c r="AG866" s="7" t="str">
        <f aca="false">IF(P866="","",VALUE(MID(P866,FIND("/",P866,FIND("/",P866)+1)+1,LEN(P866)-FIND("/",P866,FIND("/",P866)+1))))</f>
        <v/>
      </c>
      <c r="AH866" s="7" t="str">
        <f aca="false">IF(OR(P866="",AE866=""),"",IFERROR(INDEX('لیست‌ها'!$Q$3:$Q$53,MATCH(AE866,'لیست‌ها'!$P$3:$P$53,0))+IF(AF866&lt;=6,(AF866-1)*31+AG866,IF(AF866&lt;=11,186+(AF866-7)*30+AG866,336+AG866))-1,""))</f>
        <v/>
      </c>
      <c r="AI866" s="7" t="str">
        <f aca="false">IF(W866="","",W866&amp;"-"&amp;TEXT(X866,"00"))</f>
        <v/>
      </c>
      <c r="AJ866" s="7" t="str">
        <f aca="false">IF(W866="","",W866*12+X866)</f>
        <v/>
      </c>
      <c r="AK866" s="7" t="str">
        <f aca="false">IF(U866="تاخیر",V866+ROW()/100000,"")</f>
        <v/>
      </c>
    </row>
    <row r="867" customFormat="false" ht="15" hidden="false" customHeight="false" outlineLevel="0" collapsed="false">
      <c r="A867" s="7" t="str">
        <f aca="false">IF(B867="","",ROW()-3)</f>
        <v/>
      </c>
      <c r="B867" s="8"/>
      <c r="C867" s="8"/>
      <c r="D867" s="8"/>
      <c r="E867" s="9"/>
      <c r="F867" s="9"/>
      <c r="G867" s="8"/>
      <c r="H867" s="8"/>
      <c r="I867" s="8"/>
      <c r="J867" s="9"/>
      <c r="K867" s="8"/>
      <c r="L867" s="8"/>
      <c r="M867" s="8"/>
      <c r="N867" s="8"/>
      <c r="O867" s="8"/>
      <c r="P867" s="8"/>
      <c r="Q867" s="8"/>
      <c r="R867" s="9"/>
      <c r="S867" s="8"/>
      <c r="T867" s="9"/>
      <c r="U867" s="10" t="str">
        <f aca="true">IF(B867="","",IF(OR(P867&lt;&gt;"",I867="می‌باشد"),"بسته",IF(AND(L867&lt;&gt;"",W867=""),"خطای فرمت تاریخ ایجاد",IF(AND(H867&lt;&gt;"",AA867=""),"خطای فرمت مهلت",IF(AND(H867&lt;&gt;"",AD867&lt;&gt;"",TODAY()&gt;AD867),"تاخیر",IF(L867&lt;&gt;"","در حال انجام",""))))))</f>
        <v/>
      </c>
      <c r="V867" s="7" t="n">
        <f aca="true">IF(U867="تاخیر",TODAY()-AD867,IF(AND(U867="بسته",AH867&lt;&gt;"",AD867&lt;&gt;"",AH867&gt;AD867),AH867-AD867,0))</f>
        <v>0</v>
      </c>
      <c r="W867" s="7" t="str">
        <f aca="false">IF(L867="","",VALUE(LEFT(L867,FIND("/",L867)-1)))</f>
        <v/>
      </c>
      <c r="X867" s="7" t="str">
        <f aca="false">IF(L867="","",VALUE(MID(L867,FIND("/",L867)+1,FIND("/",L867,FIND("/",L867)+1)-FIND("/",L867)-1)))</f>
        <v/>
      </c>
      <c r="Y867" s="7" t="str">
        <f aca="false">IF(L867="","",VALUE(MID(L867,FIND("/",L867,FIND("/",L867)+1)+1,LEN(L867)-FIND("/",L867,FIND("/",L867)+1))))</f>
        <v/>
      </c>
      <c r="Z867" s="7" t="str">
        <f aca="false">IF(OR(L867="",W867=""),"",IFERROR(INDEX('لیست‌ها'!$Q$3:$Q$53,MATCH(W867,'لیست‌ها'!$P$3:$P$53,0))+IF(X867&lt;=6,(X867-1)*31+Y867,IF(X867&lt;=11,186+(X867-7)*30+Y867,336+Y867))-1,""))</f>
        <v/>
      </c>
      <c r="AA867" s="7" t="str">
        <f aca="false">IF(H867="","",VALUE(LEFT(H867,FIND("/",H867)-1)))</f>
        <v/>
      </c>
      <c r="AB867" s="7" t="str">
        <f aca="false">IF(H867="","",VALUE(MID(H867,FIND("/",H867)+1,FIND("/",H867,FIND("/",H867)+1)-FIND("/",H867)-1)))</f>
        <v/>
      </c>
      <c r="AC867" s="7" t="str">
        <f aca="false">IF(H867="","",VALUE(MID(H867,FIND("/",H867,FIND("/",H867)+1)+1,LEN(H867)-FIND("/",H867,FIND("/",H867)+1))))</f>
        <v/>
      </c>
      <c r="AD867" s="7" t="str">
        <f aca="false">IF(OR(H867="",AA867=""),"",IFERROR(INDEX('لیست‌ها'!$Q$3:$Q$53,MATCH(AA867,'لیست‌ها'!$P$3:$P$53,0))+IF(AB867&lt;=6,(AB867-1)*31+AC867,IF(AB867&lt;=11,186+(AB867-7)*30+AC867,336+AC867))-1,""))</f>
        <v/>
      </c>
      <c r="AE867" s="7" t="str">
        <f aca="false">IF(P867="","",VALUE(LEFT(P867,FIND("/",P867)-1)))</f>
        <v/>
      </c>
      <c r="AF867" s="7" t="str">
        <f aca="false">IF(P867="","",VALUE(MID(P867,FIND("/",P867)+1,FIND("/",P867,FIND("/",P867)+1)-FIND("/",P867)-1)))</f>
        <v/>
      </c>
      <c r="AG867" s="7" t="str">
        <f aca="false">IF(P867="","",VALUE(MID(P867,FIND("/",P867,FIND("/",P867)+1)+1,LEN(P867)-FIND("/",P867,FIND("/",P867)+1))))</f>
        <v/>
      </c>
      <c r="AH867" s="7" t="str">
        <f aca="false">IF(OR(P867="",AE867=""),"",IFERROR(INDEX('لیست‌ها'!$Q$3:$Q$53,MATCH(AE867,'لیست‌ها'!$P$3:$P$53,0))+IF(AF867&lt;=6,(AF867-1)*31+AG867,IF(AF867&lt;=11,186+(AF867-7)*30+AG867,336+AG867))-1,""))</f>
        <v/>
      </c>
      <c r="AI867" s="7" t="str">
        <f aca="false">IF(W867="","",W867&amp;"-"&amp;TEXT(X867,"00"))</f>
        <v/>
      </c>
      <c r="AJ867" s="7" t="str">
        <f aca="false">IF(W867="","",W867*12+X867)</f>
        <v/>
      </c>
      <c r="AK867" s="7" t="str">
        <f aca="false">IF(U867="تاخیر",V867+ROW()/100000,"")</f>
        <v/>
      </c>
    </row>
    <row r="868" customFormat="false" ht="15" hidden="false" customHeight="false" outlineLevel="0" collapsed="false">
      <c r="A868" s="7" t="str">
        <f aca="false">IF(B868="","",ROW()-3)</f>
        <v/>
      </c>
      <c r="B868" s="8"/>
      <c r="C868" s="8"/>
      <c r="D868" s="8"/>
      <c r="E868" s="9"/>
      <c r="F868" s="9"/>
      <c r="G868" s="8"/>
      <c r="H868" s="8"/>
      <c r="I868" s="8"/>
      <c r="J868" s="9"/>
      <c r="K868" s="8"/>
      <c r="L868" s="8"/>
      <c r="M868" s="8"/>
      <c r="N868" s="8"/>
      <c r="O868" s="8"/>
      <c r="P868" s="8"/>
      <c r="Q868" s="8"/>
      <c r="R868" s="9"/>
      <c r="S868" s="8"/>
      <c r="T868" s="9"/>
      <c r="U868" s="10" t="str">
        <f aca="true">IF(B868="","",IF(OR(P868&lt;&gt;"",I868="می‌باشد"),"بسته",IF(AND(L868&lt;&gt;"",W868=""),"خطای فرمت تاریخ ایجاد",IF(AND(H868&lt;&gt;"",AA868=""),"خطای فرمت مهلت",IF(AND(H868&lt;&gt;"",AD868&lt;&gt;"",TODAY()&gt;AD868),"تاخیر",IF(L868&lt;&gt;"","در حال انجام",""))))))</f>
        <v/>
      </c>
      <c r="V868" s="7" t="n">
        <f aca="true">IF(U868="تاخیر",TODAY()-AD868,IF(AND(U868="بسته",AH868&lt;&gt;"",AD868&lt;&gt;"",AH868&gt;AD868),AH868-AD868,0))</f>
        <v>0</v>
      </c>
      <c r="W868" s="7" t="str">
        <f aca="false">IF(L868="","",VALUE(LEFT(L868,FIND("/",L868)-1)))</f>
        <v/>
      </c>
      <c r="X868" s="7" t="str">
        <f aca="false">IF(L868="","",VALUE(MID(L868,FIND("/",L868)+1,FIND("/",L868,FIND("/",L868)+1)-FIND("/",L868)-1)))</f>
        <v/>
      </c>
      <c r="Y868" s="7" t="str">
        <f aca="false">IF(L868="","",VALUE(MID(L868,FIND("/",L868,FIND("/",L868)+1)+1,LEN(L868)-FIND("/",L868,FIND("/",L868)+1))))</f>
        <v/>
      </c>
      <c r="Z868" s="7" t="str">
        <f aca="false">IF(OR(L868="",W868=""),"",IFERROR(INDEX('لیست‌ها'!$Q$3:$Q$53,MATCH(W868,'لیست‌ها'!$P$3:$P$53,0))+IF(X868&lt;=6,(X868-1)*31+Y868,IF(X868&lt;=11,186+(X868-7)*30+Y868,336+Y868))-1,""))</f>
        <v/>
      </c>
      <c r="AA868" s="7" t="str">
        <f aca="false">IF(H868="","",VALUE(LEFT(H868,FIND("/",H868)-1)))</f>
        <v/>
      </c>
      <c r="AB868" s="7" t="str">
        <f aca="false">IF(H868="","",VALUE(MID(H868,FIND("/",H868)+1,FIND("/",H868,FIND("/",H868)+1)-FIND("/",H868)-1)))</f>
        <v/>
      </c>
      <c r="AC868" s="7" t="str">
        <f aca="false">IF(H868="","",VALUE(MID(H868,FIND("/",H868,FIND("/",H868)+1)+1,LEN(H868)-FIND("/",H868,FIND("/",H868)+1))))</f>
        <v/>
      </c>
      <c r="AD868" s="7" t="str">
        <f aca="false">IF(OR(H868="",AA868=""),"",IFERROR(INDEX('لیست‌ها'!$Q$3:$Q$53,MATCH(AA868,'لیست‌ها'!$P$3:$P$53,0))+IF(AB868&lt;=6,(AB868-1)*31+AC868,IF(AB868&lt;=11,186+(AB868-7)*30+AC868,336+AC868))-1,""))</f>
        <v/>
      </c>
      <c r="AE868" s="7" t="str">
        <f aca="false">IF(P868="","",VALUE(LEFT(P868,FIND("/",P868)-1)))</f>
        <v/>
      </c>
      <c r="AF868" s="7" t="str">
        <f aca="false">IF(P868="","",VALUE(MID(P868,FIND("/",P868)+1,FIND("/",P868,FIND("/",P868)+1)-FIND("/",P868)-1)))</f>
        <v/>
      </c>
      <c r="AG868" s="7" t="str">
        <f aca="false">IF(P868="","",VALUE(MID(P868,FIND("/",P868,FIND("/",P868)+1)+1,LEN(P868)-FIND("/",P868,FIND("/",P868)+1))))</f>
        <v/>
      </c>
      <c r="AH868" s="7" t="str">
        <f aca="false">IF(OR(P868="",AE868=""),"",IFERROR(INDEX('لیست‌ها'!$Q$3:$Q$53,MATCH(AE868,'لیست‌ها'!$P$3:$P$53,0))+IF(AF868&lt;=6,(AF868-1)*31+AG868,IF(AF868&lt;=11,186+(AF868-7)*30+AG868,336+AG868))-1,""))</f>
        <v/>
      </c>
      <c r="AI868" s="7" t="str">
        <f aca="false">IF(W868="","",W868&amp;"-"&amp;TEXT(X868,"00"))</f>
        <v/>
      </c>
      <c r="AJ868" s="7" t="str">
        <f aca="false">IF(W868="","",W868*12+X868)</f>
        <v/>
      </c>
      <c r="AK868" s="7" t="str">
        <f aca="false">IF(U868="تاخیر",V868+ROW()/100000,"")</f>
        <v/>
      </c>
    </row>
    <row r="869" customFormat="false" ht="15" hidden="false" customHeight="false" outlineLevel="0" collapsed="false">
      <c r="A869" s="7" t="str">
        <f aca="false">IF(B869="","",ROW()-3)</f>
        <v/>
      </c>
      <c r="B869" s="8"/>
      <c r="C869" s="8"/>
      <c r="D869" s="8"/>
      <c r="E869" s="9"/>
      <c r="F869" s="9"/>
      <c r="G869" s="8"/>
      <c r="H869" s="8"/>
      <c r="I869" s="8"/>
      <c r="J869" s="9"/>
      <c r="K869" s="8"/>
      <c r="L869" s="8"/>
      <c r="M869" s="8"/>
      <c r="N869" s="8"/>
      <c r="O869" s="8"/>
      <c r="P869" s="8"/>
      <c r="Q869" s="8"/>
      <c r="R869" s="9"/>
      <c r="S869" s="8"/>
      <c r="T869" s="9"/>
      <c r="U869" s="10" t="str">
        <f aca="true">IF(B869="","",IF(OR(P869&lt;&gt;"",I869="می‌باشد"),"بسته",IF(AND(L869&lt;&gt;"",W869=""),"خطای فرمت تاریخ ایجاد",IF(AND(H869&lt;&gt;"",AA869=""),"خطای فرمت مهلت",IF(AND(H869&lt;&gt;"",AD869&lt;&gt;"",TODAY()&gt;AD869),"تاخیر",IF(L869&lt;&gt;"","در حال انجام",""))))))</f>
        <v/>
      </c>
      <c r="V869" s="7" t="n">
        <f aca="true">IF(U869="تاخیر",TODAY()-AD869,IF(AND(U869="بسته",AH869&lt;&gt;"",AD869&lt;&gt;"",AH869&gt;AD869),AH869-AD869,0))</f>
        <v>0</v>
      </c>
      <c r="W869" s="7" t="str">
        <f aca="false">IF(L869="","",VALUE(LEFT(L869,FIND("/",L869)-1)))</f>
        <v/>
      </c>
      <c r="X869" s="7" t="str">
        <f aca="false">IF(L869="","",VALUE(MID(L869,FIND("/",L869)+1,FIND("/",L869,FIND("/",L869)+1)-FIND("/",L869)-1)))</f>
        <v/>
      </c>
      <c r="Y869" s="7" t="str">
        <f aca="false">IF(L869="","",VALUE(MID(L869,FIND("/",L869,FIND("/",L869)+1)+1,LEN(L869)-FIND("/",L869,FIND("/",L869)+1))))</f>
        <v/>
      </c>
      <c r="Z869" s="7" t="str">
        <f aca="false">IF(OR(L869="",W869=""),"",IFERROR(INDEX('لیست‌ها'!$Q$3:$Q$53,MATCH(W869,'لیست‌ها'!$P$3:$P$53,0))+IF(X869&lt;=6,(X869-1)*31+Y869,IF(X869&lt;=11,186+(X869-7)*30+Y869,336+Y869))-1,""))</f>
        <v/>
      </c>
      <c r="AA869" s="7" t="str">
        <f aca="false">IF(H869="","",VALUE(LEFT(H869,FIND("/",H869)-1)))</f>
        <v/>
      </c>
      <c r="AB869" s="7" t="str">
        <f aca="false">IF(H869="","",VALUE(MID(H869,FIND("/",H869)+1,FIND("/",H869,FIND("/",H869)+1)-FIND("/",H869)-1)))</f>
        <v/>
      </c>
      <c r="AC869" s="7" t="str">
        <f aca="false">IF(H869="","",VALUE(MID(H869,FIND("/",H869,FIND("/",H869)+1)+1,LEN(H869)-FIND("/",H869,FIND("/",H869)+1))))</f>
        <v/>
      </c>
      <c r="AD869" s="7" t="str">
        <f aca="false">IF(OR(H869="",AA869=""),"",IFERROR(INDEX('لیست‌ها'!$Q$3:$Q$53,MATCH(AA869,'لیست‌ها'!$P$3:$P$53,0))+IF(AB869&lt;=6,(AB869-1)*31+AC869,IF(AB869&lt;=11,186+(AB869-7)*30+AC869,336+AC869))-1,""))</f>
        <v/>
      </c>
      <c r="AE869" s="7" t="str">
        <f aca="false">IF(P869="","",VALUE(LEFT(P869,FIND("/",P869)-1)))</f>
        <v/>
      </c>
      <c r="AF869" s="7" t="str">
        <f aca="false">IF(P869="","",VALUE(MID(P869,FIND("/",P869)+1,FIND("/",P869,FIND("/",P869)+1)-FIND("/",P869)-1)))</f>
        <v/>
      </c>
      <c r="AG869" s="7" t="str">
        <f aca="false">IF(P869="","",VALUE(MID(P869,FIND("/",P869,FIND("/",P869)+1)+1,LEN(P869)-FIND("/",P869,FIND("/",P869)+1))))</f>
        <v/>
      </c>
      <c r="AH869" s="7" t="str">
        <f aca="false">IF(OR(P869="",AE869=""),"",IFERROR(INDEX('لیست‌ها'!$Q$3:$Q$53,MATCH(AE869,'لیست‌ها'!$P$3:$P$53,0))+IF(AF869&lt;=6,(AF869-1)*31+AG869,IF(AF869&lt;=11,186+(AF869-7)*30+AG869,336+AG869))-1,""))</f>
        <v/>
      </c>
      <c r="AI869" s="7" t="str">
        <f aca="false">IF(W869="","",W869&amp;"-"&amp;TEXT(X869,"00"))</f>
        <v/>
      </c>
      <c r="AJ869" s="7" t="str">
        <f aca="false">IF(W869="","",W869*12+X869)</f>
        <v/>
      </c>
      <c r="AK869" s="7" t="str">
        <f aca="false">IF(U869="تاخیر",V869+ROW()/100000,"")</f>
        <v/>
      </c>
    </row>
    <row r="870" customFormat="false" ht="15" hidden="false" customHeight="false" outlineLevel="0" collapsed="false">
      <c r="A870" s="7" t="str">
        <f aca="false">IF(B870="","",ROW()-3)</f>
        <v/>
      </c>
      <c r="B870" s="8"/>
      <c r="C870" s="8"/>
      <c r="D870" s="8"/>
      <c r="E870" s="9"/>
      <c r="F870" s="9"/>
      <c r="G870" s="8"/>
      <c r="H870" s="8"/>
      <c r="I870" s="8"/>
      <c r="J870" s="9"/>
      <c r="K870" s="8"/>
      <c r="L870" s="8"/>
      <c r="M870" s="8"/>
      <c r="N870" s="8"/>
      <c r="O870" s="8"/>
      <c r="P870" s="8"/>
      <c r="Q870" s="8"/>
      <c r="R870" s="9"/>
      <c r="S870" s="8"/>
      <c r="T870" s="9"/>
      <c r="U870" s="10" t="str">
        <f aca="true">IF(B870="","",IF(OR(P870&lt;&gt;"",I870="می‌باشد"),"بسته",IF(AND(L870&lt;&gt;"",W870=""),"خطای فرمت تاریخ ایجاد",IF(AND(H870&lt;&gt;"",AA870=""),"خطای فرمت مهلت",IF(AND(H870&lt;&gt;"",AD870&lt;&gt;"",TODAY()&gt;AD870),"تاخیر",IF(L870&lt;&gt;"","در حال انجام",""))))))</f>
        <v/>
      </c>
      <c r="V870" s="7" t="n">
        <f aca="true">IF(U870="تاخیر",TODAY()-AD870,IF(AND(U870="بسته",AH870&lt;&gt;"",AD870&lt;&gt;"",AH870&gt;AD870),AH870-AD870,0))</f>
        <v>0</v>
      </c>
      <c r="W870" s="7" t="str">
        <f aca="false">IF(L870="","",VALUE(LEFT(L870,FIND("/",L870)-1)))</f>
        <v/>
      </c>
      <c r="X870" s="7" t="str">
        <f aca="false">IF(L870="","",VALUE(MID(L870,FIND("/",L870)+1,FIND("/",L870,FIND("/",L870)+1)-FIND("/",L870)-1)))</f>
        <v/>
      </c>
      <c r="Y870" s="7" t="str">
        <f aca="false">IF(L870="","",VALUE(MID(L870,FIND("/",L870,FIND("/",L870)+1)+1,LEN(L870)-FIND("/",L870,FIND("/",L870)+1))))</f>
        <v/>
      </c>
      <c r="Z870" s="7" t="str">
        <f aca="false">IF(OR(L870="",W870=""),"",IFERROR(INDEX('لیست‌ها'!$Q$3:$Q$53,MATCH(W870,'لیست‌ها'!$P$3:$P$53,0))+IF(X870&lt;=6,(X870-1)*31+Y870,IF(X870&lt;=11,186+(X870-7)*30+Y870,336+Y870))-1,""))</f>
        <v/>
      </c>
      <c r="AA870" s="7" t="str">
        <f aca="false">IF(H870="","",VALUE(LEFT(H870,FIND("/",H870)-1)))</f>
        <v/>
      </c>
      <c r="AB870" s="7" t="str">
        <f aca="false">IF(H870="","",VALUE(MID(H870,FIND("/",H870)+1,FIND("/",H870,FIND("/",H870)+1)-FIND("/",H870)-1)))</f>
        <v/>
      </c>
      <c r="AC870" s="7" t="str">
        <f aca="false">IF(H870="","",VALUE(MID(H870,FIND("/",H870,FIND("/",H870)+1)+1,LEN(H870)-FIND("/",H870,FIND("/",H870)+1))))</f>
        <v/>
      </c>
      <c r="AD870" s="7" t="str">
        <f aca="false">IF(OR(H870="",AA870=""),"",IFERROR(INDEX('لیست‌ها'!$Q$3:$Q$53,MATCH(AA870,'لیست‌ها'!$P$3:$P$53,0))+IF(AB870&lt;=6,(AB870-1)*31+AC870,IF(AB870&lt;=11,186+(AB870-7)*30+AC870,336+AC870))-1,""))</f>
        <v/>
      </c>
      <c r="AE870" s="7" t="str">
        <f aca="false">IF(P870="","",VALUE(LEFT(P870,FIND("/",P870)-1)))</f>
        <v/>
      </c>
      <c r="AF870" s="7" t="str">
        <f aca="false">IF(P870="","",VALUE(MID(P870,FIND("/",P870)+1,FIND("/",P870,FIND("/",P870)+1)-FIND("/",P870)-1)))</f>
        <v/>
      </c>
      <c r="AG870" s="7" t="str">
        <f aca="false">IF(P870="","",VALUE(MID(P870,FIND("/",P870,FIND("/",P870)+1)+1,LEN(P870)-FIND("/",P870,FIND("/",P870)+1))))</f>
        <v/>
      </c>
      <c r="AH870" s="7" t="str">
        <f aca="false">IF(OR(P870="",AE870=""),"",IFERROR(INDEX('لیست‌ها'!$Q$3:$Q$53,MATCH(AE870,'لیست‌ها'!$P$3:$P$53,0))+IF(AF870&lt;=6,(AF870-1)*31+AG870,IF(AF870&lt;=11,186+(AF870-7)*30+AG870,336+AG870))-1,""))</f>
        <v/>
      </c>
      <c r="AI870" s="7" t="str">
        <f aca="false">IF(W870="","",W870&amp;"-"&amp;TEXT(X870,"00"))</f>
        <v/>
      </c>
      <c r="AJ870" s="7" t="str">
        <f aca="false">IF(W870="","",W870*12+X870)</f>
        <v/>
      </c>
      <c r="AK870" s="7" t="str">
        <f aca="false">IF(U870="تاخیر",V870+ROW()/100000,"")</f>
        <v/>
      </c>
    </row>
    <row r="871" customFormat="false" ht="15" hidden="false" customHeight="false" outlineLevel="0" collapsed="false">
      <c r="A871" s="7" t="str">
        <f aca="false">IF(B871="","",ROW()-3)</f>
        <v/>
      </c>
      <c r="B871" s="8"/>
      <c r="C871" s="8"/>
      <c r="D871" s="8"/>
      <c r="E871" s="9"/>
      <c r="F871" s="9"/>
      <c r="G871" s="8"/>
      <c r="H871" s="8"/>
      <c r="I871" s="8"/>
      <c r="J871" s="9"/>
      <c r="K871" s="8"/>
      <c r="L871" s="8"/>
      <c r="M871" s="8"/>
      <c r="N871" s="8"/>
      <c r="O871" s="8"/>
      <c r="P871" s="8"/>
      <c r="Q871" s="8"/>
      <c r="R871" s="9"/>
      <c r="S871" s="8"/>
      <c r="T871" s="9"/>
      <c r="U871" s="10" t="str">
        <f aca="true">IF(B871="","",IF(OR(P871&lt;&gt;"",I871="می‌باشد"),"بسته",IF(AND(L871&lt;&gt;"",W871=""),"خطای فرمت تاریخ ایجاد",IF(AND(H871&lt;&gt;"",AA871=""),"خطای فرمت مهلت",IF(AND(H871&lt;&gt;"",AD871&lt;&gt;"",TODAY()&gt;AD871),"تاخیر",IF(L871&lt;&gt;"","در حال انجام",""))))))</f>
        <v/>
      </c>
      <c r="V871" s="7" t="n">
        <f aca="true">IF(U871="تاخیر",TODAY()-AD871,IF(AND(U871="بسته",AH871&lt;&gt;"",AD871&lt;&gt;"",AH871&gt;AD871),AH871-AD871,0))</f>
        <v>0</v>
      </c>
      <c r="W871" s="7" t="str">
        <f aca="false">IF(L871="","",VALUE(LEFT(L871,FIND("/",L871)-1)))</f>
        <v/>
      </c>
      <c r="X871" s="7" t="str">
        <f aca="false">IF(L871="","",VALUE(MID(L871,FIND("/",L871)+1,FIND("/",L871,FIND("/",L871)+1)-FIND("/",L871)-1)))</f>
        <v/>
      </c>
      <c r="Y871" s="7" t="str">
        <f aca="false">IF(L871="","",VALUE(MID(L871,FIND("/",L871,FIND("/",L871)+1)+1,LEN(L871)-FIND("/",L871,FIND("/",L871)+1))))</f>
        <v/>
      </c>
      <c r="Z871" s="7" t="str">
        <f aca="false">IF(OR(L871="",W871=""),"",IFERROR(INDEX('لیست‌ها'!$Q$3:$Q$53,MATCH(W871,'لیست‌ها'!$P$3:$P$53,0))+IF(X871&lt;=6,(X871-1)*31+Y871,IF(X871&lt;=11,186+(X871-7)*30+Y871,336+Y871))-1,""))</f>
        <v/>
      </c>
      <c r="AA871" s="7" t="str">
        <f aca="false">IF(H871="","",VALUE(LEFT(H871,FIND("/",H871)-1)))</f>
        <v/>
      </c>
      <c r="AB871" s="7" t="str">
        <f aca="false">IF(H871="","",VALUE(MID(H871,FIND("/",H871)+1,FIND("/",H871,FIND("/",H871)+1)-FIND("/",H871)-1)))</f>
        <v/>
      </c>
      <c r="AC871" s="7" t="str">
        <f aca="false">IF(H871="","",VALUE(MID(H871,FIND("/",H871,FIND("/",H871)+1)+1,LEN(H871)-FIND("/",H871,FIND("/",H871)+1))))</f>
        <v/>
      </c>
      <c r="AD871" s="7" t="str">
        <f aca="false">IF(OR(H871="",AA871=""),"",IFERROR(INDEX('لیست‌ها'!$Q$3:$Q$53,MATCH(AA871,'لیست‌ها'!$P$3:$P$53,0))+IF(AB871&lt;=6,(AB871-1)*31+AC871,IF(AB871&lt;=11,186+(AB871-7)*30+AC871,336+AC871))-1,""))</f>
        <v/>
      </c>
      <c r="AE871" s="7" t="str">
        <f aca="false">IF(P871="","",VALUE(LEFT(P871,FIND("/",P871)-1)))</f>
        <v/>
      </c>
      <c r="AF871" s="7" t="str">
        <f aca="false">IF(P871="","",VALUE(MID(P871,FIND("/",P871)+1,FIND("/",P871,FIND("/",P871)+1)-FIND("/",P871)-1)))</f>
        <v/>
      </c>
      <c r="AG871" s="7" t="str">
        <f aca="false">IF(P871="","",VALUE(MID(P871,FIND("/",P871,FIND("/",P871)+1)+1,LEN(P871)-FIND("/",P871,FIND("/",P871)+1))))</f>
        <v/>
      </c>
      <c r="AH871" s="7" t="str">
        <f aca="false">IF(OR(P871="",AE871=""),"",IFERROR(INDEX('لیست‌ها'!$Q$3:$Q$53,MATCH(AE871,'لیست‌ها'!$P$3:$P$53,0))+IF(AF871&lt;=6,(AF871-1)*31+AG871,IF(AF871&lt;=11,186+(AF871-7)*30+AG871,336+AG871))-1,""))</f>
        <v/>
      </c>
      <c r="AI871" s="7" t="str">
        <f aca="false">IF(W871="","",W871&amp;"-"&amp;TEXT(X871,"00"))</f>
        <v/>
      </c>
      <c r="AJ871" s="7" t="str">
        <f aca="false">IF(W871="","",W871*12+X871)</f>
        <v/>
      </c>
      <c r="AK871" s="7" t="str">
        <f aca="false">IF(U871="تاخیر",V871+ROW()/100000,"")</f>
        <v/>
      </c>
    </row>
    <row r="872" customFormat="false" ht="15" hidden="false" customHeight="false" outlineLevel="0" collapsed="false">
      <c r="A872" s="7" t="str">
        <f aca="false">IF(B872="","",ROW()-3)</f>
        <v/>
      </c>
      <c r="B872" s="8"/>
      <c r="C872" s="8"/>
      <c r="D872" s="8"/>
      <c r="E872" s="9"/>
      <c r="F872" s="9"/>
      <c r="G872" s="8"/>
      <c r="H872" s="8"/>
      <c r="I872" s="8"/>
      <c r="J872" s="9"/>
      <c r="K872" s="8"/>
      <c r="L872" s="8"/>
      <c r="M872" s="8"/>
      <c r="N872" s="8"/>
      <c r="O872" s="8"/>
      <c r="P872" s="8"/>
      <c r="Q872" s="8"/>
      <c r="R872" s="9"/>
      <c r="S872" s="8"/>
      <c r="T872" s="9"/>
      <c r="U872" s="10" t="str">
        <f aca="true">IF(B872="","",IF(OR(P872&lt;&gt;"",I872="می‌باشد"),"بسته",IF(AND(L872&lt;&gt;"",W872=""),"خطای فرمت تاریخ ایجاد",IF(AND(H872&lt;&gt;"",AA872=""),"خطای فرمت مهلت",IF(AND(H872&lt;&gt;"",AD872&lt;&gt;"",TODAY()&gt;AD872),"تاخیر",IF(L872&lt;&gt;"","در حال انجام",""))))))</f>
        <v/>
      </c>
      <c r="V872" s="7" t="n">
        <f aca="true">IF(U872="تاخیر",TODAY()-AD872,IF(AND(U872="بسته",AH872&lt;&gt;"",AD872&lt;&gt;"",AH872&gt;AD872),AH872-AD872,0))</f>
        <v>0</v>
      </c>
      <c r="W872" s="7" t="str">
        <f aca="false">IF(L872="","",VALUE(LEFT(L872,FIND("/",L872)-1)))</f>
        <v/>
      </c>
      <c r="X872" s="7" t="str">
        <f aca="false">IF(L872="","",VALUE(MID(L872,FIND("/",L872)+1,FIND("/",L872,FIND("/",L872)+1)-FIND("/",L872)-1)))</f>
        <v/>
      </c>
      <c r="Y872" s="7" t="str">
        <f aca="false">IF(L872="","",VALUE(MID(L872,FIND("/",L872,FIND("/",L872)+1)+1,LEN(L872)-FIND("/",L872,FIND("/",L872)+1))))</f>
        <v/>
      </c>
      <c r="Z872" s="7" t="str">
        <f aca="false">IF(OR(L872="",W872=""),"",IFERROR(INDEX('لیست‌ها'!$Q$3:$Q$53,MATCH(W872,'لیست‌ها'!$P$3:$P$53,0))+IF(X872&lt;=6,(X872-1)*31+Y872,IF(X872&lt;=11,186+(X872-7)*30+Y872,336+Y872))-1,""))</f>
        <v/>
      </c>
      <c r="AA872" s="7" t="str">
        <f aca="false">IF(H872="","",VALUE(LEFT(H872,FIND("/",H872)-1)))</f>
        <v/>
      </c>
      <c r="AB872" s="7" t="str">
        <f aca="false">IF(H872="","",VALUE(MID(H872,FIND("/",H872)+1,FIND("/",H872,FIND("/",H872)+1)-FIND("/",H872)-1)))</f>
        <v/>
      </c>
      <c r="AC872" s="7" t="str">
        <f aca="false">IF(H872="","",VALUE(MID(H872,FIND("/",H872,FIND("/",H872)+1)+1,LEN(H872)-FIND("/",H872,FIND("/",H872)+1))))</f>
        <v/>
      </c>
      <c r="AD872" s="7" t="str">
        <f aca="false">IF(OR(H872="",AA872=""),"",IFERROR(INDEX('لیست‌ها'!$Q$3:$Q$53,MATCH(AA872,'لیست‌ها'!$P$3:$P$53,0))+IF(AB872&lt;=6,(AB872-1)*31+AC872,IF(AB872&lt;=11,186+(AB872-7)*30+AC872,336+AC872))-1,""))</f>
        <v/>
      </c>
      <c r="AE872" s="7" t="str">
        <f aca="false">IF(P872="","",VALUE(LEFT(P872,FIND("/",P872)-1)))</f>
        <v/>
      </c>
      <c r="AF872" s="7" t="str">
        <f aca="false">IF(P872="","",VALUE(MID(P872,FIND("/",P872)+1,FIND("/",P872,FIND("/",P872)+1)-FIND("/",P872)-1)))</f>
        <v/>
      </c>
      <c r="AG872" s="7" t="str">
        <f aca="false">IF(P872="","",VALUE(MID(P872,FIND("/",P872,FIND("/",P872)+1)+1,LEN(P872)-FIND("/",P872,FIND("/",P872)+1))))</f>
        <v/>
      </c>
      <c r="AH872" s="7" t="str">
        <f aca="false">IF(OR(P872="",AE872=""),"",IFERROR(INDEX('لیست‌ها'!$Q$3:$Q$53,MATCH(AE872,'لیست‌ها'!$P$3:$P$53,0))+IF(AF872&lt;=6,(AF872-1)*31+AG872,IF(AF872&lt;=11,186+(AF872-7)*30+AG872,336+AG872))-1,""))</f>
        <v/>
      </c>
      <c r="AI872" s="7" t="str">
        <f aca="false">IF(W872="","",W872&amp;"-"&amp;TEXT(X872,"00"))</f>
        <v/>
      </c>
      <c r="AJ872" s="7" t="str">
        <f aca="false">IF(W872="","",W872*12+X872)</f>
        <v/>
      </c>
      <c r="AK872" s="7" t="str">
        <f aca="false">IF(U872="تاخیر",V872+ROW()/100000,"")</f>
        <v/>
      </c>
    </row>
    <row r="873" customFormat="false" ht="15" hidden="false" customHeight="false" outlineLevel="0" collapsed="false">
      <c r="A873" s="7" t="str">
        <f aca="false">IF(B873="","",ROW()-3)</f>
        <v/>
      </c>
      <c r="B873" s="8"/>
      <c r="C873" s="8"/>
      <c r="D873" s="8"/>
      <c r="E873" s="9"/>
      <c r="F873" s="9"/>
      <c r="G873" s="8"/>
      <c r="H873" s="8"/>
      <c r="I873" s="8"/>
      <c r="J873" s="9"/>
      <c r="K873" s="8"/>
      <c r="L873" s="8"/>
      <c r="M873" s="8"/>
      <c r="N873" s="8"/>
      <c r="O873" s="8"/>
      <c r="P873" s="8"/>
      <c r="Q873" s="8"/>
      <c r="R873" s="9"/>
      <c r="S873" s="8"/>
      <c r="T873" s="9"/>
      <c r="U873" s="10" t="str">
        <f aca="true">IF(B873="","",IF(OR(P873&lt;&gt;"",I873="می‌باشد"),"بسته",IF(AND(L873&lt;&gt;"",W873=""),"خطای فرمت تاریخ ایجاد",IF(AND(H873&lt;&gt;"",AA873=""),"خطای فرمت مهلت",IF(AND(H873&lt;&gt;"",AD873&lt;&gt;"",TODAY()&gt;AD873),"تاخیر",IF(L873&lt;&gt;"","در حال انجام",""))))))</f>
        <v/>
      </c>
      <c r="V873" s="7" t="n">
        <f aca="true">IF(U873="تاخیر",TODAY()-AD873,IF(AND(U873="بسته",AH873&lt;&gt;"",AD873&lt;&gt;"",AH873&gt;AD873),AH873-AD873,0))</f>
        <v>0</v>
      </c>
      <c r="W873" s="7" t="str">
        <f aca="false">IF(L873="","",VALUE(LEFT(L873,FIND("/",L873)-1)))</f>
        <v/>
      </c>
      <c r="X873" s="7" t="str">
        <f aca="false">IF(L873="","",VALUE(MID(L873,FIND("/",L873)+1,FIND("/",L873,FIND("/",L873)+1)-FIND("/",L873)-1)))</f>
        <v/>
      </c>
      <c r="Y873" s="7" t="str">
        <f aca="false">IF(L873="","",VALUE(MID(L873,FIND("/",L873,FIND("/",L873)+1)+1,LEN(L873)-FIND("/",L873,FIND("/",L873)+1))))</f>
        <v/>
      </c>
      <c r="Z873" s="7" t="str">
        <f aca="false">IF(OR(L873="",W873=""),"",IFERROR(INDEX('لیست‌ها'!$Q$3:$Q$53,MATCH(W873,'لیست‌ها'!$P$3:$P$53,0))+IF(X873&lt;=6,(X873-1)*31+Y873,IF(X873&lt;=11,186+(X873-7)*30+Y873,336+Y873))-1,""))</f>
        <v/>
      </c>
      <c r="AA873" s="7" t="str">
        <f aca="false">IF(H873="","",VALUE(LEFT(H873,FIND("/",H873)-1)))</f>
        <v/>
      </c>
      <c r="AB873" s="7" t="str">
        <f aca="false">IF(H873="","",VALUE(MID(H873,FIND("/",H873)+1,FIND("/",H873,FIND("/",H873)+1)-FIND("/",H873)-1)))</f>
        <v/>
      </c>
      <c r="AC873" s="7" t="str">
        <f aca="false">IF(H873="","",VALUE(MID(H873,FIND("/",H873,FIND("/",H873)+1)+1,LEN(H873)-FIND("/",H873,FIND("/",H873)+1))))</f>
        <v/>
      </c>
      <c r="AD873" s="7" t="str">
        <f aca="false">IF(OR(H873="",AA873=""),"",IFERROR(INDEX('لیست‌ها'!$Q$3:$Q$53,MATCH(AA873,'لیست‌ها'!$P$3:$P$53,0))+IF(AB873&lt;=6,(AB873-1)*31+AC873,IF(AB873&lt;=11,186+(AB873-7)*30+AC873,336+AC873))-1,""))</f>
        <v/>
      </c>
      <c r="AE873" s="7" t="str">
        <f aca="false">IF(P873="","",VALUE(LEFT(P873,FIND("/",P873)-1)))</f>
        <v/>
      </c>
      <c r="AF873" s="7" t="str">
        <f aca="false">IF(P873="","",VALUE(MID(P873,FIND("/",P873)+1,FIND("/",P873,FIND("/",P873)+1)-FIND("/",P873)-1)))</f>
        <v/>
      </c>
      <c r="AG873" s="7" t="str">
        <f aca="false">IF(P873="","",VALUE(MID(P873,FIND("/",P873,FIND("/",P873)+1)+1,LEN(P873)-FIND("/",P873,FIND("/",P873)+1))))</f>
        <v/>
      </c>
      <c r="AH873" s="7" t="str">
        <f aca="false">IF(OR(P873="",AE873=""),"",IFERROR(INDEX('لیست‌ها'!$Q$3:$Q$53,MATCH(AE873,'لیست‌ها'!$P$3:$P$53,0))+IF(AF873&lt;=6,(AF873-1)*31+AG873,IF(AF873&lt;=11,186+(AF873-7)*30+AG873,336+AG873))-1,""))</f>
        <v/>
      </c>
      <c r="AI873" s="7" t="str">
        <f aca="false">IF(W873="","",W873&amp;"-"&amp;TEXT(X873,"00"))</f>
        <v/>
      </c>
      <c r="AJ873" s="7" t="str">
        <f aca="false">IF(W873="","",W873*12+X873)</f>
        <v/>
      </c>
      <c r="AK873" s="7" t="str">
        <f aca="false">IF(U873="تاخیر",V873+ROW()/100000,"")</f>
        <v/>
      </c>
    </row>
    <row r="874" customFormat="false" ht="15" hidden="false" customHeight="false" outlineLevel="0" collapsed="false">
      <c r="A874" s="7" t="str">
        <f aca="false">IF(B874="","",ROW()-3)</f>
        <v/>
      </c>
      <c r="B874" s="8"/>
      <c r="C874" s="8"/>
      <c r="D874" s="8"/>
      <c r="E874" s="9"/>
      <c r="F874" s="9"/>
      <c r="G874" s="8"/>
      <c r="H874" s="8"/>
      <c r="I874" s="8"/>
      <c r="J874" s="9"/>
      <c r="K874" s="8"/>
      <c r="L874" s="8"/>
      <c r="M874" s="8"/>
      <c r="N874" s="8"/>
      <c r="O874" s="8"/>
      <c r="P874" s="8"/>
      <c r="Q874" s="8"/>
      <c r="R874" s="9"/>
      <c r="S874" s="8"/>
      <c r="T874" s="9"/>
      <c r="U874" s="10" t="str">
        <f aca="true">IF(B874="","",IF(OR(P874&lt;&gt;"",I874="می‌باشد"),"بسته",IF(AND(L874&lt;&gt;"",W874=""),"خطای فرمت تاریخ ایجاد",IF(AND(H874&lt;&gt;"",AA874=""),"خطای فرمت مهلت",IF(AND(H874&lt;&gt;"",AD874&lt;&gt;"",TODAY()&gt;AD874),"تاخیر",IF(L874&lt;&gt;"","در حال انجام",""))))))</f>
        <v/>
      </c>
      <c r="V874" s="7" t="n">
        <f aca="true">IF(U874="تاخیر",TODAY()-AD874,IF(AND(U874="بسته",AH874&lt;&gt;"",AD874&lt;&gt;"",AH874&gt;AD874),AH874-AD874,0))</f>
        <v>0</v>
      </c>
      <c r="W874" s="7" t="str">
        <f aca="false">IF(L874="","",VALUE(LEFT(L874,FIND("/",L874)-1)))</f>
        <v/>
      </c>
      <c r="X874" s="7" t="str">
        <f aca="false">IF(L874="","",VALUE(MID(L874,FIND("/",L874)+1,FIND("/",L874,FIND("/",L874)+1)-FIND("/",L874)-1)))</f>
        <v/>
      </c>
      <c r="Y874" s="7" t="str">
        <f aca="false">IF(L874="","",VALUE(MID(L874,FIND("/",L874,FIND("/",L874)+1)+1,LEN(L874)-FIND("/",L874,FIND("/",L874)+1))))</f>
        <v/>
      </c>
      <c r="Z874" s="7" t="str">
        <f aca="false">IF(OR(L874="",W874=""),"",IFERROR(INDEX('لیست‌ها'!$Q$3:$Q$53,MATCH(W874,'لیست‌ها'!$P$3:$P$53,0))+IF(X874&lt;=6,(X874-1)*31+Y874,IF(X874&lt;=11,186+(X874-7)*30+Y874,336+Y874))-1,""))</f>
        <v/>
      </c>
      <c r="AA874" s="7" t="str">
        <f aca="false">IF(H874="","",VALUE(LEFT(H874,FIND("/",H874)-1)))</f>
        <v/>
      </c>
      <c r="AB874" s="7" t="str">
        <f aca="false">IF(H874="","",VALUE(MID(H874,FIND("/",H874)+1,FIND("/",H874,FIND("/",H874)+1)-FIND("/",H874)-1)))</f>
        <v/>
      </c>
      <c r="AC874" s="7" t="str">
        <f aca="false">IF(H874="","",VALUE(MID(H874,FIND("/",H874,FIND("/",H874)+1)+1,LEN(H874)-FIND("/",H874,FIND("/",H874)+1))))</f>
        <v/>
      </c>
      <c r="AD874" s="7" t="str">
        <f aca="false">IF(OR(H874="",AA874=""),"",IFERROR(INDEX('لیست‌ها'!$Q$3:$Q$53,MATCH(AA874,'لیست‌ها'!$P$3:$P$53,0))+IF(AB874&lt;=6,(AB874-1)*31+AC874,IF(AB874&lt;=11,186+(AB874-7)*30+AC874,336+AC874))-1,""))</f>
        <v/>
      </c>
      <c r="AE874" s="7" t="str">
        <f aca="false">IF(P874="","",VALUE(LEFT(P874,FIND("/",P874)-1)))</f>
        <v/>
      </c>
      <c r="AF874" s="7" t="str">
        <f aca="false">IF(P874="","",VALUE(MID(P874,FIND("/",P874)+1,FIND("/",P874,FIND("/",P874)+1)-FIND("/",P874)-1)))</f>
        <v/>
      </c>
      <c r="AG874" s="7" t="str">
        <f aca="false">IF(P874="","",VALUE(MID(P874,FIND("/",P874,FIND("/",P874)+1)+1,LEN(P874)-FIND("/",P874,FIND("/",P874)+1))))</f>
        <v/>
      </c>
      <c r="AH874" s="7" t="str">
        <f aca="false">IF(OR(P874="",AE874=""),"",IFERROR(INDEX('لیست‌ها'!$Q$3:$Q$53,MATCH(AE874,'لیست‌ها'!$P$3:$P$53,0))+IF(AF874&lt;=6,(AF874-1)*31+AG874,IF(AF874&lt;=11,186+(AF874-7)*30+AG874,336+AG874))-1,""))</f>
        <v/>
      </c>
      <c r="AI874" s="7" t="str">
        <f aca="false">IF(W874="","",W874&amp;"-"&amp;TEXT(X874,"00"))</f>
        <v/>
      </c>
      <c r="AJ874" s="7" t="str">
        <f aca="false">IF(W874="","",W874*12+X874)</f>
        <v/>
      </c>
      <c r="AK874" s="7" t="str">
        <f aca="false">IF(U874="تاخیر",V874+ROW()/100000,"")</f>
        <v/>
      </c>
    </row>
    <row r="875" customFormat="false" ht="15" hidden="false" customHeight="false" outlineLevel="0" collapsed="false">
      <c r="A875" s="7" t="str">
        <f aca="false">IF(B875="","",ROW()-3)</f>
        <v/>
      </c>
      <c r="B875" s="8"/>
      <c r="C875" s="8"/>
      <c r="D875" s="8"/>
      <c r="E875" s="9"/>
      <c r="F875" s="9"/>
      <c r="G875" s="8"/>
      <c r="H875" s="8"/>
      <c r="I875" s="8"/>
      <c r="J875" s="9"/>
      <c r="K875" s="8"/>
      <c r="L875" s="8"/>
      <c r="M875" s="8"/>
      <c r="N875" s="8"/>
      <c r="O875" s="8"/>
      <c r="P875" s="8"/>
      <c r="Q875" s="8"/>
      <c r="R875" s="9"/>
      <c r="S875" s="8"/>
      <c r="T875" s="9"/>
      <c r="U875" s="10" t="str">
        <f aca="true">IF(B875="","",IF(OR(P875&lt;&gt;"",I875="می‌باشد"),"بسته",IF(AND(L875&lt;&gt;"",W875=""),"خطای فرمت تاریخ ایجاد",IF(AND(H875&lt;&gt;"",AA875=""),"خطای فرمت مهلت",IF(AND(H875&lt;&gt;"",AD875&lt;&gt;"",TODAY()&gt;AD875),"تاخیر",IF(L875&lt;&gt;"","در حال انجام",""))))))</f>
        <v/>
      </c>
      <c r="V875" s="7" t="n">
        <f aca="true">IF(U875="تاخیر",TODAY()-AD875,IF(AND(U875="بسته",AH875&lt;&gt;"",AD875&lt;&gt;"",AH875&gt;AD875),AH875-AD875,0))</f>
        <v>0</v>
      </c>
      <c r="W875" s="7" t="str">
        <f aca="false">IF(L875="","",VALUE(LEFT(L875,FIND("/",L875)-1)))</f>
        <v/>
      </c>
      <c r="X875" s="7" t="str">
        <f aca="false">IF(L875="","",VALUE(MID(L875,FIND("/",L875)+1,FIND("/",L875,FIND("/",L875)+1)-FIND("/",L875)-1)))</f>
        <v/>
      </c>
      <c r="Y875" s="7" t="str">
        <f aca="false">IF(L875="","",VALUE(MID(L875,FIND("/",L875,FIND("/",L875)+1)+1,LEN(L875)-FIND("/",L875,FIND("/",L875)+1))))</f>
        <v/>
      </c>
      <c r="Z875" s="7" t="str">
        <f aca="false">IF(OR(L875="",W875=""),"",IFERROR(INDEX('لیست‌ها'!$Q$3:$Q$53,MATCH(W875,'لیست‌ها'!$P$3:$P$53,0))+IF(X875&lt;=6,(X875-1)*31+Y875,IF(X875&lt;=11,186+(X875-7)*30+Y875,336+Y875))-1,""))</f>
        <v/>
      </c>
      <c r="AA875" s="7" t="str">
        <f aca="false">IF(H875="","",VALUE(LEFT(H875,FIND("/",H875)-1)))</f>
        <v/>
      </c>
      <c r="AB875" s="7" t="str">
        <f aca="false">IF(H875="","",VALUE(MID(H875,FIND("/",H875)+1,FIND("/",H875,FIND("/",H875)+1)-FIND("/",H875)-1)))</f>
        <v/>
      </c>
      <c r="AC875" s="7" t="str">
        <f aca="false">IF(H875="","",VALUE(MID(H875,FIND("/",H875,FIND("/",H875)+1)+1,LEN(H875)-FIND("/",H875,FIND("/",H875)+1))))</f>
        <v/>
      </c>
      <c r="AD875" s="7" t="str">
        <f aca="false">IF(OR(H875="",AA875=""),"",IFERROR(INDEX('لیست‌ها'!$Q$3:$Q$53,MATCH(AA875,'لیست‌ها'!$P$3:$P$53,0))+IF(AB875&lt;=6,(AB875-1)*31+AC875,IF(AB875&lt;=11,186+(AB875-7)*30+AC875,336+AC875))-1,""))</f>
        <v/>
      </c>
      <c r="AE875" s="7" t="str">
        <f aca="false">IF(P875="","",VALUE(LEFT(P875,FIND("/",P875)-1)))</f>
        <v/>
      </c>
      <c r="AF875" s="7" t="str">
        <f aca="false">IF(P875="","",VALUE(MID(P875,FIND("/",P875)+1,FIND("/",P875,FIND("/",P875)+1)-FIND("/",P875)-1)))</f>
        <v/>
      </c>
      <c r="AG875" s="7" t="str">
        <f aca="false">IF(P875="","",VALUE(MID(P875,FIND("/",P875,FIND("/",P875)+1)+1,LEN(P875)-FIND("/",P875,FIND("/",P875)+1))))</f>
        <v/>
      </c>
      <c r="AH875" s="7" t="str">
        <f aca="false">IF(OR(P875="",AE875=""),"",IFERROR(INDEX('لیست‌ها'!$Q$3:$Q$53,MATCH(AE875,'لیست‌ها'!$P$3:$P$53,0))+IF(AF875&lt;=6,(AF875-1)*31+AG875,IF(AF875&lt;=11,186+(AF875-7)*30+AG875,336+AG875))-1,""))</f>
        <v/>
      </c>
      <c r="AI875" s="7" t="str">
        <f aca="false">IF(W875="","",W875&amp;"-"&amp;TEXT(X875,"00"))</f>
        <v/>
      </c>
      <c r="AJ875" s="7" t="str">
        <f aca="false">IF(W875="","",W875*12+X875)</f>
        <v/>
      </c>
      <c r="AK875" s="7" t="str">
        <f aca="false">IF(U875="تاخیر",V875+ROW()/100000,"")</f>
        <v/>
      </c>
    </row>
    <row r="876" customFormat="false" ht="15" hidden="false" customHeight="false" outlineLevel="0" collapsed="false">
      <c r="A876" s="7" t="str">
        <f aca="false">IF(B876="","",ROW()-3)</f>
        <v/>
      </c>
      <c r="B876" s="8"/>
      <c r="C876" s="8"/>
      <c r="D876" s="8"/>
      <c r="E876" s="9"/>
      <c r="F876" s="9"/>
      <c r="G876" s="8"/>
      <c r="H876" s="8"/>
      <c r="I876" s="8"/>
      <c r="J876" s="9"/>
      <c r="K876" s="8"/>
      <c r="L876" s="8"/>
      <c r="M876" s="8"/>
      <c r="N876" s="8"/>
      <c r="O876" s="8"/>
      <c r="P876" s="8"/>
      <c r="Q876" s="8"/>
      <c r="R876" s="9"/>
      <c r="S876" s="8"/>
      <c r="T876" s="9"/>
      <c r="U876" s="10" t="str">
        <f aca="true">IF(B876="","",IF(OR(P876&lt;&gt;"",I876="می‌باشد"),"بسته",IF(AND(L876&lt;&gt;"",W876=""),"خطای فرمت تاریخ ایجاد",IF(AND(H876&lt;&gt;"",AA876=""),"خطای فرمت مهلت",IF(AND(H876&lt;&gt;"",AD876&lt;&gt;"",TODAY()&gt;AD876),"تاخیر",IF(L876&lt;&gt;"","در حال انجام",""))))))</f>
        <v/>
      </c>
      <c r="V876" s="7" t="n">
        <f aca="true">IF(U876="تاخیر",TODAY()-AD876,IF(AND(U876="بسته",AH876&lt;&gt;"",AD876&lt;&gt;"",AH876&gt;AD876),AH876-AD876,0))</f>
        <v>0</v>
      </c>
      <c r="W876" s="7" t="str">
        <f aca="false">IF(L876="","",VALUE(LEFT(L876,FIND("/",L876)-1)))</f>
        <v/>
      </c>
      <c r="X876" s="7" t="str">
        <f aca="false">IF(L876="","",VALUE(MID(L876,FIND("/",L876)+1,FIND("/",L876,FIND("/",L876)+1)-FIND("/",L876)-1)))</f>
        <v/>
      </c>
      <c r="Y876" s="7" t="str">
        <f aca="false">IF(L876="","",VALUE(MID(L876,FIND("/",L876,FIND("/",L876)+1)+1,LEN(L876)-FIND("/",L876,FIND("/",L876)+1))))</f>
        <v/>
      </c>
      <c r="Z876" s="7" t="str">
        <f aca="false">IF(OR(L876="",W876=""),"",IFERROR(INDEX('لیست‌ها'!$Q$3:$Q$53,MATCH(W876,'لیست‌ها'!$P$3:$P$53,0))+IF(X876&lt;=6,(X876-1)*31+Y876,IF(X876&lt;=11,186+(X876-7)*30+Y876,336+Y876))-1,""))</f>
        <v/>
      </c>
      <c r="AA876" s="7" t="str">
        <f aca="false">IF(H876="","",VALUE(LEFT(H876,FIND("/",H876)-1)))</f>
        <v/>
      </c>
      <c r="AB876" s="7" t="str">
        <f aca="false">IF(H876="","",VALUE(MID(H876,FIND("/",H876)+1,FIND("/",H876,FIND("/",H876)+1)-FIND("/",H876)-1)))</f>
        <v/>
      </c>
      <c r="AC876" s="7" t="str">
        <f aca="false">IF(H876="","",VALUE(MID(H876,FIND("/",H876,FIND("/",H876)+1)+1,LEN(H876)-FIND("/",H876,FIND("/",H876)+1))))</f>
        <v/>
      </c>
      <c r="AD876" s="7" t="str">
        <f aca="false">IF(OR(H876="",AA876=""),"",IFERROR(INDEX('لیست‌ها'!$Q$3:$Q$53,MATCH(AA876,'لیست‌ها'!$P$3:$P$53,0))+IF(AB876&lt;=6,(AB876-1)*31+AC876,IF(AB876&lt;=11,186+(AB876-7)*30+AC876,336+AC876))-1,""))</f>
        <v/>
      </c>
      <c r="AE876" s="7" t="str">
        <f aca="false">IF(P876="","",VALUE(LEFT(P876,FIND("/",P876)-1)))</f>
        <v/>
      </c>
      <c r="AF876" s="7" t="str">
        <f aca="false">IF(P876="","",VALUE(MID(P876,FIND("/",P876)+1,FIND("/",P876,FIND("/",P876)+1)-FIND("/",P876)-1)))</f>
        <v/>
      </c>
      <c r="AG876" s="7" t="str">
        <f aca="false">IF(P876="","",VALUE(MID(P876,FIND("/",P876,FIND("/",P876)+1)+1,LEN(P876)-FIND("/",P876,FIND("/",P876)+1))))</f>
        <v/>
      </c>
      <c r="AH876" s="7" t="str">
        <f aca="false">IF(OR(P876="",AE876=""),"",IFERROR(INDEX('لیست‌ها'!$Q$3:$Q$53,MATCH(AE876,'لیست‌ها'!$P$3:$P$53,0))+IF(AF876&lt;=6,(AF876-1)*31+AG876,IF(AF876&lt;=11,186+(AF876-7)*30+AG876,336+AG876))-1,""))</f>
        <v/>
      </c>
      <c r="AI876" s="7" t="str">
        <f aca="false">IF(W876="","",W876&amp;"-"&amp;TEXT(X876,"00"))</f>
        <v/>
      </c>
      <c r="AJ876" s="7" t="str">
        <f aca="false">IF(W876="","",W876*12+X876)</f>
        <v/>
      </c>
      <c r="AK876" s="7" t="str">
        <f aca="false">IF(U876="تاخیر",V876+ROW()/100000,"")</f>
        <v/>
      </c>
    </row>
    <row r="877" customFormat="false" ht="15" hidden="false" customHeight="false" outlineLevel="0" collapsed="false">
      <c r="A877" s="7" t="str">
        <f aca="false">IF(B877="","",ROW()-3)</f>
        <v/>
      </c>
      <c r="B877" s="8"/>
      <c r="C877" s="8"/>
      <c r="D877" s="8"/>
      <c r="E877" s="9"/>
      <c r="F877" s="9"/>
      <c r="G877" s="8"/>
      <c r="H877" s="8"/>
      <c r="I877" s="8"/>
      <c r="J877" s="9"/>
      <c r="K877" s="8"/>
      <c r="L877" s="8"/>
      <c r="M877" s="8"/>
      <c r="N877" s="8"/>
      <c r="O877" s="8"/>
      <c r="P877" s="8"/>
      <c r="Q877" s="8"/>
      <c r="R877" s="9"/>
      <c r="S877" s="8"/>
      <c r="T877" s="9"/>
      <c r="U877" s="10" t="str">
        <f aca="true">IF(B877="","",IF(OR(P877&lt;&gt;"",I877="می‌باشد"),"بسته",IF(AND(L877&lt;&gt;"",W877=""),"خطای فرمت تاریخ ایجاد",IF(AND(H877&lt;&gt;"",AA877=""),"خطای فرمت مهلت",IF(AND(H877&lt;&gt;"",AD877&lt;&gt;"",TODAY()&gt;AD877),"تاخیر",IF(L877&lt;&gt;"","در حال انجام",""))))))</f>
        <v/>
      </c>
      <c r="V877" s="7" t="n">
        <f aca="true">IF(U877="تاخیر",TODAY()-AD877,IF(AND(U877="بسته",AH877&lt;&gt;"",AD877&lt;&gt;"",AH877&gt;AD877),AH877-AD877,0))</f>
        <v>0</v>
      </c>
      <c r="W877" s="7" t="str">
        <f aca="false">IF(L877="","",VALUE(LEFT(L877,FIND("/",L877)-1)))</f>
        <v/>
      </c>
      <c r="X877" s="7" t="str">
        <f aca="false">IF(L877="","",VALUE(MID(L877,FIND("/",L877)+1,FIND("/",L877,FIND("/",L877)+1)-FIND("/",L877)-1)))</f>
        <v/>
      </c>
      <c r="Y877" s="7" t="str">
        <f aca="false">IF(L877="","",VALUE(MID(L877,FIND("/",L877,FIND("/",L877)+1)+1,LEN(L877)-FIND("/",L877,FIND("/",L877)+1))))</f>
        <v/>
      </c>
      <c r="Z877" s="7" t="str">
        <f aca="false">IF(OR(L877="",W877=""),"",IFERROR(INDEX('لیست‌ها'!$Q$3:$Q$53,MATCH(W877,'لیست‌ها'!$P$3:$P$53,0))+IF(X877&lt;=6,(X877-1)*31+Y877,IF(X877&lt;=11,186+(X877-7)*30+Y877,336+Y877))-1,""))</f>
        <v/>
      </c>
      <c r="AA877" s="7" t="str">
        <f aca="false">IF(H877="","",VALUE(LEFT(H877,FIND("/",H877)-1)))</f>
        <v/>
      </c>
      <c r="AB877" s="7" t="str">
        <f aca="false">IF(H877="","",VALUE(MID(H877,FIND("/",H877)+1,FIND("/",H877,FIND("/",H877)+1)-FIND("/",H877)-1)))</f>
        <v/>
      </c>
      <c r="AC877" s="7" t="str">
        <f aca="false">IF(H877="","",VALUE(MID(H877,FIND("/",H877,FIND("/",H877)+1)+1,LEN(H877)-FIND("/",H877,FIND("/",H877)+1))))</f>
        <v/>
      </c>
      <c r="AD877" s="7" t="str">
        <f aca="false">IF(OR(H877="",AA877=""),"",IFERROR(INDEX('لیست‌ها'!$Q$3:$Q$53,MATCH(AA877,'لیست‌ها'!$P$3:$P$53,0))+IF(AB877&lt;=6,(AB877-1)*31+AC877,IF(AB877&lt;=11,186+(AB877-7)*30+AC877,336+AC877))-1,""))</f>
        <v/>
      </c>
      <c r="AE877" s="7" t="str">
        <f aca="false">IF(P877="","",VALUE(LEFT(P877,FIND("/",P877)-1)))</f>
        <v/>
      </c>
      <c r="AF877" s="7" t="str">
        <f aca="false">IF(P877="","",VALUE(MID(P877,FIND("/",P877)+1,FIND("/",P877,FIND("/",P877)+1)-FIND("/",P877)-1)))</f>
        <v/>
      </c>
      <c r="AG877" s="7" t="str">
        <f aca="false">IF(P877="","",VALUE(MID(P877,FIND("/",P877,FIND("/",P877)+1)+1,LEN(P877)-FIND("/",P877,FIND("/",P877)+1))))</f>
        <v/>
      </c>
      <c r="AH877" s="7" t="str">
        <f aca="false">IF(OR(P877="",AE877=""),"",IFERROR(INDEX('لیست‌ها'!$Q$3:$Q$53,MATCH(AE877,'لیست‌ها'!$P$3:$P$53,0))+IF(AF877&lt;=6,(AF877-1)*31+AG877,IF(AF877&lt;=11,186+(AF877-7)*30+AG877,336+AG877))-1,""))</f>
        <v/>
      </c>
      <c r="AI877" s="7" t="str">
        <f aca="false">IF(W877="","",W877&amp;"-"&amp;TEXT(X877,"00"))</f>
        <v/>
      </c>
      <c r="AJ877" s="7" t="str">
        <f aca="false">IF(W877="","",W877*12+X877)</f>
        <v/>
      </c>
      <c r="AK877" s="7" t="str">
        <f aca="false">IF(U877="تاخیر",V877+ROW()/100000,"")</f>
        <v/>
      </c>
    </row>
    <row r="878" customFormat="false" ht="15" hidden="false" customHeight="false" outlineLevel="0" collapsed="false">
      <c r="A878" s="7" t="str">
        <f aca="false">IF(B878="","",ROW()-3)</f>
        <v/>
      </c>
      <c r="B878" s="8"/>
      <c r="C878" s="8"/>
      <c r="D878" s="8"/>
      <c r="E878" s="9"/>
      <c r="F878" s="9"/>
      <c r="G878" s="8"/>
      <c r="H878" s="8"/>
      <c r="I878" s="8"/>
      <c r="J878" s="9"/>
      <c r="K878" s="8"/>
      <c r="L878" s="8"/>
      <c r="M878" s="8"/>
      <c r="N878" s="8"/>
      <c r="O878" s="8"/>
      <c r="P878" s="8"/>
      <c r="Q878" s="8"/>
      <c r="R878" s="9"/>
      <c r="S878" s="8"/>
      <c r="T878" s="9"/>
      <c r="U878" s="10" t="str">
        <f aca="true">IF(B878="","",IF(OR(P878&lt;&gt;"",I878="می‌باشد"),"بسته",IF(AND(L878&lt;&gt;"",W878=""),"خطای فرمت تاریخ ایجاد",IF(AND(H878&lt;&gt;"",AA878=""),"خطای فرمت مهلت",IF(AND(H878&lt;&gt;"",AD878&lt;&gt;"",TODAY()&gt;AD878),"تاخیر",IF(L878&lt;&gt;"","در حال انجام",""))))))</f>
        <v/>
      </c>
      <c r="V878" s="7" t="n">
        <f aca="true">IF(U878="تاخیر",TODAY()-AD878,IF(AND(U878="بسته",AH878&lt;&gt;"",AD878&lt;&gt;"",AH878&gt;AD878),AH878-AD878,0))</f>
        <v>0</v>
      </c>
      <c r="W878" s="7" t="str">
        <f aca="false">IF(L878="","",VALUE(LEFT(L878,FIND("/",L878)-1)))</f>
        <v/>
      </c>
      <c r="X878" s="7" t="str">
        <f aca="false">IF(L878="","",VALUE(MID(L878,FIND("/",L878)+1,FIND("/",L878,FIND("/",L878)+1)-FIND("/",L878)-1)))</f>
        <v/>
      </c>
      <c r="Y878" s="7" t="str">
        <f aca="false">IF(L878="","",VALUE(MID(L878,FIND("/",L878,FIND("/",L878)+1)+1,LEN(L878)-FIND("/",L878,FIND("/",L878)+1))))</f>
        <v/>
      </c>
      <c r="Z878" s="7" t="str">
        <f aca="false">IF(OR(L878="",W878=""),"",IFERROR(INDEX('لیست‌ها'!$Q$3:$Q$53,MATCH(W878,'لیست‌ها'!$P$3:$P$53,0))+IF(X878&lt;=6,(X878-1)*31+Y878,IF(X878&lt;=11,186+(X878-7)*30+Y878,336+Y878))-1,""))</f>
        <v/>
      </c>
      <c r="AA878" s="7" t="str">
        <f aca="false">IF(H878="","",VALUE(LEFT(H878,FIND("/",H878)-1)))</f>
        <v/>
      </c>
      <c r="AB878" s="7" t="str">
        <f aca="false">IF(H878="","",VALUE(MID(H878,FIND("/",H878)+1,FIND("/",H878,FIND("/",H878)+1)-FIND("/",H878)-1)))</f>
        <v/>
      </c>
      <c r="AC878" s="7" t="str">
        <f aca="false">IF(H878="","",VALUE(MID(H878,FIND("/",H878,FIND("/",H878)+1)+1,LEN(H878)-FIND("/",H878,FIND("/",H878)+1))))</f>
        <v/>
      </c>
      <c r="AD878" s="7" t="str">
        <f aca="false">IF(OR(H878="",AA878=""),"",IFERROR(INDEX('لیست‌ها'!$Q$3:$Q$53,MATCH(AA878,'لیست‌ها'!$P$3:$P$53,0))+IF(AB878&lt;=6,(AB878-1)*31+AC878,IF(AB878&lt;=11,186+(AB878-7)*30+AC878,336+AC878))-1,""))</f>
        <v/>
      </c>
      <c r="AE878" s="7" t="str">
        <f aca="false">IF(P878="","",VALUE(LEFT(P878,FIND("/",P878)-1)))</f>
        <v/>
      </c>
      <c r="AF878" s="7" t="str">
        <f aca="false">IF(P878="","",VALUE(MID(P878,FIND("/",P878)+1,FIND("/",P878,FIND("/",P878)+1)-FIND("/",P878)-1)))</f>
        <v/>
      </c>
      <c r="AG878" s="7" t="str">
        <f aca="false">IF(P878="","",VALUE(MID(P878,FIND("/",P878,FIND("/",P878)+1)+1,LEN(P878)-FIND("/",P878,FIND("/",P878)+1))))</f>
        <v/>
      </c>
      <c r="AH878" s="7" t="str">
        <f aca="false">IF(OR(P878="",AE878=""),"",IFERROR(INDEX('لیست‌ها'!$Q$3:$Q$53,MATCH(AE878,'لیست‌ها'!$P$3:$P$53,0))+IF(AF878&lt;=6,(AF878-1)*31+AG878,IF(AF878&lt;=11,186+(AF878-7)*30+AG878,336+AG878))-1,""))</f>
        <v/>
      </c>
      <c r="AI878" s="7" t="str">
        <f aca="false">IF(W878="","",W878&amp;"-"&amp;TEXT(X878,"00"))</f>
        <v/>
      </c>
      <c r="AJ878" s="7" t="str">
        <f aca="false">IF(W878="","",W878*12+X878)</f>
        <v/>
      </c>
      <c r="AK878" s="7" t="str">
        <f aca="false">IF(U878="تاخیر",V878+ROW()/100000,"")</f>
        <v/>
      </c>
    </row>
    <row r="879" customFormat="false" ht="15" hidden="false" customHeight="false" outlineLevel="0" collapsed="false">
      <c r="A879" s="7" t="str">
        <f aca="false">IF(B879="","",ROW()-3)</f>
        <v/>
      </c>
      <c r="B879" s="8"/>
      <c r="C879" s="8"/>
      <c r="D879" s="8"/>
      <c r="E879" s="9"/>
      <c r="F879" s="9"/>
      <c r="G879" s="8"/>
      <c r="H879" s="8"/>
      <c r="I879" s="8"/>
      <c r="J879" s="9"/>
      <c r="K879" s="8"/>
      <c r="L879" s="8"/>
      <c r="M879" s="8"/>
      <c r="N879" s="8"/>
      <c r="O879" s="8"/>
      <c r="P879" s="8"/>
      <c r="Q879" s="8"/>
      <c r="R879" s="9"/>
      <c r="S879" s="8"/>
      <c r="T879" s="9"/>
      <c r="U879" s="10" t="str">
        <f aca="true">IF(B879="","",IF(OR(P879&lt;&gt;"",I879="می‌باشد"),"بسته",IF(AND(L879&lt;&gt;"",W879=""),"خطای فرمت تاریخ ایجاد",IF(AND(H879&lt;&gt;"",AA879=""),"خطای فرمت مهلت",IF(AND(H879&lt;&gt;"",AD879&lt;&gt;"",TODAY()&gt;AD879),"تاخیر",IF(L879&lt;&gt;"","در حال انجام",""))))))</f>
        <v/>
      </c>
      <c r="V879" s="7" t="n">
        <f aca="true">IF(U879="تاخیر",TODAY()-AD879,IF(AND(U879="بسته",AH879&lt;&gt;"",AD879&lt;&gt;"",AH879&gt;AD879),AH879-AD879,0))</f>
        <v>0</v>
      </c>
      <c r="W879" s="7" t="str">
        <f aca="false">IF(L879="","",VALUE(LEFT(L879,FIND("/",L879)-1)))</f>
        <v/>
      </c>
      <c r="X879" s="7" t="str">
        <f aca="false">IF(L879="","",VALUE(MID(L879,FIND("/",L879)+1,FIND("/",L879,FIND("/",L879)+1)-FIND("/",L879)-1)))</f>
        <v/>
      </c>
      <c r="Y879" s="7" t="str">
        <f aca="false">IF(L879="","",VALUE(MID(L879,FIND("/",L879,FIND("/",L879)+1)+1,LEN(L879)-FIND("/",L879,FIND("/",L879)+1))))</f>
        <v/>
      </c>
      <c r="Z879" s="7" t="str">
        <f aca="false">IF(OR(L879="",W879=""),"",IFERROR(INDEX('لیست‌ها'!$Q$3:$Q$53,MATCH(W879,'لیست‌ها'!$P$3:$P$53,0))+IF(X879&lt;=6,(X879-1)*31+Y879,IF(X879&lt;=11,186+(X879-7)*30+Y879,336+Y879))-1,""))</f>
        <v/>
      </c>
      <c r="AA879" s="7" t="str">
        <f aca="false">IF(H879="","",VALUE(LEFT(H879,FIND("/",H879)-1)))</f>
        <v/>
      </c>
      <c r="AB879" s="7" t="str">
        <f aca="false">IF(H879="","",VALUE(MID(H879,FIND("/",H879)+1,FIND("/",H879,FIND("/",H879)+1)-FIND("/",H879)-1)))</f>
        <v/>
      </c>
      <c r="AC879" s="7" t="str">
        <f aca="false">IF(H879="","",VALUE(MID(H879,FIND("/",H879,FIND("/",H879)+1)+1,LEN(H879)-FIND("/",H879,FIND("/",H879)+1))))</f>
        <v/>
      </c>
      <c r="AD879" s="7" t="str">
        <f aca="false">IF(OR(H879="",AA879=""),"",IFERROR(INDEX('لیست‌ها'!$Q$3:$Q$53,MATCH(AA879,'لیست‌ها'!$P$3:$P$53,0))+IF(AB879&lt;=6,(AB879-1)*31+AC879,IF(AB879&lt;=11,186+(AB879-7)*30+AC879,336+AC879))-1,""))</f>
        <v/>
      </c>
      <c r="AE879" s="7" t="str">
        <f aca="false">IF(P879="","",VALUE(LEFT(P879,FIND("/",P879)-1)))</f>
        <v/>
      </c>
      <c r="AF879" s="7" t="str">
        <f aca="false">IF(P879="","",VALUE(MID(P879,FIND("/",P879)+1,FIND("/",P879,FIND("/",P879)+1)-FIND("/",P879)-1)))</f>
        <v/>
      </c>
      <c r="AG879" s="7" t="str">
        <f aca="false">IF(P879="","",VALUE(MID(P879,FIND("/",P879,FIND("/",P879)+1)+1,LEN(P879)-FIND("/",P879,FIND("/",P879)+1))))</f>
        <v/>
      </c>
      <c r="AH879" s="7" t="str">
        <f aca="false">IF(OR(P879="",AE879=""),"",IFERROR(INDEX('لیست‌ها'!$Q$3:$Q$53,MATCH(AE879,'لیست‌ها'!$P$3:$P$53,0))+IF(AF879&lt;=6,(AF879-1)*31+AG879,IF(AF879&lt;=11,186+(AF879-7)*30+AG879,336+AG879))-1,""))</f>
        <v/>
      </c>
      <c r="AI879" s="7" t="str">
        <f aca="false">IF(W879="","",W879&amp;"-"&amp;TEXT(X879,"00"))</f>
        <v/>
      </c>
      <c r="AJ879" s="7" t="str">
        <f aca="false">IF(W879="","",W879*12+X879)</f>
        <v/>
      </c>
      <c r="AK879" s="7" t="str">
        <f aca="false">IF(U879="تاخیر",V879+ROW()/100000,"")</f>
        <v/>
      </c>
    </row>
    <row r="880" customFormat="false" ht="15" hidden="false" customHeight="false" outlineLevel="0" collapsed="false">
      <c r="A880" s="7" t="str">
        <f aca="false">IF(B880="","",ROW()-3)</f>
        <v/>
      </c>
      <c r="B880" s="8"/>
      <c r="C880" s="8"/>
      <c r="D880" s="8"/>
      <c r="E880" s="9"/>
      <c r="F880" s="9"/>
      <c r="G880" s="8"/>
      <c r="H880" s="8"/>
      <c r="I880" s="8"/>
      <c r="J880" s="9"/>
      <c r="K880" s="8"/>
      <c r="L880" s="8"/>
      <c r="M880" s="8"/>
      <c r="N880" s="8"/>
      <c r="O880" s="8"/>
      <c r="P880" s="8"/>
      <c r="Q880" s="8"/>
      <c r="R880" s="9"/>
      <c r="S880" s="8"/>
      <c r="T880" s="9"/>
      <c r="U880" s="10" t="str">
        <f aca="true">IF(B880="","",IF(OR(P880&lt;&gt;"",I880="می‌باشد"),"بسته",IF(AND(L880&lt;&gt;"",W880=""),"خطای فرمت تاریخ ایجاد",IF(AND(H880&lt;&gt;"",AA880=""),"خطای فرمت مهلت",IF(AND(H880&lt;&gt;"",AD880&lt;&gt;"",TODAY()&gt;AD880),"تاخیر",IF(L880&lt;&gt;"","در حال انجام",""))))))</f>
        <v/>
      </c>
      <c r="V880" s="7" t="n">
        <f aca="true">IF(U880="تاخیر",TODAY()-AD880,IF(AND(U880="بسته",AH880&lt;&gt;"",AD880&lt;&gt;"",AH880&gt;AD880),AH880-AD880,0))</f>
        <v>0</v>
      </c>
      <c r="W880" s="7" t="str">
        <f aca="false">IF(L880="","",VALUE(LEFT(L880,FIND("/",L880)-1)))</f>
        <v/>
      </c>
      <c r="X880" s="7" t="str">
        <f aca="false">IF(L880="","",VALUE(MID(L880,FIND("/",L880)+1,FIND("/",L880,FIND("/",L880)+1)-FIND("/",L880)-1)))</f>
        <v/>
      </c>
      <c r="Y880" s="7" t="str">
        <f aca="false">IF(L880="","",VALUE(MID(L880,FIND("/",L880,FIND("/",L880)+1)+1,LEN(L880)-FIND("/",L880,FIND("/",L880)+1))))</f>
        <v/>
      </c>
      <c r="Z880" s="7" t="str">
        <f aca="false">IF(OR(L880="",W880=""),"",IFERROR(INDEX('لیست‌ها'!$Q$3:$Q$53,MATCH(W880,'لیست‌ها'!$P$3:$P$53,0))+IF(X880&lt;=6,(X880-1)*31+Y880,IF(X880&lt;=11,186+(X880-7)*30+Y880,336+Y880))-1,""))</f>
        <v/>
      </c>
      <c r="AA880" s="7" t="str">
        <f aca="false">IF(H880="","",VALUE(LEFT(H880,FIND("/",H880)-1)))</f>
        <v/>
      </c>
      <c r="AB880" s="7" t="str">
        <f aca="false">IF(H880="","",VALUE(MID(H880,FIND("/",H880)+1,FIND("/",H880,FIND("/",H880)+1)-FIND("/",H880)-1)))</f>
        <v/>
      </c>
      <c r="AC880" s="7" t="str">
        <f aca="false">IF(H880="","",VALUE(MID(H880,FIND("/",H880,FIND("/",H880)+1)+1,LEN(H880)-FIND("/",H880,FIND("/",H880)+1))))</f>
        <v/>
      </c>
      <c r="AD880" s="7" t="str">
        <f aca="false">IF(OR(H880="",AA880=""),"",IFERROR(INDEX('لیست‌ها'!$Q$3:$Q$53,MATCH(AA880,'لیست‌ها'!$P$3:$P$53,0))+IF(AB880&lt;=6,(AB880-1)*31+AC880,IF(AB880&lt;=11,186+(AB880-7)*30+AC880,336+AC880))-1,""))</f>
        <v/>
      </c>
      <c r="AE880" s="7" t="str">
        <f aca="false">IF(P880="","",VALUE(LEFT(P880,FIND("/",P880)-1)))</f>
        <v/>
      </c>
      <c r="AF880" s="7" t="str">
        <f aca="false">IF(P880="","",VALUE(MID(P880,FIND("/",P880)+1,FIND("/",P880,FIND("/",P880)+1)-FIND("/",P880)-1)))</f>
        <v/>
      </c>
      <c r="AG880" s="7" t="str">
        <f aca="false">IF(P880="","",VALUE(MID(P880,FIND("/",P880,FIND("/",P880)+1)+1,LEN(P880)-FIND("/",P880,FIND("/",P880)+1))))</f>
        <v/>
      </c>
      <c r="AH880" s="7" t="str">
        <f aca="false">IF(OR(P880="",AE880=""),"",IFERROR(INDEX('لیست‌ها'!$Q$3:$Q$53,MATCH(AE880,'لیست‌ها'!$P$3:$P$53,0))+IF(AF880&lt;=6,(AF880-1)*31+AG880,IF(AF880&lt;=11,186+(AF880-7)*30+AG880,336+AG880))-1,""))</f>
        <v/>
      </c>
      <c r="AI880" s="7" t="str">
        <f aca="false">IF(W880="","",W880&amp;"-"&amp;TEXT(X880,"00"))</f>
        <v/>
      </c>
      <c r="AJ880" s="7" t="str">
        <f aca="false">IF(W880="","",W880*12+X880)</f>
        <v/>
      </c>
      <c r="AK880" s="7" t="str">
        <f aca="false">IF(U880="تاخیر",V880+ROW()/100000,"")</f>
        <v/>
      </c>
    </row>
    <row r="881" customFormat="false" ht="15" hidden="false" customHeight="false" outlineLevel="0" collapsed="false">
      <c r="A881" s="7" t="str">
        <f aca="false">IF(B881="","",ROW()-3)</f>
        <v/>
      </c>
      <c r="B881" s="8"/>
      <c r="C881" s="8"/>
      <c r="D881" s="8"/>
      <c r="E881" s="9"/>
      <c r="F881" s="9"/>
      <c r="G881" s="8"/>
      <c r="H881" s="8"/>
      <c r="I881" s="8"/>
      <c r="J881" s="9"/>
      <c r="K881" s="8"/>
      <c r="L881" s="8"/>
      <c r="M881" s="8"/>
      <c r="N881" s="8"/>
      <c r="O881" s="8"/>
      <c r="P881" s="8"/>
      <c r="Q881" s="8"/>
      <c r="R881" s="9"/>
      <c r="S881" s="8"/>
      <c r="T881" s="9"/>
      <c r="U881" s="10" t="str">
        <f aca="true">IF(B881="","",IF(OR(P881&lt;&gt;"",I881="می‌باشد"),"بسته",IF(AND(L881&lt;&gt;"",W881=""),"خطای فرمت تاریخ ایجاد",IF(AND(H881&lt;&gt;"",AA881=""),"خطای فرمت مهلت",IF(AND(H881&lt;&gt;"",AD881&lt;&gt;"",TODAY()&gt;AD881),"تاخیر",IF(L881&lt;&gt;"","در حال انجام",""))))))</f>
        <v/>
      </c>
      <c r="V881" s="7" t="n">
        <f aca="true">IF(U881="تاخیر",TODAY()-AD881,IF(AND(U881="بسته",AH881&lt;&gt;"",AD881&lt;&gt;"",AH881&gt;AD881),AH881-AD881,0))</f>
        <v>0</v>
      </c>
      <c r="W881" s="7" t="str">
        <f aca="false">IF(L881="","",VALUE(LEFT(L881,FIND("/",L881)-1)))</f>
        <v/>
      </c>
      <c r="X881" s="7" t="str">
        <f aca="false">IF(L881="","",VALUE(MID(L881,FIND("/",L881)+1,FIND("/",L881,FIND("/",L881)+1)-FIND("/",L881)-1)))</f>
        <v/>
      </c>
      <c r="Y881" s="7" t="str">
        <f aca="false">IF(L881="","",VALUE(MID(L881,FIND("/",L881,FIND("/",L881)+1)+1,LEN(L881)-FIND("/",L881,FIND("/",L881)+1))))</f>
        <v/>
      </c>
      <c r="Z881" s="7" t="str">
        <f aca="false">IF(OR(L881="",W881=""),"",IFERROR(INDEX('لیست‌ها'!$Q$3:$Q$53,MATCH(W881,'لیست‌ها'!$P$3:$P$53,0))+IF(X881&lt;=6,(X881-1)*31+Y881,IF(X881&lt;=11,186+(X881-7)*30+Y881,336+Y881))-1,""))</f>
        <v/>
      </c>
      <c r="AA881" s="7" t="str">
        <f aca="false">IF(H881="","",VALUE(LEFT(H881,FIND("/",H881)-1)))</f>
        <v/>
      </c>
      <c r="AB881" s="7" t="str">
        <f aca="false">IF(H881="","",VALUE(MID(H881,FIND("/",H881)+1,FIND("/",H881,FIND("/",H881)+1)-FIND("/",H881)-1)))</f>
        <v/>
      </c>
      <c r="AC881" s="7" t="str">
        <f aca="false">IF(H881="","",VALUE(MID(H881,FIND("/",H881,FIND("/",H881)+1)+1,LEN(H881)-FIND("/",H881,FIND("/",H881)+1))))</f>
        <v/>
      </c>
      <c r="AD881" s="7" t="str">
        <f aca="false">IF(OR(H881="",AA881=""),"",IFERROR(INDEX('لیست‌ها'!$Q$3:$Q$53,MATCH(AA881,'لیست‌ها'!$P$3:$P$53,0))+IF(AB881&lt;=6,(AB881-1)*31+AC881,IF(AB881&lt;=11,186+(AB881-7)*30+AC881,336+AC881))-1,""))</f>
        <v/>
      </c>
      <c r="AE881" s="7" t="str">
        <f aca="false">IF(P881="","",VALUE(LEFT(P881,FIND("/",P881)-1)))</f>
        <v/>
      </c>
      <c r="AF881" s="7" t="str">
        <f aca="false">IF(P881="","",VALUE(MID(P881,FIND("/",P881)+1,FIND("/",P881,FIND("/",P881)+1)-FIND("/",P881)-1)))</f>
        <v/>
      </c>
      <c r="AG881" s="7" t="str">
        <f aca="false">IF(P881="","",VALUE(MID(P881,FIND("/",P881,FIND("/",P881)+1)+1,LEN(P881)-FIND("/",P881,FIND("/",P881)+1))))</f>
        <v/>
      </c>
      <c r="AH881" s="7" t="str">
        <f aca="false">IF(OR(P881="",AE881=""),"",IFERROR(INDEX('لیست‌ها'!$Q$3:$Q$53,MATCH(AE881,'لیست‌ها'!$P$3:$P$53,0))+IF(AF881&lt;=6,(AF881-1)*31+AG881,IF(AF881&lt;=11,186+(AF881-7)*30+AG881,336+AG881))-1,""))</f>
        <v/>
      </c>
      <c r="AI881" s="7" t="str">
        <f aca="false">IF(W881="","",W881&amp;"-"&amp;TEXT(X881,"00"))</f>
        <v/>
      </c>
      <c r="AJ881" s="7" t="str">
        <f aca="false">IF(W881="","",W881*12+X881)</f>
        <v/>
      </c>
      <c r="AK881" s="7" t="str">
        <f aca="false">IF(U881="تاخیر",V881+ROW()/100000,"")</f>
        <v/>
      </c>
    </row>
    <row r="882" customFormat="false" ht="15" hidden="false" customHeight="false" outlineLevel="0" collapsed="false">
      <c r="A882" s="7" t="str">
        <f aca="false">IF(B882="","",ROW()-3)</f>
        <v/>
      </c>
      <c r="B882" s="8"/>
      <c r="C882" s="8"/>
      <c r="D882" s="8"/>
      <c r="E882" s="9"/>
      <c r="F882" s="9"/>
      <c r="G882" s="8"/>
      <c r="H882" s="8"/>
      <c r="I882" s="8"/>
      <c r="J882" s="9"/>
      <c r="K882" s="8"/>
      <c r="L882" s="8"/>
      <c r="M882" s="8"/>
      <c r="N882" s="8"/>
      <c r="O882" s="8"/>
      <c r="P882" s="8"/>
      <c r="Q882" s="8"/>
      <c r="R882" s="9"/>
      <c r="S882" s="8"/>
      <c r="T882" s="9"/>
      <c r="U882" s="10" t="str">
        <f aca="true">IF(B882="","",IF(OR(P882&lt;&gt;"",I882="می‌باشد"),"بسته",IF(AND(L882&lt;&gt;"",W882=""),"خطای فرمت تاریخ ایجاد",IF(AND(H882&lt;&gt;"",AA882=""),"خطای فرمت مهلت",IF(AND(H882&lt;&gt;"",AD882&lt;&gt;"",TODAY()&gt;AD882),"تاخیر",IF(L882&lt;&gt;"","در حال انجام",""))))))</f>
        <v/>
      </c>
      <c r="V882" s="7" t="n">
        <f aca="true">IF(U882="تاخیر",TODAY()-AD882,IF(AND(U882="بسته",AH882&lt;&gt;"",AD882&lt;&gt;"",AH882&gt;AD882),AH882-AD882,0))</f>
        <v>0</v>
      </c>
      <c r="W882" s="7" t="str">
        <f aca="false">IF(L882="","",VALUE(LEFT(L882,FIND("/",L882)-1)))</f>
        <v/>
      </c>
      <c r="X882" s="7" t="str">
        <f aca="false">IF(L882="","",VALUE(MID(L882,FIND("/",L882)+1,FIND("/",L882,FIND("/",L882)+1)-FIND("/",L882)-1)))</f>
        <v/>
      </c>
      <c r="Y882" s="7" t="str">
        <f aca="false">IF(L882="","",VALUE(MID(L882,FIND("/",L882,FIND("/",L882)+1)+1,LEN(L882)-FIND("/",L882,FIND("/",L882)+1))))</f>
        <v/>
      </c>
      <c r="Z882" s="7" t="str">
        <f aca="false">IF(OR(L882="",W882=""),"",IFERROR(INDEX('لیست‌ها'!$Q$3:$Q$53,MATCH(W882,'لیست‌ها'!$P$3:$P$53,0))+IF(X882&lt;=6,(X882-1)*31+Y882,IF(X882&lt;=11,186+(X882-7)*30+Y882,336+Y882))-1,""))</f>
        <v/>
      </c>
      <c r="AA882" s="7" t="str">
        <f aca="false">IF(H882="","",VALUE(LEFT(H882,FIND("/",H882)-1)))</f>
        <v/>
      </c>
      <c r="AB882" s="7" t="str">
        <f aca="false">IF(H882="","",VALUE(MID(H882,FIND("/",H882)+1,FIND("/",H882,FIND("/",H882)+1)-FIND("/",H882)-1)))</f>
        <v/>
      </c>
      <c r="AC882" s="7" t="str">
        <f aca="false">IF(H882="","",VALUE(MID(H882,FIND("/",H882,FIND("/",H882)+1)+1,LEN(H882)-FIND("/",H882,FIND("/",H882)+1))))</f>
        <v/>
      </c>
      <c r="AD882" s="7" t="str">
        <f aca="false">IF(OR(H882="",AA882=""),"",IFERROR(INDEX('لیست‌ها'!$Q$3:$Q$53,MATCH(AA882,'لیست‌ها'!$P$3:$P$53,0))+IF(AB882&lt;=6,(AB882-1)*31+AC882,IF(AB882&lt;=11,186+(AB882-7)*30+AC882,336+AC882))-1,""))</f>
        <v/>
      </c>
      <c r="AE882" s="7" t="str">
        <f aca="false">IF(P882="","",VALUE(LEFT(P882,FIND("/",P882)-1)))</f>
        <v/>
      </c>
      <c r="AF882" s="7" t="str">
        <f aca="false">IF(P882="","",VALUE(MID(P882,FIND("/",P882)+1,FIND("/",P882,FIND("/",P882)+1)-FIND("/",P882)-1)))</f>
        <v/>
      </c>
      <c r="AG882" s="7" t="str">
        <f aca="false">IF(P882="","",VALUE(MID(P882,FIND("/",P882,FIND("/",P882)+1)+1,LEN(P882)-FIND("/",P882,FIND("/",P882)+1))))</f>
        <v/>
      </c>
      <c r="AH882" s="7" t="str">
        <f aca="false">IF(OR(P882="",AE882=""),"",IFERROR(INDEX('لیست‌ها'!$Q$3:$Q$53,MATCH(AE882,'لیست‌ها'!$P$3:$P$53,0))+IF(AF882&lt;=6,(AF882-1)*31+AG882,IF(AF882&lt;=11,186+(AF882-7)*30+AG882,336+AG882))-1,""))</f>
        <v/>
      </c>
      <c r="AI882" s="7" t="str">
        <f aca="false">IF(W882="","",W882&amp;"-"&amp;TEXT(X882,"00"))</f>
        <v/>
      </c>
      <c r="AJ882" s="7" t="str">
        <f aca="false">IF(W882="","",W882*12+X882)</f>
        <v/>
      </c>
      <c r="AK882" s="7" t="str">
        <f aca="false">IF(U882="تاخیر",V882+ROW()/100000,"")</f>
        <v/>
      </c>
    </row>
    <row r="883" customFormat="false" ht="15" hidden="false" customHeight="false" outlineLevel="0" collapsed="false">
      <c r="A883" s="7" t="str">
        <f aca="false">IF(B883="","",ROW()-3)</f>
        <v/>
      </c>
      <c r="B883" s="8"/>
      <c r="C883" s="8"/>
      <c r="D883" s="8"/>
      <c r="E883" s="9"/>
      <c r="F883" s="9"/>
      <c r="G883" s="8"/>
      <c r="H883" s="8"/>
      <c r="I883" s="8"/>
      <c r="J883" s="9"/>
      <c r="K883" s="8"/>
      <c r="L883" s="8"/>
      <c r="M883" s="8"/>
      <c r="N883" s="8"/>
      <c r="O883" s="8"/>
      <c r="P883" s="8"/>
      <c r="Q883" s="8"/>
      <c r="R883" s="9"/>
      <c r="S883" s="8"/>
      <c r="T883" s="9"/>
      <c r="U883" s="10" t="str">
        <f aca="true">IF(B883="","",IF(OR(P883&lt;&gt;"",I883="می‌باشد"),"بسته",IF(AND(L883&lt;&gt;"",W883=""),"خطای فرمت تاریخ ایجاد",IF(AND(H883&lt;&gt;"",AA883=""),"خطای فرمت مهلت",IF(AND(H883&lt;&gt;"",AD883&lt;&gt;"",TODAY()&gt;AD883),"تاخیر",IF(L883&lt;&gt;"","در حال انجام",""))))))</f>
        <v/>
      </c>
      <c r="V883" s="7" t="n">
        <f aca="true">IF(U883="تاخیر",TODAY()-AD883,IF(AND(U883="بسته",AH883&lt;&gt;"",AD883&lt;&gt;"",AH883&gt;AD883),AH883-AD883,0))</f>
        <v>0</v>
      </c>
      <c r="W883" s="7" t="str">
        <f aca="false">IF(L883="","",VALUE(LEFT(L883,FIND("/",L883)-1)))</f>
        <v/>
      </c>
      <c r="X883" s="7" t="str">
        <f aca="false">IF(L883="","",VALUE(MID(L883,FIND("/",L883)+1,FIND("/",L883,FIND("/",L883)+1)-FIND("/",L883)-1)))</f>
        <v/>
      </c>
      <c r="Y883" s="7" t="str">
        <f aca="false">IF(L883="","",VALUE(MID(L883,FIND("/",L883,FIND("/",L883)+1)+1,LEN(L883)-FIND("/",L883,FIND("/",L883)+1))))</f>
        <v/>
      </c>
      <c r="Z883" s="7" t="str">
        <f aca="false">IF(OR(L883="",W883=""),"",IFERROR(INDEX('لیست‌ها'!$Q$3:$Q$53,MATCH(W883,'لیست‌ها'!$P$3:$P$53,0))+IF(X883&lt;=6,(X883-1)*31+Y883,IF(X883&lt;=11,186+(X883-7)*30+Y883,336+Y883))-1,""))</f>
        <v/>
      </c>
      <c r="AA883" s="7" t="str">
        <f aca="false">IF(H883="","",VALUE(LEFT(H883,FIND("/",H883)-1)))</f>
        <v/>
      </c>
      <c r="AB883" s="7" t="str">
        <f aca="false">IF(H883="","",VALUE(MID(H883,FIND("/",H883)+1,FIND("/",H883,FIND("/",H883)+1)-FIND("/",H883)-1)))</f>
        <v/>
      </c>
      <c r="AC883" s="7" t="str">
        <f aca="false">IF(H883="","",VALUE(MID(H883,FIND("/",H883,FIND("/",H883)+1)+1,LEN(H883)-FIND("/",H883,FIND("/",H883)+1))))</f>
        <v/>
      </c>
      <c r="AD883" s="7" t="str">
        <f aca="false">IF(OR(H883="",AA883=""),"",IFERROR(INDEX('لیست‌ها'!$Q$3:$Q$53,MATCH(AA883,'لیست‌ها'!$P$3:$P$53,0))+IF(AB883&lt;=6,(AB883-1)*31+AC883,IF(AB883&lt;=11,186+(AB883-7)*30+AC883,336+AC883))-1,""))</f>
        <v/>
      </c>
      <c r="AE883" s="7" t="str">
        <f aca="false">IF(P883="","",VALUE(LEFT(P883,FIND("/",P883)-1)))</f>
        <v/>
      </c>
      <c r="AF883" s="7" t="str">
        <f aca="false">IF(P883="","",VALUE(MID(P883,FIND("/",P883)+1,FIND("/",P883,FIND("/",P883)+1)-FIND("/",P883)-1)))</f>
        <v/>
      </c>
      <c r="AG883" s="7" t="str">
        <f aca="false">IF(P883="","",VALUE(MID(P883,FIND("/",P883,FIND("/",P883)+1)+1,LEN(P883)-FIND("/",P883,FIND("/",P883)+1))))</f>
        <v/>
      </c>
      <c r="AH883" s="7" t="str">
        <f aca="false">IF(OR(P883="",AE883=""),"",IFERROR(INDEX('لیست‌ها'!$Q$3:$Q$53,MATCH(AE883,'لیست‌ها'!$P$3:$P$53,0))+IF(AF883&lt;=6,(AF883-1)*31+AG883,IF(AF883&lt;=11,186+(AF883-7)*30+AG883,336+AG883))-1,""))</f>
        <v/>
      </c>
      <c r="AI883" s="7" t="str">
        <f aca="false">IF(W883="","",W883&amp;"-"&amp;TEXT(X883,"00"))</f>
        <v/>
      </c>
      <c r="AJ883" s="7" t="str">
        <f aca="false">IF(W883="","",W883*12+X883)</f>
        <v/>
      </c>
      <c r="AK883" s="7" t="str">
        <f aca="false">IF(U883="تاخیر",V883+ROW()/100000,"")</f>
        <v/>
      </c>
    </row>
    <row r="884" customFormat="false" ht="15" hidden="false" customHeight="false" outlineLevel="0" collapsed="false">
      <c r="A884" s="7" t="str">
        <f aca="false">IF(B884="","",ROW()-3)</f>
        <v/>
      </c>
      <c r="B884" s="8"/>
      <c r="C884" s="8"/>
      <c r="D884" s="8"/>
      <c r="E884" s="9"/>
      <c r="F884" s="9"/>
      <c r="G884" s="8"/>
      <c r="H884" s="8"/>
      <c r="I884" s="8"/>
      <c r="J884" s="9"/>
      <c r="K884" s="8"/>
      <c r="L884" s="8"/>
      <c r="M884" s="8"/>
      <c r="N884" s="8"/>
      <c r="O884" s="8"/>
      <c r="P884" s="8"/>
      <c r="Q884" s="8"/>
      <c r="R884" s="9"/>
      <c r="S884" s="8"/>
      <c r="T884" s="9"/>
      <c r="U884" s="10" t="str">
        <f aca="true">IF(B884="","",IF(OR(P884&lt;&gt;"",I884="می‌باشد"),"بسته",IF(AND(L884&lt;&gt;"",W884=""),"خطای فرمت تاریخ ایجاد",IF(AND(H884&lt;&gt;"",AA884=""),"خطای فرمت مهلت",IF(AND(H884&lt;&gt;"",AD884&lt;&gt;"",TODAY()&gt;AD884),"تاخیر",IF(L884&lt;&gt;"","در حال انجام",""))))))</f>
        <v/>
      </c>
      <c r="V884" s="7" t="n">
        <f aca="true">IF(U884="تاخیر",TODAY()-AD884,IF(AND(U884="بسته",AH884&lt;&gt;"",AD884&lt;&gt;"",AH884&gt;AD884),AH884-AD884,0))</f>
        <v>0</v>
      </c>
      <c r="W884" s="7" t="str">
        <f aca="false">IF(L884="","",VALUE(LEFT(L884,FIND("/",L884)-1)))</f>
        <v/>
      </c>
      <c r="X884" s="7" t="str">
        <f aca="false">IF(L884="","",VALUE(MID(L884,FIND("/",L884)+1,FIND("/",L884,FIND("/",L884)+1)-FIND("/",L884)-1)))</f>
        <v/>
      </c>
      <c r="Y884" s="7" t="str">
        <f aca="false">IF(L884="","",VALUE(MID(L884,FIND("/",L884,FIND("/",L884)+1)+1,LEN(L884)-FIND("/",L884,FIND("/",L884)+1))))</f>
        <v/>
      </c>
      <c r="Z884" s="7" t="str">
        <f aca="false">IF(OR(L884="",W884=""),"",IFERROR(INDEX('لیست‌ها'!$Q$3:$Q$53,MATCH(W884,'لیست‌ها'!$P$3:$P$53,0))+IF(X884&lt;=6,(X884-1)*31+Y884,IF(X884&lt;=11,186+(X884-7)*30+Y884,336+Y884))-1,""))</f>
        <v/>
      </c>
      <c r="AA884" s="7" t="str">
        <f aca="false">IF(H884="","",VALUE(LEFT(H884,FIND("/",H884)-1)))</f>
        <v/>
      </c>
      <c r="AB884" s="7" t="str">
        <f aca="false">IF(H884="","",VALUE(MID(H884,FIND("/",H884)+1,FIND("/",H884,FIND("/",H884)+1)-FIND("/",H884)-1)))</f>
        <v/>
      </c>
      <c r="AC884" s="7" t="str">
        <f aca="false">IF(H884="","",VALUE(MID(H884,FIND("/",H884,FIND("/",H884)+1)+1,LEN(H884)-FIND("/",H884,FIND("/",H884)+1))))</f>
        <v/>
      </c>
      <c r="AD884" s="7" t="str">
        <f aca="false">IF(OR(H884="",AA884=""),"",IFERROR(INDEX('لیست‌ها'!$Q$3:$Q$53,MATCH(AA884,'لیست‌ها'!$P$3:$P$53,0))+IF(AB884&lt;=6,(AB884-1)*31+AC884,IF(AB884&lt;=11,186+(AB884-7)*30+AC884,336+AC884))-1,""))</f>
        <v/>
      </c>
      <c r="AE884" s="7" t="str">
        <f aca="false">IF(P884="","",VALUE(LEFT(P884,FIND("/",P884)-1)))</f>
        <v/>
      </c>
      <c r="AF884" s="7" t="str">
        <f aca="false">IF(P884="","",VALUE(MID(P884,FIND("/",P884)+1,FIND("/",P884,FIND("/",P884)+1)-FIND("/",P884)-1)))</f>
        <v/>
      </c>
      <c r="AG884" s="7" t="str">
        <f aca="false">IF(P884="","",VALUE(MID(P884,FIND("/",P884,FIND("/",P884)+1)+1,LEN(P884)-FIND("/",P884,FIND("/",P884)+1))))</f>
        <v/>
      </c>
      <c r="AH884" s="7" t="str">
        <f aca="false">IF(OR(P884="",AE884=""),"",IFERROR(INDEX('لیست‌ها'!$Q$3:$Q$53,MATCH(AE884,'لیست‌ها'!$P$3:$P$53,0))+IF(AF884&lt;=6,(AF884-1)*31+AG884,IF(AF884&lt;=11,186+(AF884-7)*30+AG884,336+AG884))-1,""))</f>
        <v/>
      </c>
      <c r="AI884" s="7" t="str">
        <f aca="false">IF(W884="","",W884&amp;"-"&amp;TEXT(X884,"00"))</f>
        <v/>
      </c>
      <c r="AJ884" s="7" t="str">
        <f aca="false">IF(W884="","",W884*12+X884)</f>
        <v/>
      </c>
      <c r="AK884" s="7" t="str">
        <f aca="false">IF(U884="تاخیر",V884+ROW()/100000,"")</f>
        <v/>
      </c>
    </row>
    <row r="885" customFormat="false" ht="15" hidden="false" customHeight="false" outlineLevel="0" collapsed="false">
      <c r="A885" s="7" t="str">
        <f aca="false">IF(B885="","",ROW()-3)</f>
        <v/>
      </c>
      <c r="B885" s="8"/>
      <c r="C885" s="8"/>
      <c r="D885" s="8"/>
      <c r="E885" s="9"/>
      <c r="F885" s="9"/>
      <c r="G885" s="8"/>
      <c r="H885" s="8"/>
      <c r="I885" s="8"/>
      <c r="J885" s="9"/>
      <c r="K885" s="8"/>
      <c r="L885" s="8"/>
      <c r="M885" s="8"/>
      <c r="N885" s="8"/>
      <c r="O885" s="8"/>
      <c r="P885" s="8"/>
      <c r="Q885" s="8"/>
      <c r="R885" s="9"/>
      <c r="S885" s="8"/>
      <c r="T885" s="9"/>
      <c r="U885" s="10" t="str">
        <f aca="true">IF(B885="","",IF(OR(P885&lt;&gt;"",I885="می‌باشد"),"بسته",IF(AND(L885&lt;&gt;"",W885=""),"خطای فرمت تاریخ ایجاد",IF(AND(H885&lt;&gt;"",AA885=""),"خطای فرمت مهلت",IF(AND(H885&lt;&gt;"",AD885&lt;&gt;"",TODAY()&gt;AD885),"تاخیر",IF(L885&lt;&gt;"","در حال انجام",""))))))</f>
        <v/>
      </c>
      <c r="V885" s="7" t="n">
        <f aca="true">IF(U885="تاخیر",TODAY()-AD885,IF(AND(U885="بسته",AH885&lt;&gt;"",AD885&lt;&gt;"",AH885&gt;AD885),AH885-AD885,0))</f>
        <v>0</v>
      </c>
      <c r="W885" s="7" t="str">
        <f aca="false">IF(L885="","",VALUE(LEFT(L885,FIND("/",L885)-1)))</f>
        <v/>
      </c>
      <c r="X885" s="7" t="str">
        <f aca="false">IF(L885="","",VALUE(MID(L885,FIND("/",L885)+1,FIND("/",L885,FIND("/",L885)+1)-FIND("/",L885)-1)))</f>
        <v/>
      </c>
      <c r="Y885" s="7" t="str">
        <f aca="false">IF(L885="","",VALUE(MID(L885,FIND("/",L885,FIND("/",L885)+1)+1,LEN(L885)-FIND("/",L885,FIND("/",L885)+1))))</f>
        <v/>
      </c>
      <c r="Z885" s="7" t="str">
        <f aca="false">IF(OR(L885="",W885=""),"",IFERROR(INDEX('لیست‌ها'!$Q$3:$Q$53,MATCH(W885,'لیست‌ها'!$P$3:$P$53,0))+IF(X885&lt;=6,(X885-1)*31+Y885,IF(X885&lt;=11,186+(X885-7)*30+Y885,336+Y885))-1,""))</f>
        <v/>
      </c>
      <c r="AA885" s="7" t="str">
        <f aca="false">IF(H885="","",VALUE(LEFT(H885,FIND("/",H885)-1)))</f>
        <v/>
      </c>
      <c r="AB885" s="7" t="str">
        <f aca="false">IF(H885="","",VALUE(MID(H885,FIND("/",H885)+1,FIND("/",H885,FIND("/",H885)+1)-FIND("/",H885)-1)))</f>
        <v/>
      </c>
      <c r="AC885" s="7" t="str">
        <f aca="false">IF(H885="","",VALUE(MID(H885,FIND("/",H885,FIND("/",H885)+1)+1,LEN(H885)-FIND("/",H885,FIND("/",H885)+1))))</f>
        <v/>
      </c>
      <c r="AD885" s="7" t="str">
        <f aca="false">IF(OR(H885="",AA885=""),"",IFERROR(INDEX('لیست‌ها'!$Q$3:$Q$53,MATCH(AA885,'لیست‌ها'!$P$3:$P$53,0))+IF(AB885&lt;=6,(AB885-1)*31+AC885,IF(AB885&lt;=11,186+(AB885-7)*30+AC885,336+AC885))-1,""))</f>
        <v/>
      </c>
      <c r="AE885" s="7" t="str">
        <f aca="false">IF(P885="","",VALUE(LEFT(P885,FIND("/",P885)-1)))</f>
        <v/>
      </c>
      <c r="AF885" s="7" t="str">
        <f aca="false">IF(P885="","",VALUE(MID(P885,FIND("/",P885)+1,FIND("/",P885,FIND("/",P885)+1)-FIND("/",P885)-1)))</f>
        <v/>
      </c>
      <c r="AG885" s="7" t="str">
        <f aca="false">IF(P885="","",VALUE(MID(P885,FIND("/",P885,FIND("/",P885)+1)+1,LEN(P885)-FIND("/",P885,FIND("/",P885)+1))))</f>
        <v/>
      </c>
      <c r="AH885" s="7" t="str">
        <f aca="false">IF(OR(P885="",AE885=""),"",IFERROR(INDEX('لیست‌ها'!$Q$3:$Q$53,MATCH(AE885,'لیست‌ها'!$P$3:$P$53,0))+IF(AF885&lt;=6,(AF885-1)*31+AG885,IF(AF885&lt;=11,186+(AF885-7)*30+AG885,336+AG885))-1,""))</f>
        <v/>
      </c>
      <c r="AI885" s="7" t="str">
        <f aca="false">IF(W885="","",W885&amp;"-"&amp;TEXT(X885,"00"))</f>
        <v/>
      </c>
      <c r="AJ885" s="7" t="str">
        <f aca="false">IF(W885="","",W885*12+X885)</f>
        <v/>
      </c>
      <c r="AK885" s="7" t="str">
        <f aca="false">IF(U885="تاخیر",V885+ROW()/100000,"")</f>
        <v/>
      </c>
    </row>
    <row r="886" customFormat="false" ht="15" hidden="false" customHeight="false" outlineLevel="0" collapsed="false">
      <c r="A886" s="7" t="str">
        <f aca="false">IF(B886="","",ROW()-3)</f>
        <v/>
      </c>
      <c r="B886" s="8"/>
      <c r="C886" s="8"/>
      <c r="D886" s="8"/>
      <c r="E886" s="9"/>
      <c r="F886" s="9"/>
      <c r="G886" s="8"/>
      <c r="H886" s="8"/>
      <c r="I886" s="8"/>
      <c r="J886" s="9"/>
      <c r="K886" s="8"/>
      <c r="L886" s="8"/>
      <c r="M886" s="8"/>
      <c r="N886" s="8"/>
      <c r="O886" s="8"/>
      <c r="P886" s="8"/>
      <c r="Q886" s="8"/>
      <c r="R886" s="9"/>
      <c r="S886" s="8"/>
      <c r="T886" s="9"/>
      <c r="U886" s="10" t="str">
        <f aca="true">IF(B886="","",IF(OR(P886&lt;&gt;"",I886="می‌باشد"),"بسته",IF(AND(L886&lt;&gt;"",W886=""),"خطای فرمت تاریخ ایجاد",IF(AND(H886&lt;&gt;"",AA886=""),"خطای فرمت مهلت",IF(AND(H886&lt;&gt;"",AD886&lt;&gt;"",TODAY()&gt;AD886),"تاخیر",IF(L886&lt;&gt;"","در حال انجام",""))))))</f>
        <v/>
      </c>
      <c r="V886" s="7" t="n">
        <f aca="true">IF(U886="تاخیر",TODAY()-AD886,IF(AND(U886="بسته",AH886&lt;&gt;"",AD886&lt;&gt;"",AH886&gt;AD886),AH886-AD886,0))</f>
        <v>0</v>
      </c>
      <c r="W886" s="7" t="str">
        <f aca="false">IF(L886="","",VALUE(LEFT(L886,FIND("/",L886)-1)))</f>
        <v/>
      </c>
      <c r="X886" s="7" t="str">
        <f aca="false">IF(L886="","",VALUE(MID(L886,FIND("/",L886)+1,FIND("/",L886,FIND("/",L886)+1)-FIND("/",L886)-1)))</f>
        <v/>
      </c>
      <c r="Y886" s="7" t="str">
        <f aca="false">IF(L886="","",VALUE(MID(L886,FIND("/",L886,FIND("/",L886)+1)+1,LEN(L886)-FIND("/",L886,FIND("/",L886)+1))))</f>
        <v/>
      </c>
      <c r="Z886" s="7" t="str">
        <f aca="false">IF(OR(L886="",W886=""),"",IFERROR(INDEX('لیست‌ها'!$Q$3:$Q$53,MATCH(W886,'لیست‌ها'!$P$3:$P$53,0))+IF(X886&lt;=6,(X886-1)*31+Y886,IF(X886&lt;=11,186+(X886-7)*30+Y886,336+Y886))-1,""))</f>
        <v/>
      </c>
      <c r="AA886" s="7" t="str">
        <f aca="false">IF(H886="","",VALUE(LEFT(H886,FIND("/",H886)-1)))</f>
        <v/>
      </c>
      <c r="AB886" s="7" t="str">
        <f aca="false">IF(H886="","",VALUE(MID(H886,FIND("/",H886)+1,FIND("/",H886,FIND("/",H886)+1)-FIND("/",H886)-1)))</f>
        <v/>
      </c>
      <c r="AC886" s="7" t="str">
        <f aca="false">IF(H886="","",VALUE(MID(H886,FIND("/",H886,FIND("/",H886)+1)+1,LEN(H886)-FIND("/",H886,FIND("/",H886)+1))))</f>
        <v/>
      </c>
      <c r="AD886" s="7" t="str">
        <f aca="false">IF(OR(H886="",AA886=""),"",IFERROR(INDEX('لیست‌ها'!$Q$3:$Q$53,MATCH(AA886,'لیست‌ها'!$P$3:$P$53,0))+IF(AB886&lt;=6,(AB886-1)*31+AC886,IF(AB886&lt;=11,186+(AB886-7)*30+AC886,336+AC886))-1,""))</f>
        <v/>
      </c>
      <c r="AE886" s="7" t="str">
        <f aca="false">IF(P886="","",VALUE(LEFT(P886,FIND("/",P886)-1)))</f>
        <v/>
      </c>
      <c r="AF886" s="7" t="str">
        <f aca="false">IF(P886="","",VALUE(MID(P886,FIND("/",P886)+1,FIND("/",P886,FIND("/",P886)+1)-FIND("/",P886)-1)))</f>
        <v/>
      </c>
      <c r="AG886" s="7" t="str">
        <f aca="false">IF(P886="","",VALUE(MID(P886,FIND("/",P886,FIND("/",P886)+1)+1,LEN(P886)-FIND("/",P886,FIND("/",P886)+1))))</f>
        <v/>
      </c>
      <c r="AH886" s="7" t="str">
        <f aca="false">IF(OR(P886="",AE886=""),"",IFERROR(INDEX('لیست‌ها'!$Q$3:$Q$53,MATCH(AE886,'لیست‌ها'!$P$3:$P$53,0))+IF(AF886&lt;=6,(AF886-1)*31+AG886,IF(AF886&lt;=11,186+(AF886-7)*30+AG886,336+AG886))-1,""))</f>
        <v/>
      </c>
      <c r="AI886" s="7" t="str">
        <f aca="false">IF(W886="","",W886&amp;"-"&amp;TEXT(X886,"00"))</f>
        <v/>
      </c>
      <c r="AJ886" s="7" t="str">
        <f aca="false">IF(W886="","",W886*12+X886)</f>
        <v/>
      </c>
      <c r="AK886" s="7" t="str">
        <f aca="false">IF(U886="تاخیر",V886+ROW()/100000,"")</f>
        <v/>
      </c>
    </row>
    <row r="887" customFormat="false" ht="15" hidden="false" customHeight="false" outlineLevel="0" collapsed="false">
      <c r="A887" s="7" t="str">
        <f aca="false">IF(B887="","",ROW()-3)</f>
        <v/>
      </c>
      <c r="B887" s="8"/>
      <c r="C887" s="8"/>
      <c r="D887" s="8"/>
      <c r="E887" s="9"/>
      <c r="F887" s="9"/>
      <c r="G887" s="8"/>
      <c r="H887" s="8"/>
      <c r="I887" s="8"/>
      <c r="J887" s="9"/>
      <c r="K887" s="8"/>
      <c r="L887" s="8"/>
      <c r="M887" s="8"/>
      <c r="N887" s="8"/>
      <c r="O887" s="8"/>
      <c r="P887" s="8"/>
      <c r="Q887" s="8"/>
      <c r="R887" s="9"/>
      <c r="S887" s="8"/>
      <c r="T887" s="9"/>
      <c r="U887" s="10" t="str">
        <f aca="true">IF(B887="","",IF(OR(P887&lt;&gt;"",I887="می‌باشد"),"بسته",IF(AND(L887&lt;&gt;"",W887=""),"خطای فرمت تاریخ ایجاد",IF(AND(H887&lt;&gt;"",AA887=""),"خطای فرمت مهلت",IF(AND(H887&lt;&gt;"",AD887&lt;&gt;"",TODAY()&gt;AD887),"تاخیر",IF(L887&lt;&gt;"","در حال انجام",""))))))</f>
        <v/>
      </c>
      <c r="V887" s="7" t="n">
        <f aca="true">IF(U887="تاخیر",TODAY()-AD887,IF(AND(U887="بسته",AH887&lt;&gt;"",AD887&lt;&gt;"",AH887&gt;AD887),AH887-AD887,0))</f>
        <v>0</v>
      </c>
      <c r="W887" s="7" t="str">
        <f aca="false">IF(L887="","",VALUE(LEFT(L887,FIND("/",L887)-1)))</f>
        <v/>
      </c>
      <c r="X887" s="7" t="str">
        <f aca="false">IF(L887="","",VALUE(MID(L887,FIND("/",L887)+1,FIND("/",L887,FIND("/",L887)+1)-FIND("/",L887)-1)))</f>
        <v/>
      </c>
      <c r="Y887" s="7" t="str">
        <f aca="false">IF(L887="","",VALUE(MID(L887,FIND("/",L887,FIND("/",L887)+1)+1,LEN(L887)-FIND("/",L887,FIND("/",L887)+1))))</f>
        <v/>
      </c>
      <c r="Z887" s="7" t="str">
        <f aca="false">IF(OR(L887="",W887=""),"",IFERROR(INDEX('لیست‌ها'!$Q$3:$Q$53,MATCH(W887,'لیست‌ها'!$P$3:$P$53,0))+IF(X887&lt;=6,(X887-1)*31+Y887,IF(X887&lt;=11,186+(X887-7)*30+Y887,336+Y887))-1,""))</f>
        <v/>
      </c>
      <c r="AA887" s="7" t="str">
        <f aca="false">IF(H887="","",VALUE(LEFT(H887,FIND("/",H887)-1)))</f>
        <v/>
      </c>
      <c r="AB887" s="7" t="str">
        <f aca="false">IF(H887="","",VALUE(MID(H887,FIND("/",H887)+1,FIND("/",H887,FIND("/",H887)+1)-FIND("/",H887)-1)))</f>
        <v/>
      </c>
      <c r="AC887" s="7" t="str">
        <f aca="false">IF(H887="","",VALUE(MID(H887,FIND("/",H887,FIND("/",H887)+1)+1,LEN(H887)-FIND("/",H887,FIND("/",H887)+1))))</f>
        <v/>
      </c>
      <c r="AD887" s="7" t="str">
        <f aca="false">IF(OR(H887="",AA887=""),"",IFERROR(INDEX('لیست‌ها'!$Q$3:$Q$53,MATCH(AA887,'لیست‌ها'!$P$3:$P$53,0))+IF(AB887&lt;=6,(AB887-1)*31+AC887,IF(AB887&lt;=11,186+(AB887-7)*30+AC887,336+AC887))-1,""))</f>
        <v/>
      </c>
      <c r="AE887" s="7" t="str">
        <f aca="false">IF(P887="","",VALUE(LEFT(P887,FIND("/",P887)-1)))</f>
        <v/>
      </c>
      <c r="AF887" s="7" t="str">
        <f aca="false">IF(P887="","",VALUE(MID(P887,FIND("/",P887)+1,FIND("/",P887,FIND("/",P887)+1)-FIND("/",P887)-1)))</f>
        <v/>
      </c>
      <c r="AG887" s="7" t="str">
        <f aca="false">IF(P887="","",VALUE(MID(P887,FIND("/",P887,FIND("/",P887)+1)+1,LEN(P887)-FIND("/",P887,FIND("/",P887)+1))))</f>
        <v/>
      </c>
      <c r="AH887" s="7" t="str">
        <f aca="false">IF(OR(P887="",AE887=""),"",IFERROR(INDEX('لیست‌ها'!$Q$3:$Q$53,MATCH(AE887,'لیست‌ها'!$P$3:$P$53,0))+IF(AF887&lt;=6,(AF887-1)*31+AG887,IF(AF887&lt;=11,186+(AF887-7)*30+AG887,336+AG887))-1,""))</f>
        <v/>
      </c>
      <c r="AI887" s="7" t="str">
        <f aca="false">IF(W887="","",W887&amp;"-"&amp;TEXT(X887,"00"))</f>
        <v/>
      </c>
      <c r="AJ887" s="7" t="str">
        <f aca="false">IF(W887="","",W887*12+X887)</f>
        <v/>
      </c>
      <c r="AK887" s="7" t="str">
        <f aca="false">IF(U887="تاخیر",V887+ROW()/100000,"")</f>
        <v/>
      </c>
    </row>
    <row r="888" customFormat="false" ht="15" hidden="false" customHeight="false" outlineLevel="0" collapsed="false">
      <c r="A888" s="7" t="str">
        <f aca="false">IF(B888="","",ROW()-3)</f>
        <v/>
      </c>
      <c r="B888" s="8"/>
      <c r="C888" s="8"/>
      <c r="D888" s="8"/>
      <c r="E888" s="9"/>
      <c r="F888" s="9"/>
      <c r="G888" s="8"/>
      <c r="H888" s="8"/>
      <c r="I888" s="8"/>
      <c r="J888" s="9"/>
      <c r="K888" s="8"/>
      <c r="L888" s="8"/>
      <c r="M888" s="8"/>
      <c r="N888" s="8"/>
      <c r="O888" s="8"/>
      <c r="P888" s="8"/>
      <c r="Q888" s="8"/>
      <c r="R888" s="9"/>
      <c r="S888" s="8"/>
      <c r="T888" s="9"/>
      <c r="U888" s="10" t="str">
        <f aca="true">IF(B888="","",IF(OR(P888&lt;&gt;"",I888="می‌باشد"),"بسته",IF(AND(L888&lt;&gt;"",W888=""),"خطای فرمت تاریخ ایجاد",IF(AND(H888&lt;&gt;"",AA888=""),"خطای فرمت مهلت",IF(AND(H888&lt;&gt;"",AD888&lt;&gt;"",TODAY()&gt;AD888),"تاخیر",IF(L888&lt;&gt;"","در حال انجام",""))))))</f>
        <v/>
      </c>
      <c r="V888" s="7" t="n">
        <f aca="true">IF(U888="تاخیر",TODAY()-AD888,IF(AND(U888="بسته",AH888&lt;&gt;"",AD888&lt;&gt;"",AH888&gt;AD888),AH888-AD888,0))</f>
        <v>0</v>
      </c>
      <c r="W888" s="7" t="str">
        <f aca="false">IF(L888="","",VALUE(LEFT(L888,FIND("/",L888)-1)))</f>
        <v/>
      </c>
      <c r="X888" s="7" t="str">
        <f aca="false">IF(L888="","",VALUE(MID(L888,FIND("/",L888)+1,FIND("/",L888,FIND("/",L888)+1)-FIND("/",L888)-1)))</f>
        <v/>
      </c>
      <c r="Y888" s="7" t="str">
        <f aca="false">IF(L888="","",VALUE(MID(L888,FIND("/",L888,FIND("/",L888)+1)+1,LEN(L888)-FIND("/",L888,FIND("/",L888)+1))))</f>
        <v/>
      </c>
      <c r="Z888" s="7" t="str">
        <f aca="false">IF(OR(L888="",W888=""),"",IFERROR(INDEX('لیست‌ها'!$Q$3:$Q$53,MATCH(W888,'لیست‌ها'!$P$3:$P$53,0))+IF(X888&lt;=6,(X888-1)*31+Y888,IF(X888&lt;=11,186+(X888-7)*30+Y888,336+Y888))-1,""))</f>
        <v/>
      </c>
      <c r="AA888" s="7" t="str">
        <f aca="false">IF(H888="","",VALUE(LEFT(H888,FIND("/",H888)-1)))</f>
        <v/>
      </c>
      <c r="AB888" s="7" t="str">
        <f aca="false">IF(H888="","",VALUE(MID(H888,FIND("/",H888)+1,FIND("/",H888,FIND("/",H888)+1)-FIND("/",H888)-1)))</f>
        <v/>
      </c>
      <c r="AC888" s="7" t="str">
        <f aca="false">IF(H888="","",VALUE(MID(H888,FIND("/",H888,FIND("/",H888)+1)+1,LEN(H888)-FIND("/",H888,FIND("/",H888)+1))))</f>
        <v/>
      </c>
      <c r="AD888" s="7" t="str">
        <f aca="false">IF(OR(H888="",AA888=""),"",IFERROR(INDEX('لیست‌ها'!$Q$3:$Q$53,MATCH(AA888,'لیست‌ها'!$P$3:$P$53,0))+IF(AB888&lt;=6,(AB888-1)*31+AC888,IF(AB888&lt;=11,186+(AB888-7)*30+AC888,336+AC888))-1,""))</f>
        <v/>
      </c>
      <c r="AE888" s="7" t="str">
        <f aca="false">IF(P888="","",VALUE(LEFT(P888,FIND("/",P888)-1)))</f>
        <v/>
      </c>
      <c r="AF888" s="7" t="str">
        <f aca="false">IF(P888="","",VALUE(MID(P888,FIND("/",P888)+1,FIND("/",P888,FIND("/",P888)+1)-FIND("/",P888)-1)))</f>
        <v/>
      </c>
      <c r="AG888" s="7" t="str">
        <f aca="false">IF(P888="","",VALUE(MID(P888,FIND("/",P888,FIND("/",P888)+1)+1,LEN(P888)-FIND("/",P888,FIND("/",P888)+1))))</f>
        <v/>
      </c>
      <c r="AH888" s="7" t="str">
        <f aca="false">IF(OR(P888="",AE888=""),"",IFERROR(INDEX('لیست‌ها'!$Q$3:$Q$53,MATCH(AE888,'لیست‌ها'!$P$3:$P$53,0))+IF(AF888&lt;=6,(AF888-1)*31+AG888,IF(AF888&lt;=11,186+(AF888-7)*30+AG888,336+AG888))-1,""))</f>
        <v/>
      </c>
      <c r="AI888" s="7" t="str">
        <f aca="false">IF(W888="","",W888&amp;"-"&amp;TEXT(X888,"00"))</f>
        <v/>
      </c>
      <c r="AJ888" s="7" t="str">
        <f aca="false">IF(W888="","",W888*12+X888)</f>
        <v/>
      </c>
      <c r="AK888" s="7" t="str">
        <f aca="false">IF(U888="تاخیر",V888+ROW()/100000,"")</f>
        <v/>
      </c>
    </row>
    <row r="889" customFormat="false" ht="15" hidden="false" customHeight="false" outlineLevel="0" collapsed="false">
      <c r="A889" s="7" t="str">
        <f aca="false">IF(B889="","",ROW()-3)</f>
        <v/>
      </c>
      <c r="B889" s="8"/>
      <c r="C889" s="8"/>
      <c r="D889" s="8"/>
      <c r="E889" s="9"/>
      <c r="F889" s="9"/>
      <c r="G889" s="8"/>
      <c r="H889" s="8"/>
      <c r="I889" s="8"/>
      <c r="J889" s="9"/>
      <c r="K889" s="8"/>
      <c r="L889" s="8"/>
      <c r="M889" s="8"/>
      <c r="N889" s="8"/>
      <c r="O889" s="8"/>
      <c r="P889" s="8"/>
      <c r="Q889" s="8"/>
      <c r="R889" s="9"/>
      <c r="S889" s="8"/>
      <c r="T889" s="9"/>
      <c r="U889" s="10" t="str">
        <f aca="true">IF(B889="","",IF(OR(P889&lt;&gt;"",I889="می‌باشد"),"بسته",IF(AND(L889&lt;&gt;"",W889=""),"خطای فرمت تاریخ ایجاد",IF(AND(H889&lt;&gt;"",AA889=""),"خطای فرمت مهلت",IF(AND(H889&lt;&gt;"",AD889&lt;&gt;"",TODAY()&gt;AD889),"تاخیر",IF(L889&lt;&gt;"","در حال انجام",""))))))</f>
        <v/>
      </c>
      <c r="V889" s="7" t="n">
        <f aca="true">IF(U889="تاخیر",TODAY()-AD889,IF(AND(U889="بسته",AH889&lt;&gt;"",AD889&lt;&gt;"",AH889&gt;AD889),AH889-AD889,0))</f>
        <v>0</v>
      </c>
      <c r="W889" s="7" t="str">
        <f aca="false">IF(L889="","",VALUE(LEFT(L889,FIND("/",L889)-1)))</f>
        <v/>
      </c>
      <c r="X889" s="7" t="str">
        <f aca="false">IF(L889="","",VALUE(MID(L889,FIND("/",L889)+1,FIND("/",L889,FIND("/",L889)+1)-FIND("/",L889)-1)))</f>
        <v/>
      </c>
      <c r="Y889" s="7" t="str">
        <f aca="false">IF(L889="","",VALUE(MID(L889,FIND("/",L889,FIND("/",L889)+1)+1,LEN(L889)-FIND("/",L889,FIND("/",L889)+1))))</f>
        <v/>
      </c>
      <c r="Z889" s="7" t="str">
        <f aca="false">IF(OR(L889="",W889=""),"",IFERROR(INDEX('لیست‌ها'!$Q$3:$Q$53,MATCH(W889,'لیست‌ها'!$P$3:$P$53,0))+IF(X889&lt;=6,(X889-1)*31+Y889,IF(X889&lt;=11,186+(X889-7)*30+Y889,336+Y889))-1,""))</f>
        <v/>
      </c>
      <c r="AA889" s="7" t="str">
        <f aca="false">IF(H889="","",VALUE(LEFT(H889,FIND("/",H889)-1)))</f>
        <v/>
      </c>
      <c r="AB889" s="7" t="str">
        <f aca="false">IF(H889="","",VALUE(MID(H889,FIND("/",H889)+1,FIND("/",H889,FIND("/",H889)+1)-FIND("/",H889)-1)))</f>
        <v/>
      </c>
      <c r="AC889" s="7" t="str">
        <f aca="false">IF(H889="","",VALUE(MID(H889,FIND("/",H889,FIND("/",H889)+1)+1,LEN(H889)-FIND("/",H889,FIND("/",H889)+1))))</f>
        <v/>
      </c>
      <c r="AD889" s="7" t="str">
        <f aca="false">IF(OR(H889="",AA889=""),"",IFERROR(INDEX('لیست‌ها'!$Q$3:$Q$53,MATCH(AA889,'لیست‌ها'!$P$3:$P$53,0))+IF(AB889&lt;=6,(AB889-1)*31+AC889,IF(AB889&lt;=11,186+(AB889-7)*30+AC889,336+AC889))-1,""))</f>
        <v/>
      </c>
      <c r="AE889" s="7" t="str">
        <f aca="false">IF(P889="","",VALUE(LEFT(P889,FIND("/",P889)-1)))</f>
        <v/>
      </c>
      <c r="AF889" s="7" t="str">
        <f aca="false">IF(P889="","",VALUE(MID(P889,FIND("/",P889)+1,FIND("/",P889,FIND("/",P889)+1)-FIND("/",P889)-1)))</f>
        <v/>
      </c>
      <c r="AG889" s="7" t="str">
        <f aca="false">IF(P889="","",VALUE(MID(P889,FIND("/",P889,FIND("/",P889)+1)+1,LEN(P889)-FIND("/",P889,FIND("/",P889)+1))))</f>
        <v/>
      </c>
      <c r="AH889" s="7" t="str">
        <f aca="false">IF(OR(P889="",AE889=""),"",IFERROR(INDEX('لیست‌ها'!$Q$3:$Q$53,MATCH(AE889,'لیست‌ها'!$P$3:$P$53,0))+IF(AF889&lt;=6,(AF889-1)*31+AG889,IF(AF889&lt;=11,186+(AF889-7)*30+AG889,336+AG889))-1,""))</f>
        <v/>
      </c>
      <c r="AI889" s="7" t="str">
        <f aca="false">IF(W889="","",W889&amp;"-"&amp;TEXT(X889,"00"))</f>
        <v/>
      </c>
      <c r="AJ889" s="7" t="str">
        <f aca="false">IF(W889="","",W889*12+X889)</f>
        <v/>
      </c>
      <c r="AK889" s="7" t="str">
        <f aca="false">IF(U889="تاخیر",V889+ROW()/100000,"")</f>
        <v/>
      </c>
    </row>
    <row r="890" customFormat="false" ht="15" hidden="false" customHeight="false" outlineLevel="0" collapsed="false">
      <c r="A890" s="7" t="str">
        <f aca="false">IF(B890="","",ROW()-3)</f>
        <v/>
      </c>
      <c r="B890" s="8"/>
      <c r="C890" s="8"/>
      <c r="D890" s="8"/>
      <c r="E890" s="9"/>
      <c r="F890" s="9"/>
      <c r="G890" s="8"/>
      <c r="H890" s="8"/>
      <c r="I890" s="8"/>
      <c r="J890" s="9"/>
      <c r="K890" s="8"/>
      <c r="L890" s="8"/>
      <c r="M890" s="8"/>
      <c r="N890" s="8"/>
      <c r="O890" s="8"/>
      <c r="P890" s="8"/>
      <c r="Q890" s="8"/>
      <c r="R890" s="9"/>
      <c r="S890" s="8"/>
      <c r="T890" s="9"/>
      <c r="U890" s="10" t="str">
        <f aca="true">IF(B890="","",IF(OR(P890&lt;&gt;"",I890="می‌باشد"),"بسته",IF(AND(L890&lt;&gt;"",W890=""),"خطای فرمت تاریخ ایجاد",IF(AND(H890&lt;&gt;"",AA890=""),"خطای فرمت مهلت",IF(AND(H890&lt;&gt;"",AD890&lt;&gt;"",TODAY()&gt;AD890),"تاخیر",IF(L890&lt;&gt;"","در حال انجام",""))))))</f>
        <v/>
      </c>
      <c r="V890" s="7" t="n">
        <f aca="true">IF(U890="تاخیر",TODAY()-AD890,IF(AND(U890="بسته",AH890&lt;&gt;"",AD890&lt;&gt;"",AH890&gt;AD890),AH890-AD890,0))</f>
        <v>0</v>
      </c>
      <c r="W890" s="7" t="str">
        <f aca="false">IF(L890="","",VALUE(LEFT(L890,FIND("/",L890)-1)))</f>
        <v/>
      </c>
      <c r="X890" s="7" t="str">
        <f aca="false">IF(L890="","",VALUE(MID(L890,FIND("/",L890)+1,FIND("/",L890,FIND("/",L890)+1)-FIND("/",L890)-1)))</f>
        <v/>
      </c>
      <c r="Y890" s="7" t="str">
        <f aca="false">IF(L890="","",VALUE(MID(L890,FIND("/",L890,FIND("/",L890)+1)+1,LEN(L890)-FIND("/",L890,FIND("/",L890)+1))))</f>
        <v/>
      </c>
      <c r="Z890" s="7" t="str">
        <f aca="false">IF(OR(L890="",W890=""),"",IFERROR(INDEX('لیست‌ها'!$Q$3:$Q$53,MATCH(W890,'لیست‌ها'!$P$3:$P$53,0))+IF(X890&lt;=6,(X890-1)*31+Y890,IF(X890&lt;=11,186+(X890-7)*30+Y890,336+Y890))-1,""))</f>
        <v/>
      </c>
      <c r="AA890" s="7" t="str">
        <f aca="false">IF(H890="","",VALUE(LEFT(H890,FIND("/",H890)-1)))</f>
        <v/>
      </c>
      <c r="AB890" s="7" t="str">
        <f aca="false">IF(H890="","",VALUE(MID(H890,FIND("/",H890)+1,FIND("/",H890,FIND("/",H890)+1)-FIND("/",H890)-1)))</f>
        <v/>
      </c>
      <c r="AC890" s="7" t="str">
        <f aca="false">IF(H890="","",VALUE(MID(H890,FIND("/",H890,FIND("/",H890)+1)+1,LEN(H890)-FIND("/",H890,FIND("/",H890)+1))))</f>
        <v/>
      </c>
      <c r="AD890" s="7" t="str">
        <f aca="false">IF(OR(H890="",AA890=""),"",IFERROR(INDEX('لیست‌ها'!$Q$3:$Q$53,MATCH(AA890,'لیست‌ها'!$P$3:$P$53,0))+IF(AB890&lt;=6,(AB890-1)*31+AC890,IF(AB890&lt;=11,186+(AB890-7)*30+AC890,336+AC890))-1,""))</f>
        <v/>
      </c>
      <c r="AE890" s="7" t="str">
        <f aca="false">IF(P890="","",VALUE(LEFT(P890,FIND("/",P890)-1)))</f>
        <v/>
      </c>
      <c r="AF890" s="7" t="str">
        <f aca="false">IF(P890="","",VALUE(MID(P890,FIND("/",P890)+1,FIND("/",P890,FIND("/",P890)+1)-FIND("/",P890)-1)))</f>
        <v/>
      </c>
      <c r="AG890" s="7" t="str">
        <f aca="false">IF(P890="","",VALUE(MID(P890,FIND("/",P890,FIND("/",P890)+1)+1,LEN(P890)-FIND("/",P890,FIND("/",P890)+1))))</f>
        <v/>
      </c>
      <c r="AH890" s="7" t="str">
        <f aca="false">IF(OR(P890="",AE890=""),"",IFERROR(INDEX('لیست‌ها'!$Q$3:$Q$53,MATCH(AE890,'لیست‌ها'!$P$3:$P$53,0))+IF(AF890&lt;=6,(AF890-1)*31+AG890,IF(AF890&lt;=11,186+(AF890-7)*30+AG890,336+AG890))-1,""))</f>
        <v/>
      </c>
      <c r="AI890" s="7" t="str">
        <f aca="false">IF(W890="","",W890&amp;"-"&amp;TEXT(X890,"00"))</f>
        <v/>
      </c>
      <c r="AJ890" s="7" t="str">
        <f aca="false">IF(W890="","",W890*12+X890)</f>
        <v/>
      </c>
      <c r="AK890" s="7" t="str">
        <f aca="false">IF(U890="تاخیر",V890+ROW()/100000,"")</f>
        <v/>
      </c>
    </row>
    <row r="891" customFormat="false" ht="15" hidden="false" customHeight="false" outlineLevel="0" collapsed="false">
      <c r="A891" s="7" t="str">
        <f aca="false">IF(B891="","",ROW()-3)</f>
        <v/>
      </c>
      <c r="B891" s="8"/>
      <c r="C891" s="8"/>
      <c r="D891" s="8"/>
      <c r="E891" s="9"/>
      <c r="F891" s="9"/>
      <c r="G891" s="8"/>
      <c r="H891" s="8"/>
      <c r="I891" s="8"/>
      <c r="J891" s="9"/>
      <c r="K891" s="8"/>
      <c r="L891" s="8"/>
      <c r="M891" s="8"/>
      <c r="N891" s="8"/>
      <c r="O891" s="8"/>
      <c r="P891" s="8"/>
      <c r="Q891" s="8"/>
      <c r="R891" s="9"/>
      <c r="S891" s="8"/>
      <c r="T891" s="9"/>
      <c r="U891" s="10" t="str">
        <f aca="true">IF(B891="","",IF(OR(P891&lt;&gt;"",I891="می‌باشد"),"بسته",IF(AND(L891&lt;&gt;"",W891=""),"خطای فرمت تاریخ ایجاد",IF(AND(H891&lt;&gt;"",AA891=""),"خطای فرمت مهلت",IF(AND(H891&lt;&gt;"",AD891&lt;&gt;"",TODAY()&gt;AD891),"تاخیر",IF(L891&lt;&gt;"","در حال انجام",""))))))</f>
        <v/>
      </c>
      <c r="V891" s="7" t="n">
        <f aca="true">IF(U891="تاخیر",TODAY()-AD891,IF(AND(U891="بسته",AH891&lt;&gt;"",AD891&lt;&gt;"",AH891&gt;AD891),AH891-AD891,0))</f>
        <v>0</v>
      </c>
      <c r="W891" s="7" t="str">
        <f aca="false">IF(L891="","",VALUE(LEFT(L891,FIND("/",L891)-1)))</f>
        <v/>
      </c>
      <c r="X891" s="7" t="str">
        <f aca="false">IF(L891="","",VALUE(MID(L891,FIND("/",L891)+1,FIND("/",L891,FIND("/",L891)+1)-FIND("/",L891)-1)))</f>
        <v/>
      </c>
      <c r="Y891" s="7" t="str">
        <f aca="false">IF(L891="","",VALUE(MID(L891,FIND("/",L891,FIND("/",L891)+1)+1,LEN(L891)-FIND("/",L891,FIND("/",L891)+1))))</f>
        <v/>
      </c>
      <c r="Z891" s="7" t="str">
        <f aca="false">IF(OR(L891="",W891=""),"",IFERROR(INDEX('لیست‌ها'!$Q$3:$Q$53,MATCH(W891,'لیست‌ها'!$P$3:$P$53,0))+IF(X891&lt;=6,(X891-1)*31+Y891,IF(X891&lt;=11,186+(X891-7)*30+Y891,336+Y891))-1,""))</f>
        <v/>
      </c>
      <c r="AA891" s="7" t="str">
        <f aca="false">IF(H891="","",VALUE(LEFT(H891,FIND("/",H891)-1)))</f>
        <v/>
      </c>
      <c r="AB891" s="7" t="str">
        <f aca="false">IF(H891="","",VALUE(MID(H891,FIND("/",H891)+1,FIND("/",H891,FIND("/",H891)+1)-FIND("/",H891)-1)))</f>
        <v/>
      </c>
      <c r="AC891" s="7" t="str">
        <f aca="false">IF(H891="","",VALUE(MID(H891,FIND("/",H891,FIND("/",H891)+1)+1,LEN(H891)-FIND("/",H891,FIND("/",H891)+1))))</f>
        <v/>
      </c>
      <c r="AD891" s="7" t="str">
        <f aca="false">IF(OR(H891="",AA891=""),"",IFERROR(INDEX('لیست‌ها'!$Q$3:$Q$53,MATCH(AA891,'لیست‌ها'!$P$3:$P$53,0))+IF(AB891&lt;=6,(AB891-1)*31+AC891,IF(AB891&lt;=11,186+(AB891-7)*30+AC891,336+AC891))-1,""))</f>
        <v/>
      </c>
      <c r="AE891" s="7" t="str">
        <f aca="false">IF(P891="","",VALUE(LEFT(P891,FIND("/",P891)-1)))</f>
        <v/>
      </c>
      <c r="AF891" s="7" t="str">
        <f aca="false">IF(P891="","",VALUE(MID(P891,FIND("/",P891)+1,FIND("/",P891,FIND("/",P891)+1)-FIND("/",P891)-1)))</f>
        <v/>
      </c>
      <c r="AG891" s="7" t="str">
        <f aca="false">IF(P891="","",VALUE(MID(P891,FIND("/",P891,FIND("/",P891)+1)+1,LEN(P891)-FIND("/",P891,FIND("/",P891)+1))))</f>
        <v/>
      </c>
      <c r="AH891" s="7" t="str">
        <f aca="false">IF(OR(P891="",AE891=""),"",IFERROR(INDEX('لیست‌ها'!$Q$3:$Q$53,MATCH(AE891,'لیست‌ها'!$P$3:$P$53,0))+IF(AF891&lt;=6,(AF891-1)*31+AG891,IF(AF891&lt;=11,186+(AF891-7)*30+AG891,336+AG891))-1,""))</f>
        <v/>
      </c>
      <c r="AI891" s="7" t="str">
        <f aca="false">IF(W891="","",W891&amp;"-"&amp;TEXT(X891,"00"))</f>
        <v/>
      </c>
      <c r="AJ891" s="7" t="str">
        <f aca="false">IF(W891="","",W891*12+X891)</f>
        <v/>
      </c>
      <c r="AK891" s="7" t="str">
        <f aca="false">IF(U891="تاخیر",V891+ROW()/100000,"")</f>
        <v/>
      </c>
    </row>
    <row r="892" customFormat="false" ht="15" hidden="false" customHeight="false" outlineLevel="0" collapsed="false">
      <c r="A892" s="7" t="str">
        <f aca="false">IF(B892="","",ROW()-3)</f>
        <v/>
      </c>
      <c r="B892" s="8"/>
      <c r="C892" s="8"/>
      <c r="D892" s="8"/>
      <c r="E892" s="9"/>
      <c r="F892" s="9"/>
      <c r="G892" s="8"/>
      <c r="H892" s="8"/>
      <c r="I892" s="8"/>
      <c r="J892" s="9"/>
      <c r="K892" s="8"/>
      <c r="L892" s="8"/>
      <c r="M892" s="8"/>
      <c r="N892" s="8"/>
      <c r="O892" s="8"/>
      <c r="P892" s="8"/>
      <c r="Q892" s="8"/>
      <c r="R892" s="9"/>
      <c r="S892" s="8"/>
      <c r="T892" s="9"/>
      <c r="U892" s="10" t="str">
        <f aca="true">IF(B892="","",IF(OR(P892&lt;&gt;"",I892="می‌باشد"),"بسته",IF(AND(L892&lt;&gt;"",W892=""),"خطای فرمت تاریخ ایجاد",IF(AND(H892&lt;&gt;"",AA892=""),"خطای فرمت مهلت",IF(AND(H892&lt;&gt;"",AD892&lt;&gt;"",TODAY()&gt;AD892),"تاخیر",IF(L892&lt;&gt;"","در حال انجام",""))))))</f>
        <v/>
      </c>
      <c r="V892" s="7" t="n">
        <f aca="true">IF(U892="تاخیر",TODAY()-AD892,IF(AND(U892="بسته",AH892&lt;&gt;"",AD892&lt;&gt;"",AH892&gt;AD892),AH892-AD892,0))</f>
        <v>0</v>
      </c>
      <c r="W892" s="7" t="str">
        <f aca="false">IF(L892="","",VALUE(LEFT(L892,FIND("/",L892)-1)))</f>
        <v/>
      </c>
      <c r="X892" s="7" t="str">
        <f aca="false">IF(L892="","",VALUE(MID(L892,FIND("/",L892)+1,FIND("/",L892,FIND("/",L892)+1)-FIND("/",L892)-1)))</f>
        <v/>
      </c>
      <c r="Y892" s="7" t="str">
        <f aca="false">IF(L892="","",VALUE(MID(L892,FIND("/",L892,FIND("/",L892)+1)+1,LEN(L892)-FIND("/",L892,FIND("/",L892)+1))))</f>
        <v/>
      </c>
      <c r="Z892" s="7" t="str">
        <f aca="false">IF(OR(L892="",W892=""),"",IFERROR(INDEX('لیست‌ها'!$Q$3:$Q$53,MATCH(W892,'لیست‌ها'!$P$3:$P$53,0))+IF(X892&lt;=6,(X892-1)*31+Y892,IF(X892&lt;=11,186+(X892-7)*30+Y892,336+Y892))-1,""))</f>
        <v/>
      </c>
      <c r="AA892" s="7" t="str">
        <f aca="false">IF(H892="","",VALUE(LEFT(H892,FIND("/",H892)-1)))</f>
        <v/>
      </c>
      <c r="AB892" s="7" t="str">
        <f aca="false">IF(H892="","",VALUE(MID(H892,FIND("/",H892)+1,FIND("/",H892,FIND("/",H892)+1)-FIND("/",H892)-1)))</f>
        <v/>
      </c>
      <c r="AC892" s="7" t="str">
        <f aca="false">IF(H892="","",VALUE(MID(H892,FIND("/",H892,FIND("/",H892)+1)+1,LEN(H892)-FIND("/",H892,FIND("/",H892)+1))))</f>
        <v/>
      </c>
      <c r="AD892" s="7" t="str">
        <f aca="false">IF(OR(H892="",AA892=""),"",IFERROR(INDEX('لیست‌ها'!$Q$3:$Q$53,MATCH(AA892,'لیست‌ها'!$P$3:$P$53,0))+IF(AB892&lt;=6,(AB892-1)*31+AC892,IF(AB892&lt;=11,186+(AB892-7)*30+AC892,336+AC892))-1,""))</f>
        <v/>
      </c>
      <c r="AE892" s="7" t="str">
        <f aca="false">IF(P892="","",VALUE(LEFT(P892,FIND("/",P892)-1)))</f>
        <v/>
      </c>
      <c r="AF892" s="7" t="str">
        <f aca="false">IF(P892="","",VALUE(MID(P892,FIND("/",P892)+1,FIND("/",P892,FIND("/",P892)+1)-FIND("/",P892)-1)))</f>
        <v/>
      </c>
      <c r="AG892" s="7" t="str">
        <f aca="false">IF(P892="","",VALUE(MID(P892,FIND("/",P892,FIND("/",P892)+1)+1,LEN(P892)-FIND("/",P892,FIND("/",P892)+1))))</f>
        <v/>
      </c>
      <c r="AH892" s="7" t="str">
        <f aca="false">IF(OR(P892="",AE892=""),"",IFERROR(INDEX('لیست‌ها'!$Q$3:$Q$53,MATCH(AE892,'لیست‌ها'!$P$3:$P$53,0))+IF(AF892&lt;=6,(AF892-1)*31+AG892,IF(AF892&lt;=11,186+(AF892-7)*30+AG892,336+AG892))-1,""))</f>
        <v/>
      </c>
      <c r="AI892" s="7" t="str">
        <f aca="false">IF(W892="","",W892&amp;"-"&amp;TEXT(X892,"00"))</f>
        <v/>
      </c>
      <c r="AJ892" s="7" t="str">
        <f aca="false">IF(W892="","",W892*12+X892)</f>
        <v/>
      </c>
      <c r="AK892" s="7" t="str">
        <f aca="false">IF(U892="تاخیر",V892+ROW()/100000,"")</f>
        <v/>
      </c>
    </row>
    <row r="893" customFormat="false" ht="15" hidden="false" customHeight="false" outlineLevel="0" collapsed="false">
      <c r="A893" s="7" t="str">
        <f aca="false">IF(B893="","",ROW()-3)</f>
        <v/>
      </c>
      <c r="B893" s="8"/>
      <c r="C893" s="8"/>
      <c r="D893" s="8"/>
      <c r="E893" s="9"/>
      <c r="F893" s="9"/>
      <c r="G893" s="8"/>
      <c r="H893" s="8"/>
      <c r="I893" s="8"/>
      <c r="J893" s="9"/>
      <c r="K893" s="8"/>
      <c r="L893" s="8"/>
      <c r="M893" s="8"/>
      <c r="N893" s="8"/>
      <c r="O893" s="8"/>
      <c r="P893" s="8"/>
      <c r="Q893" s="8"/>
      <c r="R893" s="9"/>
      <c r="S893" s="8"/>
      <c r="T893" s="9"/>
      <c r="U893" s="10" t="str">
        <f aca="true">IF(B893="","",IF(OR(P893&lt;&gt;"",I893="می‌باشد"),"بسته",IF(AND(L893&lt;&gt;"",W893=""),"خطای فرمت تاریخ ایجاد",IF(AND(H893&lt;&gt;"",AA893=""),"خطای فرمت مهلت",IF(AND(H893&lt;&gt;"",AD893&lt;&gt;"",TODAY()&gt;AD893),"تاخیر",IF(L893&lt;&gt;"","در حال انجام",""))))))</f>
        <v/>
      </c>
      <c r="V893" s="7" t="n">
        <f aca="true">IF(U893="تاخیر",TODAY()-AD893,IF(AND(U893="بسته",AH893&lt;&gt;"",AD893&lt;&gt;"",AH893&gt;AD893),AH893-AD893,0))</f>
        <v>0</v>
      </c>
      <c r="W893" s="7" t="str">
        <f aca="false">IF(L893="","",VALUE(LEFT(L893,FIND("/",L893)-1)))</f>
        <v/>
      </c>
      <c r="X893" s="7" t="str">
        <f aca="false">IF(L893="","",VALUE(MID(L893,FIND("/",L893)+1,FIND("/",L893,FIND("/",L893)+1)-FIND("/",L893)-1)))</f>
        <v/>
      </c>
      <c r="Y893" s="7" t="str">
        <f aca="false">IF(L893="","",VALUE(MID(L893,FIND("/",L893,FIND("/",L893)+1)+1,LEN(L893)-FIND("/",L893,FIND("/",L893)+1))))</f>
        <v/>
      </c>
      <c r="Z893" s="7" t="str">
        <f aca="false">IF(OR(L893="",W893=""),"",IFERROR(INDEX('لیست‌ها'!$Q$3:$Q$53,MATCH(W893,'لیست‌ها'!$P$3:$P$53,0))+IF(X893&lt;=6,(X893-1)*31+Y893,IF(X893&lt;=11,186+(X893-7)*30+Y893,336+Y893))-1,""))</f>
        <v/>
      </c>
      <c r="AA893" s="7" t="str">
        <f aca="false">IF(H893="","",VALUE(LEFT(H893,FIND("/",H893)-1)))</f>
        <v/>
      </c>
      <c r="AB893" s="7" t="str">
        <f aca="false">IF(H893="","",VALUE(MID(H893,FIND("/",H893)+1,FIND("/",H893,FIND("/",H893)+1)-FIND("/",H893)-1)))</f>
        <v/>
      </c>
      <c r="AC893" s="7" t="str">
        <f aca="false">IF(H893="","",VALUE(MID(H893,FIND("/",H893,FIND("/",H893)+1)+1,LEN(H893)-FIND("/",H893,FIND("/",H893)+1))))</f>
        <v/>
      </c>
      <c r="AD893" s="7" t="str">
        <f aca="false">IF(OR(H893="",AA893=""),"",IFERROR(INDEX('لیست‌ها'!$Q$3:$Q$53,MATCH(AA893,'لیست‌ها'!$P$3:$P$53,0))+IF(AB893&lt;=6,(AB893-1)*31+AC893,IF(AB893&lt;=11,186+(AB893-7)*30+AC893,336+AC893))-1,""))</f>
        <v/>
      </c>
      <c r="AE893" s="7" t="str">
        <f aca="false">IF(P893="","",VALUE(LEFT(P893,FIND("/",P893)-1)))</f>
        <v/>
      </c>
      <c r="AF893" s="7" t="str">
        <f aca="false">IF(P893="","",VALUE(MID(P893,FIND("/",P893)+1,FIND("/",P893,FIND("/",P893)+1)-FIND("/",P893)-1)))</f>
        <v/>
      </c>
      <c r="AG893" s="7" t="str">
        <f aca="false">IF(P893="","",VALUE(MID(P893,FIND("/",P893,FIND("/",P893)+1)+1,LEN(P893)-FIND("/",P893,FIND("/",P893)+1))))</f>
        <v/>
      </c>
      <c r="AH893" s="7" t="str">
        <f aca="false">IF(OR(P893="",AE893=""),"",IFERROR(INDEX('لیست‌ها'!$Q$3:$Q$53,MATCH(AE893,'لیست‌ها'!$P$3:$P$53,0))+IF(AF893&lt;=6,(AF893-1)*31+AG893,IF(AF893&lt;=11,186+(AF893-7)*30+AG893,336+AG893))-1,""))</f>
        <v/>
      </c>
      <c r="AI893" s="7" t="str">
        <f aca="false">IF(W893="","",W893&amp;"-"&amp;TEXT(X893,"00"))</f>
        <v/>
      </c>
      <c r="AJ893" s="7" t="str">
        <f aca="false">IF(W893="","",W893*12+X893)</f>
        <v/>
      </c>
      <c r="AK893" s="7" t="str">
        <f aca="false">IF(U893="تاخیر",V893+ROW()/100000,"")</f>
        <v/>
      </c>
    </row>
    <row r="894" customFormat="false" ht="15" hidden="false" customHeight="false" outlineLevel="0" collapsed="false">
      <c r="A894" s="7" t="str">
        <f aca="false">IF(B894="","",ROW()-3)</f>
        <v/>
      </c>
      <c r="B894" s="8"/>
      <c r="C894" s="8"/>
      <c r="D894" s="8"/>
      <c r="E894" s="9"/>
      <c r="F894" s="9"/>
      <c r="G894" s="8"/>
      <c r="H894" s="8"/>
      <c r="I894" s="8"/>
      <c r="J894" s="9"/>
      <c r="K894" s="8"/>
      <c r="L894" s="8"/>
      <c r="M894" s="8"/>
      <c r="N894" s="8"/>
      <c r="O894" s="8"/>
      <c r="P894" s="8"/>
      <c r="Q894" s="8"/>
      <c r="R894" s="9"/>
      <c r="S894" s="8"/>
      <c r="T894" s="9"/>
      <c r="U894" s="10" t="str">
        <f aca="true">IF(B894="","",IF(OR(P894&lt;&gt;"",I894="می‌باشد"),"بسته",IF(AND(L894&lt;&gt;"",W894=""),"خطای فرمت تاریخ ایجاد",IF(AND(H894&lt;&gt;"",AA894=""),"خطای فرمت مهلت",IF(AND(H894&lt;&gt;"",AD894&lt;&gt;"",TODAY()&gt;AD894),"تاخیر",IF(L894&lt;&gt;"","در حال انجام",""))))))</f>
        <v/>
      </c>
      <c r="V894" s="7" t="n">
        <f aca="true">IF(U894="تاخیر",TODAY()-AD894,IF(AND(U894="بسته",AH894&lt;&gt;"",AD894&lt;&gt;"",AH894&gt;AD894),AH894-AD894,0))</f>
        <v>0</v>
      </c>
      <c r="W894" s="7" t="str">
        <f aca="false">IF(L894="","",VALUE(LEFT(L894,FIND("/",L894)-1)))</f>
        <v/>
      </c>
      <c r="X894" s="7" t="str">
        <f aca="false">IF(L894="","",VALUE(MID(L894,FIND("/",L894)+1,FIND("/",L894,FIND("/",L894)+1)-FIND("/",L894)-1)))</f>
        <v/>
      </c>
      <c r="Y894" s="7" t="str">
        <f aca="false">IF(L894="","",VALUE(MID(L894,FIND("/",L894,FIND("/",L894)+1)+1,LEN(L894)-FIND("/",L894,FIND("/",L894)+1))))</f>
        <v/>
      </c>
      <c r="Z894" s="7" t="str">
        <f aca="false">IF(OR(L894="",W894=""),"",IFERROR(INDEX('لیست‌ها'!$Q$3:$Q$53,MATCH(W894,'لیست‌ها'!$P$3:$P$53,0))+IF(X894&lt;=6,(X894-1)*31+Y894,IF(X894&lt;=11,186+(X894-7)*30+Y894,336+Y894))-1,""))</f>
        <v/>
      </c>
      <c r="AA894" s="7" t="str">
        <f aca="false">IF(H894="","",VALUE(LEFT(H894,FIND("/",H894)-1)))</f>
        <v/>
      </c>
      <c r="AB894" s="7" t="str">
        <f aca="false">IF(H894="","",VALUE(MID(H894,FIND("/",H894)+1,FIND("/",H894,FIND("/",H894)+1)-FIND("/",H894)-1)))</f>
        <v/>
      </c>
      <c r="AC894" s="7" t="str">
        <f aca="false">IF(H894="","",VALUE(MID(H894,FIND("/",H894,FIND("/",H894)+1)+1,LEN(H894)-FIND("/",H894,FIND("/",H894)+1))))</f>
        <v/>
      </c>
      <c r="AD894" s="7" t="str">
        <f aca="false">IF(OR(H894="",AA894=""),"",IFERROR(INDEX('لیست‌ها'!$Q$3:$Q$53,MATCH(AA894,'لیست‌ها'!$P$3:$P$53,0))+IF(AB894&lt;=6,(AB894-1)*31+AC894,IF(AB894&lt;=11,186+(AB894-7)*30+AC894,336+AC894))-1,""))</f>
        <v/>
      </c>
      <c r="AE894" s="7" t="str">
        <f aca="false">IF(P894="","",VALUE(LEFT(P894,FIND("/",P894)-1)))</f>
        <v/>
      </c>
      <c r="AF894" s="7" t="str">
        <f aca="false">IF(P894="","",VALUE(MID(P894,FIND("/",P894)+1,FIND("/",P894,FIND("/",P894)+1)-FIND("/",P894)-1)))</f>
        <v/>
      </c>
      <c r="AG894" s="7" t="str">
        <f aca="false">IF(P894="","",VALUE(MID(P894,FIND("/",P894,FIND("/",P894)+1)+1,LEN(P894)-FIND("/",P894,FIND("/",P894)+1))))</f>
        <v/>
      </c>
      <c r="AH894" s="7" t="str">
        <f aca="false">IF(OR(P894="",AE894=""),"",IFERROR(INDEX('لیست‌ها'!$Q$3:$Q$53,MATCH(AE894,'لیست‌ها'!$P$3:$P$53,0))+IF(AF894&lt;=6,(AF894-1)*31+AG894,IF(AF894&lt;=11,186+(AF894-7)*30+AG894,336+AG894))-1,""))</f>
        <v/>
      </c>
      <c r="AI894" s="7" t="str">
        <f aca="false">IF(W894="","",W894&amp;"-"&amp;TEXT(X894,"00"))</f>
        <v/>
      </c>
      <c r="AJ894" s="7" t="str">
        <f aca="false">IF(W894="","",W894*12+X894)</f>
        <v/>
      </c>
      <c r="AK894" s="7" t="str">
        <f aca="false">IF(U894="تاخیر",V894+ROW()/100000,"")</f>
        <v/>
      </c>
    </row>
    <row r="895" customFormat="false" ht="15" hidden="false" customHeight="false" outlineLevel="0" collapsed="false">
      <c r="A895" s="7" t="str">
        <f aca="false">IF(B895="","",ROW()-3)</f>
        <v/>
      </c>
      <c r="B895" s="8"/>
      <c r="C895" s="8"/>
      <c r="D895" s="8"/>
      <c r="E895" s="9"/>
      <c r="F895" s="9"/>
      <c r="G895" s="8"/>
      <c r="H895" s="8"/>
      <c r="I895" s="8"/>
      <c r="J895" s="9"/>
      <c r="K895" s="8"/>
      <c r="L895" s="8"/>
      <c r="M895" s="8"/>
      <c r="N895" s="8"/>
      <c r="O895" s="8"/>
      <c r="P895" s="8"/>
      <c r="Q895" s="8"/>
      <c r="R895" s="9"/>
      <c r="S895" s="8"/>
      <c r="T895" s="9"/>
      <c r="U895" s="10" t="str">
        <f aca="true">IF(B895="","",IF(OR(P895&lt;&gt;"",I895="می‌باشد"),"بسته",IF(AND(L895&lt;&gt;"",W895=""),"خطای فرمت تاریخ ایجاد",IF(AND(H895&lt;&gt;"",AA895=""),"خطای فرمت مهلت",IF(AND(H895&lt;&gt;"",AD895&lt;&gt;"",TODAY()&gt;AD895),"تاخیر",IF(L895&lt;&gt;"","در حال انجام",""))))))</f>
        <v/>
      </c>
      <c r="V895" s="7" t="n">
        <f aca="true">IF(U895="تاخیر",TODAY()-AD895,IF(AND(U895="بسته",AH895&lt;&gt;"",AD895&lt;&gt;"",AH895&gt;AD895),AH895-AD895,0))</f>
        <v>0</v>
      </c>
      <c r="W895" s="7" t="str">
        <f aca="false">IF(L895="","",VALUE(LEFT(L895,FIND("/",L895)-1)))</f>
        <v/>
      </c>
      <c r="X895" s="7" t="str">
        <f aca="false">IF(L895="","",VALUE(MID(L895,FIND("/",L895)+1,FIND("/",L895,FIND("/",L895)+1)-FIND("/",L895)-1)))</f>
        <v/>
      </c>
      <c r="Y895" s="7" t="str">
        <f aca="false">IF(L895="","",VALUE(MID(L895,FIND("/",L895,FIND("/",L895)+1)+1,LEN(L895)-FIND("/",L895,FIND("/",L895)+1))))</f>
        <v/>
      </c>
      <c r="Z895" s="7" t="str">
        <f aca="false">IF(OR(L895="",W895=""),"",IFERROR(INDEX('لیست‌ها'!$Q$3:$Q$53,MATCH(W895,'لیست‌ها'!$P$3:$P$53,0))+IF(X895&lt;=6,(X895-1)*31+Y895,IF(X895&lt;=11,186+(X895-7)*30+Y895,336+Y895))-1,""))</f>
        <v/>
      </c>
      <c r="AA895" s="7" t="str">
        <f aca="false">IF(H895="","",VALUE(LEFT(H895,FIND("/",H895)-1)))</f>
        <v/>
      </c>
      <c r="AB895" s="7" t="str">
        <f aca="false">IF(H895="","",VALUE(MID(H895,FIND("/",H895)+1,FIND("/",H895,FIND("/",H895)+1)-FIND("/",H895)-1)))</f>
        <v/>
      </c>
      <c r="AC895" s="7" t="str">
        <f aca="false">IF(H895="","",VALUE(MID(H895,FIND("/",H895,FIND("/",H895)+1)+1,LEN(H895)-FIND("/",H895,FIND("/",H895)+1))))</f>
        <v/>
      </c>
      <c r="AD895" s="7" t="str">
        <f aca="false">IF(OR(H895="",AA895=""),"",IFERROR(INDEX('لیست‌ها'!$Q$3:$Q$53,MATCH(AA895,'لیست‌ها'!$P$3:$P$53,0))+IF(AB895&lt;=6,(AB895-1)*31+AC895,IF(AB895&lt;=11,186+(AB895-7)*30+AC895,336+AC895))-1,""))</f>
        <v/>
      </c>
      <c r="AE895" s="7" t="str">
        <f aca="false">IF(P895="","",VALUE(LEFT(P895,FIND("/",P895)-1)))</f>
        <v/>
      </c>
      <c r="AF895" s="7" t="str">
        <f aca="false">IF(P895="","",VALUE(MID(P895,FIND("/",P895)+1,FIND("/",P895,FIND("/",P895)+1)-FIND("/",P895)-1)))</f>
        <v/>
      </c>
      <c r="AG895" s="7" t="str">
        <f aca="false">IF(P895="","",VALUE(MID(P895,FIND("/",P895,FIND("/",P895)+1)+1,LEN(P895)-FIND("/",P895,FIND("/",P895)+1))))</f>
        <v/>
      </c>
      <c r="AH895" s="7" t="str">
        <f aca="false">IF(OR(P895="",AE895=""),"",IFERROR(INDEX('لیست‌ها'!$Q$3:$Q$53,MATCH(AE895,'لیست‌ها'!$P$3:$P$53,0))+IF(AF895&lt;=6,(AF895-1)*31+AG895,IF(AF895&lt;=11,186+(AF895-7)*30+AG895,336+AG895))-1,""))</f>
        <v/>
      </c>
      <c r="AI895" s="7" t="str">
        <f aca="false">IF(W895="","",W895&amp;"-"&amp;TEXT(X895,"00"))</f>
        <v/>
      </c>
      <c r="AJ895" s="7" t="str">
        <f aca="false">IF(W895="","",W895*12+X895)</f>
        <v/>
      </c>
      <c r="AK895" s="7" t="str">
        <f aca="false">IF(U895="تاخیر",V895+ROW()/100000,"")</f>
        <v/>
      </c>
    </row>
    <row r="896" customFormat="false" ht="15" hidden="false" customHeight="false" outlineLevel="0" collapsed="false">
      <c r="A896" s="7" t="str">
        <f aca="false">IF(B896="","",ROW()-3)</f>
        <v/>
      </c>
      <c r="B896" s="8"/>
      <c r="C896" s="8"/>
      <c r="D896" s="8"/>
      <c r="E896" s="9"/>
      <c r="F896" s="9"/>
      <c r="G896" s="8"/>
      <c r="H896" s="8"/>
      <c r="I896" s="8"/>
      <c r="J896" s="9"/>
      <c r="K896" s="8"/>
      <c r="L896" s="8"/>
      <c r="M896" s="8"/>
      <c r="N896" s="8"/>
      <c r="O896" s="8"/>
      <c r="P896" s="8"/>
      <c r="Q896" s="8"/>
      <c r="R896" s="9"/>
      <c r="S896" s="8"/>
      <c r="T896" s="9"/>
      <c r="U896" s="10" t="str">
        <f aca="true">IF(B896="","",IF(OR(P896&lt;&gt;"",I896="می‌باشد"),"بسته",IF(AND(L896&lt;&gt;"",W896=""),"خطای فرمت تاریخ ایجاد",IF(AND(H896&lt;&gt;"",AA896=""),"خطای فرمت مهلت",IF(AND(H896&lt;&gt;"",AD896&lt;&gt;"",TODAY()&gt;AD896),"تاخیر",IF(L896&lt;&gt;"","در حال انجام",""))))))</f>
        <v/>
      </c>
      <c r="V896" s="7" t="n">
        <f aca="true">IF(U896="تاخیر",TODAY()-AD896,IF(AND(U896="بسته",AH896&lt;&gt;"",AD896&lt;&gt;"",AH896&gt;AD896),AH896-AD896,0))</f>
        <v>0</v>
      </c>
      <c r="W896" s="7" t="str">
        <f aca="false">IF(L896="","",VALUE(LEFT(L896,FIND("/",L896)-1)))</f>
        <v/>
      </c>
      <c r="X896" s="7" t="str">
        <f aca="false">IF(L896="","",VALUE(MID(L896,FIND("/",L896)+1,FIND("/",L896,FIND("/",L896)+1)-FIND("/",L896)-1)))</f>
        <v/>
      </c>
      <c r="Y896" s="7" t="str">
        <f aca="false">IF(L896="","",VALUE(MID(L896,FIND("/",L896,FIND("/",L896)+1)+1,LEN(L896)-FIND("/",L896,FIND("/",L896)+1))))</f>
        <v/>
      </c>
      <c r="Z896" s="7" t="str">
        <f aca="false">IF(OR(L896="",W896=""),"",IFERROR(INDEX('لیست‌ها'!$Q$3:$Q$53,MATCH(W896,'لیست‌ها'!$P$3:$P$53,0))+IF(X896&lt;=6,(X896-1)*31+Y896,IF(X896&lt;=11,186+(X896-7)*30+Y896,336+Y896))-1,""))</f>
        <v/>
      </c>
      <c r="AA896" s="7" t="str">
        <f aca="false">IF(H896="","",VALUE(LEFT(H896,FIND("/",H896)-1)))</f>
        <v/>
      </c>
      <c r="AB896" s="7" t="str">
        <f aca="false">IF(H896="","",VALUE(MID(H896,FIND("/",H896)+1,FIND("/",H896,FIND("/",H896)+1)-FIND("/",H896)-1)))</f>
        <v/>
      </c>
      <c r="AC896" s="7" t="str">
        <f aca="false">IF(H896="","",VALUE(MID(H896,FIND("/",H896,FIND("/",H896)+1)+1,LEN(H896)-FIND("/",H896,FIND("/",H896)+1))))</f>
        <v/>
      </c>
      <c r="AD896" s="7" t="str">
        <f aca="false">IF(OR(H896="",AA896=""),"",IFERROR(INDEX('لیست‌ها'!$Q$3:$Q$53,MATCH(AA896,'لیست‌ها'!$P$3:$P$53,0))+IF(AB896&lt;=6,(AB896-1)*31+AC896,IF(AB896&lt;=11,186+(AB896-7)*30+AC896,336+AC896))-1,""))</f>
        <v/>
      </c>
      <c r="AE896" s="7" t="str">
        <f aca="false">IF(P896="","",VALUE(LEFT(P896,FIND("/",P896)-1)))</f>
        <v/>
      </c>
      <c r="AF896" s="7" t="str">
        <f aca="false">IF(P896="","",VALUE(MID(P896,FIND("/",P896)+1,FIND("/",P896,FIND("/",P896)+1)-FIND("/",P896)-1)))</f>
        <v/>
      </c>
      <c r="AG896" s="7" t="str">
        <f aca="false">IF(P896="","",VALUE(MID(P896,FIND("/",P896,FIND("/",P896)+1)+1,LEN(P896)-FIND("/",P896,FIND("/",P896)+1))))</f>
        <v/>
      </c>
      <c r="AH896" s="7" t="str">
        <f aca="false">IF(OR(P896="",AE896=""),"",IFERROR(INDEX('لیست‌ها'!$Q$3:$Q$53,MATCH(AE896,'لیست‌ها'!$P$3:$P$53,0))+IF(AF896&lt;=6,(AF896-1)*31+AG896,IF(AF896&lt;=11,186+(AF896-7)*30+AG896,336+AG896))-1,""))</f>
        <v/>
      </c>
      <c r="AI896" s="7" t="str">
        <f aca="false">IF(W896="","",W896&amp;"-"&amp;TEXT(X896,"00"))</f>
        <v/>
      </c>
      <c r="AJ896" s="7" t="str">
        <f aca="false">IF(W896="","",W896*12+X896)</f>
        <v/>
      </c>
      <c r="AK896" s="7" t="str">
        <f aca="false">IF(U896="تاخیر",V896+ROW()/100000,"")</f>
        <v/>
      </c>
    </row>
    <row r="897" customFormat="false" ht="15" hidden="false" customHeight="false" outlineLevel="0" collapsed="false">
      <c r="A897" s="7" t="str">
        <f aca="false">IF(B897="","",ROW()-3)</f>
        <v/>
      </c>
      <c r="B897" s="8"/>
      <c r="C897" s="8"/>
      <c r="D897" s="8"/>
      <c r="E897" s="9"/>
      <c r="F897" s="9"/>
      <c r="G897" s="8"/>
      <c r="H897" s="8"/>
      <c r="I897" s="8"/>
      <c r="J897" s="9"/>
      <c r="K897" s="8"/>
      <c r="L897" s="8"/>
      <c r="M897" s="8"/>
      <c r="N897" s="8"/>
      <c r="O897" s="8"/>
      <c r="P897" s="8"/>
      <c r="Q897" s="8"/>
      <c r="R897" s="9"/>
      <c r="S897" s="8"/>
      <c r="T897" s="9"/>
      <c r="U897" s="10" t="str">
        <f aca="true">IF(B897="","",IF(OR(P897&lt;&gt;"",I897="می‌باشد"),"بسته",IF(AND(L897&lt;&gt;"",W897=""),"خطای فرمت تاریخ ایجاد",IF(AND(H897&lt;&gt;"",AA897=""),"خطای فرمت مهلت",IF(AND(H897&lt;&gt;"",AD897&lt;&gt;"",TODAY()&gt;AD897),"تاخیر",IF(L897&lt;&gt;"","در حال انجام",""))))))</f>
        <v/>
      </c>
      <c r="V897" s="7" t="n">
        <f aca="true">IF(U897="تاخیر",TODAY()-AD897,IF(AND(U897="بسته",AH897&lt;&gt;"",AD897&lt;&gt;"",AH897&gt;AD897),AH897-AD897,0))</f>
        <v>0</v>
      </c>
      <c r="W897" s="7" t="str">
        <f aca="false">IF(L897="","",VALUE(LEFT(L897,FIND("/",L897)-1)))</f>
        <v/>
      </c>
      <c r="X897" s="7" t="str">
        <f aca="false">IF(L897="","",VALUE(MID(L897,FIND("/",L897)+1,FIND("/",L897,FIND("/",L897)+1)-FIND("/",L897)-1)))</f>
        <v/>
      </c>
      <c r="Y897" s="7" t="str">
        <f aca="false">IF(L897="","",VALUE(MID(L897,FIND("/",L897,FIND("/",L897)+1)+1,LEN(L897)-FIND("/",L897,FIND("/",L897)+1))))</f>
        <v/>
      </c>
      <c r="Z897" s="7" t="str">
        <f aca="false">IF(OR(L897="",W897=""),"",IFERROR(INDEX('لیست‌ها'!$Q$3:$Q$53,MATCH(W897,'لیست‌ها'!$P$3:$P$53,0))+IF(X897&lt;=6,(X897-1)*31+Y897,IF(X897&lt;=11,186+(X897-7)*30+Y897,336+Y897))-1,""))</f>
        <v/>
      </c>
      <c r="AA897" s="7" t="str">
        <f aca="false">IF(H897="","",VALUE(LEFT(H897,FIND("/",H897)-1)))</f>
        <v/>
      </c>
      <c r="AB897" s="7" t="str">
        <f aca="false">IF(H897="","",VALUE(MID(H897,FIND("/",H897)+1,FIND("/",H897,FIND("/",H897)+1)-FIND("/",H897)-1)))</f>
        <v/>
      </c>
      <c r="AC897" s="7" t="str">
        <f aca="false">IF(H897="","",VALUE(MID(H897,FIND("/",H897,FIND("/",H897)+1)+1,LEN(H897)-FIND("/",H897,FIND("/",H897)+1))))</f>
        <v/>
      </c>
      <c r="AD897" s="7" t="str">
        <f aca="false">IF(OR(H897="",AA897=""),"",IFERROR(INDEX('لیست‌ها'!$Q$3:$Q$53,MATCH(AA897,'لیست‌ها'!$P$3:$P$53,0))+IF(AB897&lt;=6,(AB897-1)*31+AC897,IF(AB897&lt;=11,186+(AB897-7)*30+AC897,336+AC897))-1,""))</f>
        <v/>
      </c>
      <c r="AE897" s="7" t="str">
        <f aca="false">IF(P897="","",VALUE(LEFT(P897,FIND("/",P897)-1)))</f>
        <v/>
      </c>
      <c r="AF897" s="7" t="str">
        <f aca="false">IF(P897="","",VALUE(MID(P897,FIND("/",P897)+1,FIND("/",P897,FIND("/",P897)+1)-FIND("/",P897)-1)))</f>
        <v/>
      </c>
      <c r="AG897" s="7" t="str">
        <f aca="false">IF(P897="","",VALUE(MID(P897,FIND("/",P897,FIND("/",P897)+1)+1,LEN(P897)-FIND("/",P897,FIND("/",P897)+1))))</f>
        <v/>
      </c>
      <c r="AH897" s="7" t="str">
        <f aca="false">IF(OR(P897="",AE897=""),"",IFERROR(INDEX('لیست‌ها'!$Q$3:$Q$53,MATCH(AE897,'لیست‌ها'!$P$3:$P$53,0))+IF(AF897&lt;=6,(AF897-1)*31+AG897,IF(AF897&lt;=11,186+(AF897-7)*30+AG897,336+AG897))-1,""))</f>
        <v/>
      </c>
      <c r="AI897" s="7" t="str">
        <f aca="false">IF(W897="","",W897&amp;"-"&amp;TEXT(X897,"00"))</f>
        <v/>
      </c>
      <c r="AJ897" s="7" t="str">
        <f aca="false">IF(W897="","",W897*12+X897)</f>
        <v/>
      </c>
      <c r="AK897" s="7" t="str">
        <f aca="false">IF(U897="تاخیر",V897+ROW()/100000,"")</f>
        <v/>
      </c>
    </row>
    <row r="898" customFormat="false" ht="15" hidden="false" customHeight="false" outlineLevel="0" collapsed="false">
      <c r="A898" s="7" t="str">
        <f aca="false">IF(B898="","",ROW()-3)</f>
        <v/>
      </c>
      <c r="B898" s="8"/>
      <c r="C898" s="8"/>
      <c r="D898" s="8"/>
      <c r="E898" s="9"/>
      <c r="F898" s="9"/>
      <c r="G898" s="8"/>
      <c r="H898" s="8"/>
      <c r="I898" s="8"/>
      <c r="J898" s="9"/>
      <c r="K898" s="8"/>
      <c r="L898" s="8"/>
      <c r="M898" s="8"/>
      <c r="N898" s="8"/>
      <c r="O898" s="8"/>
      <c r="P898" s="8"/>
      <c r="Q898" s="8"/>
      <c r="R898" s="9"/>
      <c r="S898" s="8"/>
      <c r="T898" s="9"/>
      <c r="U898" s="10" t="str">
        <f aca="true">IF(B898="","",IF(OR(P898&lt;&gt;"",I898="می‌باشد"),"بسته",IF(AND(L898&lt;&gt;"",W898=""),"خطای فرمت تاریخ ایجاد",IF(AND(H898&lt;&gt;"",AA898=""),"خطای فرمت مهلت",IF(AND(H898&lt;&gt;"",AD898&lt;&gt;"",TODAY()&gt;AD898),"تاخیر",IF(L898&lt;&gt;"","در حال انجام",""))))))</f>
        <v/>
      </c>
      <c r="V898" s="7" t="n">
        <f aca="true">IF(U898="تاخیر",TODAY()-AD898,IF(AND(U898="بسته",AH898&lt;&gt;"",AD898&lt;&gt;"",AH898&gt;AD898),AH898-AD898,0))</f>
        <v>0</v>
      </c>
      <c r="W898" s="7" t="str">
        <f aca="false">IF(L898="","",VALUE(LEFT(L898,FIND("/",L898)-1)))</f>
        <v/>
      </c>
      <c r="X898" s="7" t="str">
        <f aca="false">IF(L898="","",VALUE(MID(L898,FIND("/",L898)+1,FIND("/",L898,FIND("/",L898)+1)-FIND("/",L898)-1)))</f>
        <v/>
      </c>
      <c r="Y898" s="7" t="str">
        <f aca="false">IF(L898="","",VALUE(MID(L898,FIND("/",L898,FIND("/",L898)+1)+1,LEN(L898)-FIND("/",L898,FIND("/",L898)+1))))</f>
        <v/>
      </c>
      <c r="Z898" s="7" t="str">
        <f aca="false">IF(OR(L898="",W898=""),"",IFERROR(INDEX('لیست‌ها'!$Q$3:$Q$53,MATCH(W898,'لیست‌ها'!$P$3:$P$53,0))+IF(X898&lt;=6,(X898-1)*31+Y898,IF(X898&lt;=11,186+(X898-7)*30+Y898,336+Y898))-1,""))</f>
        <v/>
      </c>
      <c r="AA898" s="7" t="str">
        <f aca="false">IF(H898="","",VALUE(LEFT(H898,FIND("/",H898)-1)))</f>
        <v/>
      </c>
      <c r="AB898" s="7" t="str">
        <f aca="false">IF(H898="","",VALUE(MID(H898,FIND("/",H898)+1,FIND("/",H898,FIND("/",H898)+1)-FIND("/",H898)-1)))</f>
        <v/>
      </c>
      <c r="AC898" s="7" t="str">
        <f aca="false">IF(H898="","",VALUE(MID(H898,FIND("/",H898,FIND("/",H898)+1)+1,LEN(H898)-FIND("/",H898,FIND("/",H898)+1))))</f>
        <v/>
      </c>
      <c r="AD898" s="7" t="str">
        <f aca="false">IF(OR(H898="",AA898=""),"",IFERROR(INDEX('لیست‌ها'!$Q$3:$Q$53,MATCH(AA898,'لیست‌ها'!$P$3:$P$53,0))+IF(AB898&lt;=6,(AB898-1)*31+AC898,IF(AB898&lt;=11,186+(AB898-7)*30+AC898,336+AC898))-1,""))</f>
        <v/>
      </c>
      <c r="AE898" s="7" t="str">
        <f aca="false">IF(P898="","",VALUE(LEFT(P898,FIND("/",P898)-1)))</f>
        <v/>
      </c>
      <c r="AF898" s="7" t="str">
        <f aca="false">IF(P898="","",VALUE(MID(P898,FIND("/",P898)+1,FIND("/",P898,FIND("/",P898)+1)-FIND("/",P898)-1)))</f>
        <v/>
      </c>
      <c r="AG898" s="7" t="str">
        <f aca="false">IF(P898="","",VALUE(MID(P898,FIND("/",P898,FIND("/",P898)+1)+1,LEN(P898)-FIND("/",P898,FIND("/",P898)+1))))</f>
        <v/>
      </c>
      <c r="AH898" s="7" t="str">
        <f aca="false">IF(OR(P898="",AE898=""),"",IFERROR(INDEX('لیست‌ها'!$Q$3:$Q$53,MATCH(AE898,'لیست‌ها'!$P$3:$P$53,0))+IF(AF898&lt;=6,(AF898-1)*31+AG898,IF(AF898&lt;=11,186+(AF898-7)*30+AG898,336+AG898))-1,""))</f>
        <v/>
      </c>
      <c r="AI898" s="7" t="str">
        <f aca="false">IF(W898="","",W898&amp;"-"&amp;TEXT(X898,"00"))</f>
        <v/>
      </c>
      <c r="AJ898" s="7" t="str">
        <f aca="false">IF(W898="","",W898*12+X898)</f>
        <v/>
      </c>
      <c r="AK898" s="7" t="str">
        <f aca="false">IF(U898="تاخیر",V898+ROW()/100000,"")</f>
        <v/>
      </c>
    </row>
    <row r="899" customFormat="false" ht="15" hidden="false" customHeight="false" outlineLevel="0" collapsed="false">
      <c r="A899" s="7" t="str">
        <f aca="false">IF(B899="","",ROW()-3)</f>
        <v/>
      </c>
      <c r="B899" s="8"/>
      <c r="C899" s="8"/>
      <c r="D899" s="8"/>
      <c r="E899" s="9"/>
      <c r="F899" s="9"/>
      <c r="G899" s="8"/>
      <c r="H899" s="8"/>
      <c r="I899" s="8"/>
      <c r="J899" s="9"/>
      <c r="K899" s="8"/>
      <c r="L899" s="8"/>
      <c r="M899" s="8"/>
      <c r="N899" s="8"/>
      <c r="O899" s="8"/>
      <c r="P899" s="8"/>
      <c r="Q899" s="8"/>
      <c r="R899" s="9"/>
      <c r="S899" s="8"/>
      <c r="T899" s="9"/>
      <c r="U899" s="10" t="str">
        <f aca="true">IF(B899="","",IF(OR(P899&lt;&gt;"",I899="می‌باشد"),"بسته",IF(AND(L899&lt;&gt;"",W899=""),"خطای فرمت تاریخ ایجاد",IF(AND(H899&lt;&gt;"",AA899=""),"خطای فرمت مهلت",IF(AND(H899&lt;&gt;"",AD899&lt;&gt;"",TODAY()&gt;AD899),"تاخیر",IF(L899&lt;&gt;"","در حال انجام",""))))))</f>
        <v/>
      </c>
      <c r="V899" s="7" t="n">
        <f aca="true">IF(U899="تاخیر",TODAY()-AD899,IF(AND(U899="بسته",AH899&lt;&gt;"",AD899&lt;&gt;"",AH899&gt;AD899),AH899-AD899,0))</f>
        <v>0</v>
      </c>
      <c r="W899" s="7" t="str">
        <f aca="false">IF(L899="","",VALUE(LEFT(L899,FIND("/",L899)-1)))</f>
        <v/>
      </c>
      <c r="X899" s="7" t="str">
        <f aca="false">IF(L899="","",VALUE(MID(L899,FIND("/",L899)+1,FIND("/",L899,FIND("/",L899)+1)-FIND("/",L899)-1)))</f>
        <v/>
      </c>
      <c r="Y899" s="7" t="str">
        <f aca="false">IF(L899="","",VALUE(MID(L899,FIND("/",L899,FIND("/",L899)+1)+1,LEN(L899)-FIND("/",L899,FIND("/",L899)+1))))</f>
        <v/>
      </c>
      <c r="Z899" s="7" t="str">
        <f aca="false">IF(OR(L899="",W899=""),"",IFERROR(INDEX('لیست‌ها'!$Q$3:$Q$53,MATCH(W899,'لیست‌ها'!$P$3:$P$53,0))+IF(X899&lt;=6,(X899-1)*31+Y899,IF(X899&lt;=11,186+(X899-7)*30+Y899,336+Y899))-1,""))</f>
        <v/>
      </c>
      <c r="AA899" s="7" t="str">
        <f aca="false">IF(H899="","",VALUE(LEFT(H899,FIND("/",H899)-1)))</f>
        <v/>
      </c>
      <c r="AB899" s="7" t="str">
        <f aca="false">IF(H899="","",VALUE(MID(H899,FIND("/",H899)+1,FIND("/",H899,FIND("/",H899)+1)-FIND("/",H899)-1)))</f>
        <v/>
      </c>
      <c r="AC899" s="7" t="str">
        <f aca="false">IF(H899="","",VALUE(MID(H899,FIND("/",H899,FIND("/",H899)+1)+1,LEN(H899)-FIND("/",H899,FIND("/",H899)+1))))</f>
        <v/>
      </c>
      <c r="AD899" s="7" t="str">
        <f aca="false">IF(OR(H899="",AA899=""),"",IFERROR(INDEX('لیست‌ها'!$Q$3:$Q$53,MATCH(AA899,'لیست‌ها'!$P$3:$P$53,0))+IF(AB899&lt;=6,(AB899-1)*31+AC899,IF(AB899&lt;=11,186+(AB899-7)*30+AC899,336+AC899))-1,""))</f>
        <v/>
      </c>
      <c r="AE899" s="7" t="str">
        <f aca="false">IF(P899="","",VALUE(LEFT(P899,FIND("/",P899)-1)))</f>
        <v/>
      </c>
      <c r="AF899" s="7" t="str">
        <f aca="false">IF(P899="","",VALUE(MID(P899,FIND("/",P899)+1,FIND("/",P899,FIND("/",P899)+1)-FIND("/",P899)-1)))</f>
        <v/>
      </c>
      <c r="AG899" s="7" t="str">
        <f aca="false">IF(P899="","",VALUE(MID(P899,FIND("/",P899,FIND("/",P899)+1)+1,LEN(P899)-FIND("/",P899,FIND("/",P899)+1))))</f>
        <v/>
      </c>
      <c r="AH899" s="7" t="str">
        <f aca="false">IF(OR(P899="",AE899=""),"",IFERROR(INDEX('لیست‌ها'!$Q$3:$Q$53,MATCH(AE899,'لیست‌ها'!$P$3:$P$53,0))+IF(AF899&lt;=6,(AF899-1)*31+AG899,IF(AF899&lt;=11,186+(AF899-7)*30+AG899,336+AG899))-1,""))</f>
        <v/>
      </c>
      <c r="AI899" s="7" t="str">
        <f aca="false">IF(W899="","",W899&amp;"-"&amp;TEXT(X899,"00"))</f>
        <v/>
      </c>
      <c r="AJ899" s="7" t="str">
        <f aca="false">IF(W899="","",W899*12+X899)</f>
        <v/>
      </c>
      <c r="AK899" s="7" t="str">
        <f aca="false">IF(U899="تاخیر",V899+ROW()/100000,"")</f>
        <v/>
      </c>
    </row>
    <row r="900" customFormat="false" ht="15" hidden="false" customHeight="false" outlineLevel="0" collapsed="false">
      <c r="A900" s="7" t="str">
        <f aca="false">IF(B900="","",ROW()-3)</f>
        <v/>
      </c>
      <c r="B900" s="8"/>
      <c r="C900" s="8"/>
      <c r="D900" s="8"/>
      <c r="E900" s="9"/>
      <c r="F900" s="9"/>
      <c r="G900" s="8"/>
      <c r="H900" s="8"/>
      <c r="I900" s="8"/>
      <c r="J900" s="9"/>
      <c r="K900" s="8"/>
      <c r="L900" s="8"/>
      <c r="M900" s="8"/>
      <c r="N900" s="8"/>
      <c r="O900" s="8"/>
      <c r="P900" s="8"/>
      <c r="Q900" s="8"/>
      <c r="R900" s="9"/>
      <c r="S900" s="8"/>
      <c r="T900" s="9"/>
      <c r="U900" s="10" t="str">
        <f aca="true">IF(B900="","",IF(OR(P900&lt;&gt;"",I900="می‌باشد"),"بسته",IF(AND(L900&lt;&gt;"",W900=""),"خطای فرمت تاریخ ایجاد",IF(AND(H900&lt;&gt;"",AA900=""),"خطای فرمت مهلت",IF(AND(H900&lt;&gt;"",AD900&lt;&gt;"",TODAY()&gt;AD900),"تاخیر",IF(L900&lt;&gt;"","در حال انجام",""))))))</f>
        <v/>
      </c>
      <c r="V900" s="7" t="n">
        <f aca="true">IF(U900="تاخیر",TODAY()-AD900,IF(AND(U900="بسته",AH900&lt;&gt;"",AD900&lt;&gt;"",AH900&gt;AD900),AH900-AD900,0))</f>
        <v>0</v>
      </c>
      <c r="W900" s="7" t="str">
        <f aca="false">IF(L900="","",VALUE(LEFT(L900,FIND("/",L900)-1)))</f>
        <v/>
      </c>
      <c r="X900" s="7" t="str">
        <f aca="false">IF(L900="","",VALUE(MID(L900,FIND("/",L900)+1,FIND("/",L900,FIND("/",L900)+1)-FIND("/",L900)-1)))</f>
        <v/>
      </c>
      <c r="Y900" s="7" t="str">
        <f aca="false">IF(L900="","",VALUE(MID(L900,FIND("/",L900,FIND("/",L900)+1)+1,LEN(L900)-FIND("/",L900,FIND("/",L900)+1))))</f>
        <v/>
      </c>
      <c r="Z900" s="7" t="str">
        <f aca="false">IF(OR(L900="",W900=""),"",IFERROR(INDEX('لیست‌ها'!$Q$3:$Q$53,MATCH(W900,'لیست‌ها'!$P$3:$P$53,0))+IF(X900&lt;=6,(X900-1)*31+Y900,IF(X900&lt;=11,186+(X900-7)*30+Y900,336+Y900))-1,""))</f>
        <v/>
      </c>
      <c r="AA900" s="7" t="str">
        <f aca="false">IF(H900="","",VALUE(LEFT(H900,FIND("/",H900)-1)))</f>
        <v/>
      </c>
      <c r="AB900" s="7" t="str">
        <f aca="false">IF(H900="","",VALUE(MID(H900,FIND("/",H900)+1,FIND("/",H900,FIND("/",H900)+1)-FIND("/",H900)-1)))</f>
        <v/>
      </c>
      <c r="AC900" s="7" t="str">
        <f aca="false">IF(H900="","",VALUE(MID(H900,FIND("/",H900,FIND("/",H900)+1)+1,LEN(H900)-FIND("/",H900,FIND("/",H900)+1))))</f>
        <v/>
      </c>
      <c r="AD900" s="7" t="str">
        <f aca="false">IF(OR(H900="",AA900=""),"",IFERROR(INDEX('لیست‌ها'!$Q$3:$Q$53,MATCH(AA900,'لیست‌ها'!$P$3:$P$53,0))+IF(AB900&lt;=6,(AB900-1)*31+AC900,IF(AB900&lt;=11,186+(AB900-7)*30+AC900,336+AC900))-1,""))</f>
        <v/>
      </c>
      <c r="AE900" s="7" t="str">
        <f aca="false">IF(P900="","",VALUE(LEFT(P900,FIND("/",P900)-1)))</f>
        <v/>
      </c>
      <c r="AF900" s="7" t="str">
        <f aca="false">IF(P900="","",VALUE(MID(P900,FIND("/",P900)+1,FIND("/",P900,FIND("/",P900)+1)-FIND("/",P900)-1)))</f>
        <v/>
      </c>
      <c r="AG900" s="7" t="str">
        <f aca="false">IF(P900="","",VALUE(MID(P900,FIND("/",P900,FIND("/",P900)+1)+1,LEN(P900)-FIND("/",P900,FIND("/",P900)+1))))</f>
        <v/>
      </c>
      <c r="AH900" s="7" t="str">
        <f aca="false">IF(OR(P900="",AE900=""),"",IFERROR(INDEX('لیست‌ها'!$Q$3:$Q$53,MATCH(AE900,'لیست‌ها'!$P$3:$P$53,0))+IF(AF900&lt;=6,(AF900-1)*31+AG900,IF(AF900&lt;=11,186+(AF900-7)*30+AG900,336+AG900))-1,""))</f>
        <v/>
      </c>
      <c r="AI900" s="7" t="str">
        <f aca="false">IF(W900="","",W900&amp;"-"&amp;TEXT(X900,"00"))</f>
        <v/>
      </c>
      <c r="AJ900" s="7" t="str">
        <f aca="false">IF(W900="","",W900*12+X900)</f>
        <v/>
      </c>
      <c r="AK900" s="7" t="str">
        <f aca="false">IF(U900="تاخیر",V900+ROW()/100000,"")</f>
        <v/>
      </c>
    </row>
    <row r="901" customFormat="false" ht="15" hidden="false" customHeight="false" outlineLevel="0" collapsed="false">
      <c r="A901" s="7" t="str">
        <f aca="false">IF(B901="","",ROW()-3)</f>
        <v/>
      </c>
      <c r="B901" s="8"/>
      <c r="C901" s="8"/>
      <c r="D901" s="8"/>
      <c r="E901" s="9"/>
      <c r="F901" s="9"/>
      <c r="G901" s="8"/>
      <c r="H901" s="8"/>
      <c r="I901" s="8"/>
      <c r="J901" s="9"/>
      <c r="K901" s="8"/>
      <c r="L901" s="8"/>
      <c r="M901" s="8"/>
      <c r="N901" s="8"/>
      <c r="O901" s="8"/>
      <c r="P901" s="8"/>
      <c r="Q901" s="8"/>
      <c r="R901" s="9"/>
      <c r="S901" s="8"/>
      <c r="T901" s="9"/>
      <c r="U901" s="10" t="str">
        <f aca="true">IF(B901="","",IF(OR(P901&lt;&gt;"",I901="می‌باشد"),"بسته",IF(AND(L901&lt;&gt;"",W901=""),"خطای فرمت تاریخ ایجاد",IF(AND(H901&lt;&gt;"",AA901=""),"خطای فرمت مهلت",IF(AND(H901&lt;&gt;"",AD901&lt;&gt;"",TODAY()&gt;AD901),"تاخیر",IF(L901&lt;&gt;"","در حال انجام",""))))))</f>
        <v/>
      </c>
      <c r="V901" s="7" t="n">
        <f aca="true">IF(U901="تاخیر",TODAY()-AD901,IF(AND(U901="بسته",AH901&lt;&gt;"",AD901&lt;&gt;"",AH901&gt;AD901),AH901-AD901,0))</f>
        <v>0</v>
      </c>
      <c r="W901" s="7" t="str">
        <f aca="false">IF(L901="","",VALUE(LEFT(L901,FIND("/",L901)-1)))</f>
        <v/>
      </c>
      <c r="X901" s="7" t="str">
        <f aca="false">IF(L901="","",VALUE(MID(L901,FIND("/",L901)+1,FIND("/",L901,FIND("/",L901)+1)-FIND("/",L901)-1)))</f>
        <v/>
      </c>
      <c r="Y901" s="7" t="str">
        <f aca="false">IF(L901="","",VALUE(MID(L901,FIND("/",L901,FIND("/",L901)+1)+1,LEN(L901)-FIND("/",L901,FIND("/",L901)+1))))</f>
        <v/>
      </c>
      <c r="Z901" s="7" t="str">
        <f aca="false">IF(OR(L901="",W901=""),"",IFERROR(INDEX('لیست‌ها'!$Q$3:$Q$53,MATCH(W901,'لیست‌ها'!$P$3:$P$53,0))+IF(X901&lt;=6,(X901-1)*31+Y901,IF(X901&lt;=11,186+(X901-7)*30+Y901,336+Y901))-1,""))</f>
        <v/>
      </c>
      <c r="AA901" s="7" t="str">
        <f aca="false">IF(H901="","",VALUE(LEFT(H901,FIND("/",H901)-1)))</f>
        <v/>
      </c>
      <c r="AB901" s="7" t="str">
        <f aca="false">IF(H901="","",VALUE(MID(H901,FIND("/",H901)+1,FIND("/",H901,FIND("/",H901)+1)-FIND("/",H901)-1)))</f>
        <v/>
      </c>
      <c r="AC901" s="7" t="str">
        <f aca="false">IF(H901="","",VALUE(MID(H901,FIND("/",H901,FIND("/",H901)+1)+1,LEN(H901)-FIND("/",H901,FIND("/",H901)+1))))</f>
        <v/>
      </c>
      <c r="AD901" s="7" t="str">
        <f aca="false">IF(OR(H901="",AA901=""),"",IFERROR(INDEX('لیست‌ها'!$Q$3:$Q$53,MATCH(AA901,'لیست‌ها'!$P$3:$P$53,0))+IF(AB901&lt;=6,(AB901-1)*31+AC901,IF(AB901&lt;=11,186+(AB901-7)*30+AC901,336+AC901))-1,""))</f>
        <v/>
      </c>
      <c r="AE901" s="7" t="str">
        <f aca="false">IF(P901="","",VALUE(LEFT(P901,FIND("/",P901)-1)))</f>
        <v/>
      </c>
      <c r="AF901" s="7" t="str">
        <f aca="false">IF(P901="","",VALUE(MID(P901,FIND("/",P901)+1,FIND("/",P901,FIND("/",P901)+1)-FIND("/",P901)-1)))</f>
        <v/>
      </c>
      <c r="AG901" s="7" t="str">
        <f aca="false">IF(P901="","",VALUE(MID(P901,FIND("/",P901,FIND("/",P901)+1)+1,LEN(P901)-FIND("/",P901,FIND("/",P901)+1))))</f>
        <v/>
      </c>
      <c r="AH901" s="7" t="str">
        <f aca="false">IF(OR(P901="",AE901=""),"",IFERROR(INDEX('لیست‌ها'!$Q$3:$Q$53,MATCH(AE901,'لیست‌ها'!$P$3:$P$53,0))+IF(AF901&lt;=6,(AF901-1)*31+AG901,IF(AF901&lt;=11,186+(AF901-7)*30+AG901,336+AG901))-1,""))</f>
        <v/>
      </c>
      <c r="AI901" s="7" t="str">
        <f aca="false">IF(W901="","",W901&amp;"-"&amp;TEXT(X901,"00"))</f>
        <v/>
      </c>
      <c r="AJ901" s="7" t="str">
        <f aca="false">IF(W901="","",W901*12+X901)</f>
        <v/>
      </c>
      <c r="AK901" s="7" t="str">
        <f aca="false">IF(U901="تاخیر",V901+ROW()/100000,"")</f>
        <v/>
      </c>
    </row>
    <row r="902" customFormat="false" ht="15" hidden="false" customHeight="false" outlineLevel="0" collapsed="false">
      <c r="A902" s="7" t="str">
        <f aca="false">IF(B902="","",ROW()-3)</f>
        <v/>
      </c>
      <c r="B902" s="8"/>
      <c r="C902" s="8"/>
      <c r="D902" s="8"/>
      <c r="E902" s="9"/>
      <c r="F902" s="9"/>
      <c r="G902" s="8"/>
      <c r="H902" s="8"/>
      <c r="I902" s="8"/>
      <c r="J902" s="9"/>
      <c r="K902" s="8"/>
      <c r="L902" s="8"/>
      <c r="M902" s="8"/>
      <c r="N902" s="8"/>
      <c r="O902" s="8"/>
      <c r="P902" s="8"/>
      <c r="Q902" s="8"/>
      <c r="R902" s="9"/>
      <c r="S902" s="8"/>
      <c r="T902" s="9"/>
      <c r="U902" s="10" t="str">
        <f aca="true">IF(B902="","",IF(OR(P902&lt;&gt;"",I902="می‌باشد"),"بسته",IF(AND(L902&lt;&gt;"",W902=""),"خطای فرمت تاریخ ایجاد",IF(AND(H902&lt;&gt;"",AA902=""),"خطای فرمت مهلت",IF(AND(H902&lt;&gt;"",AD902&lt;&gt;"",TODAY()&gt;AD902),"تاخیر",IF(L902&lt;&gt;"","در حال انجام",""))))))</f>
        <v/>
      </c>
      <c r="V902" s="7" t="n">
        <f aca="true">IF(U902="تاخیر",TODAY()-AD902,IF(AND(U902="بسته",AH902&lt;&gt;"",AD902&lt;&gt;"",AH902&gt;AD902),AH902-AD902,0))</f>
        <v>0</v>
      </c>
      <c r="W902" s="7" t="str">
        <f aca="false">IF(L902="","",VALUE(LEFT(L902,FIND("/",L902)-1)))</f>
        <v/>
      </c>
      <c r="X902" s="7" t="str">
        <f aca="false">IF(L902="","",VALUE(MID(L902,FIND("/",L902)+1,FIND("/",L902,FIND("/",L902)+1)-FIND("/",L902)-1)))</f>
        <v/>
      </c>
      <c r="Y902" s="7" t="str">
        <f aca="false">IF(L902="","",VALUE(MID(L902,FIND("/",L902,FIND("/",L902)+1)+1,LEN(L902)-FIND("/",L902,FIND("/",L902)+1))))</f>
        <v/>
      </c>
      <c r="Z902" s="7" t="str">
        <f aca="false">IF(OR(L902="",W902=""),"",IFERROR(INDEX('لیست‌ها'!$Q$3:$Q$53,MATCH(W902,'لیست‌ها'!$P$3:$P$53,0))+IF(X902&lt;=6,(X902-1)*31+Y902,IF(X902&lt;=11,186+(X902-7)*30+Y902,336+Y902))-1,""))</f>
        <v/>
      </c>
      <c r="AA902" s="7" t="str">
        <f aca="false">IF(H902="","",VALUE(LEFT(H902,FIND("/",H902)-1)))</f>
        <v/>
      </c>
      <c r="AB902" s="7" t="str">
        <f aca="false">IF(H902="","",VALUE(MID(H902,FIND("/",H902)+1,FIND("/",H902,FIND("/",H902)+1)-FIND("/",H902)-1)))</f>
        <v/>
      </c>
      <c r="AC902" s="7" t="str">
        <f aca="false">IF(H902="","",VALUE(MID(H902,FIND("/",H902,FIND("/",H902)+1)+1,LEN(H902)-FIND("/",H902,FIND("/",H902)+1))))</f>
        <v/>
      </c>
      <c r="AD902" s="7" t="str">
        <f aca="false">IF(OR(H902="",AA902=""),"",IFERROR(INDEX('لیست‌ها'!$Q$3:$Q$53,MATCH(AA902,'لیست‌ها'!$P$3:$P$53,0))+IF(AB902&lt;=6,(AB902-1)*31+AC902,IF(AB902&lt;=11,186+(AB902-7)*30+AC902,336+AC902))-1,""))</f>
        <v/>
      </c>
      <c r="AE902" s="7" t="str">
        <f aca="false">IF(P902="","",VALUE(LEFT(P902,FIND("/",P902)-1)))</f>
        <v/>
      </c>
      <c r="AF902" s="7" t="str">
        <f aca="false">IF(P902="","",VALUE(MID(P902,FIND("/",P902)+1,FIND("/",P902,FIND("/",P902)+1)-FIND("/",P902)-1)))</f>
        <v/>
      </c>
      <c r="AG902" s="7" t="str">
        <f aca="false">IF(P902="","",VALUE(MID(P902,FIND("/",P902,FIND("/",P902)+1)+1,LEN(P902)-FIND("/",P902,FIND("/",P902)+1))))</f>
        <v/>
      </c>
      <c r="AH902" s="7" t="str">
        <f aca="false">IF(OR(P902="",AE902=""),"",IFERROR(INDEX('لیست‌ها'!$Q$3:$Q$53,MATCH(AE902,'لیست‌ها'!$P$3:$P$53,0))+IF(AF902&lt;=6,(AF902-1)*31+AG902,IF(AF902&lt;=11,186+(AF902-7)*30+AG902,336+AG902))-1,""))</f>
        <v/>
      </c>
      <c r="AI902" s="7" t="str">
        <f aca="false">IF(W902="","",W902&amp;"-"&amp;TEXT(X902,"00"))</f>
        <v/>
      </c>
      <c r="AJ902" s="7" t="str">
        <f aca="false">IF(W902="","",W902*12+X902)</f>
        <v/>
      </c>
      <c r="AK902" s="7" t="str">
        <f aca="false">IF(U902="تاخیر",V902+ROW()/100000,"")</f>
        <v/>
      </c>
    </row>
    <row r="903" customFormat="false" ht="15" hidden="false" customHeight="false" outlineLevel="0" collapsed="false">
      <c r="A903" s="7" t="str">
        <f aca="false">IF(B903="","",ROW()-3)</f>
        <v/>
      </c>
      <c r="B903" s="8"/>
      <c r="C903" s="8"/>
      <c r="D903" s="8"/>
      <c r="E903" s="9"/>
      <c r="F903" s="9"/>
      <c r="G903" s="8"/>
      <c r="H903" s="8"/>
      <c r="I903" s="8"/>
      <c r="J903" s="9"/>
      <c r="K903" s="8"/>
      <c r="L903" s="8"/>
      <c r="M903" s="8"/>
      <c r="N903" s="8"/>
      <c r="O903" s="8"/>
      <c r="P903" s="8"/>
      <c r="Q903" s="8"/>
      <c r="R903" s="9"/>
      <c r="S903" s="8"/>
      <c r="T903" s="9"/>
      <c r="U903" s="10" t="str">
        <f aca="true">IF(B903="","",IF(OR(P903&lt;&gt;"",I903="می‌باشد"),"بسته",IF(AND(L903&lt;&gt;"",W903=""),"خطای فرمت تاریخ ایجاد",IF(AND(H903&lt;&gt;"",AA903=""),"خطای فرمت مهلت",IF(AND(H903&lt;&gt;"",AD903&lt;&gt;"",TODAY()&gt;AD903),"تاخیر",IF(L903&lt;&gt;"","در حال انجام",""))))))</f>
        <v/>
      </c>
      <c r="V903" s="7" t="n">
        <f aca="true">IF(U903="تاخیر",TODAY()-AD903,IF(AND(U903="بسته",AH903&lt;&gt;"",AD903&lt;&gt;"",AH903&gt;AD903),AH903-AD903,0))</f>
        <v>0</v>
      </c>
      <c r="W903" s="7" t="str">
        <f aca="false">IF(L903="","",VALUE(LEFT(L903,FIND("/",L903)-1)))</f>
        <v/>
      </c>
      <c r="X903" s="7" t="str">
        <f aca="false">IF(L903="","",VALUE(MID(L903,FIND("/",L903)+1,FIND("/",L903,FIND("/",L903)+1)-FIND("/",L903)-1)))</f>
        <v/>
      </c>
      <c r="Y903" s="7" t="str">
        <f aca="false">IF(L903="","",VALUE(MID(L903,FIND("/",L903,FIND("/",L903)+1)+1,LEN(L903)-FIND("/",L903,FIND("/",L903)+1))))</f>
        <v/>
      </c>
      <c r="Z903" s="7" t="str">
        <f aca="false">IF(OR(L903="",W903=""),"",IFERROR(INDEX('لیست‌ها'!$Q$3:$Q$53,MATCH(W903,'لیست‌ها'!$P$3:$P$53,0))+IF(X903&lt;=6,(X903-1)*31+Y903,IF(X903&lt;=11,186+(X903-7)*30+Y903,336+Y903))-1,""))</f>
        <v/>
      </c>
      <c r="AA903" s="7" t="str">
        <f aca="false">IF(H903="","",VALUE(LEFT(H903,FIND("/",H903)-1)))</f>
        <v/>
      </c>
      <c r="AB903" s="7" t="str">
        <f aca="false">IF(H903="","",VALUE(MID(H903,FIND("/",H903)+1,FIND("/",H903,FIND("/",H903)+1)-FIND("/",H903)-1)))</f>
        <v/>
      </c>
      <c r="AC903" s="7" t="str">
        <f aca="false">IF(H903="","",VALUE(MID(H903,FIND("/",H903,FIND("/",H903)+1)+1,LEN(H903)-FIND("/",H903,FIND("/",H903)+1))))</f>
        <v/>
      </c>
      <c r="AD903" s="7" t="str">
        <f aca="false">IF(OR(H903="",AA903=""),"",IFERROR(INDEX('لیست‌ها'!$Q$3:$Q$53,MATCH(AA903,'لیست‌ها'!$P$3:$P$53,0))+IF(AB903&lt;=6,(AB903-1)*31+AC903,IF(AB903&lt;=11,186+(AB903-7)*30+AC903,336+AC903))-1,""))</f>
        <v/>
      </c>
      <c r="AE903" s="7" t="str">
        <f aca="false">IF(P903="","",VALUE(LEFT(P903,FIND("/",P903)-1)))</f>
        <v/>
      </c>
      <c r="AF903" s="7" t="str">
        <f aca="false">IF(P903="","",VALUE(MID(P903,FIND("/",P903)+1,FIND("/",P903,FIND("/",P903)+1)-FIND("/",P903)-1)))</f>
        <v/>
      </c>
      <c r="AG903" s="7" t="str">
        <f aca="false">IF(P903="","",VALUE(MID(P903,FIND("/",P903,FIND("/",P903)+1)+1,LEN(P903)-FIND("/",P903,FIND("/",P903)+1))))</f>
        <v/>
      </c>
      <c r="AH903" s="7" t="str">
        <f aca="false">IF(OR(P903="",AE903=""),"",IFERROR(INDEX('لیست‌ها'!$Q$3:$Q$53,MATCH(AE903,'لیست‌ها'!$P$3:$P$53,0))+IF(AF903&lt;=6,(AF903-1)*31+AG903,IF(AF903&lt;=11,186+(AF903-7)*30+AG903,336+AG903))-1,""))</f>
        <v/>
      </c>
      <c r="AI903" s="7" t="str">
        <f aca="false">IF(W903="","",W903&amp;"-"&amp;TEXT(X903,"00"))</f>
        <v/>
      </c>
      <c r="AJ903" s="7" t="str">
        <f aca="false">IF(W903="","",W903*12+X903)</f>
        <v/>
      </c>
      <c r="AK903" s="7" t="str">
        <f aca="false">IF(U903="تاخیر",V903+ROW()/100000,"")</f>
        <v/>
      </c>
    </row>
    <row r="904" customFormat="false" ht="15" hidden="false" customHeight="false" outlineLevel="0" collapsed="false">
      <c r="A904" s="7" t="str">
        <f aca="false">IF(B904="","",ROW()-3)</f>
        <v/>
      </c>
      <c r="B904" s="8"/>
      <c r="C904" s="8"/>
      <c r="D904" s="8"/>
      <c r="E904" s="9"/>
      <c r="F904" s="9"/>
      <c r="G904" s="8"/>
      <c r="H904" s="8"/>
      <c r="I904" s="8"/>
      <c r="J904" s="9"/>
      <c r="K904" s="8"/>
      <c r="L904" s="8"/>
      <c r="M904" s="8"/>
      <c r="N904" s="8"/>
      <c r="O904" s="8"/>
      <c r="P904" s="8"/>
      <c r="Q904" s="8"/>
      <c r="R904" s="9"/>
      <c r="S904" s="8"/>
      <c r="T904" s="9"/>
      <c r="U904" s="10" t="str">
        <f aca="true">IF(B904="","",IF(OR(P904&lt;&gt;"",I904="می‌باشد"),"بسته",IF(AND(L904&lt;&gt;"",W904=""),"خطای فرمت تاریخ ایجاد",IF(AND(H904&lt;&gt;"",AA904=""),"خطای فرمت مهلت",IF(AND(H904&lt;&gt;"",AD904&lt;&gt;"",TODAY()&gt;AD904),"تاخیر",IF(L904&lt;&gt;"","در حال انجام",""))))))</f>
        <v/>
      </c>
      <c r="V904" s="7" t="n">
        <f aca="true">IF(U904="تاخیر",TODAY()-AD904,IF(AND(U904="بسته",AH904&lt;&gt;"",AD904&lt;&gt;"",AH904&gt;AD904),AH904-AD904,0))</f>
        <v>0</v>
      </c>
      <c r="W904" s="7" t="str">
        <f aca="false">IF(L904="","",VALUE(LEFT(L904,FIND("/",L904)-1)))</f>
        <v/>
      </c>
      <c r="X904" s="7" t="str">
        <f aca="false">IF(L904="","",VALUE(MID(L904,FIND("/",L904)+1,FIND("/",L904,FIND("/",L904)+1)-FIND("/",L904)-1)))</f>
        <v/>
      </c>
      <c r="Y904" s="7" t="str">
        <f aca="false">IF(L904="","",VALUE(MID(L904,FIND("/",L904,FIND("/",L904)+1)+1,LEN(L904)-FIND("/",L904,FIND("/",L904)+1))))</f>
        <v/>
      </c>
      <c r="Z904" s="7" t="str">
        <f aca="false">IF(OR(L904="",W904=""),"",IFERROR(INDEX('لیست‌ها'!$Q$3:$Q$53,MATCH(W904,'لیست‌ها'!$P$3:$P$53,0))+IF(X904&lt;=6,(X904-1)*31+Y904,IF(X904&lt;=11,186+(X904-7)*30+Y904,336+Y904))-1,""))</f>
        <v/>
      </c>
      <c r="AA904" s="7" t="str">
        <f aca="false">IF(H904="","",VALUE(LEFT(H904,FIND("/",H904)-1)))</f>
        <v/>
      </c>
      <c r="AB904" s="7" t="str">
        <f aca="false">IF(H904="","",VALUE(MID(H904,FIND("/",H904)+1,FIND("/",H904,FIND("/",H904)+1)-FIND("/",H904)-1)))</f>
        <v/>
      </c>
      <c r="AC904" s="7" t="str">
        <f aca="false">IF(H904="","",VALUE(MID(H904,FIND("/",H904,FIND("/",H904)+1)+1,LEN(H904)-FIND("/",H904,FIND("/",H904)+1))))</f>
        <v/>
      </c>
      <c r="AD904" s="7" t="str">
        <f aca="false">IF(OR(H904="",AA904=""),"",IFERROR(INDEX('لیست‌ها'!$Q$3:$Q$53,MATCH(AA904,'لیست‌ها'!$P$3:$P$53,0))+IF(AB904&lt;=6,(AB904-1)*31+AC904,IF(AB904&lt;=11,186+(AB904-7)*30+AC904,336+AC904))-1,""))</f>
        <v/>
      </c>
      <c r="AE904" s="7" t="str">
        <f aca="false">IF(P904="","",VALUE(LEFT(P904,FIND("/",P904)-1)))</f>
        <v/>
      </c>
      <c r="AF904" s="7" t="str">
        <f aca="false">IF(P904="","",VALUE(MID(P904,FIND("/",P904)+1,FIND("/",P904,FIND("/",P904)+1)-FIND("/",P904)-1)))</f>
        <v/>
      </c>
      <c r="AG904" s="7" t="str">
        <f aca="false">IF(P904="","",VALUE(MID(P904,FIND("/",P904,FIND("/",P904)+1)+1,LEN(P904)-FIND("/",P904,FIND("/",P904)+1))))</f>
        <v/>
      </c>
      <c r="AH904" s="7" t="str">
        <f aca="false">IF(OR(P904="",AE904=""),"",IFERROR(INDEX('لیست‌ها'!$Q$3:$Q$53,MATCH(AE904,'لیست‌ها'!$P$3:$P$53,0))+IF(AF904&lt;=6,(AF904-1)*31+AG904,IF(AF904&lt;=11,186+(AF904-7)*30+AG904,336+AG904))-1,""))</f>
        <v/>
      </c>
      <c r="AI904" s="7" t="str">
        <f aca="false">IF(W904="","",W904&amp;"-"&amp;TEXT(X904,"00"))</f>
        <v/>
      </c>
      <c r="AJ904" s="7" t="str">
        <f aca="false">IF(W904="","",W904*12+X904)</f>
        <v/>
      </c>
      <c r="AK904" s="7" t="str">
        <f aca="false">IF(U904="تاخیر",V904+ROW()/100000,"")</f>
        <v/>
      </c>
    </row>
    <row r="905" customFormat="false" ht="15" hidden="false" customHeight="false" outlineLevel="0" collapsed="false">
      <c r="A905" s="7" t="str">
        <f aca="false">IF(B905="","",ROW()-3)</f>
        <v/>
      </c>
      <c r="B905" s="8"/>
      <c r="C905" s="8"/>
      <c r="D905" s="8"/>
      <c r="E905" s="9"/>
      <c r="F905" s="9"/>
      <c r="G905" s="8"/>
      <c r="H905" s="8"/>
      <c r="I905" s="8"/>
      <c r="J905" s="9"/>
      <c r="K905" s="8"/>
      <c r="L905" s="8"/>
      <c r="M905" s="8"/>
      <c r="N905" s="8"/>
      <c r="O905" s="8"/>
      <c r="P905" s="8"/>
      <c r="Q905" s="8"/>
      <c r="R905" s="9"/>
      <c r="S905" s="8"/>
      <c r="T905" s="9"/>
      <c r="U905" s="10" t="str">
        <f aca="true">IF(B905="","",IF(OR(P905&lt;&gt;"",I905="می‌باشد"),"بسته",IF(AND(L905&lt;&gt;"",W905=""),"خطای فرمت تاریخ ایجاد",IF(AND(H905&lt;&gt;"",AA905=""),"خطای فرمت مهلت",IF(AND(H905&lt;&gt;"",AD905&lt;&gt;"",TODAY()&gt;AD905),"تاخیر",IF(L905&lt;&gt;"","در حال انجام",""))))))</f>
        <v/>
      </c>
      <c r="V905" s="7" t="n">
        <f aca="true">IF(U905="تاخیر",TODAY()-AD905,IF(AND(U905="بسته",AH905&lt;&gt;"",AD905&lt;&gt;"",AH905&gt;AD905),AH905-AD905,0))</f>
        <v>0</v>
      </c>
      <c r="W905" s="7" t="str">
        <f aca="false">IF(L905="","",VALUE(LEFT(L905,FIND("/",L905)-1)))</f>
        <v/>
      </c>
      <c r="X905" s="7" t="str">
        <f aca="false">IF(L905="","",VALUE(MID(L905,FIND("/",L905)+1,FIND("/",L905,FIND("/",L905)+1)-FIND("/",L905)-1)))</f>
        <v/>
      </c>
      <c r="Y905" s="7" t="str">
        <f aca="false">IF(L905="","",VALUE(MID(L905,FIND("/",L905,FIND("/",L905)+1)+1,LEN(L905)-FIND("/",L905,FIND("/",L905)+1))))</f>
        <v/>
      </c>
      <c r="Z905" s="7" t="str">
        <f aca="false">IF(OR(L905="",W905=""),"",IFERROR(INDEX('لیست‌ها'!$Q$3:$Q$53,MATCH(W905,'لیست‌ها'!$P$3:$P$53,0))+IF(X905&lt;=6,(X905-1)*31+Y905,IF(X905&lt;=11,186+(X905-7)*30+Y905,336+Y905))-1,""))</f>
        <v/>
      </c>
      <c r="AA905" s="7" t="str">
        <f aca="false">IF(H905="","",VALUE(LEFT(H905,FIND("/",H905)-1)))</f>
        <v/>
      </c>
      <c r="AB905" s="7" t="str">
        <f aca="false">IF(H905="","",VALUE(MID(H905,FIND("/",H905)+1,FIND("/",H905,FIND("/",H905)+1)-FIND("/",H905)-1)))</f>
        <v/>
      </c>
      <c r="AC905" s="7" t="str">
        <f aca="false">IF(H905="","",VALUE(MID(H905,FIND("/",H905,FIND("/",H905)+1)+1,LEN(H905)-FIND("/",H905,FIND("/",H905)+1))))</f>
        <v/>
      </c>
      <c r="AD905" s="7" t="str">
        <f aca="false">IF(OR(H905="",AA905=""),"",IFERROR(INDEX('لیست‌ها'!$Q$3:$Q$53,MATCH(AA905,'لیست‌ها'!$P$3:$P$53,0))+IF(AB905&lt;=6,(AB905-1)*31+AC905,IF(AB905&lt;=11,186+(AB905-7)*30+AC905,336+AC905))-1,""))</f>
        <v/>
      </c>
      <c r="AE905" s="7" t="str">
        <f aca="false">IF(P905="","",VALUE(LEFT(P905,FIND("/",P905)-1)))</f>
        <v/>
      </c>
      <c r="AF905" s="7" t="str">
        <f aca="false">IF(P905="","",VALUE(MID(P905,FIND("/",P905)+1,FIND("/",P905,FIND("/",P905)+1)-FIND("/",P905)-1)))</f>
        <v/>
      </c>
      <c r="AG905" s="7" t="str">
        <f aca="false">IF(P905="","",VALUE(MID(P905,FIND("/",P905,FIND("/",P905)+1)+1,LEN(P905)-FIND("/",P905,FIND("/",P905)+1))))</f>
        <v/>
      </c>
      <c r="AH905" s="7" t="str">
        <f aca="false">IF(OR(P905="",AE905=""),"",IFERROR(INDEX('لیست‌ها'!$Q$3:$Q$53,MATCH(AE905,'لیست‌ها'!$P$3:$P$53,0))+IF(AF905&lt;=6,(AF905-1)*31+AG905,IF(AF905&lt;=11,186+(AF905-7)*30+AG905,336+AG905))-1,""))</f>
        <v/>
      </c>
      <c r="AI905" s="7" t="str">
        <f aca="false">IF(W905="","",W905&amp;"-"&amp;TEXT(X905,"00"))</f>
        <v/>
      </c>
      <c r="AJ905" s="7" t="str">
        <f aca="false">IF(W905="","",W905*12+X905)</f>
        <v/>
      </c>
      <c r="AK905" s="7" t="str">
        <f aca="false">IF(U905="تاخیر",V905+ROW()/100000,"")</f>
        <v/>
      </c>
    </row>
    <row r="906" customFormat="false" ht="15" hidden="false" customHeight="false" outlineLevel="0" collapsed="false">
      <c r="A906" s="7" t="str">
        <f aca="false">IF(B906="","",ROW()-3)</f>
        <v/>
      </c>
      <c r="B906" s="8"/>
      <c r="C906" s="8"/>
      <c r="D906" s="8"/>
      <c r="E906" s="9"/>
      <c r="F906" s="9"/>
      <c r="G906" s="8"/>
      <c r="H906" s="8"/>
      <c r="I906" s="8"/>
      <c r="J906" s="9"/>
      <c r="K906" s="8"/>
      <c r="L906" s="8"/>
      <c r="M906" s="8"/>
      <c r="N906" s="8"/>
      <c r="O906" s="8"/>
      <c r="P906" s="8"/>
      <c r="Q906" s="8"/>
      <c r="R906" s="9"/>
      <c r="S906" s="8"/>
      <c r="T906" s="9"/>
      <c r="U906" s="10" t="str">
        <f aca="true">IF(B906="","",IF(OR(P906&lt;&gt;"",I906="می‌باشد"),"بسته",IF(AND(L906&lt;&gt;"",W906=""),"خطای فرمت تاریخ ایجاد",IF(AND(H906&lt;&gt;"",AA906=""),"خطای فرمت مهلت",IF(AND(H906&lt;&gt;"",AD906&lt;&gt;"",TODAY()&gt;AD906),"تاخیر",IF(L906&lt;&gt;"","در حال انجام",""))))))</f>
        <v/>
      </c>
      <c r="V906" s="7" t="n">
        <f aca="true">IF(U906="تاخیر",TODAY()-AD906,IF(AND(U906="بسته",AH906&lt;&gt;"",AD906&lt;&gt;"",AH906&gt;AD906),AH906-AD906,0))</f>
        <v>0</v>
      </c>
      <c r="W906" s="7" t="str">
        <f aca="false">IF(L906="","",VALUE(LEFT(L906,FIND("/",L906)-1)))</f>
        <v/>
      </c>
      <c r="X906" s="7" t="str">
        <f aca="false">IF(L906="","",VALUE(MID(L906,FIND("/",L906)+1,FIND("/",L906,FIND("/",L906)+1)-FIND("/",L906)-1)))</f>
        <v/>
      </c>
      <c r="Y906" s="7" t="str">
        <f aca="false">IF(L906="","",VALUE(MID(L906,FIND("/",L906,FIND("/",L906)+1)+1,LEN(L906)-FIND("/",L906,FIND("/",L906)+1))))</f>
        <v/>
      </c>
      <c r="Z906" s="7" t="str">
        <f aca="false">IF(OR(L906="",W906=""),"",IFERROR(INDEX('لیست‌ها'!$Q$3:$Q$53,MATCH(W906,'لیست‌ها'!$P$3:$P$53,0))+IF(X906&lt;=6,(X906-1)*31+Y906,IF(X906&lt;=11,186+(X906-7)*30+Y906,336+Y906))-1,""))</f>
        <v/>
      </c>
      <c r="AA906" s="7" t="str">
        <f aca="false">IF(H906="","",VALUE(LEFT(H906,FIND("/",H906)-1)))</f>
        <v/>
      </c>
      <c r="AB906" s="7" t="str">
        <f aca="false">IF(H906="","",VALUE(MID(H906,FIND("/",H906)+1,FIND("/",H906,FIND("/",H906)+1)-FIND("/",H906)-1)))</f>
        <v/>
      </c>
      <c r="AC906" s="7" t="str">
        <f aca="false">IF(H906="","",VALUE(MID(H906,FIND("/",H906,FIND("/",H906)+1)+1,LEN(H906)-FIND("/",H906,FIND("/",H906)+1))))</f>
        <v/>
      </c>
      <c r="AD906" s="7" t="str">
        <f aca="false">IF(OR(H906="",AA906=""),"",IFERROR(INDEX('لیست‌ها'!$Q$3:$Q$53,MATCH(AA906,'لیست‌ها'!$P$3:$P$53,0))+IF(AB906&lt;=6,(AB906-1)*31+AC906,IF(AB906&lt;=11,186+(AB906-7)*30+AC906,336+AC906))-1,""))</f>
        <v/>
      </c>
      <c r="AE906" s="7" t="str">
        <f aca="false">IF(P906="","",VALUE(LEFT(P906,FIND("/",P906)-1)))</f>
        <v/>
      </c>
      <c r="AF906" s="7" t="str">
        <f aca="false">IF(P906="","",VALUE(MID(P906,FIND("/",P906)+1,FIND("/",P906,FIND("/",P906)+1)-FIND("/",P906)-1)))</f>
        <v/>
      </c>
      <c r="AG906" s="7" t="str">
        <f aca="false">IF(P906="","",VALUE(MID(P906,FIND("/",P906,FIND("/",P906)+1)+1,LEN(P906)-FIND("/",P906,FIND("/",P906)+1))))</f>
        <v/>
      </c>
      <c r="AH906" s="7" t="str">
        <f aca="false">IF(OR(P906="",AE906=""),"",IFERROR(INDEX('لیست‌ها'!$Q$3:$Q$53,MATCH(AE906,'لیست‌ها'!$P$3:$P$53,0))+IF(AF906&lt;=6,(AF906-1)*31+AG906,IF(AF906&lt;=11,186+(AF906-7)*30+AG906,336+AG906))-1,""))</f>
        <v/>
      </c>
      <c r="AI906" s="7" t="str">
        <f aca="false">IF(W906="","",W906&amp;"-"&amp;TEXT(X906,"00"))</f>
        <v/>
      </c>
      <c r="AJ906" s="7" t="str">
        <f aca="false">IF(W906="","",W906*12+X906)</f>
        <v/>
      </c>
      <c r="AK906" s="7" t="str">
        <f aca="false">IF(U906="تاخیر",V906+ROW()/100000,"")</f>
        <v/>
      </c>
    </row>
    <row r="907" customFormat="false" ht="15" hidden="false" customHeight="false" outlineLevel="0" collapsed="false">
      <c r="A907" s="7" t="str">
        <f aca="false">IF(B907="","",ROW()-3)</f>
        <v/>
      </c>
      <c r="B907" s="8"/>
      <c r="C907" s="8"/>
      <c r="D907" s="8"/>
      <c r="E907" s="9"/>
      <c r="F907" s="9"/>
      <c r="G907" s="8"/>
      <c r="H907" s="8"/>
      <c r="I907" s="8"/>
      <c r="J907" s="9"/>
      <c r="K907" s="8"/>
      <c r="L907" s="8"/>
      <c r="M907" s="8"/>
      <c r="N907" s="8"/>
      <c r="O907" s="8"/>
      <c r="P907" s="8"/>
      <c r="Q907" s="8"/>
      <c r="R907" s="9"/>
      <c r="S907" s="8"/>
      <c r="T907" s="9"/>
      <c r="U907" s="10" t="str">
        <f aca="true">IF(B907="","",IF(OR(P907&lt;&gt;"",I907="می‌باشد"),"بسته",IF(AND(L907&lt;&gt;"",W907=""),"خطای فرمت تاریخ ایجاد",IF(AND(H907&lt;&gt;"",AA907=""),"خطای فرمت مهلت",IF(AND(H907&lt;&gt;"",AD907&lt;&gt;"",TODAY()&gt;AD907),"تاخیر",IF(L907&lt;&gt;"","در حال انجام",""))))))</f>
        <v/>
      </c>
      <c r="V907" s="7" t="n">
        <f aca="true">IF(U907="تاخیر",TODAY()-AD907,IF(AND(U907="بسته",AH907&lt;&gt;"",AD907&lt;&gt;"",AH907&gt;AD907),AH907-AD907,0))</f>
        <v>0</v>
      </c>
      <c r="W907" s="7" t="str">
        <f aca="false">IF(L907="","",VALUE(LEFT(L907,FIND("/",L907)-1)))</f>
        <v/>
      </c>
      <c r="X907" s="7" t="str">
        <f aca="false">IF(L907="","",VALUE(MID(L907,FIND("/",L907)+1,FIND("/",L907,FIND("/",L907)+1)-FIND("/",L907)-1)))</f>
        <v/>
      </c>
      <c r="Y907" s="7" t="str">
        <f aca="false">IF(L907="","",VALUE(MID(L907,FIND("/",L907,FIND("/",L907)+1)+1,LEN(L907)-FIND("/",L907,FIND("/",L907)+1))))</f>
        <v/>
      </c>
      <c r="Z907" s="7" t="str">
        <f aca="false">IF(OR(L907="",W907=""),"",IFERROR(INDEX('لیست‌ها'!$Q$3:$Q$53,MATCH(W907,'لیست‌ها'!$P$3:$P$53,0))+IF(X907&lt;=6,(X907-1)*31+Y907,IF(X907&lt;=11,186+(X907-7)*30+Y907,336+Y907))-1,""))</f>
        <v/>
      </c>
      <c r="AA907" s="7" t="str">
        <f aca="false">IF(H907="","",VALUE(LEFT(H907,FIND("/",H907)-1)))</f>
        <v/>
      </c>
      <c r="AB907" s="7" t="str">
        <f aca="false">IF(H907="","",VALUE(MID(H907,FIND("/",H907)+1,FIND("/",H907,FIND("/",H907)+1)-FIND("/",H907)-1)))</f>
        <v/>
      </c>
      <c r="AC907" s="7" t="str">
        <f aca="false">IF(H907="","",VALUE(MID(H907,FIND("/",H907,FIND("/",H907)+1)+1,LEN(H907)-FIND("/",H907,FIND("/",H907)+1))))</f>
        <v/>
      </c>
      <c r="AD907" s="7" t="str">
        <f aca="false">IF(OR(H907="",AA907=""),"",IFERROR(INDEX('لیست‌ها'!$Q$3:$Q$53,MATCH(AA907,'لیست‌ها'!$P$3:$P$53,0))+IF(AB907&lt;=6,(AB907-1)*31+AC907,IF(AB907&lt;=11,186+(AB907-7)*30+AC907,336+AC907))-1,""))</f>
        <v/>
      </c>
      <c r="AE907" s="7" t="str">
        <f aca="false">IF(P907="","",VALUE(LEFT(P907,FIND("/",P907)-1)))</f>
        <v/>
      </c>
      <c r="AF907" s="7" t="str">
        <f aca="false">IF(P907="","",VALUE(MID(P907,FIND("/",P907)+1,FIND("/",P907,FIND("/",P907)+1)-FIND("/",P907)-1)))</f>
        <v/>
      </c>
      <c r="AG907" s="7" t="str">
        <f aca="false">IF(P907="","",VALUE(MID(P907,FIND("/",P907,FIND("/",P907)+1)+1,LEN(P907)-FIND("/",P907,FIND("/",P907)+1))))</f>
        <v/>
      </c>
      <c r="AH907" s="7" t="str">
        <f aca="false">IF(OR(P907="",AE907=""),"",IFERROR(INDEX('لیست‌ها'!$Q$3:$Q$53,MATCH(AE907,'لیست‌ها'!$P$3:$P$53,0))+IF(AF907&lt;=6,(AF907-1)*31+AG907,IF(AF907&lt;=11,186+(AF907-7)*30+AG907,336+AG907))-1,""))</f>
        <v/>
      </c>
      <c r="AI907" s="7" t="str">
        <f aca="false">IF(W907="","",W907&amp;"-"&amp;TEXT(X907,"00"))</f>
        <v/>
      </c>
      <c r="AJ907" s="7" t="str">
        <f aca="false">IF(W907="","",W907*12+X907)</f>
        <v/>
      </c>
      <c r="AK907" s="7" t="str">
        <f aca="false">IF(U907="تاخیر",V907+ROW()/100000,"")</f>
        <v/>
      </c>
    </row>
    <row r="908" customFormat="false" ht="15" hidden="false" customHeight="false" outlineLevel="0" collapsed="false">
      <c r="A908" s="7" t="str">
        <f aca="false">IF(B908="","",ROW()-3)</f>
        <v/>
      </c>
      <c r="B908" s="8"/>
      <c r="C908" s="8"/>
      <c r="D908" s="8"/>
      <c r="E908" s="9"/>
      <c r="F908" s="9"/>
      <c r="G908" s="8"/>
      <c r="H908" s="8"/>
      <c r="I908" s="8"/>
      <c r="J908" s="9"/>
      <c r="K908" s="8"/>
      <c r="L908" s="8"/>
      <c r="M908" s="8"/>
      <c r="N908" s="8"/>
      <c r="O908" s="8"/>
      <c r="P908" s="8"/>
      <c r="Q908" s="8"/>
      <c r="R908" s="9"/>
      <c r="S908" s="8"/>
      <c r="T908" s="9"/>
      <c r="U908" s="10" t="str">
        <f aca="true">IF(B908="","",IF(OR(P908&lt;&gt;"",I908="می‌باشد"),"بسته",IF(AND(L908&lt;&gt;"",W908=""),"خطای فرمت تاریخ ایجاد",IF(AND(H908&lt;&gt;"",AA908=""),"خطای فرمت مهلت",IF(AND(H908&lt;&gt;"",AD908&lt;&gt;"",TODAY()&gt;AD908),"تاخیر",IF(L908&lt;&gt;"","در حال انجام",""))))))</f>
        <v/>
      </c>
      <c r="V908" s="7" t="n">
        <f aca="true">IF(U908="تاخیر",TODAY()-AD908,IF(AND(U908="بسته",AH908&lt;&gt;"",AD908&lt;&gt;"",AH908&gt;AD908),AH908-AD908,0))</f>
        <v>0</v>
      </c>
      <c r="W908" s="7" t="str">
        <f aca="false">IF(L908="","",VALUE(LEFT(L908,FIND("/",L908)-1)))</f>
        <v/>
      </c>
      <c r="X908" s="7" t="str">
        <f aca="false">IF(L908="","",VALUE(MID(L908,FIND("/",L908)+1,FIND("/",L908,FIND("/",L908)+1)-FIND("/",L908)-1)))</f>
        <v/>
      </c>
      <c r="Y908" s="7" t="str">
        <f aca="false">IF(L908="","",VALUE(MID(L908,FIND("/",L908,FIND("/",L908)+1)+1,LEN(L908)-FIND("/",L908,FIND("/",L908)+1))))</f>
        <v/>
      </c>
      <c r="Z908" s="7" t="str">
        <f aca="false">IF(OR(L908="",W908=""),"",IFERROR(INDEX('لیست‌ها'!$Q$3:$Q$53,MATCH(W908,'لیست‌ها'!$P$3:$P$53,0))+IF(X908&lt;=6,(X908-1)*31+Y908,IF(X908&lt;=11,186+(X908-7)*30+Y908,336+Y908))-1,""))</f>
        <v/>
      </c>
      <c r="AA908" s="7" t="str">
        <f aca="false">IF(H908="","",VALUE(LEFT(H908,FIND("/",H908)-1)))</f>
        <v/>
      </c>
      <c r="AB908" s="7" t="str">
        <f aca="false">IF(H908="","",VALUE(MID(H908,FIND("/",H908)+1,FIND("/",H908,FIND("/",H908)+1)-FIND("/",H908)-1)))</f>
        <v/>
      </c>
      <c r="AC908" s="7" t="str">
        <f aca="false">IF(H908="","",VALUE(MID(H908,FIND("/",H908,FIND("/",H908)+1)+1,LEN(H908)-FIND("/",H908,FIND("/",H908)+1))))</f>
        <v/>
      </c>
      <c r="AD908" s="7" t="str">
        <f aca="false">IF(OR(H908="",AA908=""),"",IFERROR(INDEX('لیست‌ها'!$Q$3:$Q$53,MATCH(AA908,'لیست‌ها'!$P$3:$P$53,0))+IF(AB908&lt;=6,(AB908-1)*31+AC908,IF(AB908&lt;=11,186+(AB908-7)*30+AC908,336+AC908))-1,""))</f>
        <v/>
      </c>
      <c r="AE908" s="7" t="str">
        <f aca="false">IF(P908="","",VALUE(LEFT(P908,FIND("/",P908)-1)))</f>
        <v/>
      </c>
      <c r="AF908" s="7" t="str">
        <f aca="false">IF(P908="","",VALUE(MID(P908,FIND("/",P908)+1,FIND("/",P908,FIND("/",P908)+1)-FIND("/",P908)-1)))</f>
        <v/>
      </c>
      <c r="AG908" s="7" t="str">
        <f aca="false">IF(P908="","",VALUE(MID(P908,FIND("/",P908,FIND("/",P908)+1)+1,LEN(P908)-FIND("/",P908,FIND("/",P908)+1))))</f>
        <v/>
      </c>
      <c r="AH908" s="7" t="str">
        <f aca="false">IF(OR(P908="",AE908=""),"",IFERROR(INDEX('لیست‌ها'!$Q$3:$Q$53,MATCH(AE908,'لیست‌ها'!$P$3:$P$53,0))+IF(AF908&lt;=6,(AF908-1)*31+AG908,IF(AF908&lt;=11,186+(AF908-7)*30+AG908,336+AG908))-1,""))</f>
        <v/>
      </c>
      <c r="AI908" s="7" t="str">
        <f aca="false">IF(W908="","",W908&amp;"-"&amp;TEXT(X908,"00"))</f>
        <v/>
      </c>
      <c r="AJ908" s="7" t="str">
        <f aca="false">IF(W908="","",W908*12+X908)</f>
        <v/>
      </c>
      <c r="AK908" s="7" t="str">
        <f aca="false">IF(U908="تاخیر",V908+ROW()/100000,"")</f>
        <v/>
      </c>
    </row>
    <row r="909" customFormat="false" ht="15" hidden="false" customHeight="false" outlineLevel="0" collapsed="false">
      <c r="A909" s="7" t="str">
        <f aca="false">IF(B909="","",ROW()-3)</f>
        <v/>
      </c>
      <c r="B909" s="8"/>
      <c r="C909" s="8"/>
      <c r="D909" s="8"/>
      <c r="E909" s="9"/>
      <c r="F909" s="9"/>
      <c r="G909" s="8"/>
      <c r="H909" s="8"/>
      <c r="I909" s="8"/>
      <c r="J909" s="9"/>
      <c r="K909" s="8"/>
      <c r="L909" s="8"/>
      <c r="M909" s="8"/>
      <c r="N909" s="8"/>
      <c r="O909" s="8"/>
      <c r="P909" s="8"/>
      <c r="Q909" s="8"/>
      <c r="R909" s="9"/>
      <c r="S909" s="8"/>
      <c r="T909" s="9"/>
      <c r="U909" s="10" t="str">
        <f aca="true">IF(B909="","",IF(OR(P909&lt;&gt;"",I909="می‌باشد"),"بسته",IF(AND(L909&lt;&gt;"",W909=""),"خطای فرمت تاریخ ایجاد",IF(AND(H909&lt;&gt;"",AA909=""),"خطای فرمت مهلت",IF(AND(H909&lt;&gt;"",AD909&lt;&gt;"",TODAY()&gt;AD909),"تاخیر",IF(L909&lt;&gt;"","در حال انجام",""))))))</f>
        <v/>
      </c>
      <c r="V909" s="7" t="n">
        <f aca="true">IF(U909="تاخیر",TODAY()-AD909,IF(AND(U909="بسته",AH909&lt;&gt;"",AD909&lt;&gt;"",AH909&gt;AD909),AH909-AD909,0))</f>
        <v>0</v>
      </c>
      <c r="W909" s="7" t="str">
        <f aca="false">IF(L909="","",VALUE(LEFT(L909,FIND("/",L909)-1)))</f>
        <v/>
      </c>
      <c r="X909" s="7" t="str">
        <f aca="false">IF(L909="","",VALUE(MID(L909,FIND("/",L909)+1,FIND("/",L909,FIND("/",L909)+1)-FIND("/",L909)-1)))</f>
        <v/>
      </c>
      <c r="Y909" s="7" t="str">
        <f aca="false">IF(L909="","",VALUE(MID(L909,FIND("/",L909,FIND("/",L909)+1)+1,LEN(L909)-FIND("/",L909,FIND("/",L909)+1))))</f>
        <v/>
      </c>
      <c r="Z909" s="7" t="str">
        <f aca="false">IF(OR(L909="",W909=""),"",IFERROR(INDEX('لیست‌ها'!$Q$3:$Q$53,MATCH(W909,'لیست‌ها'!$P$3:$P$53,0))+IF(X909&lt;=6,(X909-1)*31+Y909,IF(X909&lt;=11,186+(X909-7)*30+Y909,336+Y909))-1,""))</f>
        <v/>
      </c>
      <c r="AA909" s="7" t="str">
        <f aca="false">IF(H909="","",VALUE(LEFT(H909,FIND("/",H909)-1)))</f>
        <v/>
      </c>
      <c r="AB909" s="7" t="str">
        <f aca="false">IF(H909="","",VALUE(MID(H909,FIND("/",H909)+1,FIND("/",H909,FIND("/",H909)+1)-FIND("/",H909)-1)))</f>
        <v/>
      </c>
      <c r="AC909" s="7" t="str">
        <f aca="false">IF(H909="","",VALUE(MID(H909,FIND("/",H909,FIND("/",H909)+1)+1,LEN(H909)-FIND("/",H909,FIND("/",H909)+1))))</f>
        <v/>
      </c>
      <c r="AD909" s="7" t="str">
        <f aca="false">IF(OR(H909="",AA909=""),"",IFERROR(INDEX('لیست‌ها'!$Q$3:$Q$53,MATCH(AA909,'لیست‌ها'!$P$3:$P$53,0))+IF(AB909&lt;=6,(AB909-1)*31+AC909,IF(AB909&lt;=11,186+(AB909-7)*30+AC909,336+AC909))-1,""))</f>
        <v/>
      </c>
      <c r="AE909" s="7" t="str">
        <f aca="false">IF(P909="","",VALUE(LEFT(P909,FIND("/",P909)-1)))</f>
        <v/>
      </c>
      <c r="AF909" s="7" t="str">
        <f aca="false">IF(P909="","",VALUE(MID(P909,FIND("/",P909)+1,FIND("/",P909,FIND("/",P909)+1)-FIND("/",P909)-1)))</f>
        <v/>
      </c>
      <c r="AG909" s="7" t="str">
        <f aca="false">IF(P909="","",VALUE(MID(P909,FIND("/",P909,FIND("/",P909)+1)+1,LEN(P909)-FIND("/",P909,FIND("/",P909)+1))))</f>
        <v/>
      </c>
      <c r="AH909" s="7" t="str">
        <f aca="false">IF(OR(P909="",AE909=""),"",IFERROR(INDEX('لیست‌ها'!$Q$3:$Q$53,MATCH(AE909,'لیست‌ها'!$P$3:$P$53,0))+IF(AF909&lt;=6,(AF909-1)*31+AG909,IF(AF909&lt;=11,186+(AF909-7)*30+AG909,336+AG909))-1,""))</f>
        <v/>
      </c>
      <c r="AI909" s="7" t="str">
        <f aca="false">IF(W909="","",W909&amp;"-"&amp;TEXT(X909,"00"))</f>
        <v/>
      </c>
      <c r="AJ909" s="7" t="str">
        <f aca="false">IF(W909="","",W909*12+X909)</f>
        <v/>
      </c>
      <c r="AK909" s="7" t="str">
        <f aca="false">IF(U909="تاخیر",V909+ROW()/100000,"")</f>
        <v/>
      </c>
    </row>
    <row r="910" customFormat="false" ht="15" hidden="false" customHeight="false" outlineLevel="0" collapsed="false">
      <c r="A910" s="7" t="str">
        <f aca="false">IF(B910="","",ROW()-3)</f>
        <v/>
      </c>
      <c r="B910" s="8"/>
      <c r="C910" s="8"/>
      <c r="D910" s="8"/>
      <c r="E910" s="9"/>
      <c r="F910" s="9"/>
      <c r="G910" s="8"/>
      <c r="H910" s="8"/>
      <c r="I910" s="8"/>
      <c r="J910" s="9"/>
      <c r="K910" s="8"/>
      <c r="L910" s="8"/>
      <c r="M910" s="8"/>
      <c r="N910" s="8"/>
      <c r="O910" s="8"/>
      <c r="P910" s="8"/>
      <c r="Q910" s="8"/>
      <c r="R910" s="9"/>
      <c r="S910" s="8"/>
      <c r="T910" s="9"/>
      <c r="U910" s="10" t="str">
        <f aca="true">IF(B910="","",IF(OR(P910&lt;&gt;"",I910="می‌باشد"),"بسته",IF(AND(L910&lt;&gt;"",W910=""),"خطای فرمت تاریخ ایجاد",IF(AND(H910&lt;&gt;"",AA910=""),"خطای فرمت مهلت",IF(AND(H910&lt;&gt;"",AD910&lt;&gt;"",TODAY()&gt;AD910),"تاخیر",IF(L910&lt;&gt;"","در حال انجام",""))))))</f>
        <v/>
      </c>
      <c r="V910" s="7" t="n">
        <f aca="true">IF(U910="تاخیر",TODAY()-AD910,IF(AND(U910="بسته",AH910&lt;&gt;"",AD910&lt;&gt;"",AH910&gt;AD910),AH910-AD910,0))</f>
        <v>0</v>
      </c>
      <c r="W910" s="7" t="str">
        <f aca="false">IF(L910="","",VALUE(LEFT(L910,FIND("/",L910)-1)))</f>
        <v/>
      </c>
      <c r="X910" s="7" t="str">
        <f aca="false">IF(L910="","",VALUE(MID(L910,FIND("/",L910)+1,FIND("/",L910,FIND("/",L910)+1)-FIND("/",L910)-1)))</f>
        <v/>
      </c>
      <c r="Y910" s="7" t="str">
        <f aca="false">IF(L910="","",VALUE(MID(L910,FIND("/",L910,FIND("/",L910)+1)+1,LEN(L910)-FIND("/",L910,FIND("/",L910)+1))))</f>
        <v/>
      </c>
      <c r="Z910" s="7" t="str">
        <f aca="false">IF(OR(L910="",W910=""),"",IFERROR(INDEX('لیست‌ها'!$Q$3:$Q$53,MATCH(W910,'لیست‌ها'!$P$3:$P$53,0))+IF(X910&lt;=6,(X910-1)*31+Y910,IF(X910&lt;=11,186+(X910-7)*30+Y910,336+Y910))-1,""))</f>
        <v/>
      </c>
      <c r="AA910" s="7" t="str">
        <f aca="false">IF(H910="","",VALUE(LEFT(H910,FIND("/",H910)-1)))</f>
        <v/>
      </c>
      <c r="AB910" s="7" t="str">
        <f aca="false">IF(H910="","",VALUE(MID(H910,FIND("/",H910)+1,FIND("/",H910,FIND("/",H910)+1)-FIND("/",H910)-1)))</f>
        <v/>
      </c>
      <c r="AC910" s="7" t="str">
        <f aca="false">IF(H910="","",VALUE(MID(H910,FIND("/",H910,FIND("/",H910)+1)+1,LEN(H910)-FIND("/",H910,FIND("/",H910)+1))))</f>
        <v/>
      </c>
      <c r="AD910" s="7" t="str">
        <f aca="false">IF(OR(H910="",AA910=""),"",IFERROR(INDEX('لیست‌ها'!$Q$3:$Q$53,MATCH(AA910,'لیست‌ها'!$P$3:$P$53,0))+IF(AB910&lt;=6,(AB910-1)*31+AC910,IF(AB910&lt;=11,186+(AB910-7)*30+AC910,336+AC910))-1,""))</f>
        <v/>
      </c>
      <c r="AE910" s="7" t="str">
        <f aca="false">IF(P910="","",VALUE(LEFT(P910,FIND("/",P910)-1)))</f>
        <v/>
      </c>
      <c r="AF910" s="7" t="str">
        <f aca="false">IF(P910="","",VALUE(MID(P910,FIND("/",P910)+1,FIND("/",P910,FIND("/",P910)+1)-FIND("/",P910)-1)))</f>
        <v/>
      </c>
      <c r="AG910" s="7" t="str">
        <f aca="false">IF(P910="","",VALUE(MID(P910,FIND("/",P910,FIND("/",P910)+1)+1,LEN(P910)-FIND("/",P910,FIND("/",P910)+1))))</f>
        <v/>
      </c>
      <c r="AH910" s="7" t="str">
        <f aca="false">IF(OR(P910="",AE910=""),"",IFERROR(INDEX('لیست‌ها'!$Q$3:$Q$53,MATCH(AE910,'لیست‌ها'!$P$3:$P$53,0))+IF(AF910&lt;=6,(AF910-1)*31+AG910,IF(AF910&lt;=11,186+(AF910-7)*30+AG910,336+AG910))-1,""))</f>
        <v/>
      </c>
      <c r="AI910" s="7" t="str">
        <f aca="false">IF(W910="","",W910&amp;"-"&amp;TEXT(X910,"00"))</f>
        <v/>
      </c>
      <c r="AJ910" s="7" t="str">
        <f aca="false">IF(W910="","",W910*12+X910)</f>
        <v/>
      </c>
      <c r="AK910" s="7" t="str">
        <f aca="false">IF(U910="تاخیر",V910+ROW()/100000,"")</f>
        <v/>
      </c>
    </row>
    <row r="911" customFormat="false" ht="15" hidden="false" customHeight="false" outlineLevel="0" collapsed="false">
      <c r="A911" s="7" t="str">
        <f aca="false">IF(B911="","",ROW()-3)</f>
        <v/>
      </c>
      <c r="B911" s="8"/>
      <c r="C911" s="8"/>
      <c r="D911" s="8"/>
      <c r="E911" s="9"/>
      <c r="F911" s="9"/>
      <c r="G911" s="8"/>
      <c r="H911" s="8"/>
      <c r="I911" s="8"/>
      <c r="J911" s="9"/>
      <c r="K911" s="8"/>
      <c r="L911" s="8"/>
      <c r="M911" s="8"/>
      <c r="N911" s="8"/>
      <c r="O911" s="8"/>
      <c r="P911" s="8"/>
      <c r="Q911" s="8"/>
      <c r="R911" s="9"/>
      <c r="S911" s="8"/>
      <c r="T911" s="9"/>
      <c r="U911" s="10" t="str">
        <f aca="true">IF(B911="","",IF(OR(P911&lt;&gt;"",I911="می‌باشد"),"بسته",IF(AND(L911&lt;&gt;"",W911=""),"خطای فرمت تاریخ ایجاد",IF(AND(H911&lt;&gt;"",AA911=""),"خطای فرمت مهلت",IF(AND(H911&lt;&gt;"",AD911&lt;&gt;"",TODAY()&gt;AD911),"تاخیر",IF(L911&lt;&gt;"","در حال انجام",""))))))</f>
        <v/>
      </c>
      <c r="V911" s="7" t="n">
        <f aca="true">IF(U911="تاخیر",TODAY()-AD911,IF(AND(U911="بسته",AH911&lt;&gt;"",AD911&lt;&gt;"",AH911&gt;AD911),AH911-AD911,0))</f>
        <v>0</v>
      </c>
      <c r="W911" s="7" t="str">
        <f aca="false">IF(L911="","",VALUE(LEFT(L911,FIND("/",L911)-1)))</f>
        <v/>
      </c>
      <c r="X911" s="7" t="str">
        <f aca="false">IF(L911="","",VALUE(MID(L911,FIND("/",L911)+1,FIND("/",L911,FIND("/",L911)+1)-FIND("/",L911)-1)))</f>
        <v/>
      </c>
      <c r="Y911" s="7" t="str">
        <f aca="false">IF(L911="","",VALUE(MID(L911,FIND("/",L911,FIND("/",L911)+1)+1,LEN(L911)-FIND("/",L911,FIND("/",L911)+1))))</f>
        <v/>
      </c>
      <c r="Z911" s="7" t="str">
        <f aca="false">IF(OR(L911="",W911=""),"",IFERROR(INDEX('لیست‌ها'!$Q$3:$Q$53,MATCH(W911,'لیست‌ها'!$P$3:$P$53,0))+IF(X911&lt;=6,(X911-1)*31+Y911,IF(X911&lt;=11,186+(X911-7)*30+Y911,336+Y911))-1,""))</f>
        <v/>
      </c>
      <c r="AA911" s="7" t="str">
        <f aca="false">IF(H911="","",VALUE(LEFT(H911,FIND("/",H911)-1)))</f>
        <v/>
      </c>
      <c r="AB911" s="7" t="str">
        <f aca="false">IF(H911="","",VALUE(MID(H911,FIND("/",H911)+1,FIND("/",H911,FIND("/",H911)+1)-FIND("/",H911)-1)))</f>
        <v/>
      </c>
      <c r="AC911" s="7" t="str">
        <f aca="false">IF(H911="","",VALUE(MID(H911,FIND("/",H911,FIND("/",H911)+1)+1,LEN(H911)-FIND("/",H911,FIND("/",H911)+1))))</f>
        <v/>
      </c>
      <c r="AD911" s="7" t="str">
        <f aca="false">IF(OR(H911="",AA911=""),"",IFERROR(INDEX('لیست‌ها'!$Q$3:$Q$53,MATCH(AA911,'لیست‌ها'!$P$3:$P$53,0))+IF(AB911&lt;=6,(AB911-1)*31+AC911,IF(AB911&lt;=11,186+(AB911-7)*30+AC911,336+AC911))-1,""))</f>
        <v/>
      </c>
      <c r="AE911" s="7" t="str">
        <f aca="false">IF(P911="","",VALUE(LEFT(P911,FIND("/",P911)-1)))</f>
        <v/>
      </c>
      <c r="AF911" s="7" t="str">
        <f aca="false">IF(P911="","",VALUE(MID(P911,FIND("/",P911)+1,FIND("/",P911,FIND("/",P911)+1)-FIND("/",P911)-1)))</f>
        <v/>
      </c>
      <c r="AG911" s="7" t="str">
        <f aca="false">IF(P911="","",VALUE(MID(P911,FIND("/",P911,FIND("/",P911)+1)+1,LEN(P911)-FIND("/",P911,FIND("/",P911)+1))))</f>
        <v/>
      </c>
      <c r="AH911" s="7" t="str">
        <f aca="false">IF(OR(P911="",AE911=""),"",IFERROR(INDEX('لیست‌ها'!$Q$3:$Q$53,MATCH(AE911,'لیست‌ها'!$P$3:$P$53,0))+IF(AF911&lt;=6,(AF911-1)*31+AG911,IF(AF911&lt;=11,186+(AF911-7)*30+AG911,336+AG911))-1,""))</f>
        <v/>
      </c>
      <c r="AI911" s="7" t="str">
        <f aca="false">IF(W911="","",W911&amp;"-"&amp;TEXT(X911,"00"))</f>
        <v/>
      </c>
      <c r="AJ911" s="7" t="str">
        <f aca="false">IF(W911="","",W911*12+X911)</f>
        <v/>
      </c>
      <c r="AK911" s="7" t="str">
        <f aca="false">IF(U911="تاخیر",V911+ROW()/100000,"")</f>
        <v/>
      </c>
    </row>
    <row r="912" customFormat="false" ht="15" hidden="false" customHeight="false" outlineLevel="0" collapsed="false">
      <c r="A912" s="7" t="str">
        <f aca="false">IF(B912="","",ROW()-3)</f>
        <v/>
      </c>
      <c r="B912" s="8"/>
      <c r="C912" s="8"/>
      <c r="D912" s="8"/>
      <c r="E912" s="9"/>
      <c r="F912" s="9"/>
      <c r="G912" s="8"/>
      <c r="H912" s="8"/>
      <c r="I912" s="8"/>
      <c r="J912" s="9"/>
      <c r="K912" s="8"/>
      <c r="L912" s="8"/>
      <c r="M912" s="8"/>
      <c r="N912" s="8"/>
      <c r="O912" s="8"/>
      <c r="P912" s="8"/>
      <c r="Q912" s="8"/>
      <c r="R912" s="9"/>
      <c r="S912" s="8"/>
      <c r="T912" s="9"/>
      <c r="U912" s="10" t="str">
        <f aca="true">IF(B912="","",IF(OR(P912&lt;&gt;"",I912="می‌باشد"),"بسته",IF(AND(L912&lt;&gt;"",W912=""),"خطای فرمت تاریخ ایجاد",IF(AND(H912&lt;&gt;"",AA912=""),"خطای فرمت مهلت",IF(AND(H912&lt;&gt;"",AD912&lt;&gt;"",TODAY()&gt;AD912),"تاخیر",IF(L912&lt;&gt;"","در حال انجام",""))))))</f>
        <v/>
      </c>
      <c r="V912" s="7" t="n">
        <f aca="true">IF(U912="تاخیر",TODAY()-AD912,IF(AND(U912="بسته",AH912&lt;&gt;"",AD912&lt;&gt;"",AH912&gt;AD912),AH912-AD912,0))</f>
        <v>0</v>
      </c>
      <c r="W912" s="7" t="str">
        <f aca="false">IF(L912="","",VALUE(LEFT(L912,FIND("/",L912)-1)))</f>
        <v/>
      </c>
      <c r="X912" s="7" t="str">
        <f aca="false">IF(L912="","",VALUE(MID(L912,FIND("/",L912)+1,FIND("/",L912,FIND("/",L912)+1)-FIND("/",L912)-1)))</f>
        <v/>
      </c>
      <c r="Y912" s="7" t="str">
        <f aca="false">IF(L912="","",VALUE(MID(L912,FIND("/",L912,FIND("/",L912)+1)+1,LEN(L912)-FIND("/",L912,FIND("/",L912)+1))))</f>
        <v/>
      </c>
      <c r="Z912" s="7" t="str">
        <f aca="false">IF(OR(L912="",W912=""),"",IFERROR(INDEX('لیست‌ها'!$Q$3:$Q$53,MATCH(W912,'لیست‌ها'!$P$3:$P$53,0))+IF(X912&lt;=6,(X912-1)*31+Y912,IF(X912&lt;=11,186+(X912-7)*30+Y912,336+Y912))-1,""))</f>
        <v/>
      </c>
      <c r="AA912" s="7" t="str">
        <f aca="false">IF(H912="","",VALUE(LEFT(H912,FIND("/",H912)-1)))</f>
        <v/>
      </c>
      <c r="AB912" s="7" t="str">
        <f aca="false">IF(H912="","",VALUE(MID(H912,FIND("/",H912)+1,FIND("/",H912,FIND("/",H912)+1)-FIND("/",H912)-1)))</f>
        <v/>
      </c>
      <c r="AC912" s="7" t="str">
        <f aca="false">IF(H912="","",VALUE(MID(H912,FIND("/",H912,FIND("/",H912)+1)+1,LEN(H912)-FIND("/",H912,FIND("/",H912)+1))))</f>
        <v/>
      </c>
      <c r="AD912" s="7" t="str">
        <f aca="false">IF(OR(H912="",AA912=""),"",IFERROR(INDEX('لیست‌ها'!$Q$3:$Q$53,MATCH(AA912,'لیست‌ها'!$P$3:$P$53,0))+IF(AB912&lt;=6,(AB912-1)*31+AC912,IF(AB912&lt;=11,186+(AB912-7)*30+AC912,336+AC912))-1,""))</f>
        <v/>
      </c>
      <c r="AE912" s="7" t="str">
        <f aca="false">IF(P912="","",VALUE(LEFT(P912,FIND("/",P912)-1)))</f>
        <v/>
      </c>
      <c r="AF912" s="7" t="str">
        <f aca="false">IF(P912="","",VALUE(MID(P912,FIND("/",P912)+1,FIND("/",P912,FIND("/",P912)+1)-FIND("/",P912)-1)))</f>
        <v/>
      </c>
      <c r="AG912" s="7" t="str">
        <f aca="false">IF(P912="","",VALUE(MID(P912,FIND("/",P912,FIND("/",P912)+1)+1,LEN(P912)-FIND("/",P912,FIND("/",P912)+1))))</f>
        <v/>
      </c>
      <c r="AH912" s="7" t="str">
        <f aca="false">IF(OR(P912="",AE912=""),"",IFERROR(INDEX('لیست‌ها'!$Q$3:$Q$53,MATCH(AE912,'لیست‌ها'!$P$3:$P$53,0))+IF(AF912&lt;=6,(AF912-1)*31+AG912,IF(AF912&lt;=11,186+(AF912-7)*30+AG912,336+AG912))-1,""))</f>
        <v/>
      </c>
      <c r="AI912" s="7" t="str">
        <f aca="false">IF(W912="","",W912&amp;"-"&amp;TEXT(X912,"00"))</f>
        <v/>
      </c>
      <c r="AJ912" s="7" t="str">
        <f aca="false">IF(W912="","",W912*12+X912)</f>
        <v/>
      </c>
      <c r="AK912" s="7" t="str">
        <f aca="false">IF(U912="تاخیر",V912+ROW()/100000,"")</f>
        <v/>
      </c>
    </row>
    <row r="913" customFormat="false" ht="15" hidden="false" customHeight="false" outlineLevel="0" collapsed="false">
      <c r="A913" s="7" t="str">
        <f aca="false">IF(B913="","",ROW()-3)</f>
        <v/>
      </c>
      <c r="B913" s="8"/>
      <c r="C913" s="8"/>
      <c r="D913" s="8"/>
      <c r="E913" s="9"/>
      <c r="F913" s="9"/>
      <c r="G913" s="8"/>
      <c r="H913" s="8"/>
      <c r="I913" s="8"/>
      <c r="J913" s="9"/>
      <c r="K913" s="8"/>
      <c r="L913" s="8"/>
      <c r="M913" s="8"/>
      <c r="N913" s="8"/>
      <c r="O913" s="8"/>
      <c r="P913" s="8"/>
      <c r="Q913" s="8"/>
      <c r="R913" s="9"/>
      <c r="S913" s="8"/>
      <c r="T913" s="9"/>
      <c r="U913" s="10" t="str">
        <f aca="true">IF(B913="","",IF(OR(P913&lt;&gt;"",I913="می‌باشد"),"بسته",IF(AND(L913&lt;&gt;"",W913=""),"خطای فرمت تاریخ ایجاد",IF(AND(H913&lt;&gt;"",AA913=""),"خطای فرمت مهلت",IF(AND(H913&lt;&gt;"",AD913&lt;&gt;"",TODAY()&gt;AD913),"تاخیر",IF(L913&lt;&gt;"","در حال انجام",""))))))</f>
        <v/>
      </c>
      <c r="V913" s="7" t="n">
        <f aca="true">IF(U913="تاخیر",TODAY()-AD913,IF(AND(U913="بسته",AH913&lt;&gt;"",AD913&lt;&gt;"",AH913&gt;AD913),AH913-AD913,0))</f>
        <v>0</v>
      </c>
      <c r="W913" s="7" t="str">
        <f aca="false">IF(L913="","",VALUE(LEFT(L913,FIND("/",L913)-1)))</f>
        <v/>
      </c>
      <c r="X913" s="7" t="str">
        <f aca="false">IF(L913="","",VALUE(MID(L913,FIND("/",L913)+1,FIND("/",L913,FIND("/",L913)+1)-FIND("/",L913)-1)))</f>
        <v/>
      </c>
      <c r="Y913" s="7" t="str">
        <f aca="false">IF(L913="","",VALUE(MID(L913,FIND("/",L913,FIND("/",L913)+1)+1,LEN(L913)-FIND("/",L913,FIND("/",L913)+1))))</f>
        <v/>
      </c>
      <c r="Z913" s="7" t="str">
        <f aca="false">IF(OR(L913="",W913=""),"",IFERROR(INDEX('لیست‌ها'!$Q$3:$Q$53,MATCH(W913,'لیست‌ها'!$P$3:$P$53,0))+IF(X913&lt;=6,(X913-1)*31+Y913,IF(X913&lt;=11,186+(X913-7)*30+Y913,336+Y913))-1,""))</f>
        <v/>
      </c>
      <c r="AA913" s="7" t="str">
        <f aca="false">IF(H913="","",VALUE(LEFT(H913,FIND("/",H913)-1)))</f>
        <v/>
      </c>
      <c r="AB913" s="7" t="str">
        <f aca="false">IF(H913="","",VALUE(MID(H913,FIND("/",H913)+1,FIND("/",H913,FIND("/",H913)+1)-FIND("/",H913)-1)))</f>
        <v/>
      </c>
      <c r="AC913" s="7" t="str">
        <f aca="false">IF(H913="","",VALUE(MID(H913,FIND("/",H913,FIND("/",H913)+1)+1,LEN(H913)-FIND("/",H913,FIND("/",H913)+1))))</f>
        <v/>
      </c>
      <c r="AD913" s="7" t="str">
        <f aca="false">IF(OR(H913="",AA913=""),"",IFERROR(INDEX('لیست‌ها'!$Q$3:$Q$53,MATCH(AA913,'لیست‌ها'!$P$3:$P$53,0))+IF(AB913&lt;=6,(AB913-1)*31+AC913,IF(AB913&lt;=11,186+(AB913-7)*30+AC913,336+AC913))-1,""))</f>
        <v/>
      </c>
      <c r="AE913" s="7" t="str">
        <f aca="false">IF(P913="","",VALUE(LEFT(P913,FIND("/",P913)-1)))</f>
        <v/>
      </c>
      <c r="AF913" s="7" t="str">
        <f aca="false">IF(P913="","",VALUE(MID(P913,FIND("/",P913)+1,FIND("/",P913,FIND("/",P913)+1)-FIND("/",P913)-1)))</f>
        <v/>
      </c>
      <c r="AG913" s="7" t="str">
        <f aca="false">IF(P913="","",VALUE(MID(P913,FIND("/",P913,FIND("/",P913)+1)+1,LEN(P913)-FIND("/",P913,FIND("/",P913)+1))))</f>
        <v/>
      </c>
      <c r="AH913" s="7" t="str">
        <f aca="false">IF(OR(P913="",AE913=""),"",IFERROR(INDEX('لیست‌ها'!$Q$3:$Q$53,MATCH(AE913,'لیست‌ها'!$P$3:$P$53,0))+IF(AF913&lt;=6,(AF913-1)*31+AG913,IF(AF913&lt;=11,186+(AF913-7)*30+AG913,336+AG913))-1,""))</f>
        <v/>
      </c>
      <c r="AI913" s="7" t="str">
        <f aca="false">IF(W913="","",W913&amp;"-"&amp;TEXT(X913,"00"))</f>
        <v/>
      </c>
      <c r="AJ913" s="7" t="str">
        <f aca="false">IF(W913="","",W913*12+X913)</f>
        <v/>
      </c>
      <c r="AK913" s="7" t="str">
        <f aca="false">IF(U913="تاخیر",V913+ROW()/100000,"")</f>
        <v/>
      </c>
    </row>
    <row r="914" customFormat="false" ht="15" hidden="false" customHeight="false" outlineLevel="0" collapsed="false">
      <c r="A914" s="7" t="str">
        <f aca="false">IF(B914="","",ROW()-3)</f>
        <v/>
      </c>
      <c r="B914" s="8"/>
      <c r="C914" s="8"/>
      <c r="D914" s="8"/>
      <c r="E914" s="9"/>
      <c r="F914" s="9"/>
      <c r="G914" s="8"/>
      <c r="H914" s="8"/>
      <c r="I914" s="8"/>
      <c r="J914" s="9"/>
      <c r="K914" s="8"/>
      <c r="L914" s="8"/>
      <c r="M914" s="8"/>
      <c r="N914" s="8"/>
      <c r="O914" s="8"/>
      <c r="P914" s="8"/>
      <c r="Q914" s="8"/>
      <c r="R914" s="9"/>
      <c r="S914" s="8"/>
      <c r="T914" s="9"/>
      <c r="U914" s="10" t="str">
        <f aca="true">IF(B914="","",IF(OR(P914&lt;&gt;"",I914="می‌باشد"),"بسته",IF(AND(L914&lt;&gt;"",W914=""),"خطای فرمت تاریخ ایجاد",IF(AND(H914&lt;&gt;"",AA914=""),"خطای فرمت مهلت",IF(AND(H914&lt;&gt;"",AD914&lt;&gt;"",TODAY()&gt;AD914),"تاخیر",IF(L914&lt;&gt;"","در حال انجام",""))))))</f>
        <v/>
      </c>
      <c r="V914" s="7" t="n">
        <f aca="true">IF(U914="تاخیر",TODAY()-AD914,IF(AND(U914="بسته",AH914&lt;&gt;"",AD914&lt;&gt;"",AH914&gt;AD914),AH914-AD914,0))</f>
        <v>0</v>
      </c>
      <c r="W914" s="7" t="str">
        <f aca="false">IF(L914="","",VALUE(LEFT(L914,FIND("/",L914)-1)))</f>
        <v/>
      </c>
      <c r="X914" s="7" t="str">
        <f aca="false">IF(L914="","",VALUE(MID(L914,FIND("/",L914)+1,FIND("/",L914,FIND("/",L914)+1)-FIND("/",L914)-1)))</f>
        <v/>
      </c>
      <c r="Y914" s="7" t="str">
        <f aca="false">IF(L914="","",VALUE(MID(L914,FIND("/",L914,FIND("/",L914)+1)+1,LEN(L914)-FIND("/",L914,FIND("/",L914)+1))))</f>
        <v/>
      </c>
      <c r="Z914" s="7" t="str">
        <f aca="false">IF(OR(L914="",W914=""),"",IFERROR(INDEX('لیست‌ها'!$Q$3:$Q$53,MATCH(W914,'لیست‌ها'!$P$3:$P$53,0))+IF(X914&lt;=6,(X914-1)*31+Y914,IF(X914&lt;=11,186+(X914-7)*30+Y914,336+Y914))-1,""))</f>
        <v/>
      </c>
      <c r="AA914" s="7" t="str">
        <f aca="false">IF(H914="","",VALUE(LEFT(H914,FIND("/",H914)-1)))</f>
        <v/>
      </c>
      <c r="AB914" s="7" t="str">
        <f aca="false">IF(H914="","",VALUE(MID(H914,FIND("/",H914)+1,FIND("/",H914,FIND("/",H914)+1)-FIND("/",H914)-1)))</f>
        <v/>
      </c>
      <c r="AC914" s="7" t="str">
        <f aca="false">IF(H914="","",VALUE(MID(H914,FIND("/",H914,FIND("/",H914)+1)+1,LEN(H914)-FIND("/",H914,FIND("/",H914)+1))))</f>
        <v/>
      </c>
      <c r="AD914" s="7" t="str">
        <f aca="false">IF(OR(H914="",AA914=""),"",IFERROR(INDEX('لیست‌ها'!$Q$3:$Q$53,MATCH(AA914,'لیست‌ها'!$P$3:$P$53,0))+IF(AB914&lt;=6,(AB914-1)*31+AC914,IF(AB914&lt;=11,186+(AB914-7)*30+AC914,336+AC914))-1,""))</f>
        <v/>
      </c>
      <c r="AE914" s="7" t="str">
        <f aca="false">IF(P914="","",VALUE(LEFT(P914,FIND("/",P914)-1)))</f>
        <v/>
      </c>
      <c r="AF914" s="7" t="str">
        <f aca="false">IF(P914="","",VALUE(MID(P914,FIND("/",P914)+1,FIND("/",P914,FIND("/",P914)+1)-FIND("/",P914)-1)))</f>
        <v/>
      </c>
      <c r="AG914" s="7" t="str">
        <f aca="false">IF(P914="","",VALUE(MID(P914,FIND("/",P914,FIND("/",P914)+1)+1,LEN(P914)-FIND("/",P914,FIND("/",P914)+1))))</f>
        <v/>
      </c>
      <c r="AH914" s="7" t="str">
        <f aca="false">IF(OR(P914="",AE914=""),"",IFERROR(INDEX('لیست‌ها'!$Q$3:$Q$53,MATCH(AE914,'لیست‌ها'!$P$3:$P$53,0))+IF(AF914&lt;=6,(AF914-1)*31+AG914,IF(AF914&lt;=11,186+(AF914-7)*30+AG914,336+AG914))-1,""))</f>
        <v/>
      </c>
      <c r="AI914" s="7" t="str">
        <f aca="false">IF(W914="","",W914&amp;"-"&amp;TEXT(X914,"00"))</f>
        <v/>
      </c>
      <c r="AJ914" s="7" t="str">
        <f aca="false">IF(W914="","",W914*12+X914)</f>
        <v/>
      </c>
      <c r="AK914" s="7" t="str">
        <f aca="false">IF(U914="تاخیر",V914+ROW()/100000,"")</f>
        <v/>
      </c>
    </row>
    <row r="915" customFormat="false" ht="15" hidden="false" customHeight="false" outlineLevel="0" collapsed="false">
      <c r="A915" s="7" t="str">
        <f aca="false">IF(B915="","",ROW()-3)</f>
        <v/>
      </c>
      <c r="B915" s="8"/>
      <c r="C915" s="8"/>
      <c r="D915" s="8"/>
      <c r="E915" s="9"/>
      <c r="F915" s="9"/>
      <c r="G915" s="8"/>
      <c r="H915" s="8"/>
      <c r="I915" s="8"/>
      <c r="J915" s="9"/>
      <c r="K915" s="8"/>
      <c r="L915" s="8"/>
      <c r="M915" s="8"/>
      <c r="N915" s="8"/>
      <c r="O915" s="8"/>
      <c r="P915" s="8"/>
      <c r="Q915" s="8"/>
      <c r="R915" s="9"/>
      <c r="S915" s="8"/>
      <c r="T915" s="9"/>
      <c r="U915" s="10" t="str">
        <f aca="true">IF(B915="","",IF(OR(P915&lt;&gt;"",I915="می‌باشد"),"بسته",IF(AND(L915&lt;&gt;"",W915=""),"خطای فرمت تاریخ ایجاد",IF(AND(H915&lt;&gt;"",AA915=""),"خطای فرمت مهلت",IF(AND(H915&lt;&gt;"",AD915&lt;&gt;"",TODAY()&gt;AD915),"تاخیر",IF(L915&lt;&gt;"","در حال انجام",""))))))</f>
        <v/>
      </c>
      <c r="V915" s="7" t="n">
        <f aca="true">IF(U915="تاخیر",TODAY()-AD915,IF(AND(U915="بسته",AH915&lt;&gt;"",AD915&lt;&gt;"",AH915&gt;AD915),AH915-AD915,0))</f>
        <v>0</v>
      </c>
      <c r="W915" s="7" t="str">
        <f aca="false">IF(L915="","",VALUE(LEFT(L915,FIND("/",L915)-1)))</f>
        <v/>
      </c>
      <c r="X915" s="7" t="str">
        <f aca="false">IF(L915="","",VALUE(MID(L915,FIND("/",L915)+1,FIND("/",L915,FIND("/",L915)+1)-FIND("/",L915)-1)))</f>
        <v/>
      </c>
      <c r="Y915" s="7" t="str">
        <f aca="false">IF(L915="","",VALUE(MID(L915,FIND("/",L915,FIND("/",L915)+1)+1,LEN(L915)-FIND("/",L915,FIND("/",L915)+1))))</f>
        <v/>
      </c>
      <c r="Z915" s="7" t="str">
        <f aca="false">IF(OR(L915="",W915=""),"",IFERROR(INDEX('لیست‌ها'!$Q$3:$Q$53,MATCH(W915,'لیست‌ها'!$P$3:$P$53,0))+IF(X915&lt;=6,(X915-1)*31+Y915,IF(X915&lt;=11,186+(X915-7)*30+Y915,336+Y915))-1,""))</f>
        <v/>
      </c>
      <c r="AA915" s="7" t="str">
        <f aca="false">IF(H915="","",VALUE(LEFT(H915,FIND("/",H915)-1)))</f>
        <v/>
      </c>
      <c r="AB915" s="7" t="str">
        <f aca="false">IF(H915="","",VALUE(MID(H915,FIND("/",H915)+1,FIND("/",H915,FIND("/",H915)+1)-FIND("/",H915)-1)))</f>
        <v/>
      </c>
      <c r="AC915" s="7" t="str">
        <f aca="false">IF(H915="","",VALUE(MID(H915,FIND("/",H915,FIND("/",H915)+1)+1,LEN(H915)-FIND("/",H915,FIND("/",H915)+1))))</f>
        <v/>
      </c>
      <c r="AD915" s="7" t="str">
        <f aca="false">IF(OR(H915="",AA915=""),"",IFERROR(INDEX('لیست‌ها'!$Q$3:$Q$53,MATCH(AA915,'لیست‌ها'!$P$3:$P$53,0))+IF(AB915&lt;=6,(AB915-1)*31+AC915,IF(AB915&lt;=11,186+(AB915-7)*30+AC915,336+AC915))-1,""))</f>
        <v/>
      </c>
      <c r="AE915" s="7" t="str">
        <f aca="false">IF(P915="","",VALUE(LEFT(P915,FIND("/",P915)-1)))</f>
        <v/>
      </c>
      <c r="AF915" s="7" t="str">
        <f aca="false">IF(P915="","",VALUE(MID(P915,FIND("/",P915)+1,FIND("/",P915,FIND("/",P915)+1)-FIND("/",P915)-1)))</f>
        <v/>
      </c>
      <c r="AG915" s="7" t="str">
        <f aca="false">IF(P915="","",VALUE(MID(P915,FIND("/",P915,FIND("/",P915)+1)+1,LEN(P915)-FIND("/",P915,FIND("/",P915)+1))))</f>
        <v/>
      </c>
      <c r="AH915" s="7" t="str">
        <f aca="false">IF(OR(P915="",AE915=""),"",IFERROR(INDEX('لیست‌ها'!$Q$3:$Q$53,MATCH(AE915,'لیست‌ها'!$P$3:$P$53,0))+IF(AF915&lt;=6,(AF915-1)*31+AG915,IF(AF915&lt;=11,186+(AF915-7)*30+AG915,336+AG915))-1,""))</f>
        <v/>
      </c>
      <c r="AI915" s="7" t="str">
        <f aca="false">IF(W915="","",W915&amp;"-"&amp;TEXT(X915,"00"))</f>
        <v/>
      </c>
      <c r="AJ915" s="7" t="str">
        <f aca="false">IF(W915="","",W915*12+X915)</f>
        <v/>
      </c>
      <c r="AK915" s="7" t="str">
        <f aca="false">IF(U915="تاخیر",V915+ROW()/100000,"")</f>
        <v/>
      </c>
    </row>
    <row r="916" customFormat="false" ht="15" hidden="false" customHeight="false" outlineLevel="0" collapsed="false">
      <c r="A916" s="7" t="str">
        <f aca="false">IF(B916="","",ROW()-3)</f>
        <v/>
      </c>
      <c r="B916" s="8"/>
      <c r="C916" s="8"/>
      <c r="D916" s="8"/>
      <c r="E916" s="9"/>
      <c r="F916" s="9"/>
      <c r="G916" s="8"/>
      <c r="H916" s="8"/>
      <c r="I916" s="8"/>
      <c r="J916" s="9"/>
      <c r="K916" s="8"/>
      <c r="L916" s="8"/>
      <c r="M916" s="8"/>
      <c r="N916" s="8"/>
      <c r="O916" s="8"/>
      <c r="P916" s="8"/>
      <c r="Q916" s="8"/>
      <c r="R916" s="9"/>
      <c r="S916" s="8"/>
      <c r="T916" s="9"/>
      <c r="U916" s="10" t="str">
        <f aca="true">IF(B916="","",IF(OR(P916&lt;&gt;"",I916="می‌باشد"),"بسته",IF(AND(L916&lt;&gt;"",W916=""),"خطای فرمت تاریخ ایجاد",IF(AND(H916&lt;&gt;"",AA916=""),"خطای فرمت مهلت",IF(AND(H916&lt;&gt;"",AD916&lt;&gt;"",TODAY()&gt;AD916),"تاخیر",IF(L916&lt;&gt;"","در حال انجام",""))))))</f>
        <v/>
      </c>
      <c r="V916" s="7" t="n">
        <f aca="true">IF(U916="تاخیر",TODAY()-AD916,IF(AND(U916="بسته",AH916&lt;&gt;"",AD916&lt;&gt;"",AH916&gt;AD916),AH916-AD916,0))</f>
        <v>0</v>
      </c>
      <c r="W916" s="7" t="str">
        <f aca="false">IF(L916="","",VALUE(LEFT(L916,FIND("/",L916)-1)))</f>
        <v/>
      </c>
      <c r="X916" s="7" t="str">
        <f aca="false">IF(L916="","",VALUE(MID(L916,FIND("/",L916)+1,FIND("/",L916,FIND("/",L916)+1)-FIND("/",L916)-1)))</f>
        <v/>
      </c>
      <c r="Y916" s="7" t="str">
        <f aca="false">IF(L916="","",VALUE(MID(L916,FIND("/",L916,FIND("/",L916)+1)+1,LEN(L916)-FIND("/",L916,FIND("/",L916)+1))))</f>
        <v/>
      </c>
      <c r="Z916" s="7" t="str">
        <f aca="false">IF(OR(L916="",W916=""),"",IFERROR(INDEX('لیست‌ها'!$Q$3:$Q$53,MATCH(W916,'لیست‌ها'!$P$3:$P$53,0))+IF(X916&lt;=6,(X916-1)*31+Y916,IF(X916&lt;=11,186+(X916-7)*30+Y916,336+Y916))-1,""))</f>
        <v/>
      </c>
      <c r="AA916" s="7" t="str">
        <f aca="false">IF(H916="","",VALUE(LEFT(H916,FIND("/",H916)-1)))</f>
        <v/>
      </c>
      <c r="AB916" s="7" t="str">
        <f aca="false">IF(H916="","",VALUE(MID(H916,FIND("/",H916)+1,FIND("/",H916,FIND("/",H916)+1)-FIND("/",H916)-1)))</f>
        <v/>
      </c>
      <c r="AC916" s="7" t="str">
        <f aca="false">IF(H916="","",VALUE(MID(H916,FIND("/",H916,FIND("/",H916)+1)+1,LEN(H916)-FIND("/",H916,FIND("/",H916)+1))))</f>
        <v/>
      </c>
      <c r="AD916" s="7" t="str">
        <f aca="false">IF(OR(H916="",AA916=""),"",IFERROR(INDEX('لیست‌ها'!$Q$3:$Q$53,MATCH(AA916,'لیست‌ها'!$P$3:$P$53,0))+IF(AB916&lt;=6,(AB916-1)*31+AC916,IF(AB916&lt;=11,186+(AB916-7)*30+AC916,336+AC916))-1,""))</f>
        <v/>
      </c>
      <c r="AE916" s="7" t="str">
        <f aca="false">IF(P916="","",VALUE(LEFT(P916,FIND("/",P916)-1)))</f>
        <v/>
      </c>
      <c r="AF916" s="7" t="str">
        <f aca="false">IF(P916="","",VALUE(MID(P916,FIND("/",P916)+1,FIND("/",P916,FIND("/",P916)+1)-FIND("/",P916)-1)))</f>
        <v/>
      </c>
      <c r="AG916" s="7" t="str">
        <f aca="false">IF(P916="","",VALUE(MID(P916,FIND("/",P916,FIND("/",P916)+1)+1,LEN(P916)-FIND("/",P916,FIND("/",P916)+1))))</f>
        <v/>
      </c>
      <c r="AH916" s="7" t="str">
        <f aca="false">IF(OR(P916="",AE916=""),"",IFERROR(INDEX('لیست‌ها'!$Q$3:$Q$53,MATCH(AE916,'لیست‌ها'!$P$3:$P$53,0))+IF(AF916&lt;=6,(AF916-1)*31+AG916,IF(AF916&lt;=11,186+(AF916-7)*30+AG916,336+AG916))-1,""))</f>
        <v/>
      </c>
      <c r="AI916" s="7" t="str">
        <f aca="false">IF(W916="","",W916&amp;"-"&amp;TEXT(X916,"00"))</f>
        <v/>
      </c>
      <c r="AJ916" s="7" t="str">
        <f aca="false">IF(W916="","",W916*12+X916)</f>
        <v/>
      </c>
      <c r="AK916" s="7" t="str">
        <f aca="false">IF(U916="تاخیر",V916+ROW()/100000,"")</f>
        <v/>
      </c>
    </row>
    <row r="917" customFormat="false" ht="15" hidden="false" customHeight="false" outlineLevel="0" collapsed="false">
      <c r="A917" s="7" t="str">
        <f aca="false">IF(B917="","",ROW()-3)</f>
        <v/>
      </c>
      <c r="B917" s="8"/>
      <c r="C917" s="8"/>
      <c r="D917" s="8"/>
      <c r="E917" s="9"/>
      <c r="F917" s="9"/>
      <c r="G917" s="8"/>
      <c r="H917" s="8"/>
      <c r="I917" s="8"/>
      <c r="J917" s="9"/>
      <c r="K917" s="8"/>
      <c r="L917" s="8"/>
      <c r="M917" s="8"/>
      <c r="N917" s="8"/>
      <c r="O917" s="8"/>
      <c r="P917" s="8"/>
      <c r="Q917" s="8"/>
      <c r="R917" s="9"/>
      <c r="S917" s="8"/>
      <c r="T917" s="9"/>
      <c r="U917" s="10" t="str">
        <f aca="true">IF(B917="","",IF(OR(P917&lt;&gt;"",I917="می‌باشد"),"بسته",IF(AND(L917&lt;&gt;"",W917=""),"خطای فرمت تاریخ ایجاد",IF(AND(H917&lt;&gt;"",AA917=""),"خطای فرمت مهلت",IF(AND(H917&lt;&gt;"",AD917&lt;&gt;"",TODAY()&gt;AD917),"تاخیر",IF(L917&lt;&gt;"","در حال انجام",""))))))</f>
        <v/>
      </c>
      <c r="V917" s="7" t="n">
        <f aca="true">IF(U917="تاخیر",TODAY()-AD917,IF(AND(U917="بسته",AH917&lt;&gt;"",AD917&lt;&gt;"",AH917&gt;AD917),AH917-AD917,0))</f>
        <v>0</v>
      </c>
      <c r="W917" s="7" t="str">
        <f aca="false">IF(L917="","",VALUE(LEFT(L917,FIND("/",L917)-1)))</f>
        <v/>
      </c>
      <c r="X917" s="7" t="str">
        <f aca="false">IF(L917="","",VALUE(MID(L917,FIND("/",L917)+1,FIND("/",L917,FIND("/",L917)+1)-FIND("/",L917)-1)))</f>
        <v/>
      </c>
      <c r="Y917" s="7" t="str">
        <f aca="false">IF(L917="","",VALUE(MID(L917,FIND("/",L917,FIND("/",L917)+1)+1,LEN(L917)-FIND("/",L917,FIND("/",L917)+1))))</f>
        <v/>
      </c>
      <c r="Z917" s="7" t="str">
        <f aca="false">IF(OR(L917="",W917=""),"",IFERROR(INDEX('لیست‌ها'!$Q$3:$Q$53,MATCH(W917,'لیست‌ها'!$P$3:$P$53,0))+IF(X917&lt;=6,(X917-1)*31+Y917,IF(X917&lt;=11,186+(X917-7)*30+Y917,336+Y917))-1,""))</f>
        <v/>
      </c>
      <c r="AA917" s="7" t="str">
        <f aca="false">IF(H917="","",VALUE(LEFT(H917,FIND("/",H917)-1)))</f>
        <v/>
      </c>
      <c r="AB917" s="7" t="str">
        <f aca="false">IF(H917="","",VALUE(MID(H917,FIND("/",H917)+1,FIND("/",H917,FIND("/",H917)+1)-FIND("/",H917)-1)))</f>
        <v/>
      </c>
      <c r="AC917" s="7" t="str">
        <f aca="false">IF(H917="","",VALUE(MID(H917,FIND("/",H917,FIND("/",H917)+1)+1,LEN(H917)-FIND("/",H917,FIND("/",H917)+1))))</f>
        <v/>
      </c>
      <c r="AD917" s="7" t="str">
        <f aca="false">IF(OR(H917="",AA917=""),"",IFERROR(INDEX('لیست‌ها'!$Q$3:$Q$53,MATCH(AA917,'لیست‌ها'!$P$3:$P$53,0))+IF(AB917&lt;=6,(AB917-1)*31+AC917,IF(AB917&lt;=11,186+(AB917-7)*30+AC917,336+AC917))-1,""))</f>
        <v/>
      </c>
      <c r="AE917" s="7" t="str">
        <f aca="false">IF(P917="","",VALUE(LEFT(P917,FIND("/",P917)-1)))</f>
        <v/>
      </c>
      <c r="AF917" s="7" t="str">
        <f aca="false">IF(P917="","",VALUE(MID(P917,FIND("/",P917)+1,FIND("/",P917,FIND("/",P917)+1)-FIND("/",P917)-1)))</f>
        <v/>
      </c>
      <c r="AG917" s="7" t="str">
        <f aca="false">IF(P917="","",VALUE(MID(P917,FIND("/",P917,FIND("/",P917)+1)+1,LEN(P917)-FIND("/",P917,FIND("/",P917)+1))))</f>
        <v/>
      </c>
      <c r="AH917" s="7" t="str">
        <f aca="false">IF(OR(P917="",AE917=""),"",IFERROR(INDEX('لیست‌ها'!$Q$3:$Q$53,MATCH(AE917,'لیست‌ها'!$P$3:$P$53,0))+IF(AF917&lt;=6,(AF917-1)*31+AG917,IF(AF917&lt;=11,186+(AF917-7)*30+AG917,336+AG917))-1,""))</f>
        <v/>
      </c>
      <c r="AI917" s="7" t="str">
        <f aca="false">IF(W917="","",W917&amp;"-"&amp;TEXT(X917,"00"))</f>
        <v/>
      </c>
      <c r="AJ917" s="7" t="str">
        <f aca="false">IF(W917="","",W917*12+X917)</f>
        <v/>
      </c>
      <c r="AK917" s="7" t="str">
        <f aca="false">IF(U917="تاخیر",V917+ROW()/100000,"")</f>
        <v/>
      </c>
    </row>
    <row r="918" customFormat="false" ht="15" hidden="false" customHeight="false" outlineLevel="0" collapsed="false">
      <c r="A918" s="7" t="str">
        <f aca="false">IF(B918="","",ROW()-3)</f>
        <v/>
      </c>
      <c r="B918" s="8"/>
      <c r="C918" s="8"/>
      <c r="D918" s="8"/>
      <c r="E918" s="9"/>
      <c r="F918" s="9"/>
      <c r="G918" s="8"/>
      <c r="H918" s="8"/>
      <c r="I918" s="8"/>
      <c r="J918" s="9"/>
      <c r="K918" s="8"/>
      <c r="L918" s="8"/>
      <c r="M918" s="8"/>
      <c r="N918" s="8"/>
      <c r="O918" s="8"/>
      <c r="P918" s="8"/>
      <c r="Q918" s="8"/>
      <c r="R918" s="9"/>
      <c r="S918" s="8"/>
      <c r="T918" s="9"/>
      <c r="U918" s="10" t="str">
        <f aca="true">IF(B918="","",IF(OR(P918&lt;&gt;"",I918="می‌باشد"),"بسته",IF(AND(L918&lt;&gt;"",W918=""),"خطای فرمت تاریخ ایجاد",IF(AND(H918&lt;&gt;"",AA918=""),"خطای فرمت مهلت",IF(AND(H918&lt;&gt;"",AD918&lt;&gt;"",TODAY()&gt;AD918),"تاخیر",IF(L918&lt;&gt;"","در حال انجام",""))))))</f>
        <v/>
      </c>
      <c r="V918" s="7" t="n">
        <f aca="true">IF(U918="تاخیر",TODAY()-AD918,IF(AND(U918="بسته",AH918&lt;&gt;"",AD918&lt;&gt;"",AH918&gt;AD918),AH918-AD918,0))</f>
        <v>0</v>
      </c>
      <c r="W918" s="7" t="str">
        <f aca="false">IF(L918="","",VALUE(LEFT(L918,FIND("/",L918)-1)))</f>
        <v/>
      </c>
      <c r="X918" s="7" t="str">
        <f aca="false">IF(L918="","",VALUE(MID(L918,FIND("/",L918)+1,FIND("/",L918,FIND("/",L918)+1)-FIND("/",L918)-1)))</f>
        <v/>
      </c>
      <c r="Y918" s="7" t="str">
        <f aca="false">IF(L918="","",VALUE(MID(L918,FIND("/",L918,FIND("/",L918)+1)+1,LEN(L918)-FIND("/",L918,FIND("/",L918)+1))))</f>
        <v/>
      </c>
      <c r="Z918" s="7" t="str">
        <f aca="false">IF(OR(L918="",W918=""),"",IFERROR(INDEX('لیست‌ها'!$Q$3:$Q$53,MATCH(W918,'لیست‌ها'!$P$3:$P$53,0))+IF(X918&lt;=6,(X918-1)*31+Y918,IF(X918&lt;=11,186+(X918-7)*30+Y918,336+Y918))-1,""))</f>
        <v/>
      </c>
      <c r="AA918" s="7" t="str">
        <f aca="false">IF(H918="","",VALUE(LEFT(H918,FIND("/",H918)-1)))</f>
        <v/>
      </c>
      <c r="AB918" s="7" t="str">
        <f aca="false">IF(H918="","",VALUE(MID(H918,FIND("/",H918)+1,FIND("/",H918,FIND("/",H918)+1)-FIND("/",H918)-1)))</f>
        <v/>
      </c>
      <c r="AC918" s="7" t="str">
        <f aca="false">IF(H918="","",VALUE(MID(H918,FIND("/",H918,FIND("/",H918)+1)+1,LEN(H918)-FIND("/",H918,FIND("/",H918)+1))))</f>
        <v/>
      </c>
      <c r="AD918" s="7" t="str">
        <f aca="false">IF(OR(H918="",AA918=""),"",IFERROR(INDEX('لیست‌ها'!$Q$3:$Q$53,MATCH(AA918,'لیست‌ها'!$P$3:$P$53,0))+IF(AB918&lt;=6,(AB918-1)*31+AC918,IF(AB918&lt;=11,186+(AB918-7)*30+AC918,336+AC918))-1,""))</f>
        <v/>
      </c>
      <c r="AE918" s="7" t="str">
        <f aca="false">IF(P918="","",VALUE(LEFT(P918,FIND("/",P918)-1)))</f>
        <v/>
      </c>
      <c r="AF918" s="7" t="str">
        <f aca="false">IF(P918="","",VALUE(MID(P918,FIND("/",P918)+1,FIND("/",P918,FIND("/",P918)+1)-FIND("/",P918)-1)))</f>
        <v/>
      </c>
      <c r="AG918" s="7" t="str">
        <f aca="false">IF(P918="","",VALUE(MID(P918,FIND("/",P918,FIND("/",P918)+1)+1,LEN(P918)-FIND("/",P918,FIND("/",P918)+1))))</f>
        <v/>
      </c>
      <c r="AH918" s="7" t="str">
        <f aca="false">IF(OR(P918="",AE918=""),"",IFERROR(INDEX('لیست‌ها'!$Q$3:$Q$53,MATCH(AE918,'لیست‌ها'!$P$3:$P$53,0))+IF(AF918&lt;=6,(AF918-1)*31+AG918,IF(AF918&lt;=11,186+(AF918-7)*30+AG918,336+AG918))-1,""))</f>
        <v/>
      </c>
      <c r="AI918" s="7" t="str">
        <f aca="false">IF(W918="","",W918&amp;"-"&amp;TEXT(X918,"00"))</f>
        <v/>
      </c>
      <c r="AJ918" s="7" t="str">
        <f aca="false">IF(W918="","",W918*12+X918)</f>
        <v/>
      </c>
      <c r="AK918" s="7" t="str">
        <f aca="false">IF(U918="تاخیر",V918+ROW()/100000,"")</f>
        <v/>
      </c>
    </row>
    <row r="919" customFormat="false" ht="15" hidden="false" customHeight="false" outlineLevel="0" collapsed="false">
      <c r="A919" s="7" t="str">
        <f aca="false">IF(B919="","",ROW()-3)</f>
        <v/>
      </c>
      <c r="B919" s="8"/>
      <c r="C919" s="8"/>
      <c r="D919" s="8"/>
      <c r="E919" s="9"/>
      <c r="F919" s="9"/>
      <c r="G919" s="8"/>
      <c r="H919" s="8"/>
      <c r="I919" s="8"/>
      <c r="J919" s="9"/>
      <c r="K919" s="8"/>
      <c r="L919" s="8"/>
      <c r="M919" s="8"/>
      <c r="N919" s="8"/>
      <c r="O919" s="8"/>
      <c r="P919" s="8"/>
      <c r="Q919" s="8"/>
      <c r="R919" s="9"/>
      <c r="S919" s="8"/>
      <c r="T919" s="9"/>
      <c r="U919" s="10" t="str">
        <f aca="true">IF(B919="","",IF(OR(P919&lt;&gt;"",I919="می‌باشد"),"بسته",IF(AND(L919&lt;&gt;"",W919=""),"خطای فرمت تاریخ ایجاد",IF(AND(H919&lt;&gt;"",AA919=""),"خطای فرمت مهلت",IF(AND(H919&lt;&gt;"",AD919&lt;&gt;"",TODAY()&gt;AD919),"تاخیر",IF(L919&lt;&gt;"","در حال انجام",""))))))</f>
        <v/>
      </c>
      <c r="V919" s="7" t="n">
        <f aca="true">IF(U919="تاخیر",TODAY()-AD919,IF(AND(U919="بسته",AH919&lt;&gt;"",AD919&lt;&gt;"",AH919&gt;AD919),AH919-AD919,0))</f>
        <v>0</v>
      </c>
      <c r="W919" s="7" t="str">
        <f aca="false">IF(L919="","",VALUE(LEFT(L919,FIND("/",L919)-1)))</f>
        <v/>
      </c>
      <c r="X919" s="7" t="str">
        <f aca="false">IF(L919="","",VALUE(MID(L919,FIND("/",L919)+1,FIND("/",L919,FIND("/",L919)+1)-FIND("/",L919)-1)))</f>
        <v/>
      </c>
      <c r="Y919" s="7" t="str">
        <f aca="false">IF(L919="","",VALUE(MID(L919,FIND("/",L919,FIND("/",L919)+1)+1,LEN(L919)-FIND("/",L919,FIND("/",L919)+1))))</f>
        <v/>
      </c>
      <c r="Z919" s="7" t="str">
        <f aca="false">IF(OR(L919="",W919=""),"",IFERROR(INDEX('لیست‌ها'!$Q$3:$Q$53,MATCH(W919,'لیست‌ها'!$P$3:$P$53,0))+IF(X919&lt;=6,(X919-1)*31+Y919,IF(X919&lt;=11,186+(X919-7)*30+Y919,336+Y919))-1,""))</f>
        <v/>
      </c>
      <c r="AA919" s="7" t="str">
        <f aca="false">IF(H919="","",VALUE(LEFT(H919,FIND("/",H919)-1)))</f>
        <v/>
      </c>
      <c r="AB919" s="7" t="str">
        <f aca="false">IF(H919="","",VALUE(MID(H919,FIND("/",H919)+1,FIND("/",H919,FIND("/",H919)+1)-FIND("/",H919)-1)))</f>
        <v/>
      </c>
      <c r="AC919" s="7" t="str">
        <f aca="false">IF(H919="","",VALUE(MID(H919,FIND("/",H919,FIND("/",H919)+1)+1,LEN(H919)-FIND("/",H919,FIND("/",H919)+1))))</f>
        <v/>
      </c>
      <c r="AD919" s="7" t="str">
        <f aca="false">IF(OR(H919="",AA919=""),"",IFERROR(INDEX('لیست‌ها'!$Q$3:$Q$53,MATCH(AA919,'لیست‌ها'!$P$3:$P$53,0))+IF(AB919&lt;=6,(AB919-1)*31+AC919,IF(AB919&lt;=11,186+(AB919-7)*30+AC919,336+AC919))-1,""))</f>
        <v/>
      </c>
      <c r="AE919" s="7" t="str">
        <f aca="false">IF(P919="","",VALUE(LEFT(P919,FIND("/",P919)-1)))</f>
        <v/>
      </c>
      <c r="AF919" s="7" t="str">
        <f aca="false">IF(P919="","",VALUE(MID(P919,FIND("/",P919)+1,FIND("/",P919,FIND("/",P919)+1)-FIND("/",P919)-1)))</f>
        <v/>
      </c>
      <c r="AG919" s="7" t="str">
        <f aca="false">IF(P919="","",VALUE(MID(P919,FIND("/",P919,FIND("/",P919)+1)+1,LEN(P919)-FIND("/",P919,FIND("/",P919)+1))))</f>
        <v/>
      </c>
      <c r="AH919" s="7" t="str">
        <f aca="false">IF(OR(P919="",AE919=""),"",IFERROR(INDEX('لیست‌ها'!$Q$3:$Q$53,MATCH(AE919,'لیست‌ها'!$P$3:$P$53,0))+IF(AF919&lt;=6,(AF919-1)*31+AG919,IF(AF919&lt;=11,186+(AF919-7)*30+AG919,336+AG919))-1,""))</f>
        <v/>
      </c>
      <c r="AI919" s="7" t="str">
        <f aca="false">IF(W919="","",W919&amp;"-"&amp;TEXT(X919,"00"))</f>
        <v/>
      </c>
      <c r="AJ919" s="7" t="str">
        <f aca="false">IF(W919="","",W919*12+X919)</f>
        <v/>
      </c>
      <c r="AK919" s="7" t="str">
        <f aca="false">IF(U919="تاخیر",V919+ROW()/100000,"")</f>
        <v/>
      </c>
    </row>
    <row r="920" customFormat="false" ht="15" hidden="false" customHeight="false" outlineLevel="0" collapsed="false">
      <c r="A920" s="7" t="str">
        <f aca="false">IF(B920="","",ROW()-3)</f>
        <v/>
      </c>
      <c r="B920" s="8"/>
      <c r="C920" s="8"/>
      <c r="D920" s="8"/>
      <c r="E920" s="9"/>
      <c r="F920" s="9"/>
      <c r="G920" s="8"/>
      <c r="H920" s="8"/>
      <c r="I920" s="8"/>
      <c r="J920" s="9"/>
      <c r="K920" s="8"/>
      <c r="L920" s="8"/>
      <c r="M920" s="8"/>
      <c r="N920" s="8"/>
      <c r="O920" s="8"/>
      <c r="P920" s="8"/>
      <c r="Q920" s="8"/>
      <c r="R920" s="9"/>
      <c r="S920" s="8"/>
      <c r="T920" s="9"/>
      <c r="U920" s="10" t="str">
        <f aca="true">IF(B920="","",IF(OR(P920&lt;&gt;"",I920="می‌باشد"),"بسته",IF(AND(L920&lt;&gt;"",W920=""),"خطای فرمت تاریخ ایجاد",IF(AND(H920&lt;&gt;"",AA920=""),"خطای فرمت مهلت",IF(AND(H920&lt;&gt;"",AD920&lt;&gt;"",TODAY()&gt;AD920),"تاخیر",IF(L920&lt;&gt;"","در حال انجام",""))))))</f>
        <v/>
      </c>
      <c r="V920" s="7" t="n">
        <f aca="true">IF(U920="تاخیر",TODAY()-AD920,IF(AND(U920="بسته",AH920&lt;&gt;"",AD920&lt;&gt;"",AH920&gt;AD920),AH920-AD920,0))</f>
        <v>0</v>
      </c>
      <c r="W920" s="7" t="str">
        <f aca="false">IF(L920="","",VALUE(LEFT(L920,FIND("/",L920)-1)))</f>
        <v/>
      </c>
      <c r="X920" s="7" t="str">
        <f aca="false">IF(L920="","",VALUE(MID(L920,FIND("/",L920)+1,FIND("/",L920,FIND("/",L920)+1)-FIND("/",L920)-1)))</f>
        <v/>
      </c>
      <c r="Y920" s="7" t="str">
        <f aca="false">IF(L920="","",VALUE(MID(L920,FIND("/",L920,FIND("/",L920)+1)+1,LEN(L920)-FIND("/",L920,FIND("/",L920)+1))))</f>
        <v/>
      </c>
      <c r="Z920" s="7" t="str">
        <f aca="false">IF(OR(L920="",W920=""),"",IFERROR(INDEX('لیست‌ها'!$Q$3:$Q$53,MATCH(W920,'لیست‌ها'!$P$3:$P$53,0))+IF(X920&lt;=6,(X920-1)*31+Y920,IF(X920&lt;=11,186+(X920-7)*30+Y920,336+Y920))-1,""))</f>
        <v/>
      </c>
      <c r="AA920" s="7" t="str">
        <f aca="false">IF(H920="","",VALUE(LEFT(H920,FIND("/",H920)-1)))</f>
        <v/>
      </c>
      <c r="AB920" s="7" t="str">
        <f aca="false">IF(H920="","",VALUE(MID(H920,FIND("/",H920)+1,FIND("/",H920,FIND("/",H920)+1)-FIND("/",H920)-1)))</f>
        <v/>
      </c>
      <c r="AC920" s="7" t="str">
        <f aca="false">IF(H920="","",VALUE(MID(H920,FIND("/",H920,FIND("/",H920)+1)+1,LEN(H920)-FIND("/",H920,FIND("/",H920)+1))))</f>
        <v/>
      </c>
      <c r="AD920" s="7" t="str">
        <f aca="false">IF(OR(H920="",AA920=""),"",IFERROR(INDEX('لیست‌ها'!$Q$3:$Q$53,MATCH(AA920,'لیست‌ها'!$P$3:$P$53,0))+IF(AB920&lt;=6,(AB920-1)*31+AC920,IF(AB920&lt;=11,186+(AB920-7)*30+AC920,336+AC920))-1,""))</f>
        <v/>
      </c>
      <c r="AE920" s="7" t="str">
        <f aca="false">IF(P920="","",VALUE(LEFT(P920,FIND("/",P920)-1)))</f>
        <v/>
      </c>
      <c r="AF920" s="7" t="str">
        <f aca="false">IF(P920="","",VALUE(MID(P920,FIND("/",P920)+1,FIND("/",P920,FIND("/",P920)+1)-FIND("/",P920)-1)))</f>
        <v/>
      </c>
      <c r="AG920" s="7" t="str">
        <f aca="false">IF(P920="","",VALUE(MID(P920,FIND("/",P920,FIND("/",P920)+1)+1,LEN(P920)-FIND("/",P920,FIND("/",P920)+1))))</f>
        <v/>
      </c>
      <c r="AH920" s="7" t="str">
        <f aca="false">IF(OR(P920="",AE920=""),"",IFERROR(INDEX('لیست‌ها'!$Q$3:$Q$53,MATCH(AE920,'لیست‌ها'!$P$3:$P$53,0))+IF(AF920&lt;=6,(AF920-1)*31+AG920,IF(AF920&lt;=11,186+(AF920-7)*30+AG920,336+AG920))-1,""))</f>
        <v/>
      </c>
      <c r="AI920" s="7" t="str">
        <f aca="false">IF(W920="","",W920&amp;"-"&amp;TEXT(X920,"00"))</f>
        <v/>
      </c>
      <c r="AJ920" s="7" t="str">
        <f aca="false">IF(W920="","",W920*12+X920)</f>
        <v/>
      </c>
      <c r="AK920" s="7" t="str">
        <f aca="false">IF(U920="تاخیر",V920+ROW()/100000,"")</f>
        <v/>
      </c>
    </row>
    <row r="921" customFormat="false" ht="15" hidden="false" customHeight="false" outlineLevel="0" collapsed="false">
      <c r="A921" s="7" t="str">
        <f aca="false">IF(B921="","",ROW()-3)</f>
        <v/>
      </c>
      <c r="B921" s="8"/>
      <c r="C921" s="8"/>
      <c r="D921" s="8"/>
      <c r="E921" s="9"/>
      <c r="F921" s="9"/>
      <c r="G921" s="8"/>
      <c r="H921" s="8"/>
      <c r="I921" s="8"/>
      <c r="J921" s="9"/>
      <c r="K921" s="8"/>
      <c r="L921" s="8"/>
      <c r="M921" s="8"/>
      <c r="N921" s="8"/>
      <c r="O921" s="8"/>
      <c r="P921" s="8"/>
      <c r="Q921" s="8"/>
      <c r="R921" s="9"/>
      <c r="S921" s="8"/>
      <c r="T921" s="9"/>
      <c r="U921" s="10" t="str">
        <f aca="true">IF(B921="","",IF(OR(P921&lt;&gt;"",I921="می‌باشد"),"بسته",IF(AND(L921&lt;&gt;"",W921=""),"خطای فرمت تاریخ ایجاد",IF(AND(H921&lt;&gt;"",AA921=""),"خطای فرمت مهلت",IF(AND(H921&lt;&gt;"",AD921&lt;&gt;"",TODAY()&gt;AD921),"تاخیر",IF(L921&lt;&gt;"","در حال انجام",""))))))</f>
        <v/>
      </c>
      <c r="V921" s="7" t="n">
        <f aca="true">IF(U921="تاخیر",TODAY()-AD921,IF(AND(U921="بسته",AH921&lt;&gt;"",AD921&lt;&gt;"",AH921&gt;AD921),AH921-AD921,0))</f>
        <v>0</v>
      </c>
      <c r="W921" s="7" t="str">
        <f aca="false">IF(L921="","",VALUE(LEFT(L921,FIND("/",L921)-1)))</f>
        <v/>
      </c>
      <c r="X921" s="7" t="str">
        <f aca="false">IF(L921="","",VALUE(MID(L921,FIND("/",L921)+1,FIND("/",L921,FIND("/",L921)+1)-FIND("/",L921)-1)))</f>
        <v/>
      </c>
      <c r="Y921" s="7" t="str">
        <f aca="false">IF(L921="","",VALUE(MID(L921,FIND("/",L921,FIND("/",L921)+1)+1,LEN(L921)-FIND("/",L921,FIND("/",L921)+1))))</f>
        <v/>
      </c>
      <c r="Z921" s="7" t="str">
        <f aca="false">IF(OR(L921="",W921=""),"",IFERROR(INDEX('لیست‌ها'!$Q$3:$Q$53,MATCH(W921,'لیست‌ها'!$P$3:$P$53,0))+IF(X921&lt;=6,(X921-1)*31+Y921,IF(X921&lt;=11,186+(X921-7)*30+Y921,336+Y921))-1,""))</f>
        <v/>
      </c>
      <c r="AA921" s="7" t="str">
        <f aca="false">IF(H921="","",VALUE(LEFT(H921,FIND("/",H921)-1)))</f>
        <v/>
      </c>
      <c r="AB921" s="7" t="str">
        <f aca="false">IF(H921="","",VALUE(MID(H921,FIND("/",H921)+1,FIND("/",H921,FIND("/",H921)+1)-FIND("/",H921)-1)))</f>
        <v/>
      </c>
      <c r="AC921" s="7" t="str">
        <f aca="false">IF(H921="","",VALUE(MID(H921,FIND("/",H921,FIND("/",H921)+1)+1,LEN(H921)-FIND("/",H921,FIND("/",H921)+1))))</f>
        <v/>
      </c>
      <c r="AD921" s="7" t="str">
        <f aca="false">IF(OR(H921="",AA921=""),"",IFERROR(INDEX('لیست‌ها'!$Q$3:$Q$53,MATCH(AA921,'لیست‌ها'!$P$3:$P$53,0))+IF(AB921&lt;=6,(AB921-1)*31+AC921,IF(AB921&lt;=11,186+(AB921-7)*30+AC921,336+AC921))-1,""))</f>
        <v/>
      </c>
      <c r="AE921" s="7" t="str">
        <f aca="false">IF(P921="","",VALUE(LEFT(P921,FIND("/",P921)-1)))</f>
        <v/>
      </c>
      <c r="AF921" s="7" t="str">
        <f aca="false">IF(P921="","",VALUE(MID(P921,FIND("/",P921)+1,FIND("/",P921,FIND("/",P921)+1)-FIND("/",P921)-1)))</f>
        <v/>
      </c>
      <c r="AG921" s="7" t="str">
        <f aca="false">IF(P921="","",VALUE(MID(P921,FIND("/",P921,FIND("/",P921)+1)+1,LEN(P921)-FIND("/",P921,FIND("/",P921)+1))))</f>
        <v/>
      </c>
      <c r="AH921" s="7" t="str">
        <f aca="false">IF(OR(P921="",AE921=""),"",IFERROR(INDEX('لیست‌ها'!$Q$3:$Q$53,MATCH(AE921,'لیست‌ها'!$P$3:$P$53,0))+IF(AF921&lt;=6,(AF921-1)*31+AG921,IF(AF921&lt;=11,186+(AF921-7)*30+AG921,336+AG921))-1,""))</f>
        <v/>
      </c>
      <c r="AI921" s="7" t="str">
        <f aca="false">IF(W921="","",W921&amp;"-"&amp;TEXT(X921,"00"))</f>
        <v/>
      </c>
      <c r="AJ921" s="7" t="str">
        <f aca="false">IF(W921="","",W921*12+X921)</f>
        <v/>
      </c>
      <c r="AK921" s="7" t="str">
        <f aca="false">IF(U921="تاخیر",V921+ROW()/100000,"")</f>
        <v/>
      </c>
    </row>
    <row r="922" customFormat="false" ht="15" hidden="false" customHeight="false" outlineLevel="0" collapsed="false">
      <c r="A922" s="7" t="str">
        <f aca="false">IF(B922="","",ROW()-3)</f>
        <v/>
      </c>
      <c r="B922" s="8"/>
      <c r="C922" s="8"/>
      <c r="D922" s="8"/>
      <c r="E922" s="9"/>
      <c r="F922" s="9"/>
      <c r="G922" s="8"/>
      <c r="H922" s="8"/>
      <c r="I922" s="8"/>
      <c r="J922" s="9"/>
      <c r="K922" s="8"/>
      <c r="L922" s="8"/>
      <c r="M922" s="8"/>
      <c r="N922" s="8"/>
      <c r="O922" s="8"/>
      <c r="P922" s="8"/>
      <c r="Q922" s="8"/>
      <c r="R922" s="9"/>
      <c r="S922" s="8"/>
      <c r="T922" s="9"/>
      <c r="U922" s="10" t="str">
        <f aca="true">IF(B922="","",IF(OR(P922&lt;&gt;"",I922="می‌باشد"),"بسته",IF(AND(L922&lt;&gt;"",W922=""),"خطای فرمت تاریخ ایجاد",IF(AND(H922&lt;&gt;"",AA922=""),"خطای فرمت مهلت",IF(AND(H922&lt;&gt;"",AD922&lt;&gt;"",TODAY()&gt;AD922),"تاخیر",IF(L922&lt;&gt;"","در حال انجام",""))))))</f>
        <v/>
      </c>
      <c r="V922" s="7" t="n">
        <f aca="true">IF(U922="تاخیر",TODAY()-AD922,IF(AND(U922="بسته",AH922&lt;&gt;"",AD922&lt;&gt;"",AH922&gt;AD922),AH922-AD922,0))</f>
        <v>0</v>
      </c>
      <c r="W922" s="7" t="str">
        <f aca="false">IF(L922="","",VALUE(LEFT(L922,FIND("/",L922)-1)))</f>
        <v/>
      </c>
      <c r="X922" s="7" t="str">
        <f aca="false">IF(L922="","",VALUE(MID(L922,FIND("/",L922)+1,FIND("/",L922,FIND("/",L922)+1)-FIND("/",L922)-1)))</f>
        <v/>
      </c>
      <c r="Y922" s="7" t="str">
        <f aca="false">IF(L922="","",VALUE(MID(L922,FIND("/",L922,FIND("/",L922)+1)+1,LEN(L922)-FIND("/",L922,FIND("/",L922)+1))))</f>
        <v/>
      </c>
      <c r="Z922" s="7" t="str">
        <f aca="false">IF(OR(L922="",W922=""),"",IFERROR(INDEX('لیست‌ها'!$Q$3:$Q$53,MATCH(W922,'لیست‌ها'!$P$3:$P$53,0))+IF(X922&lt;=6,(X922-1)*31+Y922,IF(X922&lt;=11,186+(X922-7)*30+Y922,336+Y922))-1,""))</f>
        <v/>
      </c>
      <c r="AA922" s="7" t="str">
        <f aca="false">IF(H922="","",VALUE(LEFT(H922,FIND("/",H922)-1)))</f>
        <v/>
      </c>
      <c r="AB922" s="7" t="str">
        <f aca="false">IF(H922="","",VALUE(MID(H922,FIND("/",H922)+1,FIND("/",H922,FIND("/",H922)+1)-FIND("/",H922)-1)))</f>
        <v/>
      </c>
      <c r="AC922" s="7" t="str">
        <f aca="false">IF(H922="","",VALUE(MID(H922,FIND("/",H922,FIND("/",H922)+1)+1,LEN(H922)-FIND("/",H922,FIND("/",H922)+1))))</f>
        <v/>
      </c>
      <c r="AD922" s="7" t="str">
        <f aca="false">IF(OR(H922="",AA922=""),"",IFERROR(INDEX('لیست‌ها'!$Q$3:$Q$53,MATCH(AA922,'لیست‌ها'!$P$3:$P$53,0))+IF(AB922&lt;=6,(AB922-1)*31+AC922,IF(AB922&lt;=11,186+(AB922-7)*30+AC922,336+AC922))-1,""))</f>
        <v/>
      </c>
      <c r="AE922" s="7" t="str">
        <f aca="false">IF(P922="","",VALUE(LEFT(P922,FIND("/",P922)-1)))</f>
        <v/>
      </c>
      <c r="AF922" s="7" t="str">
        <f aca="false">IF(P922="","",VALUE(MID(P922,FIND("/",P922)+1,FIND("/",P922,FIND("/",P922)+1)-FIND("/",P922)-1)))</f>
        <v/>
      </c>
      <c r="AG922" s="7" t="str">
        <f aca="false">IF(P922="","",VALUE(MID(P922,FIND("/",P922,FIND("/",P922)+1)+1,LEN(P922)-FIND("/",P922,FIND("/",P922)+1))))</f>
        <v/>
      </c>
      <c r="AH922" s="7" t="str">
        <f aca="false">IF(OR(P922="",AE922=""),"",IFERROR(INDEX('لیست‌ها'!$Q$3:$Q$53,MATCH(AE922,'لیست‌ها'!$P$3:$P$53,0))+IF(AF922&lt;=6,(AF922-1)*31+AG922,IF(AF922&lt;=11,186+(AF922-7)*30+AG922,336+AG922))-1,""))</f>
        <v/>
      </c>
      <c r="AI922" s="7" t="str">
        <f aca="false">IF(W922="","",W922&amp;"-"&amp;TEXT(X922,"00"))</f>
        <v/>
      </c>
      <c r="AJ922" s="7" t="str">
        <f aca="false">IF(W922="","",W922*12+X922)</f>
        <v/>
      </c>
      <c r="AK922" s="7" t="str">
        <f aca="false">IF(U922="تاخیر",V922+ROW()/100000,"")</f>
        <v/>
      </c>
    </row>
    <row r="923" customFormat="false" ht="15" hidden="false" customHeight="false" outlineLevel="0" collapsed="false">
      <c r="A923" s="7" t="str">
        <f aca="false">IF(B923="","",ROW()-3)</f>
        <v/>
      </c>
      <c r="B923" s="8"/>
      <c r="C923" s="8"/>
      <c r="D923" s="8"/>
      <c r="E923" s="9"/>
      <c r="F923" s="9"/>
      <c r="G923" s="8"/>
      <c r="H923" s="8"/>
      <c r="I923" s="8"/>
      <c r="J923" s="9"/>
      <c r="K923" s="8"/>
      <c r="L923" s="8"/>
      <c r="M923" s="8"/>
      <c r="N923" s="8"/>
      <c r="O923" s="8"/>
      <c r="P923" s="8"/>
      <c r="Q923" s="8"/>
      <c r="R923" s="9"/>
      <c r="S923" s="8"/>
      <c r="T923" s="9"/>
      <c r="U923" s="10" t="str">
        <f aca="true">IF(B923="","",IF(OR(P923&lt;&gt;"",I923="می‌باشد"),"بسته",IF(AND(L923&lt;&gt;"",W923=""),"خطای فرمت تاریخ ایجاد",IF(AND(H923&lt;&gt;"",AA923=""),"خطای فرمت مهلت",IF(AND(H923&lt;&gt;"",AD923&lt;&gt;"",TODAY()&gt;AD923),"تاخیر",IF(L923&lt;&gt;"","در حال انجام",""))))))</f>
        <v/>
      </c>
      <c r="V923" s="7" t="n">
        <f aca="true">IF(U923="تاخیر",TODAY()-AD923,IF(AND(U923="بسته",AH923&lt;&gt;"",AD923&lt;&gt;"",AH923&gt;AD923),AH923-AD923,0))</f>
        <v>0</v>
      </c>
      <c r="W923" s="7" t="str">
        <f aca="false">IF(L923="","",VALUE(LEFT(L923,FIND("/",L923)-1)))</f>
        <v/>
      </c>
      <c r="X923" s="7" t="str">
        <f aca="false">IF(L923="","",VALUE(MID(L923,FIND("/",L923)+1,FIND("/",L923,FIND("/",L923)+1)-FIND("/",L923)-1)))</f>
        <v/>
      </c>
      <c r="Y923" s="7" t="str">
        <f aca="false">IF(L923="","",VALUE(MID(L923,FIND("/",L923,FIND("/",L923)+1)+1,LEN(L923)-FIND("/",L923,FIND("/",L923)+1))))</f>
        <v/>
      </c>
      <c r="Z923" s="7" t="str">
        <f aca="false">IF(OR(L923="",W923=""),"",IFERROR(INDEX('لیست‌ها'!$Q$3:$Q$53,MATCH(W923,'لیست‌ها'!$P$3:$P$53,0))+IF(X923&lt;=6,(X923-1)*31+Y923,IF(X923&lt;=11,186+(X923-7)*30+Y923,336+Y923))-1,""))</f>
        <v/>
      </c>
      <c r="AA923" s="7" t="str">
        <f aca="false">IF(H923="","",VALUE(LEFT(H923,FIND("/",H923)-1)))</f>
        <v/>
      </c>
      <c r="AB923" s="7" t="str">
        <f aca="false">IF(H923="","",VALUE(MID(H923,FIND("/",H923)+1,FIND("/",H923,FIND("/",H923)+1)-FIND("/",H923)-1)))</f>
        <v/>
      </c>
      <c r="AC923" s="7" t="str">
        <f aca="false">IF(H923="","",VALUE(MID(H923,FIND("/",H923,FIND("/",H923)+1)+1,LEN(H923)-FIND("/",H923,FIND("/",H923)+1))))</f>
        <v/>
      </c>
      <c r="AD923" s="7" t="str">
        <f aca="false">IF(OR(H923="",AA923=""),"",IFERROR(INDEX('لیست‌ها'!$Q$3:$Q$53,MATCH(AA923,'لیست‌ها'!$P$3:$P$53,0))+IF(AB923&lt;=6,(AB923-1)*31+AC923,IF(AB923&lt;=11,186+(AB923-7)*30+AC923,336+AC923))-1,""))</f>
        <v/>
      </c>
      <c r="AE923" s="7" t="str">
        <f aca="false">IF(P923="","",VALUE(LEFT(P923,FIND("/",P923)-1)))</f>
        <v/>
      </c>
      <c r="AF923" s="7" t="str">
        <f aca="false">IF(P923="","",VALUE(MID(P923,FIND("/",P923)+1,FIND("/",P923,FIND("/",P923)+1)-FIND("/",P923)-1)))</f>
        <v/>
      </c>
      <c r="AG923" s="7" t="str">
        <f aca="false">IF(P923="","",VALUE(MID(P923,FIND("/",P923,FIND("/",P923)+1)+1,LEN(P923)-FIND("/",P923,FIND("/",P923)+1))))</f>
        <v/>
      </c>
      <c r="AH923" s="7" t="str">
        <f aca="false">IF(OR(P923="",AE923=""),"",IFERROR(INDEX('لیست‌ها'!$Q$3:$Q$53,MATCH(AE923,'لیست‌ها'!$P$3:$P$53,0))+IF(AF923&lt;=6,(AF923-1)*31+AG923,IF(AF923&lt;=11,186+(AF923-7)*30+AG923,336+AG923))-1,""))</f>
        <v/>
      </c>
      <c r="AI923" s="7" t="str">
        <f aca="false">IF(W923="","",W923&amp;"-"&amp;TEXT(X923,"00"))</f>
        <v/>
      </c>
      <c r="AJ923" s="7" t="str">
        <f aca="false">IF(W923="","",W923*12+X923)</f>
        <v/>
      </c>
      <c r="AK923" s="7" t="str">
        <f aca="false">IF(U923="تاخیر",V923+ROW()/100000,"")</f>
        <v/>
      </c>
    </row>
    <row r="924" customFormat="false" ht="15" hidden="false" customHeight="false" outlineLevel="0" collapsed="false">
      <c r="A924" s="7" t="str">
        <f aca="false">IF(B924="","",ROW()-3)</f>
        <v/>
      </c>
      <c r="B924" s="8"/>
      <c r="C924" s="8"/>
      <c r="D924" s="8"/>
      <c r="E924" s="9"/>
      <c r="F924" s="9"/>
      <c r="G924" s="8"/>
      <c r="H924" s="8"/>
      <c r="I924" s="8"/>
      <c r="J924" s="9"/>
      <c r="K924" s="8"/>
      <c r="L924" s="8"/>
      <c r="M924" s="8"/>
      <c r="N924" s="8"/>
      <c r="O924" s="8"/>
      <c r="P924" s="8"/>
      <c r="Q924" s="8"/>
      <c r="R924" s="9"/>
      <c r="S924" s="8"/>
      <c r="T924" s="9"/>
      <c r="U924" s="10" t="str">
        <f aca="true">IF(B924="","",IF(OR(P924&lt;&gt;"",I924="می‌باشد"),"بسته",IF(AND(L924&lt;&gt;"",W924=""),"خطای فرمت تاریخ ایجاد",IF(AND(H924&lt;&gt;"",AA924=""),"خطای فرمت مهلت",IF(AND(H924&lt;&gt;"",AD924&lt;&gt;"",TODAY()&gt;AD924),"تاخیر",IF(L924&lt;&gt;"","در حال انجام",""))))))</f>
        <v/>
      </c>
      <c r="V924" s="7" t="n">
        <f aca="true">IF(U924="تاخیر",TODAY()-AD924,IF(AND(U924="بسته",AH924&lt;&gt;"",AD924&lt;&gt;"",AH924&gt;AD924),AH924-AD924,0))</f>
        <v>0</v>
      </c>
      <c r="W924" s="7" t="str">
        <f aca="false">IF(L924="","",VALUE(LEFT(L924,FIND("/",L924)-1)))</f>
        <v/>
      </c>
      <c r="X924" s="7" t="str">
        <f aca="false">IF(L924="","",VALUE(MID(L924,FIND("/",L924)+1,FIND("/",L924,FIND("/",L924)+1)-FIND("/",L924)-1)))</f>
        <v/>
      </c>
      <c r="Y924" s="7" t="str">
        <f aca="false">IF(L924="","",VALUE(MID(L924,FIND("/",L924,FIND("/",L924)+1)+1,LEN(L924)-FIND("/",L924,FIND("/",L924)+1))))</f>
        <v/>
      </c>
      <c r="Z924" s="7" t="str">
        <f aca="false">IF(OR(L924="",W924=""),"",IFERROR(INDEX('لیست‌ها'!$Q$3:$Q$53,MATCH(W924,'لیست‌ها'!$P$3:$P$53,0))+IF(X924&lt;=6,(X924-1)*31+Y924,IF(X924&lt;=11,186+(X924-7)*30+Y924,336+Y924))-1,""))</f>
        <v/>
      </c>
      <c r="AA924" s="7" t="str">
        <f aca="false">IF(H924="","",VALUE(LEFT(H924,FIND("/",H924)-1)))</f>
        <v/>
      </c>
      <c r="AB924" s="7" t="str">
        <f aca="false">IF(H924="","",VALUE(MID(H924,FIND("/",H924)+1,FIND("/",H924,FIND("/",H924)+1)-FIND("/",H924)-1)))</f>
        <v/>
      </c>
      <c r="AC924" s="7" t="str">
        <f aca="false">IF(H924="","",VALUE(MID(H924,FIND("/",H924,FIND("/",H924)+1)+1,LEN(H924)-FIND("/",H924,FIND("/",H924)+1))))</f>
        <v/>
      </c>
      <c r="AD924" s="7" t="str">
        <f aca="false">IF(OR(H924="",AA924=""),"",IFERROR(INDEX('لیست‌ها'!$Q$3:$Q$53,MATCH(AA924,'لیست‌ها'!$P$3:$P$53,0))+IF(AB924&lt;=6,(AB924-1)*31+AC924,IF(AB924&lt;=11,186+(AB924-7)*30+AC924,336+AC924))-1,""))</f>
        <v/>
      </c>
      <c r="AE924" s="7" t="str">
        <f aca="false">IF(P924="","",VALUE(LEFT(P924,FIND("/",P924)-1)))</f>
        <v/>
      </c>
      <c r="AF924" s="7" t="str">
        <f aca="false">IF(P924="","",VALUE(MID(P924,FIND("/",P924)+1,FIND("/",P924,FIND("/",P924)+1)-FIND("/",P924)-1)))</f>
        <v/>
      </c>
      <c r="AG924" s="7" t="str">
        <f aca="false">IF(P924="","",VALUE(MID(P924,FIND("/",P924,FIND("/",P924)+1)+1,LEN(P924)-FIND("/",P924,FIND("/",P924)+1))))</f>
        <v/>
      </c>
      <c r="AH924" s="7" t="str">
        <f aca="false">IF(OR(P924="",AE924=""),"",IFERROR(INDEX('لیست‌ها'!$Q$3:$Q$53,MATCH(AE924,'لیست‌ها'!$P$3:$P$53,0))+IF(AF924&lt;=6,(AF924-1)*31+AG924,IF(AF924&lt;=11,186+(AF924-7)*30+AG924,336+AG924))-1,""))</f>
        <v/>
      </c>
      <c r="AI924" s="7" t="str">
        <f aca="false">IF(W924="","",W924&amp;"-"&amp;TEXT(X924,"00"))</f>
        <v/>
      </c>
      <c r="AJ924" s="7" t="str">
        <f aca="false">IF(W924="","",W924*12+X924)</f>
        <v/>
      </c>
      <c r="AK924" s="7" t="str">
        <f aca="false">IF(U924="تاخیر",V924+ROW()/100000,"")</f>
        <v/>
      </c>
    </row>
    <row r="925" customFormat="false" ht="15" hidden="false" customHeight="false" outlineLevel="0" collapsed="false">
      <c r="A925" s="7" t="str">
        <f aca="false">IF(B925="","",ROW()-3)</f>
        <v/>
      </c>
      <c r="B925" s="8"/>
      <c r="C925" s="8"/>
      <c r="D925" s="8"/>
      <c r="E925" s="9"/>
      <c r="F925" s="9"/>
      <c r="G925" s="8"/>
      <c r="H925" s="8"/>
      <c r="I925" s="8"/>
      <c r="J925" s="9"/>
      <c r="K925" s="8"/>
      <c r="L925" s="8"/>
      <c r="M925" s="8"/>
      <c r="N925" s="8"/>
      <c r="O925" s="8"/>
      <c r="P925" s="8"/>
      <c r="Q925" s="8"/>
      <c r="R925" s="9"/>
      <c r="S925" s="8"/>
      <c r="T925" s="9"/>
      <c r="U925" s="10" t="str">
        <f aca="true">IF(B925="","",IF(OR(P925&lt;&gt;"",I925="می‌باشد"),"بسته",IF(AND(L925&lt;&gt;"",W925=""),"خطای فرمت تاریخ ایجاد",IF(AND(H925&lt;&gt;"",AA925=""),"خطای فرمت مهلت",IF(AND(H925&lt;&gt;"",AD925&lt;&gt;"",TODAY()&gt;AD925),"تاخیر",IF(L925&lt;&gt;"","در حال انجام",""))))))</f>
        <v/>
      </c>
      <c r="V925" s="7" t="n">
        <f aca="true">IF(U925="تاخیر",TODAY()-AD925,IF(AND(U925="بسته",AH925&lt;&gt;"",AD925&lt;&gt;"",AH925&gt;AD925),AH925-AD925,0))</f>
        <v>0</v>
      </c>
      <c r="W925" s="7" t="str">
        <f aca="false">IF(L925="","",VALUE(LEFT(L925,FIND("/",L925)-1)))</f>
        <v/>
      </c>
      <c r="X925" s="7" t="str">
        <f aca="false">IF(L925="","",VALUE(MID(L925,FIND("/",L925)+1,FIND("/",L925,FIND("/",L925)+1)-FIND("/",L925)-1)))</f>
        <v/>
      </c>
      <c r="Y925" s="7" t="str">
        <f aca="false">IF(L925="","",VALUE(MID(L925,FIND("/",L925,FIND("/",L925)+1)+1,LEN(L925)-FIND("/",L925,FIND("/",L925)+1))))</f>
        <v/>
      </c>
      <c r="Z925" s="7" t="str">
        <f aca="false">IF(OR(L925="",W925=""),"",IFERROR(INDEX('لیست‌ها'!$Q$3:$Q$53,MATCH(W925,'لیست‌ها'!$P$3:$P$53,0))+IF(X925&lt;=6,(X925-1)*31+Y925,IF(X925&lt;=11,186+(X925-7)*30+Y925,336+Y925))-1,""))</f>
        <v/>
      </c>
      <c r="AA925" s="7" t="str">
        <f aca="false">IF(H925="","",VALUE(LEFT(H925,FIND("/",H925)-1)))</f>
        <v/>
      </c>
      <c r="AB925" s="7" t="str">
        <f aca="false">IF(H925="","",VALUE(MID(H925,FIND("/",H925)+1,FIND("/",H925,FIND("/",H925)+1)-FIND("/",H925)-1)))</f>
        <v/>
      </c>
      <c r="AC925" s="7" t="str">
        <f aca="false">IF(H925="","",VALUE(MID(H925,FIND("/",H925,FIND("/",H925)+1)+1,LEN(H925)-FIND("/",H925,FIND("/",H925)+1))))</f>
        <v/>
      </c>
      <c r="AD925" s="7" t="str">
        <f aca="false">IF(OR(H925="",AA925=""),"",IFERROR(INDEX('لیست‌ها'!$Q$3:$Q$53,MATCH(AA925,'لیست‌ها'!$P$3:$P$53,0))+IF(AB925&lt;=6,(AB925-1)*31+AC925,IF(AB925&lt;=11,186+(AB925-7)*30+AC925,336+AC925))-1,""))</f>
        <v/>
      </c>
      <c r="AE925" s="7" t="str">
        <f aca="false">IF(P925="","",VALUE(LEFT(P925,FIND("/",P925)-1)))</f>
        <v/>
      </c>
      <c r="AF925" s="7" t="str">
        <f aca="false">IF(P925="","",VALUE(MID(P925,FIND("/",P925)+1,FIND("/",P925,FIND("/",P925)+1)-FIND("/",P925)-1)))</f>
        <v/>
      </c>
      <c r="AG925" s="7" t="str">
        <f aca="false">IF(P925="","",VALUE(MID(P925,FIND("/",P925,FIND("/",P925)+1)+1,LEN(P925)-FIND("/",P925,FIND("/",P925)+1))))</f>
        <v/>
      </c>
      <c r="AH925" s="7" t="str">
        <f aca="false">IF(OR(P925="",AE925=""),"",IFERROR(INDEX('لیست‌ها'!$Q$3:$Q$53,MATCH(AE925,'لیست‌ها'!$P$3:$P$53,0))+IF(AF925&lt;=6,(AF925-1)*31+AG925,IF(AF925&lt;=11,186+(AF925-7)*30+AG925,336+AG925))-1,""))</f>
        <v/>
      </c>
      <c r="AI925" s="7" t="str">
        <f aca="false">IF(W925="","",W925&amp;"-"&amp;TEXT(X925,"00"))</f>
        <v/>
      </c>
      <c r="AJ925" s="7" t="str">
        <f aca="false">IF(W925="","",W925*12+X925)</f>
        <v/>
      </c>
      <c r="AK925" s="7" t="str">
        <f aca="false">IF(U925="تاخیر",V925+ROW()/100000,"")</f>
        <v/>
      </c>
    </row>
    <row r="926" customFormat="false" ht="15" hidden="false" customHeight="false" outlineLevel="0" collapsed="false">
      <c r="A926" s="7" t="str">
        <f aca="false">IF(B926="","",ROW()-3)</f>
        <v/>
      </c>
      <c r="B926" s="8"/>
      <c r="C926" s="8"/>
      <c r="D926" s="8"/>
      <c r="E926" s="9"/>
      <c r="F926" s="9"/>
      <c r="G926" s="8"/>
      <c r="H926" s="8"/>
      <c r="I926" s="8"/>
      <c r="J926" s="9"/>
      <c r="K926" s="8"/>
      <c r="L926" s="8"/>
      <c r="M926" s="8"/>
      <c r="N926" s="8"/>
      <c r="O926" s="8"/>
      <c r="P926" s="8"/>
      <c r="Q926" s="8"/>
      <c r="R926" s="9"/>
      <c r="S926" s="8"/>
      <c r="T926" s="9"/>
      <c r="U926" s="10" t="str">
        <f aca="true">IF(B926="","",IF(OR(P926&lt;&gt;"",I926="می‌باشد"),"بسته",IF(AND(L926&lt;&gt;"",W926=""),"خطای فرمت تاریخ ایجاد",IF(AND(H926&lt;&gt;"",AA926=""),"خطای فرمت مهلت",IF(AND(H926&lt;&gt;"",AD926&lt;&gt;"",TODAY()&gt;AD926),"تاخیر",IF(L926&lt;&gt;"","در حال انجام",""))))))</f>
        <v/>
      </c>
      <c r="V926" s="7" t="n">
        <f aca="true">IF(U926="تاخیر",TODAY()-AD926,IF(AND(U926="بسته",AH926&lt;&gt;"",AD926&lt;&gt;"",AH926&gt;AD926),AH926-AD926,0))</f>
        <v>0</v>
      </c>
      <c r="W926" s="7" t="str">
        <f aca="false">IF(L926="","",VALUE(LEFT(L926,FIND("/",L926)-1)))</f>
        <v/>
      </c>
      <c r="X926" s="7" t="str">
        <f aca="false">IF(L926="","",VALUE(MID(L926,FIND("/",L926)+1,FIND("/",L926,FIND("/",L926)+1)-FIND("/",L926)-1)))</f>
        <v/>
      </c>
      <c r="Y926" s="7" t="str">
        <f aca="false">IF(L926="","",VALUE(MID(L926,FIND("/",L926,FIND("/",L926)+1)+1,LEN(L926)-FIND("/",L926,FIND("/",L926)+1))))</f>
        <v/>
      </c>
      <c r="Z926" s="7" t="str">
        <f aca="false">IF(OR(L926="",W926=""),"",IFERROR(INDEX('لیست‌ها'!$Q$3:$Q$53,MATCH(W926,'لیست‌ها'!$P$3:$P$53,0))+IF(X926&lt;=6,(X926-1)*31+Y926,IF(X926&lt;=11,186+(X926-7)*30+Y926,336+Y926))-1,""))</f>
        <v/>
      </c>
      <c r="AA926" s="7" t="str">
        <f aca="false">IF(H926="","",VALUE(LEFT(H926,FIND("/",H926)-1)))</f>
        <v/>
      </c>
      <c r="AB926" s="7" t="str">
        <f aca="false">IF(H926="","",VALUE(MID(H926,FIND("/",H926)+1,FIND("/",H926,FIND("/",H926)+1)-FIND("/",H926)-1)))</f>
        <v/>
      </c>
      <c r="AC926" s="7" t="str">
        <f aca="false">IF(H926="","",VALUE(MID(H926,FIND("/",H926,FIND("/",H926)+1)+1,LEN(H926)-FIND("/",H926,FIND("/",H926)+1))))</f>
        <v/>
      </c>
      <c r="AD926" s="7" t="str">
        <f aca="false">IF(OR(H926="",AA926=""),"",IFERROR(INDEX('لیست‌ها'!$Q$3:$Q$53,MATCH(AA926,'لیست‌ها'!$P$3:$P$53,0))+IF(AB926&lt;=6,(AB926-1)*31+AC926,IF(AB926&lt;=11,186+(AB926-7)*30+AC926,336+AC926))-1,""))</f>
        <v/>
      </c>
      <c r="AE926" s="7" t="str">
        <f aca="false">IF(P926="","",VALUE(LEFT(P926,FIND("/",P926)-1)))</f>
        <v/>
      </c>
      <c r="AF926" s="7" t="str">
        <f aca="false">IF(P926="","",VALUE(MID(P926,FIND("/",P926)+1,FIND("/",P926,FIND("/",P926)+1)-FIND("/",P926)-1)))</f>
        <v/>
      </c>
      <c r="AG926" s="7" t="str">
        <f aca="false">IF(P926="","",VALUE(MID(P926,FIND("/",P926,FIND("/",P926)+1)+1,LEN(P926)-FIND("/",P926,FIND("/",P926)+1))))</f>
        <v/>
      </c>
      <c r="AH926" s="7" t="str">
        <f aca="false">IF(OR(P926="",AE926=""),"",IFERROR(INDEX('لیست‌ها'!$Q$3:$Q$53,MATCH(AE926,'لیست‌ها'!$P$3:$P$53,0))+IF(AF926&lt;=6,(AF926-1)*31+AG926,IF(AF926&lt;=11,186+(AF926-7)*30+AG926,336+AG926))-1,""))</f>
        <v/>
      </c>
      <c r="AI926" s="7" t="str">
        <f aca="false">IF(W926="","",W926&amp;"-"&amp;TEXT(X926,"00"))</f>
        <v/>
      </c>
      <c r="AJ926" s="7" t="str">
        <f aca="false">IF(W926="","",W926*12+X926)</f>
        <v/>
      </c>
      <c r="AK926" s="7" t="str">
        <f aca="false">IF(U926="تاخیر",V926+ROW()/100000,"")</f>
        <v/>
      </c>
    </row>
    <row r="927" customFormat="false" ht="15" hidden="false" customHeight="false" outlineLevel="0" collapsed="false">
      <c r="A927" s="7" t="str">
        <f aca="false">IF(B927="","",ROW()-3)</f>
        <v/>
      </c>
      <c r="B927" s="8"/>
      <c r="C927" s="8"/>
      <c r="D927" s="8"/>
      <c r="E927" s="9"/>
      <c r="F927" s="9"/>
      <c r="G927" s="8"/>
      <c r="H927" s="8"/>
      <c r="I927" s="8"/>
      <c r="J927" s="9"/>
      <c r="K927" s="8"/>
      <c r="L927" s="8"/>
      <c r="M927" s="8"/>
      <c r="N927" s="8"/>
      <c r="O927" s="8"/>
      <c r="P927" s="8"/>
      <c r="Q927" s="8"/>
      <c r="R927" s="9"/>
      <c r="S927" s="8"/>
      <c r="T927" s="9"/>
      <c r="U927" s="10" t="str">
        <f aca="true">IF(B927="","",IF(OR(P927&lt;&gt;"",I927="می‌باشد"),"بسته",IF(AND(L927&lt;&gt;"",W927=""),"خطای فرمت تاریخ ایجاد",IF(AND(H927&lt;&gt;"",AA927=""),"خطای فرمت مهلت",IF(AND(H927&lt;&gt;"",AD927&lt;&gt;"",TODAY()&gt;AD927),"تاخیر",IF(L927&lt;&gt;"","در حال انجام",""))))))</f>
        <v/>
      </c>
      <c r="V927" s="7" t="n">
        <f aca="true">IF(U927="تاخیر",TODAY()-AD927,IF(AND(U927="بسته",AH927&lt;&gt;"",AD927&lt;&gt;"",AH927&gt;AD927),AH927-AD927,0))</f>
        <v>0</v>
      </c>
      <c r="W927" s="7" t="str">
        <f aca="false">IF(L927="","",VALUE(LEFT(L927,FIND("/",L927)-1)))</f>
        <v/>
      </c>
      <c r="X927" s="7" t="str">
        <f aca="false">IF(L927="","",VALUE(MID(L927,FIND("/",L927)+1,FIND("/",L927,FIND("/",L927)+1)-FIND("/",L927)-1)))</f>
        <v/>
      </c>
      <c r="Y927" s="7" t="str">
        <f aca="false">IF(L927="","",VALUE(MID(L927,FIND("/",L927,FIND("/",L927)+1)+1,LEN(L927)-FIND("/",L927,FIND("/",L927)+1))))</f>
        <v/>
      </c>
      <c r="Z927" s="7" t="str">
        <f aca="false">IF(OR(L927="",W927=""),"",IFERROR(INDEX('لیست‌ها'!$Q$3:$Q$53,MATCH(W927,'لیست‌ها'!$P$3:$P$53,0))+IF(X927&lt;=6,(X927-1)*31+Y927,IF(X927&lt;=11,186+(X927-7)*30+Y927,336+Y927))-1,""))</f>
        <v/>
      </c>
      <c r="AA927" s="7" t="str">
        <f aca="false">IF(H927="","",VALUE(LEFT(H927,FIND("/",H927)-1)))</f>
        <v/>
      </c>
      <c r="AB927" s="7" t="str">
        <f aca="false">IF(H927="","",VALUE(MID(H927,FIND("/",H927)+1,FIND("/",H927,FIND("/",H927)+1)-FIND("/",H927)-1)))</f>
        <v/>
      </c>
      <c r="AC927" s="7" t="str">
        <f aca="false">IF(H927="","",VALUE(MID(H927,FIND("/",H927,FIND("/",H927)+1)+1,LEN(H927)-FIND("/",H927,FIND("/",H927)+1))))</f>
        <v/>
      </c>
      <c r="AD927" s="7" t="str">
        <f aca="false">IF(OR(H927="",AA927=""),"",IFERROR(INDEX('لیست‌ها'!$Q$3:$Q$53,MATCH(AA927,'لیست‌ها'!$P$3:$P$53,0))+IF(AB927&lt;=6,(AB927-1)*31+AC927,IF(AB927&lt;=11,186+(AB927-7)*30+AC927,336+AC927))-1,""))</f>
        <v/>
      </c>
      <c r="AE927" s="7" t="str">
        <f aca="false">IF(P927="","",VALUE(LEFT(P927,FIND("/",P927)-1)))</f>
        <v/>
      </c>
      <c r="AF927" s="7" t="str">
        <f aca="false">IF(P927="","",VALUE(MID(P927,FIND("/",P927)+1,FIND("/",P927,FIND("/",P927)+1)-FIND("/",P927)-1)))</f>
        <v/>
      </c>
      <c r="AG927" s="7" t="str">
        <f aca="false">IF(P927="","",VALUE(MID(P927,FIND("/",P927,FIND("/",P927)+1)+1,LEN(P927)-FIND("/",P927,FIND("/",P927)+1))))</f>
        <v/>
      </c>
      <c r="AH927" s="7" t="str">
        <f aca="false">IF(OR(P927="",AE927=""),"",IFERROR(INDEX('لیست‌ها'!$Q$3:$Q$53,MATCH(AE927,'لیست‌ها'!$P$3:$P$53,0))+IF(AF927&lt;=6,(AF927-1)*31+AG927,IF(AF927&lt;=11,186+(AF927-7)*30+AG927,336+AG927))-1,""))</f>
        <v/>
      </c>
      <c r="AI927" s="7" t="str">
        <f aca="false">IF(W927="","",W927&amp;"-"&amp;TEXT(X927,"00"))</f>
        <v/>
      </c>
      <c r="AJ927" s="7" t="str">
        <f aca="false">IF(W927="","",W927*12+X927)</f>
        <v/>
      </c>
      <c r="AK927" s="7" t="str">
        <f aca="false">IF(U927="تاخیر",V927+ROW()/100000,"")</f>
        <v/>
      </c>
    </row>
    <row r="928" customFormat="false" ht="15" hidden="false" customHeight="false" outlineLevel="0" collapsed="false">
      <c r="A928" s="7" t="str">
        <f aca="false">IF(B928="","",ROW()-3)</f>
        <v/>
      </c>
      <c r="B928" s="8"/>
      <c r="C928" s="8"/>
      <c r="D928" s="8"/>
      <c r="E928" s="9"/>
      <c r="F928" s="9"/>
      <c r="G928" s="8"/>
      <c r="H928" s="8"/>
      <c r="I928" s="8"/>
      <c r="J928" s="9"/>
      <c r="K928" s="8"/>
      <c r="L928" s="8"/>
      <c r="M928" s="8"/>
      <c r="N928" s="8"/>
      <c r="O928" s="8"/>
      <c r="P928" s="8"/>
      <c r="Q928" s="8"/>
      <c r="R928" s="9"/>
      <c r="S928" s="8"/>
      <c r="T928" s="9"/>
      <c r="U928" s="10" t="str">
        <f aca="true">IF(B928="","",IF(OR(P928&lt;&gt;"",I928="می‌باشد"),"بسته",IF(AND(L928&lt;&gt;"",W928=""),"خطای فرمت تاریخ ایجاد",IF(AND(H928&lt;&gt;"",AA928=""),"خطای فرمت مهلت",IF(AND(H928&lt;&gt;"",AD928&lt;&gt;"",TODAY()&gt;AD928),"تاخیر",IF(L928&lt;&gt;"","در حال انجام",""))))))</f>
        <v/>
      </c>
      <c r="V928" s="7" t="n">
        <f aca="true">IF(U928="تاخیر",TODAY()-AD928,IF(AND(U928="بسته",AH928&lt;&gt;"",AD928&lt;&gt;"",AH928&gt;AD928),AH928-AD928,0))</f>
        <v>0</v>
      </c>
      <c r="W928" s="7" t="str">
        <f aca="false">IF(L928="","",VALUE(LEFT(L928,FIND("/",L928)-1)))</f>
        <v/>
      </c>
      <c r="X928" s="7" t="str">
        <f aca="false">IF(L928="","",VALUE(MID(L928,FIND("/",L928)+1,FIND("/",L928,FIND("/",L928)+1)-FIND("/",L928)-1)))</f>
        <v/>
      </c>
      <c r="Y928" s="7" t="str">
        <f aca="false">IF(L928="","",VALUE(MID(L928,FIND("/",L928,FIND("/",L928)+1)+1,LEN(L928)-FIND("/",L928,FIND("/",L928)+1))))</f>
        <v/>
      </c>
      <c r="Z928" s="7" t="str">
        <f aca="false">IF(OR(L928="",W928=""),"",IFERROR(INDEX('لیست‌ها'!$Q$3:$Q$53,MATCH(W928,'لیست‌ها'!$P$3:$P$53,0))+IF(X928&lt;=6,(X928-1)*31+Y928,IF(X928&lt;=11,186+(X928-7)*30+Y928,336+Y928))-1,""))</f>
        <v/>
      </c>
      <c r="AA928" s="7" t="str">
        <f aca="false">IF(H928="","",VALUE(LEFT(H928,FIND("/",H928)-1)))</f>
        <v/>
      </c>
      <c r="AB928" s="7" t="str">
        <f aca="false">IF(H928="","",VALUE(MID(H928,FIND("/",H928)+1,FIND("/",H928,FIND("/",H928)+1)-FIND("/",H928)-1)))</f>
        <v/>
      </c>
      <c r="AC928" s="7" t="str">
        <f aca="false">IF(H928="","",VALUE(MID(H928,FIND("/",H928,FIND("/",H928)+1)+1,LEN(H928)-FIND("/",H928,FIND("/",H928)+1))))</f>
        <v/>
      </c>
      <c r="AD928" s="7" t="str">
        <f aca="false">IF(OR(H928="",AA928=""),"",IFERROR(INDEX('لیست‌ها'!$Q$3:$Q$53,MATCH(AA928,'لیست‌ها'!$P$3:$P$53,0))+IF(AB928&lt;=6,(AB928-1)*31+AC928,IF(AB928&lt;=11,186+(AB928-7)*30+AC928,336+AC928))-1,""))</f>
        <v/>
      </c>
      <c r="AE928" s="7" t="str">
        <f aca="false">IF(P928="","",VALUE(LEFT(P928,FIND("/",P928)-1)))</f>
        <v/>
      </c>
      <c r="AF928" s="7" t="str">
        <f aca="false">IF(P928="","",VALUE(MID(P928,FIND("/",P928)+1,FIND("/",P928,FIND("/",P928)+1)-FIND("/",P928)-1)))</f>
        <v/>
      </c>
      <c r="AG928" s="7" t="str">
        <f aca="false">IF(P928="","",VALUE(MID(P928,FIND("/",P928,FIND("/",P928)+1)+1,LEN(P928)-FIND("/",P928,FIND("/",P928)+1))))</f>
        <v/>
      </c>
      <c r="AH928" s="7" t="str">
        <f aca="false">IF(OR(P928="",AE928=""),"",IFERROR(INDEX('لیست‌ها'!$Q$3:$Q$53,MATCH(AE928,'لیست‌ها'!$P$3:$P$53,0))+IF(AF928&lt;=6,(AF928-1)*31+AG928,IF(AF928&lt;=11,186+(AF928-7)*30+AG928,336+AG928))-1,""))</f>
        <v/>
      </c>
      <c r="AI928" s="7" t="str">
        <f aca="false">IF(W928="","",W928&amp;"-"&amp;TEXT(X928,"00"))</f>
        <v/>
      </c>
      <c r="AJ928" s="7" t="str">
        <f aca="false">IF(W928="","",W928*12+X928)</f>
        <v/>
      </c>
      <c r="AK928" s="7" t="str">
        <f aca="false">IF(U928="تاخیر",V928+ROW()/100000,"")</f>
        <v/>
      </c>
    </row>
    <row r="929" customFormat="false" ht="15" hidden="false" customHeight="false" outlineLevel="0" collapsed="false">
      <c r="A929" s="7" t="str">
        <f aca="false">IF(B929="","",ROW()-3)</f>
        <v/>
      </c>
      <c r="B929" s="8"/>
      <c r="C929" s="8"/>
      <c r="D929" s="8"/>
      <c r="E929" s="9"/>
      <c r="F929" s="9"/>
      <c r="G929" s="8"/>
      <c r="H929" s="8"/>
      <c r="I929" s="8"/>
      <c r="J929" s="9"/>
      <c r="K929" s="8"/>
      <c r="L929" s="8"/>
      <c r="M929" s="8"/>
      <c r="N929" s="8"/>
      <c r="O929" s="8"/>
      <c r="P929" s="8"/>
      <c r="Q929" s="8"/>
      <c r="R929" s="9"/>
      <c r="S929" s="8"/>
      <c r="T929" s="9"/>
      <c r="U929" s="10" t="str">
        <f aca="true">IF(B929="","",IF(OR(P929&lt;&gt;"",I929="می‌باشد"),"بسته",IF(AND(L929&lt;&gt;"",W929=""),"خطای فرمت تاریخ ایجاد",IF(AND(H929&lt;&gt;"",AA929=""),"خطای فرمت مهلت",IF(AND(H929&lt;&gt;"",AD929&lt;&gt;"",TODAY()&gt;AD929),"تاخیر",IF(L929&lt;&gt;"","در حال انجام",""))))))</f>
        <v/>
      </c>
      <c r="V929" s="7" t="n">
        <f aca="true">IF(U929="تاخیر",TODAY()-AD929,IF(AND(U929="بسته",AH929&lt;&gt;"",AD929&lt;&gt;"",AH929&gt;AD929),AH929-AD929,0))</f>
        <v>0</v>
      </c>
      <c r="W929" s="7" t="str">
        <f aca="false">IF(L929="","",VALUE(LEFT(L929,FIND("/",L929)-1)))</f>
        <v/>
      </c>
      <c r="X929" s="7" t="str">
        <f aca="false">IF(L929="","",VALUE(MID(L929,FIND("/",L929)+1,FIND("/",L929,FIND("/",L929)+1)-FIND("/",L929)-1)))</f>
        <v/>
      </c>
      <c r="Y929" s="7" t="str">
        <f aca="false">IF(L929="","",VALUE(MID(L929,FIND("/",L929,FIND("/",L929)+1)+1,LEN(L929)-FIND("/",L929,FIND("/",L929)+1))))</f>
        <v/>
      </c>
      <c r="Z929" s="7" t="str">
        <f aca="false">IF(OR(L929="",W929=""),"",IFERROR(INDEX('لیست‌ها'!$Q$3:$Q$53,MATCH(W929,'لیست‌ها'!$P$3:$P$53,0))+IF(X929&lt;=6,(X929-1)*31+Y929,IF(X929&lt;=11,186+(X929-7)*30+Y929,336+Y929))-1,""))</f>
        <v/>
      </c>
      <c r="AA929" s="7" t="str">
        <f aca="false">IF(H929="","",VALUE(LEFT(H929,FIND("/",H929)-1)))</f>
        <v/>
      </c>
      <c r="AB929" s="7" t="str">
        <f aca="false">IF(H929="","",VALUE(MID(H929,FIND("/",H929)+1,FIND("/",H929,FIND("/",H929)+1)-FIND("/",H929)-1)))</f>
        <v/>
      </c>
      <c r="AC929" s="7" t="str">
        <f aca="false">IF(H929="","",VALUE(MID(H929,FIND("/",H929,FIND("/",H929)+1)+1,LEN(H929)-FIND("/",H929,FIND("/",H929)+1))))</f>
        <v/>
      </c>
      <c r="AD929" s="7" t="str">
        <f aca="false">IF(OR(H929="",AA929=""),"",IFERROR(INDEX('لیست‌ها'!$Q$3:$Q$53,MATCH(AA929,'لیست‌ها'!$P$3:$P$53,0))+IF(AB929&lt;=6,(AB929-1)*31+AC929,IF(AB929&lt;=11,186+(AB929-7)*30+AC929,336+AC929))-1,""))</f>
        <v/>
      </c>
      <c r="AE929" s="7" t="str">
        <f aca="false">IF(P929="","",VALUE(LEFT(P929,FIND("/",P929)-1)))</f>
        <v/>
      </c>
      <c r="AF929" s="7" t="str">
        <f aca="false">IF(P929="","",VALUE(MID(P929,FIND("/",P929)+1,FIND("/",P929,FIND("/",P929)+1)-FIND("/",P929)-1)))</f>
        <v/>
      </c>
      <c r="AG929" s="7" t="str">
        <f aca="false">IF(P929="","",VALUE(MID(P929,FIND("/",P929,FIND("/",P929)+1)+1,LEN(P929)-FIND("/",P929,FIND("/",P929)+1))))</f>
        <v/>
      </c>
      <c r="AH929" s="7" t="str">
        <f aca="false">IF(OR(P929="",AE929=""),"",IFERROR(INDEX('لیست‌ها'!$Q$3:$Q$53,MATCH(AE929,'لیست‌ها'!$P$3:$P$53,0))+IF(AF929&lt;=6,(AF929-1)*31+AG929,IF(AF929&lt;=11,186+(AF929-7)*30+AG929,336+AG929))-1,""))</f>
        <v/>
      </c>
      <c r="AI929" s="7" t="str">
        <f aca="false">IF(W929="","",W929&amp;"-"&amp;TEXT(X929,"00"))</f>
        <v/>
      </c>
      <c r="AJ929" s="7" t="str">
        <f aca="false">IF(W929="","",W929*12+X929)</f>
        <v/>
      </c>
      <c r="AK929" s="7" t="str">
        <f aca="false">IF(U929="تاخیر",V929+ROW()/100000,"")</f>
        <v/>
      </c>
    </row>
    <row r="930" customFormat="false" ht="15" hidden="false" customHeight="false" outlineLevel="0" collapsed="false">
      <c r="A930" s="7" t="str">
        <f aca="false">IF(B930="","",ROW()-3)</f>
        <v/>
      </c>
      <c r="B930" s="8"/>
      <c r="C930" s="8"/>
      <c r="D930" s="8"/>
      <c r="E930" s="9"/>
      <c r="F930" s="9"/>
      <c r="G930" s="8"/>
      <c r="H930" s="8"/>
      <c r="I930" s="8"/>
      <c r="J930" s="9"/>
      <c r="K930" s="8"/>
      <c r="L930" s="8"/>
      <c r="M930" s="8"/>
      <c r="N930" s="8"/>
      <c r="O930" s="8"/>
      <c r="P930" s="8"/>
      <c r="Q930" s="8"/>
      <c r="R930" s="9"/>
      <c r="S930" s="8"/>
      <c r="T930" s="9"/>
      <c r="U930" s="10" t="str">
        <f aca="true">IF(B930="","",IF(OR(P930&lt;&gt;"",I930="می‌باشد"),"بسته",IF(AND(L930&lt;&gt;"",W930=""),"خطای فرمت تاریخ ایجاد",IF(AND(H930&lt;&gt;"",AA930=""),"خطای فرمت مهلت",IF(AND(H930&lt;&gt;"",AD930&lt;&gt;"",TODAY()&gt;AD930),"تاخیر",IF(L930&lt;&gt;"","در حال انجام",""))))))</f>
        <v/>
      </c>
      <c r="V930" s="7" t="n">
        <f aca="true">IF(U930="تاخیر",TODAY()-AD930,IF(AND(U930="بسته",AH930&lt;&gt;"",AD930&lt;&gt;"",AH930&gt;AD930),AH930-AD930,0))</f>
        <v>0</v>
      </c>
      <c r="W930" s="7" t="str">
        <f aca="false">IF(L930="","",VALUE(LEFT(L930,FIND("/",L930)-1)))</f>
        <v/>
      </c>
      <c r="X930" s="7" t="str">
        <f aca="false">IF(L930="","",VALUE(MID(L930,FIND("/",L930)+1,FIND("/",L930,FIND("/",L930)+1)-FIND("/",L930)-1)))</f>
        <v/>
      </c>
      <c r="Y930" s="7" t="str">
        <f aca="false">IF(L930="","",VALUE(MID(L930,FIND("/",L930,FIND("/",L930)+1)+1,LEN(L930)-FIND("/",L930,FIND("/",L930)+1))))</f>
        <v/>
      </c>
      <c r="Z930" s="7" t="str">
        <f aca="false">IF(OR(L930="",W930=""),"",IFERROR(INDEX('لیست‌ها'!$Q$3:$Q$53,MATCH(W930,'لیست‌ها'!$P$3:$P$53,0))+IF(X930&lt;=6,(X930-1)*31+Y930,IF(X930&lt;=11,186+(X930-7)*30+Y930,336+Y930))-1,""))</f>
        <v/>
      </c>
      <c r="AA930" s="7" t="str">
        <f aca="false">IF(H930="","",VALUE(LEFT(H930,FIND("/",H930)-1)))</f>
        <v/>
      </c>
      <c r="AB930" s="7" t="str">
        <f aca="false">IF(H930="","",VALUE(MID(H930,FIND("/",H930)+1,FIND("/",H930,FIND("/",H930)+1)-FIND("/",H930)-1)))</f>
        <v/>
      </c>
      <c r="AC930" s="7" t="str">
        <f aca="false">IF(H930="","",VALUE(MID(H930,FIND("/",H930,FIND("/",H930)+1)+1,LEN(H930)-FIND("/",H930,FIND("/",H930)+1))))</f>
        <v/>
      </c>
      <c r="AD930" s="7" t="str">
        <f aca="false">IF(OR(H930="",AA930=""),"",IFERROR(INDEX('لیست‌ها'!$Q$3:$Q$53,MATCH(AA930,'لیست‌ها'!$P$3:$P$53,0))+IF(AB930&lt;=6,(AB930-1)*31+AC930,IF(AB930&lt;=11,186+(AB930-7)*30+AC930,336+AC930))-1,""))</f>
        <v/>
      </c>
      <c r="AE930" s="7" t="str">
        <f aca="false">IF(P930="","",VALUE(LEFT(P930,FIND("/",P930)-1)))</f>
        <v/>
      </c>
      <c r="AF930" s="7" t="str">
        <f aca="false">IF(P930="","",VALUE(MID(P930,FIND("/",P930)+1,FIND("/",P930,FIND("/",P930)+1)-FIND("/",P930)-1)))</f>
        <v/>
      </c>
      <c r="AG930" s="7" t="str">
        <f aca="false">IF(P930="","",VALUE(MID(P930,FIND("/",P930,FIND("/",P930)+1)+1,LEN(P930)-FIND("/",P930,FIND("/",P930)+1))))</f>
        <v/>
      </c>
      <c r="AH930" s="7" t="str">
        <f aca="false">IF(OR(P930="",AE930=""),"",IFERROR(INDEX('لیست‌ها'!$Q$3:$Q$53,MATCH(AE930,'لیست‌ها'!$P$3:$P$53,0))+IF(AF930&lt;=6,(AF930-1)*31+AG930,IF(AF930&lt;=11,186+(AF930-7)*30+AG930,336+AG930))-1,""))</f>
        <v/>
      </c>
      <c r="AI930" s="7" t="str">
        <f aca="false">IF(W930="","",W930&amp;"-"&amp;TEXT(X930,"00"))</f>
        <v/>
      </c>
      <c r="AJ930" s="7" t="str">
        <f aca="false">IF(W930="","",W930*12+X930)</f>
        <v/>
      </c>
      <c r="AK930" s="7" t="str">
        <f aca="false">IF(U930="تاخیر",V930+ROW()/100000,"")</f>
        <v/>
      </c>
    </row>
    <row r="931" customFormat="false" ht="15" hidden="false" customHeight="false" outlineLevel="0" collapsed="false">
      <c r="A931" s="7" t="str">
        <f aca="false">IF(B931="","",ROW()-3)</f>
        <v/>
      </c>
      <c r="B931" s="8"/>
      <c r="C931" s="8"/>
      <c r="D931" s="8"/>
      <c r="E931" s="9"/>
      <c r="F931" s="9"/>
      <c r="G931" s="8"/>
      <c r="H931" s="8"/>
      <c r="I931" s="8"/>
      <c r="J931" s="9"/>
      <c r="K931" s="8"/>
      <c r="L931" s="8"/>
      <c r="M931" s="8"/>
      <c r="N931" s="8"/>
      <c r="O931" s="8"/>
      <c r="P931" s="8"/>
      <c r="Q931" s="8"/>
      <c r="R931" s="9"/>
      <c r="S931" s="8"/>
      <c r="T931" s="9"/>
      <c r="U931" s="10" t="str">
        <f aca="true">IF(B931="","",IF(OR(P931&lt;&gt;"",I931="می‌باشد"),"بسته",IF(AND(L931&lt;&gt;"",W931=""),"خطای فرمت تاریخ ایجاد",IF(AND(H931&lt;&gt;"",AA931=""),"خطای فرمت مهلت",IF(AND(H931&lt;&gt;"",AD931&lt;&gt;"",TODAY()&gt;AD931),"تاخیر",IF(L931&lt;&gt;"","در حال انجام",""))))))</f>
        <v/>
      </c>
      <c r="V931" s="7" t="n">
        <f aca="true">IF(U931="تاخیر",TODAY()-AD931,IF(AND(U931="بسته",AH931&lt;&gt;"",AD931&lt;&gt;"",AH931&gt;AD931),AH931-AD931,0))</f>
        <v>0</v>
      </c>
      <c r="W931" s="7" t="str">
        <f aca="false">IF(L931="","",VALUE(LEFT(L931,FIND("/",L931)-1)))</f>
        <v/>
      </c>
      <c r="X931" s="7" t="str">
        <f aca="false">IF(L931="","",VALUE(MID(L931,FIND("/",L931)+1,FIND("/",L931,FIND("/",L931)+1)-FIND("/",L931)-1)))</f>
        <v/>
      </c>
      <c r="Y931" s="7" t="str">
        <f aca="false">IF(L931="","",VALUE(MID(L931,FIND("/",L931,FIND("/",L931)+1)+1,LEN(L931)-FIND("/",L931,FIND("/",L931)+1))))</f>
        <v/>
      </c>
      <c r="Z931" s="7" t="str">
        <f aca="false">IF(OR(L931="",W931=""),"",IFERROR(INDEX('لیست‌ها'!$Q$3:$Q$53,MATCH(W931,'لیست‌ها'!$P$3:$P$53,0))+IF(X931&lt;=6,(X931-1)*31+Y931,IF(X931&lt;=11,186+(X931-7)*30+Y931,336+Y931))-1,""))</f>
        <v/>
      </c>
      <c r="AA931" s="7" t="str">
        <f aca="false">IF(H931="","",VALUE(LEFT(H931,FIND("/",H931)-1)))</f>
        <v/>
      </c>
      <c r="AB931" s="7" t="str">
        <f aca="false">IF(H931="","",VALUE(MID(H931,FIND("/",H931)+1,FIND("/",H931,FIND("/",H931)+1)-FIND("/",H931)-1)))</f>
        <v/>
      </c>
      <c r="AC931" s="7" t="str">
        <f aca="false">IF(H931="","",VALUE(MID(H931,FIND("/",H931,FIND("/",H931)+1)+1,LEN(H931)-FIND("/",H931,FIND("/",H931)+1))))</f>
        <v/>
      </c>
      <c r="AD931" s="7" t="str">
        <f aca="false">IF(OR(H931="",AA931=""),"",IFERROR(INDEX('لیست‌ها'!$Q$3:$Q$53,MATCH(AA931,'لیست‌ها'!$P$3:$P$53,0))+IF(AB931&lt;=6,(AB931-1)*31+AC931,IF(AB931&lt;=11,186+(AB931-7)*30+AC931,336+AC931))-1,""))</f>
        <v/>
      </c>
      <c r="AE931" s="7" t="str">
        <f aca="false">IF(P931="","",VALUE(LEFT(P931,FIND("/",P931)-1)))</f>
        <v/>
      </c>
      <c r="AF931" s="7" t="str">
        <f aca="false">IF(P931="","",VALUE(MID(P931,FIND("/",P931)+1,FIND("/",P931,FIND("/",P931)+1)-FIND("/",P931)-1)))</f>
        <v/>
      </c>
      <c r="AG931" s="7" t="str">
        <f aca="false">IF(P931="","",VALUE(MID(P931,FIND("/",P931,FIND("/",P931)+1)+1,LEN(P931)-FIND("/",P931,FIND("/",P931)+1))))</f>
        <v/>
      </c>
      <c r="AH931" s="7" t="str">
        <f aca="false">IF(OR(P931="",AE931=""),"",IFERROR(INDEX('لیست‌ها'!$Q$3:$Q$53,MATCH(AE931,'لیست‌ها'!$P$3:$P$53,0))+IF(AF931&lt;=6,(AF931-1)*31+AG931,IF(AF931&lt;=11,186+(AF931-7)*30+AG931,336+AG931))-1,""))</f>
        <v/>
      </c>
      <c r="AI931" s="7" t="str">
        <f aca="false">IF(W931="","",W931&amp;"-"&amp;TEXT(X931,"00"))</f>
        <v/>
      </c>
      <c r="AJ931" s="7" t="str">
        <f aca="false">IF(W931="","",W931*12+X931)</f>
        <v/>
      </c>
      <c r="AK931" s="7" t="str">
        <f aca="false">IF(U931="تاخیر",V931+ROW()/100000,"")</f>
        <v/>
      </c>
    </row>
    <row r="932" customFormat="false" ht="15" hidden="false" customHeight="false" outlineLevel="0" collapsed="false">
      <c r="A932" s="7" t="str">
        <f aca="false">IF(B932="","",ROW()-3)</f>
        <v/>
      </c>
      <c r="B932" s="8"/>
      <c r="C932" s="8"/>
      <c r="D932" s="8"/>
      <c r="E932" s="9"/>
      <c r="F932" s="9"/>
      <c r="G932" s="8"/>
      <c r="H932" s="8"/>
      <c r="I932" s="8"/>
      <c r="J932" s="9"/>
      <c r="K932" s="8"/>
      <c r="L932" s="8"/>
      <c r="M932" s="8"/>
      <c r="N932" s="8"/>
      <c r="O932" s="8"/>
      <c r="P932" s="8"/>
      <c r="Q932" s="8"/>
      <c r="R932" s="9"/>
      <c r="S932" s="8"/>
      <c r="T932" s="9"/>
      <c r="U932" s="10" t="str">
        <f aca="true">IF(B932="","",IF(OR(P932&lt;&gt;"",I932="می‌باشد"),"بسته",IF(AND(L932&lt;&gt;"",W932=""),"خطای فرمت تاریخ ایجاد",IF(AND(H932&lt;&gt;"",AA932=""),"خطای فرمت مهلت",IF(AND(H932&lt;&gt;"",AD932&lt;&gt;"",TODAY()&gt;AD932),"تاخیر",IF(L932&lt;&gt;"","در حال انجام",""))))))</f>
        <v/>
      </c>
      <c r="V932" s="7" t="n">
        <f aca="true">IF(U932="تاخیر",TODAY()-AD932,IF(AND(U932="بسته",AH932&lt;&gt;"",AD932&lt;&gt;"",AH932&gt;AD932),AH932-AD932,0))</f>
        <v>0</v>
      </c>
      <c r="W932" s="7" t="str">
        <f aca="false">IF(L932="","",VALUE(LEFT(L932,FIND("/",L932)-1)))</f>
        <v/>
      </c>
      <c r="X932" s="7" t="str">
        <f aca="false">IF(L932="","",VALUE(MID(L932,FIND("/",L932)+1,FIND("/",L932,FIND("/",L932)+1)-FIND("/",L932)-1)))</f>
        <v/>
      </c>
      <c r="Y932" s="7" t="str">
        <f aca="false">IF(L932="","",VALUE(MID(L932,FIND("/",L932,FIND("/",L932)+1)+1,LEN(L932)-FIND("/",L932,FIND("/",L932)+1))))</f>
        <v/>
      </c>
      <c r="Z932" s="7" t="str">
        <f aca="false">IF(OR(L932="",W932=""),"",IFERROR(INDEX('لیست‌ها'!$Q$3:$Q$53,MATCH(W932,'لیست‌ها'!$P$3:$P$53,0))+IF(X932&lt;=6,(X932-1)*31+Y932,IF(X932&lt;=11,186+(X932-7)*30+Y932,336+Y932))-1,""))</f>
        <v/>
      </c>
      <c r="AA932" s="7" t="str">
        <f aca="false">IF(H932="","",VALUE(LEFT(H932,FIND("/",H932)-1)))</f>
        <v/>
      </c>
      <c r="AB932" s="7" t="str">
        <f aca="false">IF(H932="","",VALUE(MID(H932,FIND("/",H932)+1,FIND("/",H932,FIND("/",H932)+1)-FIND("/",H932)-1)))</f>
        <v/>
      </c>
      <c r="AC932" s="7" t="str">
        <f aca="false">IF(H932="","",VALUE(MID(H932,FIND("/",H932,FIND("/",H932)+1)+1,LEN(H932)-FIND("/",H932,FIND("/",H932)+1))))</f>
        <v/>
      </c>
      <c r="AD932" s="7" t="str">
        <f aca="false">IF(OR(H932="",AA932=""),"",IFERROR(INDEX('لیست‌ها'!$Q$3:$Q$53,MATCH(AA932,'لیست‌ها'!$P$3:$P$53,0))+IF(AB932&lt;=6,(AB932-1)*31+AC932,IF(AB932&lt;=11,186+(AB932-7)*30+AC932,336+AC932))-1,""))</f>
        <v/>
      </c>
      <c r="AE932" s="7" t="str">
        <f aca="false">IF(P932="","",VALUE(LEFT(P932,FIND("/",P932)-1)))</f>
        <v/>
      </c>
      <c r="AF932" s="7" t="str">
        <f aca="false">IF(P932="","",VALUE(MID(P932,FIND("/",P932)+1,FIND("/",P932,FIND("/",P932)+1)-FIND("/",P932)-1)))</f>
        <v/>
      </c>
      <c r="AG932" s="7" t="str">
        <f aca="false">IF(P932="","",VALUE(MID(P932,FIND("/",P932,FIND("/",P932)+1)+1,LEN(P932)-FIND("/",P932,FIND("/",P932)+1))))</f>
        <v/>
      </c>
      <c r="AH932" s="7" t="str">
        <f aca="false">IF(OR(P932="",AE932=""),"",IFERROR(INDEX('لیست‌ها'!$Q$3:$Q$53,MATCH(AE932,'لیست‌ها'!$P$3:$P$53,0))+IF(AF932&lt;=6,(AF932-1)*31+AG932,IF(AF932&lt;=11,186+(AF932-7)*30+AG932,336+AG932))-1,""))</f>
        <v/>
      </c>
      <c r="AI932" s="7" t="str">
        <f aca="false">IF(W932="","",W932&amp;"-"&amp;TEXT(X932,"00"))</f>
        <v/>
      </c>
      <c r="AJ932" s="7" t="str">
        <f aca="false">IF(W932="","",W932*12+X932)</f>
        <v/>
      </c>
      <c r="AK932" s="7" t="str">
        <f aca="false">IF(U932="تاخیر",V932+ROW()/100000,"")</f>
        <v/>
      </c>
    </row>
    <row r="933" customFormat="false" ht="15" hidden="false" customHeight="false" outlineLevel="0" collapsed="false">
      <c r="A933" s="7" t="str">
        <f aca="false">IF(B933="","",ROW()-3)</f>
        <v/>
      </c>
      <c r="B933" s="8"/>
      <c r="C933" s="8"/>
      <c r="D933" s="8"/>
      <c r="E933" s="9"/>
      <c r="F933" s="9"/>
      <c r="G933" s="8"/>
      <c r="H933" s="8"/>
      <c r="I933" s="8"/>
      <c r="J933" s="9"/>
      <c r="K933" s="8"/>
      <c r="L933" s="8"/>
      <c r="M933" s="8"/>
      <c r="N933" s="8"/>
      <c r="O933" s="8"/>
      <c r="P933" s="8"/>
      <c r="Q933" s="8"/>
      <c r="R933" s="9"/>
      <c r="S933" s="8"/>
      <c r="T933" s="9"/>
      <c r="U933" s="10" t="str">
        <f aca="true">IF(B933="","",IF(OR(P933&lt;&gt;"",I933="می‌باشد"),"بسته",IF(AND(L933&lt;&gt;"",W933=""),"خطای فرمت تاریخ ایجاد",IF(AND(H933&lt;&gt;"",AA933=""),"خطای فرمت مهلت",IF(AND(H933&lt;&gt;"",AD933&lt;&gt;"",TODAY()&gt;AD933),"تاخیر",IF(L933&lt;&gt;"","در حال انجام",""))))))</f>
        <v/>
      </c>
      <c r="V933" s="7" t="n">
        <f aca="true">IF(U933="تاخیر",TODAY()-AD933,IF(AND(U933="بسته",AH933&lt;&gt;"",AD933&lt;&gt;"",AH933&gt;AD933),AH933-AD933,0))</f>
        <v>0</v>
      </c>
      <c r="W933" s="7" t="str">
        <f aca="false">IF(L933="","",VALUE(LEFT(L933,FIND("/",L933)-1)))</f>
        <v/>
      </c>
      <c r="X933" s="7" t="str">
        <f aca="false">IF(L933="","",VALUE(MID(L933,FIND("/",L933)+1,FIND("/",L933,FIND("/",L933)+1)-FIND("/",L933)-1)))</f>
        <v/>
      </c>
      <c r="Y933" s="7" t="str">
        <f aca="false">IF(L933="","",VALUE(MID(L933,FIND("/",L933,FIND("/",L933)+1)+1,LEN(L933)-FIND("/",L933,FIND("/",L933)+1))))</f>
        <v/>
      </c>
      <c r="Z933" s="7" t="str">
        <f aca="false">IF(OR(L933="",W933=""),"",IFERROR(INDEX('لیست‌ها'!$Q$3:$Q$53,MATCH(W933,'لیست‌ها'!$P$3:$P$53,0))+IF(X933&lt;=6,(X933-1)*31+Y933,IF(X933&lt;=11,186+(X933-7)*30+Y933,336+Y933))-1,""))</f>
        <v/>
      </c>
      <c r="AA933" s="7" t="str">
        <f aca="false">IF(H933="","",VALUE(LEFT(H933,FIND("/",H933)-1)))</f>
        <v/>
      </c>
      <c r="AB933" s="7" t="str">
        <f aca="false">IF(H933="","",VALUE(MID(H933,FIND("/",H933)+1,FIND("/",H933,FIND("/",H933)+1)-FIND("/",H933)-1)))</f>
        <v/>
      </c>
      <c r="AC933" s="7" t="str">
        <f aca="false">IF(H933="","",VALUE(MID(H933,FIND("/",H933,FIND("/",H933)+1)+1,LEN(H933)-FIND("/",H933,FIND("/",H933)+1))))</f>
        <v/>
      </c>
      <c r="AD933" s="7" t="str">
        <f aca="false">IF(OR(H933="",AA933=""),"",IFERROR(INDEX('لیست‌ها'!$Q$3:$Q$53,MATCH(AA933,'لیست‌ها'!$P$3:$P$53,0))+IF(AB933&lt;=6,(AB933-1)*31+AC933,IF(AB933&lt;=11,186+(AB933-7)*30+AC933,336+AC933))-1,""))</f>
        <v/>
      </c>
      <c r="AE933" s="7" t="str">
        <f aca="false">IF(P933="","",VALUE(LEFT(P933,FIND("/",P933)-1)))</f>
        <v/>
      </c>
      <c r="AF933" s="7" t="str">
        <f aca="false">IF(P933="","",VALUE(MID(P933,FIND("/",P933)+1,FIND("/",P933,FIND("/",P933)+1)-FIND("/",P933)-1)))</f>
        <v/>
      </c>
      <c r="AG933" s="7" t="str">
        <f aca="false">IF(P933="","",VALUE(MID(P933,FIND("/",P933,FIND("/",P933)+1)+1,LEN(P933)-FIND("/",P933,FIND("/",P933)+1))))</f>
        <v/>
      </c>
      <c r="AH933" s="7" t="str">
        <f aca="false">IF(OR(P933="",AE933=""),"",IFERROR(INDEX('لیست‌ها'!$Q$3:$Q$53,MATCH(AE933,'لیست‌ها'!$P$3:$P$53,0))+IF(AF933&lt;=6,(AF933-1)*31+AG933,IF(AF933&lt;=11,186+(AF933-7)*30+AG933,336+AG933))-1,""))</f>
        <v/>
      </c>
      <c r="AI933" s="7" t="str">
        <f aca="false">IF(W933="","",W933&amp;"-"&amp;TEXT(X933,"00"))</f>
        <v/>
      </c>
      <c r="AJ933" s="7" t="str">
        <f aca="false">IF(W933="","",W933*12+X933)</f>
        <v/>
      </c>
      <c r="AK933" s="7" t="str">
        <f aca="false">IF(U933="تاخیر",V933+ROW()/100000,"")</f>
        <v/>
      </c>
    </row>
    <row r="934" customFormat="false" ht="15" hidden="false" customHeight="false" outlineLevel="0" collapsed="false">
      <c r="A934" s="7" t="str">
        <f aca="false">IF(B934="","",ROW()-3)</f>
        <v/>
      </c>
      <c r="B934" s="8"/>
      <c r="C934" s="8"/>
      <c r="D934" s="8"/>
      <c r="E934" s="9"/>
      <c r="F934" s="9"/>
      <c r="G934" s="8"/>
      <c r="H934" s="8"/>
      <c r="I934" s="8"/>
      <c r="J934" s="9"/>
      <c r="K934" s="8"/>
      <c r="L934" s="8"/>
      <c r="M934" s="8"/>
      <c r="N934" s="8"/>
      <c r="O934" s="8"/>
      <c r="P934" s="8"/>
      <c r="Q934" s="8"/>
      <c r="R934" s="9"/>
      <c r="S934" s="8"/>
      <c r="T934" s="9"/>
      <c r="U934" s="10" t="str">
        <f aca="true">IF(B934="","",IF(OR(P934&lt;&gt;"",I934="می‌باشد"),"بسته",IF(AND(L934&lt;&gt;"",W934=""),"خطای فرمت تاریخ ایجاد",IF(AND(H934&lt;&gt;"",AA934=""),"خطای فرمت مهلت",IF(AND(H934&lt;&gt;"",AD934&lt;&gt;"",TODAY()&gt;AD934),"تاخیر",IF(L934&lt;&gt;"","در حال انجام",""))))))</f>
        <v/>
      </c>
      <c r="V934" s="7" t="n">
        <f aca="true">IF(U934="تاخیر",TODAY()-AD934,IF(AND(U934="بسته",AH934&lt;&gt;"",AD934&lt;&gt;"",AH934&gt;AD934),AH934-AD934,0))</f>
        <v>0</v>
      </c>
      <c r="W934" s="7" t="str">
        <f aca="false">IF(L934="","",VALUE(LEFT(L934,FIND("/",L934)-1)))</f>
        <v/>
      </c>
      <c r="X934" s="7" t="str">
        <f aca="false">IF(L934="","",VALUE(MID(L934,FIND("/",L934)+1,FIND("/",L934,FIND("/",L934)+1)-FIND("/",L934)-1)))</f>
        <v/>
      </c>
      <c r="Y934" s="7" t="str">
        <f aca="false">IF(L934="","",VALUE(MID(L934,FIND("/",L934,FIND("/",L934)+1)+1,LEN(L934)-FIND("/",L934,FIND("/",L934)+1))))</f>
        <v/>
      </c>
      <c r="Z934" s="7" t="str">
        <f aca="false">IF(OR(L934="",W934=""),"",IFERROR(INDEX('لیست‌ها'!$Q$3:$Q$53,MATCH(W934,'لیست‌ها'!$P$3:$P$53,0))+IF(X934&lt;=6,(X934-1)*31+Y934,IF(X934&lt;=11,186+(X934-7)*30+Y934,336+Y934))-1,""))</f>
        <v/>
      </c>
      <c r="AA934" s="7" t="str">
        <f aca="false">IF(H934="","",VALUE(LEFT(H934,FIND("/",H934)-1)))</f>
        <v/>
      </c>
      <c r="AB934" s="7" t="str">
        <f aca="false">IF(H934="","",VALUE(MID(H934,FIND("/",H934)+1,FIND("/",H934,FIND("/",H934)+1)-FIND("/",H934)-1)))</f>
        <v/>
      </c>
      <c r="AC934" s="7" t="str">
        <f aca="false">IF(H934="","",VALUE(MID(H934,FIND("/",H934,FIND("/",H934)+1)+1,LEN(H934)-FIND("/",H934,FIND("/",H934)+1))))</f>
        <v/>
      </c>
      <c r="AD934" s="7" t="str">
        <f aca="false">IF(OR(H934="",AA934=""),"",IFERROR(INDEX('لیست‌ها'!$Q$3:$Q$53,MATCH(AA934,'لیست‌ها'!$P$3:$P$53,0))+IF(AB934&lt;=6,(AB934-1)*31+AC934,IF(AB934&lt;=11,186+(AB934-7)*30+AC934,336+AC934))-1,""))</f>
        <v/>
      </c>
      <c r="AE934" s="7" t="str">
        <f aca="false">IF(P934="","",VALUE(LEFT(P934,FIND("/",P934)-1)))</f>
        <v/>
      </c>
      <c r="AF934" s="7" t="str">
        <f aca="false">IF(P934="","",VALUE(MID(P934,FIND("/",P934)+1,FIND("/",P934,FIND("/",P934)+1)-FIND("/",P934)-1)))</f>
        <v/>
      </c>
      <c r="AG934" s="7" t="str">
        <f aca="false">IF(P934="","",VALUE(MID(P934,FIND("/",P934,FIND("/",P934)+1)+1,LEN(P934)-FIND("/",P934,FIND("/",P934)+1))))</f>
        <v/>
      </c>
      <c r="AH934" s="7" t="str">
        <f aca="false">IF(OR(P934="",AE934=""),"",IFERROR(INDEX('لیست‌ها'!$Q$3:$Q$53,MATCH(AE934,'لیست‌ها'!$P$3:$P$53,0))+IF(AF934&lt;=6,(AF934-1)*31+AG934,IF(AF934&lt;=11,186+(AF934-7)*30+AG934,336+AG934))-1,""))</f>
        <v/>
      </c>
      <c r="AI934" s="7" t="str">
        <f aca="false">IF(W934="","",W934&amp;"-"&amp;TEXT(X934,"00"))</f>
        <v/>
      </c>
      <c r="AJ934" s="7" t="str">
        <f aca="false">IF(W934="","",W934*12+X934)</f>
        <v/>
      </c>
      <c r="AK934" s="7" t="str">
        <f aca="false">IF(U934="تاخیر",V934+ROW()/100000,"")</f>
        <v/>
      </c>
    </row>
    <row r="935" customFormat="false" ht="15" hidden="false" customHeight="false" outlineLevel="0" collapsed="false">
      <c r="A935" s="7" t="str">
        <f aca="false">IF(B935="","",ROW()-3)</f>
        <v/>
      </c>
      <c r="B935" s="8"/>
      <c r="C935" s="8"/>
      <c r="D935" s="8"/>
      <c r="E935" s="9"/>
      <c r="F935" s="9"/>
      <c r="G935" s="8"/>
      <c r="H935" s="8"/>
      <c r="I935" s="8"/>
      <c r="J935" s="9"/>
      <c r="K935" s="8"/>
      <c r="L935" s="8"/>
      <c r="M935" s="8"/>
      <c r="N935" s="8"/>
      <c r="O935" s="8"/>
      <c r="P935" s="8"/>
      <c r="Q935" s="8"/>
      <c r="R935" s="9"/>
      <c r="S935" s="8"/>
      <c r="T935" s="9"/>
      <c r="U935" s="10" t="str">
        <f aca="true">IF(B935="","",IF(OR(P935&lt;&gt;"",I935="می‌باشد"),"بسته",IF(AND(L935&lt;&gt;"",W935=""),"خطای فرمت تاریخ ایجاد",IF(AND(H935&lt;&gt;"",AA935=""),"خطای فرمت مهلت",IF(AND(H935&lt;&gt;"",AD935&lt;&gt;"",TODAY()&gt;AD935),"تاخیر",IF(L935&lt;&gt;"","در حال انجام",""))))))</f>
        <v/>
      </c>
      <c r="V935" s="7" t="n">
        <f aca="true">IF(U935="تاخیر",TODAY()-AD935,IF(AND(U935="بسته",AH935&lt;&gt;"",AD935&lt;&gt;"",AH935&gt;AD935),AH935-AD935,0))</f>
        <v>0</v>
      </c>
      <c r="W935" s="7" t="str">
        <f aca="false">IF(L935="","",VALUE(LEFT(L935,FIND("/",L935)-1)))</f>
        <v/>
      </c>
      <c r="X935" s="7" t="str">
        <f aca="false">IF(L935="","",VALUE(MID(L935,FIND("/",L935)+1,FIND("/",L935,FIND("/",L935)+1)-FIND("/",L935)-1)))</f>
        <v/>
      </c>
      <c r="Y935" s="7" t="str">
        <f aca="false">IF(L935="","",VALUE(MID(L935,FIND("/",L935,FIND("/",L935)+1)+1,LEN(L935)-FIND("/",L935,FIND("/",L935)+1))))</f>
        <v/>
      </c>
      <c r="Z935" s="7" t="str">
        <f aca="false">IF(OR(L935="",W935=""),"",IFERROR(INDEX('لیست‌ها'!$Q$3:$Q$53,MATCH(W935,'لیست‌ها'!$P$3:$P$53,0))+IF(X935&lt;=6,(X935-1)*31+Y935,IF(X935&lt;=11,186+(X935-7)*30+Y935,336+Y935))-1,""))</f>
        <v/>
      </c>
      <c r="AA935" s="7" t="str">
        <f aca="false">IF(H935="","",VALUE(LEFT(H935,FIND("/",H935)-1)))</f>
        <v/>
      </c>
      <c r="AB935" s="7" t="str">
        <f aca="false">IF(H935="","",VALUE(MID(H935,FIND("/",H935)+1,FIND("/",H935,FIND("/",H935)+1)-FIND("/",H935)-1)))</f>
        <v/>
      </c>
      <c r="AC935" s="7" t="str">
        <f aca="false">IF(H935="","",VALUE(MID(H935,FIND("/",H935,FIND("/",H935)+1)+1,LEN(H935)-FIND("/",H935,FIND("/",H935)+1))))</f>
        <v/>
      </c>
      <c r="AD935" s="7" t="str">
        <f aca="false">IF(OR(H935="",AA935=""),"",IFERROR(INDEX('لیست‌ها'!$Q$3:$Q$53,MATCH(AA935,'لیست‌ها'!$P$3:$P$53,0))+IF(AB935&lt;=6,(AB935-1)*31+AC935,IF(AB935&lt;=11,186+(AB935-7)*30+AC935,336+AC935))-1,""))</f>
        <v/>
      </c>
      <c r="AE935" s="7" t="str">
        <f aca="false">IF(P935="","",VALUE(LEFT(P935,FIND("/",P935)-1)))</f>
        <v/>
      </c>
      <c r="AF935" s="7" t="str">
        <f aca="false">IF(P935="","",VALUE(MID(P935,FIND("/",P935)+1,FIND("/",P935,FIND("/",P935)+1)-FIND("/",P935)-1)))</f>
        <v/>
      </c>
      <c r="AG935" s="7" t="str">
        <f aca="false">IF(P935="","",VALUE(MID(P935,FIND("/",P935,FIND("/",P935)+1)+1,LEN(P935)-FIND("/",P935,FIND("/",P935)+1))))</f>
        <v/>
      </c>
      <c r="AH935" s="7" t="str">
        <f aca="false">IF(OR(P935="",AE935=""),"",IFERROR(INDEX('لیست‌ها'!$Q$3:$Q$53,MATCH(AE935,'لیست‌ها'!$P$3:$P$53,0))+IF(AF935&lt;=6,(AF935-1)*31+AG935,IF(AF935&lt;=11,186+(AF935-7)*30+AG935,336+AG935))-1,""))</f>
        <v/>
      </c>
      <c r="AI935" s="7" t="str">
        <f aca="false">IF(W935="","",W935&amp;"-"&amp;TEXT(X935,"00"))</f>
        <v/>
      </c>
      <c r="AJ935" s="7" t="str">
        <f aca="false">IF(W935="","",W935*12+X935)</f>
        <v/>
      </c>
      <c r="AK935" s="7" t="str">
        <f aca="false">IF(U935="تاخیر",V935+ROW()/100000,"")</f>
        <v/>
      </c>
    </row>
    <row r="936" customFormat="false" ht="15" hidden="false" customHeight="false" outlineLevel="0" collapsed="false">
      <c r="A936" s="7" t="str">
        <f aca="false">IF(B936="","",ROW()-3)</f>
        <v/>
      </c>
      <c r="B936" s="8"/>
      <c r="C936" s="8"/>
      <c r="D936" s="8"/>
      <c r="E936" s="9"/>
      <c r="F936" s="9"/>
      <c r="G936" s="8"/>
      <c r="H936" s="8"/>
      <c r="I936" s="8"/>
      <c r="J936" s="9"/>
      <c r="K936" s="8"/>
      <c r="L936" s="8"/>
      <c r="M936" s="8"/>
      <c r="N936" s="8"/>
      <c r="O936" s="8"/>
      <c r="P936" s="8"/>
      <c r="Q936" s="8"/>
      <c r="R936" s="9"/>
      <c r="S936" s="8"/>
      <c r="T936" s="9"/>
      <c r="U936" s="10" t="str">
        <f aca="true">IF(B936="","",IF(OR(P936&lt;&gt;"",I936="می‌باشد"),"بسته",IF(AND(L936&lt;&gt;"",W936=""),"خطای فرمت تاریخ ایجاد",IF(AND(H936&lt;&gt;"",AA936=""),"خطای فرمت مهلت",IF(AND(H936&lt;&gt;"",AD936&lt;&gt;"",TODAY()&gt;AD936),"تاخیر",IF(L936&lt;&gt;"","در حال انجام",""))))))</f>
        <v/>
      </c>
      <c r="V936" s="7" t="n">
        <f aca="true">IF(U936="تاخیر",TODAY()-AD936,IF(AND(U936="بسته",AH936&lt;&gt;"",AD936&lt;&gt;"",AH936&gt;AD936),AH936-AD936,0))</f>
        <v>0</v>
      </c>
      <c r="W936" s="7" t="str">
        <f aca="false">IF(L936="","",VALUE(LEFT(L936,FIND("/",L936)-1)))</f>
        <v/>
      </c>
      <c r="X936" s="7" t="str">
        <f aca="false">IF(L936="","",VALUE(MID(L936,FIND("/",L936)+1,FIND("/",L936,FIND("/",L936)+1)-FIND("/",L936)-1)))</f>
        <v/>
      </c>
      <c r="Y936" s="7" t="str">
        <f aca="false">IF(L936="","",VALUE(MID(L936,FIND("/",L936,FIND("/",L936)+1)+1,LEN(L936)-FIND("/",L936,FIND("/",L936)+1))))</f>
        <v/>
      </c>
      <c r="Z936" s="7" t="str">
        <f aca="false">IF(OR(L936="",W936=""),"",IFERROR(INDEX('لیست‌ها'!$Q$3:$Q$53,MATCH(W936,'لیست‌ها'!$P$3:$P$53,0))+IF(X936&lt;=6,(X936-1)*31+Y936,IF(X936&lt;=11,186+(X936-7)*30+Y936,336+Y936))-1,""))</f>
        <v/>
      </c>
      <c r="AA936" s="7" t="str">
        <f aca="false">IF(H936="","",VALUE(LEFT(H936,FIND("/",H936)-1)))</f>
        <v/>
      </c>
      <c r="AB936" s="7" t="str">
        <f aca="false">IF(H936="","",VALUE(MID(H936,FIND("/",H936)+1,FIND("/",H936,FIND("/",H936)+1)-FIND("/",H936)-1)))</f>
        <v/>
      </c>
      <c r="AC936" s="7" t="str">
        <f aca="false">IF(H936="","",VALUE(MID(H936,FIND("/",H936,FIND("/",H936)+1)+1,LEN(H936)-FIND("/",H936,FIND("/",H936)+1))))</f>
        <v/>
      </c>
      <c r="AD936" s="7" t="str">
        <f aca="false">IF(OR(H936="",AA936=""),"",IFERROR(INDEX('لیست‌ها'!$Q$3:$Q$53,MATCH(AA936,'لیست‌ها'!$P$3:$P$53,0))+IF(AB936&lt;=6,(AB936-1)*31+AC936,IF(AB936&lt;=11,186+(AB936-7)*30+AC936,336+AC936))-1,""))</f>
        <v/>
      </c>
      <c r="AE936" s="7" t="str">
        <f aca="false">IF(P936="","",VALUE(LEFT(P936,FIND("/",P936)-1)))</f>
        <v/>
      </c>
      <c r="AF936" s="7" t="str">
        <f aca="false">IF(P936="","",VALUE(MID(P936,FIND("/",P936)+1,FIND("/",P936,FIND("/",P936)+1)-FIND("/",P936)-1)))</f>
        <v/>
      </c>
      <c r="AG936" s="7" t="str">
        <f aca="false">IF(P936="","",VALUE(MID(P936,FIND("/",P936,FIND("/",P936)+1)+1,LEN(P936)-FIND("/",P936,FIND("/",P936)+1))))</f>
        <v/>
      </c>
      <c r="AH936" s="7" t="str">
        <f aca="false">IF(OR(P936="",AE936=""),"",IFERROR(INDEX('لیست‌ها'!$Q$3:$Q$53,MATCH(AE936,'لیست‌ها'!$P$3:$P$53,0))+IF(AF936&lt;=6,(AF936-1)*31+AG936,IF(AF936&lt;=11,186+(AF936-7)*30+AG936,336+AG936))-1,""))</f>
        <v/>
      </c>
      <c r="AI936" s="7" t="str">
        <f aca="false">IF(W936="","",W936&amp;"-"&amp;TEXT(X936,"00"))</f>
        <v/>
      </c>
      <c r="AJ936" s="7" t="str">
        <f aca="false">IF(W936="","",W936*12+X936)</f>
        <v/>
      </c>
      <c r="AK936" s="7" t="str">
        <f aca="false">IF(U936="تاخیر",V936+ROW()/100000,"")</f>
        <v/>
      </c>
    </row>
    <row r="937" customFormat="false" ht="15" hidden="false" customHeight="false" outlineLevel="0" collapsed="false">
      <c r="A937" s="7" t="str">
        <f aca="false">IF(B937="","",ROW()-3)</f>
        <v/>
      </c>
      <c r="B937" s="8"/>
      <c r="C937" s="8"/>
      <c r="D937" s="8"/>
      <c r="E937" s="9"/>
      <c r="F937" s="9"/>
      <c r="G937" s="8"/>
      <c r="H937" s="8"/>
      <c r="I937" s="8"/>
      <c r="J937" s="9"/>
      <c r="K937" s="8"/>
      <c r="L937" s="8"/>
      <c r="M937" s="8"/>
      <c r="N937" s="8"/>
      <c r="O937" s="8"/>
      <c r="P937" s="8"/>
      <c r="Q937" s="8"/>
      <c r="R937" s="9"/>
      <c r="S937" s="8"/>
      <c r="T937" s="9"/>
      <c r="U937" s="10" t="str">
        <f aca="true">IF(B937="","",IF(OR(P937&lt;&gt;"",I937="می‌باشد"),"بسته",IF(AND(L937&lt;&gt;"",W937=""),"خطای فرمت تاریخ ایجاد",IF(AND(H937&lt;&gt;"",AA937=""),"خطای فرمت مهلت",IF(AND(H937&lt;&gt;"",AD937&lt;&gt;"",TODAY()&gt;AD937),"تاخیر",IF(L937&lt;&gt;"","در حال انجام",""))))))</f>
        <v/>
      </c>
      <c r="V937" s="7" t="n">
        <f aca="true">IF(U937="تاخیر",TODAY()-AD937,IF(AND(U937="بسته",AH937&lt;&gt;"",AD937&lt;&gt;"",AH937&gt;AD937),AH937-AD937,0))</f>
        <v>0</v>
      </c>
      <c r="W937" s="7" t="str">
        <f aca="false">IF(L937="","",VALUE(LEFT(L937,FIND("/",L937)-1)))</f>
        <v/>
      </c>
      <c r="X937" s="7" t="str">
        <f aca="false">IF(L937="","",VALUE(MID(L937,FIND("/",L937)+1,FIND("/",L937,FIND("/",L937)+1)-FIND("/",L937)-1)))</f>
        <v/>
      </c>
      <c r="Y937" s="7" t="str">
        <f aca="false">IF(L937="","",VALUE(MID(L937,FIND("/",L937,FIND("/",L937)+1)+1,LEN(L937)-FIND("/",L937,FIND("/",L937)+1))))</f>
        <v/>
      </c>
      <c r="Z937" s="7" t="str">
        <f aca="false">IF(OR(L937="",W937=""),"",IFERROR(INDEX('لیست‌ها'!$Q$3:$Q$53,MATCH(W937,'لیست‌ها'!$P$3:$P$53,0))+IF(X937&lt;=6,(X937-1)*31+Y937,IF(X937&lt;=11,186+(X937-7)*30+Y937,336+Y937))-1,""))</f>
        <v/>
      </c>
      <c r="AA937" s="7" t="str">
        <f aca="false">IF(H937="","",VALUE(LEFT(H937,FIND("/",H937)-1)))</f>
        <v/>
      </c>
      <c r="AB937" s="7" t="str">
        <f aca="false">IF(H937="","",VALUE(MID(H937,FIND("/",H937)+1,FIND("/",H937,FIND("/",H937)+1)-FIND("/",H937)-1)))</f>
        <v/>
      </c>
      <c r="AC937" s="7" t="str">
        <f aca="false">IF(H937="","",VALUE(MID(H937,FIND("/",H937,FIND("/",H937)+1)+1,LEN(H937)-FIND("/",H937,FIND("/",H937)+1))))</f>
        <v/>
      </c>
      <c r="AD937" s="7" t="str">
        <f aca="false">IF(OR(H937="",AA937=""),"",IFERROR(INDEX('لیست‌ها'!$Q$3:$Q$53,MATCH(AA937,'لیست‌ها'!$P$3:$P$53,0))+IF(AB937&lt;=6,(AB937-1)*31+AC937,IF(AB937&lt;=11,186+(AB937-7)*30+AC937,336+AC937))-1,""))</f>
        <v/>
      </c>
      <c r="AE937" s="7" t="str">
        <f aca="false">IF(P937="","",VALUE(LEFT(P937,FIND("/",P937)-1)))</f>
        <v/>
      </c>
      <c r="AF937" s="7" t="str">
        <f aca="false">IF(P937="","",VALUE(MID(P937,FIND("/",P937)+1,FIND("/",P937,FIND("/",P937)+1)-FIND("/",P937)-1)))</f>
        <v/>
      </c>
      <c r="AG937" s="7" t="str">
        <f aca="false">IF(P937="","",VALUE(MID(P937,FIND("/",P937,FIND("/",P937)+1)+1,LEN(P937)-FIND("/",P937,FIND("/",P937)+1))))</f>
        <v/>
      </c>
      <c r="AH937" s="7" t="str">
        <f aca="false">IF(OR(P937="",AE937=""),"",IFERROR(INDEX('لیست‌ها'!$Q$3:$Q$53,MATCH(AE937,'لیست‌ها'!$P$3:$P$53,0))+IF(AF937&lt;=6,(AF937-1)*31+AG937,IF(AF937&lt;=11,186+(AF937-7)*30+AG937,336+AG937))-1,""))</f>
        <v/>
      </c>
      <c r="AI937" s="7" t="str">
        <f aca="false">IF(W937="","",W937&amp;"-"&amp;TEXT(X937,"00"))</f>
        <v/>
      </c>
      <c r="AJ937" s="7" t="str">
        <f aca="false">IF(W937="","",W937*12+X937)</f>
        <v/>
      </c>
      <c r="AK937" s="7" t="str">
        <f aca="false">IF(U937="تاخیر",V937+ROW()/100000,"")</f>
        <v/>
      </c>
    </row>
    <row r="938" customFormat="false" ht="15" hidden="false" customHeight="false" outlineLevel="0" collapsed="false">
      <c r="A938" s="7" t="str">
        <f aca="false">IF(B938="","",ROW()-3)</f>
        <v/>
      </c>
      <c r="B938" s="8"/>
      <c r="C938" s="8"/>
      <c r="D938" s="8"/>
      <c r="E938" s="9"/>
      <c r="F938" s="9"/>
      <c r="G938" s="8"/>
      <c r="H938" s="8"/>
      <c r="I938" s="8"/>
      <c r="J938" s="9"/>
      <c r="K938" s="8"/>
      <c r="L938" s="8"/>
      <c r="M938" s="8"/>
      <c r="N938" s="8"/>
      <c r="O938" s="8"/>
      <c r="P938" s="8"/>
      <c r="Q938" s="8"/>
      <c r="R938" s="9"/>
      <c r="S938" s="8"/>
      <c r="T938" s="9"/>
      <c r="U938" s="10" t="str">
        <f aca="true">IF(B938="","",IF(OR(P938&lt;&gt;"",I938="می‌باشد"),"بسته",IF(AND(L938&lt;&gt;"",W938=""),"خطای فرمت تاریخ ایجاد",IF(AND(H938&lt;&gt;"",AA938=""),"خطای فرمت مهلت",IF(AND(H938&lt;&gt;"",AD938&lt;&gt;"",TODAY()&gt;AD938),"تاخیر",IF(L938&lt;&gt;"","در حال انجام",""))))))</f>
        <v/>
      </c>
      <c r="V938" s="7" t="n">
        <f aca="true">IF(U938="تاخیر",TODAY()-AD938,IF(AND(U938="بسته",AH938&lt;&gt;"",AD938&lt;&gt;"",AH938&gt;AD938),AH938-AD938,0))</f>
        <v>0</v>
      </c>
      <c r="W938" s="7" t="str">
        <f aca="false">IF(L938="","",VALUE(LEFT(L938,FIND("/",L938)-1)))</f>
        <v/>
      </c>
      <c r="X938" s="7" t="str">
        <f aca="false">IF(L938="","",VALUE(MID(L938,FIND("/",L938)+1,FIND("/",L938,FIND("/",L938)+1)-FIND("/",L938)-1)))</f>
        <v/>
      </c>
      <c r="Y938" s="7" t="str">
        <f aca="false">IF(L938="","",VALUE(MID(L938,FIND("/",L938,FIND("/",L938)+1)+1,LEN(L938)-FIND("/",L938,FIND("/",L938)+1))))</f>
        <v/>
      </c>
      <c r="Z938" s="7" t="str">
        <f aca="false">IF(OR(L938="",W938=""),"",IFERROR(INDEX('لیست‌ها'!$Q$3:$Q$53,MATCH(W938,'لیست‌ها'!$P$3:$P$53,0))+IF(X938&lt;=6,(X938-1)*31+Y938,IF(X938&lt;=11,186+(X938-7)*30+Y938,336+Y938))-1,""))</f>
        <v/>
      </c>
      <c r="AA938" s="7" t="str">
        <f aca="false">IF(H938="","",VALUE(LEFT(H938,FIND("/",H938)-1)))</f>
        <v/>
      </c>
      <c r="AB938" s="7" t="str">
        <f aca="false">IF(H938="","",VALUE(MID(H938,FIND("/",H938)+1,FIND("/",H938,FIND("/",H938)+1)-FIND("/",H938)-1)))</f>
        <v/>
      </c>
      <c r="AC938" s="7" t="str">
        <f aca="false">IF(H938="","",VALUE(MID(H938,FIND("/",H938,FIND("/",H938)+1)+1,LEN(H938)-FIND("/",H938,FIND("/",H938)+1))))</f>
        <v/>
      </c>
      <c r="AD938" s="7" t="str">
        <f aca="false">IF(OR(H938="",AA938=""),"",IFERROR(INDEX('لیست‌ها'!$Q$3:$Q$53,MATCH(AA938,'لیست‌ها'!$P$3:$P$53,0))+IF(AB938&lt;=6,(AB938-1)*31+AC938,IF(AB938&lt;=11,186+(AB938-7)*30+AC938,336+AC938))-1,""))</f>
        <v/>
      </c>
      <c r="AE938" s="7" t="str">
        <f aca="false">IF(P938="","",VALUE(LEFT(P938,FIND("/",P938)-1)))</f>
        <v/>
      </c>
      <c r="AF938" s="7" t="str">
        <f aca="false">IF(P938="","",VALUE(MID(P938,FIND("/",P938)+1,FIND("/",P938,FIND("/",P938)+1)-FIND("/",P938)-1)))</f>
        <v/>
      </c>
      <c r="AG938" s="7" t="str">
        <f aca="false">IF(P938="","",VALUE(MID(P938,FIND("/",P938,FIND("/",P938)+1)+1,LEN(P938)-FIND("/",P938,FIND("/",P938)+1))))</f>
        <v/>
      </c>
      <c r="AH938" s="7" t="str">
        <f aca="false">IF(OR(P938="",AE938=""),"",IFERROR(INDEX('لیست‌ها'!$Q$3:$Q$53,MATCH(AE938,'لیست‌ها'!$P$3:$P$53,0))+IF(AF938&lt;=6,(AF938-1)*31+AG938,IF(AF938&lt;=11,186+(AF938-7)*30+AG938,336+AG938))-1,""))</f>
        <v/>
      </c>
      <c r="AI938" s="7" t="str">
        <f aca="false">IF(W938="","",W938&amp;"-"&amp;TEXT(X938,"00"))</f>
        <v/>
      </c>
      <c r="AJ938" s="7" t="str">
        <f aca="false">IF(W938="","",W938*12+X938)</f>
        <v/>
      </c>
      <c r="AK938" s="7" t="str">
        <f aca="false">IF(U938="تاخیر",V938+ROW()/100000,"")</f>
        <v/>
      </c>
    </row>
    <row r="939" customFormat="false" ht="15" hidden="false" customHeight="false" outlineLevel="0" collapsed="false">
      <c r="A939" s="7" t="str">
        <f aca="false">IF(B939="","",ROW()-3)</f>
        <v/>
      </c>
      <c r="B939" s="8"/>
      <c r="C939" s="8"/>
      <c r="D939" s="8"/>
      <c r="E939" s="9"/>
      <c r="F939" s="9"/>
      <c r="G939" s="8"/>
      <c r="H939" s="8"/>
      <c r="I939" s="8"/>
      <c r="J939" s="9"/>
      <c r="K939" s="8"/>
      <c r="L939" s="8"/>
      <c r="M939" s="8"/>
      <c r="N939" s="8"/>
      <c r="O939" s="8"/>
      <c r="P939" s="8"/>
      <c r="Q939" s="8"/>
      <c r="R939" s="9"/>
      <c r="S939" s="8"/>
      <c r="T939" s="9"/>
      <c r="U939" s="10" t="str">
        <f aca="true">IF(B939="","",IF(OR(P939&lt;&gt;"",I939="می‌باشد"),"بسته",IF(AND(L939&lt;&gt;"",W939=""),"خطای فرمت تاریخ ایجاد",IF(AND(H939&lt;&gt;"",AA939=""),"خطای فرمت مهلت",IF(AND(H939&lt;&gt;"",AD939&lt;&gt;"",TODAY()&gt;AD939),"تاخیر",IF(L939&lt;&gt;"","در حال انجام",""))))))</f>
        <v/>
      </c>
      <c r="V939" s="7" t="n">
        <f aca="true">IF(U939="تاخیر",TODAY()-AD939,IF(AND(U939="بسته",AH939&lt;&gt;"",AD939&lt;&gt;"",AH939&gt;AD939),AH939-AD939,0))</f>
        <v>0</v>
      </c>
      <c r="W939" s="7" t="str">
        <f aca="false">IF(L939="","",VALUE(LEFT(L939,FIND("/",L939)-1)))</f>
        <v/>
      </c>
      <c r="X939" s="7" t="str">
        <f aca="false">IF(L939="","",VALUE(MID(L939,FIND("/",L939)+1,FIND("/",L939,FIND("/",L939)+1)-FIND("/",L939)-1)))</f>
        <v/>
      </c>
      <c r="Y939" s="7" t="str">
        <f aca="false">IF(L939="","",VALUE(MID(L939,FIND("/",L939,FIND("/",L939)+1)+1,LEN(L939)-FIND("/",L939,FIND("/",L939)+1))))</f>
        <v/>
      </c>
      <c r="Z939" s="7" t="str">
        <f aca="false">IF(OR(L939="",W939=""),"",IFERROR(INDEX('لیست‌ها'!$Q$3:$Q$53,MATCH(W939,'لیست‌ها'!$P$3:$P$53,0))+IF(X939&lt;=6,(X939-1)*31+Y939,IF(X939&lt;=11,186+(X939-7)*30+Y939,336+Y939))-1,""))</f>
        <v/>
      </c>
      <c r="AA939" s="7" t="str">
        <f aca="false">IF(H939="","",VALUE(LEFT(H939,FIND("/",H939)-1)))</f>
        <v/>
      </c>
      <c r="AB939" s="7" t="str">
        <f aca="false">IF(H939="","",VALUE(MID(H939,FIND("/",H939)+1,FIND("/",H939,FIND("/",H939)+1)-FIND("/",H939)-1)))</f>
        <v/>
      </c>
      <c r="AC939" s="7" t="str">
        <f aca="false">IF(H939="","",VALUE(MID(H939,FIND("/",H939,FIND("/",H939)+1)+1,LEN(H939)-FIND("/",H939,FIND("/",H939)+1))))</f>
        <v/>
      </c>
      <c r="AD939" s="7" t="str">
        <f aca="false">IF(OR(H939="",AA939=""),"",IFERROR(INDEX('لیست‌ها'!$Q$3:$Q$53,MATCH(AA939,'لیست‌ها'!$P$3:$P$53,0))+IF(AB939&lt;=6,(AB939-1)*31+AC939,IF(AB939&lt;=11,186+(AB939-7)*30+AC939,336+AC939))-1,""))</f>
        <v/>
      </c>
      <c r="AE939" s="7" t="str">
        <f aca="false">IF(P939="","",VALUE(LEFT(P939,FIND("/",P939)-1)))</f>
        <v/>
      </c>
      <c r="AF939" s="7" t="str">
        <f aca="false">IF(P939="","",VALUE(MID(P939,FIND("/",P939)+1,FIND("/",P939,FIND("/",P939)+1)-FIND("/",P939)-1)))</f>
        <v/>
      </c>
      <c r="AG939" s="7" t="str">
        <f aca="false">IF(P939="","",VALUE(MID(P939,FIND("/",P939,FIND("/",P939)+1)+1,LEN(P939)-FIND("/",P939,FIND("/",P939)+1))))</f>
        <v/>
      </c>
      <c r="AH939" s="7" t="str">
        <f aca="false">IF(OR(P939="",AE939=""),"",IFERROR(INDEX('لیست‌ها'!$Q$3:$Q$53,MATCH(AE939,'لیست‌ها'!$P$3:$P$53,0))+IF(AF939&lt;=6,(AF939-1)*31+AG939,IF(AF939&lt;=11,186+(AF939-7)*30+AG939,336+AG939))-1,""))</f>
        <v/>
      </c>
      <c r="AI939" s="7" t="str">
        <f aca="false">IF(W939="","",W939&amp;"-"&amp;TEXT(X939,"00"))</f>
        <v/>
      </c>
      <c r="AJ939" s="7" t="str">
        <f aca="false">IF(W939="","",W939*12+X939)</f>
        <v/>
      </c>
      <c r="AK939" s="7" t="str">
        <f aca="false">IF(U939="تاخیر",V939+ROW()/100000,"")</f>
        <v/>
      </c>
    </row>
    <row r="940" customFormat="false" ht="15" hidden="false" customHeight="false" outlineLevel="0" collapsed="false">
      <c r="A940" s="7" t="str">
        <f aca="false">IF(B940="","",ROW()-3)</f>
        <v/>
      </c>
      <c r="B940" s="8"/>
      <c r="C940" s="8"/>
      <c r="D940" s="8"/>
      <c r="E940" s="9"/>
      <c r="F940" s="9"/>
      <c r="G940" s="8"/>
      <c r="H940" s="8"/>
      <c r="I940" s="8"/>
      <c r="J940" s="9"/>
      <c r="K940" s="8"/>
      <c r="L940" s="8"/>
      <c r="M940" s="8"/>
      <c r="N940" s="8"/>
      <c r="O940" s="8"/>
      <c r="P940" s="8"/>
      <c r="Q940" s="8"/>
      <c r="R940" s="9"/>
      <c r="S940" s="8"/>
      <c r="T940" s="9"/>
      <c r="U940" s="10" t="str">
        <f aca="true">IF(B940="","",IF(OR(P940&lt;&gt;"",I940="می‌باشد"),"بسته",IF(AND(L940&lt;&gt;"",W940=""),"خطای فرمت تاریخ ایجاد",IF(AND(H940&lt;&gt;"",AA940=""),"خطای فرمت مهلت",IF(AND(H940&lt;&gt;"",AD940&lt;&gt;"",TODAY()&gt;AD940),"تاخیر",IF(L940&lt;&gt;"","در حال انجام",""))))))</f>
        <v/>
      </c>
      <c r="V940" s="7" t="n">
        <f aca="true">IF(U940="تاخیر",TODAY()-AD940,IF(AND(U940="بسته",AH940&lt;&gt;"",AD940&lt;&gt;"",AH940&gt;AD940),AH940-AD940,0))</f>
        <v>0</v>
      </c>
      <c r="W940" s="7" t="str">
        <f aca="false">IF(L940="","",VALUE(LEFT(L940,FIND("/",L940)-1)))</f>
        <v/>
      </c>
      <c r="X940" s="7" t="str">
        <f aca="false">IF(L940="","",VALUE(MID(L940,FIND("/",L940)+1,FIND("/",L940,FIND("/",L940)+1)-FIND("/",L940)-1)))</f>
        <v/>
      </c>
      <c r="Y940" s="7" t="str">
        <f aca="false">IF(L940="","",VALUE(MID(L940,FIND("/",L940,FIND("/",L940)+1)+1,LEN(L940)-FIND("/",L940,FIND("/",L940)+1))))</f>
        <v/>
      </c>
      <c r="Z940" s="7" t="str">
        <f aca="false">IF(OR(L940="",W940=""),"",IFERROR(INDEX('لیست‌ها'!$Q$3:$Q$53,MATCH(W940,'لیست‌ها'!$P$3:$P$53,0))+IF(X940&lt;=6,(X940-1)*31+Y940,IF(X940&lt;=11,186+(X940-7)*30+Y940,336+Y940))-1,""))</f>
        <v/>
      </c>
      <c r="AA940" s="7" t="str">
        <f aca="false">IF(H940="","",VALUE(LEFT(H940,FIND("/",H940)-1)))</f>
        <v/>
      </c>
      <c r="AB940" s="7" t="str">
        <f aca="false">IF(H940="","",VALUE(MID(H940,FIND("/",H940)+1,FIND("/",H940,FIND("/",H940)+1)-FIND("/",H940)-1)))</f>
        <v/>
      </c>
      <c r="AC940" s="7" t="str">
        <f aca="false">IF(H940="","",VALUE(MID(H940,FIND("/",H940,FIND("/",H940)+1)+1,LEN(H940)-FIND("/",H940,FIND("/",H940)+1))))</f>
        <v/>
      </c>
      <c r="AD940" s="7" t="str">
        <f aca="false">IF(OR(H940="",AA940=""),"",IFERROR(INDEX('لیست‌ها'!$Q$3:$Q$53,MATCH(AA940,'لیست‌ها'!$P$3:$P$53,0))+IF(AB940&lt;=6,(AB940-1)*31+AC940,IF(AB940&lt;=11,186+(AB940-7)*30+AC940,336+AC940))-1,""))</f>
        <v/>
      </c>
      <c r="AE940" s="7" t="str">
        <f aca="false">IF(P940="","",VALUE(LEFT(P940,FIND("/",P940)-1)))</f>
        <v/>
      </c>
      <c r="AF940" s="7" t="str">
        <f aca="false">IF(P940="","",VALUE(MID(P940,FIND("/",P940)+1,FIND("/",P940,FIND("/",P940)+1)-FIND("/",P940)-1)))</f>
        <v/>
      </c>
      <c r="AG940" s="7" t="str">
        <f aca="false">IF(P940="","",VALUE(MID(P940,FIND("/",P940,FIND("/",P940)+1)+1,LEN(P940)-FIND("/",P940,FIND("/",P940)+1))))</f>
        <v/>
      </c>
      <c r="AH940" s="7" t="str">
        <f aca="false">IF(OR(P940="",AE940=""),"",IFERROR(INDEX('لیست‌ها'!$Q$3:$Q$53,MATCH(AE940,'لیست‌ها'!$P$3:$P$53,0))+IF(AF940&lt;=6,(AF940-1)*31+AG940,IF(AF940&lt;=11,186+(AF940-7)*30+AG940,336+AG940))-1,""))</f>
        <v/>
      </c>
      <c r="AI940" s="7" t="str">
        <f aca="false">IF(W940="","",W940&amp;"-"&amp;TEXT(X940,"00"))</f>
        <v/>
      </c>
      <c r="AJ940" s="7" t="str">
        <f aca="false">IF(W940="","",W940*12+X940)</f>
        <v/>
      </c>
      <c r="AK940" s="7" t="str">
        <f aca="false">IF(U940="تاخیر",V940+ROW()/100000,"")</f>
        <v/>
      </c>
    </row>
    <row r="941" customFormat="false" ht="15" hidden="false" customHeight="false" outlineLevel="0" collapsed="false">
      <c r="A941" s="7" t="str">
        <f aca="false">IF(B941="","",ROW()-3)</f>
        <v/>
      </c>
      <c r="B941" s="8"/>
      <c r="C941" s="8"/>
      <c r="D941" s="8"/>
      <c r="E941" s="9"/>
      <c r="F941" s="9"/>
      <c r="G941" s="8"/>
      <c r="H941" s="8"/>
      <c r="I941" s="8"/>
      <c r="J941" s="9"/>
      <c r="K941" s="8"/>
      <c r="L941" s="8"/>
      <c r="M941" s="8"/>
      <c r="N941" s="8"/>
      <c r="O941" s="8"/>
      <c r="P941" s="8"/>
      <c r="Q941" s="8"/>
      <c r="R941" s="9"/>
      <c r="S941" s="8"/>
      <c r="T941" s="9"/>
      <c r="U941" s="10" t="str">
        <f aca="true">IF(B941="","",IF(OR(P941&lt;&gt;"",I941="می‌باشد"),"بسته",IF(AND(L941&lt;&gt;"",W941=""),"خطای فرمت تاریخ ایجاد",IF(AND(H941&lt;&gt;"",AA941=""),"خطای فرمت مهلت",IF(AND(H941&lt;&gt;"",AD941&lt;&gt;"",TODAY()&gt;AD941),"تاخیر",IF(L941&lt;&gt;"","در حال انجام",""))))))</f>
        <v/>
      </c>
      <c r="V941" s="7" t="n">
        <f aca="true">IF(U941="تاخیر",TODAY()-AD941,IF(AND(U941="بسته",AH941&lt;&gt;"",AD941&lt;&gt;"",AH941&gt;AD941),AH941-AD941,0))</f>
        <v>0</v>
      </c>
      <c r="W941" s="7" t="str">
        <f aca="false">IF(L941="","",VALUE(LEFT(L941,FIND("/",L941)-1)))</f>
        <v/>
      </c>
      <c r="X941" s="7" t="str">
        <f aca="false">IF(L941="","",VALUE(MID(L941,FIND("/",L941)+1,FIND("/",L941,FIND("/",L941)+1)-FIND("/",L941)-1)))</f>
        <v/>
      </c>
      <c r="Y941" s="7" t="str">
        <f aca="false">IF(L941="","",VALUE(MID(L941,FIND("/",L941,FIND("/",L941)+1)+1,LEN(L941)-FIND("/",L941,FIND("/",L941)+1))))</f>
        <v/>
      </c>
      <c r="Z941" s="7" t="str">
        <f aca="false">IF(OR(L941="",W941=""),"",IFERROR(INDEX('لیست‌ها'!$Q$3:$Q$53,MATCH(W941,'لیست‌ها'!$P$3:$P$53,0))+IF(X941&lt;=6,(X941-1)*31+Y941,IF(X941&lt;=11,186+(X941-7)*30+Y941,336+Y941))-1,""))</f>
        <v/>
      </c>
      <c r="AA941" s="7" t="str">
        <f aca="false">IF(H941="","",VALUE(LEFT(H941,FIND("/",H941)-1)))</f>
        <v/>
      </c>
      <c r="AB941" s="7" t="str">
        <f aca="false">IF(H941="","",VALUE(MID(H941,FIND("/",H941)+1,FIND("/",H941,FIND("/",H941)+1)-FIND("/",H941)-1)))</f>
        <v/>
      </c>
      <c r="AC941" s="7" t="str">
        <f aca="false">IF(H941="","",VALUE(MID(H941,FIND("/",H941,FIND("/",H941)+1)+1,LEN(H941)-FIND("/",H941,FIND("/",H941)+1))))</f>
        <v/>
      </c>
      <c r="AD941" s="7" t="str">
        <f aca="false">IF(OR(H941="",AA941=""),"",IFERROR(INDEX('لیست‌ها'!$Q$3:$Q$53,MATCH(AA941,'لیست‌ها'!$P$3:$P$53,0))+IF(AB941&lt;=6,(AB941-1)*31+AC941,IF(AB941&lt;=11,186+(AB941-7)*30+AC941,336+AC941))-1,""))</f>
        <v/>
      </c>
      <c r="AE941" s="7" t="str">
        <f aca="false">IF(P941="","",VALUE(LEFT(P941,FIND("/",P941)-1)))</f>
        <v/>
      </c>
      <c r="AF941" s="7" t="str">
        <f aca="false">IF(P941="","",VALUE(MID(P941,FIND("/",P941)+1,FIND("/",P941,FIND("/",P941)+1)-FIND("/",P941)-1)))</f>
        <v/>
      </c>
      <c r="AG941" s="7" t="str">
        <f aca="false">IF(P941="","",VALUE(MID(P941,FIND("/",P941,FIND("/",P941)+1)+1,LEN(P941)-FIND("/",P941,FIND("/",P941)+1))))</f>
        <v/>
      </c>
      <c r="AH941" s="7" t="str">
        <f aca="false">IF(OR(P941="",AE941=""),"",IFERROR(INDEX('لیست‌ها'!$Q$3:$Q$53,MATCH(AE941,'لیست‌ها'!$P$3:$P$53,0))+IF(AF941&lt;=6,(AF941-1)*31+AG941,IF(AF941&lt;=11,186+(AF941-7)*30+AG941,336+AG941))-1,""))</f>
        <v/>
      </c>
      <c r="AI941" s="7" t="str">
        <f aca="false">IF(W941="","",W941&amp;"-"&amp;TEXT(X941,"00"))</f>
        <v/>
      </c>
      <c r="AJ941" s="7" t="str">
        <f aca="false">IF(W941="","",W941*12+X941)</f>
        <v/>
      </c>
      <c r="AK941" s="7" t="str">
        <f aca="false">IF(U941="تاخیر",V941+ROW()/100000,"")</f>
        <v/>
      </c>
    </row>
    <row r="942" customFormat="false" ht="15" hidden="false" customHeight="false" outlineLevel="0" collapsed="false">
      <c r="A942" s="7" t="str">
        <f aca="false">IF(B942="","",ROW()-3)</f>
        <v/>
      </c>
      <c r="B942" s="8"/>
      <c r="C942" s="8"/>
      <c r="D942" s="8"/>
      <c r="E942" s="9"/>
      <c r="F942" s="9"/>
      <c r="G942" s="8"/>
      <c r="H942" s="8"/>
      <c r="I942" s="8"/>
      <c r="J942" s="9"/>
      <c r="K942" s="8"/>
      <c r="L942" s="8"/>
      <c r="M942" s="8"/>
      <c r="N942" s="8"/>
      <c r="O942" s="8"/>
      <c r="P942" s="8"/>
      <c r="Q942" s="8"/>
      <c r="R942" s="9"/>
      <c r="S942" s="8"/>
      <c r="T942" s="9"/>
      <c r="U942" s="10" t="str">
        <f aca="true">IF(B942="","",IF(OR(P942&lt;&gt;"",I942="می‌باشد"),"بسته",IF(AND(L942&lt;&gt;"",W942=""),"خطای فرمت تاریخ ایجاد",IF(AND(H942&lt;&gt;"",AA942=""),"خطای فرمت مهلت",IF(AND(H942&lt;&gt;"",AD942&lt;&gt;"",TODAY()&gt;AD942),"تاخیر",IF(L942&lt;&gt;"","در حال انجام",""))))))</f>
        <v/>
      </c>
      <c r="V942" s="7" t="n">
        <f aca="true">IF(U942="تاخیر",TODAY()-AD942,IF(AND(U942="بسته",AH942&lt;&gt;"",AD942&lt;&gt;"",AH942&gt;AD942),AH942-AD942,0))</f>
        <v>0</v>
      </c>
      <c r="W942" s="7" t="str">
        <f aca="false">IF(L942="","",VALUE(LEFT(L942,FIND("/",L942)-1)))</f>
        <v/>
      </c>
      <c r="X942" s="7" t="str">
        <f aca="false">IF(L942="","",VALUE(MID(L942,FIND("/",L942)+1,FIND("/",L942,FIND("/",L942)+1)-FIND("/",L942)-1)))</f>
        <v/>
      </c>
      <c r="Y942" s="7" t="str">
        <f aca="false">IF(L942="","",VALUE(MID(L942,FIND("/",L942,FIND("/",L942)+1)+1,LEN(L942)-FIND("/",L942,FIND("/",L942)+1))))</f>
        <v/>
      </c>
      <c r="Z942" s="7" t="str">
        <f aca="false">IF(OR(L942="",W942=""),"",IFERROR(INDEX('لیست‌ها'!$Q$3:$Q$53,MATCH(W942,'لیست‌ها'!$P$3:$P$53,0))+IF(X942&lt;=6,(X942-1)*31+Y942,IF(X942&lt;=11,186+(X942-7)*30+Y942,336+Y942))-1,""))</f>
        <v/>
      </c>
      <c r="AA942" s="7" t="str">
        <f aca="false">IF(H942="","",VALUE(LEFT(H942,FIND("/",H942)-1)))</f>
        <v/>
      </c>
      <c r="AB942" s="7" t="str">
        <f aca="false">IF(H942="","",VALUE(MID(H942,FIND("/",H942)+1,FIND("/",H942,FIND("/",H942)+1)-FIND("/",H942)-1)))</f>
        <v/>
      </c>
      <c r="AC942" s="7" t="str">
        <f aca="false">IF(H942="","",VALUE(MID(H942,FIND("/",H942,FIND("/",H942)+1)+1,LEN(H942)-FIND("/",H942,FIND("/",H942)+1))))</f>
        <v/>
      </c>
      <c r="AD942" s="7" t="str">
        <f aca="false">IF(OR(H942="",AA942=""),"",IFERROR(INDEX('لیست‌ها'!$Q$3:$Q$53,MATCH(AA942,'لیست‌ها'!$P$3:$P$53,0))+IF(AB942&lt;=6,(AB942-1)*31+AC942,IF(AB942&lt;=11,186+(AB942-7)*30+AC942,336+AC942))-1,""))</f>
        <v/>
      </c>
      <c r="AE942" s="7" t="str">
        <f aca="false">IF(P942="","",VALUE(LEFT(P942,FIND("/",P942)-1)))</f>
        <v/>
      </c>
      <c r="AF942" s="7" t="str">
        <f aca="false">IF(P942="","",VALUE(MID(P942,FIND("/",P942)+1,FIND("/",P942,FIND("/",P942)+1)-FIND("/",P942)-1)))</f>
        <v/>
      </c>
      <c r="AG942" s="7" t="str">
        <f aca="false">IF(P942="","",VALUE(MID(P942,FIND("/",P942,FIND("/",P942)+1)+1,LEN(P942)-FIND("/",P942,FIND("/",P942)+1))))</f>
        <v/>
      </c>
      <c r="AH942" s="7" t="str">
        <f aca="false">IF(OR(P942="",AE942=""),"",IFERROR(INDEX('لیست‌ها'!$Q$3:$Q$53,MATCH(AE942,'لیست‌ها'!$P$3:$P$53,0))+IF(AF942&lt;=6,(AF942-1)*31+AG942,IF(AF942&lt;=11,186+(AF942-7)*30+AG942,336+AG942))-1,""))</f>
        <v/>
      </c>
      <c r="AI942" s="7" t="str">
        <f aca="false">IF(W942="","",W942&amp;"-"&amp;TEXT(X942,"00"))</f>
        <v/>
      </c>
      <c r="AJ942" s="7" t="str">
        <f aca="false">IF(W942="","",W942*12+X942)</f>
        <v/>
      </c>
      <c r="AK942" s="7" t="str">
        <f aca="false">IF(U942="تاخیر",V942+ROW()/100000,"")</f>
        <v/>
      </c>
    </row>
    <row r="943" customFormat="false" ht="15" hidden="false" customHeight="false" outlineLevel="0" collapsed="false">
      <c r="A943" s="7" t="str">
        <f aca="false">IF(B943="","",ROW()-3)</f>
        <v/>
      </c>
      <c r="B943" s="8"/>
      <c r="C943" s="8"/>
      <c r="D943" s="8"/>
      <c r="E943" s="9"/>
      <c r="F943" s="9"/>
      <c r="G943" s="8"/>
      <c r="H943" s="8"/>
      <c r="I943" s="8"/>
      <c r="J943" s="9"/>
      <c r="K943" s="8"/>
      <c r="L943" s="8"/>
      <c r="M943" s="8"/>
      <c r="N943" s="8"/>
      <c r="O943" s="8"/>
      <c r="P943" s="8"/>
      <c r="Q943" s="8"/>
      <c r="R943" s="9"/>
      <c r="S943" s="8"/>
      <c r="T943" s="9"/>
      <c r="U943" s="10" t="str">
        <f aca="true">IF(B943="","",IF(OR(P943&lt;&gt;"",I943="می‌باشد"),"بسته",IF(AND(L943&lt;&gt;"",W943=""),"خطای فرمت تاریخ ایجاد",IF(AND(H943&lt;&gt;"",AA943=""),"خطای فرمت مهلت",IF(AND(H943&lt;&gt;"",AD943&lt;&gt;"",TODAY()&gt;AD943),"تاخیر",IF(L943&lt;&gt;"","در حال انجام",""))))))</f>
        <v/>
      </c>
      <c r="V943" s="7" t="n">
        <f aca="true">IF(U943="تاخیر",TODAY()-AD943,IF(AND(U943="بسته",AH943&lt;&gt;"",AD943&lt;&gt;"",AH943&gt;AD943),AH943-AD943,0))</f>
        <v>0</v>
      </c>
      <c r="W943" s="7" t="str">
        <f aca="false">IF(L943="","",VALUE(LEFT(L943,FIND("/",L943)-1)))</f>
        <v/>
      </c>
      <c r="X943" s="7" t="str">
        <f aca="false">IF(L943="","",VALUE(MID(L943,FIND("/",L943)+1,FIND("/",L943,FIND("/",L943)+1)-FIND("/",L943)-1)))</f>
        <v/>
      </c>
      <c r="Y943" s="7" t="str">
        <f aca="false">IF(L943="","",VALUE(MID(L943,FIND("/",L943,FIND("/",L943)+1)+1,LEN(L943)-FIND("/",L943,FIND("/",L943)+1))))</f>
        <v/>
      </c>
      <c r="Z943" s="7" t="str">
        <f aca="false">IF(OR(L943="",W943=""),"",IFERROR(INDEX('لیست‌ها'!$Q$3:$Q$53,MATCH(W943,'لیست‌ها'!$P$3:$P$53,0))+IF(X943&lt;=6,(X943-1)*31+Y943,IF(X943&lt;=11,186+(X943-7)*30+Y943,336+Y943))-1,""))</f>
        <v/>
      </c>
      <c r="AA943" s="7" t="str">
        <f aca="false">IF(H943="","",VALUE(LEFT(H943,FIND("/",H943)-1)))</f>
        <v/>
      </c>
      <c r="AB943" s="7" t="str">
        <f aca="false">IF(H943="","",VALUE(MID(H943,FIND("/",H943)+1,FIND("/",H943,FIND("/",H943)+1)-FIND("/",H943)-1)))</f>
        <v/>
      </c>
      <c r="AC943" s="7" t="str">
        <f aca="false">IF(H943="","",VALUE(MID(H943,FIND("/",H943,FIND("/",H943)+1)+1,LEN(H943)-FIND("/",H943,FIND("/",H943)+1))))</f>
        <v/>
      </c>
      <c r="AD943" s="7" t="str">
        <f aca="false">IF(OR(H943="",AA943=""),"",IFERROR(INDEX('لیست‌ها'!$Q$3:$Q$53,MATCH(AA943,'لیست‌ها'!$P$3:$P$53,0))+IF(AB943&lt;=6,(AB943-1)*31+AC943,IF(AB943&lt;=11,186+(AB943-7)*30+AC943,336+AC943))-1,""))</f>
        <v/>
      </c>
      <c r="AE943" s="7" t="str">
        <f aca="false">IF(P943="","",VALUE(LEFT(P943,FIND("/",P943)-1)))</f>
        <v/>
      </c>
      <c r="AF943" s="7" t="str">
        <f aca="false">IF(P943="","",VALUE(MID(P943,FIND("/",P943)+1,FIND("/",P943,FIND("/",P943)+1)-FIND("/",P943)-1)))</f>
        <v/>
      </c>
      <c r="AG943" s="7" t="str">
        <f aca="false">IF(P943="","",VALUE(MID(P943,FIND("/",P943,FIND("/",P943)+1)+1,LEN(P943)-FIND("/",P943,FIND("/",P943)+1))))</f>
        <v/>
      </c>
      <c r="AH943" s="7" t="str">
        <f aca="false">IF(OR(P943="",AE943=""),"",IFERROR(INDEX('لیست‌ها'!$Q$3:$Q$53,MATCH(AE943,'لیست‌ها'!$P$3:$P$53,0))+IF(AF943&lt;=6,(AF943-1)*31+AG943,IF(AF943&lt;=11,186+(AF943-7)*30+AG943,336+AG943))-1,""))</f>
        <v/>
      </c>
      <c r="AI943" s="7" t="str">
        <f aca="false">IF(W943="","",W943&amp;"-"&amp;TEXT(X943,"00"))</f>
        <v/>
      </c>
      <c r="AJ943" s="7" t="str">
        <f aca="false">IF(W943="","",W943*12+X943)</f>
        <v/>
      </c>
      <c r="AK943" s="7" t="str">
        <f aca="false">IF(U943="تاخیر",V943+ROW()/100000,"")</f>
        <v/>
      </c>
    </row>
    <row r="944" customFormat="false" ht="15" hidden="false" customHeight="false" outlineLevel="0" collapsed="false">
      <c r="A944" s="7" t="str">
        <f aca="false">IF(B944="","",ROW()-3)</f>
        <v/>
      </c>
      <c r="B944" s="8"/>
      <c r="C944" s="8"/>
      <c r="D944" s="8"/>
      <c r="E944" s="9"/>
      <c r="F944" s="9"/>
      <c r="G944" s="8"/>
      <c r="H944" s="8"/>
      <c r="I944" s="8"/>
      <c r="J944" s="9"/>
      <c r="K944" s="8"/>
      <c r="L944" s="8"/>
      <c r="M944" s="8"/>
      <c r="N944" s="8"/>
      <c r="O944" s="8"/>
      <c r="P944" s="8"/>
      <c r="Q944" s="8"/>
      <c r="R944" s="9"/>
      <c r="S944" s="8"/>
      <c r="T944" s="9"/>
      <c r="U944" s="10" t="str">
        <f aca="true">IF(B944="","",IF(OR(P944&lt;&gt;"",I944="می‌باشد"),"بسته",IF(AND(L944&lt;&gt;"",W944=""),"خطای فرمت تاریخ ایجاد",IF(AND(H944&lt;&gt;"",AA944=""),"خطای فرمت مهلت",IF(AND(H944&lt;&gt;"",AD944&lt;&gt;"",TODAY()&gt;AD944),"تاخیر",IF(L944&lt;&gt;"","در حال انجام",""))))))</f>
        <v/>
      </c>
      <c r="V944" s="7" t="n">
        <f aca="true">IF(U944="تاخیر",TODAY()-AD944,IF(AND(U944="بسته",AH944&lt;&gt;"",AD944&lt;&gt;"",AH944&gt;AD944),AH944-AD944,0))</f>
        <v>0</v>
      </c>
      <c r="W944" s="7" t="str">
        <f aca="false">IF(L944="","",VALUE(LEFT(L944,FIND("/",L944)-1)))</f>
        <v/>
      </c>
      <c r="X944" s="7" t="str">
        <f aca="false">IF(L944="","",VALUE(MID(L944,FIND("/",L944)+1,FIND("/",L944,FIND("/",L944)+1)-FIND("/",L944)-1)))</f>
        <v/>
      </c>
      <c r="Y944" s="7" t="str">
        <f aca="false">IF(L944="","",VALUE(MID(L944,FIND("/",L944,FIND("/",L944)+1)+1,LEN(L944)-FIND("/",L944,FIND("/",L944)+1))))</f>
        <v/>
      </c>
      <c r="Z944" s="7" t="str">
        <f aca="false">IF(OR(L944="",W944=""),"",IFERROR(INDEX('لیست‌ها'!$Q$3:$Q$53,MATCH(W944,'لیست‌ها'!$P$3:$P$53,0))+IF(X944&lt;=6,(X944-1)*31+Y944,IF(X944&lt;=11,186+(X944-7)*30+Y944,336+Y944))-1,""))</f>
        <v/>
      </c>
      <c r="AA944" s="7" t="str">
        <f aca="false">IF(H944="","",VALUE(LEFT(H944,FIND("/",H944)-1)))</f>
        <v/>
      </c>
      <c r="AB944" s="7" t="str">
        <f aca="false">IF(H944="","",VALUE(MID(H944,FIND("/",H944)+1,FIND("/",H944,FIND("/",H944)+1)-FIND("/",H944)-1)))</f>
        <v/>
      </c>
      <c r="AC944" s="7" t="str">
        <f aca="false">IF(H944="","",VALUE(MID(H944,FIND("/",H944,FIND("/",H944)+1)+1,LEN(H944)-FIND("/",H944,FIND("/",H944)+1))))</f>
        <v/>
      </c>
      <c r="AD944" s="7" t="str">
        <f aca="false">IF(OR(H944="",AA944=""),"",IFERROR(INDEX('لیست‌ها'!$Q$3:$Q$53,MATCH(AA944,'لیست‌ها'!$P$3:$P$53,0))+IF(AB944&lt;=6,(AB944-1)*31+AC944,IF(AB944&lt;=11,186+(AB944-7)*30+AC944,336+AC944))-1,""))</f>
        <v/>
      </c>
      <c r="AE944" s="7" t="str">
        <f aca="false">IF(P944="","",VALUE(LEFT(P944,FIND("/",P944)-1)))</f>
        <v/>
      </c>
      <c r="AF944" s="7" t="str">
        <f aca="false">IF(P944="","",VALUE(MID(P944,FIND("/",P944)+1,FIND("/",P944,FIND("/",P944)+1)-FIND("/",P944)-1)))</f>
        <v/>
      </c>
      <c r="AG944" s="7" t="str">
        <f aca="false">IF(P944="","",VALUE(MID(P944,FIND("/",P944,FIND("/",P944)+1)+1,LEN(P944)-FIND("/",P944,FIND("/",P944)+1))))</f>
        <v/>
      </c>
      <c r="AH944" s="7" t="str">
        <f aca="false">IF(OR(P944="",AE944=""),"",IFERROR(INDEX('لیست‌ها'!$Q$3:$Q$53,MATCH(AE944,'لیست‌ها'!$P$3:$P$53,0))+IF(AF944&lt;=6,(AF944-1)*31+AG944,IF(AF944&lt;=11,186+(AF944-7)*30+AG944,336+AG944))-1,""))</f>
        <v/>
      </c>
      <c r="AI944" s="7" t="str">
        <f aca="false">IF(W944="","",W944&amp;"-"&amp;TEXT(X944,"00"))</f>
        <v/>
      </c>
      <c r="AJ944" s="7" t="str">
        <f aca="false">IF(W944="","",W944*12+X944)</f>
        <v/>
      </c>
      <c r="AK944" s="7" t="str">
        <f aca="false">IF(U944="تاخیر",V944+ROW()/100000,"")</f>
        <v/>
      </c>
    </row>
    <row r="945" customFormat="false" ht="15" hidden="false" customHeight="false" outlineLevel="0" collapsed="false">
      <c r="A945" s="7" t="str">
        <f aca="false">IF(B945="","",ROW()-3)</f>
        <v/>
      </c>
      <c r="B945" s="8"/>
      <c r="C945" s="8"/>
      <c r="D945" s="8"/>
      <c r="E945" s="9"/>
      <c r="F945" s="9"/>
      <c r="G945" s="8"/>
      <c r="H945" s="8"/>
      <c r="I945" s="8"/>
      <c r="J945" s="9"/>
      <c r="K945" s="8"/>
      <c r="L945" s="8"/>
      <c r="M945" s="8"/>
      <c r="N945" s="8"/>
      <c r="O945" s="8"/>
      <c r="P945" s="8"/>
      <c r="Q945" s="8"/>
      <c r="R945" s="9"/>
      <c r="S945" s="8"/>
      <c r="T945" s="9"/>
      <c r="U945" s="10" t="str">
        <f aca="true">IF(B945="","",IF(OR(P945&lt;&gt;"",I945="می‌باشد"),"بسته",IF(AND(L945&lt;&gt;"",W945=""),"خطای فرمت تاریخ ایجاد",IF(AND(H945&lt;&gt;"",AA945=""),"خطای فرمت مهلت",IF(AND(H945&lt;&gt;"",AD945&lt;&gt;"",TODAY()&gt;AD945),"تاخیر",IF(L945&lt;&gt;"","در حال انجام",""))))))</f>
        <v/>
      </c>
      <c r="V945" s="7" t="n">
        <f aca="true">IF(U945="تاخیر",TODAY()-AD945,IF(AND(U945="بسته",AH945&lt;&gt;"",AD945&lt;&gt;"",AH945&gt;AD945),AH945-AD945,0))</f>
        <v>0</v>
      </c>
      <c r="W945" s="7" t="str">
        <f aca="false">IF(L945="","",VALUE(LEFT(L945,FIND("/",L945)-1)))</f>
        <v/>
      </c>
      <c r="X945" s="7" t="str">
        <f aca="false">IF(L945="","",VALUE(MID(L945,FIND("/",L945)+1,FIND("/",L945,FIND("/",L945)+1)-FIND("/",L945)-1)))</f>
        <v/>
      </c>
      <c r="Y945" s="7" t="str">
        <f aca="false">IF(L945="","",VALUE(MID(L945,FIND("/",L945,FIND("/",L945)+1)+1,LEN(L945)-FIND("/",L945,FIND("/",L945)+1))))</f>
        <v/>
      </c>
      <c r="Z945" s="7" t="str">
        <f aca="false">IF(OR(L945="",W945=""),"",IFERROR(INDEX('لیست‌ها'!$Q$3:$Q$53,MATCH(W945,'لیست‌ها'!$P$3:$P$53,0))+IF(X945&lt;=6,(X945-1)*31+Y945,IF(X945&lt;=11,186+(X945-7)*30+Y945,336+Y945))-1,""))</f>
        <v/>
      </c>
      <c r="AA945" s="7" t="str">
        <f aca="false">IF(H945="","",VALUE(LEFT(H945,FIND("/",H945)-1)))</f>
        <v/>
      </c>
      <c r="AB945" s="7" t="str">
        <f aca="false">IF(H945="","",VALUE(MID(H945,FIND("/",H945)+1,FIND("/",H945,FIND("/",H945)+1)-FIND("/",H945)-1)))</f>
        <v/>
      </c>
      <c r="AC945" s="7" t="str">
        <f aca="false">IF(H945="","",VALUE(MID(H945,FIND("/",H945,FIND("/",H945)+1)+1,LEN(H945)-FIND("/",H945,FIND("/",H945)+1))))</f>
        <v/>
      </c>
      <c r="AD945" s="7" t="str">
        <f aca="false">IF(OR(H945="",AA945=""),"",IFERROR(INDEX('لیست‌ها'!$Q$3:$Q$53,MATCH(AA945,'لیست‌ها'!$P$3:$P$53,0))+IF(AB945&lt;=6,(AB945-1)*31+AC945,IF(AB945&lt;=11,186+(AB945-7)*30+AC945,336+AC945))-1,""))</f>
        <v/>
      </c>
      <c r="AE945" s="7" t="str">
        <f aca="false">IF(P945="","",VALUE(LEFT(P945,FIND("/",P945)-1)))</f>
        <v/>
      </c>
      <c r="AF945" s="7" t="str">
        <f aca="false">IF(P945="","",VALUE(MID(P945,FIND("/",P945)+1,FIND("/",P945,FIND("/",P945)+1)-FIND("/",P945)-1)))</f>
        <v/>
      </c>
      <c r="AG945" s="7" t="str">
        <f aca="false">IF(P945="","",VALUE(MID(P945,FIND("/",P945,FIND("/",P945)+1)+1,LEN(P945)-FIND("/",P945,FIND("/",P945)+1))))</f>
        <v/>
      </c>
      <c r="AH945" s="7" t="str">
        <f aca="false">IF(OR(P945="",AE945=""),"",IFERROR(INDEX('لیست‌ها'!$Q$3:$Q$53,MATCH(AE945,'لیست‌ها'!$P$3:$P$53,0))+IF(AF945&lt;=6,(AF945-1)*31+AG945,IF(AF945&lt;=11,186+(AF945-7)*30+AG945,336+AG945))-1,""))</f>
        <v/>
      </c>
      <c r="AI945" s="7" t="str">
        <f aca="false">IF(W945="","",W945&amp;"-"&amp;TEXT(X945,"00"))</f>
        <v/>
      </c>
      <c r="AJ945" s="7" t="str">
        <f aca="false">IF(W945="","",W945*12+X945)</f>
        <v/>
      </c>
      <c r="AK945" s="7" t="str">
        <f aca="false">IF(U945="تاخیر",V945+ROW()/100000,"")</f>
        <v/>
      </c>
    </row>
    <row r="946" customFormat="false" ht="15" hidden="false" customHeight="false" outlineLevel="0" collapsed="false">
      <c r="A946" s="7" t="str">
        <f aca="false">IF(B946="","",ROW()-3)</f>
        <v/>
      </c>
      <c r="B946" s="8"/>
      <c r="C946" s="8"/>
      <c r="D946" s="8"/>
      <c r="E946" s="9"/>
      <c r="F946" s="9"/>
      <c r="G946" s="8"/>
      <c r="H946" s="8"/>
      <c r="I946" s="8"/>
      <c r="J946" s="9"/>
      <c r="K946" s="8"/>
      <c r="L946" s="8"/>
      <c r="M946" s="8"/>
      <c r="N946" s="8"/>
      <c r="O946" s="8"/>
      <c r="P946" s="8"/>
      <c r="Q946" s="8"/>
      <c r="R946" s="9"/>
      <c r="S946" s="8"/>
      <c r="T946" s="9"/>
      <c r="U946" s="10" t="str">
        <f aca="true">IF(B946="","",IF(OR(P946&lt;&gt;"",I946="می‌باشد"),"بسته",IF(AND(L946&lt;&gt;"",W946=""),"خطای فرمت تاریخ ایجاد",IF(AND(H946&lt;&gt;"",AA946=""),"خطای فرمت مهلت",IF(AND(H946&lt;&gt;"",AD946&lt;&gt;"",TODAY()&gt;AD946),"تاخیر",IF(L946&lt;&gt;"","در حال انجام",""))))))</f>
        <v/>
      </c>
      <c r="V946" s="7" t="n">
        <f aca="true">IF(U946="تاخیر",TODAY()-AD946,IF(AND(U946="بسته",AH946&lt;&gt;"",AD946&lt;&gt;"",AH946&gt;AD946),AH946-AD946,0))</f>
        <v>0</v>
      </c>
      <c r="W946" s="7" t="str">
        <f aca="false">IF(L946="","",VALUE(LEFT(L946,FIND("/",L946)-1)))</f>
        <v/>
      </c>
      <c r="X946" s="7" t="str">
        <f aca="false">IF(L946="","",VALUE(MID(L946,FIND("/",L946)+1,FIND("/",L946,FIND("/",L946)+1)-FIND("/",L946)-1)))</f>
        <v/>
      </c>
      <c r="Y946" s="7" t="str">
        <f aca="false">IF(L946="","",VALUE(MID(L946,FIND("/",L946,FIND("/",L946)+1)+1,LEN(L946)-FIND("/",L946,FIND("/",L946)+1))))</f>
        <v/>
      </c>
      <c r="Z946" s="7" t="str">
        <f aca="false">IF(OR(L946="",W946=""),"",IFERROR(INDEX('لیست‌ها'!$Q$3:$Q$53,MATCH(W946,'لیست‌ها'!$P$3:$P$53,0))+IF(X946&lt;=6,(X946-1)*31+Y946,IF(X946&lt;=11,186+(X946-7)*30+Y946,336+Y946))-1,""))</f>
        <v/>
      </c>
      <c r="AA946" s="7" t="str">
        <f aca="false">IF(H946="","",VALUE(LEFT(H946,FIND("/",H946)-1)))</f>
        <v/>
      </c>
      <c r="AB946" s="7" t="str">
        <f aca="false">IF(H946="","",VALUE(MID(H946,FIND("/",H946)+1,FIND("/",H946,FIND("/",H946)+1)-FIND("/",H946)-1)))</f>
        <v/>
      </c>
      <c r="AC946" s="7" t="str">
        <f aca="false">IF(H946="","",VALUE(MID(H946,FIND("/",H946,FIND("/",H946)+1)+1,LEN(H946)-FIND("/",H946,FIND("/",H946)+1))))</f>
        <v/>
      </c>
      <c r="AD946" s="7" t="str">
        <f aca="false">IF(OR(H946="",AA946=""),"",IFERROR(INDEX('لیست‌ها'!$Q$3:$Q$53,MATCH(AA946,'لیست‌ها'!$P$3:$P$53,0))+IF(AB946&lt;=6,(AB946-1)*31+AC946,IF(AB946&lt;=11,186+(AB946-7)*30+AC946,336+AC946))-1,""))</f>
        <v/>
      </c>
      <c r="AE946" s="7" t="str">
        <f aca="false">IF(P946="","",VALUE(LEFT(P946,FIND("/",P946)-1)))</f>
        <v/>
      </c>
      <c r="AF946" s="7" t="str">
        <f aca="false">IF(P946="","",VALUE(MID(P946,FIND("/",P946)+1,FIND("/",P946,FIND("/",P946)+1)-FIND("/",P946)-1)))</f>
        <v/>
      </c>
      <c r="AG946" s="7" t="str">
        <f aca="false">IF(P946="","",VALUE(MID(P946,FIND("/",P946,FIND("/",P946)+1)+1,LEN(P946)-FIND("/",P946,FIND("/",P946)+1))))</f>
        <v/>
      </c>
      <c r="AH946" s="7" t="str">
        <f aca="false">IF(OR(P946="",AE946=""),"",IFERROR(INDEX('لیست‌ها'!$Q$3:$Q$53,MATCH(AE946,'لیست‌ها'!$P$3:$P$53,0))+IF(AF946&lt;=6,(AF946-1)*31+AG946,IF(AF946&lt;=11,186+(AF946-7)*30+AG946,336+AG946))-1,""))</f>
        <v/>
      </c>
      <c r="AI946" s="7" t="str">
        <f aca="false">IF(W946="","",W946&amp;"-"&amp;TEXT(X946,"00"))</f>
        <v/>
      </c>
      <c r="AJ946" s="7" t="str">
        <f aca="false">IF(W946="","",W946*12+X946)</f>
        <v/>
      </c>
      <c r="AK946" s="7" t="str">
        <f aca="false">IF(U946="تاخیر",V946+ROW()/100000,"")</f>
        <v/>
      </c>
    </row>
    <row r="947" customFormat="false" ht="15" hidden="false" customHeight="false" outlineLevel="0" collapsed="false">
      <c r="A947" s="7" t="str">
        <f aca="false">IF(B947="","",ROW()-3)</f>
        <v/>
      </c>
      <c r="B947" s="8"/>
      <c r="C947" s="8"/>
      <c r="D947" s="8"/>
      <c r="E947" s="9"/>
      <c r="F947" s="9"/>
      <c r="G947" s="8"/>
      <c r="H947" s="8"/>
      <c r="I947" s="8"/>
      <c r="J947" s="9"/>
      <c r="K947" s="8"/>
      <c r="L947" s="8"/>
      <c r="M947" s="8"/>
      <c r="N947" s="8"/>
      <c r="O947" s="8"/>
      <c r="P947" s="8"/>
      <c r="Q947" s="8"/>
      <c r="R947" s="9"/>
      <c r="S947" s="8"/>
      <c r="T947" s="9"/>
      <c r="U947" s="10" t="str">
        <f aca="true">IF(B947="","",IF(OR(P947&lt;&gt;"",I947="می‌باشد"),"بسته",IF(AND(L947&lt;&gt;"",W947=""),"خطای فرمت تاریخ ایجاد",IF(AND(H947&lt;&gt;"",AA947=""),"خطای فرمت مهلت",IF(AND(H947&lt;&gt;"",AD947&lt;&gt;"",TODAY()&gt;AD947),"تاخیر",IF(L947&lt;&gt;"","در حال انجام",""))))))</f>
        <v/>
      </c>
      <c r="V947" s="7" t="n">
        <f aca="true">IF(U947="تاخیر",TODAY()-AD947,IF(AND(U947="بسته",AH947&lt;&gt;"",AD947&lt;&gt;"",AH947&gt;AD947),AH947-AD947,0))</f>
        <v>0</v>
      </c>
      <c r="W947" s="7" t="str">
        <f aca="false">IF(L947="","",VALUE(LEFT(L947,FIND("/",L947)-1)))</f>
        <v/>
      </c>
      <c r="X947" s="7" t="str">
        <f aca="false">IF(L947="","",VALUE(MID(L947,FIND("/",L947)+1,FIND("/",L947,FIND("/",L947)+1)-FIND("/",L947)-1)))</f>
        <v/>
      </c>
      <c r="Y947" s="7" t="str">
        <f aca="false">IF(L947="","",VALUE(MID(L947,FIND("/",L947,FIND("/",L947)+1)+1,LEN(L947)-FIND("/",L947,FIND("/",L947)+1))))</f>
        <v/>
      </c>
      <c r="Z947" s="7" t="str">
        <f aca="false">IF(OR(L947="",W947=""),"",IFERROR(INDEX('لیست‌ها'!$Q$3:$Q$53,MATCH(W947,'لیست‌ها'!$P$3:$P$53,0))+IF(X947&lt;=6,(X947-1)*31+Y947,IF(X947&lt;=11,186+(X947-7)*30+Y947,336+Y947))-1,""))</f>
        <v/>
      </c>
      <c r="AA947" s="7" t="str">
        <f aca="false">IF(H947="","",VALUE(LEFT(H947,FIND("/",H947)-1)))</f>
        <v/>
      </c>
      <c r="AB947" s="7" t="str">
        <f aca="false">IF(H947="","",VALUE(MID(H947,FIND("/",H947)+1,FIND("/",H947,FIND("/",H947)+1)-FIND("/",H947)-1)))</f>
        <v/>
      </c>
      <c r="AC947" s="7" t="str">
        <f aca="false">IF(H947="","",VALUE(MID(H947,FIND("/",H947,FIND("/",H947)+1)+1,LEN(H947)-FIND("/",H947,FIND("/",H947)+1))))</f>
        <v/>
      </c>
      <c r="AD947" s="7" t="str">
        <f aca="false">IF(OR(H947="",AA947=""),"",IFERROR(INDEX('لیست‌ها'!$Q$3:$Q$53,MATCH(AA947,'لیست‌ها'!$P$3:$P$53,0))+IF(AB947&lt;=6,(AB947-1)*31+AC947,IF(AB947&lt;=11,186+(AB947-7)*30+AC947,336+AC947))-1,""))</f>
        <v/>
      </c>
      <c r="AE947" s="7" t="str">
        <f aca="false">IF(P947="","",VALUE(LEFT(P947,FIND("/",P947)-1)))</f>
        <v/>
      </c>
      <c r="AF947" s="7" t="str">
        <f aca="false">IF(P947="","",VALUE(MID(P947,FIND("/",P947)+1,FIND("/",P947,FIND("/",P947)+1)-FIND("/",P947)-1)))</f>
        <v/>
      </c>
      <c r="AG947" s="7" t="str">
        <f aca="false">IF(P947="","",VALUE(MID(P947,FIND("/",P947,FIND("/",P947)+1)+1,LEN(P947)-FIND("/",P947,FIND("/",P947)+1))))</f>
        <v/>
      </c>
      <c r="AH947" s="7" t="str">
        <f aca="false">IF(OR(P947="",AE947=""),"",IFERROR(INDEX('لیست‌ها'!$Q$3:$Q$53,MATCH(AE947,'لیست‌ها'!$P$3:$P$53,0))+IF(AF947&lt;=6,(AF947-1)*31+AG947,IF(AF947&lt;=11,186+(AF947-7)*30+AG947,336+AG947))-1,""))</f>
        <v/>
      </c>
      <c r="AI947" s="7" t="str">
        <f aca="false">IF(W947="","",W947&amp;"-"&amp;TEXT(X947,"00"))</f>
        <v/>
      </c>
      <c r="AJ947" s="7" t="str">
        <f aca="false">IF(W947="","",W947*12+X947)</f>
        <v/>
      </c>
      <c r="AK947" s="7" t="str">
        <f aca="false">IF(U947="تاخیر",V947+ROW()/100000,"")</f>
        <v/>
      </c>
    </row>
    <row r="948" customFormat="false" ht="15" hidden="false" customHeight="false" outlineLevel="0" collapsed="false">
      <c r="A948" s="7" t="str">
        <f aca="false">IF(B948="","",ROW()-3)</f>
        <v/>
      </c>
      <c r="B948" s="8"/>
      <c r="C948" s="8"/>
      <c r="D948" s="8"/>
      <c r="E948" s="9"/>
      <c r="F948" s="9"/>
      <c r="G948" s="8"/>
      <c r="H948" s="8"/>
      <c r="I948" s="8"/>
      <c r="J948" s="9"/>
      <c r="K948" s="8"/>
      <c r="L948" s="8"/>
      <c r="M948" s="8"/>
      <c r="N948" s="8"/>
      <c r="O948" s="8"/>
      <c r="P948" s="8"/>
      <c r="Q948" s="8"/>
      <c r="R948" s="9"/>
      <c r="S948" s="8"/>
      <c r="T948" s="9"/>
      <c r="U948" s="10" t="str">
        <f aca="true">IF(B948="","",IF(OR(P948&lt;&gt;"",I948="می‌باشد"),"بسته",IF(AND(L948&lt;&gt;"",W948=""),"خطای فرمت تاریخ ایجاد",IF(AND(H948&lt;&gt;"",AA948=""),"خطای فرمت مهلت",IF(AND(H948&lt;&gt;"",AD948&lt;&gt;"",TODAY()&gt;AD948),"تاخیر",IF(L948&lt;&gt;"","در حال انجام",""))))))</f>
        <v/>
      </c>
      <c r="V948" s="7" t="n">
        <f aca="true">IF(U948="تاخیر",TODAY()-AD948,IF(AND(U948="بسته",AH948&lt;&gt;"",AD948&lt;&gt;"",AH948&gt;AD948),AH948-AD948,0))</f>
        <v>0</v>
      </c>
      <c r="W948" s="7" t="str">
        <f aca="false">IF(L948="","",VALUE(LEFT(L948,FIND("/",L948)-1)))</f>
        <v/>
      </c>
      <c r="X948" s="7" t="str">
        <f aca="false">IF(L948="","",VALUE(MID(L948,FIND("/",L948)+1,FIND("/",L948,FIND("/",L948)+1)-FIND("/",L948)-1)))</f>
        <v/>
      </c>
      <c r="Y948" s="7" t="str">
        <f aca="false">IF(L948="","",VALUE(MID(L948,FIND("/",L948,FIND("/",L948)+1)+1,LEN(L948)-FIND("/",L948,FIND("/",L948)+1))))</f>
        <v/>
      </c>
      <c r="Z948" s="7" t="str">
        <f aca="false">IF(OR(L948="",W948=""),"",IFERROR(INDEX('لیست‌ها'!$Q$3:$Q$53,MATCH(W948,'لیست‌ها'!$P$3:$P$53,0))+IF(X948&lt;=6,(X948-1)*31+Y948,IF(X948&lt;=11,186+(X948-7)*30+Y948,336+Y948))-1,""))</f>
        <v/>
      </c>
      <c r="AA948" s="7" t="str">
        <f aca="false">IF(H948="","",VALUE(LEFT(H948,FIND("/",H948)-1)))</f>
        <v/>
      </c>
      <c r="AB948" s="7" t="str">
        <f aca="false">IF(H948="","",VALUE(MID(H948,FIND("/",H948)+1,FIND("/",H948,FIND("/",H948)+1)-FIND("/",H948)-1)))</f>
        <v/>
      </c>
      <c r="AC948" s="7" t="str">
        <f aca="false">IF(H948="","",VALUE(MID(H948,FIND("/",H948,FIND("/",H948)+1)+1,LEN(H948)-FIND("/",H948,FIND("/",H948)+1))))</f>
        <v/>
      </c>
      <c r="AD948" s="7" t="str">
        <f aca="false">IF(OR(H948="",AA948=""),"",IFERROR(INDEX('لیست‌ها'!$Q$3:$Q$53,MATCH(AA948,'لیست‌ها'!$P$3:$P$53,0))+IF(AB948&lt;=6,(AB948-1)*31+AC948,IF(AB948&lt;=11,186+(AB948-7)*30+AC948,336+AC948))-1,""))</f>
        <v/>
      </c>
      <c r="AE948" s="7" t="str">
        <f aca="false">IF(P948="","",VALUE(LEFT(P948,FIND("/",P948)-1)))</f>
        <v/>
      </c>
      <c r="AF948" s="7" t="str">
        <f aca="false">IF(P948="","",VALUE(MID(P948,FIND("/",P948)+1,FIND("/",P948,FIND("/",P948)+1)-FIND("/",P948)-1)))</f>
        <v/>
      </c>
      <c r="AG948" s="7" t="str">
        <f aca="false">IF(P948="","",VALUE(MID(P948,FIND("/",P948,FIND("/",P948)+1)+1,LEN(P948)-FIND("/",P948,FIND("/",P948)+1))))</f>
        <v/>
      </c>
      <c r="AH948" s="7" t="str">
        <f aca="false">IF(OR(P948="",AE948=""),"",IFERROR(INDEX('لیست‌ها'!$Q$3:$Q$53,MATCH(AE948,'لیست‌ها'!$P$3:$P$53,0))+IF(AF948&lt;=6,(AF948-1)*31+AG948,IF(AF948&lt;=11,186+(AF948-7)*30+AG948,336+AG948))-1,""))</f>
        <v/>
      </c>
      <c r="AI948" s="7" t="str">
        <f aca="false">IF(W948="","",W948&amp;"-"&amp;TEXT(X948,"00"))</f>
        <v/>
      </c>
      <c r="AJ948" s="7" t="str">
        <f aca="false">IF(W948="","",W948*12+X948)</f>
        <v/>
      </c>
      <c r="AK948" s="7" t="str">
        <f aca="false">IF(U948="تاخیر",V948+ROW()/100000,"")</f>
        <v/>
      </c>
    </row>
    <row r="949" customFormat="false" ht="15" hidden="false" customHeight="false" outlineLevel="0" collapsed="false">
      <c r="A949" s="7" t="str">
        <f aca="false">IF(B949="","",ROW()-3)</f>
        <v/>
      </c>
      <c r="B949" s="8"/>
      <c r="C949" s="8"/>
      <c r="D949" s="8"/>
      <c r="E949" s="9"/>
      <c r="F949" s="9"/>
      <c r="G949" s="8"/>
      <c r="H949" s="8"/>
      <c r="I949" s="8"/>
      <c r="J949" s="9"/>
      <c r="K949" s="8"/>
      <c r="L949" s="8"/>
      <c r="M949" s="8"/>
      <c r="N949" s="8"/>
      <c r="O949" s="8"/>
      <c r="P949" s="8"/>
      <c r="Q949" s="8"/>
      <c r="R949" s="9"/>
      <c r="S949" s="8"/>
      <c r="T949" s="9"/>
      <c r="U949" s="10" t="str">
        <f aca="true">IF(B949="","",IF(OR(P949&lt;&gt;"",I949="می‌باشد"),"بسته",IF(AND(L949&lt;&gt;"",W949=""),"خطای فرمت تاریخ ایجاد",IF(AND(H949&lt;&gt;"",AA949=""),"خطای فرمت مهلت",IF(AND(H949&lt;&gt;"",AD949&lt;&gt;"",TODAY()&gt;AD949),"تاخیر",IF(L949&lt;&gt;"","در حال انجام",""))))))</f>
        <v/>
      </c>
      <c r="V949" s="7" t="n">
        <f aca="true">IF(U949="تاخیر",TODAY()-AD949,IF(AND(U949="بسته",AH949&lt;&gt;"",AD949&lt;&gt;"",AH949&gt;AD949),AH949-AD949,0))</f>
        <v>0</v>
      </c>
      <c r="W949" s="7" t="str">
        <f aca="false">IF(L949="","",VALUE(LEFT(L949,FIND("/",L949)-1)))</f>
        <v/>
      </c>
      <c r="X949" s="7" t="str">
        <f aca="false">IF(L949="","",VALUE(MID(L949,FIND("/",L949)+1,FIND("/",L949,FIND("/",L949)+1)-FIND("/",L949)-1)))</f>
        <v/>
      </c>
      <c r="Y949" s="7" t="str">
        <f aca="false">IF(L949="","",VALUE(MID(L949,FIND("/",L949,FIND("/",L949)+1)+1,LEN(L949)-FIND("/",L949,FIND("/",L949)+1))))</f>
        <v/>
      </c>
      <c r="Z949" s="7" t="str">
        <f aca="false">IF(OR(L949="",W949=""),"",IFERROR(INDEX('لیست‌ها'!$Q$3:$Q$53,MATCH(W949,'لیست‌ها'!$P$3:$P$53,0))+IF(X949&lt;=6,(X949-1)*31+Y949,IF(X949&lt;=11,186+(X949-7)*30+Y949,336+Y949))-1,""))</f>
        <v/>
      </c>
      <c r="AA949" s="7" t="str">
        <f aca="false">IF(H949="","",VALUE(LEFT(H949,FIND("/",H949)-1)))</f>
        <v/>
      </c>
      <c r="AB949" s="7" t="str">
        <f aca="false">IF(H949="","",VALUE(MID(H949,FIND("/",H949)+1,FIND("/",H949,FIND("/",H949)+1)-FIND("/",H949)-1)))</f>
        <v/>
      </c>
      <c r="AC949" s="7" t="str">
        <f aca="false">IF(H949="","",VALUE(MID(H949,FIND("/",H949,FIND("/",H949)+1)+1,LEN(H949)-FIND("/",H949,FIND("/",H949)+1))))</f>
        <v/>
      </c>
      <c r="AD949" s="7" t="str">
        <f aca="false">IF(OR(H949="",AA949=""),"",IFERROR(INDEX('لیست‌ها'!$Q$3:$Q$53,MATCH(AA949,'لیست‌ها'!$P$3:$P$53,0))+IF(AB949&lt;=6,(AB949-1)*31+AC949,IF(AB949&lt;=11,186+(AB949-7)*30+AC949,336+AC949))-1,""))</f>
        <v/>
      </c>
      <c r="AE949" s="7" t="str">
        <f aca="false">IF(P949="","",VALUE(LEFT(P949,FIND("/",P949)-1)))</f>
        <v/>
      </c>
      <c r="AF949" s="7" t="str">
        <f aca="false">IF(P949="","",VALUE(MID(P949,FIND("/",P949)+1,FIND("/",P949,FIND("/",P949)+1)-FIND("/",P949)-1)))</f>
        <v/>
      </c>
      <c r="AG949" s="7" t="str">
        <f aca="false">IF(P949="","",VALUE(MID(P949,FIND("/",P949,FIND("/",P949)+1)+1,LEN(P949)-FIND("/",P949,FIND("/",P949)+1))))</f>
        <v/>
      </c>
      <c r="AH949" s="7" t="str">
        <f aca="false">IF(OR(P949="",AE949=""),"",IFERROR(INDEX('لیست‌ها'!$Q$3:$Q$53,MATCH(AE949,'لیست‌ها'!$P$3:$P$53,0))+IF(AF949&lt;=6,(AF949-1)*31+AG949,IF(AF949&lt;=11,186+(AF949-7)*30+AG949,336+AG949))-1,""))</f>
        <v/>
      </c>
      <c r="AI949" s="7" t="str">
        <f aca="false">IF(W949="","",W949&amp;"-"&amp;TEXT(X949,"00"))</f>
        <v/>
      </c>
      <c r="AJ949" s="7" t="str">
        <f aca="false">IF(W949="","",W949*12+X949)</f>
        <v/>
      </c>
      <c r="AK949" s="7" t="str">
        <f aca="false">IF(U949="تاخیر",V949+ROW()/100000,"")</f>
        <v/>
      </c>
    </row>
    <row r="950" customFormat="false" ht="15" hidden="false" customHeight="false" outlineLevel="0" collapsed="false">
      <c r="A950" s="7" t="str">
        <f aca="false">IF(B950="","",ROW()-3)</f>
        <v/>
      </c>
      <c r="B950" s="8"/>
      <c r="C950" s="8"/>
      <c r="D950" s="8"/>
      <c r="E950" s="9"/>
      <c r="F950" s="9"/>
      <c r="G950" s="8"/>
      <c r="H950" s="8"/>
      <c r="I950" s="8"/>
      <c r="J950" s="9"/>
      <c r="K950" s="8"/>
      <c r="L950" s="8"/>
      <c r="M950" s="8"/>
      <c r="N950" s="8"/>
      <c r="O950" s="8"/>
      <c r="P950" s="8"/>
      <c r="Q950" s="8"/>
      <c r="R950" s="9"/>
      <c r="S950" s="8"/>
      <c r="T950" s="9"/>
      <c r="U950" s="10" t="str">
        <f aca="true">IF(B950="","",IF(OR(P950&lt;&gt;"",I950="می‌باشد"),"بسته",IF(AND(L950&lt;&gt;"",W950=""),"خطای فرمت تاریخ ایجاد",IF(AND(H950&lt;&gt;"",AA950=""),"خطای فرمت مهلت",IF(AND(H950&lt;&gt;"",AD950&lt;&gt;"",TODAY()&gt;AD950),"تاخیر",IF(L950&lt;&gt;"","در حال انجام",""))))))</f>
        <v/>
      </c>
      <c r="V950" s="7" t="n">
        <f aca="true">IF(U950="تاخیر",TODAY()-AD950,IF(AND(U950="بسته",AH950&lt;&gt;"",AD950&lt;&gt;"",AH950&gt;AD950),AH950-AD950,0))</f>
        <v>0</v>
      </c>
      <c r="W950" s="7" t="str">
        <f aca="false">IF(L950="","",VALUE(LEFT(L950,FIND("/",L950)-1)))</f>
        <v/>
      </c>
      <c r="X950" s="7" t="str">
        <f aca="false">IF(L950="","",VALUE(MID(L950,FIND("/",L950)+1,FIND("/",L950,FIND("/",L950)+1)-FIND("/",L950)-1)))</f>
        <v/>
      </c>
      <c r="Y950" s="7" t="str">
        <f aca="false">IF(L950="","",VALUE(MID(L950,FIND("/",L950,FIND("/",L950)+1)+1,LEN(L950)-FIND("/",L950,FIND("/",L950)+1))))</f>
        <v/>
      </c>
      <c r="Z950" s="7" t="str">
        <f aca="false">IF(OR(L950="",W950=""),"",IFERROR(INDEX('لیست‌ها'!$Q$3:$Q$53,MATCH(W950,'لیست‌ها'!$P$3:$P$53,0))+IF(X950&lt;=6,(X950-1)*31+Y950,IF(X950&lt;=11,186+(X950-7)*30+Y950,336+Y950))-1,""))</f>
        <v/>
      </c>
      <c r="AA950" s="7" t="str">
        <f aca="false">IF(H950="","",VALUE(LEFT(H950,FIND("/",H950)-1)))</f>
        <v/>
      </c>
      <c r="AB950" s="7" t="str">
        <f aca="false">IF(H950="","",VALUE(MID(H950,FIND("/",H950)+1,FIND("/",H950,FIND("/",H950)+1)-FIND("/",H950)-1)))</f>
        <v/>
      </c>
      <c r="AC950" s="7" t="str">
        <f aca="false">IF(H950="","",VALUE(MID(H950,FIND("/",H950,FIND("/",H950)+1)+1,LEN(H950)-FIND("/",H950,FIND("/",H950)+1))))</f>
        <v/>
      </c>
      <c r="AD950" s="7" t="str">
        <f aca="false">IF(OR(H950="",AA950=""),"",IFERROR(INDEX('لیست‌ها'!$Q$3:$Q$53,MATCH(AA950,'لیست‌ها'!$P$3:$P$53,0))+IF(AB950&lt;=6,(AB950-1)*31+AC950,IF(AB950&lt;=11,186+(AB950-7)*30+AC950,336+AC950))-1,""))</f>
        <v/>
      </c>
      <c r="AE950" s="7" t="str">
        <f aca="false">IF(P950="","",VALUE(LEFT(P950,FIND("/",P950)-1)))</f>
        <v/>
      </c>
      <c r="AF950" s="7" t="str">
        <f aca="false">IF(P950="","",VALUE(MID(P950,FIND("/",P950)+1,FIND("/",P950,FIND("/",P950)+1)-FIND("/",P950)-1)))</f>
        <v/>
      </c>
      <c r="AG950" s="7" t="str">
        <f aca="false">IF(P950="","",VALUE(MID(P950,FIND("/",P950,FIND("/",P950)+1)+1,LEN(P950)-FIND("/",P950,FIND("/",P950)+1))))</f>
        <v/>
      </c>
      <c r="AH950" s="7" t="str">
        <f aca="false">IF(OR(P950="",AE950=""),"",IFERROR(INDEX('لیست‌ها'!$Q$3:$Q$53,MATCH(AE950,'لیست‌ها'!$P$3:$P$53,0))+IF(AF950&lt;=6,(AF950-1)*31+AG950,IF(AF950&lt;=11,186+(AF950-7)*30+AG950,336+AG950))-1,""))</f>
        <v/>
      </c>
      <c r="AI950" s="7" t="str">
        <f aca="false">IF(W950="","",W950&amp;"-"&amp;TEXT(X950,"00"))</f>
        <v/>
      </c>
      <c r="AJ950" s="7" t="str">
        <f aca="false">IF(W950="","",W950*12+X950)</f>
        <v/>
      </c>
      <c r="AK950" s="7" t="str">
        <f aca="false">IF(U950="تاخیر",V950+ROW()/100000,"")</f>
        <v/>
      </c>
    </row>
    <row r="951" customFormat="false" ht="15" hidden="false" customHeight="false" outlineLevel="0" collapsed="false">
      <c r="A951" s="7" t="str">
        <f aca="false">IF(B951="","",ROW()-3)</f>
        <v/>
      </c>
      <c r="B951" s="8"/>
      <c r="C951" s="8"/>
      <c r="D951" s="8"/>
      <c r="E951" s="9"/>
      <c r="F951" s="9"/>
      <c r="G951" s="8"/>
      <c r="H951" s="8"/>
      <c r="I951" s="8"/>
      <c r="J951" s="9"/>
      <c r="K951" s="8"/>
      <c r="L951" s="8"/>
      <c r="M951" s="8"/>
      <c r="N951" s="8"/>
      <c r="O951" s="8"/>
      <c r="P951" s="8"/>
      <c r="Q951" s="8"/>
      <c r="R951" s="9"/>
      <c r="S951" s="8"/>
      <c r="T951" s="9"/>
      <c r="U951" s="10" t="str">
        <f aca="true">IF(B951="","",IF(OR(P951&lt;&gt;"",I951="می‌باشد"),"بسته",IF(AND(L951&lt;&gt;"",W951=""),"خطای فرمت تاریخ ایجاد",IF(AND(H951&lt;&gt;"",AA951=""),"خطای فرمت مهلت",IF(AND(H951&lt;&gt;"",AD951&lt;&gt;"",TODAY()&gt;AD951),"تاخیر",IF(L951&lt;&gt;"","در حال انجام",""))))))</f>
        <v/>
      </c>
      <c r="V951" s="7" t="n">
        <f aca="true">IF(U951="تاخیر",TODAY()-AD951,IF(AND(U951="بسته",AH951&lt;&gt;"",AD951&lt;&gt;"",AH951&gt;AD951),AH951-AD951,0))</f>
        <v>0</v>
      </c>
      <c r="W951" s="7" t="str">
        <f aca="false">IF(L951="","",VALUE(LEFT(L951,FIND("/",L951)-1)))</f>
        <v/>
      </c>
      <c r="X951" s="7" t="str">
        <f aca="false">IF(L951="","",VALUE(MID(L951,FIND("/",L951)+1,FIND("/",L951,FIND("/",L951)+1)-FIND("/",L951)-1)))</f>
        <v/>
      </c>
      <c r="Y951" s="7" t="str">
        <f aca="false">IF(L951="","",VALUE(MID(L951,FIND("/",L951,FIND("/",L951)+1)+1,LEN(L951)-FIND("/",L951,FIND("/",L951)+1))))</f>
        <v/>
      </c>
      <c r="Z951" s="7" t="str">
        <f aca="false">IF(OR(L951="",W951=""),"",IFERROR(INDEX('لیست‌ها'!$Q$3:$Q$53,MATCH(W951,'لیست‌ها'!$P$3:$P$53,0))+IF(X951&lt;=6,(X951-1)*31+Y951,IF(X951&lt;=11,186+(X951-7)*30+Y951,336+Y951))-1,""))</f>
        <v/>
      </c>
      <c r="AA951" s="7" t="str">
        <f aca="false">IF(H951="","",VALUE(LEFT(H951,FIND("/",H951)-1)))</f>
        <v/>
      </c>
      <c r="AB951" s="7" t="str">
        <f aca="false">IF(H951="","",VALUE(MID(H951,FIND("/",H951)+1,FIND("/",H951,FIND("/",H951)+1)-FIND("/",H951)-1)))</f>
        <v/>
      </c>
      <c r="AC951" s="7" t="str">
        <f aca="false">IF(H951="","",VALUE(MID(H951,FIND("/",H951,FIND("/",H951)+1)+1,LEN(H951)-FIND("/",H951,FIND("/",H951)+1))))</f>
        <v/>
      </c>
      <c r="AD951" s="7" t="str">
        <f aca="false">IF(OR(H951="",AA951=""),"",IFERROR(INDEX('لیست‌ها'!$Q$3:$Q$53,MATCH(AA951,'لیست‌ها'!$P$3:$P$53,0))+IF(AB951&lt;=6,(AB951-1)*31+AC951,IF(AB951&lt;=11,186+(AB951-7)*30+AC951,336+AC951))-1,""))</f>
        <v/>
      </c>
      <c r="AE951" s="7" t="str">
        <f aca="false">IF(P951="","",VALUE(LEFT(P951,FIND("/",P951)-1)))</f>
        <v/>
      </c>
      <c r="AF951" s="7" t="str">
        <f aca="false">IF(P951="","",VALUE(MID(P951,FIND("/",P951)+1,FIND("/",P951,FIND("/",P951)+1)-FIND("/",P951)-1)))</f>
        <v/>
      </c>
      <c r="AG951" s="7" t="str">
        <f aca="false">IF(P951="","",VALUE(MID(P951,FIND("/",P951,FIND("/",P951)+1)+1,LEN(P951)-FIND("/",P951,FIND("/",P951)+1))))</f>
        <v/>
      </c>
      <c r="AH951" s="7" t="str">
        <f aca="false">IF(OR(P951="",AE951=""),"",IFERROR(INDEX('لیست‌ها'!$Q$3:$Q$53,MATCH(AE951,'لیست‌ها'!$P$3:$P$53,0))+IF(AF951&lt;=6,(AF951-1)*31+AG951,IF(AF951&lt;=11,186+(AF951-7)*30+AG951,336+AG951))-1,""))</f>
        <v/>
      </c>
      <c r="AI951" s="7" t="str">
        <f aca="false">IF(W951="","",W951&amp;"-"&amp;TEXT(X951,"00"))</f>
        <v/>
      </c>
      <c r="AJ951" s="7" t="str">
        <f aca="false">IF(W951="","",W951*12+X951)</f>
        <v/>
      </c>
      <c r="AK951" s="7" t="str">
        <f aca="false">IF(U951="تاخیر",V951+ROW()/100000,"")</f>
        <v/>
      </c>
    </row>
    <row r="952" customFormat="false" ht="15" hidden="false" customHeight="false" outlineLevel="0" collapsed="false">
      <c r="A952" s="7" t="str">
        <f aca="false">IF(B952="","",ROW()-3)</f>
        <v/>
      </c>
      <c r="B952" s="8"/>
      <c r="C952" s="8"/>
      <c r="D952" s="8"/>
      <c r="E952" s="9"/>
      <c r="F952" s="9"/>
      <c r="G952" s="8"/>
      <c r="H952" s="8"/>
      <c r="I952" s="8"/>
      <c r="J952" s="9"/>
      <c r="K952" s="8"/>
      <c r="L952" s="8"/>
      <c r="M952" s="8"/>
      <c r="N952" s="8"/>
      <c r="O952" s="8"/>
      <c r="P952" s="8"/>
      <c r="Q952" s="8"/>
      <c r="R952" s="9"/>
      <c r="S952" s="8"/>
      <c r="T952" s="9"/>
      <c r="U952" s="10" t="str">
        <f aca="true">IF(B952="","",IF(OR(P952&lt;&gt;"",I952="می‌باشد"),"بسته",IF(AND(L952&lt;&gt;"",W952=""),"خطای فرمت تاریخ ایجاد",IF(AND(H952&lt;&gt;"",AA952=""),"خطای فرمت مهلت",IF(AND(H952&lt;&gt;"",AD952&lt;&gt;"",TODAY()&gt;AD952),"تاخیر",IF(L952&lt;&gt;"","در حال انجام",""))))))</f>
        <v/>
      </c>
      <c r="V952" s="7" t="n">
        <f aca="true">IF(U952="تاخیر",TODAY()-AD952,IF(AND(U952="بسته",AH952&lt;&gt;"",AD952&lt;&gt;"",AH952&gt;AD952),AH952-AD952,0))</f>
        <v>0</v>
      </c>
      <c r="W952" s="7" t="str">
        <f aca="false">IF(L952="","",VALUE(LEFT(L952,FIND("/",L952)-1)))</f>
        <v/>
      </c>
      <c r="X952" s="7" t="str">
        <f aca="false">IF(L952="","",VALUE(MID(L952,FIND("/",L952)+1,FIND("/",L952,FIND("/",L952)+1)-FIND("/",L952)-1)))</f>
        <v/>
      </c>
      <c r="Y952" s="7" t="str">
        <f aca="false">IF(L952="","",VALUE(MID(L952,FIND("/",L952,FIND("/",L952)+1)+1,LEN(L952)-FIND("/",L952,FIND("/",L952)+1))))</f>
        <v/>
      </c>
      <c r="Z952" s="7" t="str">
        <f aca="false">IF(OR(L952="",W952=""),"",IFERROR(INDEX('لیست‌ها'!$Q$3:$Q$53,MATCH(W952,'لیست‌ها'!$P$3:$P$53,0))+IF(X952&lt;=6,(X952-1)*31+Y952,IF(X952&lt;=11,186+(X952-7)*30+Y952,336+Y952))-1,""))</f>
        <v/>
      </c>
      <c r="AA952" s="7" t="str">
        <f aca="false">IF(H952="","",VALUE(LEFT(H952,FIND("/",H952)-1)))</f>
        <v/>
      </c>
      <c r="AB952" s="7" t="str">
        <f aca="false">IF(H952="","",VALUE(MID(H952,FIND("/",H952)+1,FIND("/",H952,FIND("/",H952)+1)-FIND("/",H952)-1)))</f>
        <v/>
      </c>
      <c r="AC952" s="7" t="str">
        <f aca="false">IF(H952="","",VALUE(MID(H952,FIND("/",H952,FIND("/",H952)+1)+1,LEN(H952)-FIND("/",H952,FIND("/",H952)+1))))</f>
        <v/>
      </c>
      <c r="AD952" s="7" t="str">
        <f aca="false">IF(OR(H952="",AA952=""),"",IFERROR(INDEX('لیست‌ها'!$Q$3:$Q$53,MATCH(AA952,'لیست‌ها'!$P$3:$P$53,0))+IF(AB952&lt;=6,(AB952-1)*31+AC952,IF(AB952&lt;=11,186+(AB952-7)*30+AC952,336+AC952))-1,""))</f>
        <v/>
      </c>
      <c r="AE952" s="7" t="str">
        <f aca="false">IF(P952="","",VALUE(LEFT(P952,FIND("/",P952)-1)))</f>
        <v/>
      </c>
      <c r="AF952" s="7" t="str">
        <f aca="false">IF(P952="","",VALUE(MID(P952,FIND("/",P952)+1,FIND("/",P952,FIND("/",P952)+1)-FIND("/",P952)-1)))</f>
        <v/>
      </c>
      <c r="AG952" s="7" t="str">
        <f aca="false">IF(P952="","",VALUE(MID(P952,FIND("/",P952,FIND("/",P952)+1)+1,LEN(P952)-FIND("/",P952,FIND("/",P952)+1))))</f>
        <v/>
      </c>
      <c r="AH952" s="7" t="str">
        <f aca="false">IF(OR(P952="",AE952=""),"",IFERROR(INDEX('لیست‌ها'!$Q$3:$Q$53,MATCH(AE952,'لیست‌ها'!$P$3:$P$53,0))+IF(AF952&lt;=6,(AF952-1)*31+AG952,IF(AF952&lt;=11,186+(AF952-7)*30+AG952,336+AG952))-1,""))</f>
        <v/>
      </c>
      <c r="AI952" s="7" t="str">
        <f aca="false">IF(W952="","",W952&amp;"-"&amp;TEXT(X952,"00"))</f>
        <v/>
      </c>
      <c r="AJ952" s="7" t="str">
        <f aca="false">IF(W952="","",W952*12+X952)</f>
        <v/>
      </c>
      <c r="AK952" s="7" t="str">
        <f aca="false">IF(U952="تاخیر",V952+ROW()/100000,"")</f>
        <v/>
      </c>
    </row>
    <row r="953" customFormat="false" ht="15" hidden="false" customHeight="false" outlineLevel="0" collapsed="false">
      <c r="A953" s="7" t="str">
        <f aca="false">IF(B953="","",ROW()-3)</f>
        <v/>
      </c>
      <c r="B953" s="8"/>
      <c r="C953" s="8"/>
      <c r="D953" s="8"/>
      <c r="E953" s="9"/>
      <c r="F953" s="9"/>
      <c r="G953" s="8"/>
      <c r="H953" s="8"/>
      <c r="I953" s="8"/>
      <c r="J953" s="9"/>
      <c r="K953" s="8"/>
      <c r="L953" s="8"/>
      <c r="M953" s="8"/>
      <c r="N953" s="8"/>
      <c r="O953" s="8"/>
      <c r="P953" s="8"/>
      <c r="Q953" s="8"/>
      <c r="R953" s="9"/>
      <c r="S953" s="8"/>
      <c r="T953" s="9"/>
      <c r="U953" s="10" t="str">
        <f aca="true">IF(B953="","",IF(OR(P953&lt;&gt;"",I953="می‌باشد"),"بسته",IF(AND(L953&lt;&gt;"",W953=""),"خطای فرمت تاریخ ایجاد",IF(AND(H953&lt;&gt;"",AA953=""),"خطای فرمت مهلت",IF(AND(H953&lt;&gt;"",AD953&lt;&gt;"",TODAY()&gt;AD953),"تاخیر",IF(L953&lt;&gt;"","در حال انجام",""))))))</f>
        <v/>
      </c>
      <c r="V953" s="7" t="n">
        <f aca="true">IF(U953="تاخیر",TODAY()-AD953,IF(AND(U953="بسته",AH953&lt;&gt;"",AD953&lt;&gt;"",AH953&gt;AD953),AH953-AD953,0))</f>
        <v>0</v>
      </c>
      <c r="W953" s="7" t="str">
        <f aca="false">IF(L953="","",VALUE(LEFT(L953,FIND("/",L953)-1)))</f>
        <v/>
      </c>
      <c r="X953" s="7" t="str">
        <f aca="false">IF(L953="","",VALUE(MID(L953,FIND("/",L953)+1,FIND("/",L953,FIND("/",L953)+1)-FIND("/",L953)-1)))</f>
        <v/>
      </c>
      <c r="Y953" s="7" t="str">
        <f aca="false">IF(L953="","",VALUE(MID(L953,FIND("/",L953,FIND("/",L953)+1)+1,LEN(L953)-FIND("/",L953,FIND("/",L953)+1))))</f>
        <v/>
      </c>
      <c r="Z953" s="7" t="str">
        <f aca="false">IF(OR(L953="",W953=""),"",IFERROR(INDEX('لیست‌ها'!$Q$3:$Q$53,MATCH(W953,'لیست‌ها'!$P$3:$P$53,0))+IF(X953&lt;=6,(X953-1)*31+Y953,IF(X953&lt;=11,186+(X953-7)*30+Y953,336+Y953))-1,""))</f>
        <v/>
      </c>
      <c r="AA953" s="7" t="str">
        <f aca="false">IF(H953="","",VALUE(LEFT(H953,FIND("/",H953)-1)))</f>
        <v/>
      </c>
      <c r="AB953" s="7" t="str">
        <f aca="false">IF(H953="","",VALUE(MID(H953,FIND("/",H953)+1,FIND("/",H953,FIND("/",H953)+1)-FIND("/",H953)-1)))</f>
        <v/>
      </c>
      <c r="AC953" s="7" t="str">
        <f aca="false">IF(H953="","",VALUE(MID(H953,FIND("/",H953,FIND("/",H953)+1)+1,LEN(H953)-FIND("/",H953,FIND("/",H953)+1))))</f>
        <v/>
      </c>
      <c r="AD953" s="7" t="str">
        <f aca="false">IF(OR(H953="",AA953=""),"",IFERROR(INDEX('لیست‌ها'!$Q$3:$Q$53,MATCH(AA953,'لیست‌ها'!$P$3:$P$53,0))+IF(AB953&lt;=6,(AB953-1)*31+AC953,IF(AB953&lt;=11,186+(AB953-7)*30+AC953,336+AC953))-1,""))</f>
        <v/>
      </c>
      <c r="AE953" s="7" t="str">
        <f aca="false">IF(P953="","",VALUE(LEFT(P953,FIND("/",P953)-1)))</f>
        <v/>
      </c>
      <c r="AF953" s="7" t="str">
        <f aca="false">IF(P953="","",VALUE(MID(P953,FIND("/",P953)+1,FIND("/",P953,FIND("/",P953)+1)-FIND("/",P953)-1)))</f>
        <v/>
      </c>
      <c r="AG953" s="7" t="str">
        <f aca="false">IF(P953="","",VALUE(MID(P953,FIND("/",P953,FIND("/",P953)+1)+1,LEN(P953)-FIND("/",P953,FIND("/",P953)+1))))</f>
        <v/>
      </c>
      <c r="AH953" s="7" t="str">
        <f aca="false">IF(OR(P953="",AE953=""),"",IFERROR(INDEX('لیست‌ها'!$Q$3:$Q$53,MATCH(AE953,'لیست‌ها'!$P$3:$P$53,0))+IF(AF953&lt;=6,(AF953-1)*31+AG953,IF(AF953&lt;=11,186+(AF953-7)*30+AG953,336+AG953))-1,""))</f>
        <v/>
      </c>
      <c r="AI953" s="7" t="str">
        <f aca="false">IF(W953="","",W953&amp;"-"&amp;TEXT(X953,"00"))</f>
        <v/>
      </c>
      <c r="AJ953" s="7" t="str">
        <f aca="false">IF(W953="","",W953*12+X953)</f>
        <v/>
      </c>
      <c r="AK953" s="7" t="str">
        <f aca="false">IF(U953="تاخیر",V953+ROW()/100000,"")</f>
        <v/>
      </c>
    </row>
    <row r="954" customFormat="false" ht="15" hidden="false" customHeight="false" outlineLevel="0" collapsed="false">
      <c r="A954" s="7" t="str">
        <f aca="false">IF(B954="","",ROW()-3)</f>
        <v/>
      </c>
      <c r="B954" s="8"/>
      <c r="C954" s="8"/>
      <c r="D954" s="8"/>
      <c r="E954" s="9"/>
      <c r="F954" s="9"/>
      <c r="G954" s="8"/>
      <c r="H954" s="8"/>
      <c r="I954" s="8"/>
      <c r="J954" s="9"/>
      <c r="K954" s="8"/>
      <c r="L954" s="8"/>
      <c r="M954" s="8"/>
      <c r="N954" s="8"/>
      <c r="O954" s="8"/>
      <c r="P954" s="8"/>
      <c r="Q954" s="8"/>
      <c r="R954" s="9"/>
      <c r="S954" s="8"/>
      <c r="T954" s="9"/>
      <c r="U954" s="10" t="str">
        <f aca="true">IF(B954="","",IF(OR(P954&lt;&gt;"",I954="می‌باشد"),"بسته",IF(AND(L954&lt;&gt;"",W954=""),"خطای فرمت تاریخ ایجاد",IF(AND(H954&lt;&gt;"",AA954=""),"خطای فرمت مهلت",IF(AND(H954&lt;&gt;"",AD954&lt;&gt;"",TODAY()&gt;AD954),"تاخیر",IF(L954&lt;&gt;"","در حال انجام",""))))))</f>
        <v/>
      </c>
      <c r="V954" s="7" t="n">
        <f aca="true">IF(U954="تاخیر",TODAY()-AD954,IF(AND(U954="بسته",AH954&lt;&gt;"",AD954&lt;&gt;"",AH954&gt;AD954),AH954-AD954,0))</f>
        <v>0</v>
      </c>
      <c r="W954" s="7" t="str">
        <f aca="false">IF(L954="","",VALUE(LEFT(L954,FIND("/",L954)-1)))</f>
        <v/>
      </c>
      <c r="X954" s="7" t="str">
        <f aca="false">IF(L954="","",VALUE(MID(L954,FIND("/",L954)+1,FIND("/",L954,FIND("/",L954)+1)-FIND("/",L954)-1)))</f>
        <v/>
      </c>
      <c r="Y954" s="7" t="str">
        <f aca="false">IF(L954="","",VALUE(MID(L954,FIND("/",L954,FIND("/",L954)+1)+1,LEN(L954)-FIND("/",L954,FIND("/",L954)+1))))</f>
        <v/>
      </c>
      <c r="Z954" s="7" t="str">
        <f aca="false">IF(OR(L954="",W954=""),"",IFERROR(INDEX('لیست‌ها'!$Q$3:$Q$53,MATCH(W954,'لیست‌ها'!$P$3:$P$53,0))+IF(X954&lt;=6,(X954-1)*31+Y954,IF(X954&lt;=11,186+(X954-7)*30+Y954,336+Y954))-1,""))</f>
        <v/>
      </c>
      <c r="AA954" s="7" t="str">
        <f aca="false">IF(H954="","",VALUE(LEFT(H954,FIND("/",H954)-1)))</f>
        <v/>
      </c>
      <c r="AB954" s="7" t="str">
        <f aca="false">IF(H954="","",VALUE(MID(H954,FIND("/",H954)+1,FIND("/",H954,FIND("/",H954)+1)-FIND("/",H954)-1)))</f>
        <v/>
      </c>
      <c r="AC954" s="7" t="str">
        <f aca="false">IF(H954="","",VALUE(MID(H954,FIND("/",H954,FIND("/",H954)+1)+1,LEN(H954)-FIND("/",H954,FIND("/",H954)+1))))</f>
        <v/>
      </c>
      <c r="AD954" s="7" t="str">
        <f aca="false">IF(OR(H954="",AA954=""),"",IFERROR(INDEX('لیست‌ها'!$Q$3:$Q$53,MATCH(AA954,'لیست‌ها'!$P$3:$P$53,0))+IF(AB954&lt;=6,(AB954-1)*31+AC954,IF(AB954&lt;=11,186+(AB954-7)*30+AC954,336+AC954))-1,""))</f>
        <v/>
      </c>
      <c r="AE954" s="7" t="str">
        <f aca="false">IF(P954="","",VALUE(LEFT(P954,FIND("/",P954)-1)))</f>
        <v/>
      </c>
      <c r="AF954" s="7" t="str">
        <f aca="false">IF(P954="","",VALUE(MID(P954,FIND("/",P954)+1,FIND("/",P954,FIND("/",P954)+1)-FIND("/",P954)-1)))</f>
        <v/>
      </c>
      <c r="AG954" s="7" t="str">
        <f aca="false">IF(P954="","",VALUE(MID(P954,FIND("/",P954,FIND("/",P954)+1)+1,LEN(P954)-FIND("/",P954,FIND("/",P954)+1))))</f>
        <v/>
      </c>
      <c r="AH954" s="7" t="str">
        <f aca="false">IF(OR(P954="",AE954=""),"",IFERROR(INDEX('لیست‌ها'!$Q$3:$Q$53,MATCH(AE954,'لیست‌ها'!$P$3:$P$53,0))+IF(AF954&lt;=6,(AF954-1)*31+AG954,IF(AF954&lt;=11,186+(AF954-7)*30+AG954,336+AG954))-1,""))</f>
        <v/>
      </c>
      <c r="AI954" s="7" t="str">
        <f aca="false">IF(W954="","",W954&amp;"-"&amp;TEXT(X954,"00"))</f>
        <v/>
      </c>
      <c r="AJ954" s="7" t="str">
        <f aca="false">IF(W954="","",W954*12+X954)</f>
        <v/>
      </c>
      <c r="AK954" s="7" t="str">
        <f aca="false">IF(U954="تاخیر",V954+ROW()/100000,"")</f>
        <v/>
      </c>
    </row>
    <row r="955" customFormat="false" ht="15" hidden="false" customHeight="false" outlineLevel="0" collapsed="false">
      <c r="A955" s="7" t="str">
        <f aca="false">IF(B955="","",ROW()-3)</f>
        <v/>
      </c>
      <c r="B955" s="8"/>
      <c r="C955" s="8"/>
      <c r="D955" s="8"/>
      <c r="E955" s="9"/>
      <c r="F955" s="9"/>
      <c r="G955" s="8"/>
      <c r="H955" s="8"/>
      <c r="I955" s="8"/>
      <c r="J955" s="9"/>
      <c r="K955" s="8"/>
      <c r="L955" s="8"/>
      <c r="M955" s="8"/>
      <c r="N955" s="8"/>
      <c r="O955" s="8"/>
      <c r="P955" s="8"/>
      <c r="Q955" s="8"/>
      <c r="R955" s="9"/>
      <c r="S955" s="8"/>
      <c r="T955" s="9"/>
      <c r="U955" s="10" t="str">
        <f aca="true">IF(B955="","",IF(OR(P955&lt;&gt;"",I955="می‌باشد"),"بسته",IF(AND(L955&lt;&gt;"",W955=""),"خطای فرمت تاریخ ایجاد",IF(AND(H955&lt;&gt;"",AA955=""),"خطای فرمت مهلت",IF(AND(H955&lt;&gt;"",AD955&lt;&gt;"",TODAY()&gt;AD955),"تاخیر",IF(L955&lt;&gt;"","در حال انجام",""))))))</f>
        <v/>
      </c>
      <c r="V955" s="7" t="n">
        <f aca="true">IF(U955="تاخیر",TODAY()-AD955,IF(AND(U955="بسته",AH955&lt;&gt;"",AD955&lt;&gt;"",AH955&gt;AD955),AH955-AD955,0))</f>
        <v>0</v>
      </c>
      <c r="W955" s="7" t="str">
        <f aca="false">IF(L955="","",VALUE(LEFT(L955,FIND("/",L955)-1)))</f>
        <v/>
      </c>
      <c r="X955" s="7" t="str">
        <f aca="false">IF(L955="","",VALUE(MID(L955,FIND("/",L955)+1,FIND("/",L955,FIND("/",L955)+1)-FIND("/",L955)-1)))</f>
        <v/>
      </c>
      <c r="Y955" s="7" t="str">
        <f aca="false">IF(L955="","",VALUE(MID(L955,FIND("/",L955,FIND("/",L955)+1)+1,LEN(L955)-FIND("/",L955,FIND("/",L955)+1))))</f>
        <v/>
      </c>
      <c r="Z955" s="7" t="str">
        <f aca="false">IF(OR(L955="",W955=""),"",IFERROR(INDEX('لیست‌ها'!$Q$3:$Q$53,MATCH(W955,'لیست‌ها'!$P$3:$P$53,0))+IF(X955&lt;=6,(X955-1)*31+Y955,IF(X955&lt;=11,186+(X955-7)*30+Y955,336+Y955))-1,""))</f>
        <v/>
      </c>
      <c r="AA955" s="7" t="str">
        <f aca="false">IF(H955="","",VALUE(LEFT(H955,FIND("/",H955)-1)))</f>
        <v/>
      </c>
      <c r="AB955" s="7" t="str">
        <f aca="false">IF(H955="","",VALUE(MID(H955,FIND("/",H955)+1,FIND("/",H955,FIND("/",H955)+1)-FIND("/",H955)-1)))</f>
        <v/>
      </c>
      <c r="AC955" s="7" t="str">
        <f aca="false">IF(H955="","",VALUE(MID(H955,FIND("/",H955,FIND("/",H955)+1)+1,LEN(H955)-FIND("/",H955,FIND("/",H955)+1))))</f>
        <v/>
      </c>
      <c r="AD955" s="7" t="str">
        <f aca="false">IF(OR(H955="",AA955=""),"",IFERROR(INDEX('لیست‌ها'!$Q$3:$Q$53,MATCH(AA955,'لیست‌ها'!$P$3:$P$53,0))+IF(AB955&lt;=6,(AB955-1)*31+AC955,IF(AB955&lt;=11,186+(AB955-7)*30+AC955,336+AC955))-1,""))</f>
        <v/>
      </c>
      <c r="AE955" s="7" t="str">
        <f aca="false">IF(P955="","",VALUE(LEFT(P955,FIND("/",P955)-1)))</f>
        <v/>
      </c>
      <c r="AF955" s="7" t="str">
        <f aca="false">IF(P955="","",VALUE(MID(P955,FIND("/",P955)+1,FIND("/",P955,FIND("/",P955)+1)-FIND("/",P955)-1)))</f>
        <v/>
      </c>
      <c r="AG955" s="7" t="str">
        <f aca="false">IF(P955="","",VALUE(MID(P955,FIND("/",P955,FIND("/",P955)+1)+1,LEN(P955)-FIND("/",P955,FIND("/",P955)+1))))</f>
        <v/>
      </c>
      <c r="AH955" s="7" t="str">
        <f aca="false">IF(OR(P955="",AE955=""),"",IFERROR(INDEX('لیست‌ها'!$Q$3:$Q$53,MATCH(AE955,'لیست‌ها'!$P$3:$P$53,0))+IF(AF955&lt;=6,(AF955-1)*31+AG955,IF(AF955&lt;=11,186+(AF955-7)*30+AG955,336+AG955))-1,""))</f>
        <v/>
      </c>
      <c r="AI955" s="7" t="str">
        <f aca="false">IF(W955="","",W955&amp;"-"&amp;TEXT(X955,"00"))</f>
        <v/>
      </c>
      <c r="AJ955" s="7" t="str">
        <f aca="false">IF(W955="","",W955*12+X955)</f>
        <v/>
      </c>
      <c r="AK955" s="7" t="str">
        <f aca="false">IF(U955="تاخیر",V955+ROW()/100000,"")</f>
        <v/>
      </c>
    </row>
    <row r="956" customFormat="false" ht="15" hidden="false" customHeight="false" outlineLevel="0" collapsed="false">
      <c r="A956" s="7" t="str">
        <f aca="false">IF(B956="","",ROW()-3)</f>
        <v/>
      </c>
      <c r="B956" s="8"/>
      <c r="C956" s="8"/>
      <c r="D956" s="8"/>
      <c r="E956" s="9"/>
      <c r="F956" s="9"/>
      <c r="G956" s="8"/>
      <c r="H956" s="8"/>
      <c r="I956" s="8"/>
      <c r="J956" s="9"/>
      <c r="K956" s="8"/>
      <c r="L956" s="8"/>
      <c r="M956" s="8"/>
      <c r="N956" s="8"/>
      <c r="O956" s="8"/>
      <c r="P956" s="8"/>
      <c r="Q956" s="8"/>
      <c r="R956" s="9"/>
      <c r="S956" s="8"/>
      <c r="T956" s="9"/>
      <c r="U956" s="10" t="str">
        <f aca="true">IF(B956="","",IF(OR(P956&lt;&gt;"",I956="می‌باشد"),"بسته",IF(AND(L956&lt;&gt;"",W956=""),"خطای فرمت تاریخ ایجاد",IF(AND(H956&lt;&gt;"",AA956=""),"خطای فرمت مهلت",IF(AND(H956&lt;&gt;"",AD956&lt;&gt;"",TODAY()&gt;AD956),"تاخیر",IF(L956&lt;&gt;"","در حال انجام",""))))))</f>
        <v/>
      </c>
      <c r="V956" s="7" t="n">
        <f aca="true">IF(U956="تاخیر",TODAY()-AD956,IF(AND(U956="بسته",AH956&lt;&gt;"",AD956&lt;&gt;"",AH956&gt;AD956),AH956-AD956,0))</f>
        <v>0</v>
      </c>
      <c r="W956" s="7" t="str">
        <f aca="false">IF(L956="","",VALUE(LEFT(L956,FIND("/",L956)-1)))</f>
        <v/>
      </c>
      <c r="X956" s="7" t="str">
        <f aca="false">IF(L956="","",VALUE(MID(L956,FIND("/",L956)+1,FIND("/",L956,FIND("/",L956)+1)-FIND("/",L956)-1)))</f>
        <v/>
      </c>
      <c r="Y956" s="7" t="str">
        <f aca="false">IF(L956="","",VALUE(MID(L956,FIND("/",L956,FIND("/",L956)+1)+1,LEN(L956)-FIND("/",L956,FIND("/",L956)+1))))</f>
        <v/>
      </c>
      <c r="Z956" s="7" t="str">
        <f aca="false">IF(OR(L956="",W956=""),"",IFERROR(INDEX('لیست‌ها'!$Q$3:$Q$53,MATCH(W956,'لیست‌ها'!$P$3:$P$53,0))+IF(X956&lt;=6,(X956-1)*31+Y956,IF(X956&lt;=11,186+(X956-7)*30+Y956,336+Y956))-1,""))</f>
        <v/>
      </c>
      <c r="AA956" s="7" t="str">
        <f aca="false">IF(H956="","",VALUE(LEFT(H956,FIND("/",H956)-1)))</f>
        <v/>
      </c>
      <c r="AB956" s="7" t="str">
        <f aca="false">IF(H956="","",VALUE(MID(H956,FIND("/",H956)+1,FIND("/",H956,FIND("/",H956)+1)-FIND("/",H956)-1)))</f>
        <v/>
      </c>
      <c r="AC956" s="7" t="str">
        <f aca="false">IF(H956="","",VALUE(MID(H956,FIND("/",H956,FIND("/",H956)+1)+1,LEN(H956)-FIND("/",H956,FIND("/",H956)+1))))</f>
        <v/>
      </c>
      <c r="AD956" s="7" t="str">
        <f aca="false">IF(OR(H956="",AA956=""),"",IFERROR(INDEX('لیست‌ها'!$Q$3:$Q$53,MATCH(AA956,'لیست‌ها'!$P$3:$P$53,0))+IF(AB956&lt;=6,(AB956-1)*31+AC956,IF(AB956&lt;=11,186+(AB956-7)*30+AC956,336+AC956))-1,""))</f>
        <v/>
      </c>
      <c r="AE956" s="7" t="str">
        <f aca="false">IF(P956="","",VALUE(LEFT(P956,FIND("/",P956)-1)))</f>
        <v/>
      </c>
      <c r="AF956" s="7" t="str">
        <f aca="false">IF(P956="","",VALUE(MID(P956,FIND("/",P956)+1,FIND("/",P956,FIND("/",P956)+1)-FIND("/",P956)-1)))</f>
        <v/>
      </c>
      <c r="AG956" s="7" t="str">
        <f aca="false">IF(P956="","",VALUE(MID(P956,FIND("/",P956,FIND("/",P956)+1)+1,LEN(P956)-FIND("/",P956,FIND("/",P956)+1))))</f>
        <v/>
      </c>
      <c r="AH956" s="7" t="str">
        <f aca="false">IF(OR(P956="",AE956=""),"",IFERROR(INDEX('لیست‌ها'!$Q$3:$Q$53,MATCH(AE956,'لیست‌ها'!$P$3:$P$53,0))+IF(AF956&lt;=6,(AF956-1)*31+AG956,IF(AF956&lt;=11,186+(AF956-7)*30+AG956,336+AG956))-1,""))</f>
        <v/>
      </c>
      <c r="AI956" s="7" t="str">
        <f aca="false">IF(W956="","",W956&amp;"-"&amp;TEXT(X956,"00"))</f>
        <v/>
      </c>
      <c r="AJ956" s="7" t="str">
        <f aca="false">IF(W956="","",W956*12+X956)</f>
        <v/>
      </c>
      <c r="AK956" s="7" t="str">
        <f aca="false">IF(U956="تاخیر",V956+ROW()/100000,"")</f>
        <v/>
      </c>
    </row>
    <row r="957" customFormat="false" ht="15" hidden="false" customHeight="false" outlineLevel="0" collapsed="false">
      <c r="A957" s="7" t="str">
        <f aca="false">IF(B957="","",ROW()-3)</f>
        <v/>
      </c>
      <c r="B957" s="8"/>
      <c r="C957" s="8"/>
      <c r="D957" s="8"/>
      <c r="E957" s="9"/>
      <c r="F957" s="9"/>
      <c r="G957" s="8"/>
      <c r="H957" s="8"/>
      <c r="I957" s="8"/>
      <c r="J957" s="9"/>
      <c r="K957" s="8"/>
      <c r="L957" s="8"/>
      <c r="M957" s="8"/>
      <c r="N957" s="8"/>
      <c r="O957" s="8"/>
      <c r="P957" s="8"/>
      <c r="Q957" s="8"/>
      <c r="R957" s="9"/>
      <c r="S957" s="8"/>
      <c r="T957" s="9"/>
      <c r="U957" s="10" t="str">
        <f aca="true">IF(B957="","",IF(OR(P957&lt;&gt;"",I957="می‌باشد"),"بسته",IF(AND(L957&lt;&gt;"",W957=""),"خطای فرمت تاریخ ایجاد",IF(AND(H957&lt;&gt;"",AA957=""),"خطای فرمت مهلت",IF(AND(H957&lt;&gt;"",AD957&lt;&gt;"",TODAY()&gt;AD957),"تاخیر",IF(L957&lt;&gt;"","در حال انجام",""))))))</f>
        <v/>
      </c>
      <c r="V957" s="7" t="n">
        <f aca="true">IF(U957="تاخیر",TODAY()-AD957,IF(AND(U957="بسته",AH957&lt;&gt;"",AD957&lt;&gt;"",AH957&gt;AD957),AH957-AD957,0))</f>
        <v>0</v>
      </c>
      <c r="W957" s="7" t="str">
        <f aca="false">IF(L957="","",VALUE(LEFT(L957,FIND("/",L957)-1)))</f>
        <v/>
      </c>
      <c r="X957" s="7" t="str">
        <f aca="false">IF(L957="","",VALUE(MID(L957,FIND("/",L957)+1,FIND("/",L957,FIND("/",L957)+1)-FIND("/",L957)-1)))</f>
        <v/>
      </c>
      <c r="Y957" s="7" t="str">
        <f aca="false">IF(L957="","",VALUE(MID(L957,FIND("/",L957,FIND("/",L957)+1)+1,LEN(L957)-FIND("/",L957,FIND("/",L957)+1))))</f>
        <v/>
      </c>
      <c r="Z957" s="7" t="str">
        <f aca="false">IF(OR(L957="",W957=""),"",IFERROR(INDEX('لیست‌ها'!$Q$3:$Q$53,MATCH(W957,'لیست‌ها'!$P$3:$P$53,0))+IF(X957&lt;=6,(X957-1)*31+Y957,IF(X957&lt;=11,186+(X957-7)*30+Y957,336+Y957))-1,""))</f>
        <v/>
      </c>
      <c r="AA957" s="7" t="str">
        <f aca="false">IF(H957="","",VALUE(LEFT(H957,FIND("/",H957)-1)))</f>
        <v/>
      </c>
      <c r="AB957" s="7" t="str">
        <f aca="false">IF(H957="","",VALUE(MID(H957,FIND("/",H957)+1,FIND("/",H957,FIND("/",H957)+1)-FIND("/",H957)-1)))</f>
        <v/>
      </c>
      <c r="AC957" s="7" t="str">
        <f aca="false">IF(H957="","",VALUE(MID(H957,FIND("/",H957,FIND("/",H957)+1)+1,LEN(H957)-FIND("/",H957,FIND("/",H957)+1))))</f>
        <v/>
      </c>
      <c r="AD957" s="7" t="str">
        <f aca="false">IF(OR(H957="",AA957=""),"",IFERROR(INDEX('لیست‌ها'!$Q$3:$Q$53,MATCH(AA957,'لیست‌ها'!$P$3:$P$53,0))+IF(AB957&lt;=6,(AB957-1)*31+AC957,IF(AB957&lt;=11,186+(AB957-7)*30+AC957,336+AC957))-1,""))</f>
        <v/>
      </c>
      <c r="AE957" s="7" t="str">
        <f aca="false">IF(P957="","",VALUE(LEFT(P957,FIND("/",P957)-1)))</f>
        <v/>
      </c>
      <c r="AF957" s="7" t="str">
        <f aca="false">IF(P957="","",VALUE(MID(P957,FIND("/",P957)+1,FIND("/",P957,FIND("/",P957)+1)-FIND("/",P957)-1)))</f>
        <v/>
      </c>
      <c r="AG957" s="7" t="str">
        <f aca="false">IF(P957="","",VALUE(MID(P957,FIND("/",P957,FIND("/",P957)+1)+1,LEN(P957)-FIND("/",P957,FIND("/",P957)+1))))</f>
        <v/>
      </c>
      <c r="AH957" s="7" t="str">
        <f aca="false">IF(OR(P957="",AE957=""),"",IFERROR(INDEX('لیست‌ها'!$Q$3:$Q$53,MATCH(AE957,'لیست‌ها'!$P$3:$P$53,0))+IF(AF957&lt;=6,(AF957-1)*31+AG957,IF(AF957&lt;=11,186+(AF957-7)*30+AG957,336+AG957))-1,""))</f>
        <v/>
      </c>
      <c r="AI957" s="7" t="str">
        <f aca="false">IF(W957="","",W957&amp;"-"&amp;TEXT(X957,"00"))</f>
        <v/>
      </c>
      <c r="AJ957" s="7" t="str">
        <f aca="false">IF(W957="","",W957*12+X957)</f>
        <v/>
      </c>
      <c r="AK957" s="7" t="str">
        <f aca="false">IF(U957="تاخیر",V957+ROW()/100000,"")</f>
        <v/>
      </c>
    </row>
    <row r="958" customFormat="false" ht="15" hidden="false" customHeight="false" outlineLevel="0" collapsed="false">
      <c r="A958" s="7" t="str">
        <f aca="false">IF(B958="","",ROW()-3)</f>
        <v/>
      </c>
      <c r="B958" s="8"/>
      <c r="C958" s="8"/>
      <c r="D958" s="8"/>
      <c r="E958" s="9"/>
      <c r="F958" s="9"/>
      <c r="G958" s="8"/>
      <c r="H958" s="8"/>
      <c r="I958" s="8"/>
      <c r="J958" s="9"/>
      <c r="K958" s="8"/>
      <c r="L958" s="8"/>
      <c r="M958" s="8"/>
      <c r="N958" s="8"/>
      <c r="O958" s="8"/>
      <c r="P958" s="8"/>
      <c r="Q958" s="8"/>
      <c r="R958" s="9"/>
      <c r="S958" s="8"/>
      <c r="T958" s="9"/>
      <c r="U958" s="10" t="str">
        <f aca="true">IF(B958="","",IF(OR(P958&lt;&gt;"",I958="می‌باشد"),"بسته",IF(AND(L958&lt;&gt;"",W958=""),"خطای فرمت تاریخ ایجاد",IF(AND(H958&lt;&gt;"",AA958=""),"خطای فرمت مهلت",IF(AND(H958&lt;&gt;"",AD958&lt;&gt;"",TODAY()&gt;AD958),"تاخیر",IF(L958&lt;&gt;"","در حال انجام",""))))))</f>
        <v/>
      </c>
      <c r="V958" s="7" t="n">
        <f aca="true">IF(U958="تاخیر",TODAY()-AD958,IF(AND(U958="بسته",AH958&lt;&gt;"",AD958&lt;&gt;"",AH958&gt;AD958),AH958-AD958,0))</f>
        <v>0</v>
      </c>
      <c r="W958" s="7" t="str">
        <f aca="false">IF(L958="","",VALUE(LEFT(L958,FIND("/",L958)-1)))</f>
        <v/>
      </c>
      <c r="X958" s="7" t="str">
        <f aca="false">IF(L958="","",VALUE(MID(L958,FIND("/",L958)+1,FIND("/",L958,FIND("/",L958)+1)-FIND("/",L958)-1)))</f>
        <v/>
      </c>
      <c r="Y958" s="7" t="str">
        <f aca="false">IF(L958="","",VALUE(MID(L958,FIND("/",L958,FIND("/",L958)+1)+1,LEN(L958)-FIND("/",L958,FIND("/",L958)+1))))</f>
        <v/>
      </c>
      <c r="Z958" s="7" t="str">
        <f aca="false">IF(OR(L958="",W958=""),"",IFERROR(INDEX('لیست‌ها'!$Q$3:$Q$53,MATCH(W958,'لیست‌ها'!$P$3:$P$53,0))+IF(X958&lt;=6,(X958-1)*31+Y958,IF(X958&lt;=11,186+(X958-7)*30+Y958,336+Y958))-1,""))</f>
        <v/>
      </c>
      <c r="AA958" s="7" t="str">
        <f aca="false">IF(H958="","",VALUE(LEFT(H958,FIND("/",H958)-1)))</f>
        <v/>
      </c>
      <c r="AB958" s="7" t="str">
        <f aca="false">IF(H958="","",VALUE(MID(H958,FIND("/",H958)+1,FIND("/",H958,FIND("/",H958)+1)-FIND("/",H958)-1)))</f>
        <v/>
      </c>
      <c r="AC958" s="7" t="str">
        <f aca="false">IF(H958="","",VALUE(MID(H958,FIND("/",H958,FIND("/",H958)+1)+1,LEN(H958)-FIND("/",H958,FIND("/",H958)+1))))</f>
        <v/>
      </c>
      <c r="AD958" s="7" t="str">
        <f aca="false">IF(OR(H958="",AA958=""),"",IFERROR(INDEX('لیست‌ها'!$Q$3:$Q$53,MATCH(AA958,'لیست‌ها'!$P$3:$P$53,0))+IF(AB958&lt;=6,(AB958-1)*31+AC958,IF(AB958&lt;=11,186+(AB958-7)*30+AC958,336+AC958))-1,""))</f>
        <v/>
      </c>
      <c r="AE958" s="7" t="str">
        <f aca="false">IF(P958="","",VALUE(LEFT(P958,FIND("/",P958)-1)))</f>
        <v/>
      </c>
      <c r="AF958" s="7" t="str">
        <f aca="false">IF(P958="","",VALUE(MID(P958,FIND("/",P958)+1,FIND("/",P958,FIND("/",P958)+1)-FIND("/",P958)-1)))</f>
        <v/>
      </c>
      <c r="AG958" s="7" t="str">
        <f aca="false">IF(P958="","",VALUE(MID(P958,FIND("/",P958,FIND("/",P958)+1)+1,LEN(P958)-FIND("/",P958,FIND("/",P958)+1))))</f>
        <v/>
      </c>
      <c r="AH958" s="7" t="str">
        <f aca="false">IF(OR(P958="",AE958=""),"",IFERROR(INDEX('لیست‌ها'!$Q$3:$Q$53,MATCH(AE958,'لیست‌ها'!$P$3:$P$53,0))+IF(AF958&lt;=6,(AF958-1)*31+AG958,IF(AF958&lt;=11,186+(AF958-7)*30+AG958,336+AG958))-1,""))</f>
        <v/>
      </c>
      <c r="AI958" s="7" t="str">
        <f aca="false">IF(W958="","",W958&amp;"-"&amp;TEXT(X958,"00"))</f>
        <v/>
      </c>
      <c r="AJ958" s="7" t="str">
        <f aca="false">IF(W958="","",W958*12+X958)</f>
        <v/>
      </c>
      <c r="AK958" s="7" t="str">
        <f aca="false">IF(U958="تاخیر",V958+ROW()/100000,"")</f>
        <v/>
      </c>
    </row>
    <row r="959" customFormat="false" ht="15" hidden="false" customHeight="false" outlineLevel="0" collapsed="false">
      <c r="A959" s="7" t="str">
        <f aca="false">IF(B959="","",ROW()-3)</f>
        <v/>
      </c>
      <c r="B959" s="8"/>
      <c r="C959" s="8"/>
      <c r="D959" s="8"/>
      <c r="E959" s="9"/>
      <c r="F959" s="9"/>
      <c r="G959" s="8"/>
      <c r="H959" s="8"/>
      <c r="I959" s="8"/>
      <c r="J959" s="9"/>
      <c r="K959" s="8"/>
      <c r="L959" s="8"/>
      <c r="M959" s="8"/>
      <c r="N959" s="8"/>
      <c r="O959" s="8"/>
      <c r="P959" s="8"/>
      <c r="Q959" s="8"/>
      <c r="R959" s="9"/>
      <c r="S959" s="8"/>
      <c r="T959" s="9"/>
      <c r="U959" s="10" t="str">
        <f aca="true">IF(B959="","",IF(OR(P959&lt;&gt;"",I959="می‌باشد"),"بسته",IF(AND(L959&lt;&gt;"",W959=""),"خطای فرمت تاریخ ایجاد",IF(AND(H959&lt;&gt;"",AA959=""),"خطای فرمت مهلت",IF(AND(H959&lt;&gt;"",AD959&lt;&gt;"",TODAY()&gt;AD959),"تاخیر",IF(L959&lt;&gt;"","در حال انجام",""))))))</f>
        <v/>
      </c>
      <c r="V959" s="7" t="n">
        <f aca="true">IF(U959="تاخیر",TODAY()-AD959,IF(AND(U959="بسته",AH959&lt;&gt;"",AD959&lt;&gt;"",AH959&gt;AD959),AH959-AD959,0))</f>
        <v>0</v>
      </c>
      <c r="W959" s="7" t="str">
        <f aca="false">IF(L959="","",VALUE(LEFT(L959,FIND("/",L959)-1)))</f>
        <v/>
      </c>
      <c r="X959" s="7" t="str">
        <f aca="false">IF(L959="","",VALUE(MID(L959,FIND("/",L959)+1,FIND("/",L959,FIND("/",L959)+1)-FIND("/",L959)-1)))</f>
        <v/>
      </c>
      <c r="Y959" s="7" t="str">
        <f aca="false">IF(L959="","",VALUE(MID(L959,FIND("/",L959,FIND("/",L959)+1)+1,LEN(L959)-FIND("/",L959,FIND("/",L959)+1))))</f>
        <v/>
      </c>
      <c r="Z959" s="7" t="str">
        <f aca="false">IF(OR(L959="",W959=""),"",IFERROR(INDEX('لیست‌ها'!$Q$3:$Q$53,MATCH(W959,'لیست‌ها'!$P$3:$P$53,0))+IF(X959&lt;=6,(X959-1)*31+Y959,IF(X959&lt;=11,186+(X959-7)*30+Y959,336+Y959))-1,""))</f>
        <v/>
      </c>
      <c r="AA959" s="7" t="str">
        <f aca="false">IF(H959="","",VALUE(LEFT(H959,FIND("/",H959)-1)))</f>
        <v/>
      </c>
      <c r="AB959" s="7" t="str">
        <f aca="false">IF(H959="","",VALUE(MID(H959,FIND("/",H959)+1,FIND("/",H959,FIND("/",H959)+1)-FIND("/",H959)-1)))</f>
        <v/>
      </c>
      <c r="AC959" s="7" t="str">
        <f aca="false">IF(H959="","",VALUE(MID(H959,FIND("/",H959,FIND("/",H959)+1)+1,LEN(H959)-FIND("/",H959,FIND("/",H959)+1))))</f>
        <v/>
      </c>
      <c r="AD959" s="7" t="str">
        <f aca="false">IF(OR(H959="",AA959=""),"",IFERROR(INDEX('لیست‌ها'!$Q$3:$Q$53,MATCH(AA959,'لیست‌ها'!$P$3:$P$53,0))+IF(AB959&lt;=6,(AB959-1)*31+AC959,IF(AB959&lt;=11,186+(AB959-7)*30+AC959,336+AC959))-1,""))</f>
        <v/>
      </c>
      <c r="AE959" s="7" t="str">
        <f aca="false">IF(P959="","",VALUE(LEFT(P959,FIND("/",P959)-1)))</f>
        <v/>
      </c>
      <c r="AF959" s="7" t="str">
        <f aca="false">IF(P959="","",VALUE(MID(P959,FIND("/",P959)+1,FIND("/",P959,FIND("/",P959)+1)-FIND("/",P959)-1)))</f>
        <v/>
      </c>
      <c r="AG959" s="7" t="str">
        <f aca="false">IF(P959="","",VALUE(MID(P959,FIND("/",P959,FIND("/",P959)+1)+1,LEN(P959)-FIND("/",P959,FIND("/",P959)+1))))</f>
        <v/>
      </c>
      <c r="AH959" s="7" t="str">
        <f aca="false">IF(OR(P959="",AE959=""),"",IFERROR(INDEX('لیست‌ها'!$Q$3:$Q$53,MATCH(AE959,'لیست‌ها'!$P$3:$P$53,0))+IF(AF959&lt;=6,(AF959-1)*31+AG959,IF(AF959&lt;=11,186+(AF959-7)*30+AG959,336+AG959))-1,""))</f>
        <v/>
      </c>
      <c r="AI959" s="7" t="str">
        <f aca="false">IF(W959="","",W959&amp;"-"&amp;TEXT(X959,"00"))</f>
        <v/>
      </c>
      <c r="AJ959" s="7" t="str">
        <f aca="false">IF(W959="","",W959*12+X959)</f>
        <v/>
      </c>
      <c r="AK959" s="7" t="str">
        <f aca="false">IF(U959="تاخیر",V959+ROW()/100000,"")</f>
        <v/>
      </c>
    </row>
    <row r="960" customFormat="false" ht="15" hidden="false" customHeight="false" outlineLevel="0" collapsed="false">
      <c r="A960" s="7" t="str">
        <f aca="false">IF(B960="","",ROW()-3)</f>
        <v/>
      </c>
      <c r="B960" s="8"/>
      <c r="C960" s="8"/>
      <c r="D960" s="8"/>
      <c r="E960" s="9"/>
      <c r="F960" s="9"/>
      <c r="G960" s="8"/>
      <c r="H960" s="8"/>
      <c r="I960" s="8"/>
      <c r="J960" s="9"/>
      <c r="K960" s="8"/>
      <c r="L960" s="8"/>
      <c r="M960" s="8"/>
      <c r="N960" s="8"/>
      <c r="O960" s="8"/>
      <c r="P960" s="8"/>
      <c r="Q960" s="8"/>
      <c r="R960" s="9"/>
      <c r="S960" s="8"/>
      <c r="T960" s="9"/>
      <c r="U960" s="10" t="str">
        <f aca="true">IF(B960="","",IF(OR(P960&lt;&gt;"",I960="می‌باشد"),"بسته",IF(AND(L960&lt;&gt;"",W960=""),"خطای فرمت تاریخ ایجاد",IF(AND(H960&lt;&gt;"",AA960=""),"خطای فرمت مهلت",IF(AND(H960&lt;&gt;"",AD960&lt;&gt;"",TODAY()&gt;AD960),"تاخیر",IF(L960&lt;&gt;"","در حال انجام",""))))))</f>
        <v/>
      </c>
      <c r="V960" s="7" t="n">
        <f aca="true">IF(U960="تاخیر",TODAY()-AD960,IF(AND(U960="بسته",AH960&lt;&gt;"",AD960&lt;&gt;"",AH960&gt;AD960),AH960-AD960,0))</f>
        <v>0</v>
      </c>
      <c r="W960" s="7" t="str">
        <f aca="false">IF(L960="","",VALUE(LEFT(L960,FIND("/",L960)-1)))</f>
        <v/>
      </c>
      <c r="X960" s="7" t="str">
        <f aca="false">IF(L960="","",VALUE(MID(L960,FIND("/",L960)+1,FIND("/",L960,FIND("/",L960)+1)-FIND("/",L960)-1)))</f>
        <v/>
      </c>
      <c r="Y960" s="7" t="str">
        <f aca="false">IF(L960="","",VALUE(MID(L960,FIND("/",L960,FIND("/",L960)+1)+1,LEN(L960)-FIND("/",L960,FIND("/",L960)+1))))</f>
        <v/>
      </c>
      <c r="Z960" s="7" t="str">
        <f aca="false">IF(OR(L960="",W960=""),"",IFERROR(INDEX('لیست‌ها'!$Q$3:$Q$53,MATCH(W960,'لیست‌ها'!$P$3:$P$53,0))+IF(X960&lt;=6,(X960-1)*31+Y960,IF(X960&lt;=11,186+(X960-7)*30+Y960,336+Y960))-1,""))</f>
        <v/>
      </c>
      <c r="AA960" s="7" t="str">
        <f aca="false">IF(H960="","",VALUE(LEFT(H960,FIND("/",H960)-1)))</f>
        <v/>
      </c>
      <c r="AB960" s="7" t="str">
        <f aca="false">IF(H960="","",VALUE(MID(H960,FIND("/",H960)+1,FIND("/",H960,FIND("/",H960)+1)-FIND("/",H960)-1)))</f>
        <v/>
      </c>
      <c r="AC960" s="7" t="str">
        <f aca="false">IF(H960="","",VALUE(MID(H960,FIND("/",H960,FIND("/",H960)+1)+1,LEN(H960)-FIND("/",H960,FIND("/",H960)+1))))</f>
        <v/>
      </c>
      <c r="AD960" s="7" t="str">
        <f aca="false">IF(OR(H960="",AA960=""),"",IFERROR(INDEX('لیست‌ها'!$Q$3:$Q$53,MATCH(AA960,'لیست‌ها'!$P$3:$P$53,0))+IF(AB960&lt;=6,(AB960-1)*31+AC960,IF(AB960&lt;=11,186+(AB960-7)*30+AC960,336+AC960))-1,""))</f>
        <v/>
      </c>
      <c r="AE960" s="7" t="str">
        <f aca="false">IF(P960="","",VALUE(LEFT(P960,FIND("/",P960)-1)))</f>
        <v/>
      </c>
      <c r="AF960" s="7" t="str">
        <f aca="false">IF(P960="","",VALUE(MID(P960,FIND("/",P960)+1,FIND("/",P960,FIND("/",P960)+1)-FIND("/",P960)-1)))</f>
        <v/>
      </c>
      <c r="AG960" s="7" t="str">
        <f aca="false">IF(P960="","",VALUE(MID(P960,FIND("/",P960,FIND("/",P960)+1)+1,LEN(P960)-FIND("/",P960,FIND("/",P960)+1))))</f>
        <v/>
      </c>
      <c r="AH960" s="7" t="str">
        <f aca="false">IF(OR(P960="",AE960=""),"",IFERROR(INDEX('لیست‌ها'!$Q$3:$Q$53,MATCH(AE960,'لیست‌ها'!$P$3:$P$53,0))+IF(AF960&lt;=6,(AF960-1)*31+AG960,IF(AF960&lt;=11,186+(AF960-7)*30+AG960,336+AG960))-1,""))</f>
        <v/>
      </c>
      <c r="AI960" s="7" t="str">
        <f aca="false">IF(W960="","",W960&amp;"-"&amp;TEXT(X960,"00"))</f>
        <v/>
      </c>
      <c r="AJ960" s="7" t="str">
        <f aca="false">IF(W960="","",W960*12+X960)</f>
        <v/>
      </c>
      <c r="AK960" s="7" t="str">
        <f aca="false">IF(U960="تاخیر",V960+ROW()/100000,"")</f>
        <v/>
      </c>
    </row>
    <row r="961" customFormat="false" ht="15" hidden="false" customHeight="false" outlineLevel="0" collapsed="false">
      <c r="A961" s="7" t="str">
        <f aca="false">IF(B961="","",ROW()-3)</f>
        <v/>
      </c>
      <c r="B961" s="8"/>
      <c r="C961" s="8"/>
      <c r="D961" s="8"/>
      <c r="E961" s="9"/>
      <c r="F961" s="9"/>
      <c r="G961" s="8"/>
      <c r="H961" s="8"/>
      <c r="I961" s="8"/>
      <c r="J961" s="9"/>
      <c r="K961" s="8"/>
      <c r="L961" s="8"/>
      <c r="M961" s="8"/>
      <c r="N961" s="8"/>
      <c r="O961" s="8"/>
      <c r="P961" s="8"/>
      <c r="Q961" s="8"/>
      <c r="R961" s="9"/>
      <c r="S961" s="8"/>
      <c r="T961" s="9"/>
      <c r="U961" s="10" t="str">
        <f aca="true">IF(B961="","",IF(OR(P961&lt;&gt;"",I961="می‌باشد"),"بسته",IF(AND(L961&lt;&gt;"",W961=""),"خطای فرمت تاریخ ایجاد",IF(AND(H961&lt;&gt;"",AA961=""),"خطای فرمت مهلت",IF(AND(H961&lt;&gt;"",AD961&lt;&gt;"",TODAY()&gt;AD961),"تاخیر",IF(L961&lt;&gt;"","در حال انجام",""))))))</f>
        <v/>
      </c>
      <c r="V961" s="7" t="n">
        <f aca="true">IF(U961="تاخیر",TODAY()-AD961,IF(AND(U961="بسته",AH961&lt;&gt;"",AD961&lt;&gt;"",AH961&gt;AD961),AH961-AD961,0))</f>
        <v>0</v>
      </c>
      <c r="W961" s="7" t="str">
        <f aca="false">IF(L961="","",VALUE(LEFT(L961,FIND("/",L961)-1)))</f>
        <v/>
      </c>
      <c r="X961" s="7" t="str">
        <f aca="false">IF(L961="","",VALUE(MID(L961,FIND("/",L961)+1,FIND("/",L961,FIND("/",L961)+1)-FIND("/",L961)-1)))</f>
        <v/>
      </c>
      <c r="Y961" s="7" t="str">
        <f aca="false">IF(L961="","",VALUE(MID(L961,FIND("/",L961,FIND("/",L961)+1)+1,LEN(L961)-FIND("/",L961,FIND("/",L961)+1))))</f>
        <v/>
      </c>
      <c r="Z961" s="7" t="str">
        <f aca="false">IF(OR(L961="",W961=""),"",IFERROR(INDEX('لیست‌ها'!$Q$3:$Q$53,MATCH(W961,'لیست‌ها'!$P$3:$P$53,0))+IF(X961&lt;=6,(X961-1)*31+Y961,IF(X961&lt;=11,186+(X961-7)*30+Y961,336+Y961))-1,""))</f>
        <v/>
      </c>
      <c r="AA961" s="7" t="str">
        <f aca="false">IF(H961="","",VALUE(LEFT(H961,FIND("/",H961)-1)))</f>
        <v/>
      </c>
      <c r="AB961" s="7" t="str">
        <f aca="false">IF(H961="","",VALUE(MID(H961,FIND("/",H961)+1,FIND("/",H961,FIND("/",H961)+1)-FIND("/",H961)-1)))</f>
        <v/>
      </c>
      <c r="AC961" s="7" t="str">
        <f aca="false">IF(H961="","",VALUE(MID(H961,FIND("/",H961,FIND("/",H961)+1)+1,LEN(H961)-FIND("/",H961,FIND("/",H961)+1))))</f>
        <v/>
      </c>
      <c r="AD961" s="7" t="str">
        <f aca="false">IF(OR(H961="",AA961=""),"",IFERROR(INDEX('لیست‌ها'!$Q$3:$Q$53,MATCH(AA961,'لیست‌ها'!$P$3:$P$53,0))+IF(AB961&lt;=6,(AB961-1)*31+AC961,IF(AB961&lt;=11,186+(AB961-7)*30+AC961,336+AC961))-1,""))</f>
        <v/>
      </c>
      <c r="AE961" s="7" t="str">
        <f aca="false">IF(P961="","",VALUE(LEFT(P961,FIND("/",P961)-1)))</f>
        <v/>
      </c>
      <c r="AF961" s="7" t="str">
        <f aca="false">IF(P961="","",VALUE(MID(P961,FIND("/",P961)+1,FIND("/",P961,FIND("/",P961)+1)-FIND("/",P961)-1)))</f>
        <v/>
      </c>
      <c r="AG961" s="7" t="str">
        <f aca="false">IF(P961="","",VALUE(MID(P961,FIND("/",P961,FIND("/",P961)+1)+1,LEN(P961)-FIND("/",P961,FIND("/",P961)+1))))</f>
        <v/>
      </c>
      <c r="AH961" s="7" t="str">
        <f aca="false">IF(OR(P961="",AE961=""),"",IFERROR(INDEX('لیست‌ها'!$Q$3:$Q$53,MATCH(AE961,'لیست‌ها'!$P$3:$P$53,0))+IF(AF961&lt;=6,(AF961-1)*31+AG961,IF(AF961&lt;=11,186+(AF961-7)*30+AG961,336+AG961))-1,""))</f>
        <v/>
      </c>
      <c r="AI961" s="7" t="str">
        <f aca="false">IF(W961="","",W961&amp;"-"&amp;TEXT(X961,"00"))</f>
        <v/>
      </c>
      <c r="AJ961" s="7" t="str">
        <f aca="false">IF(W961="","",W961*12+X961)</f>
        <v/>
      </c>
      <c r="AK961" s="7" t="str">
        <f aca="false">IF(U961="تاخیر",V961+ROW()/100000,"")</f>
        <v/>
      </c>
    </row>
    <row r="962" customFormat="false" ht="15" hidden="false" customHeight="false" outlineLevel="0" collapsed="false">
      <c r="A962" s="7" t="str">
        <f aca="false">IF(B962="","",ROW()-3)</f>
        <v/>
      </c>
      <c r="B962" s="8"/>
      <c r="C962" s="8"/>
      <c r="D962" s="8"/>
      <c r="E962" s="9"/>
      <c r="F962" s="9"/>
      <c r="G962" s="8"/>
      <c r="H962" s="8"/>
      <c r="I962" s="8"/>
      <c r="J962" s="9"/>
      <c r="K962" s="8"/>
      <c r="L962" s="8"/>
      <c r="M962" s="8"/>
      <c r="N962" s="8"/>
      <c r="O962" s="8"/>
      <c r="P962" s="8"/>
      <c r="Q962" s="8"/>
      <c r="R962" s="9"/>
      <c r="S962" s="8"/>
      <c r="T962" s="9"/>
      <c r="U962" s="10" t="str">
        <f aca="true">IF(B962="","",IF(OR(P962&lt;&gt;"",I962="می‌باشد"),"بسته",IF(AND(L962&lt;&gt;"",W962=""),"خطای فرمت تاریخ ایجاد",IF(AND(H962&lt;&gt;"",AA962=""),"خطای فرمت مهلت",IF(AND(H962&lt;&gt;"",AD962&lt;&gt;"",TODAY()&gt;AD962),"تاخیر",IF(L962&lt;&gt;"","در حال انجام",""))))))</f>
        <v/>
      </c>
      <c r="V962" s="7" t="n">
        <f aca="true">IF(U962="تاخیر",TODAY()-AD962,IF(AND(U962="بسته",AH962&lt;&gt;"",AD962&lt;&gt;"",AH962&gt;AD962),AH962-AD962,0))</f>
        <v>0</v>
      </c>
      <c r="W962" s="7" t="str">
        <f aca="false">IF(L962="","",VALUE(LEFT(L962,FIND("/",L962)-1)))</f>
        <v/>
      </c>
      <c r="X962" s="7" t="str">
        <f aca="false">IF(L962="","",VALUE(MID(L962,FIND("/",L962)+1,FIND("/",L962,FIND("/",L962)+1)-FIND("/",L962)-1)))</f>
        <v/>
      </c>
      <c r="Y962" s="7" t="str">
        <f aca="false">IF(L962="","",VALUE(MID(L962,FIND("/",L962,FIND("/",L962)+1)+1,LEN(L962)-FIND("/",L962,FIND("/",L962)+1))))</f>
        <v/>
      </c>
      <c r="Z962" s="7" t="str">
        <f aca="false">IF(OR(L962="",W962=""),"",IFERROR(INDEX('لیست‌ها'!$Q$3:$Q$53,MATCH(W962,'لیست‌ها'!$P$3:$P$53,0))+IF(X962&lt;=6,(X962-1)*31+Y962,IF(X962&lt;=11,186+(X962-7)*30+Y962,336+Y962))-1,""))</f>
        <v/>
      </c>
      <c r="AA962" s="7" t="str">
        <f aca="false">IF(H962="","",VALUE(LEFT(H962,FIND("/",H962)-1)))</f>
        <v/>
      </c>
      <c r="AB962" s="7" t="str">
        <f aca="false">IF(H962="","",VALUE(MID(H962,FIND("/",H962)+1,FIND("/",H962,FIND("/",H962)+1)-FIND("/",H962)-1)))</f>
        <v/>
      </c>
      <c r="AC962" s="7" t="str">
        <f aca="false">IF(H962="","",VALUE(MID(H962,FIND("/",H962,FIND("/",H962)+1)+1,LEN(H962)-FIND("/",H962,FIND("/",H962)+1))))</f>
        <v/>
      </c>
      <c r="AD962" s="7" t="str">
        <f aca="false">IF(OR(H962="",AA962=""),"",IFERROR(INDEX('لیست‌ها'!$Q$3:$Q$53,MATCH(AA962,'لیست‌ها'!$P$3:$P$53,0))+IF(AB962&lt;=6,(AB962-1)*31+AC962,IF(AB962&lt;=11,186+(AB962-7)*30+AC962,336+AC962))-1,""))</f>
        <v/>
      </c>
      <c r="AE962" s="7" t="str">
        <f aca="false">IF(P962="","",VALUE(LEFT(P962,FIND("/",P962)-1)))</f>
        <v/>
      </c>
      <c r="AF962" s="7" t="str">
        <f aca="false">IF(P962="","",VALUE(MID(P962,FIND("/",P962)+1,FIND("/",P962,FIND("/",P962)+1)-FIND("/",P962)-1)))</f>
        <v/>
      </c>
      <c r="AG962" s="7" t="str">
        <f aca="false">IF(P962="","",VALUE(MID(P962,FIND("/",P962,FIND("/",P962)+1)+1,LEN(P962)-FIND("/",P962,FIND("/",P962)+1))))</f>
        <v/>
      </c>
      <c r="AH962" s="7" t="str">
        <f aca="false">IF(OR(P962="",AE962=""),"",IFERROR(INDEX('لیست‌ها'!$Q$3:$Q$53,MATCH(AE962,'لیست‌ها'!$P$3:$P$53,0))+IF(AF962&lt;=6,(AF962-1)*31+AG962,IF(AF962&lt;=11,186+(AF962-7)*30+AG962,336+AG962))-1,""))</f>
        <v/>
      </c>
      <c r="AI962" s="7" t="str">
        <f aca="false">IF(W962="","",W962&amp;"-"&amp;TEXT(X962,"00"))</f>
        <v/>
      </c>
      <c r="AJ962" s="7" t="str">
        <f aca="false">IF(W962="","",W962*12+X962)</f>
        <v/>
      </c>
      <c r="AK962" s="7" t="str">
        <f aca="false">IF(U962="تاخیر",V962+ROW()/100000,"")</f>
        <v/>
      </c>
    </row>
    <row r="963" customFormat="false" ht="15" hidden="false" customHeight="false" outlineLevel="0" collapsed="false">
      <c r="A963" s="7" t="str">
        <f aca="false">IF(B963="","",ROW()-3)</f>
        <v/>
      </c>
      <c r="B963" s="8"/>
      <c r="C963" s="8"/>
      <c r="D963" s="8"/>
      <c r="E963" s="9"/>
      <c r="F963" s="9"/>
      <c r="G963" s="8"/>
      <c r="H963" s="8"/>
      <c r="I963" s="8"/>
      <c r="J963" s="9"/>
      <c r="K963" s="8"/>
      <c r="L963" s="8"/>
      <c r="M963" s="8"/>
      <c r="N963" s="8"/>
      <c r="O963" s="8"/>
      <c r="P963" s="8"/>
      <c r="Q963" s="8"/>
      <c r="R963" s="9"/>
      <c r="S963" s="8"/>
      <c r="T963" s="9"/>
      <c r="U963" s="10" t="str">
        <f aca="true">IF(B963="","",IF(OR(P963&lt;&gt;"",I963="می‌باشد"),"بسته",IF(AND(L963&lt;&gt;"",W963=""),"خطای فرمت تاریخ ایجاد",IF(AND(H963&lt;&gt;"",AA963=""),"خطای فرمت مهلت",IF(AND(H963&lt;&gt;"",AD963&lt;&gt;"",TODAY()&gt;AD963),"تاخیر",IF(L963&lt;&gt;"","در حال انجام",""))))))</f>
        <v/>
      </c>
      <c r="V963" s="7" t="n">
        <f aca="true">IF(U963="تاخیر",TODAY()-AD963,IF(AND(U963="بسته",AH963&lt;&gt;"",AD963&lt;&gt;"",AH963&gt;AD963),AH963-AD963,0))</f>
        <v>0</v>
      </c>
      <c r="W963" s="7" t="str">
        <f aca="false">IF(L963="","",VALUE(LEFT(L963,FIND("/",L963)-1)))</f>
        <v/>
      </c>
      <c r="X963" s="7" t="str">
        <f aca="false">IF(L963="","",VALUE(MID(L963,FIND("/",L963)+1,FIND("/",L963,FIND("/",L963)+1)-FIND("/",L963)-1)))</f>
        <v/>
      </c>
      <c r="Y963" s="7" t="str">
        <f aca="false">IF(L963="","",VALUE(MID(L963,FIND("/",L963,FIND("/",L963)+1)+1,LEN(L963)-FIND("/",L963,FIND("/",L963)+1))))</f>
        <v/>
      </c>
      <c r="Z963" s="7" t="str">
        <f aca="false">IF(OR(L963="",W963=""),"",IFERROR(INDEX('لیست‌ها'!$Q$3:$Q$53,MATCH(W963,'لیست‌ها'!$P$3:$P$53,0))+IF(X963&lt;=6,(X963-1)*31+Y963,IF(X963&lt;=11,186+(X963-7)*30+Y963,336+Y963))-1,""))</f>
        <v/>
      </c>
      <c r="AA963" s="7" t="str">
        <f aca="false">IF(H963="","",VALUE(LEFT(H963,FIND("/",H963)-1)))</f>
        <v/>
      </c>
      <c r="AB963" s="7" t="str">
        <f aca="false">IF(H963="","",VALUE(MID(H963,FIND("/",H963)+1,FIND("/",H963,FIND("/",H963)+1)-FIND("/",H963)-1)))</f>
        <v/>
      </c>
      <c r="AC963" s="7" t="str">
        <f aca="false">IF(H963="","",VALUE(MID(H963,FIND("/",H963,FIND("/",H963)+1)+1,LEN(H963)-FIND("/",H963,FIND("/",H963)+1))))</f>
        <v/>
      </c>
      <c r="AD963" s="7" t="str">
        <f aca="false">IF(OR(H963="",AA963=""),"",IFERROR(INDEX('لیست‌ها'!$Q$3:$Q$53,MATCH(AA963,'لیست‌ها'!$P$3:$P$53,0))+IF(AB963&lt;=6,(AB963-1)*31+AC963,IF(AB963&lt;=11,186+(AB963-7)*30+AC963,336+AC963))-1,""))</f>
        <v/>
      </c>
      <c r="AE963" s="7" t="str">
        <f aca="false">IF(P963="","",VALUE(LEFT(P963,FIND("/",P963)-1)))</f>
        <v/>
      </c>
      <c r="AF963" s="7" t="str">
        <f aca="false">IF(P963="","",VALUE(MID(P963,FIND("/",P963)+1,FIND("/",P963,FIND("/",P963)+1)-FIND("/",P963)-1)))</f>
        <v/>
      </c>
      <c r="AG963" s="7" t="str">
        <f aca="false">IF(P963="","",VALUE(MID(P963,FIND("/",P963,FIND("/",P963)+1)+1,LEN(P963)-FIND("/",P963,FIND("/",P963)+1))))</f>
        <v/>
      </c>
      <c r="AH963" s="7" t="str">
        <f aca="false">IF(OR(P963="",AE963=""),"",IFERROR(INDEX('لیست‌ها'!$Q$3:$Q$53,MATCH(AE963,'لیست‌ها'!$P$3:$P$53,0))+IF(AF963&lt;=6,(AF963-1)*31+AG963,IF(AF963&lt;=11,186+(AF963-7)*30+AG963,336+AG963))-1,""))</f>
        <v/>
      </c>
      <c r="AI963" s="7" t="str">
        <f aca="false">IF(W963="","",W963&amp;"-"&amp;TEXT(X963,"00"))</f>
        <v/>
      </c>
      <c r="AJ963" s="7" t="str">
        <f aca="false">IF(W963="","",W963*12+X963)</f>
        <v/>
      </c>
      <c r="AK963" s="7" t="str">
        <f aca="false">IF(U963="تاخیر",V963+ROW()/100000,"")</f>
        <v/>
      </c>
    </row>
    <row r="964" customFormat="false" ht="15" hidden="false" customHeight="false" outlineLevel="0" collapsed="false">
      <c r="A964" s="7" t="str">
        <f aca="false">IF(B964="","",ROW()-3)</f>
        <v/>
      </c>
      <c r="B964" s="8"/>
      <c r="C964" s="8"/>
      <c r="D964" s="8"/>
      <c r="E964" s="9"/>
      <c r="F964" s="9"/>
      <c r="G964" s="8"/>
      <c r="H964" s="8"/>
      <c r="I964" s="8"/>
      <c r="J964" s="9"/>
      <c r="K964" s="8"/>
      <c r="L964" s="8"/>
      <c r="M964" s="8"/>
      <c r="N964" s="8"/>
      <c r="O964" s="8"/>
      <c r="P964" s="8"/>
      <c r="Q964" s="8"/>
      <c r="R964" s="9"/>
      <c r="S964" s="8"/>
      <c r="T964" s="9"/>
      <c r="U964" s="10" t="str">
        <f aca="true">IF(B964="","",IF(OR(P964&lt;&gt;"",I964="می‌باشد"),"بسته",IF(AND(L964&lt;&gt;"",W964=""),"خطای فرمت تاریخ ایجاد",IF(AND(H964&lt;&gt;"",AA964=""),"خطای فرمت مهلت",IF(AND(H964&lt;&gt;"",AD964&lt;&gt;"",TODAY()&gt;AD964),"تاخیر",IF(L964&lt;&gt;"","در حال انجام",""))))))</f>
        <v/>
      </c>
      <c r="V964" s="7" t="n">
        <f aca="true">IF(U964="تاخیر",TODAY()-AD964,IF(AND(U964="بسته",AH964&lt;&gt;"",AD964&lt;&gt;"",AH964&gt;AD964),AH964-AD964,0))</f>
        <v>0</v>
      </c>
      <c r="W964" s="7" t="str">
        <f aca="false">IF(L964="","",VALUE(LEFT(L964,FIND("/",L964)-1)))</f>
        <v/>
      </c>
      <c r="X964" s="7" t="str">
        <f aca="false">IF(L964="","",VALUE(MID(L964,FIND("/",L964)+1,FIND("/",L964,FIND("/",L964)+1)-FIND("/",L964)-1)))</f>
        <v/>
      </c>
      <c r="Y964" s="7" t="str">
        <f aca="false">IF(L964="","",VALUE(MID(L964,FIND("/",L964,FIND("/",L964)+1)+1,LEN(L964)-FIND("/",L964,FIND("/",L964)+1))))</f>
        <v/>
      </c>
      <c r="Z964" s="7" t="str">
        <f aca="false">IF(OR(L964="",W964=""),"",IFERROR(INDEX('لیست‌ها'!$Q$3:$Q$53,MATCH(W964,'لیست‌ها'!$P$3:$P$53,0))+IF(X964&lt;=6,(X964-1)*31+Y964,IF(X964&lt;=11,186+(X964-7)*30+Y964,336+Y964))-1,""))</f>
        <v/>
      </c>
      <c r="AA964" s="7" t="str">
        <f aca="false">IF(H964="","",VALUE(LEFT(H964,FIND("/",H964)-1)))</f>
        <v/>
      </c>
      <c r="AB964" s="7" t="str">
        <f aca="false">IF(H964="","",VALUE(MID(H964,FIND("/",H964)+1,FIND("/",H964,FIND("/",H964)+1)-FIND("/",H964)-1)))</f>
        <v/>
      </c>
      <c r="AC964" s="7" t="str">
        <f aca="false">IF(H964="","",VALUE(MID(H964,FIND("/",H964,FIND("/",H964)+1)+1,LEN(H964)-FIND("/",H964,FIND("/",H964)+1))))</f>
        <v/>
      </c>
      <c r="AD964" s="7" t="str">
        <f aca="false">IF(OR(H964="",AA964=""),"",IFERROR(INDEX('لیست‌ها'!$Q$3:$Q$53,MATCH(AA964,'لیست‌ها'!$P$3:$P$53,0))+IF(AB964&lt;=6,(AB964-1)*31+AC964,IF(AB964&lt;=11,186+(AB964-7)*30+AC964,336+AC964))-1,""))</f>
        <v/>
      </c>
      <c r="AE964" s="7" t="str">
        <f aca="false">IF(P964="","",VALUE(LEFT(P964,FIND("/",P964)-1)))</f>
        <v/>
      </c>
      <c r="AF964" s="7" t="str">
        <f aca="false">IF(P964="","",VALUE(MID(P964,FIND("/",P964)+1,FIND("/",P964,FIND("/",P964)+1)-FIND("/",P964)-1)))</f>
        <v/>
      </c>
      <c r="AG964" s="7" t="str">
        <f aca="false">IF(P964="","",VALUE(MID(P964,FIND("/",P964,FIND("/",P964)+1)+1,LEN(P964)-FIND("/",P964,FIND("/",P964)+1))))</f>
        <v/>
      </c>
      <c r="AH964" s="7" t="str">
        <f aca="false">IF(OR(P964="",AE964=""),"",IFERROR(INDEX('لیست‌ها'!$Q$3:$Q$53,MATCH(AE964,'لیست‌ها'!$P$3:$P$53,0))+IF(AF964&lt;=6,(AF964-1)*31+AG964,IF(AF964&lt;=11,186+(AF964-7)*30+AG964,336+AG964))-1,""))</f>
        <v/>
      </c>
      <c r="AI964" s="7" t="str">
        <f aca="false">IF(W964="","",W964&amp;"-"&amp;TEXT(X964,"00"))</f>
        <v/>
      </c>
      <c r="AJ964" s="7" t="str">
        <f aca="false">IF(W964="","",W964*12+X964)</f>
        <v/>
      </c>
      <c r="AK964" s="7" t="str">
        <f aca="false">IF(U964="تاخیر",V964+ROW()/100000,"")</f>
        <v/>
      </c>
    </row>
    <row r="965" customFormat="false" ht="15" hidden="false" customHeight="false" outlineLevel="0" collapsed="false">
      <c r="A965" s="7" t="str">
        <f aca="false">IF(B965="","",ROW()-3)</f>
        <v/>
      </c>
      <c r="B965" s="8"/>
      <c r="C965" s="8"/>
      <c r="D965" s="8"/>
      <c r="E965" s="9"/>
      <c r="F965" s="9"/>
      <c r="G965" s="8"/>
      <c r="H965" s="8"/>
      <c r="I965" s="8"/>
      <c r="J965" s="9"/>
      <c r="K965" s="8"/>
      <c r="L965" s="8"/>
      <c r="M965" s="8"/>
      <c r="N965" s="8"/>
      <c r="O965" s="8"/>
      <c r="P965" s="8"/>
      <c r="Q965" s="8"/>
      <c r="R965" s="9"/>
      <c r="S965" s="8"/>
      <c r="T965" s="9"/>
      <c r="U965" s="10" t="str">
        <f aca="true">IF(B965="","",IF(OR(P965&lt;&gt;"",I965="می‌باشد"),"بسته",IF(AND(L965&lt;&gt;"",W965=""),"خطای فرمت تاریخ ایجاد",IF(AND(H965&lt;&gt;"",AA965=""),"خطای فرمت مهلت",IF(AND(H965&lt;&gt;"",AD965&lt;&gt;"",TODAY()&gt;AD965),"تاخیر",IF(L965&lt;&gt;"","در حال انجام",""))))))</f>
        <v/>
      </c>
      <c r="V965" s="7" t="n">
        <f aca="true">IF(U965="تاخیر",TODAY()-AD965,IF(AND(U965="بسته",AH965&lt;&gt;"",AD965&lt;&gt;"",AH965&gt;AD965),AH965-AD965,0))</f>
        <v>0</v>
      </c>
      <c r="W965" s="7" t="str">
        <f aca="false">IF(L965="","",VALUE(LEFT(L965,FIND("/",L965)-1)))</f>
        <v/>
      </c>
      <c r="X965" s="7" t="str">
        <f aca="false">IF(L965="","",VALUE(MID(L965,FIND("/",L965)+1,FIND("/",L965,FIND("/",L965)+1)-FIND("/",L965)-1)))</f>
        <v/>
      </c>
      <c r="Y965" s="7" t="str">
        <f aca="false">IF(L965="","",VALUE(MID(L965,FIND("/",L965,FIND("/",L965)+1)+1,LEN(L965)-FIND("/",L965,FIND("/",L965)+1))))</f>
        <v/>
      </c>
      <c r="Z965" s="7" t="str">
        <f aca="false">IF(OR(L965="",W965=""),"",IFERROR(INDEX('لیست‌ها'!$Q$3:$Q$53,MATCH(W965,'لیست‌ها'!$P$3:$P$53,0))+IF(X965&lt;=6,(X965-1)*31+Y965,IF(X965&lt;=11,186+(X965-7)*30+Y965,336+Y965))-1,""))</f>
        <v/>
      </c>
      <c r="AA965" s="7" t="str">
        <f aca="false">IF(H965="","",VALUE(LEFT(H965,FIND("/",H965)-1)))</f>
        <v/>
      </c>
      <c r="AB965" s="7" t="str">
        <f aca="false">IF(H965="","",VALUE(MID(H965,FIND("/",H965)+1,FIND("/",H965,FIND("/",H965)+1)-FIND("/",H965)-1)))</f>
        <v/>
      </c>
      <c r="AC965" s="7" t="str">
        <f aca="false">IF(H965="","",VALUE(MID(H965,FIND("/",H965,FIND("/",H965)+1)+1,LEN(H965)-FIND("/",H965,FIND("/",H965)+1))))</f>
        <v/>
      </c>
      <c r="AD965" s="7" t="str">
        <f aca="false">IF(OR(H965="",AA965=""),"",IFERROR(INDEX('لیست‌ها'!$Q$3:$Q$53,MATCH(AA965,'لیست‌ها'!$P$3:$P$53,0))+IF(AB965&lt;=6,(AB965-1)*31+AC965,IF(AB965&lt;=11,186+(AB965-7)*30+AC965,336+AC965))-1,""))</f>
        <v/>
      </c>
      <c r="AE965" s="7" t="str">
        <f aca="false">IF(P965="","",VALUE(LEFT(P965,FIND("/",P965)-1)))</f>
        <v/>
      </c>
      <c r="AF965" s="7" t="str">
        <f aca="false">IF(P965="","",VALUE(MID(P965,FIND("/",P965)+1,FIND("/",P965,FIND("/",P965)+1)-FIND("/",P965)-1)))</f>
        <v/>
      </c>
      <c r="AG965" s="7" t="str">
        <f aca="false">IF(P965="","",VALUE(MID(P965,FIND("/",P965,FIND("/",P965)+1)+1,LEN(P965)-FIND("/",P965,FIND("/",P965)+1))))</f>
        <v/>
      </c>
      <c r="AH965" s="7" t="str">
        <f aca="false">IF(OR(P965="",AE965=""),"",IFERROR(INDEX('لیست‌ها'!$Q$3:$Q$53,MATCH(AE965,'لیست‌ها'!$P$3:$P$53,0))+IF(AF965&lt;=6,(AF965-1)*31+AG965,IF(AF965&lt;=11,186+(AF965-7)*30+AG965,336+AG965))-1,""))</f>
        <v/>
      </c>
      <c r="AI965" s="7" t="str">
        <f aca="false">IF(W965="","",W965&amp;"-"&amp;TEXT(X965,"00"))</f>
        <v/>
      </c>
      <c r="AJ965" s="7" t="str">
        <f aca="false">IF(W965="","",W965*12+X965)</f>
        <v/>
      </c>
      <c r="AK965" s="7" t="str">
        <f aca="false">IF(U965="تاخیر",V965+ROW()/100000,"")</f>
        <v/>
      </c>
    </row>
    <row r="966" customFormat="false" ht="15" hidden="false" customHeight="false" outlineLevel="0" collapsed="false">
      <c r="A966" s="7" t="str">
        <f aca="false">IF(B966="","",ROW()-3)</f>
        <v/>
      </c>
      <c r="B966" s="8"/>
      <c r="C966" s="8"/>
      <c r="D966" s="8"/>
      <c r="E966" s="9"/>
      <c r="F966" s="9"/>
      <c r="G966" s="8"/>
      <c r="H966" s="8"/>
      <c r="I966" s="8"/>
      <c r="J966" s="9"/>
      <c r="K966" s="8"/>
      <c r="L966" s="8"/>
      <c r="M966" s="8"/>
      <c r="N966" s="8"/>
      <c r="O966" s="8"/>
      <c r="P966" s="8"/>
      <c r="Q966" s="8"/>
      <c r="R966" s="9"/>
      <c r="S966" s="8"/>
      <c r="T966" s="9"/>
      <c r="U966" s="10" t="str">
        <f aca="true">IF(B966="","",IF(OR(P966&lt;&gt;"",I966="می‌باشد"),"بسته",IF(AND(L966&lt;&gt;"",W966=""),"خطای فرمت تاریخ ایجاد",IF(AND(H966&lt;&gt;"",AA966=""),"خطای فرمت مهلت",IF(AND(H966&lt;&gt;"",AD966&lt;&gt;"",TODAY()&gt;AD966),"تاخیر",IF(L966&lt;&gt;"","در حال انجام",""))))))</f>
        <v/>
      </c>
      <c r="V966" s="7" t="n">
        <f aca="true">IF(U966="تاخیر",TODAY()-AD966,IF(AND(U966="بسته",AH966&lt;&gt;"",AD966&lt;&gt;"",AH966&gt;AD966),AH966-AD966,0))</f>
        <v>0</v>
      </c>
      <c r="W966" s="7" t="str">
        <f aca="false">IF(L966="","",VALUE(LEFT(L966,FIND("/",L966)-1)))</f>
        <v/>
      </c>
      <c r="X966" s="7" t="str">
        <f aca="false">IF(L966="","",VALUE(MID(L966,FIND("/",L966)+1,FIND("/",L966,FIND("/",L966)+1)-FIND("/",L966)-1)))</f>
        <v/>
      </c>
      <c r="Y966" s="7" t="str">
        <f aca="false">IF(L966="","",VALUE(MID(L966,FIND("/",L966,FIND("/",L966)+1)+1,LEN(L966)-FIND("/",L966,FIND("/",L966)+1))))</f>
        <v/>
      </c>
      <c r="Z966" s="7" t="str">
        <f aca="false">IF(OR(L966="",W966=""),"",IFERROR(INDEX('لیست‌ها'!$Q$3:$Q$53,MATCH(W966,'لیست‌ها'!$P$3:$P$53,0))+IF(X966&lt;=6,(X966-1)*31+Y966,IF(X966&lt;=11,186+(X966-7)*30+Y966,336+Y966))-1,""))</f>
        <v/>
      </c>
      <c r="AA966" s="7" t="str">
        <f aca="false">IF(H966="","",VALUE(LEFT(H966,FIND("/",H966)-1)))</f>
        <v/>
      </c>
      <c r="AB966" s="7" t="str">
        <f aca="false">IF(H966="","",VALUE(MID(H966,FIND("/",H966)+1,FIND("/",H966,FIND("/",H966)+1)-FIND("/",H966)-1)))</f>
        <v/>
      </c>
      <c r="AC966" s="7" t="str">
        <f aca="false">IF(H966="","",VALUE(MID(H966,FIND("/",H966,FIND("/",H966)+1)+1,LEN(H966)-FIND("/",H966,FIND("/",H966)+1))))</f>
        <v/>
      </c>
      <c r="AD966" s="7" t="str">
        <f aca="false">IF(OR(H966="",AA966=""),"",IFERROR(INDEX('لیست‌ها'!$Q$3:$Q$53,MATCH(AA966,'لیست‌ها'!$P$3:$P$53,0))+IF(AB966&lt;=6,(AB966-1)*31+AC966,IF(AB966&lt;=11,186+(AB966-7)*30+AC966,336+AC966))-1,""))</f>
        <v/>
      </c>
      <c r="AE966" s="7" t="str">
        <f aca="false">IF(P966="","",VALUE(LEFT(P966,FIND("/",P966)-1)))</f>
        <v/>
      </c>
      <c r="AF966" s="7" t="str">
        <f aca="false">IF(P966="","",VALUE(MID(P966,FIND("/",P966)+1,FIND("/",P966,FIND("/",P966)+1)-FIND("/",P966)-1)))</f>
        <v/>
      </c>
      <c r="AG966" s="7" t="str">
        <f aca="false">IF(P966="","",VALUE(MID(P966,FIND("/",P966,FIND("/",P966)+1)+1,LEN(P966)-FIND("/",P966,FIND("/",P966)+1))))</f>
        <v/>
      </c>
      <c r="AH966" s="7" t="str">
        <f aca="false">IF(OR(P966="",AE966=""),"",IFERROR(INDEX('لیست‌ها'!$Q$3:$Q$53,MATCH(AE966,'لیست‌ها'!$P$3:$P$53,0))+IF(AF966&lt;=6,(AF966-1)*31+AG966,IF(AF966&lt;=11,186+(AF966-7)*30+AG966,336+AG966))-1,""))</f>
        <v/>
      </c>
      <c r="AI966" s="7" t="str">
        <f aca="false">IF(W966="","",W966&amp;"-"&amp;TEXT(X966,"00"))</f>
        <v/>
      </c>
      <c r="AJ966" s="7" t="str">
        <f aca="false">IF(W966="","",W966*12+X966)</f>
        <v/>
      </c>
      <c r="AK966" s="7" t="str">
        <f aca="false">IF(U966="تاخیر",V966+ROW()/100000,"")</f>
        <v/>
      </c>
    </row>
    <row r="967" customFormat="false" ht="15" hidden="false" customHeight="false" outlineLevel="0" collapsed="false">
      <c r="A967" s="7" t="str">
        <f aca="false">IF(B967="","",ROW()-3)</f>
        <v/>
      </c>
      <c r="B967" s="8"/>
      <c r="C967" s="8"/>
      <c r="D967" s="8"/>
      <c r="E967" s="9"/>
      <c r="F967" s="9"/>
      <c r="G967" s="8"/>
      <c r="H967" s="8"/>
      <c r="I967" s="8"/>
      <c r="J967" s="9"/>
      <c r="K967" s="8"/>
      <c r="L967" s="8"/>
      <c r="M967" s="8"/>
      <c r="N967" s="8"/>
      <c r="O967" s="8"/>
      <c r="P967" s="8"/>
      <c r="Q967" s="8"/>
      <c r="R967" s="9"/>
      <c r="S967" s="8"/>
      <c r="T967" s="9"/>
      <c r="U967" s="10" t="str">
        <f aca="true">IF(B967="","",IF(OR(P967&lt;&gt;"",I967="می‌باشد"),"بسته",IF(AND(L967&lt;&gt;"",W967=""),"خطای فرمت تاریخ ایجاد",IF(AND(H967&lt;&gt;"",AA967=""),"خطای فرمت مهلت",IF(AND(H967&lt;&gt;"",AD967&lt;&gt;"",TODAY()&gt;AD967),"تاخیر",IF(L967&lt;&gt;"","در حال انجام",""))))))</f>
        <v/>
      </c>
      <c r="V967" s="7" t="n">
        <f aca="true">IF(U967="تاخیر",TODAY()-AD967,IF(AND(U967="بسته",AH967&lt;&gt;"",AD967&lt;&gt;"",AH967&gt;AD967),AH967-AD967,0))</f>
        <v>0</v>
      </c>
      <c r="W967" s="7" t="str">
        <f aca="false">IF(L967="","",VALUE(LEFT(L967,FIND("/",L967)-1)))</f>
        <v/>
      </c>
      <c r="X967" s="7" t="str">
        <f aca="false">IF(L967="","",VALUE(MID(L967,FIND("/",L967)+1,FIND("/",L967,FIND("/",L967)+1)-FIND("/",L967)-1)))</f>
        <v/>
      </c>
      <c r="Y967" s="7" t="str">
        <f aca="false">IF(L967="","",VALUE(MID(L967,FIND("/",L967,FIND("/",L967)+1)+1,LEN(L967)-FIND("/",L967,FIND("/",L967)+1))))</f>
        <v/>
      </c>
      <c r="Z967" s="7" t="str">
        <f aca="false">IF(OR(L967="",W967=""),"",IFERROR(INDEX('لیست‌ها'!$Q$3:$Q$53,MATCH(W967,'لیست‌ها'!$P$3:$P$53,0))+IF(X967&lt;=6,(X967-1)*31+Y967,IF(X967&lt;=11,186+(X967-7)*30+Y967,336+Y967))-1,""))</f>
        <v/>
      </c>
      <c r="AA967" s="7" t="str">
        <f aca="false">IF(H967="","",VALUE(LEFT(H967,FIND("/",H967)-1)))</f>
        <v/>
      </c>
      <c r="AB967" s="7" t="str">
        <f aca="false">IF(H967="","",VALUE(MID(H967,FIND("/",H967)+1,FIND("/",H967,FIND("/",H967)+1)-FIND("/",H967)-1)))</f>
        <v/>
      </c>
      <c r="AC967" s="7" t="str">
        <f aca="false">IF(H967="","",VALUE(MID(H967,FIND("/",H967,FIND("/",H967)+1)+1,LEN(H967)-FIND("/",H967,FIND("/",H967)+1))))</f>
        <v/>
      </c>
      <c r="AD967" s="7" t="str">
        <f aca="false">IF(OR(H967="",AA967=""),"",IFERROR(INDEX('لیست‌ها'!$Q$3:$Q$53,MATCH(AA967,'لیست‌ها'!$P$3:$P$53,0))+IF(AB967&lt;=6,(AB967-1)*31+AC967,IF(AB967&lt;=11,186+(AB967-7)*30+AC967,336+AC967))-1,""))</f>
        <v/>
      </c>
      <c r="AE967" s="7" t="str">
        <f aca="false">IF(P967="","",VALUE(LEFT(P967,FIND("/",P967)-1)))</f>
        <v/>
      </c>
      <c r="AF967" s="7" t="str">
        <f aca="false">IF(P967="","",VALUE(MID(P967,FIND("/",P967)+1,FIND("/",P967,FIND("/",P967)+1)-FIND("/",P967)-1)))</f>
        <v/>
      </c>
      <c r="AG967" s="7" t="str">
        <f aca="false">IF(P967="","",VALUE(MID(P967,FIND("/",P967,FIND("/",P967)+1)+1,LEN(P967)-FIND("/",P967,FIND("/",P967)+1))))</f>
        <v/>
      </c>
      <c r="AH967" s="7" t="str">
        <f aca="false">IF(OR(P967="",AE967=""),"",IFERROR(INDEX('لیست‌ها'!$Q$3:$Q$53,MATCH(AE967,'لیست‌ها'!$P$3:$P$53,0))+IF(AF967&lt;=6,(AF967-1)*31+AG967,IF(AF967&lt;=11,186+(AF967-7)*30+AG967,336+AG967))-1,""))</f>
        <v/>
      </c>
      <c r="AI967" s="7" t="str">
        <f aca="false">IF(W967="","",W967&amp;"-"&amp;TEXT(X967,"00"))</f>
        <v/>
      </c>
      <c r="AJ967" s="7" t="str">
        <f aca="false">IF(W967="","",W967*12+X967)</f>
        <v/>
      </c>
      <c r="AK967" s="7" t="str">
        <f aca="false">IF(U967="تاخیر",V967+ROW()/100000,"")</f>
        <v/>
      </c>
    </row>
    <row r="968" customFormat="false" ht="15" hidden="false" customHeight="false" outlineLevel="0" collapsed="false">
      <c r="A968" s="7" t="str">
        <f aca="false">IF(B968="","",ROW()-3)</f>
        <v/>
      </c>
      <c r="B968" s="8"/>
      <c r="C968" s="8"/>
      <c r="D968" s="8"/>
      <c r="E968" s="9"/>
      <c r="F968" s="9"/>
      <c r="G968" s="8"/>
      <c r="H968" s="8"/>
      <c r="I968" s="8"/>
      <c r="J968" s="9"/>
      <c r="K968" s="8"/>
      <c r="L968" s="8"/>
      <c r="M968" s="8"/>
      <c r="N968" s="8"/>
      <c r="O968" s="8"/>
      <c r="P968" s="8"/>
      <c r="Q968" s="8"/>
      <c r="R968" s="9"/>
      <c r="S968" s="8"/>
      <c r="T968" s="9"/>
      <c r="U968" s="10" t="str">
        <f aca="true">IF(B968="","",IF(OR(P968&lt;&gt;"",I968="می‌باشد"),"بسته",IF(AND(L968&lt;&gt;"",W968=""),"خطای فرمت تاریخ ایجاد",IF(AND(H968&lt;&gt;"",AA968=""),"خطای فرمت مهلت",IF(AND(H968&lt;&gt;"",AD968&lt;&gt;"",TODAY()&gt;AD968),"تاخیر",IF(L968&lt;&gt;"","در حال انجام",""))))))</f>
        <v/>
      </c>
      <c r="V968" s="7" t="n">
        <f aca="true">IF(U968="تاخیر",TODAY()-AD968,IF(AND(U968="بسته",AH968&lt;&gt;"",AD968&lt;&gt;"",AH968&gt;AD968),AH968-AD968,0))</f>
        <v>0</v>
      </c>
      <c r="W968" s="7" t="str">
        <f aca="false">IF(L968="","",VALUE(LEFT(L968,FIND("/",L968)-1)))</f>
        <v/>
      </c>
      <c r="X968" s="7" t="str">
        <f aca="false">IF(L968="","",VALUE(MID(L968,FIND("/",L968)+1,FIND("/",L968,FIND("/",L968)+1)-FIND("/",L968)-1)))</f>
        <v/>
      </c>
      <c r="Y968" s="7" t="str">
        <f aca="false">IF(L968="","",VALUE(MID(L968,FIND("/",L968,FIND("/",L968)+1)+1,LEN(L968)-FIND("/",L968,FIND("/",L968)+1))))</f>
        <v/>
      </c>
      <c r="Z968" s="7" t="str">
        <f aca="false">IF(OR(L968="",W968=""),"",IFERROR(INDEX('لیست‌ها'!$Q$3:$Q$53,MATCH(W968,'لیست‌ها'!$P$3:$P$53,0))+IF(X968&lt;=6,(X968-1)*31+Y968,IF(X968&lt;=11,186+(X968-7)*30+Y968,336+Y968))-1,""))</f>
        <v/>
      </c>
      <c r="AA968" s="7" t="str">
        <f aca="false">IF(H968="","",VALUE(LEFT(H968,FIND("/",H968)-1)))</f>
        <v/>
      </c>
      <c r="AB968" s="7" t="str">
        <f aca="false">IF(H968="","",VALUE(MID(H968,FIND("/",H968)+1,FIND("/",H968,FIND("/",H968)+1)-FIND("/",H968)-1)))</f>
        <v/>
      </c>
      <c r="AC968" s="7" t="str">
        <f aca="false">IF(H968="","",VALUE(MID(H968,FIND("/",H968,FIND("/",H968)+1)+1,LEN(H968)-FIND("/",H968,FIND("/",H968)+1))))</f>
        <v/>
      </c>
      <c r="AD968" s="7" t="str">
        <f aca="false">IF(OR(H968="",AA968=""),"",IFERROR(INDEX('لیست‌ها'!$Q$3:$Q$53,MATCH(AA968,'لیست‌ها'!$P$3:$P$53,0))+IF(AB968&lt;=6,(AB968-1)*31+AC968,IF(AB968&lt;=11,186+(AB968-7)*30+AC968,336+AC968))-1,""))</f>
        <v/>
      </c>
      <c r="AE968" s="7" t="str">
        <f aca="false">IF(P968="","",VALUE(LEFT(P968,FIND("/",P968)-1)))</f>
        <v/>
      </c>
      <c r="AF968" s="7" t="str">
        <f aca="false">IF(P968="","",VALUE(MID(P968,FIND("/",P968)+1,FIND("/",P968,FIND("/",P968)+1)-FIND("/",P968)-1)))</f>
        <v/>
      </c>
      <c r="AG968" s="7" t="str">
        <f aca="false">IF(P968="","",VALUE(MID(P968,FIND("/",P968,FIND("/",P968)+1)+1,LEN(P968)-FIND("/",P968,FIND("/",P968)+1))))</f>
        <v/>
      </c>
      <c r="AH968" s="7" t="str">
        <f aca="false">IF(OR(P968="",AE968=""),"",IFERROR(INDEX('لیست‌ها'!$Q$3:$Q$53,MATCH(AE968,'لیست‌ها'!$P$3:$P$53,0))+IF(AF968&lt;=6,(AF968-1)*31+AG968,IF(AF968&lt;=11,186+(AF968-7)*30+AG968,336+AG968))-1,""))</f>
        <v/>
      </c>
      <c r="AI968" s="7" t="str">
        <f aca="false">IF(W968="","",W968&amp;"-"&amp;TEXT(X968,"00"))</f>
        <v/>
      </c>
      <c r="AJ968" s="7" t="str">
        <f aca="false">IF(W968="","",W968*12+X968)</f>
        <v/>
      </c>
      <c r="AK968" s="7" t="str">
        <f aca="false">IF(U968="تاخیر",V968+ROW()/100000,"")</f>
        <v/>
      </c>
    </row>
    <row r="969" customFormat="false" ht="15" hidden="false" customHeight="false" outlineLevel="0" collapsed="false">
      <c r="A969" s="7" t="str">
        <f aca="false">IF(B969="","",ROW()-3)</f>
        <v/>
      </c>
      <c r="B969" s="8"/>
      <c r="C969" s="8"/>
      <c r="D969" s="8"/>
      <c r="E969" s="9"/>
      <c r="F969" s="9"/>
      <c r="G969" s="8"/>
      <c r="H969" s="8"/>
      <c r="I969" s="8"/>
      <c r="J969" s="9"/>
      <c r="K969" s="8"/>
      <c r="L969" s="8"/>
      <c r="M969" s="8"/>
      <c r="N969" s="8"/>
      <c r="O969" s="8"/>
      <c r="P969" s="8"/>
      <c r="Q969" s="8"/>
      <c r="R969" s="9"/>
      <c r="S969" s="8"/>
      <c r="T969" s="9"/>
      <c r="U969" s="10" t="str">
        <f aca="true">IF(B969="","",IF(OR(P969&lt;&gt;"",I969="می‌باشد"),"بسته",IF(AND(L969&lt;&gt;"",W969=""),"خطای فرمت تاریخ ایجاد",IF(AND(H969&lt;&gt;"",AA969=""),"خطای فرمت مهلت",IF(AND(H969&lt;&gt;"",AD969&lt;&gt;"",TODAY()&gt;AD969),"تاخیر",IF(L969&lt;&gt;"","در حال انجام",""))))))</f>
        <v/>
      </c>
      <c r="V969" s="7" t="n">
        <f aca="true">IF(U969="تاخیر",TODAY()-AD969,IF(AND(U969="بسته",AH969&lt;&gt;"",AD969&lt;&gt;"",AH969&gt;AD969),AH969-AD969,0))</f>
        <v>0</v>
      </c>
      <c r="W969" s="7" t="str">
        <f aca="false">IF(L969="","",VALUE(LEFT(L969,FIND("/",L969)-1)))</f>
        <v/>
      </c>
      <c r="X969" s="7" t="str">
        <f aca="false">IF(L969="","",VALUE(MID(L969,FIND("/",L969)+1,FIND("/",L969,FIND("/",L969)+1)-FIND("/",L969)-1)))</f>
        <v/>
      </c>
      <c r="Y969" s="7" t="str">
        <f aca="false">IF(L969="","",VALUE(MID(L969,FIND("/",L969,FIND("/",L969)+1)+1,LEN(L969)-FIND("/",L969,FIND("/",L969)+1))))</f>
        <v/>
      </c>
      <c r="Z969" s="7" t="str">
        <f aca="false">IF(OR(L969="",W969=""),"",IFERROR(INDEX('لیست‌ها'!$Q$3:$Q$53,MATCH(W969,'لیست‌ها'!$P$3:$P$53,0))+IF(X969&lt;=6,(X969-1)*31+Y969,IF(X969&lt;=11,186+(X969-7)*30+Y969,336+Y969))-1,""))</f>
        <v/>
      </c>
      <c r="AA969" s="7" t="str">
        <f aca="false">IF(H969="","",VALUE(LEFT(H969,FIND("/",H969)-1)))</f>
        <v/>
      </c>
      <c r="AB969" s="7" t="str">
        <f aca="false">IF(H969="","",VALUE(MID(H969,FIND("/",H969)+1,FIND("/",H969,FIND("/",H969)+1)-FIND("/",H969)-1)))</f>
        <v/>
      </c>
      <c r="AC969" s="7" t="str">
        <f aca="false">IF(H969="","",VALUE(MID(H969,FIND("/",H969,FIND("/",H969)+1)+1,LEN(H969)-FIND("/",H969,FIND("/",H969)+1))))</f>
        <v/>
      </c>
      <c r="AD969" s="7" t="str">
        <f aca="false">IF(OR(H969="",AA969=""),"",IFERROR(INDEX('لیست‌ها'!$Q$3:$Q$53,MATCH(AA969,'لیست‌ها'!$P$3:$P$53,0))+IF(AB969&lt;=6,(AB969-1)*31+AC969,IF(AB969&lt;=11,186+(AB969-7)*30+AC969,336+AC969))-1,""))</f>
        <v/>
      </c>
      <c r="AE969" s="7" t="str">
        <f aca="false">IF(P969="","",VALUE(LEFT(P969,FIND("/",P969)-1)))</f>
        <v/>
      </c>
      <c r="AF969" s="7" t="str">
        <f aca="false">IF(P969="","",VALUE(MID(P969,FIND("/",P969)+1,FIND("/",P969,FIND("/",P969)+1)-FIND("/",P969)-1)))</f>
        <v/>
      </c>
      <c r="AG969" s="7" t="str">
        <f aca="false">IF(P969="","",VALUE(MID(P969,FIND("/",P969,FIND("/",P969)+1)+1,LEN(P969)-FIND("/",P969,FIND("/",P969)+1))))</f>
        <v/>
      </c>
      <c r="AH969" s="7" t="str">
        <f aca="false">IF(OR(P969="",AE969=""),"",IFERROR(INDEX('لیست‌ها'!$Q$3:$Q$53,MATCH(AE969,'لیست‌ها'!$P$3:$P$53,0))+IF(AF969&lt;=6,(AF969-1)*31+AG969,IF(AF969&lt;=11,186+(AF969-7)*30+AG969,336+AG969))-1,""))</f>
        <v/>
      </c>
      <c r="AI969" s="7" t="str">
        <f aca="false">IF(W969="","",W969&amp;"-"&amp;TEXT(X969,"00"))</f>
        <v/>
      </c>
      <c r="AJ969" s="7" t="str">
        <f aca="false">IF(W969="","",W969*12+X969)</f>
        <v/>
      </c>
      <c r="AK969" s="7" t="str">
        <f aca="false">IF(U969="تاخیر",V969+ROW()/100000,"")</f>
        <v/>
      </c>
    </row>
    <row r="970" customFormat="false" ht="15" hidden="false" customHeight="false" outlineLevel="0" collapsed="false">
      <c r="A970" s="7" t="str">
        <f aca="false">IF(B970="","",ROW()-3)</f>
        <v/>
      </c>
      <c r="B970" s="8"/>
      <c r="C970" s="8"/>
      <c r="D970" s="8"/>
      <c r="E970" s="9"/>
      <c r="F970" s="9"/>
      <c r="G970" s="8"/>
      <c r="H970" s="8"/>
      <c r="I970" s="8"/>
      <c r="J970" s="9"/>
      <c r="K970" s="8"/>
      <c r="L970" s="8"/>
      <c r="M970" s="8"/>
      <c r="N970" s="8"/>
      <c r="O970" s="8"/>
      <c r="P970" s="8"/>
      <c r="Q970" s="8"/>
      <c r="R970" s="9"/>
      <c r="S970" s="8"/>
      <c r="T970" s="9"/>
      <c r="U970" s="10" t="str">
        <f aca="true">IF(B970="","",IF(OR(P970&lt;&gt;"",I970="می‌باشد"),"بسته",IF(AND(L970&lt;&gt;"",W970=""),"خطای فرمت تاریخ ایجاد",IF(AND(H970&lt;&gt;"",AA970=""),"خطای فرمت مهلت",IF(AND(H970&lt;&gt;"",AD970&lt;&gt;"",TODAY()&gt;AD970),"تاخیر",IF(L970&lt;&gt;"","در حال انجام",""))))))</f>
        <v/>
      </c>
      <c r="V970" s="7" t="n">
        <f aca="true">IF(U970="تاخیر",TODAY()-AD970,IF(AND(U970="بسته",AH970&lt;&gt;"",AD970&lt;&gt;"",AH970&gt;AD970),AH970-AD970,0))</f>
        <v>0</v>
      </c>
      <c r="W970" s="7" t="str">
        <f aca="false">IF(L970="","",VALUE(LEFT(L970,FIND("/",L970)-1)))</f>
        <v/>
      </c>
      <c r="X970" s="7" t="str">
        <f aca="false">IF(L970="","",VALUE(MID(L970,FIND("/",L970)+1,FIND("/",L970,FIND("/",L970)+1)-FIND("/",L970)-1)))</f>
        <v/>
      </c>
      <c r="Y970" s="7" t="str">
        <f aca="false">IF(L970="","",VALUE(MID(L970,FIND("/",L970,FIND("/",L970)+1)+1,LEN(L970)-FIND("/",L970,FIND("/",L970)+1))))</f>
        <v/>
      </c>
      <c r="Z970" s="7" t="str">
        <f aca="false">IF(OR(L970="",W970=""),"",IFERROR(INDEX('لیست‌ها'!$Q$3:$Q$53,MATCH(W970,'لیست‌ها'!$P$3:$P$53,0))+IF(X970&lt;=6,(X970-1)*31+Y970,IF(X970&lt;=11,186+(X970-7)*30+Y970,336+Y970))-1,""))</f>
        <v/>
      </c>
      <c r="AA970" s="7" t="str">
        <f aca="false">IF(H970="","",VALUE(LEFT(H970,FIND("/",H970)-1)))</f>
        <v/>
      </c>
      <c r="AB970" s="7" t="str">
        <f aca="false">IF(H970="","",VALUE(MID(H970,FIND("/",H970)+1,FIND("/",H970,FIND("/",H970)+1)-FIND("/",H970)-1)))</f>
        <v/>
      </c>
      <c r="AC970" s="7" t="str">
        <f aca="false">IF(H970="","",VALUE(MID(H970,FIND("/",H970,FIND("/",H970)+1)+1,LEN(H970)-FIND("/",H970,FIND("/",H970)+1))))</f>
        <v/>
      </c>
      <c r="AD970" s="7" t="str">
        <f aca="false">IF(OR(H970="",AA970=""),"",IFERROR(INDEX('لیست‌ها'!$Q$3:$Q$53,MATCH(AA970,'لیست‌ها'!$P$3:$P$53,0))+IF(AB970&lt;=6,(AB970-1)*31+AC970,IF(AB970&lt;=11,186+(AB970-7)*30+AC970,336+AC970))-1,""))</f>
        <v/>
      </c>
      <c r="AE970" s="7" t="str">
        <f aca="false">IF(P970="","",VALUE(LEFT(P970,FIND("/",P970)-1)))</f>
        <v/>
      </c>
      <c r="AF970" s="7" t="str">
        <f aca="false">IF(P970="","",VALUE(MID(P970,FIND("/",P970)+1,FIND("/",P970,FIND("/",P970)+1)-FIND("/",P970)-1)))</f>
        <v/>
      </c>
      <c r="AG970" s="7" t="str">
        <f aca="false">IF(P970="","",VALUE(MID(P970,FIND("/",P970,FIND("/",P970)+1)+1,LEN(P970)-FIND("/",P970,FIND("/",P970)+1))))</f>
        <v/>
      </c>
      <c r="AH970" s="7" t="str">
        <f aca="false">IF(OR(P970="",AE970=""),"",IFERROR(INDEX('لیست‌ها'!$Q$3:$Q$53,MATCH(AE970,'لیست‌ها'!$P$3:$P$53,0))+IF(AF970&lt;=6,(AF970-1)*31+AG970,IF(AF970&lt;=11,186+(AF970-7)*30+AG970,336+AG970))-1,""))</f>
        <v/>
      </c>
      <c r="AI970" s="7" t="str">
        <f aca="false">IF(W970="","",W970&amp;"-"&amp;TEXT(X970,"00"))</f>
        <v/>
      </c>
      <c r="AJ970" s="7" t="str">
        <f aca="false">IF(W970="","",W970*12+X970)</f>
        <v/>
      </c>
      <c r="AK970" s="7" t="str">
        <f aca="false">IF(U970="تاخیر",V970+ROW()/100000,"")</f>
        <v/>
      </c>
    </row>
    <row r="971" customFormat="false" ht="15" hidden="false" customHeight="false" outlineLevel="0" collapsed="false">
      <c r="A971" s="7" t="str">
        <f aca="false">IF(B971="","",ROW()-3)</f>
        <v/>
      </c>
      <c r="B971" s="8"/>
      <c r="C971" s="8"/>
      <c r="D971" s="8"/>
      <c r="E971" s="9"/>
      <c r="F971" s="9"/>
      <c r="G971" s="8"/>
      <c r="H971" s="8"/>
      <c r="I971" s="8"/>
      <c r="J971" s="9"/>
      <c r="K971" s="8"/>
      <c r="L971" s="8"/>
      <c r="M971" s="8"/>
      <c r="N971" s="8"/>
      <c r="O971" s="8"/>
      <c r="P971" s="8"/>
      <c r="Q971" s="8"/>
      <c r="R971" s="9"/>
      <c r="S971" s="8"/>
      <c r="T971" s="9"/>
      <c r="U971" s="10" t="str">
        <f aca="true">IF(B971="","",IF(OR(P971&lt;&gt;"",I971="می‌باشد"),"بسته",IF(AND(L971&lt;&gt;"",W971=""),"خطای فرمت تاریخ ایجاد",IF(AND(H971&lt;&gt;"",AA971=""),"خطای فرمت مهلت",IF(AND(H971&lt;&gt;"",AD971&lt;&gt;"",TODAY()&gt;AD971),"تاخیر",IF(L971&lt;&gt;"","در حال انجام",""))))))</f>
        <v/>
      </c>
      <c r="V971" s="7" t="n">
        <f aca="true">IF(U971="تاخیر",TODAY()-AD971,IF(AND(U971="بسته",AH971&lt;&gt;"",AD971&lt;&gt;"",AH971&gt;AD971),AH971-AD971,0))</f>
        <v>0</v>
      </c>
      <c r="W971" s="7" t="str">
        <f aca="false">IF(L971="","",VALUE(LEFT(L971,FIND("/",L971)-1)))</f>
        <v/>
      </c>
      <c r="X971" s="7" t="str">
        <f aca="false">IF(L971="","",VALUE(MID(L971,FIND("/",L971)+1,FIND("/",L971,FIND("/",L971)+1)-FIND("/",L971)-1)))</f>
        <v/>
      </c>
      <c r="Y971" s="7" t="str">
        <f aca="false">IF(L971="","",VALUE(MID(L971,FIND("/",L971,FIND("/",L971)+1)+1,LEN(L971)-FIND("/",L971,FIND("/",L971)+1))))</f>
        <v/>
      </c>
      <c r="Z971" s="7" t="str">
        <f aca="false">IF(OR(L971="",W971=""),"",IFERROR(INDEX('لیست‌ها'!$Q$3:$Q$53,MATCH(W971,'لیست‌ها'!$P$3:$P$53,0))+IF(X971&lt;=6,(X971-1)*31+Y971,IF(X971&lt;=11,186+(X971-7)*30+Y971,336+Y971))-1,""))</f>
        <v/>
      </c>
      <c r="AA971" s="7" t="str">
        <f aca="false">IF(H971="","",VALUE(LEFT(H971,FIND("/",H971)-1)))</f>
        <v/>
      </c>
      <c r="AB971" s="7" t="str">
        <f aca="false">IF(H971="","",VALUE(MID(H971,FIND("/",H971)+1,FIND("/",H971,FIND("/",H971)+1)-FIND("/",H971)-1)))</f>
        <v/>
      </c>
      <c r="AC971" s="7" t="str">
        <f aca="false">IF(H971="","",VALUE(MID(H971,FIND("/",H971,FIND("/",H971)+1)+1,LEN(H971)-FIND("/",H971,FIND("/",H971)+1))))</f>
        <v/>
      </c>
      <c r="AD971" s="7" t="str">
        <f aca="false">IF(OR(H971="",AA971=""),"",IFERROR(INDEX('لیست‌ها'!$Q$3:$Q$53,MATCH(AA971,'لیست‌ها'!$P$3:$P$53,0))+IF(AB971&lt;=6,(AB971-1)*31+AC971,IF(AB971&lt;=11,186+(AB971-7)*30+AC971,336+AC971))-1,""))</f>
        <v/>
      </c>
      <c r="AE971" s="7" t="str">
        <f aca="false">IF(P971="","",VALUE(LEFT(P971,FIND("/",P971)-1)))</f>
        <v/>
      </c>
      <c r="AF971" s="7" t="str">
        <f aca="false">IF(P971="","",VALUE(MID(P971,FIND("/",P971)+1,FIND("/",P971,FIND("/",P971)+1)-FIND("/",P971)-1)))</f>
        <v/>
      </c>
      <c r="AG971" s="7" t="str">
        <f aca="false">IF(P971="","",VALUE(MID(P971,FIND("/",P971,FIND("/",P971)+1)+1,LEN(P971)-FIND("/",P971,FIND("/",P971)+1))))</f>
        <v/>
      </c>
      <c r="AH971" s="7" t="str">
        <f aca="false">IF(OR(P971="",AE971=""),"",IFERROR(INDEX('لیست‌ها'!$Q$3:$Q$53,MATCH(AE971,'لیست‌ها'!$P$3:$P$53,0))+IF(AF971&lt;=6,(AF971-1)*31+AG971,IF(AF971&lt;=11,186+(AF971-7)*30+AG971,336+AG971))-1,""))</f>
        <v/>
      </c>
      <c r="AI971" s="7" t="str">
        <f aca="false">IF(W971="","",W971&amp;"-"&amp;TEXT(X971,"00"))</f>
        <v/>
      </c>
      <c r="AJ971" s="7" t="str">
        <f aca="false">IF(W971="","",W971*12+X971)</f>
        <v/>
      </c>
      <c r="AK971" s="7" t="str">
        <f aca="false">IF(U971="تاخیر",V971+ROW()/100000,"")</f>
        <v/>
      </c>
    </row>
    <row r="972" customFormat="false" ht="15" hidden="false" customHeight="false" outlineLevel="0" collapsed="false">
      <c r="A972" s="7" t="str">
        <f aca="false">IF(B972="","",ROW()-3)</f>
        <v/>
      </c>
      <c r="B972" s="8"/>
      <c r="C972" s="8"/>
      <c r="D972" s="8"/>
      <c r="E972" s="9"/>
      <c r="F972" s="9"/>
      <c r="G972" s="8"/>
      <c r="H972" s="8"/>
      <c r="I972" s="8"/>
      <c r="J972" s="9"/>
      <c r="K972" s="8"/>
      <c r="L972" s="8"/>
      <c r="M972" s="8"/>
      <c r="N972" s="8"/>
      <c r="O972" s="8"/>
      <c r="P972" s="8"/>
      <c r="Q972" s="8"/>
      <c r="R972" s="9"/>
      <c r="S972" s="8"/>
      <c r="T972" s="9"/>
      <c r="U972" s="10" t="str">
        <f aca="true">IF(B972="","",IF(OR(P972&lt;&gt;"",I972="می‌باشد"),"بسته",IF(AND(L972&lt;&gt;"",W972=""),"خطای فرمت تاریخ ایجاد",IF(AND(H972&lt;&gt;"",AA972=""),"خطای فرمت مهلت",IF(AND(H972&lt;&gt;"",AD972&lt;&gt;"",TODAY()&gt;AD972),"تاخیر",IF(L972&lt;&gt;"","در حال انجام",""))))))</f>
        <v/>
      </c>
      <c r="V972" s="7" t="n">
        <f aca="true">IF(U972="تاخیر",TODAY()-AD972,IF(AND(U972="بسته",AH972&lt;&gt;"",AD972&lt;&gt;"",AH972&gt;AD972),AH972-AD972,0))</f>
        <v>0</v>
      </c>
      <c r="W972" s="7" t="str">
        <f aca="false">IF(L972="","",VALUE(LEFT(L972,FIND("/",L972)-1)))</f>
        <v/>
      </c>
      <c r="X972" s="7" t="str">
        <f aca="false">IF(L972="","",VALUE(MID(L972,FIND("/",L972)+1,FIND("/",L972,FIND("/",L972)+1)-FIND("/",L972)-1)))</f>
        <v/>
      </c>
      <c r="Y972" s="7" t="str">
        <f aca="false">IF(L972="","",VALUE(MID(L972,FIND("/",L972,FIND("/",L972)+1)+1,LEN(L972)-FIND("/",L972,FIND("/",L972)+1))))</f>
        <v/>
      </c>
      <c r="Z972" s="7" t="str">
        <f aca="false">IF(OR(L972="",W972=""),"",IFERROR(INDEX('لیست‌ها'!$Q$3:$Q$53,MATCH(W972,'لیست‌ها'!$P$3:$P$53,0))+IF(X972&lt;=6,(X972-1)*31+Y972,IF(X972&lt;=11,186+(X972-7)*30+Y972,336+Y972))-1,""))</f>
        <v/>
      </c>
      <c r="AA972" s="7" t="str">
        <f aca="false">IF(H972="","",VALUE(LEFT(H972,FIND("/",H972)-1)))</f>
        <v/>
      </c>
      <c r="AB972" s="7" t="str">
        <f aca="false">IF(H972="","",VALUE(MID(H972,FIND("/",H972)+1,FIND("/",H972,FIND("/",H972)+1)-FIND("/",H972)-1)))</f>
        <v/>
      </c>
      <c r="AC972" s="7" t="str">
        <f aca="false">IF(H972="","",VALUE(MID(H972,FIND("/",H972,FIND("/",H972)+1)+1,LEN(H972)-FIND("/",H972,FIND("/",H972)+1))))</f>
        <v/>
      </c>
      <c r="AD972" s="7" t="str">
        <f aca="false">IF(OR(H972="",AA972=""),"",IFERROR(INDEX('لیست‌ها'!$Q$3:$Q$53,MATCH(AA972,'لیست‌ها'!$P$3:$P$53,0))+IF(AB972&lt;=6,(AB972-1)*31+AC972,IF(AB972&lt;=11,186+(AB972-7)*30+AC972,336+AC972))-1,""))</f>
        <v/>
      </c>
      <c r="AE972" s="7" t="str">
        <f aca="false">IF(P972="","",VALUE(LEFT(P972,FIND("/",P972)-1)))</f>
        <v/>
      </c>
      <c r="AF972" s="7" t="str">
        <f aca="false">IF(P972="","",VALUE(MID(P972,FIND("/",P972)+1,FIND("/",P972,FIND("/",P972)+1)-FIND("/",P972)-1)))</f>
        <v/>
      </c>
      <c r="AG972" s="7" t="str">
        <f aca="false">IF(P972="","",VALUE(MID(P972,FIND("/",P972,FIND("/",P972)+1)+1,LEN(P972)-FIND("/",P972,FIND("/",P972)+1))))</f>
        <v/>
      </c>
      <c r="AH972" s="7" t="str">
        <f aca="false">IF(OR(P972="",AE972=""),"",IFERROR(INDEX('لیست‌ها'!$Q$3:$Q$53,MATCH(AE972,'لیست‌ها'!$P$3:$P$53,0))+IF(AF972&lt;=6,(AF972-1)*31+AG972,IF(AF972&lt;=11,186+(AF972-7)*30+AG972,336+AG972))-1,""))</f>
        <v/>
      </c>
      <c r="AI972" s="7" t="str">
        <f aca="false">IF(W972="","",W972&amp;"-"&amp;TEXT(X972,"00"))</f>
        <v/>
      </c>
      <c r="AJ972" s="7" t="str">
        <f aca="false">IF(W972="","",W972*12+X972)</f>
        <v/>
      </c>
      <c r="AK972" s="7" t="str">
        <f aca="false">IF(U972="تاخیر",V972+ROW()/100000,"")</f>
        <v/>
      </c>
    </row>
    <row r="973" customFormat="false" ht="15" hidden="false" customHeight="false" outlineLevel="0" collapsed="false">
      <c r="A973" s="7" t="str">
        <f aca="false">IF(B973="","",ROW()-3)</f>
        <v/>
      </c>
      <c r="B973" s="8"/>
      <c r="C973" s="8"/>
      <c r="D973" s="8"/>
      <c r="E973" s="9"/>
      <c r="F973" s="9"/>
      <c r="G973" s="8"/>
      <c r="H973" s="8"/>
      <c r="I973" s="8"/>
      <c r="J973" s="9"/>
      <c r="K973" s="8"/>
      <c r="L973" s="8"/>
      <c r="M973" s="8"/>
      <c r="N973" s="8"/>
      <c r="O973" s="8"/>
      <c r="P973" s="8"/>
      <c r="Q973" s="8"/>
      <c r="R973" s="9"/>
      <c r="S973" s="8"/>
      <c r="T973" s="9"/>
      <c r="U973" s="10" t="str">
        <f aca="true">IF(B973="","",IF(OR(P973&lt;&gt;"",I973="می‌باشد"),"بسته",IF(AND(L973&lt;&gt;"",W973=""),"خطای فرمت تاریخ ایجاد",IF(AND(H973&lt;&gt;"",AA973=""),"خطای فرمت مهلت",IF(AND(H973&lt;&gt;"",AD973&lt;&gt;"",TODAY()&gt;AD973),"تاخیر",IF(L973&lt;&gt;"","در حال انجام",""))))))</f>
        <v/>
      </c>
      <c r="V973" s="7" t="n">
        <f aca="true">IF(U973="تاخیر",TODAY()-AD973,IF(AND(U973="بسته",AH973&lt;&gt;"",AD973&lt;&gt;"",AH973&gt;AD973),AH973-AD973,0))</f>
        <v>0</v>
      </c>
      <c r="W973" s="7" t="str">
        <f aca="false">IF(L973="","",VALUE(LEFT(L973,FIND("/",L973)-1)))</f>
        <v/>
      </c>
      <c r="X973" s="7" t="str">
        <f aca="false">IF(L973="","",VALUE(MID(L973,FIND("/",L973)+1,FIND("/",L973,FIND("/",L973)+1)-FIND("/",L973)-1)))</f>
        <v/>
      </c>
      <c r="Y973" s="7" t="str">
        <f aca="false">IF(L973="","",VALUE(MID(L973,FIND("/",L973,FIND("/",L973)+1)+1,LEN(L973)-FIND("/",L973,FIND("/",L973)+1))))</f>
        <v/>
      </c>
      <c r="Z973" s="7" t="str">
        <f aca="false">IF(OR(L973="",W973=""),"",IFERROR(INDEX('لیست‌ها'!$Q$3:$Q$53,MATCH(W973,'لیست‌ها'!$P$3:$P$53,0))+IF(X973&lt;=6,(X973-1)*31+Y973,IF(X973&lt;=11,186+(X973-7)*30+Y973,336+Y973))-1,""))</f>
        <v/>
      </c>
      <c r="AA973" s="7" t="str">
        <f aca="false">IF(H973="","",VALUE(LEFT(H973,FIND("/",H973)-1)))</f>
        <v/>
      </c>
      <c r="AB973" s="7" t="str">
        <f aca="false">IF(H973="","",VALUE(MID(H973,FIND("/",H973)+1,FIND("/",H973,FIND("/",H973)+1)-FIND("/",H973)-1)))</f>
        <v/>
      </c>
      <c r="AC973" s="7" t="str">
        <f aca="false">IF(H973="","",VALUE(MID(H973,FIND("/",H973,FIND("/",H973)+1)+1,LEN(H973)-FIND("/",H973,FIND("/",H973)+1))))</f>
        <v/>
      </c>
      <c r="AD973" s="7" t="str">
        <f aca="false">IF(OR(H973="",AA973=""),"",IFERROR(INDEX('لیست‌ها'!$Q$3:$Q$53,MATCH(AA973,'لیست‌ها'!$P$3:$P$53,0))+IF(AB973&lt;=6,(AB973-1)*31+AC973,IF(AB973&lt;=11,186+(AB973-7)*30+AC973,336+AC973))-1,""))</f>
        <v/>
      </c>
      <c r="AE973" s="7" t="str">
        <f aca="false">IF(P973="","",VALUE(LEFT(P973,FIND("/",P973)-1)))</f>
        <v/>
      </c>
      <c r="AF973" s="7" t="str">
        <f aca="false">IF(P973="","",VALUE(MID(P973,FIND("/",P973)+1,FIND("/",P973,FIND("/",P973)+1)-FIND("/",P973)-1)))</f>
        <v/>
      </c>
      <c r="AG973" s="7" t="str">
        <f aca="false">IF(P973="","",VALUE(MID(P973,FIND("/",P973,FIND("/",P973)+1)+1,LEN(P973)-FIND("/",P973,FIND("/",P973)+1))))</f>
        <v/>
      </c>
      <c r="AH973" s="7" t="str">
        <f aca="false">IF(OR(P973="",AE973=""),"",IFERROR(INDEX('لیست‌ها'!$Q$3:$Q$53,MATCH(AE973,'لیست‌ها'!$P$3:$P$53,0))+IF(AF973&lt;=6,(AF973-1)*31+AG973,IF(AF973&lt;=11,186+(AF973-7)*30+AG973,336+AG973))-1,""))</f>
        <v/>
      </c>
      <c r="AI973" s="7" t="str">
        <f aca="false">IF(W973="","",W973&amp;"-"&amp;TEXT(X973,"00"))</f>
        <v/>
      </c>
      <c r="AJ973" s="7" t="str">
        <f aca="false">IF(W973="","",W973*12+X973)</f>
        <v/>
      </c>
      <c r="AK973" s="7" t="str">
        <f aca="false">IF(U973="تاخیر",V973+ROW()/100000,"")</f>
        <v/>
      </c>
    </row>
    <row r="974" customFormat="false" ht="15" hidden="false" customHeight="false" outlineLevel="0" collapsed="false">
      <c r="A974" s="7" t="str">
        <f aca="false">IF(B974="","",ROW()-3)</f>
        <v/>
      </c>
      <c r="B974" s="8"/>
      <c r="C974" s="8"/>
      <c r="D974" s="8"/>
      <c r="E974" s="9"/>
      <c r="F974" s="9"/>
      <c r="G974" s="8"/>
      <c r="H974" s="8"/>
      <c r="I974" s="8"/>
      <c r="J974" s="9"/>
      <c r="K974" s="8"/>
      <c r="L974" s="8"/>
      <c r="M974" s="8"/>
      <c r="N974" s="8"/>
      <c r="O974" s="8"/>
      <c r="P974" s="8"/>
      <c r="Q974" s="8"/>
      <c r="R974" s="9"/>
      <c r="S974" s="8"/>
      <c r="T974" s="9"/>
      <c r="U974" s="10" t="str">
        <f aca="true">IF(B974="","",IF(OR(P974&lt;&gt;"",I974="می‌باشد"),"بسته",IF(AND(L974&lt;&gt;"",W974=""),"خطای فرمت تاریخ ایجاد",IF(AND(H974&lt;&gt;"",AA974=""),"خطای فرمت مهلت",IF(AND(H974&lt;&gt;"",AD974&lt;&gt;"",TODAY()&gt;AD974),"تاخیر",IF(L974&lt;&gt;"","در حال انجام",""))))))</f>
        <v/>
      </c>
      <c r="V974" s="7" t="n">
        <f aca="true">IF(U974="تاخیر",TODAY()-AD974,IF(AND(U974="بسته",AH974&lt;&gt;"",AD974&lt;&gt;"",AH974&gt;AD974),AH974-AD974,0))</f>
        <v>0</v>
      </c>
      <c r="W974" s="7" t="str">
        <f aca="false">IF(L974="","",VALUE(LEFT(L974,FIND("/",L974)-1)))</f>
        <v/>
      </c>
      <c r="X974" s="7" t="str">
        <f aca="false">IF(L974="","",VALUE(MID(L974,FIND("/",L974)+1,FIND("/",L974,FIND("/",L974)+1)-FIND("/",L974)-1)))</f>
        <v/>
      </c>
      <c r="Y974" s="7" t="str">
        <f aca="false">IF(L974="","",VALUE(MID(L974,FIND("/",L974,FIND("/",L974)+1)+1,LEN(L974)-FIND("/",L974,FIND("/",L974)+1))))</f>
        <v/>
      </c>
      <c r="Z974" s="7" t="str">
        <f aca="false">IF(OR(L974="",W974=""),"",IFERROR(INDEX('لیست‌ها'!$Q$3:$Q$53,MATCH(W974,'لیست‌ها'!$P$3:$P$53,0))+IF(X974&lt;=6,(X974-1)*31+Y974,IF(X974&lt;=11,186+(X974-7)*30+Y974,336+Y974))-1,""))</f>
        <v/>
      </c>
      <c r="AA974" s="7" t="str">
        <f aca="false">IF(H974="","",VALUE(LEFT(H974,FIND("/",H974)-1)))</f>
        <v/>
      </c>
      <c r="AB974" s="7" t="str">
        <f aca="false">IF(H974="","",VALUE(MID(H974,FIND("/",H974)+1,FIND("/",H974,FIND("/",H974)+1)-FIND("/",H974)-1)))</f>
        <v/>
      </c>
      <c r="AC974" s="7" t="str">
        <f aca="false">IF(H974="","",VALUE(MID(H974,FIND("/",H974,FIND("/",H974)+1)+1,LEN(H974)-FIND("/",H974,FIND("/",H974)+1))))</f>
        <v/>
      </c>
      <c r="AD974" s="7" t="str">
        <f aca="false">IF(OR(H974="",AA974=""),"",IFERROR(INDEX('لیست‌ها'!$Q$3:$Q$53,MATCH(AA974,'لیست‌ها'!$P$3:$P$53,0))+IF(AB974&lt;=6,(AB974-1)*31+AC974,IF(AB974&lt;=11,186+(AB974-7)*30+AC974,336+AC974))-1,""))</f>
        <v/>
      </c>
      <c r="AE974" s="7" t="str">
        <f aca="false">IF(P974="","",VALUE(LEFT(P974,FIND("/",P974)-1)))</f>
        <v/>
      </c>
      <c r="AF974" s="7" t="str">
        <f aca="false">IF(P974="","",VALUE(MID(P974,FIND("/",P974)+1,FIND("/",P974,FIND("/",P974)+1)-FIND("/",P974)-1)))</f>
        <v/>
      </c>
      <c r="AG974" s="7" t="str">
        <f aca="false">IF(P974="","",VALUE(MID(P974,FIND("/",P974,FIND("/",P974)+1)+1,LEN(P974)-FIND("/",P974,FIND("/",P974)+1))))</f>
        <v/>
      </c>
      <c r="AH974" s="7" t="str">
        <f aca="false">IF(OR(P974="",AE974=""),"",IFERROR(INDEX('لیست‌ها'!$Q$3:$Q$53,MATCH(AE974,'لیست‌ها'!$P$3:$P$53,0))+IF(AF974&lt;=6,(AF974-1)*31+AG974,IF(AF974&lt;=11,186+(AF974-7)*30+AG974,336+AG974))-1,""))</f>
        <v/>
      </c>
      <c r="AI974" s="7" t="str">
        <f aca="false">IF(W974="","",W974&amp;"-"&amp;TEXT(X974,"00"))</f>
        <v/>
      </c>
      <c r="AJ974" s="7" t="str">
        <f aca="false">IF(W974="","",W974*12+X974)</f>
        <v/>
      </c>
      <c r="AK974" s="7" t="str">
        <f aca="false">IF(U974="تاخیر",V974+ROW()/100000,"")</f>
        <v/>
      </c>
    </row>
    <row r="975" customFormat="false" ht="15" hidden="false" customHeight="false" outlineLevel="0" collapsed="false">
      <c r="A975" s="7" t="str">
        <f aca="false">IF(B975="","",ROW()-3)</f>
        <v/>
      </c>
      <c r="B975" s="8"/>
      <c r="C975" s="8"/>
      <c r="D975" s="8"/>
      <c r="E975" s="9"/>
      <c r="F975" s="9"/>
      <c r="G975" s="8"/>
      <c r="H975" s="8"/>
      <c r="I975" s="8"/>
      <c r="J975" s="9"/>
      <c r="K975" s="8"/>
      <c r="L975" s="8"/>
      <c r="M975" s="8"/>
      <c r="N975" s="8"/>
      <c r="O975" s="8"/>
      <c r="P975" s="8"/>
      <c r="Q975" s="8"/>
      <c r="R975" s="9"/>
      <c r="S975" s="8"/>
      <c r="T975" s="9"/>
      <c r="U975" s="10" t="str">
        <f aca="true">IF(B975="","",IF(OR(P975&lt;&gt;"",I975="می‌باشد"),"بسته",IF(AND(L975&lt;&gt;"",W975=""),"خطای فرمت تاریخ ایجاد",IF(AND(H975&lt;&gt;"",AA975=""),"خطای فرمت مهلت",IF(AND(H975&lt;&gt;"",AD975&lt;&gt;"",TODAY()&gt;AD975),"تاخیر",IF(L975&lt;&gt;"","در حال انجام",""))))))</f>
        <v/>
      </c>
      <c r="V975" s="7" t="n">
        <f aca="true">IF(U975="تاخیر",TODAY()-AD975,IF(AND(U975="بسته",AH975&lt;&gt;"",AD975&lt;&gt;"",AH975&gt;AD975),AH975-AD975,0))</f>
        <v>0</v>
      </c>
      <c r="W975" s="7" t="str">
        <f aca="false">IF(L975="","",VALUE(LEFT(L975,FIND("/",L975)-1)))</f>
        <v/>
      </c>
      <c r="X975" s="7" t="str">
        <f aca="false">IF(L975="","",VALUE(MID(L975,FIND("/",L975)+1,FIND("/",L975,FIND("/",L975)+1)-FIND("/",L975)-1)))</f>
        <v/>
      </c>
      <c r="Y975" s="7" t="str">
        <f aca="false">IF(L975="","",VALUE(MID(L975,FIND("/",L975,FIND("/",L975)+1)+1,LEN(L975)-FIND("/",L975,FIND("/",L975)+1))))</f>
        <v/>
      </c>
      <c r="Z975" s="7" t="str">
        <f aca="false">IF(OR(L975="",W975=""),"",IFERROR(INDEX('لیست‌ها'!$Q$3:$Q$53,MATCH(W975,'لیست‌ها'!$P$3:$P$53,0))+IF(X975&lt;=6,(X975-1)*31+Y975,IF(X975&lt;=11,186+(X975-7)*30+Y975,336+Y975))-1,""))</f>
        <v/>
      </c>
      <c r="AA975" s="7" t="str">
        <f aca="false">IF(H975="","",VALUE(LEFT(H975,FIND("/",H975)-1)))</f>
        <v/>
      </c>
      <c r="AB975" s="7" t="str">
        <f aca="false">IF(H975="","",VALUE(MID(H975,FIND("/",H975)+1,FIND("/",H975,FIND("/",H975)+1)-FIND("/",H975)-1)))</f>
        <v/>
      </c>
      <c r="AC975" s="7" t="str">
        <f aca="false">IF(H975="","",VALUE(MID(H975,FIND("/",H975,FIND("/",H975)+1)+1,LEN(H975)-FIND("/",H975,FIND("/",H975)+1))))</f>
        <v/>
      </c>
      <c r="AD975" s="7" t="str">
        <f aca="false">IF(OR(H975="",AA975=""),"",IFERROR(INDEX('لیست‌ها'!$Q$3:$Q$53,MATCH(AA975,'لیست‌ها'!$P$3:$P$53,0))+IF(AB975&lt;=6,(AB975-1)*31+AC975,IF(AB975&lt;=11,186+(AB975-7)*30+AC975,336+AC975))-1,""))</f>
        <v/>
      </c>
      <c r="AE975" s="7" t="str">
        <f aca="false">IF(P975="","",VALUE(LEFT(P975,FIND("/",P975)-1)))</f>
        <v/>
      </c>
      <c r="AF975" s="7" t="str">
        <f aca="false">IF(P975="","",VALUE(MID(P975,FIND("/",P975)+1,FIND("/",P975,FIND("/",P975)+1)-FIND("/",P975)-1)))</f>
        <v/>
      </c>
      <c r="AG975" s="7" t="str">
        <f aca="false">IF(P975="","",VALUE(MID(P975,FIND("/",P975,FIND("/",P975)+1)+1,LEN(P975)-FIND("/",P975,FIND("/",P975)+1))))</f>
        <v/>
      </c>
      <c r="AH975" s="7" t="str">
        <f aca="false">IF(OR(P975="",AE975=""),"",IFERROR(INDEX('لیست‌ها'!$Q$3:$Q$53,MATCH(AE975,'لیست‌ها'!$P$3:$P$53,0))+IF(AF975&lt;=6,(AF975-1)*31+AG975,IF(AF975&lt;=11,186+(AF975-7)*30+AG975,336+AG975))-1,""))</f>
        <v/>
      </c>
      <c r="AI975" s="7" t="str">
        <f aca="false">IF(W975="","",W975&amp;"-"&amp;TEXT(X975,"00"))</f>
        <v/>
      </c>
      <c r="AJ975" s="7" t="str">
        <f aca="false">IF(W975="","",W975*12+X975)</f>
        <v/>
      </c>
      <c r="AK975" s="7" t="str">
        <f aca="false">IF(U975="تاخیر",V975+ROW()/100000,"")</f>
        <v/>
      </c>
    </row>
    <row r="976" customFormat="false" ht="15" hidden="false" customHeight="false" outlineLevel="0" collapsed="false">
      <c r="A976" s="7" t="str">
        <f aca="false">IF(B976="","",ROW()-3)</f>
        <v/>
      </c>
      <c r="B976" s="8"/>
      <c r="C976" s="8"/>
      <c r="D976" s="8"/>
      <c r="E976" s="9"/>
      <c r="F976" s="9"/>
      <c r="G976" s="8"/>
      <c r="H976" s="8"/>
      <c r="I976" s="8"/>
      <c r="J976" s="9"/>
      <c r="K976" s="8"/>
      <c r="L976" s="8"/>
      <c r="M976" s="8"/>
      <c r="N976" s="8"/>
      <c r="O976" s="8"/>
      <c r="P976" s="8"/>
      <c r="Q976" s="8"/>
      <c r="R976" s="9"/>
      <c r="S976" s="8"/>
      <c r="T976" s="9"/>
      <c r="U976" s="10" t="str">
        <f aca="true">IF(B976="","",IF(OR(P976&lt;&gt;"",I976="می‌باشد"),"بسته",IF(AND(L976&lt;&gt;"",W976=""),"خطای فرمت تاریخ ایجاد",IF(AND(H976&lt;&gt;"",AA976=""),"خطای فرمت مهلت",IF(AND(H976&lt;&gt;"",AD976&lt;&gt;"",TODAY()&gt;AD976),"تاخیر",IF(L976&lt;&gt;"","در حال انجام",""))))))</f>
        <v/>
      </c>
      <c r="V976" s="7" t="n">
        <f aca="true">IF(U976="تاخیر",TODAY()-AD976,IF(AND(U976="بسته",AH976&lt;&gt;"",AD976&lt;&gt;"",AH976&gt;AD976),AH976-AD976,0))</f>
        <v>0</v>
      </c>
      <c r="W976" s="7" t="str">
        <f aca="false">IF(L976="","",VALUE(LEFT(L976,FIND("/",L976)-1)))</f>
        <v/>
      </c>
      <c r="X976" s="7" t="str">
        <f aca="false">IF(L976="","",VALUE(MID(L976,FIND("/",L976)+1,FIND("/",L976,FIND("/",L976)+1)-FIND("/",L976)-1)))</f>
        <v/>
      </c>
      <c r="Y976" s="7" t="str">
        <f aca="false">IF(L976="","",VALUE(MID(L976,FIND("/",L976,FIND("/",L976)+1)+1,LEN(L976)-FIND("/",L976,FIND("/",L976)+1))))</f>
        <v/>
      </c>
      <c r="Z976" s="7" t="str">
        <f aca="false">IF(OR(L976="",W976=""),"",IFERROR(INDEX('لیست‌ها'!$Q$3:$Q$53,MATCH(W976,'لیست‌ها'!$P$3:$P$53,0))+IF(X976&lt;=6,(X976-1)*31+Y976,IF(X976&lt;=11,186+(X976-7)*30+Y976,336+Y976))-1,""))</f>
        <v/>
      </c>
      <c r="AA976" s="7" t="str">
        <f aca="false">IF(H976="","",VALUE(LEFT(H976,FIND("/",H976)-1)))</f>
        <v/>
      </c>
      <c r="AB976" s="7" t="str">
        <f aca="false">IF(H976="","",VALUE(MID(H976,FIND("/",H976)+1,FIND("/",H976,FIND("/",H976)+1)-FIND("/",H976)-1)))</f>
        <v/>
      </c>
      <c r="AC976" s="7" t="str">
        <f aca="false">IF(H976="","",VALUE(MID(H976,FIND("/",H976,FIND("/",H976)+1)+1,LEN(H976)-FIND("/",H976,FIND("/",H976)+1))))</f>
        <v/>
      </c>
      <c r="AD976" s="7" t="str">
        <f aca="false">IF(OR(H976="",AA976=""),"",IFERROR(INDEX('لیست‌ها'!$Q$3:$Q$53,MATCH(AA976,'لیست‌ها'!$P$3:$P$53,0))+IF(AB976&lt;=6,(AB976-1)*31+AC976,IF(AB976&lt;=11,186+(AB976-7)*30+AC976,336+AC976))-1,""))</f>
        <v/>
      </c>
      <c r="AE976" s="7" t="str">
        <f aca="false">IF(P976="","",VALUE(LEFT(P976,FIND("/",P976)-1)))</f>
        <v/>
      </c>
      <c r="AF976" s="7" t="str">
        <f aca="false">IF(P976="","",VALUE(MID(P976,FIND("/",P976)+1,FIND("/",P976,FIND("/",P976)+1)-FIND("/",P976)-1)))</f>
        <v/>
      </c>
      <c r="AG976" s="7" t="str">
        <f aca="false">IF(P976="","",VALUE(MID(P976,FIND("/",P976,FIND("/",P976)+1)+1,LEN(P976)-FIND("/",P976,FIND("/",P976)+1))))</f>
        <v/>
      </c>
      <c r="AH976" s="7" t="str">
        <f aca="false">IF(OR(P976="",AE976=""),"",IFERROR(INDEX('لیست‌ها'!$Q$3:$Q$53,MATCH(AE976,'لیست‌ها'!$P$3:$P$53,0))+IF(AF976&lt;=6,(AF976-1)*31+AG976,IF(AF976&lt;=11,186+(AF976-7)*30+AG976,336+AG976))-1,""))</f>
        <v/>
      </c>
      <c r="AI976" s="7" t="str">
        <f aca="false">IF(W976="","",W976&amp;"-"&amp;TEXT(X976,"00"))</f>
        <v/>
      </c>
      <c r="AJ976" s="7" t="str">
        <f aca="false">IF(W976="","",W976*12+X976)</f>
        <v/>
      </c>
      <c r="AK976" s="7" t="str">
        <f aca="false">IF(U976="تاخیر",V976+ROW()/100000,"")</f>
        <v/>
      </c>
    </row>
    <row r="977" customFormat="false" ht="15" hidden="false" customHeight="false" outlineLevel="0" collapsed="false">
      <c r="A977" s="7" t="str">
        <f aca="false">IF(B977="","",ROW()-3)</f>
        <v/>
      </c>
      <c r="B977" s="8"/>
      <c r="C977" s="8"/>
      <c r="D977" s="8"/>
      <c r="E977" s="9"/>
      <c r="F977" s="9"/>
      <c r="G977" s="8"/>
      <c r="H977" s="8"/>
      <c r="I977" s="8"/>
      <c r="J977" s="9"/>
      <c r="K977" s="8"/>
      <c r="L977" s="8"/>
      <c r="M977" s="8"/>
      <c r="N977" s="8"/>
      <c r="O977" s="8"/>
      <c r="P977" s="8"/>
      <c r="Q977" s="8"/>
      <c r="R977" s="9"/>
      <c r="S977" s="8"/>
      <c r="T977" s="9"/>
      <c r="U977" s="10" t="str">
        <f aca="true">IF(B977="","",IF(OR(P977&lt;&gt;"",I977="می‌باشد"),"بسته",IF(AND(L977&lt;&gt;"",W977=""),"خطای فرمت تاریخ ایجاد",IF(AND(H977&lt;&gt;"",AA977=""),"خطای فرمت مهلت",IF(AND(H977&lt;&gt;"",AD977&lt;&gt;"",TODAY()&gt;AD977),"تاخیر",IF(L977&lt;&gt;"","در حال انجام",""))))))</f>
        <v/>
      </c>
      <c r="V977" s="7" t="n">
        <f aca="true">IF(U977="تاخیر",TODAY()-AD977,IF(AND(U977="بسته",AH977&lt;&gt;"",AD977&lt;&gt;"",AH977&gt;AD977),AH977-AD977,0))</f>
        <v>0</v>
      </c>
      <c r="W977" s="7" t="str">
        <f aca="false">IF(L977="","",VALUE(LEFT(L977,FIND("/",L977)-1)))</f>
        <v/>
      </c>
      <c r="X977" s="7" t="str">
        <f aca="false">IF(L977="","",VALUE(MID(L977,FIND("/",L977)+1,FIND("/",L977,FIND("/",L977)+1)-FIND("/",L977)-1)))</f>
        <v/>
      </c>
      <c r="Y977" s="7" t="str">
        <f aca="false">IF(L977="","",VALUE(MID(L977,FIND("/",L977,FIND("/",L977)+1)+1,LEN(L977)-FIND("/",L977,FIND("/",L977)+1))))</f>
        <v/>
      </c>
      <c r="Z977" s="7" t="str">
        <f aca="false">IF(OR(L977="",W977=""),"",IFERROR(INDEX('لیست‌ها'!$Q$3:$Q$53,MATCH(W977,'لیست‌ها'!$P$3:$P$53,0))+IF(X977&lt;=6,(X977-1)*31+Y977,IF(X977&lt;=11,186+(X977-7)*30+Y977,336+Y977))-1,""))</f>
        <v/>
      </c>
      <c r="AA977" s="7" t="str">
        <f aca="false">IF(H977="","",VALUE(LEFT(H977,FIND("/",H977)-1)))</f>
        <v/>
      </c>
      <c r="AB977" s="7" t="str">
        <f aca="false">IF(H977="","",VALUE(MID(H977,FIND("/",H977)+1,FIND("/",H977,FIND("/",H977)+1)-FIND("/",H977)-1)))</f>
        <v/>
      </c>
      <c r="AC977" s="7" t="str">
        <f aca="false">IF(H977="","",VALUE(MID(H977,FIND("/",H977,FIND("/",H977)+1)+1,LEN(H977)-FIND("/",H977,FIND("/",H977)+1))))</f>
        <v/>
      </c>
      <c r="AD977" s="7" t="str">
        <f aca="false">IF(OR(H977="",AA977=""),"",IFERROR(INDEX('لیست‌ها'!$Q$3:$Q$53,MATCH(AA977,'لیست‌ها'!$P$3:$P$53,0))+IF(AB977&lt;=6,(AB977-1)*31+AC977,IF(AB977&lt;=11,186+(AB977-7)*30+AC977,336+AC977))-1,""))</f>
        <v/>
      </c>
      <c r="AE977" s="7" t="str">
        <f aca="false">IF(P977="","",VALUE(LEFT(P977,FIND("/",P977)-1)))</f>
        <v/>
      </c>
      <c r="AF977" s="7" t="str">
        <f aca="false">IF(P977="","",VALUE(MID(P977,FIND("/",P977)+1,FIND("/",P977,FIND("/",P977)+1)-FIND("/",P977)-1)))</f>
        <v/>
      </c>
      <c r="AG977" s="7" t="str">
        <f aca="false">IF(P977="","",VALUE(MID(P977,FIND("/",P977,FIND("/",P977)+1)+1,LEN(P977)-FIND("/",P977,FIND("/",P977)+1))))</f>
        <v/>
      </c>
      <c r="AH977" s="7" t="str">
        <f aca="false">IF(OR(P977="",AE977=""),"",IFERROR(INDEX('لیست‌ها'!$Q$3:$Q$53,MATCH(AE977,'لیست‌ها'!$P$3:$P$53,0))+IF(AF977&lt;=6,(AF977-1)*31+AG977,IF(AF977&lt;=11,186+(AF977-7)*30+AG977,336+AG977))-1,""))</f>
        <v/>
      </c>
      <c r="AI977" s="7" t="str">
        <f aca="false">IF(W977="","",W977&amp;"-"&amp;TEXT(X977,"00"))</f>
        <v/>
      </c>
      <c r="AJ977" s="7" t="str">
        <f aca="false">IF(W977="","",W977*12+X977)</f>
        <v/>
      </c>
      <c r="AK977" s="7" t="str">
        <f aca="false">IF(U977="تاخیر",V977+ROW()/100000,"")</f>
        <v/>
      </c>
    </row>
    <row r="978" customFormat="false" ht="15" hidden="false" customHeight="false" outlineLevel="0" collapsed="false">
      <c r="A978" s="7" t="str">
        <f aca="false">IF(B978="","",ROW()-3)</f>
        <v/>
      </c>
      <c r="B978" s="8"/>
      <c r="C978" s="8"/>
      <c r="D978" s="8"/>
      <c r="E978" s="9"/>
      <c r="F978" s="9"/>
      <c r="G978" s="8"/>
      <c r="H978" s="8"/>
      <c r="I978" s="8"/>
      <c r="J978" s="9"/>
      <c r="K978" s="8"/>
      <c r="L978" s="8"/>
      <c r="M978" s="8"/>
      <c r="N978" s="8"/>
      <c r="O978" s="8"/>
      <c r="P978" s="8"/>
      <c r="Q978" s="8"/>
      <c r="R978" s="9"/>
      <c r="S978" s="8"/>
      <c r="T978" s="9"/>
      <c r="U978" s="10" t="str">
        <f aca="true">IF(B978="","",IF(OR(P978&lt;&gt;"",I978="می‌باشد"),"بسته",IF(AND(L978&lt;&gt;"",W978=""),"خطای فرمت تاریخ ایجاد",IF(AND(H978&lt;&gt;"",AA978=""),"خطای فرمت مهلت",IF(AND(H978&lt;&gt;"",AD978&lt;&gt;"",TODAY()&gt;AD978),"تاخیر",IF(L978&lt;&gt;"","در حال انجام",""))))))</f>
        <v/>
      </c>
      <c r="V978" s="7" t="n">
        <f aca="true">IF(U978="تاخیر",TODAY()-AD978,IF(AND(U978="بسته",AH978&lt;&gt;"",AD978&lt;&gt;"",AH978&gt;AD978),AH978-AD978,0))</f>
        <v>0</v>
      </c>
      <c r="W978" s="7" t="str">
        <f aca="false">IF(L978="","",VALUE(LEFT(L978,FIND("/",L978)-1)))</f>
        <v/>
      </c>
      <c r="X978" s="7" t="str">
        <f aca="false">IF(L978="","",VALUE(MID(L978,FIND("/",L978)+1,FIND("/",L978,FIND("/",L978)+1)-FIND("/",L978)-1)))</f>
        <v/>
      </c>
      <c r="Y978" s="7" t="str">
        <f aca="false">IF(L978="","",VALUE(MID(L978,FIND("/",L978,FIND("/",L978)+1)+1,LEN(L978)-FIND("/",L978,FIND("/",L978)+1))))</f>
        <v/>
      </c>
      <c r="Z978" s="7" t="str">
        <f aca="false">IF(OR(L978="",W978=""),"",IFERROR(INDEX('لیست‌ها'!$Q$3:$Q$53,MATCH(W978,'لیست‌ها'!$P$3:$P$53,0))+IF(X978&lt;=6,(X978-1)*31+Y978,IF(X978&lt;=11,186+(X978-7)*30+Y978,336+Y978))-1,""))</f>
        <v/>
      </c>
      <c r="AA978" s="7" t="str">
        <f aca="false">IF(H978="","",VALUE(LEFT(H978,FIND("/",H978)-1)))</f>
        <v/>
      </c>
      <c r="AB978" s="7" t="str">
        <f aca="false">IF(H978="","",VALUE(MID(H978,FIND("/",H978)+1,FIND("/",H978,FIND("/",H978)+1)-FIND("/",H978)-1)))</f>
        <v/>
      </c>
      <c r="AC978" s="7" t="str">
        <f aca="false">IF(H978="","",VALUE(MID(H978,FIND("/",H978,FIND("/",H978)+1)+1,LEN(H978)-FIND("/",H978,FIND("/",H978)+1))))</f>
        <v/>
      </c>
      <c r="AD978" s="7" t="str">
        <f aca="false">IF(OR(H978="",AA978=""),"",IFERROR(INDEX('لیست‌ها'!$Q$3:$Q$53,MATCH(AA978,'لیست‌ها'!$P$3:$P$53,0))+IF(AB978&lt;=6,(AB978-1)*31+AC978,IF(AB978&lt;=11,186+(AB978-7)*30+AC978,336+AC978))-1,""))</f>
        <v/>
      </c>
      <c r="AE978" s="7" t="str">
        <f aca="false">IF(P978="","",VALUE(LEFT(P978,FIND("/",P978)-1)))</f>
        <v/>
      </c>
      <c r="AF978" s="7" t="str">
        <f aca="false">IF(P978="","",VALUE(MID(P978,FIND("/",P978)+1,FIND("/",P978,FIND("/",P978)+1)-FIND("/",P978)-1)))</f>
        <v/>
      </c>
      <c r="AG978" s="7" t="str">
        <f aca="false">IF(P978="","",VALUE(MID(P978,FIND("/",P978,FIND("/",P978)+1)+1,LEN(P978)-FIND("/",P978,FIND("/",P978)+1))))</f>
        <v/>
      </c>
      <c r="AH978" s="7" t="str">
        <f aca="false">IF(OR(P978="",AE978=""),"",IFERROR(INDEX('لیست‌ها'!$Q$3:$Q$53,MATCH(AE978,'لیست‌ها'!$P$3:$P$53,0))+IF(AF978&lt;=6,(AF978-1)*31+AG978,IF(AF978&lt;=11,186+(AF978-7)*30+AG978,336+AG978))-1,""))</f>
        <v/>
      </c>
      <c r="AI978" s="7" t="str">
        <f aca="false">IF(W978="","",W978&amp;"-"&amp;TEXT(X978,"00"))</f>
        <v/>
      </c>
      <c r="AJ978" s="7" t="str">
        <f aca="false">IF(W978="","",W978*12+X978)</f>
        <v/>
      </c>
      <c r="AK978" s="7" t="str">
        <f aca="false">IF(U978="تاخیر",V978+ROW()/100000,"")</f>
        <v/>
      </c>
    </row>
    <row r="979" customFormat="false" ht="15" hidden="false" customHeight="false" outlineLevel="0" collapsed="false">
      <c r="A979" s="7" t="str">
        <f aca="false">IF(B979="","",ROW()-3)</f>
        <v/>
      </c>
      <c r="B979" s="8"/>
      <c r="C979" s="8"/>
      <c r="D979" s="8"/>
      <c r="E979" s="9"/>
      <c r="F979" s="9"/>
      <c r="G979" s="8"/>
      <c r="H979" s="8"/>
      <c r="I979" s="8"/>
      <c r="J979" s="9"/>
      <c r="K979" s="8"/>
      <c r="L979" s="8"/>
      <c r="M979" s="8"/>
      <c r="N979" s="8"/>
      <c r="O979" s="8"/>
      <c r="P979" s="8"/>
      <c r="Q979" s="8"/>
      <c r="R979" s="9"/>
      <c r="S979" s="8"/>
      <c r="T979" s="9"/>
      <c r="U979" s="10" t="str">
        <f aca="true">IF(B979="","",IF(OR(P979&lt;&gt;"",I979="می‌باشد"),"بسته",IF(AND(L979&lt;&gt;"",W979=""),"خطای فرمت تاریخ ایجاد",IF(AND(H979&lt;&gt;"",AA979=""),"خطای فرمت مهلت",IF(AND(H979&lt;&gt;"",AD979&lt;&gt;"",TODAY()&gt;AD979),"تاخیر",IF(L979&lt;&gt;"","در حال انجام",""))))))</f>
        <v/>
      </c>
      <c r="V979" s="7" t="n">
        <f aca="true">IF(U979="تاخیر",TODAY()-AD979,IF(AND(U979="بسته",AH979&lt;&gt;"",AD979&lt;&gt;"",AH979&gt;AD979),AH979-AD979,0))</f>
        <v>0</v>
      </c>
      <c r="W979" s="7" t="str">
        <f aca="false">IF(L979="","",VALUE(LEFT(L979,FIND("/",L979)-1)))</f>
        <v/>
      </c>
      <c r="X979" s="7" t="str">
        <f aca="false">IF(L979="","",VALUE(MID(L979,FIND("/",L979)+1,FIND("/",L979,FIND("/",L979)+1)-FIND("/",L979)-1)))</f>
        <v/>
      </c>
      <c r="Y979" s="7" t="str">
        <f aca="false">IF(L979="","",VALUE(MID(L979,FIND("/",L979,FIND("/",L979)+1)+1,LEN(L979)-FIND("/",L979,FIND("/",L979)+1))))</f>
        <v/>
      </c>
      <c r="Z979" s="7" t="str">
        <f aca="false">IF(OR(L979="",W979=""),"",IFERROR(INDEX('لیست‌ها'!$Q$3:$Q$53,MATCH(W979,'لیست‌ها'!$P$3:$P$53,0))+IF(X979&lt;=6,(X979-1)*31+Y979,IF(X979&lt;=11,186+(X979-7)*30+Y979,336+Y979))-1,""))</f>
        <v/>
      </c>
      <c r="AA979" s="7" t="str">
        <f aca="false">IF(H979="","",VALUE(LEFT(H979,FIND("/",H979)-1)))</f>
        <v/>
      </c>
      <c r="AB979" s="7" t="str">
        <f aca="false">IF(H979="","",VALUE(MID(H979,FIND("/",H979)+1,FIND("/",H979,FIND("/",H979)+1)-FIND("/",H979)-1)))</f>
        <v/>
      </c>
      <c r="AC979" s="7" t="str">
        <f aca="false">IF(H979="","",VALUE(MID(H979,FIND("/",H979,FIND("/",H979)+1)+1,LEN(H979)-FIND("/",H979,FIND("/",H979)+1))))</f>
        <v/>
      </c>
      <c r="AD979" s="7" t="str">
        <f aca="false">IF(OR(H979="",AA979=""),"",IFERROR(INDEX('لیست‌ها'!$Q$3:$Q$53,MATCH(AA979,'لیست‌ها'!$P$3:$P$53,0))+IF(AB979&lt;=6,(AB979-1)*31+AC979,IF(AB979&lt;=11,186+(AB979-7)*30+AC979,336+AC979))-1,""))</f>
        <v/>
      </c>
      <c r="AE979" s="7" t="str">
        <f aca="false">IF(P979="","",VALUE(LEFT(P979,FIND("/",P979)-1)))</f>
        <v/>
      </c>
      <c r="AF979" s="7" t="str">
        <f aca="false">IF(P979="","",VALUE(MID(P979,FIND("/",P979)+1,FIND("/",P979,FIND("/",P979)+1)-FIND("/",P979)-1)))</f>
        <v/>
      </c>
      <c r="AG979" s="7" t="str">
        <f aca="false">IF(P979="","",VALUE(MID(P979,FIND("/",P979,FIND("/",P979)+1)+1,LEN(P979)-FIND("/",P979,FIND("/",P979)+1))))</f>
        <v/>
      </c>
      <c r="AH979" s="7" t="str">
        <f aca="false">IF(OR(P979="",AE979=""),"",IFERROR(INDEX('لیست‌ها'!$Q$3:$Q$53,MATCH(AE979,'لیست‌ها'!$P$3:$P$53,0))+IF(AF979&lt;=6,(AF979-1)*31+AG979,IF(AF979&lt;=11,186+(AF979-7)*30+AG979,336+AG979))-1,""))</f>
        <v/>
      </c>
      <c r="AI979" s="7" t="str">
        <f aca="false">IF(W979="","",W979&amp;"-"&amp;TEXT(X979,"00"))</f>
        <v/>
      </c>
      <c r="AJ979" s="7" t="str">
        <f aca="false">IF(W979="","",W979*12+X979)</f>
        <v/>
      </c>
      <c r="AK979" s="7" t="str">
        <f aca="false">IF(U979="تاخیر",V979+ROW()/100000,"")</f>
        <v/>
      </c>
    </row>
    <row r="980" customFormat="false" ht="15" hidden="false" customHeight="false" outlineLevel="0" collapsed="false">
      <c r="A980" s="7" t="str">
        <f aca="false">IF(B980="","",ROW()-3)</f>
        <v/>
      </c>
      <c r="B980" s="8"/>
      <c r="C980" s="8"/>
      <c r="D980" s="8"/>
      <c r="E980" s="9"/>
      <c r="F980" s="9"/>
      <c r="G980" s="8"/>
      <c r="H980" s="8"/>
      <c r="I980" s="8"/>
      <c r="J980" s="9"/>
      <c r="K980" s="8"/>
      <c r="L980" s="8"/>
      <c r="M980" s="8"/>
      <c r="N980" s="8"/>
      <c r="O980" s="8"/>
      <c r="P980" s="8"/>
      <c r="Q980" s="8"/>
      <c r="R980" s="9"/>
      <c r="S980" s="8"/>
      <c r="T980" s="9"/>
      <c r="U980" s="10" t="str">
        <f aca="true">IF(B980="","",IF(OR(P980&lt;&gt;"",I980="می‌باشد"),"بسته",IF(AND(L980&lt;&gt;"",W980=""),"خطای فرمت تاریخ ایجاد",IF(AND(H980&lt;&gt;"",AA980=""),"خطای فرمت مهلت",IF(AND(H980&lt;&gt;"",AD980&lt;&gt;"",TODAY()&gt;AD980),"تاخیر",IF(L980&lt;&gt;"","در حال انجام",""))))))</f>
        <v/>
      </c>
      <c r="V980" s="7" t="n">
        <f aca="true">IF(U980="تاخیر",TODAY()-AD980,IF(AND(U980="بسته",AH980&lt;&gt;"",AD980&lt;&gt;"",AH980&gt;AD980),AH980-AD980,0))</f>
        <v>0</v>
      </c>
      <c r="W980" s="7" t="str">
        <f aca="false">IF(L980="","",VALUE(LEFT(L980,FIND("/",L980)-1)))</f>
        <v/>
      </c>
      <c r="X980" s="7" t="str">
        <f aca="false">IF(L980="","",VALUE(MID(L980,FIND("/",L980)+1,FIND("/",L980,FIND("/",L980)+1)-FIND("/",L980)-1)))</f>
        <v/>
      </c>
      <c r="Y980" s="7" t="str">
        <f aca="false">IF(L980="","",VALUE(MID(L980,FIND("/",L980,FIND("/",L980)+1)+1,LEN(L980)-FIND("/",L980,FIND("/",L980)+1))))</f>
        <v/>
      </c>
      <c r="Z980" s="7" t="str">
        <f aca="false">IF(OR(L980="",W980=""),"",IFERROR(INDEX('لیست‌ها'!$Q$3:$Q$53,MATCH(W980,'لیست‌ها'!$P$3:$P$53,0))+IF(X980&lt;=6,(X980-1)*31+Y980,IF(X980&lt;=11,186+(X980-7)*30+Y980,336+Y980))-1,""))</f>
        <v/>
      </c>
      <c r="AA980" s="7" t="str">
        <f aca="false">IF(H980="","",VALUE(LEFT(H980,FIND("/",H980)-1)))</f>
        <v/>
      </c>
      <c r="AB980" s="7" t="str">
        <f aca="false">IF(H980="","",VALUE(MID(H980,FIND("/",H980)+1,FIND("/",H980,FIND("/",H980)+1)-FIND("/",H980)-1)))</f>
        <v/>
      </c>
      <c r="AC980" s="7" t="str">
        <f aca="false">IF(H980="","",VALUE(MID(H980,FIND("/",H980,FIND("/",H980)+1)+1,LEN(H980)-FIND("/",H980,FIND("/",H980)+1))))</f>
        <v/>
      </c>
      <c r="AD980" s="7" t="str">
        <f aca="false">IF(OR(H980="",AA980=""),"",IFERROR(INDEX('لیست‌ها'!$Q$3:$Q$53,MATCH(AA980,'لیست‌ها'!$P$3:$P$53,0))+IF(AB980&lt;=6,(AB980-1)*31+AC980,IF(AB980&lt;=11,186+(AB980-7)*30+AC980,336+AC980))-1,""))</f>
        <v/>
      </c>
      <c r="AE980" s="7" t="str">
        <f aca="false">IF(P980="","",VALUE(LEFT(P980,FIND("/",P980)-1)))</f>
        <v/>
      </c>
      <c r="AF980" s="7" t="str">
        <f aca="false">IF(P980="","",VALUE(MID(P980,FIND("/",P980)+1,FIND("/",P980,FIND("/",P980)+1)-FIND("/",P980)-1)))</f>
        <v/>
      </c>
      <c r="AG980" s="7" t="str">
        <f aca="false">IF(P980="","",VALUE(MID(P980,FIND("/",P980,FIND("/",P980)+1)+1,LEN(P980)-FIND("/",P980,FIND("/",P980)+1))))</f>
        <v/>
      </c>
      <c r="AH980" s="7" t="str">
        <f aca="false">IF(OR(P980="",AE980=""),"",IFERROR(INDEX('لیست‌ها'!$Q$3:$Q$53,MATCH(AE980,'لیست‌ها'!$P$3:$P$53,0))+IF(AF980&lt;=6,(AF980-1)*31+AG980,IF(AF980&lt;=11,186+(AF980-7)*30+AG980,336+AG980))-1,""))</f>
        <v/>
      </c>
      <c r="AI980" s="7" t="str">
        <f aca="false">IF(W980="","",W980&amp;"-"&amp;TEXT(X980,"00"))</f>
        <v/>
      </c>
      <c r="AJ980" s="7" t="str">
        <f aca="false">IF(W980="","",W980*12+X980)</f>
        <v/>
      </c>
      <c r="AK980" s="7" t="str">
        <f aca="false">IF(U980="تاخیر",V980+ROW()/100000,"")</f>
        <v/>
      </c>
    </row>
    <row r="981" customFormat="false" ht="15" hidden="false" customHeight="false" outlineLevel="0" collapsed="false">
      <c r="A981" s="7" t="str">
        <f aca="false">IF(B981="","",ROW()-3)</f>
        <v/>
      </c>
      <c r="B981" s="8"/>
      <c r="C981" s="8"/>
      <c r="D981" s="8"/>
      <c r="E981" s="9"/>
      <c r="F981" s="9"/>
      <c r="G981" s="8"/>
      <c r="H981" s="8"/>
      <c r="I981" s="8"/>
      <c r="J981" s="9"/>
      <c r="K981" s="8"/>
      <c r="L981" s="8"/>
      <c r="M981" s="8"/>
      <c r="N981" s="8"/>
      <c r="O981" s="8"/>
      <c r="P981" s="8"/>
      <c r="Q981" s="8"/>
      <c r="R981" s="9"/>
      <c r="S981" s="8"/>
      <c r="T981" s="9"/>
      <c r="U981" s="10" t="str">
        <f aca="true">IF(B981="","",IF(OR(P981&lt;&gt;"",I981="می‌باشد"),"بسته",IF(AND(L981&lt;&gt;"",W981=""),"خطای فرمت تاریخ ایجاد",IF(AND(H981&lt;&gt;"",AA981=""),"خطای فرمت مهلت",IF(AND(H981&lt;&gt;"",AD981&lt;&gt;"",TODAY()&gt;AD981),"تاخیر",IF(L981&lt;&gt;"","در حال انجام",""))))))</f>
        <v/>
      </c>
      <c r="V981" s="7" t="n">
        <f aca="true">IF(U981="تاخیر",TODAY()-AD981,IF(AND(U981="بسته",AH981&lt;&gt;"",AD981&lt;&gt;"",AH981&gt;AD981),AH981-AD981,0))</f>
        <v>0</v>
      </c>
      <c r="W981" s="7" t="str">
        <f aca="false">IF(L981="","",VALUE(LEFT(L981,FIND("/",L981)-1)))</f>
        <v/>
      </c>
      <c r="X981" s="7" t="str">
        <f aca="false">IF(L981="","",VALUE(MID(L981,FIND("/",L981)+1,FIND("/",L981,FIND("/",L981)+1)-FIND("/",L981)-1)))</f>
        <v/>
      </c>
      <c r="Y981" s="7" t="str">
        <f aca="false">IF(L981="","",VALUE(MID(L981,FIND("/",L981,FIND("/",L981)+1)+1,LEN(L981)-FIND("/",L981,FIND("/",L981)+1))))</f>
        <v/>
      </c>
      <c r="Z981" s="7" t="str">
        <f aca="false">IF(OR(L981="",W981=""),"",IFERROR(INDEX('لیست‌ها'!$Q$3:$Q$53,MATCH(W981,'لیست‌ها'!$P$3:$P$53,0))+IF(X981&lt;=6,(X981-1)*31+Y981,IF(X981&lt;=11,186+(X981-7)*30+Y981,336+Y981))-1,""))</f>
        <v/>
      </c>
      <c r="AA981" s="7" t="str">
        <f aca="false">IF(H981="","",VALUE(LEFT(H981,FIND("/",H981)-1)))</f>
        <v/>
      </c>
      <c r="AB981" s="7" t="str">
        <f aca="false">IF(H981="","",VALUE(MID(H981,FIND("/",H981)+1,FIND("/",H981,FIND("/",H981)+1)-FIND("/",H981)-1)))</f>
        <v/>
      </c>
      <c r="AC981" s="7" t="str">
        <f aca="false">IF(H981="","",VALUE(MID(H981,FIND("/",H981,FIND("/",H981)+1)+1,LEN(H981)-FIND("/",H981,FIND("/",H981)+1))))</f>
        <v/>
      </c>
      <c r="AD981" s="7" t="str">
        <f aca="false">IF(OR(H981="",AA981=""),"",IFERROR(INDEX('لیست‌ها'!$Q$3:$Q$53,MATCH(AA981,'لیست‌ها'!$P$3:$P$53,0))+IF(AB981&lt;=6,(AB981-1)*31+AC981,IF(AB981&lt;=11,186+(AB981-7)*30+AC981,336+AC981))-1,""))</f>
        <v/>
      </c>
      <c r="AE981" s="7" t="str">
        <f aca="false">IF(P981="","",VALUE(LEFT(P981,FIND("/",P981)-1)))</f>
        <v/>
      </c>
      <c r="AF981" s="7" t="str">
        <f aca="false">IF(P981="","",VALUE(MID(P981,FIND("/",P981)+1,FIND("/",P981,FIND("/",P981)+1)-FIND("/",P981)-1)))</f>
        <v/>
      </c>
      <c r="AG981" s="7" t="str">
        <f aca="false">IF(P981="","",VALUE(MID(P981,FIND("/",P981,FIND("/",P981)+1)+1,LEN(P981)-FIND("/",P981,FIND("/",P981)+1))))</f>
        <v/>
      </c>
      <c r="AH981" s="7" t="str">
        <f aca="false">IF(OR(P981="",AE981=""),"",IFERROR(INDEX('لیست‌ها'!$Q$3:$Q$53,MATCH(AE981,'لیست‌ها'!$P$3:$P$53,0))+IF(AF981&lt;=6,(AF981-1)*31+AG981,IF(AF981&lt;=11,186+(AF981-7)*30+AG981,336+AG981))-1,""))</f>
        <v/>
      </c>
      <c r="AI981" s="7" t="str">
        <f aca="false">IF(W981="","",W981&amp;"-"&amp;TEXT(X981,"00"))</f>
        <v/>
      </c>
      <c r="AJ981" s="7" t="str">
        <f aca="false">IF(W981="","",W981*12+X981)</f>
        <v/>
      </c>
      <c r="AK981" s="7" t="str">
        <f aca="false">IF(U981="تاخیر",V981+ROW()/100000,"")</f>
        <v/>
      </c>
    </row>
    <row r="982" customFormat="false" ht="15" hidden="false" customHeight="false" outlineLevel="0" collapsed="false">
      <c r="A982" s="7" t="str">
        <f aca="false">IF(B982="","",ROW()-3)</f>
        <v/>
      </c>
      <c r="B982" s="8"/>
      <c r="C982" s="8"/>
      <c r="D982" s="8"/>
      <c r="E982" s="9"/>
      <c r="F982" s="9"/>
      <c r="G982" s="8"/>
      <c r="H982" s="8"/>
      <c r="I982" s="8"/>
      <c r="J982" s="9"/>
      <c r="K982" s="8"/>
      <c r="L982" s="8"/>
      <c r="M982" s="8"/>
      <c r="N982" s="8"/>
      <c r="O982" s="8"/>
      <c r="P982" s="8"/>
      <c r="Q982" s="8"/>
      <c r="R982" s="9"/>
      <c r="S982" s="8"/>
      <c r="T982" s="9"/>
      <c r="U982" s="10" t="str">
        <f aca="true">IF(B982="","",IF(OR(P982&lt;&gt;"",I982="می‌باشد"),"بسته",IF(AND(L982&lt;&gt;"",W982=""),"خطای فرمت تاریخ ایجاد",IF(AND(H982&lt;&gt;"",AA982=""),"خطای فرمت مهلت",IF(AND(H982&lt;&gt;"",AD982&lt;&gt;"",TODAY()&gt;AD982),"تاخیر",IF(L982&lt;&gt;"","در حال انجام",""))))))</f>
        <v/>
      </c>
      <c r="V982" s="7" t="n">
        <f aca="true">IF(U982="تاخیر",TODAY()-AD982,IF(AND(U982="بسته",AH982&lt;&gt;"",AD982&lt;&gt;"",AH982&gt;AD982),AH982-AD982,0))</f>
        <v>0</v>
      </c>
      <c r="W982" s="7" t="str">
        <f aca="false">IF(L982="","",VALUE(LEFT(L982,FIND("/",L982)-1)))</f>
        <v/>
      </c>
      <c r="X982" s="7" t="str">
        <f aca="false">IF(L982="","",VALUE(MID(L982,FIND("/",L982)+1,FIND("/",L982,FIND("/",L982)+1)-FIND("/",L982)-1)))</f>
        <v/>
      </c>
      <c r="Y982" s="7" t="str">
        <f aca="false">IF(L982="","",VALUE(MID(L982,FIND("/",L982,FIND("/",L982)+1)+1,LEN(L982)-FIND("/",L982,FIND("/",L982)+1))))</f>
        <v/>
      </c>
      <c r="Z982" s="7" t="str">
        <f aca="false">IF(OR(L982="",W982=""),"",IFERROR(INDEX('لیست‌ها'!$Q$3:$Q$53,MATCH(W982,'لیست‌ها'!$P$3:$P$53,0))+IF(X982&lt;=6,(X982-1)*31+Y982,IF(X982&lt;=11,186+(X982-7)*30+Y982,336+Y982))-1,""))</f>
        <v/>
      </c>
      <c r="AA982" s="7" t="str">
        <f aca="false">IF(H982="","",VALUE(LEFT(H982,FIND("/",H982)-1)))</f>
        <v/>
      </c>
      <c r="AB982" s="7" t="str">
        <f aca="false">IF(H982="","",VALUE(MID(H982,FIND("/",H982)+1,FIND("/",H982,FIND("/",H982)+1)-FIND("/",H982)-1)))</f>
        <v/>
      </c>
      <c r="AC982" s="7" t="str">
        <f aca="false">IF(H982="","",VALUE(MID(H982,FIND("/",H982,FIND("/",H982)+1)+1,LEN(H982)-FIND("/",H982,FIND("/",H982)+1))))</f>
        <v/>
      </c>
      <c r="AD982" s="7" t="str">
        <f aca="false">IF(OR(H982="",AA982=""),"",IFERROR(INDEX('لیست‌ها'!$Q$3:$Q$53,MATCH(AA982,'لیست‌ها'!$P$3:$P$53,0))+IF(AB982&lt;=6,(AB982-1)*31+AC982,IF(AB982&lt;=11,186+(AB982-7)*30+AC982,336+AC982))-1,""))</f>
        <v/>
      </c>
      <c r="AE982" s="7" t="str">
        <f aca="false">IF(P982="","",VALUE(LEFT(P982,FIND("/",P982)-1)))</f>
        <v/>
      </c>
      <c r="AF982" s="7" t="str">
        <f aca="false">IF(P982="","",VALUE(MID(P982,FIND("/",P982)+1,FIND("/",P982,FIND("/",P982)+1)-FIND("/",P982)-1)))</f>
        <v/>
      </c>
      <c r="AG982" s="7" t="str">
        <f aca="false">IF(P982="","",VALUE(MID(P982,FIND("/",P982,FIND("/",P982)+1)+1,LEN(P982)-FIND("/",P982,FIND("/",P982)+1))))</f>
        <v/>
      </c>
      <c r="AH982" s="7" t="str">
        <f aca="false">IF(OR(P982="",AE982=""),"",IFERROR(INDEX('لیست‌ها'!$Q$3:$Q$53,MATCH(AE982,'لیست‌ها'!$P$3:$P$53,0))+IF(AF982&lt;=6,(AF982-1)*31+AG982,IF(AF982&lt;=11,186+(AF982-7)*30+AG982,336+AG982))-1,""))</f>
        <v/>
      </c>
      <c r="AI982" s="7" t="str">
        <f aca="false">IF(W982="","",W982&amp;"-"&amp;TEXT(X982,"00"))</f>
        <v/>
      </c>
      <c r="AJ982" s="7" t="str">
        <f aca="false">IF(W982="","",W982*12+X982)</f>
        <v/>
      </c>
      <c r="AK982" s="7" t="str">
        <f aca="false">IF(U982="تاخیر",V982+ROW()/100000,"")</f>
        <v/>
      </c>
    </row>
    <row r="983" customFormat="false" ht="15" hidden="false" customHeight="false" outlineLevel="0" collapsed="false">
      <c r="A983" s="7" t="str">
        <f aca="false">IF(B983="","",ROW()-3)</f>
        <v/>
      </c>
      <c r="B983" s="8"/>
      <c r="C983" s="8"/>
      <c r="D983" s="8"/>
      <c r="E983" s="9"/>
      <c r="F983" s="9"/>
      <c r="G983" s="8"/>
      <c r="H983" s="8"/>
      <c r="I983" s="8"/>
      <c r="J983" s="9"/>
      <c r="K983" s="8"/>
      <c r="L983" s="8"/>
      <c r="M983" s="8"/>
      <c r="N983" s="8"/>
      <c r="O983" s="8"/>
      <c r="P983" s="8"/>
      <c r="Q983" s="8"/>
      <c r="R983" s="9"/>
      <c r="S983" s="8"/>
      <c r="T983" s="9"/>
      <c r="U983" s="10" t="str">
        <f aca="true">IF(B983="","",IF(OR(P983&lt;&gt;"",I983="می‌باشد"),"بسته",IF(AND(L983&lt;&gt;"",W983=""),"خطای فرمت تاریخ ایجاد",IF(AND(H983&lt;&gt;"",AA983=""),"خطای فرمت مهلت",IF(AND(H983&lt;&gt;"",AD983&lt;&gt;"",TODAY()&gt;AD983),"تاخیر",IF(L983&lt;&gt;"","در حال انجام",""))))))</f>
        <v/>
      </c>
      <c r="V983" s="7" t="n">
        <f aca="true">IF(U983="تاخیر",TODAY()-AD983,IF(AND(U983="بسته",AH983&lt;&gt;"",AD983&lt;&gt;"",AH983&gt;AD983),AH983-AD983,0))</f>
        <v>0</v>
      </c>
      <c r="W983" s="7" t="str">
        <f aca="false">IF(L983="","",VALUE(LEFT(L983,FIND("/",L983)-1)))</f>
        <v/>
      </c>
      <c r="X983" s="7" t="str">
        <f aca="false">IF(L983="","",VALUE(MID(L983,FIND("/",L983)+1,FIND("/",L983,FIND("/",L983)+1)-FIND("/",L983)-1)))</f>
        <v/>
      </c>
      <c r="Y983" s="7" t="str">
        <f aca="false">IF(L983="","",VALUE(MID(L983,FIND("/",L983,FIND("/",L983)+1)+1,LEN(L983)-FIND("/",L983,FIND("/",L983)+1))))</f>
        <v/>
      </c>
      <c r="Z983" s="7" t="str">
        <f aca="false">IF(OR(L983="",W983=""),"",IFERROR(INDEX('لیست‌ها'!$Q$3:$Q$53,MATCH(W983,'لیست‌ها'!$P$3:$P$53,0))+IF(X983&lt;=6,(X983-1)*31+Y983,IF(X983&lt;=11,186+(X983-7)*30+Y983,336+Y983))-1,""))</f>
        <v/>
      </c>
      <c r="AA983" s="7" t="str">
        <f aca="false">IF(H983="","",VALUE(LEFT(H983,FIND("/",H983)-1)))</f>
        <v/>
      </c>
      <c r="AB983" s="7" t="str">
        <f aca="false">IF(H983="","",VALUE(MID(H983,FIND("/",H983)+1,FIND("/",H983,FIND("/",H983)+1)-FIND("/",H983)-1)))</f>
        <v/>
      </c>
      <c r="AC983" s="7" t="str">
        <f aca="false">IF(H983="","",VALUE(MID(H983,FIND("/",H983,FIND("/",H983)+1)+1,LEN(H983)-FIND("/",H983,FIND("/",H983)+1))))</f>
        <v/>
      </c>
      <c r="AD983" s="7" t="str">
        <f aca="false">IF(OR(H983="",AA983=""),"",IFERROR(INDEX('لیست‌ها'!$Q$3:$Q$53,MATCH(AA983,'لیست‌ها'!$P$3:$P$53,0))+IF(AB983&lt;=6,(AB983-1)*31+AC983,IF(AB983&lt;=11,186+(AB983-7)*30+AC983,336+AC983))-1,""))</f>
        <v/>
      </c>
      <c r="AE983" s="7" t="str">
        <f aca="false">IF(P983="","",VALUE(LEFT(P983,FIND("/",P983)-1)))</f>
        <v/>
      </c>
      <c r="AF983" s="7" t="str">
        <f aca="false">IF(P983="","",VALUE(MID(P983,FIND("/",P983)+1,FIND("/",P983,FIND("/",P983)+1)-FIND("/",P983)-1)))</f>
        <v/>
      </c>
      <c r="AG983" s="7" t="str">
        <f aca="false">IF(P983="","",VALUE(MID(P983,FIND("/",P983,FIND("/",P983)+1)+1,LEN(P983)-FIND("/",P983,FIND("/",P983)+1))))</f>
        <v/>
      </c>
      <c r="AH983" s="7" t="str">
        <f aca="false">IF(OR(P983="",AE983=""),"",IFERROR(INDEX('لیست‌ها'!$Q$3:$Q$53,MATCH(AE983,'لیست‌ها'!$P$3:$P$53,0))+IF(AF983&lt;=6,(AF983-1)*31+AG983,IF(AF983&lt;=11,186+(AF983-7)*30+AG983,336+AG983))-1,""))</f>
        <v/>
      </c>
      <c r="AI983" s="7" t="str">
        <f aca="false">IF(W983="","",W983&amp;"-"&amp;TEXT(X983,"00"))</f>
        <v/>
      </c>
      <c r="AJ983" s="7" t="str">
        <f aca="false">IF(W983="","",W983*12+X983)</f>
        <v/>
      </c>
      <c r="AK983" s="7" t="str">
        <f aca="false">IF(U983="تاخیر",V983+ROW()/100000,"")</f>
        <v/>
      </c>
    </row>
    <row r="984" customFormat="false" ht="15" hidden="false" customHeight="false" outlineLevel="0" collapsed="false">
      <c r="A984" s="7" t="str">
        <f aca="false">IF(B984="","",ROW()-3)</f>
        <v/>
      </c>
      <c r="B984" s="8"/>
      <c r="C984" s="8"/>
      <c r="D984" s="8"/>
      <c r="E984" s="9"/>
      <c r="F984" s="9"/>
      <c r="G984" s="8"/>
      <c r="H984" s="8"/>
      <c r="I984" s="8"/>
      <c r="J984" s="9"/>
      <c r="K984" s="8"/>
      <c r="L984" s="8"/>
      <c r="M984" s="8"/>
      <c r="N984" s="8"/>
      <c r="O984" s="8"/>
      <c r="P984" s="8"/>
      <c r="Q984" s="8"/>
      <c r="R984" s="9"/>
      <c r="S984" s="8"/>
      <c r="T984" s="9"/>
      <c r="U984" s="10" t="str">
        <f aca="true">IF(B984="","",IF(OR(P984&lt;&gt;"",I984="می‌باشد"),"بسته",IF(AND(L984&lt;&gt;"",W984=""),"خطای فرمت تاریخ ایجاد",IF(AND(H984&lt;&gt;"",AA984=""),"خطای فرمت مهلت",IF(AND(H984&lt;&gt;"",AD984&lt;&gt;"",TODAY()&gt;AD984),"تاخیر",IF(L984&lt;&gt;"","در حال انجام",""))))))</f>
        <v/>
      </c>
      <c r="V984" s="7" t="n">
        <f aca="true">IF(U984="تاخیر",TODAY()-AD984,IF(AND(U984="بسته",AH984&lt;&gt;"",AD984&lt;&gt;"",AH984&gt;AD984),AH984-AD984,0))</f>
        <v>0</v>
      </c>
      <c r="W984" s="7" t="str">
        <f aca="false">IF(L984="","",VALUE(LEFT(L984,FIND("/",L984)-1)))</f>
        <v/>
      </c>
      <c r="X984" s="7" t="str">
        <f aca="false">IF(L984="","",VALUE(MID(L984,FIND("/",L984)+1,FIND("/",L984,FIND("/",L984)+1)-FIND("/",L984)-1)))</f>
        <v/>
      </c>
      <c r="Y984" s="7" t="str">
        <f aca="false">IF(L984="","",VALUE(MID(L984,FIND("/",L984,FIND("/",L984)+1)+1,LEN(L984)-FIND("/",L984,FIND("/",L984)+1))))</f>
        <v/>
      </c>
      <c r="Z984" s="7" t="str">
        <f aca="false">IF(OR(L984="",W984=""),"",IFERROR(INDEX('لیست‌ها'!$Q$3:$Q$53,MATCH(W984,'لیست‌ها'!$P$3:$P$53,0))+IF(X984&lt;=6,(X984-1)*31+Y984,IF(X984&lt;=11,186+(X984-7)*30+Y984,336+Y984))-1,""))</f>
        <v/>
      </c>
      <c r="AA984" s="7" t="str">
        <f aca="false">IF(H984="","",VALUE(LEFT(H984,FIND("/",H984)-1)))</f>
        <v/>
      </c>
      <c r="AB984" s="7" t="str">
        <f aca="false">IF(H984="","",VALUE(MID(H984,FIND("/",H984)+1,FIND("/",H984,FIND("/",H984)+1)-FIND("/",H984)-1)))</f>
        <v/>
      </c>
      <c r="AC984" s="7" t="str">
        <f aca="false">IF(H984="","",VALUE(MID(H984,FIND("/",H984,FIND("/",H984)+1)+1,LEN(H984)-FIND("/",H984,FIND("/",H984)+1))))</f>
        <v/>
      </c>
      <c r="AD984" s="7" t="str">
        <f aca="false">IF(OR(H984="",AA984=""),"",IFERROR(INDEX('لیست‌ها'!$Q$3:$Q$53,MATCH(AA984,'لیست‌ها'!$P$3:$P$53,0))+IF(AB984&lt;=6,(AB984-1)*31+AC984,IF(AB984&lt;=11,186+(AB984-7)*30+AC984,336+AC984))-1,""))</f>
        <v/>
      </c>
      <c r="AE984" s="7" t="str">
        <f aca="false">IF(P984="","",VALUE(LEFT(P984,FIND("/",P984)-1)))</f>
        <v/>
      </c>
      <c r="AF984" s="7" t="str">
        <f aca="false">IF(P984="","",VALUE(MID(P984,FIND("/",P984)+1,FIND("/",P984,FIND("/",P984)+1)-FIND("/",P984)-1)))</f>
        <v/>
      </c>
      <c r="AG984" s="7" t="str">
        <f aca="false">IF(P984="","",VALUE(MID(P984,FIND("/",P984,FIND("/",P984)+1)+1,LEN(P984)-FIND("/",P984,FIND("/",P984)+1))))</f>
        <v/>
      </c>
      <c r="AH984" s="7" t="str">
        <f aca="false">IF(OR(P984="",AE984=""),"",IFERROR(INDEX('لیست‌ها'!$Q$3:$Q$53,MATCH(AE984,'لیست‌ها'!$P$3:$P$53,0))+IF(AF984&lt;=6,(AF984-1)*31+AG984,IF(AF984&lt;=11,186+(AF984-7)*30+AG984,336+AG984))-1,""))</f>
        <v/>
      </c>
      <c r="AI984" s="7" t="str">
        <f aca="false">IF(W984="","",W984&amp;"-"&amp;TEXT(X984,"00"))</f>
        <v/>
      </c>
      <c r="AJ984" s="7" t="str">
        <f aca="false">IF(W984="","",W984*12+X984)</f>
        <v/>
      </c>
      <c r="AK984" s="7" t="str">
        <f aca="false">IF(U984="تاخیر",V984+ROW()/100000,"")</f>
        <v/>
      </c>
    </row>
    <row r="985" customFormat="false" ht="15" hidden="false" customHeight="false" outlineLevel="0" collapsed="false">
      <c r="A985" s="7" t="str">
        <f aca="false">IF(B985="","",ROW()-3)</f>
        <v/>
      </c>
      <c r="B985" s="8"/>
      <c r="C985" s="8"/>
      <c r="D985" s="8"/>
      <c r="E985" s="9"/>
      <c r="F985" s="9"/>
      <c r="G985" s="8"/>
      <c r="H985" s="8"/>
      <c r="I985" s="8"/>
      <c r="J985" s="9"/>
      <c r="K985" s="8"/>
      <c r="L985" s="8"/>
      <c r="M985" s="8"/>
      <c r="N985" s="8"/>
      <c r="O985" s="8"/>
      <c r="P985" s="8"/>
      <c r="Q985" s="8"/>
      <c r="R985" s="9"/>
      <c r="S985" s="8"/>
      <c r="T985" s="9"/>
      <c r="U985" s="10" t="str">
        <f aca="true">IF(B985="","",IF(OR(P985&lt;&gt;"",I985="می‌باشد"),"بسته",IF(AND(L985&lt;&gt;"",W985=""),"خطای فرمت تاریخ ایجاد",IF(AND(H985&lt;&gt;"",AA985=""),"خطای فرمت مهلت",IF(AND(H985&lt;&gt;"",AD985&lt;&gt;"",TODAY()&gt;AD985),"تاخیر",IF(L985&lt;&gt;"","در حال انجام",""))))))</f>
        <v/>
      </c>
      <c r="V985" s="7" t="n">
        <f aca="true">IF(U985="تاخیر",TODAY()-AD985,IF(AND(U985="بسته",AH985&lt;&gt;"",AD985&lt;&gt;"",AH985&gt;AD985),AH985-AD985,0))</f>
        <v>0</v>
      </c>
      <c r="W985" s="7" t="str">
        <f aca="false">IF(L985="","",VALUE(LEFT(L985,FIND("/",L985)-1)))</f>
        <v/>
      </c>
      <c r="X985" s="7" t="str">
        <f aca="false">IF(L985="","",VALUE(MID(L985,FIND("/",L985)+1,FIND("/",L985,FIND("/",L985)+1)-FIND("/",L985)-1)))</f>
        <v/>
      </c>
      <c r="Y985" s="7" t="str">
        <f aca="false">IF(L985="","",VALUE(MID(L985,FIND("/",L985,FIND("/",L985)+1)+1,LEN(L985)-FIND("/",L985,FIND("/",L985)+1))))</f>
        <v/>
      </c>
      <c r="Z985" s="7" t="str">
        <f aca="false">IF(OR(L985="",W985=""),"",IFERROR(INDEX('لیست‌ها'!$Q$3:$Q$53,MATCH(W985,'لیست‌ها'!$P$3:$P$53,0))+IF(X985&lt;=6,(X985-1)*31+Y985,IF(X985&lt;=11,186+(X985-7)*30+Y985,336+Y985))-1,""))</f>
        <v/>
      </c>
      <c r="AA985" s="7" t="str">
        <f aca="false">IF(H985="","",VALUE(LEFT(H985,FIND("/",H985)-1)))</f>
        <v/>
      </c>
      <c r="AB985" s="7" t="str">
        <f aca="false">IF(H985="","",VALUE(MID(H985,FIND("/",H985)+1,FIND("/",H985,FIND("/",H985)+1)-FIND("/",H985)-1)))</f>
        <v/>
      </c>
      <c r="AC985" s="7" t="str">
        <f aca="false">IF(H985="","",VALUE(MID(H985,FIND("/",H985,FIND("/",H985)+1)+1,LEN(H985)-FIND("/",H985,FIND("/",H985)+1))))</f>
        <v/>
      </c>
      <c r="AD985" s="7" t="str">
        <f aca="false">IF(OR(H985="",AA985=""),"",IFERROR(INDEX('لیست‌ها'!$Q$3:$Q$53,MATCH(AA985,'لیست‌ها'!$P$3:$P$53,0))+IF(AB985&lt;=6,(AB985-1)*31+AC985,IF(AB985&lt;=11,186+(AB985-7)*30+AC985,336+AC985))-1,""))</f>
        <v/>
      </c>
      <c r="AE985" s="7" t="str">
        <f aca="false">IF(P985="","",VALUE(LEFT(P985,FIND("/",P985)-1)))</f>
        <v/>
      </c>
      <c r="AF985" s="7" t="str">
        <f aca="false">IF(P985="","",VALUE(MID(P985,FIND("/",P985)+1,FIND("/",P985,FIND("/",P985)+1)-FIND("/",P985)-1)))</f>
        <v/>
      </c>
      <c r="AG985" s="7" t="str">
        <f aca="false">IF(P985="","",VALUE(MID(P985,FIND("/",P985,FIND("/",P985)+1)+1,LEN(P985)-FIND("/",P985,FIND("/",P985)+1))))</f>
        <v/>
      </c>
      <c r="AH985" s="7" t="str">
        <f aca="false">IF(OR(P985="",AE985=""),"",IFERROR(INDEX('لیست‌ها'!$Q$3:$Q$53,MATCH(AE985,'لیست‌ها'!$P$3:$P$53,0))+IF(AF985&lt;=6,(AF985-1)*31+AG985,IF(AF985&lt;=11,186+(AF985-7)*30+AG985,336+AG985))-1,""))</f>
        <v/>
      </c>
      <c r="AI985" s="7" t="str">
        <f aca="false">IF(W985="","",W985&amp;"-"&amp;TEXT(X985,"00"))</f>
        <v/>
      </c>
      <c r="AJ985" s="7" t="str">
        <f aca="false">IF(W985="","",W985*12+X985)</f>
        <v/>
      </c>
      <c r="AK985" s="7" t="str">
        <f aca="false">IF(U985="تاخیر",V985+ROW()/100000,"")</f>
        <v/>
      </c>
    </row>
    <row r="986" customFormat="false" ht="15" hidden="false" customHeight="false" outlineLevel="0" collapsed="false">
      <c r="A986" s="7" t="str">
        <f aca="false">IF(B986="","",ROW()-3)</f>
        <v/>
      </c>
      <c r="B986" s="8"/>
      <c r="C986" s="8"/>
      <c r="D986" s="8"/>
      <c r="E986" s="9"/>
      <c r="F986" s="9"/>
      <c r="G986" s="8"/>
      <c r="H986" s="8"/>
      <c r="I986" s="8"/>
      <c r="J986" s="9"/>
      <c r="K986" s="8"/>
      <c r="L986" s="8"/>
      <c r="M986" s="8"/>
      <c r="N986" s="8"/>
      <c r="O986" s="8"/>
      <c r="P986" s="8"/>
      <c r="Q986" s="8"/>
      <c r="R986" s="9"/>
      <c r="S986" s="8"/>
      <c r="T986" s="9"/>
      <c r="U986" s="10" t="str">
        <f aca="true">IF(B986="","",IF(OR(P986&lt;&gt;"",I986="می‌باشد"),"بسته",IF(AND(L986&lt;&gt;"",W986=""),"خطای فرمت تاریخ ایجاد",IF(AND(H986&lt;&gt;"",AA986=""),"خطای فرمت مهلت",IF(AND(H986&lt;&gt;"",AD986&lt;&gt;"",TODAY()&gt;AD986),"تاخیر",IF(L986&lt;&gt;"","در حال انجام",""))))))</f>
        <v/>
      </c>
      <c r="V986" s="7" t="n">
        <f aca="true">IF(U986="تاخیر",TODAY()-AD986,IF(AND(U986="بسته",AH986&lt;&gt;"",AD986&lt;&gt;"",AH986&gt;AD986),AH986-AD986,0))</f>
        <v>0</v>
      </c>
      <c r="W986" s="7" t="str">
        <f aca="false">IF(L986="","",VALUE(LEFT(L986,FIND("/",L986)-1)))</f>
        <v/>
      </c>
      <c r="X986" s="7" t="str">
        <f aca="false">IF(L986="","",VALUE(MID(L986,FIND("/",L986)+1,FIND("/",L986,FIND("/",L986)+1)-FIND("/",L986)-1)))</f>
        <v/>
      </c>
      <c r="Y986" s="7" t="str">
        <f aca="false">IF(L986="","",VALUE(MID(L986,FIND("/",L986,FIND("/",L986)+1)+1,LEN(L986)-FIND("/",L986,FIND("/",L986)+1))))</f>
        <v/>
      </c>
      <c r="Z986" s="7" t="str">
        <f aca="false">IF(OR(L986="",W986=""),"",IFERROR(INDEX('لیست‌ها'!$Q$3:$Q$53,MATCH(W986,'لیست‌ها'!$P$3:$P$53,0))+IF(X986&lt;=6,(X986-1)*31+Y986,IF(X986&lt;=11,186+(X986-7)*30+Y986,336+Y986))-1,""))</f>
        <v/>
      </c>
      <c r="AA986" s="7" t="str">
        <f aca="false">IF(H986="","",VALUE(LEFT(H986,FIND("/",H986)-1)))</f>
        <v/>
      </c>
      <c r="AB986" s="7" t="str">
        <f aca="false">IF(H986="","",VALUE(MID(H986,FIND("/",H986)+1,FIND("/",H986,FIND("/",H986)+1)-FIND("/",H986)-1)))</f>
        <v/>
      </c>
      <c r="AC986" s="7" t="str">
        <f aca="false">IF(H986="","",VALUE(MID(H986,FIND("/",H986,FIND("/",H986)+1)+1,LEN(H986)-FIND("/",H986,FIND("/",H986)+1))))</f>
        <v/>
      </c>
      <c r="AD986" s="7" t="str">
        <f aca="false">IF(OR(H986="",AA986=""),"",IFERROR(INDEX('لیست‌ها'!$Q$3:$Q$53,MATCH(AA986,'لیست‌ها'!$P$3:$P$53,0))+IF(AB986&lt;=6,(AB986-1)*31+AC986,IF(AB986&lt;=11,186+(AB986-7)*30+AC986,336+AC986))-1,""))</f>
        <v/>
      </c>
      <c r="AE986" s="7" t="str">
        <f aca="false">IF(P986="","",VALUE(LEFT(P986,FIND("/",P986)-1)))</f>
        <v/>
      </c>
      <c r="AF986" s="7" t="str">
        <f aca="false">IF(P986="","",VALUE(MID(P986,FIND("/",P986)+1,FIND("/",P986,FIND("/",P986)+1)-FIND("/",P986)-1)))</f>
        <v/>
      </c>
      <c r="AG986" s="7" t="str">
        <f aca="false">IF(P986="","",VALUE(MID(P986,FIND("/",P986,FIND("/",P986)+1)+1,LEN(P986)-FIND("/",P986,FIND("/",P986)+1))))</f>
        <v/>
      </c>
      <c r="AH986" s="7" t="str">
        <f aca="false">IF(OR(P986="",AE986=""),"",IFERROR(INDEX('لیست‌ها'!$Q$3:$Q$53,MATCH(AE986,'لیست‌ها'!$P$3:$P$53,0))+IF(AF986&lt;=6,(AF986-1)*31+AG986,IF(AF986&lt;=11,186+(AF986-7)*30+AG986,336+AG986))-1,""))</f>
        <v/>
      </c>
      <c r="AI986" s="7" t="str">
        <f aca="false">IF(W986="","",W986&amp;"-"&amp;TEXT(X986,"00"))</f>
        <v/>
      </c>
      <c r="AJ986" s="7" t="str">
        <f aca="false">IF(W986="","",W986*12+X986)</f>
        <v/>
      </c>
      <c r="AK986" s="7" t="str">
        <f aca="false">IF(U986="تاخیر",V986+ROW()/100000,"")</f>
        <v/>
      </c>
    </row>
    <row r="987" customFormat="false" ht="15" hidden="false" customHeight="false" outlineLevel="0" collapsed="false">
      <c r="A987" s="7" t="str">
        <f aca="false">IF(B987="","",ROW()-3)</f>
        <v/>
      </c>
      <c r="B987" s="8"/>
      <c r="C987" s="8"/>
      <c r="D987" s="8"/>
      <c r="E987" s="9"/>
      <c r="F987" s="9"/>
      <c r="G987" s="8"/>
      <c r="H987" s="8"/>
      <c r="I987" s="8"/>
      <c r="J987" s="9"/>
      <c r="K987" s="8"/>
      <c r="L987" s="8"/>
      <c r="M987" s="8"/>
      <c r="N987" s="8"/>
      <c r="O987" s="8"/>
      <c r="P987" s="8"/>
      <c r="Q987" s="8"/>
      <c r="R987" s="9"/>
      <c r="S987" s="8"/>
      <c r="T987" s="9"/>
      <c r="U987" s="10" t="str">
        <f aca="true">IF(B987="","",IF(OR(P987&lt;&gt;"",I987="می‌باشد"),"بسته",IF(AND(L987&lt;&gt;"",W987=""),"خطای فرمت تاریخ ایجاد",IF(AND(H987&lt;&gt;"",AA987=""),"خطای فرمت مهلت",IF(AND(H987&lt;&gt;"",AD987&lt;&gt;"",TODAY()&gt;AD987),"تاخیر",IF(L987&lt;&gt;"","در حال انجام",""))))))</f>
        <v/>
      </c>
      <c r="V987" s="7" t="n">
        <f aca="true">IF(U987="تاخیر",TODAY()-AD987,IF(AND(U987="بسته",AH987&lt;&gt;"",AD987&lt;&gt;"",AH987&gt;AD987),AH987-AD987,0))</f>
        <v>0</v>
      </c>
      <c r="W987" s="7" t="str">
        <f aca="false">IF(L987="","",VALUE(LEFT(L987,FIND("/",L987)-1)))</f>
        <v/>
      </c>
      <c r="X987" s="7" t="str">
        <f aca="false">IF(L987="","",VALUE(MID(L987,FIND("/",L987)+1,FIND("/",L987,FIND("/",L987)+1)-FIND("/",L987)-1)))</f>
        <v/>
      </c>
      <c r="Y987" s="7" t="str">
        <f aca="false">IF(L987="","",VALUE(MID(L987,FIND("/",L987,FIND("/",L987)+1)+1,LEN(L987)-FIND("/",L987,FIND("/",L987)+1))))</f>
        <v/>
      </c>
      <c r="Z987" s="7" t="str">
        <f aca="false">IF(OR(L987="",W987=""),"",IFERROR(INDEX('لیست‌ها'!$Q$3:$Q$53,MATCH(W987,'لیست‌ها'!$P$3:$P$53,0))+IF(X987&lt;=6,(X987-1)*31+Y987,IF(X987&lt;=11,186+(X987-7)*30+Y987,336+Y987))-1,""))</f>
        <v/>
      </c>
      <c r="AA987" s="7" t="str">
        <f aca="false">IF(H987="","",VALUE(LEFT(H987,FIND("/",H987)-1)))</f>
        <v/>
      </c>
      <c r="AB987" s="7" t="str">
        <f aca="false">IF(H987="","",VALUE(MID(H987,FIND("/",H987)+1,FIND("/",H987,FIND("/",H987)+1)-FIND("/",H987)-1)))</f>
        <v/>
      </c>
      <c r="AC987" s="7" t="str">
        <f aca="false">IF(H987="","",VALUE(MID(H987,FIND("/",H987,FIND("/",H987)+1)+1,LEN(H987)-FIND("/",H987,FIND("/",H987)+1))))</f>
        <v/>
      </c>
      <c r="AD987" s="7" t="str">
        <f aca="false">IF(OR(H987="",AA987=""),"",IFERROR(INDEX('لیست‌ها'!$Q$3:$Q$53,MATCH(AA987,'لیست‌ها'!$P$3:$P$53,0))+IF(AB987&lt;=6,(AB987-1)*31+AC987,IF(AB987&lt;=11,186+(AB987-7)*30+AC987,336+AC987))-1,""))</f>
        <v/>
      </c>
      <c r="AE987" s="7" t="str">
        <f aca="false">IF(P987="","",VALUE(LEFT(P987,FIND("/",P987)-1)))</f>
        <v/>
      </c>
      <c r="AF987" s="7" t="str">
        <f aca="false">IF(P987="","",VALUE(MID(P987,FIND("/",P987)+1,FIND("/",P987,FIND("/",P987)+1)-FIND("/",P987)-1)))</f>
        <v/>
      </c>
      <c r="AG987" s="7" t="str">
        <f aca="false">IF(P987="","",VALUE(MID(P987,FIND("/",P987,FIND("/",P987)+1)+1,LEN(P987)-FIND("/",P987,FIND("/",P987)+1))))</f>
        <v/>
      </c>
      <c r="AH987" s="7" t="str">
        <f aca="false">IF(OR(P987="",AE987=""),"",IFERROR(INDEX('لیست‌ها'!$Q$3:$Q$53,MATCH(AE987,'لیست‌ها'!$P$3:$P$53,0))+IF(AF987&lt;=6,(AF987-1)*31+AG987,IF(AF987&lt;=11,186+(AF987-7)*30+AG987,336+AG987))-1,""))</f>
        <v/>
      </c>
      <c r="AI987" s="7" t="str">
        <f aca="false">IF(W987="","",W987&amp;"-"&amp;TEXT(X987,"00"))</f>
        <v/>
      </c>
      <c r="AJ987" s="7" t="str">
        <f aca="false">IF(W987="","",W987*12+X987)</f>
        <v/>
      </c>
      <c r="AK987" s="7" t="str">
        <f aca="false">IF(U987="تاخیر",V987+ROW()/100000,"")</f>
        <v/>
      </c>
    </row>
    <row r="988" customFormat="false" ht="15" hidden="false" customHeight="false" outlineLevel="0" collapsed="false">
      <c r="A988" s="7" t="str">
        <f aca="false">IF(B988="","",ROW()-3)</f>
        <v/>
      </c>
      <c r="B988" s="8"/>
      <c r="C988" s="8"/>
      <c r="D988" s="8"/>
      <c r="E988" s="9"/>
      <c r="F988" s="9"/>
      <c r="G988" s="8"/>
      <c r="H988" s="8"/>
      <c r="I988" s="8"/>
      <c r="J988" s="9"/>
      <c r="K988" s="8"/>
      <c r="L988" s="8"/>
      <c r="M988" s="8"/>
      <c r="N988" s="8"/>
      <c r="O988" s="8"/>
      <c r="P988" s="8"/>
      <c r="Q988" s="8"/>
      <c r="R988" s="9"/>
      <c r="S988" s="8"/>
      <c r="T988" s="9"/>
      <c r="U988" s="10" t="str">
        <f aca="true">IF(B988="","",IF(OR(P988&lt;&gt;"",I988="می‌باشد"),"بسته",IF(AND(L988&lt;&gt;"",W988=""),"خطای فرمت تاریخ ایجاد",IF(AND(H988&lt;&gt;"",AA988=""),"خطای فرمت مهلت",IF(AND(H988&lt;&gt;"",AD988&lt;&gt;"",TODAY()&gt;AD988),"تاخیر",IF(L988&lt;&gt;"","در حال انجام",""))))))</f>
        <v/>
      </c>
      <c r="V988" s="7" t="n">
        <f aca="true">IF(U988="تاخیر",TODAY()-AD988,IF(AND(U988="بسته",AH988&lt;&gt;"",AD988&lt;&gt;"",AH988&gt;AD988),AH988-AD988,0))</f>
        <v>0</v>
      </c>
      <c r="W988" s="7" t="str">
        <f aca="false">IF(L988="","",VALUE(LEFT(L988,FIND("/",L988)-1)))</f>
        <v/>
      </c>
      <c r="X988" s="7" t="str">
        <f aca="false">IF(L988="","",VALUE(MID(L988,FIND("/",L988)+1,FIND("/",L988,FIND("/",L988)+1)-FIND("/",L988)-1)))</f>
        <v/>
      </c>
      <c r="Y988" s="7" t="str">
        <f aca="false">IF(L988="","",VALUE(MID(L988,FIND("/",L988,FIND("/",L988)+1)+1,LEN(L988)-FIND("/",L988,FIND("/",L988)+1))))</f>
        <v/>
      </c>
      <c r="Z988" s="7" t="str">
        <f aca="false">IF(OR(L988="",W988=""),"",IFERROR(INDEX('لیست‌ها'!$Q$3:$Q$53,MATCH(W988,'لیست‌ها'!$P$3:$P$53,0))+IF(X988&lt;=6,(X988-1)*31+Y988,IF(X988&lt;=11,186+(X988-7)*30+Y988,336+Y988))-1,""))</f>
        <v/>
      </c>
      <c r="AA988" s="7" t="str">
        <f aca="false">IF(H988="","",VALUE(LEFT(H988,FIND("/",H988)-1)))</f>
        <v/>
      </c>
      <c r="AB988" s="7" t="str">
        <f aca="false">IF(H988="","",VALUE(MID(H988,FIND("/",H988)+1,FIND("/",H988,FIND("/",H988)+1)-FIND("/",H988)-1)))</f>
        <v/>
      </c>
      <c r="AC988" s="7" t="str">
        <f aca="false">IF(H988="","",VALUE(MID(H988,FIND("/",H988,FIND("/",H988)+1)+1,LEN(H988)-FIND("/",H988,FIND("/",H988)+1))))</f>
        <v/>
      </c>
      <c r="AD988" s="7" t="str">
        <f aca="false">IF(OR(H988="",AA988=""),"",IFERROR(INDEX('لیست‌ها'!$Q$3:$Q$53,MATCH(AA988,'لیست‌ها'!$P$3:$P$53,0))+IF(AB988&lt;=6,(AB988-1)*31+AC988,IF(AB988&lt;=11,186+(AB988-7)*30+AC988,336+AC988))-1,""))</f>
        <v/>
      </c>
      <c r="AE988" s="7" t="str">
        <f aca="false">IF(P988="","",VALUE(LEFT(P988,FIND("/",P988)-1)))</f>
        <v/>
      </c>
      <c r="AF988" s="7" t="str">
        <f aca="false">IF(P988="","",VALUE(MID(P988,FIND("/",P988)+1,FIND("/",P988,FIND("/",P988)+1)-FIND("/",P988)-1)))</f>
        <v/>
      </c>
      <c r="AG988" s="7" t="str">
        <f aca="false">IF(P988="","",VALUE(MID(P988,FIND("/",P988,FIND("/",P988)+1)+1,LEN(P988)-FIND("/",P988,FIND("/",P988)+1))))</f>
        <v/>
      </c>
      <c r="AH988" s="7" t="str">
        <f aca="false">IF(OR(P988="",AE988=""),"",IFERROR(INDEX('لیست‌ها'!$Q$3:$Q$53,MATCH(AE988,'لیست‌ها'!$P$3:$P$53,0))+IF(AF988&lt;=6,(AF988-1)*31+AG988,IF(AF988&lt;=11,186+(AF988-7)*30+AG988,336+AG988))-1,""))</f>
        <v/>
      </c>
      <c r="AI988" s="7" t="str">
        <f aca="false">IF(W988="","",W988&amp;"-"&amp;TEXT(X988,"00"))</f>
        <v/>
      </c>
      <c r="AJ988" s="7" t="str">
        <f aca="false">IF(W988="","",W988*12+X988)</f>
        <v/>
      </c>
      <c r="AK988" s="7" t="str">
        <f aca="false">IF(U988="تاخیر",V988+ROW()/100000,"")</f>
        <v/>
      </c>
    </row>
    <row r="989" customFormat="false" ht="15" hidden="false" customHeight="false" outlineLevel="0" collapsed="false">
      <c r="A989" s="7" t="str">
        <f aca="false">IF(B989="","",ROW()-3)</f>
        <v/>
      </c>
      <c r="B989" s="8"/>
      <c r="C989" s="8"/>
      <c r="D989" s="8"/>
      <c r="E989" s="9"/>
      <c r="F989" s="9"/>
      <c r="G989" s="8"/>
      <c r="H989" s="8"/>
      <c r="I989" s="8"/>
      <c r="J989" s="9"/>
      <c r="K989" s="8"/>
      <c r="L989" s="8"/>
      <c r="M989" s="8"/>
      <c r="N989" s="8"/>
      <c r="O989" s="8"/>
      <c r="P989" s="8"/>
      <c r="Q989" s="8"/>
      <c r="R989" s="9"/>
      <c r="S989" s="8"/>
      <c r="T989" s="9"/>
      <c r="U989" s="10" t="str">
        <f aca="true">IF(B989="","",IF(OR(P989&lt;&gt;"",I989="می‌باشد"),"بسته",IF(AND(L989&lt;&gt;"",W989=""),"خطای فرمت تاریخ ایجاد",IF(AND(H989&lt;&gt;"",AA989=""),"خطای فرمت مهلت",IF(AND(H989&lt;&gt;"",AD989&lt;&gt;"",TODAY()&gt;AD989),"تاخیر",IF(L989&lt;&gt;"","در حال انجام",""))))))</f>
        <v/>
      </c>
      <c r="V989" s="7" t="n">
        <f aca="true">IF(U989="تاخیر",TODAY()-AD989,IF(AND(U989="بسته",AH989&lt;&gt;"",AD989&lt;&gt;"",AH989&gt;AD989),AH989-AD989,0))</f>
        <v>0</v>
      </c>
      <c r="W989" s="7" t="str">
        <f aca="false">IF(L989="","",VALUE(LEFT(L989,FIND("/",L989)-1)))</f>
        <v/>
      </c>
      <c r="X989" s="7" t="str">
        <f aca="false">IF(L989="","",VALUE(MID(L989,FIND("/",L989)+1,FIND("/",L989,FIND("/",L989)+1)-FIND("/",L989)-1)))</f>
        <v/>
      </c>
      <c r="Y989" s="7" t="str">
        <f aca="false">IF(L989="","",VALUE(MID(L989,FIND("/",L989,FIND("/",L989)+1)+1,LEN(L989)-FIND("/",L989,FIND("/",L989)+1))))</f>
        <v/>
      </c>
      <c r="Z989" s="7" t="str">
        <f aca="false">IF(OR(L989="",W989=""),"",IFERROR(INDEX('لیست‌ها'!$Q$3:$Q$53,MATCH(W989,'لیست‌ها'!$P$3:$P$53,0))+IF(X989&lt;=6,(X989-1)*31+Y989,IF(X989&lt;=11,186+(X989-7)*30+Y989,336+Y989))-1,""))</f>
        <v/>
      </c>
      <c r="AA989" s="7" t="str">
        <f aca="false">IF(H989="","",VALUE(LEFT(H989,FIND("/",H989)-1)))</f>
        <v/>
      </c>
      <c r="AB989" s="7" t="str">
        <f aca="false">IF(H989="","",VALUE(MID(H989,FIND("/",H989)+1,FIND("/",H989,FIND("/",H989)+1)-FIND("/",H989)-1)))</f>
        <v/>
      </c>
      <c r="AC989" s="7" t="str">
        <f aca="false">IF(H989="","",VALUE(MID(H989,FIND("/",H989,FIND("/",H989)+1)+1,LEN(H989)-FIND("/",H989,FIND("/",H989)+1))))</f>
        <v/>
      </c>
      <c r="AD989" s="7" t="str">
        <f aca="false">IF(OR(H989="",AA989=""),"",IFERROR(INDEX('لیست‌ها'!$Q$3:$Q$53,MATCH(AA989,'لیست‌ها'!$P$3:$P$53,0))+IF(AB989&lt;=6,(AB989-1)*31+AC989,IF(AB989&lt;=11,186+(AB989-7)*30+AC989,336+AC989))-1,""))</f>
        <v/>
      </c>
      <c r="AE989" s="7" t="str">
        <f aca="false">IF(P989="","",VALUE(LEFT(P989,FIND("/",P989)-1)))</f>
        <v/>
      </c>
      <c r="AF989" s="7" t="str">
        <f aca="false">IF(P989="","",VALUE(MID(P989,FIND("/",P989)+1,FIND("/",P989,FIND("/",P989)+1)-FIND("/",P989)-1)))</f>
        <v/>
      </c>
      <c r="AG989" s="7" t="str">
        <f aca="false">IF(P989="","",VALUE(MID(P989,FIND("/",P989,FIND("/",P989)+1)+1,LEN(P989)-FIND("/",P989,FIND("/",P989)+1))))</f>
        <v/>
      </c>
      <c r="AH989" s="7" t="str">
        <f aca="false">IF(OR(P989="",AE989=""),"",IFERROR(INDEX('لیست‌ها'!$Q$3:$Q$53,MATCH(AE989,'لیست‌ها'!$P$3:$P$53,0))+IF(AF989&lt;=6,(AF989-1)*31+AG989,IF(AF989&lt;=11,186+(AF989-7)*30+AG989,336+AG989))-1,""))</f>
        <v/>
      </c>
      <c r="AI989" s="7" t="str">
        <f aca="false">IF(W989="","",W989&amp;"-"&amp;TEXT(X989,"00"))</f>
        <v/>
      </c>
      <c r="AJ989" s="7" t="str">
        <f aca="false">IF(W989="","",W989*12+X989)</f>
        <v/>
      </c>
      <c r="AK989" s="7" t="str">
        <f aca="false">IF(U989="تاخیر",V989+ROW()/100000,"")</f>
        <v/>
      </c>
    </row>
    <row r="990" customFormat="false" ht="15" hidden="false" customHeight="false" outlineLevel="0" collapsed="false">
      <c r="A990" s="7" t="str">
        <f aca="false">IF(B990="","",ROW()-3)</f>
        <v/>
      </c>
      <c r="B990" s="8"/>
      <c r="C990" s="8"/>
      <c r="D990" s="8"/>
      <c r="E990" s="9"/>
      <c r="F990" s="9"/>
      <c r="G990" s="8"/>
      <c r="H990" s="8"/>
      <c r="I990" s="8"/>
      <c r="J990" s="9"/>
      <c r="K990" s="8"/>
      <c r="L990" s="8"/>
      <c r="M990" s="8"/>
      <c r="N990" s="8"/>
      <c r="O990" s="8"/>
      <c r="P990" s="8"/>
      <c r="Q990" s="8"/>
      <c r="R990" s="9"/>
      <c r="S990" s="8"/>
      <c r="T990" s="9"/>
      <c r="U990" s="10" t="str">
        <f aca="true">IF(B990="","",IF(OR(P990&lt;&gt;"",I990="می‌باشد"),"بسته",IF(AND(L990&lt;&gt;"",W990=""),"خطای فرمت تاریخ ایجاد",IF(AND(H990&lt;&gt;"",AA990=""),"خطای فرمت مهلت",IF(AND(H990&lt;&gt;"",AD990&lt;&gt;"",TODAY()&gt;AD990),"تاخیر",IF(L990&lt;&gt;"","در حال انجام",""))))))</f>
        <v/>
      </c>
      <c r="V990" s="7" t="n">
        <f aca="true">IF(U990="تاخیر",TODAY()-AD990,IF(AND(U990="بسته",AH990&lt;&gt;"",AD990&lt;&gt;"",AH990&gt;AD990),AH990-AD990,0))</f>
        <v>0</v>
      </c>
      <c r="W990" s="7" t="str">
        <f aca="false">IF(L990="","",VALUE(LEFT(L990,FIND("/",L990)-1)))</f>
        <v/>
      </c>
      <c r="X990" s="7" t="str">
        <f aca="false">IF(L990="","",VALUE(MID(L990,FIND("/",L990)+1,FIND("/",L990,FIND("/",L990)+1)-FIND("/",L990)-1)))</f>
        <v/>
      </c>
      <c r="Y990" s="7" t="str">
        <f aca="false">IF(L990="","",VALUE(MID(L990,FIND("/",L990,FIND("/",L990)+1)+1,LEN(L990)-FIND("/",L990,FIND("/",L990)+1))))</f>
        <v/>
      </c>
      <c r="Z990" s="7" t="str">
        <f aca="false">IF(OR(L990="",W990=""),"",IFERROR(INDEX('لیست‌ها'!$Q$3:$Q$53,MATCH(W990,'لیست‌ها'!$P$3:$P$53,0))+IF(X990&lt;=6,(X990-1)*31+Y990,IF(X990&lt;=11,186+(X990-7)*30+Y990,336+Y990))-1,""))</f>
        <v/>
      </c>
      <c r="AA990" s="7" t="str">
        <f aca="false">IF(H990="","",VALUE(LEFT(H990,FIND("/",H990)-1)))</f>
        <v/>
      </c>
      <c r="AB990" s="7" t="str">
        <f aca="false">IF(H990="","",VALUE(MID(H990,FIND("/",H990)+1,FIND("/",H990,FIND("/",H990)+1)-FIND("/",H990)-1)))</f>
        <v/>
      </c>
      <c r="AC990" s="7" t="str">
        <f aca="false">IF(H990="","",VALUE(MID(H990,FIND("/",H990,FIND("/",H990)+1)+1,LEN(H990)-FIND("/",H990,FIND("/",H990)+1))))</f>
        <v/>
      </c>
      <c r="AD990" s="7" t="str">
        <f aca="false">IF(OR(H990="",AA990=""),"",IFERROR(INDEX('لیست‌ها'!$Q$3:$Q$53,MATCH(AA990,'لیست‌ها'!$P$3:$P$53,0))+IF(AB990&lt;=6,(AB990-1)*31+AC990,IF(AB990&lt;=11,186+(AB990-7)*30+AC990,336+AC990))-1,""))</f>
        <v/>
      </c>
      <c r="AE990" s="7" t="str">
        <f aca="false">IF(P990="","",VALUE(LEFT(P990,FIND("/",P990)-1)))</f>
        <v/>
      </c>
      <c r="AF990" s="7" t="str">
        <f aca="false">IF(P990="","",VALUE(MID(P990,FIND("/",P990)+1,FIND("/",P990,FIND("/",P990)+1)-FIND("/",P990)-1)))</f>
        <v/>
      </c>
      <c r="AG990" s="7" t="str">
        <f aca="false">IF(P990="","",VALUE(MID(P990,FIND("/",P990,FIND("/",P990)+1)+1,LEN(P990)-FIND("/",P990,FIND("/",P990)+1))))</f>
        <v/>
      </c>
      <c r="AH990" s="7" t="str">
        <f aca="false">IF(OR(P990="",AE990=""),"",IFERROR(INDEX('لیست‌ها'!$Q$3:$Q$53,MATCH(AE990,'لیست‌ها'!$P$3:$P$53,0))+IF(AF990&lt;=6,(AF990-1)*31+AG990,IF(AF990&lt;=11,186+(AF990-7)*30+AG990,336+AG990))-1,""))</f>
        <v/>
      </c>
      <c r="AI990" s="7" t="str">
        <f aca="false">IF(W990="","",W990&amp;"-"&amp;TEXT(X990,"00"))</f>
        <v/>
      </c>
      <c r="AJ990" s="7" t="str">
        <f aca="false">IF(W990="","",W990*12+X990)</f>
        <v/>
      </c>
      <c r="AK990" s="7" t="str">
        <f aca="false">IF(U990="تاخیر",V990+ROW()/100000,"")</f>
        <v/>
      </c>
    </row>
    <row r="991" customFormat="false" ht="15" hidden="false" customHeight="false" outlineLevel="0" collapsed="false">
      <c r="A991" s="7" t="str">
        <f aca="false">IF(B991="","",ROW()-3)</f>
        <v/>
      </c>
      <c r="B991" s="8"/>
      <c r="C991" s="8"/>
      <c r="D991" s="8"/>
      <c r="E991" s="9"/>
      <c r="F991" s="9"/>
      <c r="G991" s="8"/>
      <c r="H991" s="8"/>
      <c r="I991" s="8"/>
      <c r="J991" s="9"/>
      <c r="K991" s="8"/>
      <c r="L991" s="8"/>
      <c r="M991" s="8"/>
      <c r="N991" s="8"/>
      <c r="O991" s="8"/>
      <c r="P991" s="8"/>
      <c r="Q991" s="8"/>
      <c r="R991" s="9"/>
      <c r="S991" s="8"/>
      <c r="T991" s="9"/>
      <c r="U991" s="10" t="str">
        <f aca="true">IF(B991="","",IF(OR(P991&lt;&gt;"",I991="می‌باشد"),"بسته",IF(AND(L991&lt;&gt;"",W991=""),"خطای فرمت تاریخ ایجاد",IF(AND(H991&lt;&gt;"",AA991=""),"خطای فرمت مهلت",IF(AND(H991&lt;&gt;"",AD991&lt;&gt;"",TODAY()&gt;AD991),"تاخیر",IF(L991&lt;&gt;"","در حال انجام",""))))))</f>
        <v/>
      </c>
      <c r="V991" s="7" t="n">
        <f aca="true">IF(U991="تاخیر",TODAY()-AD991,IF(AND(U991="بسته",AH991&lt;&gt;"",AD991&lt;&gt;"",AH991&gt;AD991),AH991-AD991,0))</f>
        <v>0</v>
      </c>
      <c r="W991" s="7" t="str">
        <f aca="false">IF(L991="","",VALUE(LEFT(L991,FIND("/",L991)-1)))</f>
        <v/>
      </c>
      <c r="X991" s="7" t="str">
        <f aca="false">IF(L991="","",VALUE(MID(L991,FIND("/",L991)+1,FIND("/",L991,FIND("/",L991)+1)-FIND("/",L991)-1)))</f>
        <v/>
      </c>
      <c r="Y991" s="7" t="str">
        <f aca="false">IF(L991="","",VALUE(MID(L991,FIND("/",L991,FIND("/",L991)+1)+1,LEN(L991)-FIND("/",L991,FIND("/",L991)+1))))</f>
        <v/>
      </c>
      <c r="Z991" s="7" t="str">
        <f aca="false">IF(OR(L991="",W991=""),"",IFERROR(INDEX('لیست‌ها'!$Q$3:$Q$53,MATCH(W991,'لیست‌ها'!$P$3:$P$53,0))+IF(X991&lt;=6,(X991-1)*31+Y991,IF(X991&lt;=11,186+(X991-7)*30+Y991,336+Y991))-1,""))</f>
        <v/>
      </c>
      <c r="AA991" s="7" t="str">
        <f aca="false">IF(H991="","",VALUE(LEFT(H991,FIND("/",H991)-1)))</f>
        <v/>
      </c>
      <c r="AB991" s="7" t="str">
        <f aca="false">IF(H991="","",VALUE(MID(H991,FIND("/",H991)+1,FIND("/",H991,FIND("/",H991)+1)-FIND("/",H991)-1)))</f>
        <v/>
      </c>
      <c r="AC991" s="7" t="str">
        <f aca="false">IF(H991="","",VALUE(MID(H991,FIND("/",H991,FIND("/",H991)+1)+1,LEN(H991)-FIND("/",H991,FIND("/",H991)+1))))</f>
        <v/>
      </c>
      <c r="AD991" s="7" t="str">
        <f aca="false">IF(OR(H991="",AA991=""),"",IFERROR(INDEX('لیست‌ها'!$Q$3:$Q$53,MATCH(AA991,'لیست‌ها'!$P$3:$P$53,0))+IF(AB991&lt;=6,(AB991-1)*31+AC991,IF(AB991&lt;=11,186+(AB991-7)*30+AC991,336+AC991))-1,""))</f>
        <v/>
      </c>
      <c r="AE991" s="7" t="str">
        <f aca="false">IF(P991="","",VALUE(LEFT(P991,FIND("/",P991)-1)))</f>
        <v/>
      </c>
      <c r="AF991" s="7" t="str">
        <f aca="false">IF(P991="","",VALUE(MID(P991,FIND("/",P991)+1,FIND("/",P991,FIND("/",P991)+1)-FIND("/",P991)-1)))</f>
        <v/>
      </c>
      <c r="AG991" s="7" t="str">
        <f aca="false">IF(P991="","",VALUE(MID(P991,FIND("/",P991,FIND("/",P991)+1)+1,LEN(P991)-FIND("/",P991,FIND("/",P991)+1))))</f>
        <v/>
      </c>
      <c r="AH991" s="7" t="str">
        <f aca="false">IF(OR(P991="",AE991=""),"",IFERROR(INDEX('لیست‌ها'!$Q$3:$Q$53,MATCH(AE991,'لیست‌ها'!$P$3:$P$53,0))+IF(AF991&lt;=6,(AF991-1)*31+AG991,IF(AF991&lt;=11,186+(AF991-7)*30+AG991,336+AG991))-1,""))</f>
        <v/>
      </c>
      <c r="AI991" s="7" t="str">
        <f aca="false">IF(W991="","",W991&amp;"-"&amp;TEXT(X991,"00"))</f>
        <v/>
      </c>
      <c r="AJ991" s="7" t="str">
        <f aca="false">IF(W991="","",W991*12+X991)</f>
        <v/>
      </c>
      <c r="AK991" s="7" t="str">
        <f aca="false">IF(U991="تاخیر",V991+ROW()/100000,"")</f>
        <v/>
      </c>
    </row>
    <row r="992" customFormat="false" ht="15" hidden="false" customHeight="false" outlineLevel="0" collapsed="false">
      <c r="A992" s="7" t="str">
        <f aca="false">IF(B992="","",ROW()-3)</f>
        <v/>
      </c>
      <c r="B992" s="8"/>
      <c r="C992" s="8"/>
      <c r="D992" s="8"/>
      <c r="E992" s="9"/>
      <c r="F992" s="9"/>
      <c r="G992" s="8"/>
      <c r="H992" s="8"/>
      <c r="I992" s="8"/>
      <c r="J992" s="9"/>
      <c r="K992" s="8"/>
      <c r="L992" s="8"/>
      <c r="M992" s="8"/>
      <c r="N992" s="8"/>
      <c r="O992" s="8"/>
      <c r="P992" s="8"/>
      <c r="Q992" s="8"/>
      <c r="R992" s="9"/>
      <c r="S992" s="8"/>
      <c r="T992" s="9"/>
      <c r="U992" s="10" t="str">
        <f aca="true">IF(B992="","",IF(OR(P992&lt;&gt;"",I992="می‌باشد"),"بسته",IF(AND(L992&lt;&gt;"",W992=""),"خطای فرمت تاریخ ایجاد",IF(AND(H992&lt;&gt;"",AA992=""),"خطای فرمت مهلت",IF(AND(H992&lt;&gt;"",AD992&lt;&gt;"",TODAY()&gt;AD992),"تاخیر",IF(L992&lt;&gt;"","در حال انجام",""))))))</f>
        <v/>
      </c>
      <c r="V992" s="7" t="n">
        <f aca="true">IF(U992="تاخیر",TODAY()-AD992,IF(AND(U992="بسته",AH992&lt;&gt;"",AD992&lt;&gt;"",AH992&gt;AD992),AH992-AD992,0))</f>
        <v>0</v>
      </c>
      <c r="W992" s="7" t="str">
        <f aca="false">IF(L992="","",VALUE(LEFT(L992,FIND("/",L992)-1)))</f>
        <v/>
      </c>
      <c r="X992" s="7" t="str">
        <f aca="false">IF(L992="","",VALUE(MID(L992,FIND("/",L992)+1,FIND("/",L992,FIND("/",L992)+1)-FIND("/",L992)-1)))</f>
        <v/>
      </c>
      <c r="Y992" s="7" t="str">
        <f aca="false">IF(L992="","",VALUE(MID(L992,FIND("/",L992,FIND("/",L992)+1)+1,LEN(L992)-FIND("/",L992,FIND("/",L992)+1))))</f>
        <v/>
      </c>
      <c r="Z992" s="7" t="str">
        <f aca="false">IF(OR(L992="",W992=""),"",IFERROR(INDEX('لیست‌ها'!$Q$3:$Q$53,MATCH(W992,'لیست‌ها'!$P$3:$P$53,0))+IF(X992&lt;=6,(X992-1)*31+Y992,IF(X992&lt;=11,186+(X992-7)*30+Y992,336+Y992))-1,""))</f>
        <v/>
      </c>
      <c r="AA992" s="7" t="str">
        <f aca="false">IF(H992="","",VALUE(LEFT(H992,FIND("/",H992)-1)))</f>
        <v/>
      </c>
      <c r="AB992" s="7" t="str">
        <f aca="false">IF(H992="","",VALUE(MID(H992,FIND("/",H992)+1,FIND("/",H992,FIND("/",H992)+1)-FIND("/",H992)-1)))</f>
        <v/>
      </c>
      <c r="AC992" s="7" t="str">
        <f aca="false">IF(H992="","",VALUE(MID(H992,FIND("/",H992,FIND("/",H992)+1)+1,LEN(H992)-FIND("/",H992,FIND("/",H992)+1))))</f>
        <v/>
      </c>
      <c r="AD992" s="7" t="str">
        <f aca="false">IF(OR(H992="",AA992=""),"",IFERROR(INDEX('لیست‌ها'!$Q$3:$Q$53,MATCH(AA992,'لیست‌ها'!$P$3:$P$53,0))+IF(AB992&lt;=6,(AB992-1)*31+AC992,IF(AB992&lt;=11,186+(AB992-7)*30+AC992,336+AC992))-1,""))</f>
        <v/>
      </c>
      <c r="AE992" s="7" t="str">
        <f aca="false">IF(P992="","",VALUE(LEFT(P992,FIND("/",P992)-1)))</f>
        <v/>
      </c>
      <c r="AF992" s="7" t="str">
        <f aca="false">IF(P992="","",VALUE(MID(P992,FIND("/",P992)+1,FIND("/",P992,FIND("/",P992)+1)-FIND("/",P992)-1)))</f>
        <v/>
      </c>
      <c r="AG992" s="7" t="str">
        <f aca="false">IF(P992="","",VALUE(MID(P992,FIND("/",P992,FIND("/",P992)+1)+1,LEN(P992)-FIND("/",P992,FIND("/",P992)+1))))</f>
        <v/>
      </c>
      <c r="AH992" s="7" t="str">
        <f aca="false">IF(OR(P992="",AE992=""),"",IFERROR(INDEX('لیست‌ها'!$Q$3:$Q$53,MATCH(AE992,'لیست‌ها'!$P$3:$P$53,0))+IF(AF992&lt;=6,(AF992-1)*31+AG992,IF(AF992&lt;=11,186+(AF992-7)*30+AG992,336+AG992))-1,""))</f>
        <v/>
      </c>
      <c r="AI992" s="7" t="str">
        <f aca="false">IF(W992="","",W992&amp;"-"&amp;TEXT(X992,"00"))</f>
        <v/>
      </c>
      <c r="AJ992" s="7" t="str">
        <f aca="false">IF(W992="","",W992*12+X992)</f>
        <v/>
      </c>
      <c r="AK992" s="7" t="str">
        <f aca="false">IF(U992="تاخیر",V992+ROW()/100000,"")</f>
        <v/>
      </c>
    </row>
    <row r="993" customFormat="false" ht="15" hidden="false" customHeight="false" outlineLevel="0" collapsed="false">
      <c r="A993" s="7" t="str">
        <f aca="false">IF(B993="","",ROW()-3)</f>
        <v/>
      </c>
      <c r="B993" s="8"/>
      <c r="C993" s="8"/>
      <c r="D993" s="8"/>
      <c r="E993" s="9"/>
      <c r="F993" s="9"/>
      <c r="G993" s="8"/>
      <c r="H993" s="8"/>
      <c r="I993" s="8"/>
      <c r="J993" s="9"/>
      <c r="K993" s="8"/>
      <c r="L993" s="8"/>
      <c r="M993" s="8"/>
      <c r="N993" s="8"/>
      <c r="O993" s="8"/>
      <c r="P993" s="8"/>
      <c r="Q993" s="8"/>
      <c r="R993" s="9"/>
      <c r="S993" s="8"/>
      <c r="T993" s="9"/>
      <c r="U993" s="10" t="str">
        <f aca="true">IF(B993="","",IF(OR(P993&lt;&gt;"",I993="می‌باشد"),"بسته",IF(AND(L993&lt;&gt;"",W993=""),"خطای فرمت تاریخ ایجاد",IF(AND(H993&lt;&gt;"",AA993=""),"خطای فرمت مهلت",IF(AND(H993&lt;&gt;"",AD993&lt;&gt;"",TODAY()&gt;AD993),"تاخیر",IF(L993&lt;&gt;"","در حال انجام",""))))))</f>
        <v/>
      </c>
      <c r="V993" s="7" t="n">
        <f aca="true">IF(U993="تاخیر",TODAY()-AD993,IF(AND(U993="بسته",AH993&lt;&gt;"",AD993&lt;&gt;"",AH993&gt;AD993),AH993-AD993,0))</f>
        <v>0</v>
      </c>
      <c r="W993" s="7" t="str">
        <f aca="false">IF(L993="","",VALUE(LEFT(L993,FIND("/",L993)-1)))</f>
        <v/>
      </c>
      <c r="X993" s="7" t="str">
        <f aca="false">IF(L993="","",VALUE(MID(L993,FIND("/",L993)+1,FIND("/",L993,FIND("/",L993)+1)-FIND("/",L993)-1)))</f>
        <v/>
      </c>
      <c r="Y993" s="7" t="str">
        <f aca="false">IF(L993="","",VALUE(MID(L993,FIND("/",L993,FIND("/",L993)+1)+1,LEN(L993)-FIND("/",L993,FIND("/",L993)+1))))</f>
        <v/>
      </c>
      <c r="Z993" s="7" t="str">
        <f aca="false">IF(OR(L993="",W993=""),"",IFERROR(INDEX('لیست‌ها'!$Q$3:$Q$53,MATCH(W993,'لیست‌ها'!$P$3:$P$53,0))+IF(X993&lt;=6,(X993-1)*31+Y993,IF(X993&lt;=11,186+(X993-7)*30+Y993,336+Y993))-1,""))</f>
        <v/>
      </c>
      <c r="AA993" s="7" t="str">
        <f aca="false">IF(H993="","",VALUE(LEFT(H993,FIND("/",H993)-1)))</f>
        <v/>
      </c>
      <c r="AB993" s="7" t="str">
        <f aca="false">IF(H993="","",VALUE(MID(H993,FIND("/",H993)+1,FIND("/",H993,FIND("/",H993)+1)-FIND("/",H993)-1)))</f>
        <v/>
      </c>
      <c r="AC993" s="7" t="str">
        <f aca="false">IF(H993="","",VALUE(MID(H993,FIND("/",H993,FIND("/",H993)+1)+1,LEN(H993)-FIND("/",H993,FIND("/",H993)+1))))</f>
        <v/>
      </c>
      <c r="AD993" s="7" t="str">
        <f aca="false">IF(OR(H993="",AA993=""),"",IFERROR(INDEX('لیست‌ها'!$Q$3:$Q$53,MATCH(AA993,'لیست‌ها'!$P$3:$P$53,0))+IF(AB993&lt;=6,(AB993-1)*31+AC993,IF(AB993&lt;=11,186+(AB993-7)*30+AC993,336+AC993))-1,""))</f>
        <v/>
      </c>
      <c r="AE993" s="7" t="str">
        <f aca="false">IF(P993="","",VALUE(LEFT(P993,FIND("/",P993)-1)))</f>
        <v/>
      </c>
      <c r="AF993" s="7" t="str">
        <f aca="false">IF(P993="","",VALUE(MID(P993,FIND("/",P993)+1,FIND("/",P993,FIND("/",P993)+1)-FIND("/",P993)-1)))</f>
        <v/>
      </c>
      <c r="AG993" s="7" t="str">
        <f aca="false">IF(P993="","",VALUE(MID(P993,FIND("/",P993,FIND("/",P993)+1)+1,LEN(P993)-FIND("/",P993,FIND("/",P993)+1))))</f>
        <v/>
      </c>
      <c r="AH993" s="7" t="str">
        <f aca="false">IF(OR(P993="",AE993=""),"",IFERROR(INDEX('لیست‌ها'!$Q$3:$Q$53,MATCH(AE993,'لیست‌ها'!$P$3:$P$53,0))+IF(AF993&lt;=6,(AF993-1)*31+AG993,IF(AF993&lt;=11,186+(AF993-7)*30+AG993,336+AG993))-1,""))</f>
        <v/>
      </c>
      <c r="AI993" s="7" t="str">
        <f aca="false">IF(W993="","",W993&amp;"-"&amp;TEXT(X993,"00"))</f>
        <v/>
      </c>
      <c r="AJ993" s="7" t="str">
        <f aca="false">IF(W993="","",W993*12+X993)</f>
        <v/>
      </c>
      <c r="AK993" s="7" t="str">
        <f aca="false">IF(U993="تاخیر",V993+ROW()/100000,"")</f>
        <v/>
      </c>
    </row>
    <row r="994" customFormat="false" ht="15" hidden="false" customHeight="false" outlineLevel="0" collapsed="false">
      <c r="A994" s="7" t="str">
        <f aca="false">IF(B994="","",ROW()-3)</f>
        <v/>
      </c>
      <c r="B994" s="8"/>
      <c r="C994" s="8"/>
      <c r="D994" s="8"/>
      <c r="E994" s="9"/>
      <c r="F994" s="9"/>
      <c r="G994" s="8"/>
      <c r="H994" s="8"/>
      <c r="I994" s="8"/>
      <c r="J994" s="9"/>
      <c r="K994" s="8"/>
      <c r="L994" s="8"/>
      <c r="M994" s="8"/>
      <c r="N994" s="8"/>
      <c r="O994" s="8"/>
      <c r="P994" s="8"/>
      <c r="Q994" s="8"/>
      <c r="R994" s="9"/>
      <c r="S994" s="8"/>
      <c r="T994" s="9"/>
      <c r="U994" s="10" t="str">
        <f aca="true">IF(B994="","",IF(OR(P994&lt;&gt;"",I994="می‌باشد"),"بسته",IF(AND(L994&lt;&gt;"",W994=""),"خطای فرمت تاریخ ایجاد",IF(AND(H994&lt;&gt;"",AA994=""),"خطای فرمت مهلت",IF(AND(H994&lt;&gt;"",AD994&lt;&gt;"",TODAY()&gt;AD994),"تاخیر",IF(L994&lt;&gt;"","در حال انجام",""))))))</f>
        <v/>
      </c>
      <c r="V994" s="7" t="n">
        <f aca="true">IF(U994="تاخیر",TODAY()-AD994,IF(AND(U994="بسته",AH994&lt;&gt;"",AD994&lt;&gt;"",AH994&gt;AD994),AH994-AD994,0))</f>
        <v>0</v>
      </c>
      <c r="W994" s="7" t="str">
        <f aca="false">IF(L994="","",VALUE(LEFT(L994,FIND("/",L994)-1)))</f>
        <v/>
      </c>
      <c r="X994" s="7" t="str">
        <f aca="false">IF(L994="","",VALUE(MID(L994,FIND("/",L994)+1,FIND("/",L994,FIND("/",L994)+1)-FIND("/",L994)-1)))</f>
        <v/>
      </c>
      <c r="Y994" s="7" t="str">
        <f aca="false">IF(L994="","",VALUE(MID(L994,FIND("/",L994,FIND("/",L994)+1)+1,LEN(L994)-FIND("/",L994,FIND("/",L994)+1))))</f>
        <v/>
      </c>
      <c r="Z994" s="7" t="str">
        <f aca="false">IF(OR(L994="",W994=""),"",IFERROR(INDEX('لیست‌ها'!$Q$3:$Q$53,MATCH(W994,'لیست‌ها'!$P$3:$P$53,0))+IF(X994&lt;=6,(X994-1)*31+Y994,IF(X994&lt;=11,186+(X994-7)*30+Y994,336+Y994))-1,""))</f>
        <v/>
      </c>
      <c r="AA994" s="7" t="str">
        <f aca="false">IF(H994="","",VALUE(LEFT(H994,FIND("/",H994)-1)))</f>
        <v/>
      </c>
      <c r="AB994" s="7" t="str">
        <f aca="false">IF(H994="","",VALUE(MID(H994,FIND("/",H994)+1,FIND("/",H994,FIND("/",H994)+1)-FIND("/",H994)-1)))</f>
        <v/>
      </c>
      <c r="AC994" s="7" t="str">
        <f aca="false">IF(H994="","",VALUE(MID(H994,FIND("/",H994,FIND("/",H994)+1)+1,LEN(H994)-FIND("/",H994,FIND("/",H994)+1))))</f>
        <v/>
      </c>
      <c r="AD994" s="7" t="str">
        <f aca="false">IF(OR(H994="",AA994=""),"",IFERROR(INDEX('لیست‌ها'!$Q$3:$Q$53,MATCH(AA994,'لیست‌ها'!$P$3:$P$53,0))+IF(AB994&lt;=6,(AB994-1)*31+AC994,IF(AB994&lt;=11,186+(AB994-7)*30+AC994,336+AC994))-1,""))</f>
        <v/>
      </c>
      <c r="AE994" s="7" t="str">
        <f aca="false">IF(P994="","",VALUE(LEFT(P994,FIND("/",P994)-1)))</f>
        <v/>
      </c>
      <c r="AF994" s="7" t="str">
        <f aca="false">IF(P994="","",VALUE(MID(P994,FIND("/",P994)+1,FIND("/",P994,FIND("/",P994)+1)-FIND("/",P994)-1)))</f>
        <v/>
      </c>
      <c r="AG994" s="7" t="str">
        <f aca="false">IF(P994="","",VALUE(MID(P994,FIND("/",P994,FIND("/",P994)+1)+1,LEN(P994)-FIND("/",P994,FIND("/",P994)+1))))</f>
        <v/>
      </c>
      <c r="AH994" s="7" t="str">
        <f aca="false">IF(OR(P994="",AE994=""),"",IFERROR(INDEX('لیست‌ها'!$Q$3:$Q$53,MATCH(AE994,'لیست‌ها'!$P$3:$P$53,0))+IF(AF994&lt;=6,(AF994-1)*31+AG994,IF(AF994&lt;=11,186+(AF994-7)*30+AG994,336+AG994))-1,""))</f>
        <v/>
      </c>
      <c r="AI994" s="7" t="str">
        <f aca="false">IF(W994="","",W994&amp;"-"&amp;TEXT(X994,"00"))</f>
        <v/>
      </c>
      <c r="AJ994" s="7" t="str">
        <f aca="false">IF(W994="","",W994*12+X994)</f>
        <v/>
      </c>
      <c r="AK994" s="7" t="str">
        <f aca="false">IF(U994="تاخیر",V994+ROW()/100000,"")</f>
        <v/>
      </c>
    </row>
    <row r="995" customFormat="false" ht="15" hidden="false" customHeight="false" outlineLevel="0" collapsed="false">
      <c r="A995" s="7" t="str">
        <f aca="false">IF(B995="","",ROW()-3)</f>
        <v/>
      </c>
      <c r="B995" s="8"/>
      <c r="C995" s="8"/>
      <c r="D995" s="8"/>
      <c r="E995" s="9"/>
      <c r="F995" s="9"/>
      <c r="G995" s="8"/>
      <c r="H995" s="8"/>
      <c r="I995" s="8"/>
      <c r="J995" s="9"/>
      <c r="K995" s="8"/>
      <c r="L995" s="8"/>
      <c r="M995" s="8"/>
      <c r="N995" s="8"/>
      <c r="O995" s="8"/>
      <c r="P995" s="8"/>
      <c r="Q995" s="8"/>
      <c r="R995" s="9"/>
      <c r="S995" s="8"/>
      <c r="T995" s="9"/>
      <c r="U995" s="10" t="str">
        <f aca="true">IF(B995="","",IF(OR(P995&lt;&gt;"",I995="می‌باشد"),"بسته",IF(AND(L995&lt;&gt;"",W995=""),"خطای فرمت تاریخ ایجاد",IF(AND(H995&lt;&gt;"",AA995=""),"خطای فرمت مهلت",IF(AND(H995&lt;&gt;"",AD995&lt;&gt;"",TODAY()&gt;AD995),"تاخیر",IF(L995&lt;&gt;"","در حال انجام",""))))))</f>
        <v/>
      </c>
      <c r="V995" s="7" t="n">
        <f aca="true">IF(U995="تاخیر",TODAY()-AD995,IF(AND(U995="بسته",AH995&lt;&gt;"",AD995&lt;&gt;"",AH995&gt;AD995),AH995-AD995,0))</f>
        <v>0</v>
      </c>
      <c r="W995" s="7" t="str">
        <f aca="false">IF(L995="","",VALUE(LEFT(L995,FIND("/",L995)-1)))</f>
        <v/>
      </c>
      <c r="X995" s="7" t="str">
        <f aca="false">IF(L995="","",VALUE(MID(L995,FIND("/",L995)+1,FIND("/",L995,FIND("/",L995)+1)-FIND("/",L995)-1)))</f>
        <v/>
      </c>
      <c r="Y995" s="7" t="str">
        <f aca="false">IF(L995="","",VALUE(MID(L995,FIND("/",L995,FIND("/",L995)+1)+1,LEN(L995)-FIND("/",L995,FIND("/",L995)+1))))</f>
        <v/>
      </c>
      <c r="Z995" s="7" t="str">
        <f aca="false">IF(OR(L995="",W995=""),"",IFERROR(INDEX('لیست‌ها'!$Q$3:$Q$53,MATCH(W995,'لیست‌ها'!$P$3:$P$53,0))+IF(X995&lt;=6,(X995-1)*31+Y995,IF(X995&lt;=11,186+(X995-7)*30+Y995,336+Y995))-1,""))</f>
        <v/>
      </c>
      <c r="AA995" s="7" t="str">
        <f aca="false">IF(H995="","",VALUE(LEFT(H995,FIND("/",H995)-1)))</f>
        <v/>
      </c>
      <c r="AB995" s="7" t="str">
        <f aca="false">IF(H995="","",VALUE(MID(H995,FIND("/",H995)+1,FIND("/",H995,FIND("/",H995)+1)-FIND("/",H995)-1)))</f>
        <v/>
      </c>
      <c r="AC995" s="7" t="str">
        <f aca="false">IF(H995="","",VALUE(MID(H995,FIND("/",H995,FIND("/",H995)+1)+1,LEN(H995)-FIND("/",H995,FIND("/",H995)+1))))</f>
        <v/>
      </c>
      <c r="AD995" s="7" t="str">
        <f aca="false">IF(OR(H995="",AA995=""),"",IFERROR(INDEX('لیست‌ها'!$Q$3:$Q$53,MATCH(AA995,'لیست‌ها'!$P$3:$P$53,0))+IF(AB995&lt;=6,(AB995-1)*31+AC995,IF(AB995&lt;=11,186+(AB995-7)*30+AC995,336+AC995))-1,""))</f>
        <v/>
      </c>
      <c r="AE995" s="7" t="str">
        <f aca="false">IF(P995="","",VALUE(LEFT(P995,FIND("/",P995)-1)))</f>
        <v/>
      </c>
      <c r="AF995" s="7" t="str">
        <f aca="false">IF(P995="","",VALUE(MID(P995,FIND("/",P995)+1,FIND("/",P995,FIND("/",P995)+1)-FIND("/",P995)-1)))</f>
        <v/>
      </c>
      <c r="AG995" s="7" t="str">
        <f aca="false">IF(P995="","",VALUE(MID(P995,FIND("/",P995,FIND("/",P995)+1)+1,LEN(P995)-FIND("/",P995,FIND("/",P995)+1))))</f>
        <v/>
      </c>
      <c r="AH995" s="7" t="str">
        <f aca="false">IF(OR(P995="",AE995=""),"",IFERROR(INDEX('لیست‌ها'!$Q$3:$Q$53,MATCH(AE995,'لیست‌ها'!$P$3:$P$53,0))+IF(AF995&lt;=6,(AF995-1)*31+AG995,IF(AF995&lt;=11,186+(AF995-7)*30+AG995,336+AG995))-1,""))</f>
        <v/>
      </c>
      <c r="AI995" s="7" t="str">
        <f aca="false">IF(W995="","",W995&amp;"-"&amp;TEXT(X995,"00"))</f>
        <v/>
      </c>
      <c r="AJ995" s="7" t="str">
        <f aca="false">IF(W995="","",W995*12+X995)</f>
        <v/>
      </c>
      <c r="AK995" s="7" t="str">
        <f aca="false">IF(U995="تاخیر",V995+ROW()/100000,"")</f>
        <v/>
      </c>
    </row>
    <row r="996" customFormat="false" ht="15" hidden="false" customHeight="false" outlineLevel="0" collapsed="false">
      <c r="A996" s="7" t="str">
        <f aca="false">IF(B996="","",ROW()-3)</f>
        <v/>
      </c>
      <c r="B996" s="8"/>
      <c r="C996" s="8"/>
      <c r="D996" s="8"/>
      <c r="E996" s="9"/>
      <c r="F996" s="9"/>
      <c r="G996" s="8"/>
      <c r="H996" s="8"/>
      <c r="I996" s="8"/>
      <c r="J996" s="9"/>
      <c r="K996" s="8"/>
      <c r="L996" s="8"/>
      <c r="M996" s="8"/>
      <c r="N996" s="8"/>
      <c r="O996" s="8"/>
      <c r="P996" s="8"/>
      <c r="Q996" s="8"/>
      <c r="R996" s="9"/>
      <c r="S996" s="8"/>
      <c r="T996" s="9"/>
      <c r="U996" s="10" t="str">
        <f aca="true">IF(B996="","",IF(OR(P996&lt;&gt;"",I996="می‌باشد"),"بسته",IF(AND(L996&lt;&gt;"",W996=""),"خطای فرمت تاریخ ایجاد",IF(AND(H996&lt;&gt;"",AA996=""),"خطای فرمت مهلت",IF(AND(H996&lt;&gt;"",AD996&lt;&gt;"",TODAY()&gt;AD996),"تاخیر",IF(L996&lt;&gt;"","در حال انجام",""))))))</f>
        <v/>
      </c>
      <c r="V996" s="7" t="n">
        <f aca="true">IF(U996="تاخیر",TODAY()-AD996,IF(AND(U996="بسته",AH996&lt;&gt;"",AD996&lt;&gt;"",AH996&gt;AD996),AH996-AD996,0))</f>
        <v>0</v>
      </c>
      <c r="W996" s="7" t="str">
        <f aca="false">IF(L996="","",VALUE(LEFT(L996,FIND("/",L996)-1)))</f>
        <v/>
      </c>
      <c r="X996" s="7" t="str">
        <f aca="false">IF(L996="","",VALUE(MID(L996,FIND("/",L996)+1,FIND("/",L996,FIND("/",L996)+1)-FIND("/",L996)-1)))</f>
        <v/>
      </c>
      <c r="Y996" s="7" t="str">
        <f aca="false">IF(L996="","",VALUE(MID(L996,FIND("/",L996,FIND("/",L996)+1)+1,LEN(L996)-FIND("/",L996,FIND("/",L996)+1))))</f>
        <v/>
      </c>
      <c r="Z996" s="7" t="str">
        <f aca="false">IF(OR(L996="",W996=""),"",IFERROR(INDEX('لیست‌ها'!$Q$3:$Q$53,MATCH(W996,'لیست‌ها'!$P$3:$P$53,0))+IF(X996&lt;=6,(X996-1)*31+Y996,IF(X996&lt;=11,186+(X996-7)*30+Y996,336+Y996))-1,""))</f>
        <v/>
      </c>
      <c r="AA996" s="7" t="str">
        <f aca="false">IF(H996="","",VALUE(LEFT(H996,FIND("/",H996)-1)))</f>
        <v/>
      </c>
      <c r="AB996" s="7" t="str">
        <f aca="false">IF(H996="","",VALUE(MID(H996,FIND("/",H996)+1,FIND("/",H996,FIND("/",H996)+1)-FIND("/",H996)-1)))</f>
        <v/>
      </c>
      <c r="AC996" s="7" t="str">
        <f aca="false">IF(H996="","",VALUE(MID(H996,FIND("/",H996,FIND("/",H996)+1)+1,LEN(H996)-FIND("/",H996,FIND("/",H996)+1))))</f>
        <v/>
      </c>
      <c r="AD996" s="7" t="str">
        <f aca="false">IF(OR(H996="",AA996=""),"",IFERROR(INDEX('لیست‌ها'!$Q$3:$Q$53,MATCH(AA996,'لیست‌ها'!$P$3:$P$53,0))+IF(AB996&lt;=6,(AB996-1)*31+AC996,IF(AB996&lt;=11,186+(AB996-7)*30+AC996,336+AC996))-1,""))</f>
        <v/>
      </c>
      <c r="AE996" s="7" t="str">
        <f aca="false">IF(P996="","",VALUE(LEFT(P996,FIND("/",P996)-1)))</f>
        <v/>
      </c>
      <c r="AF996" s="7" t="str">
        <f aca="false">IF(P996="","",VALUE(MID(P996,FIND("/",P996)+1,FIND("/",P996,FIND("/",P996)+1)-FIND("/",P996)-1)))</f>
        <v/>
      </c>
      <c r="AG996" s="7" t="str">
        <f aca="false">IF(P996="","",VALUE(MID(P996,FIND("/",P996,FIND("/",P996)+1)+1,LEN(P996)-FIND("/",P996,FIND("/",P996)+1))))</f>
        <v/>
      </c>
      <c r="AH996" s="7" t="str">
        <f aca="false">IF(OR(P996="",AE996=""),"",IFERROR(INDEX('لیست‌ها'!$Q$3:$Q$53,MATCH(AE996,'لیست‌ها'!$P$3:$P$53,0))+IF(AF996&lt;=6,(AF996-1)*31+AG996,IF(AF996&lt;=11,186+(AF996-7)*30+AG996,336+AG996))-1,""))</f>
        <v/>
      </c>
      <c r="AI996" s="7" t="str">
        <f aca="false">IF(W996="","",W996&amp;"-"&amp;TEXT(X996,"00"))</f>
        <v/>
      </c>
      <c r="AJ996" s="7" t="str">
        <f aca="false">IF(W996="","",W996*12+X996)</f>
        <v/>
      </c>
      <c r="AK996" s="7" t="str">
        <f aca="false">IF(U996="تاخیر",V996+ROW()/100000,"")</f>
        <v/>
      </c>
    </row>
    <row r="997" customFormat="false" ht="15" hidden="false" customHeight="false" outlineLevel="0" collapsed="false">
      <c r="A997" s="7" t="str">
        <f aca="false">IF(B997="","",ROW()-3)</f>
        <v/>
      </c>
      <c r="B997" s="8"/>
      <c r="C997" s="8"/>
      <c r="D997" s="8"/>
      <c r="E997" s="9"/>
      <c r="F997" s="9"/>
      <c r="G997" s="8"/>
      <c r="H997" s="8"/>
      <c r="I997" s="8"/>
      <c r="J997" s="9"/>
      <c r="K997" s="8"/>
      <c r="L997" s="8"/>
      <c r="M997" s="8"/>
      <c r="N997" s="8"/>
      <c r="O997" s="8"/>
      <c r="P997" s="8"/>
      <c r="Q997" s="8"/>
      <c r="R997" s="9"/>
      <c r="S997" s="8"/>
      <c r="T997" s="9"/>
      <c r="U997" s="10" t="str">
        <f aca="true">IF(B997="","",IF(OR(P997&lt;&gt;"",I997="می‌باشد"),"بسته",IF(AND(L997&lt;&gt;"",W997=""),"خطای فرمت تاریخ ایجاد",IF(AND(H997&lt;&gt;"",AA997=""),"خطای فرمت مهلت",IF(AND(H997&lt;&gt;"",AD997&lt;&gt;"",TODAY()&gt;AD997),"تاخیر",IF(L997&lt;&gt;"","در حال انجام",""))))))</f>
        <v/>
      </c>
      <c r="V997" s="7" t="n">
        <f aca="true">IF(U997="تاخیر",TODAY()-AD997,IF(AND(U997="بسته",AH997&lt;&gt;"",AD997&lt;&gt;"",AH997&gt;AD997),AH997-AD997,0))</f>
        <v>0</v>
      </c>
      <c r="W997" s="7" t="str">
        <f aca="false">IF(L997="","",VALUE(LEFT(L997,FIND("/",L997)-1)))</f>
        <v/>
      </c>
      <c r="X997" s="7" t="str">
        <f aca="false">IF(L997="","",VALUE(MID(L997,FIND("/",L997)+1,FIND("/",L997,FIND("/",L997)+1)-FIND("/",L997)-1)))</f>
        <v/>
      </c>
      <c r="Y997" s="7" t="str">
        <f aca="false">IF(L997="","",VALUE(MID(L997,FIND("/",L997,FIND("/",L997)+1)+1,LEN(L997)-FIND("/",L997,FIND("/",L997)+1))))</f>
        <v/>
      </c>
      <c r="Z997" s="7" t="str">
        <f aca="false">IF(OR(L997="",W997=""),"",IFERROR(INDEX('لیست‌ها'!$Q$3:$Q$53,MATCH(W997,'لیست‌ها'!$P$3:$P$53,0))+IF(X997&lt;=6,(X997-1)*31+Y997,IF(X997&lt;=11,186+(X997-7)*30+Y997,336+Y997))-1,""))</f>
        <v/>
      </c>
      <c r="AA997" s="7" t="str">
        <f aca="false">IF(H997="","",VALUE(LEFT(H997,FIND("/",H997)-1)))</f>
        <v/>
      </c>
      <c r="AB997" s="7" t="str">
        <f aca="false">IF(H997="","",VALUE(MID(H997,FIND("/",H997)+1,FIND("/",H997,FIND("/",H997)+1)-FIND("/",H997)-1)))</f>
        <v/>
      </c>
      <c r="AC997" s="7" t="str">
        <f aca="false">IF(H997="","",VALUE(MID(H997,FIND("/",H997,FIND("/",H997)+1)+1,LEN(H997)-FIND("/",H997,FIND("/",H997)+1))))</f>
        <v/>
      </c>
      <c r="AD997" s="7" t="str">
        <f aca="false">IF(OR(H997="",AA997=""),"",IFERROR(INDEX('لیست‌ها'!$Q$3:$Q$53,MATCH(AA997,'لیست‌ها'!$P$3:$P$53,0))+IF(AB997&lt;=6,(AB997-1)*31+AC997,IF(AB997&lt;=11,186+(AB997-7)*30+AC997,336+AC997))-1,""))</f>
        <v/>
      </c>
      <c r="AE997" s="7" t="str">
        <f aca="false">IF(P997="","",VALUE(LEFT(P997,FIND("/",P997)-1)))</f>
        <v/>
      </c>
      <c r="AF997" s="7" t="str">
        <f aca="false">IF(P997="","",VALUE(MID(P997,FIND("/",P997)+1,FIND("/",P997,FIND("/",P997)+1)-FIND("/",P997)-1)))</f>
        <v/>
      </c>
      <c r="AG997" s="7" t="str">
        <f aca="false">IF(P997="","",VALUE(MID(P997,FIND("/",P997,FIND("/",P997)+1)+1,LEN(P997)-FIND("/",P997,FIND("/",P997)+1))))</f>
        <v/>
      </c>
      <c r="AH997" s="7" t="str">
        <f aca="false">IF(OR(P997="",AE997=""),"",IFERROR(INDEX('لیست‌ها'!$Q$3:$Q$53,MATCH(AE997,'لیست‌ها'!$P$3:$P$53,0))+IF(AF997&lt;=6,(AF997-1)*31+AG997,IF(AF997&lt;=11,186+(AF997-7)*30+AG997,336+AG997))-1,""))</f>
        <v/>
      </c>
      <c r="AI997" s="7" t="str">
        <f aca="false">IF(W997="","",W997&amp;"-"&amp;TEXT(X997,"00"))</f>
        <v/>
      </c>
      <c r="AJ997" s="7" t="str">
        <f aca="false">IF(W997="","",W997*12+X997)</f>
        <v/>
      </c>
      <c r="AK997" s="7" t="str">
        <f aca="false">IF(U997="تاخیر",V997+ROW()/100000,"")</f>
        <v/>
      </c>
    </row>
    <row r="998" customFormat="false" ht="15" hidden="false" customHeight="false" outlineLevel="0" collapsed="false">
      <c r="A998" s="7" t="str">
        <f aca="false">IF(B998="","",ROW()-3)</f>
        <v/>
      </c>
      <c r="B998" s="8"/>
      <c r="C998" s="8"/>
      <c r="D998" s="8"/>
      <c r="E998" s="9"/>
      <c r="F998" s="9"/>
      <c r="G998" s="8"/>
      <c r="H998" s="8"/>
      <c r="I998" s="8"/>
      <c r="J998" s="9"/>
      <c r="K998" s="8"/>
      <c r="L998" s="8"/>
      <c r="M998" s="8"/>
      <c r="N998" s="8"/>
      <c r="O998" s="8"/>
      <c r="P998" s="8"/>
      <c r="Q998" s="8"/>
      <c r="R998" s="9"/>
      <c r="S998" s="8"/>
      <c r="T998" s="9"/>
      <c r="U998" s="10" t="str">
        <f aca="true">IF(B998="","",IF(OR(P998&lt;&gt;"",I998="می‌باشد"),"بسته",IF(AND(L998&lt;&gt;"",W998=""),"خطای فرمت تاریخ ایجاد",IF(AND(H998&lt;&gt;"",AA998=""),"خطای فرمت مهلت",IF(AND(H998&lt;&gt;"",AD998&lt;&gt;"",TODAY()&gt;AD998),"تاخیر",IF(L998&lt;&gt;"","در حال انجام",""))))))</f>
        <v/>
      </c>
      <c r="V998" s="7" t="n">
        <f aca="true">IF(U998="تاخیر",TODAY()-AD998,IF(AND(U998="بسته",AH998&lt;&gt;"",AD998&lt;&gt;"",AH998&gt;AD998),AH998-AD998,0))</f>
        <v>0</v>
      </c>
      <c r="W998" s="7" t="str">
        <f aca="false">IF(L998="","",VALUE(LEFT(L998,FIND("/",L998)-1)))</f>
        <v/>
      </c>
      <c r="X998" s="7" t="str">
        <f aca="false">IF(L998="","",VALUE(MID(L998,FIND("/",L998)+1,FIND("/",L998,FIND("/",L998)+1)-FIND("/",L998)-1)))</f>
        <v/>
      </c>
      <c r="Y998" s="7" t="str">
        <f aca="false">IF(L998="","",VALUE(MID(L998,FIND("/",L998,FIND("/",L998)+1)+1,LEN(L998)-FIND("/",L998,FIND("/",L998)+1))))</f>
        <v/>
      </c>
      <c r="Z998" s="7" t="str">
        <f aca="false">IF(OR(L998="",W998=""),"",IFERROR(INDEX('لیست‌ها'!$Q$3:$Q$53,MATCH(W998,'لیست‌ها'!$P$3:$P$53,0))+IF(X998&lt;=6,(X998-1)*31+Y998,IF(X998&lt;=11,186+(X998-7)*30+Y998,336+Y998))-1,""))</f>
        <v/>
      </c>
      <c r="AA998" s="7" t="str">
        <f aca="false">IF(H998="","",VALUE(LEFT(H998,FIND("/",H998)-1)))</f>
        <v/>
      </c>
      <c r="AB998" s="7" t="str">
        <f aca="false">IF(H998="","",VALUE(MID(H998,FIND("/",H998)+1,FIND("/",H998,FIND("/",H998)+1)-FIND("/",H998)-1)))</f>
        <v/>
      </c>
      <c r="AC998" s="7" t="str">
        <f aca="false">IF(H998="","",VALUE(MID(H998,FIND("/",H998,FIND("/",H998)+1)+1,LEN(H998)-FIND("/",H998,FIND("/",H998)+1))))</f>
        <v/>
      </c>
      <c r="AD998" s="7" t="str">
        <f aca="false">IF(OR(H998="",AA998=""),"",IFERROR(INDEX('لیست‌ها'!$Q$3:$Q$53,MATCH(AA998,'لیست‌ها'!$P$3:$P$53,0))+IF(AB998&lt;=6,(AB998-1)*31+AC998,IF(AB998&lt;=11,186+(AB998-7)*30+AC998,336+AC998))-1,""))</f>
        <v/>
      </c>
      <c r="AE998" s="7" t="str">
        <f aca="false">IF(P998="","",VALUE(LEFT(P998,FIND("/",P998)-1)))</f>
        <v/>
      </c>
      <c r="AF998" s="7" t="str">
        <f aca="false">IF(P998="","",VALUE(MID(P998,FIND("/",P998)+1,FIND("/",P998,FIND("/",P998)+1)-FIND("/",P998)-1)))</f>
        <v/>
      </c>
      <c r="AG998" s="7" t="str">
        <f aca="false">IF(P998="","",VALUE(MID(P998,FIND("/",P998,FIND("/",P998)+1)+1,LEN(P998)-FIND("/",P998,FIND("/",P998)+1))))</f>
        <v/>
      </c>
      <c r="AH998" s="7" t="str">
        <f aca="false">IF(OR(P998="",AE998=""),"",IFERROR(INDEX('لیست‌ها'!$Q$3:$Q$53,MATCH(AE998,'لیست‌ها'!$P$3:$P$53,0))+IF(AF998&lt;=6,(AF998-1)*31+AG998,IF(AF998&lt;=11,186+(AF998-7)*30+AG998,336+AG998))-1,""))</f>
        <v/>
      </c>
      <c r="AI998" s="7" t="str">
        <f aca="false">IF(W998="","",W998&amp;"-"&amp;TEXT(X998,"00"))</f>
        <v/>
      </c>
      <c r="AJ998" s="7" t="str">
        <f aca="false">IF(W998="","",W998*12+X998)</f>
        <v/>
      </c>
      <c r="AK998" s="7" t="str">
        <f aca="false">IF(U998="تاخیر",V998+ROW()/100000,"")</f>
        <v/>
      </c>
    </row>
    <row r="999" customFormat="false" ht="15" hidden="false" customHeight="false" outlineLevel="0" collapsed="false">
      <c r="A999" s="7" t="str">
        <f aca="false">IF(B999="","",ROW()-3)</f>
        <v/>
      </c>
      <c r="B999" s="8"/>
      <c r="C999" s="8"/>
      <c r="D999" s="8"/>
      <c r="E999" s="9"/>
      <c r="F999" s="9"/>
      <c r="G999" s="8"/>
      <c r="H999" s="8"/>
      <c r="I999" s="8"/>
      <c r="J999" s="9"/>
      <c r="K999" s="8"/>
      <c r="L999" s="8"/>
      <c r="M999" s="8"/>
      <c r="N999" s="8"/>
      <c r="O999" s="8"/>
      <c r="P999" s="8"/>
      <c r="Q999" s="8"/>
      <c r="R999" s="9"/>
      <c r="S999" s="8"/>
      <c r="T999" s="9"/>
      <c r="U999" s="10" t="str">
        <f aca="true">IF(B999="","",IF(OR(P999&lt;&gt;"",I999="می‌باشد"),"بسته",IF(AND(L999&lt;&gt;"",W999=""),"خطای فرمت تاریخ ایجاد",IF(AND(H999&lt;&gt;"",AA999=""),"خطای فرمت مهلت",IF(AND(H999&lt;&gt;"",AD999&lt;&gt;"",TODAY()&gt;AD999),"تاخیر",IF(L999&lt;&gt;"","در حال انجام",""))))))</f>
        <v/>
      </c>
      <c r="V999" s="7" t="n">
        <f aca="true">IF(U999="تاخیر",TODAY()-AD999,IF(AND(U999="بسته",AH999&lt;&gt;"",AD999&lt;&gt;"",AH999&gt;AD999),AH999-AD999,0))</f>
        <v>0</v>
      </c>
      <c r="W999" s="7" t="str">
        <f aca="false">IF(L999="","",VALUE(LEFT(L999,FIND("/",L999)-1)))</f>
        <v/>
      </c>
      <c r="X999" s="7" t="str">
        <f aca="false">IF(L999="","",VALUE(MID(L999,FIND("/",L999)+1,FIND("/",L999,FIND("/",L999)+1)-FIND("/",L999)-1)))</f>
        <v/>
      </c>
      <c r="Y999" s="7" t="str">
        <f aca="false">IF(L999="","",VALUE(MID(L999,FIND("/",L999,FIND("/",L999)+1)+1,LEN(L999)-FIND("/",L999,FIND("/",L999)+1))))</f>
        <v/>
      </c>
      <c r="Z999" s="7" t="str">
        <f aca="false">IF(OR(L999="",W999=""),"",IFERROR(INDEX('لیست‌ها'!$Q$3:$Q$53,MATCH(W999,'لیست‌ها'!$P$3:$P$53,0))+IF(X999&lt;=6,(X999-1)*31+Y999,IF(X999&lt;=11,186+(X999-7)*30+Y999,336+Y999))-1,""))</f>
        <v/>
      </c>
      <c r="AA999" s="7" t="str">
        <f aca="false">IF(H999="","",VALUE(LEFT(H999,FIND("/",H999)-1)))</f>
        <v/>
      </c>
      <c r="AB999" s="7" t="str">
        <f aca="false">IF(H999="","",VALUE(MID(H999,FIND("/",H999)+1,FIND("/",H999,FIND("/",H999)+1)-FIND("/",H999)-1)))</f>
        <v/>
      </c>
      <c r="AC999" s="7" t="str">
        <f aca="false">IF(H999="","",VALUE(MID(H999,FIND("/",H999,FIND("/",H999)+1)+1,LEN(H999)-FIND("/",H999,FIND("/",H999)+1))))</f>
        <v/>
      </c>
      <c r="AD999" s="7" t="str">
        <f aca="false">IF(OR(H999="",AA999=""),"",IFERROR(INDEX('لیست‌ها'!$Q$3:$Q$53,MATCH(AA999,'لیست‌ها'!$P$3:$P$53,0))+IF(AB999&lt;=6,(AB999-1)*31+AC999,IF(AB999&lt;=11,186+(AB999-7)*30+AC999,336+AC999))-1,""))</f>
        <v/>
      </c>
      <c r="AE999" s="7" t="str">
        <f aca="false">IF(P999="","",VALUE(LEFT(P999,FIND("/",P999)-1)))</f>
        <v/>
      </c>
      <c r="AF999" s="7" t="str">
        <f aca="false">IF(P999="","",VALUE(MID(P999,FIND("/",P999)+1,FIND("/",P999,FIND("/",P999)+1)-FIND("/",P999)-1)))</f>
        <v/>
      </c>
      <c r="AG999" s="7" t="str">
        <f aca="false">IF(P999="","",VALUE(MID(P999,FIND("/",P999,FIND("/",P999)+1)+1,LEN(P999)-FIND("/",P999,FIND("/",P999)+1))))</f>
        <v/>
      </c>
      <c r="AH999" s="7" t="str">
        <f aca="false">IF(OR(P999="",AE999=""),"",IFERROR(INDEX('لیست‌ها'!$Q$3:$Q$53,MATCH(AE999,'لیست‌ها'!$P$3:$P$53,0))+IF(AF999&lt;=6,(AF999-1)*31+AG999,IF(AF999&lt;=11,186+(AF999-7)*30+AG999,336+AG999))-1,""))</f>
        <v/>
      </c>
      <c r="AI999" s="7" t="str">
        <f aca="false">IF(W999="","",W999&amp;"-"&amp;TEXT(X999,"00"))</f>
        <v/>
      </c>
      <c r="AJ999" s="7" t="str">
        <f aca="false">IF(W999="","",W999*12+X999)</f>
        <v/>
      </c>
      <c r="AK999" s="7" t="str">
        <f aca="false">IF(U999="تاخیر",V999+ROW()/100000,"")</f>
        <v/>
      </c>
    </row>
    <row r="1000" customFormat="false" ht="15" hidden="false" customHeight="false" outlineLevel="0" collapsed="false">
      <c r="A1000" s="7" t="str">
        <f aca="false">IF(B1000="","",ROW()-3)</f>
        <v/>
      </c>
      <c r="B1000" s="8"/>
      <c r="C1000" s="8"/>
      <c r="D1000" s="8"/>
      <c r="E1000" s="9"/>
      <c r="F1000" s="9"/>
      <c r="G1000" s="8"/>
      <c r="H1000" s="8"/>
      <c r="I1000" s="8"/>
      <c r="J1000" s="9"/>
      <c r="K1000" s="8"/>
      <c r="L1000" s="8"/>
      <c r="M1000" s="8"/>
      <c r="N1000" s="8"/>
      <c r="O1000" s="8"/>
      <c r="P1000" s="8"/>
      <c r="Q1000" s="8"/>
      <c r="R1000" s="9"/>
      <c r="S1000" s="8"/>
      <c r="T1000" s="9"/>
      <c r="U1000" s="10" t="str">
        <f aca="true">IF(B1000="","",IF(OR(P1000&lt;&gt;"",I1000="می‌باشد"),"بسته",IF(AND(L1000&lt;&gt;"",W1000=""),"خطای فرمت تاریخ ایجاد",IF(AND(H1000&lt;&gt;"",AA1000=""),"خطای فرمت مهلت",IF(AND(H1000&lt;&gt;"",AD1000&lt;&gt;"",TODAY()&gt;AD1000),"تاخیر",IF(L1000&lt;&gt;"","در حال انجام",""))))))</f>
        <v/>
      </c>
      <c r="V1000" s="7" t="n">
        <f aca="true">IF(U1000="تاخیر",TODAY()-AD1000,IF(AND(U1000="بسته",AH1000&lt;&gt;"",AD1000&lt;&gt;"",AH1000&gt;AD1000),AH1000-AD1000,0))</f>
        <v>0</v>
      </c>
      <c r="W1000" s="7" t="str">
        <f aca="false">IF(L1000="","",VALUE(LEFT(L1000,FIND("/",L1000)-1)))</f>
        <v/>
      </c>
      <c r="X1000" s="7" t="str">
        <f aca="false">IF(L1000="","",VALUE(MID(L1000,FIND("/",L1000)+1,FIND("/",L1000,FIND("/",L1000)+1)-FIND("/",L1000)-1)))</f>
        <v/>
      </c>
      <c r="Y1000" s="7" t="str">
        <f aca="false">IF(L1000="","",VALUE(MID(L1000,FIND("/",L1000,FIND("/",L1000)+1)+1,LEN(L1000)-FIND("/",L1000,FIND("/",L1000)+1))))</f>
        <v/>
      </c>
      <c r="Z1000" s="7" t="str">
        <f aca="false">IF(OR(L1000="",W1000=""),"",IFERROR(INDEX('لیست‌ها'!$Q$3:$Q$53,MATCH(W1000,'لیست‌ها'!$P$3:$P$53,0))+IF(X1000&lt;=6,(X1000-1)*31+Y1000,IF(X1000&lt;=11,186+(X1000-7)*30+Y1000,336+Y1000))-1,""))</f>
        <v/>
      </c>
      <c r="AA1000" s="7" t="str">
        <f aca="false">IF(H1000="","",VALUE(LEFT(H1000,FIND("/",H1000)-1)))</f>
        <v/>
      </c>
      <c r="AB1000" s="7" t="str">
        <f aca="false">IF(H1000="","",VALUE(MID(H1000,FIND("/",H1000)+1,FIND("/",H1000,FIND("/",H1000)+1)-FIND("/",H1000)-1)))</f>
        <v/>
      </c>
      <c r="AC1000" s="7" t="str">
        <f aca="false">IF(H1000="","",VALUE(MID(H1000,FIND("/",H1000,FIND("/",H1000)+1)+1,LEN(H1000)-FIND("/",H1000,FIND("/",H1000)+1))))</f>
        <v/>
      </c>
      <c r="AD1000" s="7" t="str">
        <f aca="false">IF(OR(H1000="",AA1000=""),"",IFERROR(INDEX('لیست‌ها'!$Q$3:$Q$53,MATCH(AA1000,'لیست‌ها'!$P$3:$P$53,0))+IF(AB1000&lt;=6,(AB1000-1)*31+AC1000,IF(AB1000&lt;=11,186+(AB1000-7)*30+AC1000,336+AC1000))-1,""))</f>
        <v/>
      </c>
      <c r="AE1000" s="7" t="str">
        <f aca="false">IF(P1000="","",VALUE(LEFT(P1000,FIND("/",P1000)-1)))</f>
        <v/>
      </c>
      <c r="AF1000" s="7" t="str">
        <f aca="false">IF(P1000="","",VALUE(MID(P1000,FIND("/",P1000)+1,FIND("/",P1000,FIND("/",P1000)+1)-FIND("/",P1000)-1)))</f>
        <v/>
      </c>
      <c r="AG1000" s="7" t="str">
        <f aca="false">IF(P1000="","",VALUE(MID(P1000,FIND("/",P1000,FIND("/",P1000)+1)+1,LEN(P1000)-FIND("/",P1000,FIND("/",P1000)+1))))</f>
        <v/>
      </c>
      <c r="AH1000" s="7" t="str">
        <f aca="false">IF(OR(P1000="",AE1000=""),"",IFERROR(INDEX('لیست‌ها'!$Q$3:$Q$53,MATCH(AE1000,'لیست‌ها'!$P$3:$P$53,0))+IF(AF1000&lt;=6,(AF1000-1)*31+AG1000,IF(AF1000&lt;=11,186+(AF1000-7)*30+AG1000,336+AG1000))-1,""))</f>
        <v/>
      </c>
      <c r="AI1000" s="7" t="str">
        <f aca="false">IF(W1000="","",W1000&amp;"-"&amp;TEXT(X1000,"00"))</f>
        <v/>
      </c>
      <c r="AJ1000" s="7" t="str">
        <f aca="false">IF(W1000="","",W1000*12+X1000)</f>
        <v/>
      </c>
      <c r="AK1000" s="7" t="str">
        <f aca="false">IF(U1000="تاخیر",V1000+ROW()/100000,"")</f>
        <v/>
      </c>
    </row>
    <row r="1001" customFormat="false" ht="15" hidden="false" customHeight="false" outlineLevel="0" collapsed="false">
      <c r="A1001" s="7" t="str">
        <f aca="false">IF(B1001="","",ROW()-3)</f>
        <v/>
      </c>
      <c r="B1001" s="8"/>
      <c r="C1001" s="8"/>
      <c r="D1001" s="8"/>
      <c r="E1001" s="9"/>
      <c r="F1001" s="9"/>
      <c r="G1001" s="8"/>
      <c r="H1001" s="8"/>
      <c r="I1001" s="8"/>
      <c r="J1001" s="9"/>
      <c r="K1001" s="8"/>
      <c r="L1001" s="8"/>
      <c r="M1001" s="8"/>
      <c r="N1001" s="8"/>
      <c r="O1001" s="8"/>
      <c r="P1001" s="8"/>
      <c r="Q1001" s="8"/>
      <c r="R1001" s="9"/>
      <c r="S1001" s="8"/>
      <c r="T1001" s="9"/>
      <c r="U1001" s="10" t="str">
        <f aca="true">IF(B1001="","",IF(OR(P1001&lt;&gt;"",I1001="می‌باشد"),"بسته",IF(AND(L1001&lt;&gt;"",W1001=""),"خطای فرمت تاریخ ایجاد",IF(AND(H1001&lt;&gt;"",AA1001=""),"خطای فرمت مهلت",IF(AND(H1001&lt;&gt;"",AD1001&lt;&gt;"",TODAY()&gt;AD1001),"تاخیر",IF(L1001&lt;&gt;"","در حال انجام",""))))))</f>
        <v/>
      </c>
      <c r="V1001" s="7" t="n">
        <f aca="true">IF(U1001="تاخیر",TODAY()-AD1001,IF(AND(U1001="بسته",AH1001&lt;&gt;"",AD1001&lt;&gt;"",AH1001&gt;AD1001),AH1001-AD1001,0))</f>
        <v>0</v>
      </c>
      <c r="W1001" s="7" t="str">
        <f aca="false">IF(L1001="","",VALUE(LEFT(L1001,FIND("/",L1001)-1)))</f>
        <v/>
      </c>
      <c r="X1001" s="7" t="str">
        <f aca="false">IF(L1001="","",VALUE(MID(L1001,FIND("/",L1001)+1,FIND("/",L1001,FIND("/",L1001)+1)-FIND("/",L1001)-1)))</f>
        <v/>
      </c>
      <c r="Y1001" s="7" t="str">
        <f aca="false">IF(L1001="","",VALUE(MID(L1001,FIND("/",L1001,FIND("/",L1001)+1)+1,LEN(L1001)-FIND("/",L1001,FIND("/",L1001)+1))))</f>
        <v/>
      </c>
      <c r="Z1001" s="7" t="str">
        <f aca="false">IF(OR(L1001="",W1001=""),"",IFERROR(INDEX('لیست‌ها'!$Q$3:$Q$53,MATCH(W1001,'لیست‌ها'!$P$3:$P$53,0))+IF(X1001&lt;=6,(X1001-1)*31+Y1001,IF(X1001&lt;=11,186+(X1001-7)*30+Y1001,336+Y1001))-1,""))</f>
        <v/>
      </c>
      <c r="AA1001" s="7" t="str">
        <f aca="false">IF(H1001="","",VALUE(LEFT(H1001,FIND("/",H1001)-1)))</f>
        <v/>
      </c>
      <c r="AB1001" s="7" t="str">
        <f aca="false">IF(H1001="","",VALUE(MID(H1001,FIND("/",H1001)+1,FIND("/",H1001,FIND("/",H1001)+1)-FIND("/",H1001)-1)))</f>
        <v/>
      </c>
      <c r="AC1001" s="7" t="str">
        <f aca="false">IF(H1001="","",VALUE(MID(H1001,FIND("/",H1001,FIND("/",H1001)+1)+1,LEN(H1001)-FIND("/",H1001,FIND("/",H1001)+1))))</f>
        <v/>
      </c>
      <c r="AD1001" s="7" t="str">
        <f aca="false">IF(OR(H1001="",AA1001=""),"",IFERROR(INDEX('لیست‌ها'!$Q$3:$Q$53,MATCH(AA1001,'لیست‌ها'!$P$3:$P$53,0))+IF(AB1001&lt;=6,(AB1001-1)*31+AC1001,IF(AB1001&lt;=11,186+(AB1001-7)*30+AC1001,336+AC1001))-1,""))</f>
        <v/>
      </c>
      <c r="AE1001" s="7" t="str">
        <f aca="false">IF(P1001="","",VALUE(LEFT(P1001,FIND("/",P1001)-1)))</f>
        <v/>
      </c>
      <c r="AF1001" s="7" t="str">
        <f aca="false">IF(P1001="","",VALUE(MID(P1001,FIND("/",P1001)+1,FIND("/",P1001,FIND("/",P1001)+1)-FIND("/",P1001)-1)))</f>
        <v/>
      </c>
      <c r="AG1001" s="7" t="str">
        <f aca="false">IF(P1001="","",VALUE(MID(P1001,FIND("/",P1001,FIND("/",P1001)+1)+1,LEN(P1001)-FIND("/",P1001,FIND("/",P1001)+1))))</f>
        <v/>
      </c>
      <c r="AH1001" s="7" t="str">
        <f aca="false">IF(OR(P1001="",AE1001=""),"",IFERROR(INDEX('لیست‌ها'!$Q$3:$Q$53,MATCH(AE1001,'لیست‌ها'!$P$3:$P$53,0))+IF(AF1001&lt;=6,(AF1001-1)*31+AG1001,IF(AF1001&lt;=11,186+(AF1001-7)*30+AG1001,336+AG1001))-1,""))</f>
        <v/>
      </c>
      <c r="AI1001" s="7" t="str">
        <f aca="false">IF(W1001="","",W1001&amp;"-"&amp;TEXT(X1001,"00"))</f>
        <v/>
      </c>
      <c r="AJ1001" s="7" t="str">
        <f aca="false">IF(W1001="","",W1001*12+X1001)</f>
        <v/>
      </c>
      <c r="AK1001" s="7" t="str">
        <f aca="false">IF(U1001="تاخیر",V1001+ROW()/100000,"")</f>
        <v/>
      </c>
    </row>
    <row r="1002" customFormat="false" ht="15" hidden="false" customHeight="false" outlineLevel="0" collapsed="false">
      <c r="A1002" s="7" t="str">
        <f aca="false">IF(B1002="","",ROW()-3)</f>
        <v/>
      </c>
      <c r="B1002" s="8"/>
      <c r="C1002" s="8"/>
      <c r="D1002" s="8"/>
      <c r="E1002" s="9"/>
      <c r="F1002" s="9"/>
      <c r="G1002" s="8"/>
      <c r="H1002" s="8"/>
      <c r="I1002" s="8"/>
      <c r="J1002" s="9"/>
      <c r="K1002" s="8"/>
      <c r="L1002" s="8"/>
      <c r="M1002" s="8"/>
      <c r="N1002" s="8"/>
      <c r="O1002" s="8"/>
      <c r="P1002" s="8"/>
      <c r="Q1002" s="8"/>
      <c r="R1002" s="9"/>
      <c r="S1002" s="8"/>
      <c r="T1002" s="9"/>
      <c r="U1002" s="10" t="str">
        <f aca="true">IF(B1002="","",IF(OR(P1002&lt;&gt;"",I1002="می‌باشد"),"بسته",IF(AND(L1002&lt;&gt;"",W1002=""),"خطای فرمت تاریخ ایجاد",IF(AND(H1002&lt;&gt;"",AA1002=""),"خطای فرمت مهلت",IF(AND(H1002&lt;&gt;"",AD1002&lt;&gt;"",TODAY()&gt;AD1002),"تاخیر",IF(L1002&lt;&gt;"","در حال انجام",""))))))</f>
        <v/>
      </c>
      <c r="V1002" s="7" t="n">
        <f aca="true">IF(U1002="تاخیر",TODAY()-AD1002,IF(AND(U1002="بسته",AH1002&lt;&gt;"",AD1002&lt;&gt;"",AH1002&gt;AD1002),AH1002-AD1002,0))</f>
        <v>0</v>
      </c>
      <c r="W1002" s="7" t="str">
        <f aca="false">IF(L1002="","",VALUE(LEFT(L1002,FIND("/",L1002)-1)))</f>
        <v/>
      </c>
      <c r="X1002" s="7" t="str">
        <f aca="false">IF(L1002="","",VALUE(MID(L1002,FIND("/",L1002)+1,FIND("/",L1002,FIND("/",L1002)+1)-FIND("/",L1002)-1)))</f>
        <v/>
      </c>
      <c r="Y1002" s="7" t="str">
        <f aca="false">IF(L1002="","",VALUE(MID(L1002,FIND("/",L1002,FIND("/",L1002)+1)+1,LEN(L1002)-FIND("/",L1002,FIND("/",L1002)+1))))</f>
        <v/>
      </c>
      <c r="Z1002" s="7" t="str">
        <f aca="false">IF(OR(L1002="",W1002=""),"",IFERROR(INDEX('لیست‌ها'!$Q$3:$Q$53,MATCH(W1002,'لیست‌ها'!$P$3:$P$53,0))+IF(X1002&lt;=6,(X1002-1)*31+Y1002,IF(X1002&lt;=11,186+(X1002-7)*30+Y1002,336+Y1002))-1,""))</f>
        <v/>
      </c>
      <c r="AA1002" s="7" t="str">
        <f aca="false">IF(H1002="","",VALUE(LEFT(H1002,FIND("/",H1002)-1)))</f>
        <v/>
      </c>
      <c r="AB1002" s="7" t="str">
        <f aca="false">IF(H1002="","",VALUE(MID(H1002,FIND("/",H1002)+1,FIND("/",H1002,FIND("/",H1002)+1)-FIND("/",H1002)-1)))</f>
        <v/>
      </c>
      <c r="AC1002" s="7" t="str">
        <f aca="false">IF(H1002="","",VALUE(MID(H1002,FIND("/",H1002,FIND("/",H1002)+1)+1,LEN(H1002)-FIND("/",H1002,FIND("/",H1002)+1))))</f>
        <v/>
      </c>
      <c r="AD1002" s="7" t="str">
        <f aca="false">IF(OR(H1002="",AA1002=""),"",IFERROR(INDEX('لیست‌ها'!$Q$3:$Q$53,MATCH(AA1002,'لیست‌ها'!$P$3:$P$53,0))+IF(AB1002&lt;=6,(AB1002-1)*31+AC1002,IF(AB1002&lt;=11,186+(AB1002-7)*30+AC1002,336+AC1002))-1,""))</f>
        <v/>
      </c>
      <c r="AE1002" s="7" t="str">
        <f aca="false">IF(P1002="","",VALUE(LEFT(P1002,FIND("/",P1002)-1)))</f>
        <v/>
      </c>
      <c r="AF1002" s="7" t="str">
        <f aca="false">IF(P1002="","",VALUE(MID(P1002,FIND("/",P1002)+1,FIND("/",P1002,FIND("/",P1002)+1)-FIND("/",P1002)-1)))</f>
        <v/>
      </c>
      <c r="AG1002" s="7" t="str">
        <f aca="false">IF(P1002="","",VALUE(MID(P1002,FIND("/",P1002,FIND("/",P1002)+1)+1,LEN(P1002)-FIND("/",P1002,FIND("/",P1002)+1))))</f>
        <v/>
      </c>
      <c r="AH1002" s="7" t="str">
        <f aca="false">IF(OR(P1002="",AE1002=""),"",IFERROR(INDEX('لیست‌ها'!$Q$3:$Q$53,MATCH(AE1002,'لیست‌ها'!$P$3:$P$53,0))+IF(AF1002&lt;=6,(AF1002-1)*31+AG1002,IF(AF1002&lt;=11,186+(AF1002-7)*30+AG1002,336+AG1002))-1,""))</f>
        <v/>
      </c>
      <c r="AI1002" s="7" t="str">
        <f aca="false">IF(W1002="","",W1002&amp;"-"&amp;TEXT(X1002,"00"))</f>
        <v/>
      </c>
      <c r="AJ1002" s="7" t="str">
        <f aca="false">IF(W1002="","",W1002*12+X1002)</f>
        <v/>
      </c>
      <c r="AK1002" s="7" t="str">
        <f aca="false">IF(U1002="تاخیر",V1002+ROW()/100000,"")</f>
        <v/>
      </c>
    </row>
    <row r="1003" customFormat="false" ht="15" hidden="false" customHeight="false" outlineLevel="0" collapsed="false">
      <c r="A1003" s="7" t="str">
        <f aca="false">IF(B1003="","",ROW()-3)</f>
        <v/>
      </c>
      <c r="B1003" s="8"/>
      <c r="C1003" s="8"/>
      <c r="D1003" s="8"/>
      <c r="E1003" s="9"/>
      <c r="F1003" s="9"/>
      <c r="G1003" s="8"/>
      <c r="H1003" s="8"/>
      <c r="I1003" s="8"/>
      <c r="J1003" s="9"/>
      <c r="K1003" s="8"/>
      <c r="L1003" s="8"/>
      <c r="M1003" s="8"/>
      <c r="N1003" s="8"/>
      <c r="O1003" s="8"/>
      <c r="P1003" s="8"/>
      <c r="Q1003" s="8"/>
      <c r="R1003" s="9"/>
      <c r="S1003" s="8"/>
      <c r="T1003" s="9"/>
      <c r="U1003" s="10" t="str">
        <f aca="true">IF(B1003="","",IF(OR(P1003&lt;&gt;"",I1003="می‌باشد"),"بسته",IF(AND(L1003&lt;&gt;"",W1003=""),"خطای فرمت تاریخ ایجاد",IF(AND(H1003&lt;&gt;"",AA1003=""),"خطای فرمت مهلت",IF(AND(H1003&lt;&gt;"",AD1003&lt;&gt;"",TODAY()&gt;AD1003),"تاخیر",IF(L1003&lt;&gt;"","در حال انجام",""))))))</f>
        <v/>
      </c>
      <c r="V1003" s="7" t="n">
        <f aca="true">IF(U1003="تاخیر",TODAY()-AD1003,IF(AND(U1003="بسته",AH1003&lt;&gt;"",AD1003&lt;&gt;"",AH1003&gt;AD1003),AH1003-AD1003,0))</f>
        <v>0</v>
      </c>
      <c r="W1003" s="7" t="str">
        <f aca="false">IF(L1003="","",VALUE(LEFT(L1003,FIND("/",L1003)-1)))</f>
        <v/>
      </c>
      <c r="X1003" s="7" t="str">
        <f aca="false">IF(L1003="","",VALUE(MID(L1003,FIND("/",L1003)+1,FIND("/",L1003,FIND("/",L1003)+1)-FIND("/",L1003)-1)))</f>
        <v/>
      </c>
      <c r="Y1003" s="7" t="str">
        <f aca="false">IF(L1003="","",VALUE(MID(L1003,FIND("/",L1003,FIND("/",L1003)+1)+1,LEN(L1003)-FIND("/",L1003,FIND("/",L1003)+1))))</f>
        <v/>
      </c>
      <c r="Z1003" s="7" t="str">
        <f aca="false">IF(OR(L1003="",W1003=""),"",IFERROR(INDEX('لیست‌ها'!$Q$3:$Q$53,MATCH(W1003,'لیست‌ها'!$P$3:$P$53,0))+IF(X1003&lt;=6,(X1003-1)*31+Y1003,IF(X1003&lt;=11,186+(X1003-7)*30+Y1003,336+Y1003))-1,""))</f>
        <v/>
      </c>
      <c r="AA1003" s="7" t="str">
        <f aca="false">IF(H1003="","",VALUE(LEFT(H1003,FIND("/",H1003)-1)))</f>
        <v/>
      </c>
      <c r="AB1003" s="7" t="str">
        <f aca="false">IF(H1003="","",VALUE(MID(H1003,FIND("/",H1003)+1,FIND("/",H1003,FIND("/",H1003)+1)-FIND("/",H1003)-1)))</f>
        <v/>
      </c>
      <c r="AC1003" s="7" t="str">
        <f aca="false">IF(H1003="","",VALUE(MID(H1003,FIND("/",H1003,FIND("/",H1003)+1)+1,LEN(H1003)-FIND("/",H1003,FIND("/",H1003)+1))))</f>
        <v/>
      </c>
      <c r="AD1003" s="7" t="str">
        <f aca="false">IF(OR(H1003="",AA1003=""),"",IFERROR(INDEX('لیست‌ها'!$Q$3:$Q$53,MATCH(AA1003,'لیست‌ها'!$P$3:$P$53,0))+IF(AB1003&lt;=6,(AB1003-1)*31+AC1003,IF(AB1003&lt;=11,186+(AB1003-7)*30+AC1003,336+AC1003))-1,""))</f>
        <v/>
      </c>
      <c r="AE1003" s="7" t="str">
        <f aca="false">IF(P1003="","",VALUE(LEFT(P1003,FIND("/",P1003)-1)))</f>
        <v/>
      </c>
      <c r="AF1003" s="7" t="str">
        <f aca="false">IF(P1003="","",VALUE(MID(P1003,FIND("/",P1003)+1,FIND("/",P1003,FIND("/",P1003)+1)-FIND("/",P1003)-1)))</f>
        <v/>
      </c>
      <c r="AG1003" s="7" t="str">
        <f aca="false">IF(P1003="","",VALUE(MID(P1003,FIND("/",P1003,FIND("/",P1003)+1)+1,LEN(P1003)-FIND("/",P1003,FIND("/",P1003)+1))))</f>
        <v/>
      </c>
      <c r="AH1003" s="7" t="str">
        <f aca="false">IF(OR(P1003="",AE1003=""),"",IFERROR(INDEX('لیست‌ها'!$Q$3:$Q$53,MATCH(AE1003,'لیست‌ها'!$P$3:$P$53,0))+IF(AF1003&lt;=6,(AF1003-1)*31+AG1003,IF(AF1003&lt;=11,186+(AF1003-7)*30+AG1003,336+AG1003))-1,""))</f>
        <v/>
      </c>
      <c r="AI1003" s="7" t="str">
        <f aca="false">IF(W1003="","",W1003&amp;"-"&amp;TEXT(X1003,"00"))</f>
        <v/>
      </c>
      <c r="AJ1003" s="7" t="str">
        <f aca="false">IF(W1003="","",W1003*12+X1003)</f>
        <v/>
      </c>
      <c r="AK1003" s="7" t="str">
        <f aca="false">IF(U1003="تاخیر",V1003+ROW()/100000,"")</f>
        <v/>
      </c>
    </row>
    <row r="1004" customFormat="false" ht="15" hidden="false" customHeight="false" outlineLevel="0" collapsed="false">
      <c r="A1004" s="7" t="str">
        <f aca="false">IF(B1004="","",ROW()-3)</f>
        <v/>
      </c>
      <c r="B1004" s="8"/>
      <c r="C1004" s="8"/>
      <c r="D1004" s="8"/>
      <c r="E1004" s="9"/>
      <c r="F1004" s="9"/>
      <c r="G1004" s="8"/>
      <c r="H1004" s="8"/>
      <c r="I1004" s="8"/>
      <c r="J1004" s="9"/>
      <c r="K1004" s="8"/>
      <c r="L1004" s="8"/>
      <c r="M1004" s="8"/>
      <c r="N1004" s="8"/>
      <c r="O1004" s="8"/>
      <c r="P1004" s="8"/>
      <c r="Q1004" s="8"/>
      <c r="R1004" s="9"/>
      <c r="S1004" s="8"/>
      <c r="T1004" s="9"/>
      <c r="U1004" s="10" t="str">
        <f aca="true">IF(B1004="","",IF(OR(P1004&lt;&gt;"",I1004="می‌باشد"),"بسته",IF(AND(L1004&lt;&gt;"",W1004=""),"خطای فرمت تاریخ ایجاد",IF(AND(H1004&lt;&gt;"",AA1004=""),"خطای فرمت مهلت",IF(AND(H1004&lt;&gt;"",AD1004&lt;&gt;"",TODAY()&gt;AD1004),"تاخیر",IF(L1004&lt;&gt;"","در حال انجام",""))))))</f>
        <v/>
      </c>
      <c r="V1004" s="7" t="n">
        <f aca="true">IF(U1004="تاخیر",TODAY()-AD1004,IF(AND(U1004="بسته",AH1004&lt;&gt;"",AD1004&lt;&gt;"",AH1004&gt;AD1004),AH1004-AD1004,0))</f>
        <v>0</v>
      </c>
      <c r="W1004" s="7" t="str">
        <f aca="false">IF(L1004="","",VALUE(LEFT(L1004,FIND("/",L1004)-1)))</f>
        <v/>
      </c>
      <c r="X1004" s="7" t="str">
        <f aca="false">IF(L1004="","",VALUE(MID(L1004,FIND("/",L1004)+1,FIND("/",L1004,FIND("/",L1004)+1)-FIND("/",L1004)-1)))</f>
        <v/>
      </c>
      <c r="Y1004" s="7" t="str">
        <f aca="false">IF(L1004="","",VALUE(MID(L1004,FIND("/",L1004,FIND("/",L1004)+1)+1,LEN(L1004)-FIND("/",L1004,FIND("/",L1004)+1))))</f>
        <v/>
      </c>
      <c r="Z1004" s="7" t="str">
        <f aca="false">IF(OR(L1004="",W1004=""),"",IFERROR(INDEX('لیست‌ها'!$Q$3:$Q$53,MATCH(W1004,'لیست‌ها'!$P$3:$P$53,0))+IF(X1004&lt;=6,(X1004-1)*31+Y1004,IF(X1004&lt;=11,186+(X1004-7)*30+Y1004,336+Y1004))-1,""))</f>
        <v/>
      </c>
      <c r="AA1004" s="7" t="str">
        <f aca="false">IF(H1004="","",VALUE(LEFT(H1004,FIND("/",H1004)-1)))</f>
        <v/>
      </c>
      <c r="AB1004" s="7" t="str">
        <f aca="false">IF(H1004="","",VALUE(MID(H1004,FIND("/",H1004)+1,FIND("/",H1004,FIND("/",H1004)+1)-FIND("/",H1004)-1)))</f>
        <v/>
      </c>
      <c r="AC1004" s="7" t="str">
        <f aca="false">IF(H1004="","",VALUE(MID(H1004,FIND("/",H1004,FIND("/",H1004)+1)+1,LEN(H1004)-FIND("/",H1004,FIND("/",H1004)+1))))</f>
        <v/>
      </c>
      <c r="AD1004" s="7" t="str">
        <f aca="false">IF(OR(H1004="",AA1004=""),"",IFERROR(INDEX('لیست‌ها'!$Q$3:$Q$53,MATCH(AA1004,'لیست‌ها'!$P$3:$P$53,0))+IF(AB1004&lt;=6,(AB1004-1)*31+AC1004,IF(AB1004&lt;=11,186+(AB1004-7)*30+AC1004,336+AC1004))-1,""))</f>
        <v/>
      </c>
      <c r="AE1004" s="7" t="str">
        <f aca="false">IF(P1004="","",VALUE(LEFT(P1004,FIND("/",P1004)-1)))</f>
        <v/>
      </c>
      <c r="AF1004" s="7" t="str">
        <f aca="false">IF(P1004="","",VALUE(MID(P1004,FIND("/",P1004)+1,FIND("/",P1004,FIND("/",P1004)+1)-FIND("/",P1004)-1)))</f>
        <v/>
      </c>
      <c r="AG1004" s="7" t="str">
        <f aca="false">IF(P1004="","",VALUE(MID(P1004,FIND("/",P1004,FIND("/",P1004)+1)+1,LEN(P1004)-FIND("/",P1004,FIND("/",P1004)+1))))</f>
        <v/>
      </c>
      <c r="AH1004" s="7" t="str">
        <f aca="false">IF(OR(P1004="",AE1004=""),"",IFERROR(INDEX('لیست‌ها'!$Q$3:$Q$53,MATCH(AE1004,'لیست‌ها'!$P$3:$P$53,0))+IF(AF1004&lt;=6,(AF1004-1)*31+AG1004,IF(AF1004&lt;=11,186+(AF1004-7)*30+AG1004,336+AG1004))-1,""))</f>
        <v/>
      </c>
      <c r="AI1004" s="7" t="str">
        <f aca="false">IF(W1004="","",W1004&amp;"-"&amp;TEXT(X1004,"00"))</f>
        <v/>
      </c>
      <c r="AJ1004" s="7" t="str">
        <f aca="false">IF(W1004="","",W1004*12+X1004)</f>
        <v/>
      </c>
      <c r="AK1004" s="7" t="str">
        <f aca="false">IF(U1004="تاخیر",V1004+ROW()/100000,"")</f>
        <v/>
      </c>
    </row>
    <row r="1005" customFormat="false" ht="15" hidden="false" customHeight="false" outlineLevel="0" collapsed="false">
      <c r="A1005" s="7" t="str">
        <f aca="false">IF(B1005="","",ROW()-3)</f>
        <v/>
      </c>
      <c r="B1005" s="8"/>
      <c r="C1005" s="8"/>
      <c r="D1005" s="8"/>
      <c r="E1005" s="9"/>
      <c r="F1005" s="9"/>
      <c r="G1005" s="8"/>
      <c r="H1005" s="8"/>
      <c r="I1005" s="8"/>
      <c r="J1005" s="9"/>
      <c r="K1005" s="8"/>
      <c r="L1005" s="8"/>
      <c r="M1005" s="8"/>
      <c r="N1005" s="8"/>
      <c r="O1005" s="8"/>
      <c r="P1005" s="8"/>
      <c r="Q1005" s="8"/>
      <c r="R1005" s="9"/>
      <c r="S1005" s="8"/>
      <c r="T1005" s="9"/>
      <c r="U1005" s="10" t="str">
        <f aca="true">IF(B1005="","",IF(OR(P1005&lt;&gt;"",I1005="می‌باشد"),"بسته",IF(AND(L1005&lt;&gt;"",W1005=""),"خطای فرمت تاریخ ایجاد",IF(AND(H1005&lt;&gt;"",AA1005=""),"خطای فرمت مهلت",IF(AND(H1005&lt;&gt;"",AD1005&lt;&gt;"",TODAY()&gt;AD1005),"تاخیر",IF(L1005&lt;&gt;"","در حال انجام",""))))))</f>
        <v/>
      </c>
      <c r="V1005" s="7" t="n">
        <f aca="true">IF(U1005="تاخیر",TODAY()-AD1005,IF(AND(U1005="بسته",AH1005&lt;&gt;"",AD1005&lt;&gt;"",AH1005&gt;AD1005),AH1005-AD1005,0))</f>
        <v>0</v>
      </c>
      <c r="W1005" s="7" t="str">
        <f aca="false">IF(L1005="","",VALUE(LEFT(L1005,FIND("/",L1005)-1)))</f>
        <v/>
      </c>
      <c r="X1005" s="7" t="str">
        <f aca="false">IF(L1005="","",VALUE(MID(L1005,FIND("/",L1005)+1,FIND("/",L1005,FIND("/",L1005)+1)-FIND("/",L1005)-1)))</f>
        <v/>
      </c>
      <c r="Y1005" s="7" t="str">
        <f aca="false">IF(L1005="","",VALUE(MID(L1005,FIND("/",L1005,FIND("/",L1005)+1)+1,LEN(L1005)-FIND("/",L1005,FIND("/",L1005)+1))))</f>
        <v/>
      </c>
      <c r="Z1005" s="7" t="str">
        <f aca="false">IF(OR(L1005="",W1005=""),"",IFERROR(INDEX('لیست‌ها'!$Q$3:$Q$53,MATCH(W1005,'لیست‌ها'!$P$3:$P$53,0))+IF(X1005&lt;=6,(X1005-1)*31+Y1005,IF(X1005&lt;=11,186+(X1005-7)*30+Y1005,336+Y1005))-1,""))</f>
        <v/>
      </c>
      <c r="AA1005" s="7" t="str">
        <f aca="false">IF(H1005="","",VALUE(LEFT(H1005,FIND("/",H1005)-1)))</f>
        <v/>
      </c>
      <c r="AB1005" s="7" t="str">
        <f aca="false">IF(H1005="","",VALUE(MID(H1005,FIND("/",H1005)+1,FIND("/",H1005,FIND("/",H1005)+1)-FIND("/",H1005)-1)))</f>
        <v/>
      </c>
      <c r="AC1005" s="7" t="str">
        <f aca="false">IF(H1005="","",VALUE(MID(H1005,FIND("/",H1005,FIND("/",H1005)+1)+1,LEN(H1005)-FIND("/",H1005,FIND("/",H1005)+1))))</f>
        <v/>
      </c>
      <c r="AD1005" s="7" t="str">
        <f aca="false">IF(OR(H1005="",AA1005=""),"",IFERROR(INDEX('لیست‌ها'!$Q$3:$Q$53,MATCH(AA1005,'لیست‌ها'!$P$3:$P$53,0))+IF(AB1005&lt;=6,(AB1005-1)*31+AC1005,IF(AB1005&lt;=11,186+(AB1005-7)*30+AC1005,336+AC1005))-1,""))</f>
        <v/>
      </c>
      <c r="AE1005" s="7" t="str">
        <f aca="false">IF(P1005="","",VALUE(LEFT(P1005,FIND("/",P1005)-1)))</f>
        <v/>
      </c>
      <c r="AF1005" s="7" t="str">
        <f aca="false">IF(P1005="","",VALUE(MID(P1005,FIND("/",P1005)+1,FIND("/",P1005,FIND("/",P1005)+1)-FIND("/",P1005)-1)))</f>
        <v/>
      </c>
      <c r="AG1005" s="7" t="str">
        <f aca="false">IF(P1005="","",VALUE(MID(P1005,FIND("/",P1005,FIND("/",P1005)+1)+1,LEN(P1005)-FIND("/",P1005,FIND("/",P1005)+1))))</f>
        <v/>
      </c>
      <c r="AH1005" s="7" t="str">
        <f aca="false">IF(OR(P1005="",AE1005=""),"",IFERROR(INDEX('لیست‌ها'!$Q$3:$Q$53,MATCH(AE1005,'لیست‌ها'!$P$3:$P$53,0))+IF(AF1005&lt;=6,(AF1005-1)*31+AG1005,IF(AF1005&lt;=11,186+(AF1005-7)*30+AG1005,336+AG1005))-1,""))</f>
        <v/>
      </c>
      <c r="AI1005" s="7" t="str">
        <f aca="false">IF(W1005="","",W1005&amp;"-"&amp;TEXT(X1005,"00"))</f>
        <v/>
      </c>
      <c r="AJ1005" s="7" t="str">
        <f aca="false">IF(W1005="","",W1005*12+X1005)</f>
        <v/>
      </c>
      <c r="AK1005" s="7" t="str">
        <f aca="false">IF(U1005="تاخیر",V1005+ROW()/100000,"")</f>
        <v/>
      </c>
    </row>
    <row r="1006" customFormat="false" ht="15" hidden="false" customHeight="false" outlineLevel="0" collapsed="false">
      <c r="A1006" s="7" t="str">
        <f aca="false">IF(B1006="","",ROW()-3)</f>
        <v/>
      </c>
      <c r="B1006" s="8"/>
      <c r="C1006" s="8"/>
      <c r="D1006" s="8"/>
      <c r="E1006" s="9"/>
      <c r="F1006" s="9"/>
      <c r="G1006" s="8"/>
      <c r="H1006" s="8"/>
      <c r="I1006" s="8"/>
      <c r="J1006" s="9"/>
      <c r="K1006" s="8"/>
      <c r="L1006" s="8"/>
      <c r="M1006" s="8"/>
      <c r="N1006" s="8"/>
      <c r="O1006" s="8"/>
      <c r="P1006" s="8"/>
      <c r="Q1006" s="8"/>
      <c r="R1006" s="9"/>
      <c r="S1006" s="8"/>
      <c r="T1006" s="9"/>
      <c r="U1006" s="10" t="str">
        <f aca="true">IF(B1006="","",IF(OR(P1006&lt;&gt;"",I1006="می‌باشد"),"بسته",IF(AND(L1006&lt;&gt;"",W1006=""),"خطای فرمت تاریخ ایجاد",IF(AND(H1006&lt;&gt;"",AA1006=""),"خطای فرمت مهلت",IF(AND(H1006&lt;&gt;"",AD1006&lt;&gt;"",TODAY()&gt;AD1006),"تاخیر",IF(L1006&lt;&gt;"","در حال انجام",""))))))</f>
        <v/>
      </c>
      <c r="V1006" s="7" t="n">
        <f aca="true">IF(U1006="تاخیر",TODAY()-AD1006,IF(AND(U1006="بسته",AH1006&lt;&gt;"",AD1006&lt;&gt;"",AH1006&gt;AD1006),AH1006-AD1006,0))</f>
        <v>0</v>
      </c>
      <c r="W1006" s="7" t="str">
        <f aca="false">IF(L1006="","",VALUE(LEFT(L1006,FIND("/",L1006)-1)))</f>
        <v/>
      </c>
      <c r="X1006" s="7" t="str">
        <f aca="false">IF(L1006="","",VALUE(MID(L1006,FIND("/",L1006)+1,FIND("/",L1006,FIND("/",L1006)+1)-FIND("/",L1006)-1)))</f>
        <v/>
      </c>
      <c r="Y1006" s="7" t="str">
        <f aca="false">IF(L1006="","",VALUE(MID(L1006,FIND("/",L1006,FIND("/",L1006)+1)+1,LEN(L1006)-FIND("/",L1006,FIND("/",L1006)+1))))</f>
        <v/>
      </c>
      <c r="Z1006" s="7" t="str">
        <f aca="false">IF(OR(L1006="",W1006=""),"",IFERROR(INDEX('لیست‌ها'!$Q$3:$Q$53,MATCH(W1006,'لیست‌ها'!$P$3:$P$53,0))+IF(X1006&lt;=6,(X1006-1)*31+Y1006,IF(X1006&lt;=11,186+(X1006-7)*30+Y1006,336+Y1006))-1,""))</f>
        <v/>
      </c>
      <c r="AA1006" s="7" t="str">
        <f aca="false">IF(H1006="","",VALUE(LEFT(H1006,FIND("/",H1006)-1)))</f>
        <v/>
      </c>
      <c r="AB1006" s="7" t="str">
        <f aca="false">IF(H1006="","",VALUE(MID(H1006,FIND("/",H1006)+1,FIND("/",H1006,FIND("/",H1006)+1)-FIND("/",H1006)-1)))</f>
        <v/>
      </c>
      <c r="AC1006" s="7" t="str">
        <f aca="false">IF(H1006="","",VALUE(MID(H1006,FIND("/",H1006,FIND("/",H1006)+1)+1,LEN(H1006)-FIND("/",H1006,FIND("/",H1006)+1))))</f>
        <v/>
      </c>
      <c r="AD1006" s="7" t="str">
        <f aca="false">IF(OR(H1006="",AA1006=""),"",IFERROR(INDEX('لیست‌ها'!$Q$3:$Q$53,MATCH(AA1006,'لیست‌ها'!$P$3:$P$53,0))+IF(AB1006&lt;=6,(AB1006-1)*31+AC1006,IF(AB1006&lt;=11,186+(AB1006-7)*30+AC1006,336+AC1006))-1,""))</f>
        <v/>
      </c>
      <c r="AE1006" s="7" t="str">
        <f aca="false">IF(P1006="","",VALUE(LEFT(P1006,FIND("/",P1006)-1)))</f>
        <v/>
      </c>
      <c r="AF1006" s="7" t="str">
        <f aca="false">IF(P1006="","",VALUE(MID(P1006,FIND("/",P1006)+1,FIND("/",P1006,FIND("/",P1006)+1)-FIND("/",P1006)-1)))</f>
        <v/>
      </c>
      <c r="AG1006" s="7" t="str">
        <f aca="false">IF(P1006="","",VALUE(MID(P1006,FIND("/",P1006,FIND("/",P1006)+1)+1,LEN(P1006)-FIND("/",P1006,FIND("/",P1006)+1))))</f>
        <v/>
      </c>
      <c r="AH1006" s="7" t="str">
        <f aca="false">IF(OR(P1006="",AE1006=""),"",IFERROR(INDEX('لیست‌ها'!$Q$3:$Q$53,MATCH(AE1006,'لیست‌ها'!$P$3:$P$53,0))+IF(AF1006&lt;=6,(AF1006-1)*31+AG1006,IF(AF1006&lt;=11,186+(AF1006-7)*30+AG1006,336+AG1006))-1,""))</f>
        <v/>
      </c>
      <c r="AI1006" s="7" t="str">
        <f aca="false">IF(W1006="","",W1006&amp;"-"&amp;TEXT(X1006,"00"))</f>
        <v/>
      </c>
      <c r="AJ1006" s="7" t="str">
        <f aca="false">IF(W1006="","",W1006*12+X1006)</f>
        <v/>
      </c>
      <c r="AK1006" s="7" t="str">
        <f aca="false">IF(U1006="تاخیر",V1006+ROW()/100000,"")</f>
        <v/>
      </c>
    </row>
    <row r="1007" customFormat="false" ht="15" hidden="false" customHeight="false" outlineLevel="0" collapsed="false">
      <c r="A1007" s="7" t="str">
        <f aca="false">IF(B1007="","",ROW()-3)</f>
        <v/>
      </c>
      <c r="B1007" s="8"/>
      <c r="C1007" s="8"/>
      <c r="D1007" s="8"/>
      <c r="E1007" s="9"/>
      <c r="F1007" s="9"/>
      <c r="G1007" s="8"/>
      <c r="H1007" s="8"/>
      <c r="I1007" s="8"/>
      <c r="J1007" s="9"/>
      <c r="K1007" s="8"/>
      <c r="L1007" s="8"/>
      <c r="M1007" s="8"/>
      <c r="N1007" s="8"/>
      <c r="O1007" s="8"/>
      <c r="P1007" s="8"/>
      <c r="Q1007" s="8"/>
      <c r="R1007" s="9"/>
      <c r="S1007" s="8"/>
      <c r="T1007" s="9"/>
      <c r="U1007" s="10" t="str">
        <f aca="true">IF(B1007="","",IF(OR(P1007&lt;&gt;"",I1007="می‌باشد"),"بسته",IF(AND(L1007&lt;&gt;"",W1007=""),"خطای فرمت تاریخ ایجاد",IF(AND(H1007&lt;&gt;"",AA1007=""),"خطای فرمت مهلت",IF(AND(H1007&lt;&gt;"",AD1007&lt;&gt;"",TODAY()&gt;AD1007),"تاخیر",IF(L1007&lt;&gt;"","در حال انجام",""))))))</f>
        <v/>
      </c>
      <c r="V1007" s="7" t="n">
        <f aca="true">IF(U1007="تاخیر",TODAY()-AD1007,IF(AND(U1007="بسته",AH1007&lt;&gt;"",AD1007&lt;&gt;"",AH1007&gt;AD1007),AH1007-AD1007,0))</f>
        <v>0</v>
      </c>
      <c r="W1007" s="7" t="str">
        <f aca="false">IF(L1007="","",VALUE(LEFT(L1007,FIND("/",L1007)-1)))</f>
        <v/>
      </c>
      <c r="X1007" s="7" t="str">
        <f aca="false">IF(L1007="","",VALUE(MID(L1007,FIND("/",L1007)+1,FIND("/",L1007,FIND("/",L1007)+1)-FIND("/",L1007)-1)))</f>
        <v/>
      </c>
      <c r="Y1007" s="7" t="str">
        <f aca="false">IF(L1007="","",VALUE(MID(L1007,FIND("/",L1007,FIND("/",L1007)+1)+1,LEN(L1007)-FIND("/",L1007,FIND("/",L1007)+1))))</f>
        <v/>
      </c>
      <c r="Z1007" s="7" t="str">
        <f aca="false">IF(OR(L1007="",W1007=""),"",IFERROR(INDEX('لیست‌ها'!$Q$3:$Q$53,MATCH(W1007,'لیست‌ها'!$P$3:$P$53,0))+IF(X1007&lt;=6,(X1007-1)*31+Y1007,IF(X1007&lt;=11,186+(X1007-7)*30+Y1007,336+Y1007))-1,""))</f>
        <v/>
      </c>
      <c r="AA1007" s="7" t="str">
        <f aca="false">IF(H1007="","",VALUE(LEFT(H1007,FIND("/",H1007)-1)))</f>
        <v/>
      </c>
      <c r="AB1007" s="7" t="str">
        <f aca="false">IF(H1007="","",VALUE(MID(H1007,FIND("/",H1007)+1,FIND("/",H1007,FIND("/",H1007)+1)-FIND("/",H1007)-1)))</f>
        <v/>
      </c>
      <c r="AC1007" s="7" t="str">
        <f aca="false">IF(H1007="","",VALUE(MID(H1007,FIND("/",H1007,FIND("/",H1007)+1)+1,LEN(H1007)-FIND("/",H1007,FIND("/",H1007)+1))))</f>
        <v/>
      </c>
      <c r="AD1007" s="7" t="str">
        <f aca="false">IF(OR(H1007="",AA1007=""),"",IFERROR(INDEX('لیست‌ها'!$Q$3:$Q$53,MATCH(AA1007,'لیست‌ها'!$P$3:$P$53,0))+IF(AB1007&lt;=6,(AB1007-1)*31+AC1007,IF(AB1007&lt;=11,186+(AB1007-7)*30+AC1007,336+AC1007))-1,""))</f>
        <v/>
      </c>
      <c r="AE1007" s="7" t="str">
        <f aca="false">IF(P1007="","",VALUE(LEFT(P1007,FIND("/",P1007)-1)))</f>
        <v/>
      </c>
      <c r="AF1007" s="7" t="str">
        <f aca="false">IF(P1007="","",VALUE(MID(P1007,FIND("/",P1007)+1,FIND("/",P1007,FIND("/",P1007)+1)-FIND("/",P1007)-1)))</f>
        <v/>
      </c>
      <c r="AG1007" s="7" t="str">
        <f aca="false">IF(P1007="","",VALUE(MID(P1007,FIND("/",P1007,FIND("/",P1007)+1)+1,LEN(P1007)-FIND("/",P1007,FIND("/",P1007)+1))))</f>
        <v/>
      </c>
      <c r="AH1007" s="7" t="str">
        <f aca="false">IF(OR(P1007="",AE1007=""),"",IFERROR(INDEX('لیست‌ها'!$Q$3:$Q$53,MATCH(AE1007,'لیست‌ها'!$P$3:$P$53,0))+IF(AF1007&lt;=6,(AF1007-1)*31+AG1007,IF(AF1007&lt;=11,186+(AF1007-7)*30+AG1007,336+AG1007))-1,""))</f>
        <v/>
      </c>
      <c r="AI1007" s="7" t="str">
        <f aca="false">IF(W1007="","",W1007&amp;"-"&amp;TEXT(X1007,"00"))</f>
        <v/>
      </c>
      <c r="AJ1007" s="7" t="str">
        <f aca="false">IF(W1007="","",W1007*12+X1007)</f>
        <v/>
      </c>
      <c r="AK1007" s="7" t="str">
        <f aca="false">IF(U1007="تاخیر",V1007+ROW()/100000,"")</f>
        <v/>
      </c>
    </row>
    <row r="1008" customFormat="false" ht="15" hidden="false" customHeight="false" outlineLevel="0" collapsed="false">
      <c r="A1008" s="7" t="str">
        <f aca="false">IF(B1008="","",ROW()-3)</f>
        <v/>
      </c>
      <c r="B1008" s="8"/>
      <c r="C1008" s="8"/>
      <c r="D1008" s="8"/>
      <c r="E1008" s="9"/>
      <c r="F1008" s="9"/>
      <c r="G1008" s="8"/>
      <c r="H1008" s="8"/>
      <c r="I1008" s="8"/>
      <c r="J1008" s="9"/>
      <c r="K1008" s="8"/>
      <c r="L1008" s="8"/>
      <c r="M1008" s="8"/>
      <c r="N1008" s="8"/>
      <c r="O1008" s="8"/>
      <c r="P1008" s="8"/>
      <c r="Q1008" s="8"/>
      <c r="R1008" s="9"/>
      <c r="S1008" s="8"/>
      <c r="T1008" s="9"/>
      <c r="U1008" s="10" t="str">
        <f aca="true">IF(B1008="","",IF(OR(P1008&lt;&gt;"",I1008="می‌باشد"),"بسته",IF(AND(L1008&lt;&gt;"",W1008=""),"خطای فرمت تاریخ ایجاد",IF(AND(H1008&lt;&gt;"",AA1008=""),"خطای فرمت مهلت",IF(AND(H1008&lt;&gt;"",AD1008&lt;&gt;"",TODAY()&gt;AD1008),"تاخیر",IF(L1008&lt;&gt;"","در حال انجام",""))))))</f>
        <v/>
      </c>
      <c r="V1008" s="7" t="n">
        <f aca="true">IF(U1008="تاخیر",TODAY()-AD1008,IF(AND(U1008="بسته",AH1008&lt;&gt;"",AD1008&lt;&gt;"",AH1008&gt;AD1008),AH1008-AD1008,0))</f>
        <v>0</v>
      </c>
      <c r="W1008" s="7" t="str">
        <f aca="false">IF(L1008="","",VALUE(LEFT(L1008,FIND("/",L1008)-1)))</f>
        <v/>
      </c>
      <c r="X1008" s="7" t="str">
        <f aca="false">IF(L1008="","",VALUE(MID(L1008,FIND("/",L1008)+1,FIND("/",L1008,FIND("/",L1008)+1)-FIND("/",L1008)-1)))</f>
        <v/>
      </c>
      <c r="Y1008" s="7" t="str">
        <f aca="false">IF(L1008="","",VALUE(MID(L1008,FIND("/",L1008,FIND("/",L1008)+1)+1,LEN(L1008)-FIND("/",L1008,FIND("/",L1008)+1))))</f>
        <v/>
      </c>
      <c r="Z1008" s="7" t="str">
        <f aca="false">IF(OR(L1008="",W1008=""),"",IFERROR(INDEX('لیست‌ها'!$Q$3:$Q$53,MATCH(W1008,'لیست‌ها'!$P$3:$P$53,0))+IF(X1008&lt;=6,(X1008-1)*31+Y1008,IF(X1008&lt;=11,186+(X1008-7)*30+Y1008,336+Y1008))-1,""))</f>
        <v/>
      </c>
      <c r="AA1008" s="7" t="str">
        <f aca="false">IF(H1008="","",VALUE(LEFT(H1008,FIND("/",H1008)-1)))</f>
        <v/>
      </c>
      <c r="AB1008" s="7" t="str">
        <f aca="false">IF(H1008="","",VALUE(MID(H1008,FIND("/",H1008)+1,FIND("/",H1008,FIND("/",H1008)+1)-FIND("/",H1008)-1)))</f>
        <v/>
      </c>
      <c r="AC1008" s="7" t="str">
        <f aca="false">IF(H1008="","",VALUE(MID(H1008,FIND("/",H1008,FIND("/",H1008)+1)+1,LEN(H1008)-FIND("/",H1008,FIND("/",H1008)+1))))</f>
        <v/>
      </c>
      <c r="AD1008" s="7" t="str">
        <f aca="false">IF(OR(H1008="",AA1008=""),"",IFERROR(INDEX('لیست‌ها'!$Q$3:$Q$53,MATCH(AA1008,'لیست‌ها'!$P$3:$P$53,0))+IF(AB1008&lt;=6,(AB1008-1)*31+AC1008,IF(AB1008&lt;=11,186+(AB1008-7)*30+AC1008,336+AC1008))-1,""))</f>
        <v/>
      </c>
      <c r="AE1008" s="7" t="str">
        <f aca="false">IF(P1008="","",VALUE(LEFT(P1008,FIND("/",P1008)-1)))</f>
        <v/>
      </c>
      <c r="AF1008" s="7" t="str">
        <f aca="false">IF(P1008="","",VALUE(MID(P1008,FIND("/",P1008)+1,FIND("/",P1008,FIND("/",P1008)+1)-FIND("/",P1008)-1)))</f>
        <v/>
      </c>
      <c r="AG1008" s="7" t="str">
        <f aca="false">IF(P1008="","",VALUE(MID(P1008,FIND("/",P1008,FIND("/",P1008)+1)+1,LEN(P1008)-FIND("/",P1008,FIND("/",P1008)+1))))</f>
        <v/>
      </c>
      <c r="AH1008" s="7" t="str">
        <f aca="false">IF(OR(P1008="",AE1008=""),"",IFERROR(INDEX('لیست‌ها'!$Q$3:$Q$53,MATCH(AE1008,'لیست‌ها'!$P$3:$P$53,0))+IF(AF1008&lt;=6,(AF1008-1)*31+AG1008,IF(AF1008&lt;=11,186+(AF1008-7)*30+AG1008,336+AG1008))-1,""))</f>
        <v/>
      </c>
      <c r="AI1008" s="7" t="str">
        <f aca="false">IF(W1008="","",W1008&amp;"-"&amp;TEXT(X1008,"00"))</f>
        <v/>
      </c>
      <c r="AJ1008" s="7" t="str">
        <f aca="false">IF(W1008="","",W1008*12+X1008)</f>
        <v/>
      </c>
      <c r="AK1008" s="7" t="str">
        <f aca="false">IF(U1008="تاخیر",V1008+ROW()/100000,"")</f>
        <v/>
      </c>
    </row>
    <row r="1009" customFormat="false" ht="15" hidden="false" customHeight="false" outlineLevel="0" collapsed="false">
      <c r="A1009" s="7" t="str">
        <f aca="false">IF(B1009="","",ROW()-3)</f>
        <v/>
      </c>
      <c r="B1009" s="8"/>
      <c r="C1009" s="8"/>
      <c r="D1009" s="8"/>
      <c r="E1009" s="9"/>
      <c r="F1009" s="9"/>
      <c r="G1009" s="8"/>
      <c r="H1009" s="8"/>
      <c r="I1009" s="8"/>
      <c r="J1009" s="9"/>
      <c r="K1009" s="8"/>
      <c r="L1009" s="8"/>
      <c r="M1009" s="8"/>
      <c r="N1009" s="8"/>
      <c r="O1009" s="8"/>
      <c r="P1009" s="8"/>
      <c r="Q1009" s="8"/>
      <c r="R1009" s="9"/>
      <c r="S1009" s="8"/>
      <c r="T1009" s="9"/>
      <c r="U1009" s="10" t="str">
        <f aca="true">IF(B1009="","",IF(OR(P1009&lt;&gt;"",I1009="می‌باشد"),"بسته",IF(AND(L1009&lt;&gt;"",W1009=""),"خطای فرمت تاریخ ایجاد",IF(AND(H1009&lt;&gt;"",AA1009=""),"خطای فرمت مهلت",IF(AND(H1009&lt;&gt;"",AD1009&lt;&gt;"",TODAY()&gt;AD1009),"تاخیر",IF(L1009&lt;&gt;"","در حال انجام",""))))))</f>
        <v/>
      </c>
      <c r="V1009" s="7" t="n">
        <f aca="true">IF(U1009="تاخیر",TODAY()-AD1009,IF(AND(U1009="بسته",AH1009&lt;&gt;"",AD1009&lt;&gt;"",AH1009&gt;AD1009),AH1009-AD1009,0))</f>
        <v>0</v>
      </c>
      <c r="W1009" s="7" t="str">
        <f aca="false">IF(L1009="","",VALUE(LEFT(L1009,FIND("/",L1009)-1)))</f>
        <v/>
      </c>
      <c r="X1009" s="7" t="str">
        <f aca="false">IF(L1009="","",VALUE(MID(L1009,FIND("/",L1009)+1,FIND("/",L1009,FIND("/",L1009)+1)-FIND("/",L1009)-1)))</f>
        <v/>
      </c>
      <c r="Y1009" s="7" t="str">
        <f aca="false">IF(L1009="","",VALUE(MID(L1009,FIND("/",L1009,FIND("/",L1009)+1)+1,LEN(L1009)-FIND("/",L1009,FIND("/",L1009)+1))))</f>
        <v/>
      </c>
      <c r="Z1009" s="7" t="str">
        <f aca="false">IF(OR(L1009="",W1009=""),"",IFERROR(INDEX('لیست‌ها'!$Q$3:$Q$53,MATCH(W1009,'لیست‌ها'!$P$3:$P$53,0))+IF(X1009&lt;=6,(X1009-1)*31+Y1009,IF(X1009&lt;=11,186+(X1009-7)*30+Y1009,336+Y1009))-1,""))</f>
        <v/>
      </c>
      <c r="AA1009" s="7" t="str">
        <f aca="false">IF(H1009="","",VALUE(LEFT(H1009,FIND("/",H1009)-1)))</f>
        <v/>
      </c>
      <c r="AB1009" s="7" t="str">
        <f aca="false">IF(H1009="","",VALUE(MID(H1009,FIND("/",H1009)+1,FIND("/",H1009,FIND("/",H1009)+1)-FIND("/",H1009)-1)))</f>
        <v/>
      </c>
      <c r="AC1009" s="7" t="str">
        <f aca="false">IF(H1009="","",VALUE(MID(H1009,FIND("/",H1009,FIND("/",H1009)+1)+1,LEN(H1009)-FIND("/",H1009,FIND("/",H1009)+1))))</f>
        <v/>
      </c>
      <c r="AD1009" s="7" t="str">
        <f aca="false">IF(OR(H1009="",AA1009=""),"",IFERROR(INDEX('لیست‌ها'!$Q$3:$Q$53,MATCH(AA1009,'لیست‌ها'!$P$3:$P$53,0))+IF(AB1009&lt;=6,(AB1009-1)*31+AC1009,IF(AB1009&lt;=11,186+(AB1009-7)*30+AC1009,336+AC1009))-1,""))</f>
        <v/>
      </c>
      <c r="AE1009" s="7" t="str">
        <f aca="false">IF(P1009="","",VALUE(LEFT(P1009,FIND("/",P1009)-1)))</f>
        <v/>
      </c>
      <c r="AF1009" s="7" t="str">
        <f aca="false">IF(P1009="","",VALUE(MID(P1009,FIND("/",P1009)+1,FIND("/",P1009,FIND("/",P1009)+1)-FIND("/",P1009)-1)))</f>
        <v/>
      </c>
      <c r="AG1009" s="7" t="str">
        <f aca="false">IF(P1009="","",VALUE(MID(P1009,FIND("/",P1009,FIND("/",P1009)+1)+1,LEN(P1009)-FIND("/",P1009,FIND("/",P1009)+1))))</f>
        <v/>
      </c>
      <c r="AH1009" s="7" t="str">
        <f aca="false">IF(OR(P1009="",AE1009=""),"",IFERROR(INDEX('لیست‌ها'!$Q$3:$Q$53,MATCH(AE1009,'لیست‌ها'!$P$3:$P$53,0))+IF(AF1009&lt;=6,(AF1009-1)*31+AG1009,IF(AF1009&lt;=11,186+(AF1009-7)*30+AG1009,336+AG1009))-1,""))</f>
        <v/>
      </c>
      <c r="AI1009" s="7" t="str">
        <f aca="false">IF(W1009="","",W1009&amp;"-"&amp;TEXT(X1009,"00"))</f>
        <v/>
      </c>
      <c r="AJ1009" s="7" t="str">
        <f aca="false">IF(W1009="","",W1009*12+X1009)</f>
        <v/>
      </c>
      <c r="AK1009" s="7" t="str">
        <f aca="false">IF(U1009="تاخیر",V1009+ROW()/100000,"")</f>
        <v/>
      </c>
    </row>
    <row r="1010" customFormat="false" ht="15" hidden="false" customHeight="false" outlineLevel="0" collapsed="false">
      <c r="A1010" s="7" t="str">
        <f aca="false">IF(B1010="","",ROW()-3)</f>
        <v/>
      </c>
      <c r="B1010" s="8"/>
      <c r="C1010" s="8"/>
      <c r="D1010" s="8"/>
      <c r="E1010" s="9"/>
      <c r="F1010" s="9"/>
      <c r="G1010" s="8"/>
      <c r="H1010" s="8"/>
      <c r="I1010" s="8"/>
      <c r="J1010" s="9"/>
      <c r="K1010" s="8"/>
      <c r="L1010" s="8"/>
      <c r="M1010" s="8"/>
      <c r="N1010" s="8"/>
      <c r="O1010" s="8"/>
      <c r="P1010" s="8"/>
      <c r="Q1010" s="8"/>
      <c r="R1010" s="9"/>
      <c r="S1010" s="8"/>
      <c r="T1010" s="9"/>
      <c r="U1010" s="10" t="str">
        <f aca="true">IF(B1010="","",IF(OR(P1010&lt;&gt;"",I1010="می‌باشد"),"بسته",IF(AND(L1010&lt;&gt;"",W1010=""),"خطای فرمت تاریخ ایجاد",IF(AND(H1010&lt;&gt;"",AA1010=""),"خطای فرمت مهلت",IF(AND(H1010&lt;&gt;"",AD1010&lt;&gt;"",TODAY()&gt;AD1010),"تاخیر",IF(L1010&lt;&gt;"","در حال انجام",""))))))</f>
        <v/>
      </c>
      <c r="V1010" s="7" t="n">
        <f aca="true">IF(U1010="تاخیر",TODAY()-AD1010,IF(AND(U1010="بسته",AH1010&lt;&gt;"",AD1010&lt;&gt;"",AH1010&gt;AD1010),AH1010-AD1010,0))</f>
        <v>0</v>
      </c>
      <c r="W1010" s="7" t="str">
        <f aca="false">IF(L1010="","",VALUE(LEFT(L1010,FIND("/",L1010)-1)))</f>
        <v/>
      </c>
      <c r="X1010" s="7" t="str">
        <f aca="false">IF(L1010="","",VALUE(MID(L1010,FIND("/",L1010)+1,FIND("/",L1010,FIND("/",L1010)+1)-FIND("/",L1010)-1)))</f>
        <v/>
      </c>
      <c r="Y1010" s="7" t="str">
        <f aca="false">IF(L1010="","",VALUE(MID(L1010,FIND("/",L1010,FIND("/",L1010)+1)+1,LEN(L1010)-FIND("/",L1010,FIND("/",L1010)+1))))</f>
        <v/>
      </c>
      <c r="Z1010" s="7" t="str">
        <f aca="false">IF(OR(L1010="",W1010=""),"",IFERROR(INDEX('لیست‌ها'!$Q$3:$Q$53,MATCH(W1010,'لیست‌ها'!$P$3:$P$53,0))+IF(X1010&lt;=6,(X1010-1)*31+Y1010,IF(X1010&lt;=11,186+(X1010-7)*30+Y1010,336+Y1010))-1,""))</f>
        <v/>
      </c>
      <c r="AA1010" s="7" t="str">
        <f aca="false">IF(H1010="","",VALUE(LEFT(H1010,FIND("/",H1010)-1)))</f>
        <v/>
      </c>
      <c r="AB1010" s="7" t="str">
        <f aca="false">IF(H1010="","",VALUE(MID(H1010,FIND("/",H1010)+1,FIND("/",H1010,FIND("/",H1010)+1)-FIND("/",H1010)-1)))</f>
        <v/>
      </c>
      <c r="AC1010" s="7" t="str">
        <f aca="false">IF(H1010="","",VALUE(MID(H1010,FIND("/",H1010,FIND("/",H1010)+1)+1,LEN(H1010)-FIND("/",H1010,FIND("/",H1010)+1))))</f>
        <v/>
      </c>
      <c r="AD1010" s="7" t="str">
        <f aca="false">IF(OR(H1010="",AA1010=""),"",IFERROR(INDEX('لیست‌ها'!$Q$3:$Q$53,MATCH(AA1010,'لیست‌ها'!$P$3:$P$53,0))+IF(AB1010&lt;=6,(AB1010-1)*31+AC1010,IF(AB1010&lt;=11,186+(AB1010-7)*30+AC1010,336+AC1010))-1,""))</f>
        <v/>
      </c>
      <c r="AE1010" s="7" t="str">
        <f aca="false">IF(P1010="","",VALUE(LEFT(P1010,FIND("/",P1010)-1)))</f>
        <v/>
      </c>
      <c r="AF1010" s="7" t="str">
        <f aca="false">IF(P1010="","",VALUE(MID(P1010,FIND("/",P1010)+1,FIND("/",P1010,FIND("/",P1010)+1)-FIND("/",P1010)-1)))</f>
        <v/>
      </c>
      <c r="AG1010" s="7" t="str">
        <f aca="false">IF(P1010="","",VALUE(MID(P1010,FIND("/",P1010,FIND("/",P1010)+1)+1,LEN(P1010)-FIND("/",P1010,FIND("/",P1010)+1))))</f>
        <v/>
      </c>
      <c r="AH1010" s="7" t="str">
        <f aca="false">IF(OR(P1010="",AE1010=""),"",IFERROR(INDEX('لیست‌ها'!$Q$3:$Q$53,MATCH(AE1010,'لیست‌ها'!$P$3:$P$53,0))+IF(AF1010&lt;=6,(AF1010-1)*31+AG1010,IF(AF1010&lt;=11,186+(AF1010-7)*30+AG1010,336+AG1010))-1,""))</f>
        <v/>
      </c>
      <c r="AI1010" s="7" t="str">
        <f aca="false">IF(W1010="","",W1010&amp;"-"&amp;TEXT(X1010,"00"))</f>
        <v/>
      </c>
      <c r="AJ1010" s="7" t="str">
        <f aca="false">IF(W1010="","",W1010*12+X1010)</f>
        <v/>
      </c>
      <c r="AK1010" s="7" t="str">
        <f aca="false">IF(U1010="تاخیر",V1010+ROW()/100000,"")</f>
        <v/>
      </c>
    </row>
    <row r="1011" customFormat="false" ht="15" hidden="false" customHeight="false" outlineLevel="0" collapsed="false">
      <c r="A1011" s="7" t="str">
        <f aca="false">IF(B1011="","",ROW()-3)</f>
        <v/>
      </c>
      <c r="B1011" s="8"/>
      <c r="C1011" s="8"/>
      <c r="D1011" s="8"/>
      <c r="E1011" s="9"/>
      <c r="F1011" s="9"/>
      <c r="G1011" s="8"/>
      <c r="H1011" s="8"/>
      <c r="I1011" s="8"/>
      <c r="J1011" s="9"/>
      <c r="K1011" s="8"/>
      <c r="L1011" s="8"/>
      <c r="M1011" s="8"/>
      <c r="N1011" s="8"/>
      <c r="O1011" s="8"/>
      <c r="P1011" s="8"/>
      <c r="Q1011" s="8"/>
      <c r="R1011" s="9"/>
      <c r="S1011" s="8"/>
      <c r="T1011" s="9"/>
      <c r="U1011" s="10" t="str">
        <f aca="true">IF(B1011="","",IF(OR(P1011&lt;&gt;"",I1011="می‌باشد"),"بسته",IF(AND(L1011&lt;&gt;"",W1011=""),"خطای فرمت تاریخ ایجاد",IF(AND(H1011&lt;&gt;"",AA1011=""),"خطای فرمت مهلت",IF(AND(H1011&lt;&gt;"",AD1011&lt;&gt;"",TODAY()&gt;AD1011),"تاخیر",IF(L1011&lt;&gt;"","در حال انجام",""))))))</f>
        <v/>
      </c>
      <c r="V1011" s="7" t="n">
        <f aca="true">IF(U1011="تاخیر",TODAY()-AD1011,IF(AND(U1011="بسته",AH1011&lt;&gt;"",AD1011&lt;&gt;"",AH1011&gt;AD1011),AH1011-AD1011,0))</f>
        <v>0</v>
      </c>
      <c r="W1011" s="7" t="str">
        <f aca="false">IF(L1011="","",VALUE(LEFT(L1011,FIND("/",L1011)-1)))</f>
        <v/>
      </c>
      <c r="X1011" s="7" t="str">
        <f aca="false">IF(L1011="","",VALUE(MID(L1011,FIND("/",L1011)+1,FIND("/",L1011,FIND("/",L1011)+1)-FIND("/",L1011)-1)))</f>
        <v/>
      </c>
      <c r="Y1011" s="7" t="str">
        <f aca="false">IF(L1011="","",VALUE(MID(L1011,FIND("/",L1011,FIND("/",L1011)+1)+1,LEN(L1011)-FIND("/",L1011,FIND("/",L1011)+1))))</f>
        <v/>
      </c>
      <c r="Z1011" s="7" t="str">
        <f aca="false">IF(OR(L1011="",W1011=""),"",IFERROR(INDEX('لیست‌ها'!$Q$3:$Q$53,MATCH(W1011,'لیست‌ها'!$P$3:$P$53,0))+IF(X1011&lt;=6,(X1011-1)*31+Y1011,IF(X1011&lt;=11,186+(X1011-7)*30+Y1011,336+Y1011))-1,""))</f>
        <v/>
      </c>
      <c r="AA1011" s="7" t="str">
        <f aca="false">IF(H1011="","",VALUE(LEFT(H1011,FIND("/",H1011)-1)))</f>
        <v/>
      </c>
      <c r="AB1011" s="7" t="str">
        <f aca="false">IF(H1011="","",VALUE(MID(H1011,FIND("/",H1011)+1,FIND("/",H1011,FIND("/",H1011)+1)-FIND("/",H1011)-1)))</f>
        <v/>
      </c>
      <c r="AC1011" s="7" t="str">
        <f aca="false">IF(H1011="","",VALUE(MID(H1011,FIND("/",H1011,FIND("/",H1011)+1)+1,LEN(H1011)-FIND("/",H1011,FIND("/",H1011)+1))))</f>
        <v/>
      </c>
      <c r="AD1011" s="7" t="str">
        <f aca="false">IF(OR(H1011="",AA1011=""),"",IFERROR(INDEX('لیست‌ها'!$Q$3:$Q$53,MATCH(AA1011,'لیست‌ها'!$P$3:$P$53,0))+IF(AB1011&lt;=6,(AB1011-1)*31+AC1011,IF(AB1011&lt;=11,186+(AB1011-7)*30+AC1011,336+AC1011))-1,""))</f>
        <v/>
      </c>
      <c r="AE1011" s="7" t="str">
        <f aca="false">IF(P1011="","",VALUE(LEFT(P1011,FIND("/",P1011)-1)))</f>
        <v/>
      </c>
      <c r="AF1011" s="7" t="str">
        <f aca="false">IF(P1011="","",VALUE(MID(P1011,FIND("/",P1011)+1,FIND("/",P1011,FIND("/",P1011)+1)-FIND("/",P1011)-1)))</f>
        <v/>
      </c>
      <c r="AG1011" s="7" t="str">
        <f aca="false">IF(P1011="","",VALUE(MID(P1011,FIND("/",P1011,FIND("/",P1011)+1)+1,LEN(P1011)-FIND("/",P1011,FIND("/",P1011)+1))))</f>
        <v/>
      </c>
      <c r="AH1011" s="7" t="str">
        <f aca="false">IF(OR(P1011="",AE1011=""),"",IFERROR(INDEX('لیست‌ها'!$Q$3:$Q$53,MATCH(AE1011,'لیست‌ها'!$P$3:$P$53,0))+IF(AF1011&lt;=6,(AF1011-1)*31+AG1011,IF(AF1011&lt;=11,186+(AF1011-7)*30+AG1011,336+AG1011))-1,""))</f>
        <v/>
      </c>
      <c r="AI1011" s="7" t="str">
        <f aca="false">IF(W1011="","",W1011&amp;"-"&amp;TEXT(X1011,"00"))</f>
        <v/>
      </c>
      <c r="AJ1011" s="7" t="str">
        <f aca="false">IF(W1011="","",W1011*12+X1011)</f>
        <v/>
      </c>
      <c r="AK1011" s="7" t="str">
        <f aca="false">IF(U1011="تاخیر",V1011+ROW()/100000,"")</f>
        <v/>
      </c>
    </row>
    <row r="1012" customFormat="false" ht="15" hidden="false" customHeight="false" outlineLevel="0" collapsed="false">
      <c r="A1012" s="7" t="str">
        <f aca="false">IF(B1012="","",ROW()-3)</f>
        <v/>
      </c>
      <c r="B1012" s="8"/>
      <c r="C1012" s="8"/>
      <c r="D1012" s="8"/>
      <c r="E1012" s="9"/>
      <c r="F1012" s="9"/>
      <c r="G1012" s="8"/>
      <c r="H1012" s="8"/>
      <c r="I1012" s="8"/>
      <c r="J1012" s="9"/>
      <c r="K1012" s="8"/>
      <c r="L1012" s="8"/>
      <c r="M1012" s="8"/>
      <c r="N1012" s="8"/>
      <c r="O1012" s="8"/>
      <c r="P1012" s="8"/>
      <c r="Q1012" s="8"/>
      <c r="R1012" s="9"/>
      <c r="S1012" s="8"/>
      <c r="T1012" s="9"/>
      <c r="U1012" s="10" t="str">
        <f aca="true">IF(B1012="","",IF(OR(P1012&lt;&gt;"",I1012="می‌باشد"),"بسته",IF(AND(L1012&lt;&gt;"",W1012=""),"خطای فرمت تاریخ ایجاد",IF(AND(H1012&lt;&gt;"",AA1012=""),"خطای فرمت مهلت",IF(AND(H1012&lt;&gt;"",AD1012&lt;&gt;"",TODAY()&gt;AD1012),"تاخیر",IF(L1012&lt;&gt;"","در حال انجام",""))))))</f>
        <v/>
      </c>
      <c r="V1012" s="7" t="n">
        <f aca="true">IF(U1012="تاخیر",TODAY()-AD1012,IF(AND(U1012="بسته",AH1012&lt;&gt;"",AD1012&lt;&gt;"",AH1012&gt;AD1012),AH1012-AD1012,0))</f>
        <v>0</v>
      </c>
      <c r="W1012" s="7" t="str">
        <f aca="false">IF(L1012="","",VALUE(LEFT(L1012,FIND("/",L1012)-1)))</f>
        <v/>
      </c>
      <c r="X1012" s="7" t="str">
        <f aca="false">IF(L1012="","",VALUE(MID(L1012,FIND("/",L1012)+1,FIND("/",L1012,FIND("/",L1012)+1)-FIND("/",L1012)-1)))</f>
        <v/>
      </c>
      <c r="Y1012" s="7" t="str">
        <f aca="false">IF(L1012="","",VALUE(MID(L1012,FIND("/",L1012,FIND("/",L1012)+1)+1,LEN(L1012)-FIND("/",L1012,FIND("/",L1012)+1))))</f>
        <v/>
      </c>
      <c r="Z1012" s="7" t="str">
        <f aca="false">IF(OR(L1012="",W1012=""),"",IFERROR(INDEX('لیست‌ها'!$Q$3:$Q$53,MATCH(W1012,'لیست‌ها'!$P$3:$P$53,0))+IF(X1012&lt;=6,(X1012-1)*31+Y1012,IF(X1012&lt;=11,186+(X1012-7)*30+Y1012,336+Y1012))-1,""))</f>
        <v/>
      </c>
      <c r="AA1012" s="7" t="str">
        <f aca="false">IF(H1012="","",VALUE(LEFT(H1012,FIND("/",H1012)-1)))</f>
        <v/>
      </c>
      <c r="AB1012" s="7" t="str">
        <f aca="false">IF(H1012="","",VALUE(MID(H1012,FIND("/",H1012)+1,FIND("/",H1012,FIND("/",H1012)+1)-FIND("/",H1012)-1)))</f>
        <v/>
      </c>
      <c r="AC1012" s="7" t="str">
        <f aca="false">IF(H1012="","",VALUE(MID(H1012,FIND("/",H1012,FIND("/",H1012)+1)+1,LEN(H1012)-FIND("/",H1012,FIND("/",H1012)+1))))</f>
        <v/>
      </c>
      <c r="AD1012" s="7" t="str">
        <f aca="false">IF(OR(H1012="",AA1012=""),"",IFERROR(INDEX('لیست‌ها'!$Q$3:$Q$53,MATCH(AA1012,'لیست‌ها'!$P$3:$P$53,0))+IF(AB1012&lt;=6,(AB1012-1)*31+AC1012,IF(AB1012&lt;=11,186+(AB1012-7)*30+AC1012,336+AC1012))-1,""))</f>
        <v/>
      </c>
      <c r="AE1012" s="7" t="str">
        <f aca="false">IF(P1012="","",VALUE(LEFT(P1012,FIND("/",P1012)-1)))</f>
        <v/>
      </c>
      <c r="AF1012" s="7" t="str">
        <f aca="false">IF(P1012="","",VALUE(MID(P1012,FIND("/",P1012)+1,FIND("/",P1012,FIND("/",P1012)+1)-FIND("/",P1012)-1)))</f>
        <v/>
      </c>
      <c r="AG1012" s="7" t="str">
        <f aca="false">IF(P1012="","",VALUE(MID(P1012,FIND("/",P1012,FIND("/",P1012)+1)+1,LEN(P1012)-FIND("/",P1012,FIND("/",P1012)+1))))</f>
        <v/>
      </c>
      <c r="AH1012" s="7" t="str">
        <f aca="false">IF(OR(P1012="",AE1012=""),"",IFERROR(INDEX('لیست‌ها'!$Q$3:$Q$53,MATCH(AE1012,'لیست‌ها'!$P$3:$P$53,0))+IF(AF1012&lt;=6,(AF1012-1)*31+AG1012,IF(AF1012&lt;=11,186+(AF1012-7)*30+AG1012,336+AG1012))-1,""))</f>
        <v/>
      </c>
      <c r="AI1012" s="7" t="str">
        <f aca="false">IF(W1012="","",W1012&amp;"-"&amp;TEXT(X1012,"00"))</f>
        <v/>
      </c>
      <c r="AJ1012" s="7" t="str">
        <f aca="false">IF(W1012="","",W1012*12+X1012)</f>
        <v/>
      </c>
      <c r="AK1012" s="7" t="str">
        <f aca="false">IF(U1012="تاخیر",V1012+ROW()/100000,"")</f>
        <v/>
      </c>
    </row>
    <row r="1013" customFormat="false" ht="15" hidden="false" customHeight="false" outlineLevel="0" collapsed="false">
      <c r="A1013" s="7" t="str">
        <f aca="false">IF(B1013="","",ROW()-3)</f>
        <v/>
      </c>
      <c r="B1013" s="8"/>
      <c r="C1013" s="8"/>
      <c r="D1013" s="8"/>
      <c r="E1013" s="9"/>
      <c r="F1013" s="9"/>
      <c r="G1013" s="8"/>
      <c r="H1013" s="8"/>
      <c r="I1013" s="8"/>
      <c r="J1013" s="9"/>
      <c r="K1013" s="8"/>
      <c r="L1013" s="8"/>
      <c r="M1013" s="8"/>
      <c r="N1013" s="8"/>
      <c r="O1013" s="8"/>
      <c r="P1013" s="8"/>
      <c r="Q1013" s="8"/>
      <c r="R1013" s="9"/>
      <c r="S1013" s="8"/>
      <c r="T1013" s="9"/>
      <c r="U1013" s="10" t="str">
        <f aca="true">IF(B1013="","",IF(OR(P1013&lt;&gt;"",I1013="می‌باشد"),"بسته",IF(AND(L1013&lt;&gt;"",W1013=""),"خطای فرمت تاریخ ایجاد",IF(AND(H1013&lt;&gt;"",AA1013=""),"خطای فرمت مهلت",IF(AND(H1013&lt;&gt;"",AD1013&lt;&gt;"",TODAY()&gt;AD1013),"تاخیر",IF(L1013&lt;&gt;"","در حال انجام",""))))))</f>
        <v/>
      </c>
      <c r="V1013" s="7" t="n">
        <f aca="true">IF(U1013="تاخیر",TODAY()-AD1013,IF(AND(U1013="بسته",AH1013&lt;&gt;"",AD1013&lt;&gt;"",AH1013&gt;AD1013),AH1013-AD1013,0))</f>
        <v>0</v>
      </c>
      <c r="W1013" s="7" t="str">
        <f aca="false">IF(L1013="","",VALUE(LEFT(L1013,FIND("/",L1013)-1)))</f>
        <v/>
      </c>
      <c r="X1013" s="7" t="str">
        <f aca="false">IF(L1013="","",VALUE(MID(L1013,FIND("/",L1013)+1,FIND("/",L1013,FIND("/",L1013)+1)-FIND("/",L1013)-1)))</f>
        <v/>
      </c>
      <c r="Y1013" s="7" t="str">
        <f aca="false">IF(L1013="","",VALUE(MID(L1013,FIND("/",L1013,FIND("/",L1013)+1)+1,LEN(L1013)-FIND("/",L1013,FIND("/",L1013)+1))))</f>
        <v/>
      </c>
      <c r="Z1013" s="7" t="str">
        <f aca="false">IF(OR(L1013="",W1013=""),"",IFERROR(INDEX('لیست‌ها'!$Q$3:$Q$53,MATCH(W1013,'لیست‌ها'!$P$3:$P$53,0))+IF(X1013&lt;=6,(X1013-1)*31+Y1013,IF(X1013&lt;=11,186+(X1013-7)*30+Y1013,336+Y1013))-1,""))</f>
        <v/>
      </c>
      <c r="AA1013" s="7" t="str">
        <f aca="false">IF(H1013="","",VALUE(LEFT(H1013,FIND("/",H1013)-1)))</f>
        <v/>
      </c>
      <c r="AB1013" s="7" t="str">
        <f aca="false">IF(H1013="","",VALUE(MID(H1013,FIND("/",H1013)+1,FIND("/",H1013,FIND("/",H1013)+1)-FIND("/",H1013)-1)))</f>
        <v/>
      </c>
      <c r="AC1013" s="7" t="str">
        <f aca="false">IF(H1013="","",VALUE(MID(H1013,FIND("/",H1013,FIND("/",H1013)+1)+1,LEN(H1013)-FIND("/",H1013,FIND("/",H1013)+1))))</f>
        <v/>
      </c>
      <c r="AD1013" s="7" t="str">
        <f aca="false">IF(OR(H1013="",AA1013=""),"",IFERROR(INDEX('لیست‌ها'!$Q$3:$Q$53,MATCH(AA1013,'لیست‌ها'!$P$3:$P$53,0))+IF(AB1013&lt;=6,(AB1013-1)*31+AC1013,IF(AB1013&lt;=11,186+(AB1013-7)*30+AC1013,336+AC1013))-1,""))</f>
        <v/>
      </c>
      <c r="AE1013" s="7" t="str">
        <f aca="false">IF(P1013="","",VALUE(LEFT(P1013,FIND("/",P1013)-1)))</f>
        <v/>
      </c>
      <c r="AF1013" s="7" t="str">
        <f aca="false">IF(P1013="","",VALUE(MID(P1013,FIND("/",P1013)+1,FIND("/",P1013,FIND("/",P1013)+1)-FIND("/",P1013)-1)))</f>
        <v/>
      </c>
      <c r="AG1013" s="7" t="str">
        <f aca="false">IF(P1013="","",VALUE(MID(P1013,FIND("/",P1013,FIND("/",P1013)+1)+1,LEN(P1013)-FIND("/",P1013,FIND("/",P1013)+1))))</f>
        <v/>
      </c>
      <c r="AH1013" s="7" t="str">
        <f aca="false">IF(OR(P1013="",AE1013=""),"",IFERROR(INDEX('لیست‌ها'!$Q$3:$Q$53,MATCH(AE1013,'لیست‌ها'!$P$3:$P$53,0))+IF(AF1013&lt;=6,(AF1013-1)*31+AG1013,IF(AF1013&lt;=11,186+(AF1013-7)*30+AG1013,336+AG1013))-1,""))</f>
        <v/>
      </c>
      <c r="AI1013" s="7" t="str">
        <f aca="false">IF(W1013="","",W1013&amp;"-"&amp;TEXT(X1013,"00"))</f>
        <v/>
      </c>
      <c r="AJ1013" s="7" t="str">
        <f aca="false">IF(W1013="","",W1013*12+X1013)</f>
        <v/>
      </c>
      <c r="AK1013" s="7" t="str">
        <f aca="false">IF(U1013="تاخیر",V1013+ROW()/100000,"")</f>
        <v/>
      </c>
    </row>
    <row r="1014" customFormat="false" ht="15" hidden="false" customHeight="false" outlineLevel="0" collapsed="false">
      <c r="A1014" s="7" t="str">
        <f aca="false">IF(B1014="","",ROW()-3)</f>
        <v/>
      </c>
      <c r="B1014" s="8"/>
      <c r="C1014" s="8"/>
      <c r="D1014" s="8"/>
      <c r="E1014" s="9"/>
      <c r="F1014" s="9"/>
      <c r="G1014" s="8"/>
      <c r="H1014" s="8"/>
      <c r="I1014" s="8"/>
      <c r="J1014" s="9"/>
      <c r="K1014" s="8"/>
      <c r="L1014" s="8"/>
      <c r="M1014" s="8"/>
      <c r="N1014" s="8"/>
      <c r="O1014" s="8"/>
      <c r="P1014" s="8"/>
      <c r="Q1014" s="8"/>
      <c r="R1014" s="9"/>
      <c r="S1014" s="8"/>
      <c r="T1014" s="9"/>
      <c r="U1014" s="10" t="str">
        <f aca="true">IF(B1014="","",IF(OR(P1014&lt;&gt;"",I1014="می‌باشد"),"بسته",IF(AND(L1014&lt;&gt;"",W1014=""),"خطای فرمت تاریخ ایجاد",IF(AND(H1014&lt;&gt;"",AA1014=""),"خطای فرمت مهلت",IF(AND(H1014&lt;&gt;"",AD1014&lt;&gt;"",TODAY()&gt;AD1014),"تاخیر",IF(L1014&lt;&gt;"","در حال انجام",""))))))</f>
        <v/>
      </c>
      <c r="V1014" s="7" t="n">
        <f aca="true">IF(U1014="تاخیر",TODAY()-AD1014,IF(AND(U1014="بسته",AH1014&lt;&gt;"",AD1014&lt;&gt;"",AH1014&gt;AD1014),AH1014-AD1014,0))</f>
        <v>0</v>
      </c>
      <c r="W1014" s="7" t="str">
        <f aca="false">IF(L1014="","",VALUE(LEFT(L1014,FIND("/",L1014)-1)))</f>
        <v/>
      </c>
      <c r="X1014" s="7" t="str">
        <f aca="false">IF(L1014="","",VALUE(MID(L1014,FIND("/",L1014)+1,FIND("/",L1014,FIND("/",L1014)+1)-FIND("/",L1014)-1)))</f>
        <v/>
      </c>
      <c r="Y1014" s="7" t="str">
        <f aca="false">IF(L1014="","",VALUE(MID(L1014,FIND("/",L1014,FIND("/",L1014)+1)+1,LEN(L1014)-FIND("/",L1014,FIND("/",L1014)+1))))</f>
        <v/>
      </c>
      <c r="Z1014" s="7" t="str">
        <f aca="false">IF(OR(L1014="",W1014=""),"",IFERROR(INDEX('لیست‌ها'!$Q$3:$Q$53,MATCH(W1014,'لیست‌ها'!$P$3:$P$53,0))+IF(X1014&lt;=6,(X1014-1)*31+Y1014,IF(X1014&lt;=11,186+(X1014-7)*30+Y1014,336+Y1014))-1,""))</f>
        <v/>
      </c>
      <c r="AA1014" s="7" t="str">
        <f aca="false">IF(H1014="","",VALUE(LEFT(H1014,FIND("/",H1014)-1)))</f>
        <v/>
      </c>
      <c r="AB1014" s="7" t="str">
        <f aca="false">IF(H1014="","",VALUE(MID(H1014,FIND("/",H1014)+1,FIND("/",H1014,FIND("/",H1014)+1)-FIND("/",H1014)-1)))</f>
        <v/>
      </c>
      <c r="AC1014" s="7" t="str">
        <f aca="false">IF(H1014="","",VALUE(MID(H1014,FIND("/",H1014,FIND("/",H1014)+1)+1,LEN(H1014)-FIND("/",H1014,FIND("/",H1014)+1))))</f>
        <v/>
      </c>
      <c r="AD1014" s="7" t="str">
        <f aca="false">IF(OR(H1014="",AA1014=""),"",IFERROR(INDEX('لیست‌ها'!$Q$3:$Q$53,MATCH(AA1014,'لیست‌ها'!$P$3:$P$53,0))+IF(AB1014&lt;=6,(AB1014-1)*31+AC1014,IF(AB1014&lt;=11,186+(AB1014-7)*30+AC1014,336+AC1014))-1,""))</f>
        <v/>
      </c>
      <c r="AE1014" s="7" t="str">
        <f aca="false">IF(P1014="","",VALUE(LEFT(P1014,FIND("/",P1014)-1)))</f>
        <v/>
      </c>
      <c r="AF1014" s="7" t="str">
        <f aca="false">IF(P1014="","",VALUE(MID(P1014,FIND("/",P1014)+1,FIND("/",P1014,FIND("/",P1014)+1)-FIND("/",P1014)-1)))</f>
        <v/>
      </c>
      <c r="AG1014" s="7" t="str">
        <f aca="false">IF(P1014="","",VALUE(MID(P1014,FIND("/",P1014,FIND("/",P1014)+1)+1,LEN(P1014)-FIND("/",P1014,FIND("/",P1014)+1))))</f>
        <v/>
      </c>
      <c r="AH1014" s="7" t="str">
        <f aca="false">IF(OR(P1014="",AE1014=""),"",IFERROR(INDEX('لیست‌ها'!$Q$3:$Q$53,MATCH(AE1014,'لیست‌ها'!$P$3:$P$53,0))+IF(AF1014&lt;=6,(AF1014-1)*31+AG1014,IF(AF1014&lt;=11,186+(AF1014-7)*30+AG1014,336+AG1014))-1,""))</f>
        <v/>
      </c>
      <c r="AI1014" s="7" t="str">
        <f aca="false">IF(W1014="","",W1014&amp;"-"&amp;TEXT(X1014,"00"))</f>
        <v/>
      </c>
      <c r="AJ1014" s="7" t="str">
        <f aca="false">IF(W1014="","",W1014*12+X1014)</f>
        <v/>
      </c>
      <c r="AK1014" s="7" t="str">
        <f aca="false">IF(U1014="تاخیر",V1014+ROW()/100000,"")</f>
        <v/>
      </c>
    </row>
    <row r="1015" customFormat="false" ht="15" hidden="false" customHeight="false" outlineLevel="0" collapsed="false">
      <c r="A1015" s="7" t="str">
        <f aca="false">IF(B1015="","",ROW()-3)</f>
        <v/>
      </c>
      <c r="B1015" s="8"/>
      <c r="C1015" s="8"/>
      <c r="D1015" s="8"/>
      <c r="E1015" s="9"/>
      <c r="F1015" s="9"/>
      <c r="G1015" s="8"/>
      <c r="H1015" s="8"/>
      <c r="I1015" s="8"/>
      <c r="J1015" s="9"/>
      <c r="K1015" s="8"/>
      <c r="L1015" s="8"/>
      <c r="M1015" s="8"/>
      <c r="N1015" s="8"/>
      <c r="O1015" s="8"/>
      <c r="P1015" s="8"/>
      <c r="Q1015" s="8"/>
      <c r="R1015" s="9"/>
      <c r="S1015" s="8"/>
      <c r="T1015" s="9"/>
      <c r="U1015" s="10" t="str">
        <f aca="true">IF(B1015="","",IF(OR(P1015&lt;&gt;"",I1015="می‌باشد"),"بسته",IF(AND(L1015&lt;&gt;"",W1015=""),"خطای فرمت تاریخ ایجاد",IF(AND(H1015&lt;&gt;"",AA1015=""),"خطای فرمت مهلت",IF(AND(H1015&lt;&gt;"",AD1015&lt;&gt;"",TODAY()&gt;AD1015),"تاخیر",IF(L1015&lt;&gt;"","در حال انجام",""))))))</f>
        <v/>
      </c>
      <c r="V1015" s="7" t="n">
        <f aca="true">IF(U1015="تاخیر",TODAY()-AD1015,IF(AND(U1015="بسته",AH1015&lt;&gt;"",AD1015&lt;&gt;"",AH1015&gt;AD1015),AH1015-AD1015,0))</f>
        <v>0</v>
      </c>
      <c r="W1015" s="7" t="str">
        <f aca="false">IF(L1015="","",VALUE(LEFT(L1015,FIND("/",L1015)-1)))</f>
        <v/>
      </c>
      <c r="X1015" s="7" t="str">
        <f aca="false">IF(L1015="","",VALUE(MID(L1015,FIND("/",L1015)+1,FIND("/",L1015,FIND("/",L1015)+1)-FIND("/",L1015)-1)))</f>
        <v/>
      </c>
      <c r="Y1015" s="7" t="str">
        <f aca="false">IF(L1015="","",VALUE(MID(L1015,FIND("/",L1015,FIND("/",L1015)+1)+1,LEN(L1015)-FIND("/",L1015,FIND("/",L1015)+1))))</f>
        <v/>
      </c>
      <c r="Z1015" s="7" t="str">
        <f aca="false">IF(OR(L1015="",W1015=""),"",IFERROR(INDEX('لیست‌ها'!$Q$3:$Q$53,MATCH(W1015,'لیست‌ها'!$P$3:$P$53,0))+IF(X1015&lt;=6,(X1015-1)*31+Y1015,IF(X1015&lt;=11,186+(X1015-7)*30+Y1015,336+Y1015))-1,""))</f>
        <v/>
      </c>
      <c r="AA1015" s="7" t="str">
        <f aca="false">IF(H1015="","",VALUE(LEFT(H1015,FIND("/",H1015)-1)))</f>
        <v/>
      </c>
      <c r="AB1015" s="7" t="str">
        <f aca="false">IF(H1015="","",VALUE(MID(H1015,FIND("/",H1015)+1,FIND("/",H1015,FIND("/",H1015)+1)-FIND("/",H1015)-1)))</f>
        <v/>
      </c>
      <c r="AC1015" s="7" t="str">
        <f aca="false">IF(H1015="","",VALUE(MID(H1015,FIND("/",H1015,FIND("/",H1015)+1)+1,LEN(H1015)-FIND("/",H1015,FIND("/",H1015)+1))))</f>
        <v/>
      </c>
      <c r="AD1015" s="7" t="str">
        <f aca="false">IF(OR(H1015="",AA1015=""),"",IFERROR(INDEX('لیست‌ها'!$Q$3:$Q$53,MATCH(AA1015,'لیست‌ها'!$P$3:$P$53,0))+IF(AB1015&lt;=6,(AB1015-1)*31+AC1015,IF(AB1015&lt;=11,186+(AB1015-7)*30+AC1015,336+AC1015))-1,""))</f>
        <v/>
      </c>
      <c r="AE1015" s="7" t="str">
        <f aca="false">IF(P1015="","",VALUE(LEFT(P1015,FIND("/",P1015)-1)))</f>
        <v/>
      </c>
      <c r="AF1015" s="7" t="str">
        <f aca="false">IF(P1015="","",VALUE(MID(P1015,FIND("/",P1015)+1,FIND("/",P1015,FIND("/",P1015)+1)-FIND("/",P1015)-1)))</f>
        <v/>
      </c>
      <c r="AG1015" s="7" t="str">
        <f aca="false">IF(P1015="","",VALUE(MID(P1015,FIND("/",P1015,FIND("/",P1015)+1)+1,LEN(P1015)-FIND("/",P1015,FIND("/",P1015)+1))))</f>
        <v/>
      </c>
      <c r="AH1015" s="7" t="str">
        <f aca="false">IF(OR(P1015="",AE1015=""),"",IFERROR(INDEX('لیست‌ها'!$Q$3:$Q$53,MATCH(AE1015,'لیست‌ها'!$P$3:$P$53,0))+IF(AF1015&lt;=6,(AF1015-1)*31+AG1015,IF(AF1015&lt;=11,186+(AF1015-7)*30+AG1015,336+AG1015))-1,""))</f>
        <v/>
      </c>
      <c r="AI1015" s="7" t="str">
        <f aca="false">IF(W1015="","",W1015&amp;"-"&amp;TEXT(X1015,"00"))</f>
        <v/>
      </c>
      <c r="AJ1015" s="7" t="str">
        <f aca="false">IF(W1015="","",W1015*12+X1015)</f>
        <v/>
      </c>
      <c r="AK1015" s="7" t="str">
        <f aca="false">IF(U1015="تاخیر",V1015+ROW()/100000,"")</f>
        <v/>
      </c>
    </row>
    <row r="1016" customFormat="false" ht="15" hidden="false" customHeight="false" outlineLevel="0" collapsed="false">
      <c r="A1016" s="7" t="str">
        <f aca="false">IF(B1016="","",ROW()-3)</f>
        <v/>
      </c>
      <c r="B1016" s="8"/>
      <c r="C1016" s="8"/>
      <c r="D1016" s="8"/>
      <c r="E1016" s="9"/>
      <c r="F1016" s="9"/>
      <c r="G1016" s="8"/>
      <c r="H1016" s="8"/>
      <c r="I1016" s="8"/>
      <c r="J1016" s="9"/>
      <c r="K1016" s="8"/>
      <c r="L1016" s="8"/>
      <c r="M1016" s="8"/>
      <c r="N1016" s="8"/>
      <c r="O1016" s="8"/>
      <c r="P1016" s="8"/>
      <c r="Q1016" s="8"/>
      <c r="R1016" s="9"/>
      <c r="S1016" s="8"/>
      <c r="T1016" s="9"/>
      <c r="U1016" s="10" t="str">
        <f aca="true">IF(B1016="","",IF(OR(P1016&lt;&gt;"",I1016="می‌باشد"),"بسته",IF(AND(L1016&lt;&gt;"",W1016=""),"خطای فرمت تاریخ ایجاد",IF(AND(H1016&lt;&gt;"",AA1016=""),"خطای فرمت مهلت",IF(AND(H1016&lt;&gt;"",AD1016&lt;&gt;"",TODAY()&gt;AD1016),"تاخیر",IF(L1016&lt;&gt;"","در حال انجام",""))))))</f>
        <v/>
      </c>
      <c r="V1016" s="7" t="n">
        <f aca="true">IF(U1016="تاخیر",TODAY()-AD1016,IF(AND(U1016="بسته",AH1016&lt;&gt;"",AD1016&lt;&gt;"",AH1016&gt;AD1016),AH1016-AD1016,0))</f>
        <v>0</v>
      </c>
      <c r="W1016" s="7" t="str">
        <f aca="false">IF(L1016="","",VALUE(LEFT(L1016,FIND("/",L1016)-1)))</f>
        <v/>
      </c>
      <c r="X1016" s="7" t="str">
        <f aca="false">IF(L1016="","",VALUE(MID(L1016,FIND("/",L1016)+1,FIND("/",L1016,FIND("/",L1016)+1)-FIND("/",L1016)-1)))</f>
        <v/>
      </c>
      <c r="Y1016" s="7" t="str">
        <f aca="false">IF(L1016="","",VALUE(MID(L1016,FIND("/",L1016,FIND("/",L1016)+1)+1,LEN(L1016)-FIND("/",L1016,FIND("/",L1016)+1))))</f>
        <v/>
      </c>
      <c r="Z1016" s="7" t="str">
        <f aca="false">IF(OR(L1016="",W1016=""),"",IFERROR(INDEX('لیست‌ها'!$Q$3:$Q$53,MATCH(W1016,'لیست‌ها'!$P$3:$P$53,0))+IF(X1016&lt;=6,(X1016-1)*31+Y1016,IF(X1016&lt;=11,186+(X1016-7)*30+Y1016,336+Y1016))-1,""))</f>
        <v/>
      </c>
      <c r="AA1016" s="7" t="str">
        <f aca="false">IF(H1016="","",VALUE(LEFT(H1016,FIND("/",H1016)-1)))</f>
        <v/>
      </c>
      <c r="AB1016" s="7" t="str">
        <f aca="false">IF(H1016="","",VALUE(MID(H1016,FIND("/",H1016)+1,FIND("/",H1016,FIND("/",H1016)+1)-FIND("/",H1016)-1)))</f>
        <v/>
      </c>
      <c r="AC1016" s="7" t="str">
        <f aca="false">IF(H1016="","",VALUE(MID(H1016,FIND("/",H1016,FIND("/",H1016)+1)+1,LEN(H1016)-FIND("/",H1016,FIND("/",H1016)+1))))</f>
        <v/>
      </c>
      <c r="AD1016" s="7" t="str">
        <f aca="false">IF(OR(H1016="",AA1016=""),"",IFERROR(INDEX('لیست‌ها'!$Q$3:$Q$53,MATCH(AA1016,'لیست‌ها'!$P$3:$P$53,0))+IF(AB1016&lt;=6,(AB1016-1)*31+AC1016,IF(AB1016&lt;=11,186+(AB1016-7)*30+AC1016,336+AC1016))-1,""))</f>
        <v/>
      </c>
      <c r="AE1016" s="7" t="str">
        <f aca="false">IF(P1016="","",VALUE(LEFT(P1016,FIND("/",P1016)-1)))</f>
        <v/>
      </c>
      <c r="AF1016" s="7" t="str">
        <f aca="false">IF(P1016="","",VALUE(MID(P1016,FIND("/",P1016)+1,FIND("/",P1016,FIND("/",P1016)+1)-FIND("/",P1016)-1)))</f>
        <v/>
      </c>
      <c r="AG1016" s="7" t="str">
        <f aca="false">IF(P1016="","",VALUE(MID(P1016,FIND("/",P1016,FIND("/",P1016)+1)+1,LEN(P1016)-FIND("/",P1016,FIND("/",P1016)+1))))</f>
        <v/>
      </c>
      <c r="AH1016" s="7" t="str">
        <f aca="false">IF(OR(P1016="",AE1016=""),"",IFERROR(INDEX('لیست‌ها'!$Q$3:$Q$53,MATCH(AE1016,'لیست‌ها'!$P$3:$P$53,0))+IF(AF1016&lt;=6,(AF1016-1)*31+AG1016,IF(AF1016&lt;=11,186+(AF1016-7)*30+AG1016,336+AG1016))-1,""))</f>
        <v/>
      </c>
      <c r="AI1016" s="7" t="str">
        <f aca="false">IF(W1016="","",W1016&amp;"-"&amp;TEXT(X1016,"00"))</f>
        <v/>
      </c>
      <c r="AJ1016" s="7" t="str">
        <f aca="false">IF(W1016="","",W1016*12+X1016)</f>
        <v/>
      </c>
      <c r="AK1016" s="7" t="str">
        <f aca="false">IF(U1016="تاخیر",V1016+ROW()/100000,"")</f>
        <v/>
      </c>
    </row>
    <row r="1017" customFormat="false" ht="15" hidden="false" customHeight="false" outlineLevel="0" collapsed="false">
      <c r="A1017" s="7" t="str">
        <f aca="false">IF(B1017="","",ROW()-3)</f>
        <v/>
      </c>
      <c r="B1017" s="8"/>
      <c r="C1017" s="8"/>
      <c r="D1017" s="8"/>
      <c r="E1017" s="9"/>
      <c r="F1017" s="9"/>
      <c r="G1017" s="8"/>
      <c r="H1017" s="8"/>
      <c r="I1017" s="8"/>
      <c r="J1017" s="9"/>
      <c r="K1017" s="8"/>
      <c r="L1017" s="8"/>
      <c r="M1017" s="8"/>
      <c r="N1017" s="8"/>
      <c r="O1017" s="8"/>
      <c r="P1017" s="8"/>
      <c r="Q1017" s="8"/>
      <c r="R1017" s="9"/>
      <c r="S1017" s="8"/>
      <c r="T1017" s="9"/>
      <c r="U1017" s="10" t="str">
        <f aca="true">IF(B1017="","",IF(OR(P1017&lt;&gt;"",I1017="می‌باشد"),"بسته",IF(AND(L1017&lt;&gt;"",W1017=""),"خطای فرمت تاریخ ایجاد",IF(AND(H1017&lt;&gt;"",AA1017=""),"خطای فرمت مهلت",IF(AND(H1017&lt;&gt;"",AD1017&lt;&gt;"",TODAY()&gt;AD1017),"تاخیر",IF(L1017&lt;&gt;"","در حال انجام",""))))))</f>
        <v/>
      </c>
      <c r="V1017" s="7" t="n">
        <f aca="true">IF(U1017="تاخیر",TODAY()-AD1017,IF(AND(U1017="بسته",AH1017&lt;&gt;"",AD1017&lt;&gt;"",AH1017&gt;AD1017),AH1017-AD1017,0))</f>
        <v>0</v>
      </c>
      <c r="W1017" s="7" t="str">
        <f aca="false">IF(L1017="","",VALUE(LEFT(L1017,FIND("/",L1017)-1)))</f>
        <v/>
      </c>
      <c r="X1017" s="7" t="str">
        <f aca="false">IF(L1017="","",VALUE(MID(L1017,FIND("/",L1017)+1,FIND("/",L1017,FIND("/",L1017)+1)-FIND("/",L1017)-1)))</f>
        <v/>
      </c>
      <c r="Y1017" s="7" t="str">
        <f aca="false">IF(L1017="","",VALUE(MID(L1017,FIND("/",L1017,FIND("/",L1017)+1)+1,LEN(L1017)-FIND("/",L1017,FIND("/",L1017)+1))))</f>
        <v/>
      </c>
      <c r="Z1017" s="7" t="str">
        <f aca="false">IF(OR(L1017="",W1017=""),"",IFERROR(INDEX('لیست‌ها'!$Q$3:$Q$53,MATCH(W1017,'لیست‌ها'!$P$3:$P$53,0))+IF(X1017&lt;=6,(X1017-1)*31+Y1017,IF(X1017&lt;=11,186+(X1017-7)*30+Y1017,336+Y1017))-1,""))</f>
        <v/>
      </c>
      <c r="AA1017" s="7" t="str">
        <f aca="false">IF(H1017="","",VALUE(LEFT(H1017,FIND("/",H1017)-1)))</f>
        <v/>
      </c>
      <c r="AB1017" s="7" t="str">
        <f aca="false">IF(H1017="","",VALUE(MID(H1017,FIND("/",H1017)+1,FIND("/",H1017,FIND("/",H1017)+1)-FIND("/",H1017)-1)))</f>
        <v/>
      </c>
      <c r="AC1017" s="7" t="str">
        <f aca="false">IF(H1017="","",VALUE(MID(H1017,FIND("/",H1017,FIND("/",H1017)+1)+1,LEN(H1017)-FIND("/",H1017,FIND("/",H1017)+1))))</f>
        <v/>
      </c>
      <c r="AD1017" s="7" t="str">
        <f aca="false">IF(OR(H1017="",AA1017=""),"",IFERROR(INDEX('لیست‌ها'!$Q$3:$Q$53,MATCH(AA1017,'لیست‌ها'!$P$3:$P$53,0))+IF(AB1017&lt;=6,(AB1017-1)*31+AC1017,IF(AB1017&lt;=11,186+(AB1017-7)*30+AC1017,336+AC1017))-1,""))</f>
        <v/>
      </c>
      <c r="AE1017" s="7" t="str">
        <f aca="false">IF(P1017="","",VALUE(LEFT(P1017,FIND("/",P1017)-1)))</f>
        <v/>
      </c>
      <c r="AF1017" s="7" t="str">
        <f aca="false">IF(P1017="","",VALUE(MID(P1017,FIND("/",P1017)+1,FIND("/",P1017,FIND("/",P1017)+1)-FIND("/",P1017)-1)))</f>
        <v/>
      </c>
      <c r="AG1017" s="7" t="str">
        <f aca="false">IF(P1017="","",VALUE(MID(P1017,FIND("/",P1017,FIND("/",P1017)+1)+1,LEN(P1017)-FIND("/",P1017,FIND("/",P1017)+1))))</f>
        <v/>
      </c>
      <c r="AH1017" s="7" t="str">
        <f aca="false">IF(OR(P1017="",AE1017=""),"",IFERROR(INDEX('لیست‌ها'!$Q$3:$Q$53,MATCH(AE1017,'لیست‌ها'!$P$3:$P$53,0))+IF(AF1017&lt;=6,(AF1017-1)*31+AG1017,IF(AF1017&lt;=11,186+(AF1017-7)*30+AG1017,336+AG1017))-1,""))</f>
        <v/>
      </c>
      <c r="AI1017" s="7" t="str">
        <f aca="false">IF(W1017="","",W1017&amp;"-"&amp;TEXT(X1017,"00"))</f>
        <v/>
      </c>
      <c r="AJ1017" s="7" t="str">
        <f aca="false">IF(W1017="","",W1017*12+X1017)</f>
        <v/>
      </c>
      <c r="AK1017" s="7" t="str">
        <f aca="false">IF(U1017="تاخیر",V1017+ROW()/100000,"")</f>
        <v/>
      </c>
    </row>
    <row r="1018" customFormat="false" ht="15" hidden="false" customHeight="false" outlineLevel="0" collapsed="false">
      <c r="A1018" s="7" t="str">
        <f aca="false">IF(B1018="","",ROW()-3)</f>
        <v/>
      </c>
      <c r="B1018" s="8"/>
      <c r="C1018" s="8"/>
      <c r="D1018" s="8"/>
      <c r="E1018" s="9"/>
      <c r="F1018" s="9"/>
      <c r="G1018" s="8"/>
      <c r="H1018" s="8"/>
      <c r="I1018" s="8"/>
      <c r="J1018" s="9"/>
      <c r="K1018" s="8"/>
      <c r="L1018" s="8"/>
      <c r="M1018" s="8"/>
      <c r="N1018" s="8"/>
      <c r="O1018" s="8"/>
      <c r="P1018" s="8"/>
      <c r="Q1018" s="8"/>
      <c r="R1018" s="9"/>
      <c r="S1018" s="8"/>
      <c r="T1018" s="9"/>
      <c r="U1018" s="10" t="str">
        <f aca="true">IF(B1018="","",IF(OR(P1018&lt;&gt;"",I1018="می‌باشد"),"بسته",IF(AND(L1018&lt;&gt;"",W1018=""),"خطای فرمت تاریخ ایجاد",IF(AND(H1018&lt;&gt;"",AA1018=""),"خطای فرمت مهلت",IF(AND(H1018&lt;&gt;"",AD1018&lt;&gt;"",TODAY()&gt;AD1018),"تاخیر",IF(L1018&lt;&gt;"","در حال انجام",""))))))</f>
        <v/>
      </c>
      <c r="V1018" s="7" t="n">
        <f aca="true">IF(U1018="تاخیر",TODAY()-AD1018,IF(AND(U1018="بسته",AH1018&lt;&gt;"",AD1018&lt;&gt;"",AH1018&gt;AD1018),AH1018-AD1018,0))</f>
        <v>0</v>
      </c>
      <c r="W1018" s="7" t="str">
        <f aca="false">IF(L1018="","",VALUE(LEFT(L1018,FIND("/",L1018)-1)))</f>
        <v/>
      </c>
      <c r="X1018" s="7" t="str">
        <f aca="false">IF(L1018="","",VALUE(MID(L1018,FIND("/",L1018)+1,FIND("/",L1018,FIND("/",L1018)+1)-FIND("/",L1018)-1)))</f>
        <v/>
      </c>
      <c r="Y1018" s="7" t="str">
        <f aca="false">IF(L1018="","",VALUE(MID(L1018,FIND("/",L1018,FIND("/",L1018)+1)+1,LEN(L1018)-FIND("/",L1018,FIND("/",L1018)+1))))</f>
        <v/>
      </c>
      <c r="Z1018" s="7" t="str">
        <f aca="false">IF(OR(L1018="",W1018=""),"",IFERROR(INDEX('لیست‌ها'!$Q$3:$Q$53,MATCH(W1018,'لیست‌ها'!$P$3:$P$53,0))+IF(X1018&lt;=6,(X1018-1)*31+Y1018,IF(X1018&lt;=11,186+(X1018-7)*30+Y1018,336+Y1018))-1,""))</f>
        <v/>
      </c>
      <c r="AA1018" s="7" t="str">
        <f aca="false">IF(H1018="","",VALUE(LEFT(H1018,FIND("/",H1018)-1)))</f>
        <v/>
      </c>
      <c r="AB1018" s="7" t="str">
        <f aca="false">IF(H1018="","",VALUE(MID(H1018,FIND("/",H1018)+1,FIND("/",H1018,FIND("/",H1018)+1)-FIND("/",H1018)-1)))</f>
        <v/>
      </c>
      <c r="AC1018" s="7" t="str">
        <f aca="false">IF(H1018="","",VALUE(MID(H1018,FIND("/",H1018,FIND("/",H1018)+1)+1,LEN(H1018)-FIND("/",H1018,FIND("/",H1018)+1))))</f>
        <v/>
      </c>
      <c r="AD1018" s="7" t="str">
        <f aca="false">IF(OR(H1018="",AA1018=""),"",IFERROR(INDEX('لیست‌ها'!$Q$3:$Q$53,MATCH(AA1018,'لیست‌ها'!$P$3:$P$53,0))+IF(AB1018&lt;=6,(AB1018-1)*31+AC1018,IF(AB1018&lt;=11,186+(AB1018-7)*30+AC1018,336+AC1018))-1,""))</f>
        <v/>
      </c>
      <c r="AE1018" s="7" t="str">
        <f aca="false">IF(P1018="","",VALUE(LEFT(P1018,FIND("/",P1018)-1)))</f>
        <v/>
      </c>
      <c r="AF1018" s="7" t="str">
        <f aca="false">IF(P1018="","",VALUE(MID(P1018,FIND("/",P1018)+1,FIND("/",P1018,FIND("/",P1018)+1)-FIND("/",P1018)-1)))</f>
        <v/>
      </c>
      <c r="AG1018" s="7" t="str">
        <f aca="false">IF(P1018="","",VALUE(MID(P1018,FIND("/",P1018,FIND("/",P1018)+1)+1,LEN(P1018)-FIND("/",P1018,FIND("/",P1018)+1))))</f>
        <v/>
      </c>
      <c r="AH1018" s="7" t="str">
        <f aca="false">IF(OR(P1018="",AE1018=""),"",IFERROR(INDEX('لیست‌ها'!$Q$3:$Q$53,MATCH(AE1018,'لیست‌ها'!$P$3:$P$53,0))+IF(AF1018&lt;=6,(AF1018-1)*31+AG1018,IF(AF1018&lt;=11,186+(AF1018-7)*30+AG1018,336+AG1018))-1,""))</f>
        <v/>
      </c>
      <c r="AI1018" s="7" t="str">
        <f aca="false">IF(W1018="","",W1018&amp;"-"&amp;TEXT(X1018,"00"))</f>
        <v/>
      </c>
      <c r="AJ1018" s="7" t="str">
        <f aca="false">IF(W1018="","",W1018*12+X1018)</f>
        <v/>
      </c>
      <c r="AK1018" s="7" t="str">
        <f aca="false">IF(U1018="تاخیر",V1018+ROW()/100000,"")</f>
        <v/>
      </c>
    </row>
    <row r="1019" customFormat="false" ht="15" hidden="false" customHeight="false" outlineLevel="0" collapsed="false">
      <c r="A1019" s="7" t="str">
        <f aca="false">IF(B1019="","",ROW()-3)</f>
        <v/>
      </c>
      <c r="B1019" s="8"/>
      <c r="C1019" s="8"/>
      <c r="D1019" s="8"/>
      <c r="E1019" s="9"/>
      <c r="F1019" s="9"/>
      <c r="G1019" s="8"/>
      <c r="H1019" s="8"/>
      <c r="I1019" s="8"/>
      <c r="J1019" s="9"/>
      <c r="K1019" s="8"/>
      <c r="L1019" s="8"/>
      <c r="M1019" s="8"/>
      <c r="N1019" s="8"/>
      <c r="O1019" s="8"/>
      <c r="P1019" s="8"/>
      <c r="Q1019" s="8"/>
      <c r="R1019" s="9"/>
      <c r="S1019" s="8"/>
      <c r="T1019" s="9"/>
      <c r="U1019" s="10" t="str">
        <f aca="true">IF(B1019="","",IF(OR(P1019&lt;&gt;"",I1019="می‌باشد"),"بسته",IF(AND(L1019&lt;&gt;"",W1019=""),"خطای فرمت تاریخ ایجاد",IF(AND(H1019&lt;&gt;"",AA1019=""),"خطای فرمت مهلت",IF(AND(H1019&lt;&gt;"",AD1019&lt;&gt;"",TODAY()&gt;AD1019),"تاخیر",IF(L1019&lt;&gt;"","در حال انجام",""))))))</f>
        <v/>
      </c>
      <c r="V1019" s="7" t="n">
        <f aca="true">IF(U1019="تاخیر",TODAY()-AD1019,IF(AND(U1019="بسته",AH1019&lt;&gt;"",AD1019&lt;&gt;"",AH1019&gt;AD1019),AH1019-AD1019,0))</f>
        <v>0</v>
      </c>
      <c r="W1019" s="7" t="str">
        <f aca="false">IF(L1019="","",VALUE(LEFT(L1019,FIND("/",L1019)-1)))</f>
        <v/>
      </c>
      <c r="X1019" s="7" t="str">
        <f aca="false">IF(L1019="","",VALUE(MID(L1019,FIND("/",L1019)+1,FIND("/",L1019,FIND("/",L1019)+1)-FIND("/",L1019)-1)))</f>
        <v/>
      </c>
      <c r="Y1019" s="7" t="str">
        <f aca="false">IF(L1019="","",VALUE(MID(L1019,FIND("/",L1019,FIND("/",L1019)+1)+1,LEN(L1019)-FIND("/",L1019,FIND("/",L1019)+1))))</f>
        <v/>
      </c>
      <c r="Z1019" s="7" t="str">
        <f aca="false">IF(OR(L1019="",W1019=""),"",IFERROR(INDEX('لیست‌ها'!$Q$3:$Q$53,MATCH(W1019,'لیست‌ها'!$P$3:$P$53,0))+IF(X1019&lt;=6,(X1019-1)*31+Y1019,IF(X1019&lt;=11,186+(X1019-7)*30+Y1019,336+Y1019))-1,""))</f>
        <v/>
      </c>
      <c r="AA1019" s="7" t="str">
        <f aca="false">IF(H1019="","",VALUE(LEFT(H1019,FIND("/",H1019)-1)))</f>
        <v/>
      </c>
      <c r="AB1019" s="7" t="str">
        <f aca="false">IF(H1019="","",VALUE(MID(H1019,FIND("/",H1019)+1,FIND("/",H1019,FIND("/",H1019)+1)-FIND("/",H1019)-1)))</f>
        <v/>
      </c>
      <c r="AC1019" s="7" t="str">
        <f aca="false">IF(H1019="","",VALUE(MID(H1019,FIND("/",H1019,FIND("/",H1019)+1)+1,LEN(H1019)-FIND("/",H1019,FIND("/",H1019)+1))))</f>
        <v/>
      </c>
      <c r="AD1019" s="7" t="str">
        <f aca="false">IF(OR(H1019="",AA1019=""),"",IFERROR(INDEX('لیست‌ها'!$Q$3:$Q$53,MATCH(AA1019,'لیست‌ها'!$P$3:$P$53,0))+IF(AB1019&lt;=6,(AB1019-1)*31+AC1019,IF(AB1019&lt;=11,186+(AB1019-7)*30+AC1019,336+AC1019))-1,""))</f>
        <v/>
      </c>
      <c r="AE1019" s="7" t="str">
        <f aca="false">IF(P1019="","",VALUE(LEFT(P1019,FIND("/",P1019)-1)))</f>
        <v/>
      </c>
      <c r="AF1019" s="7" t="str">
        <f aca="false">IF(P1019="","",VALUE(MID(P1019,FIND("/",P1019)+1,FIND("/",P1019,FIND("/",P1019)+1)-FIND("/",P1019)-1)))</f>
        <v/>
      </c>
      <c r="AG1019" s="7" t="str">
        <f aca="false">IF(P1019="","",VALUE(MID(P1019,FIND("/",P1019,FIND("/",P1019)+1)+1,LEN(P1019)-FIND("/",P1019,FIND("/",P1019)+1))))</f>
        <v/>
      </c>
      <c r="AH1019" s="7" t="str">
        <f aca="false">IF(OR(P1019="",AE1019=""),"",IFERROR(INDEX('لیست‌ها'!$Q$3:$Q$53,MATCH(AE1019,'لیست‌ها'!$P$3:$P$53,0))+IF(AF1019&lt;=6,(AF1019-1)*31+AG1019,IF(AF1019&lt;=11,186+(AF1019-7)*30+AG1019,336+AG1019))-1,""))</f>
        <v/>
      </c>
      <c r="AI1019" s="7" t="str">
        <f aca="false">IF(W1019="","",W1019&amp;"-"&amp;TEXT(X1019,"00"))</f>
        <v/>
      </c>
      <c r="AJ1019" s="7" t="str">
        <f aca="false">IF(W1019="","",W1019*12+X1019)</f>
        <v/>
      </c>
      <c r="AK1019" s="7" t="str">
        <f aca="false">IF(U1019="تاخیر",V1019+ROW()/100000,"")</f>
        <v/>
      </c>
    </row>
    <row r="1020" customFormat="false" ht="15" hidden="false" customHeight="false" outlineLevel="0" collapsed="false">
      <c r="A1020" s="7" t="str">
        <f aca="false">IF(B1020="","",ROW()-3)</f>
        <v/>
      </c>
      <c r="B1020" s="8"/>
      <c r="C1020" s="8"/>
      <c r="D1020" s="8"/>
      <c r="E1020" s="9"/>
      <c r="F1020" s="9"/>
      <c r="G1020" s="8"/>
      <c r="H1020" s="8"/>
      <c r="I1020" s="8"/>
      <c r="J1020" s="9"/>
      <c r="K1020" s="8"/>
      <c r="L1020" s="8"/>
      <c r="M1020" s="8"/>
      <c r="N1020" s="8"/>
      <c r="O1020" s="8"/>
      <c r="P1020" s="8"/>
      <c r="Q1020" s="8"/>
      <c r="R1020" s="9"/>
      <c r="S1020" s="8"/>
      <c r="T1020" s="9"/>
      <c r="U1020" s="10" t="str">
        <f aca="true">IF(B1020="","",IF(OR(P1020&lt;&gt;"",I1020="می‌باشد"),"بسته",IF(AND(L1020&lt;&gt;"",W1020=""),"خطای فرمت تاریخ ایجاد",IF(AND(H1020&lt;&gt;"",AA1020=""),"خطای فرمت مهلت",IF(AND(H1020&lt;&gt;"",AD1020&lt;&gt;"",TODAY()&gt;AD1020),"تاخیر",IF(L1020&lt;&gt;"","در حال انجام",""))))))</f>
        <v/>
      </c>
      <c r="V1020" s="7" t="n">
        <f aca="true">IF(U1020="تاخیر",TODAY()-AD1020,IF(AND(U1020="بسته",AH1020&lt;&gt;"",AD1020&lt;&gt;"",AH1020&gt;AD1020),AH1020-AD1020,0))</f>
        <v>0</v>
      </c>
      <c r="W1020" s="7" t="str">
        <f aca="false">IF(L1020="","",VALUE(LEFT(L1020,FIND("/",L1020)-1)))</f>
        <v/>
      </c>
      <c r="X1020" s="7" t="str">
        <f aca="false">IF(L1020="","",VALUE(MID(L1020,FIND("/",L1020)+1,FIND("/",L1020,FIND("/",L1020)+1)-FIND("/",L1020)-1)))</f>
        <v/>
      </c>
      <c r="Y1020" s="7" t="str">
        <f aca="false">IF(L1020="","",VALUE(MID(L1020,FIND("/",L1020,FIND("/",L1020)+1)+1,LEN(L1020)-FIND("/",L1020,FIND("/",L1020)+1))))</f>
        <v/>
      </c>
      <c r="Z1020" s="7" t="str">
        <f aca="false">IF(OR(L1020="",W1020=""),"",IFERROR(INDEX('لیست‌ها'!$Q$3:$Q$53,MATCH(W1020,'لیست‌ها'!$P$3:$P$53,0))+IF(X1020&lt;=6,(X1020-1)*31+Y1020,IF(X1020&lt;=11,186+(X1020-7)*30+Y1020,336+Y1020))-1,""))</f>
        <v/>
      </c>
      <c r="AA1020" s="7" t="str">
        <f aca="false">IF(H1020="","",VALUE(LEFT(H1020,FIND("/",H1020)-1)))</f>
        <v/>
      </c>
      <c r="AB1020" s="7" t="str">
        <f aca="false">IF(H1020="","",VALUE(MID(H1020,FIND("/",H1020)+1,FIND("/",H1020,FIND("/",H1020)+1)-FIND("/",H1020)-1)))</f>
        <v/>
      </c>
      <c r="AC1020" s="7" t="str">
        <f aca="false">IF(H1020="","",VALUE(MID(H1020,FIND("/",H1020,FIND("/",H1020)+1)+1,LEN(H1020)-FIND("/",H1020,FIND("/",H1020)+1))))</f>
        <v/>
      </c>
      <c r="AD1020" s="7" t="str">
        <f aca="false">IF(OR(H1020="",AA1020=""),"",IFERROR(INDEX('لیست‌ها'!$Q$3:$Q$53,MATCH(AA1020,'لیست‌ها'!$P$3:$P$53,0))+IF(AB1020&lt;=6,(AB1020-1)*31+AC1020,IF(AB1020&lt;=11,186+(AB1020-7)*30+AC1020,336+AC1020))-1,""))</f>
        <v/>
      </c>
      <c r="AE1020" s="7" t="str">
        <f aca="false">IF(P1020="","",VALUE(LEFT(P1020,FIND("/",P1020)-1)))</f>
        <v/>
      </c>
      <c r="AF1020" s="7" t="str">
        <f aca="false">IF(P1020="","",VALUE(MID(P1020,FIND("/",P1020)+1,FIND("/",P1020,FIND("/",P1020)+1)-FIND("/",P1020)-1)))</f>
        <v/>
      </c>
      <c r="AG1020" s="7" t="str">
        <f aca="false">IF(P1020="","",VALUE(MID(P1020,FIND("/",P1020,FIND("/",P1020)+1)+1,LEN(P1020)-FIND("/",P1020,FIND("/",P1020)+1))))</f>
        <v/>
      </c>
      <c r="AH1020" s="7" t="str">
        <f aca="false">IF(OR(P1020="",AE1020=""),"",IFERROR(INDEX('لیست‌ها'!$Q$3:$Q$53,MATCH(AE1020,'لیست‌ها'!$P$3:$P$53,0))+IF(AF1020&lt;=6,(AF1020-1)*31+AG1020,IF(AF1020&lt;=11,186+(AF1020-7)*30+AG1020,336+AG1020))-1,""))</f>
        <v/>
      </c>
      <c r="AI1020" s="7" t="str">
        <f aca="false">IF(W1020="","",W1020&amp;"-"&amp;TEXT(X1020,"00"))</f>
        <v/>
      </c>
      <c r="AJ1020" s="7" t="str">
        <f aca="false">IF(W1020="","",W1020*12+X1020)</f>
        <v/>
      </c>
      <c r="AK1020" s="7" t="str">
        <f aca="false">IF(U1020="تاخیر",V1020+ROW()/100000,"")</f>
        <v/>
      </c>
    </row>
    <row r="1021" customFormat="false" ht="15" hidden="false" customHeight="false" outlineLevel="0" collapsed="false">
      <c r="A1021" s="7" t="str">
        <f aca="false">IF(B1021="","",ROW()-3)</f>
        <v/>
      </c>
      <c r="B1021" s="8"/>
      <c r="C1021" s="8"/>
      <c r="D1021" s="8"/>
      <c r="E1021" s="9"/>
      <c r="F1021" s="9"/>
      <c r="G1021" s="8"/>
      <c r="H1021" s="8"/>
      <c r="I1021" s="8"/>
      <c r="J1021" s="9"/>
      <c r="K1021" s="8"/>
      <c r="L1021" s="8"/>
      <c r="M1021" s="8"/>
      <c r="N1021" s="8"/>
      <c r="O1021" s="8"/>
      <c r="P1021" s="8"/>
      <c r="Q1021" s="8"/>
      <c r="R1021" s="9"/>
      <c r="S1021" s="8"/>
      <c r="T1021" s="9"/>
      <c r="U1021" s="10" t="str">
        <f aca="true">IF(B1021="","",IF(OR(P1021&lt;&gt;"",I1021="می‌باشد"),"بسته",IF(AND(L1021&lt;&gt;"",W1021=""),"خطای فرمت تاریخ ایجاد",IF(AND(H1021&lt;&gt;"",AA1021=""),"خطای فرمت مهلت",IF(AND(H1021&lt;&gt;"",AD1021&lt;&gt;"",TODAY()&gt;AD1021),"تاخیر",IF(L1021&lt;&gt;"","در حال انجام",""))))))</f>
        <v/>
      </c>
      <c r="V1021" s="7" t="n">
        <f aca="true">IF(U1021="تاخیر",TODAY()-AD1021,IF(AND(U1021="بسته",AH1021&lt;&gt;"",AD1021&lt;&gt;"",AH1021&gt;AD1021),AH1021-AD1021,0))</f>
        <v>0</v>
      </c>
      <c r="W1021" s="7" t="str">
        <f aca="false">IF(L1021="","",VALUE(LEFT(L1021,FIND("/",L1021)-1)))</f>
        <v/>
      </c>
      <c r="X1021" s="7" t="str">
        <f aca="false">IF(L1021="","",VALUE(MID(L1021,FIND("/",L1021)+1,FIND("/",L1021,FIND("/",L1021)+1)-FIND("/",L1021)-1)))</f>
        <v/>
      </c>
      <c r="Y1021" s="7" t="str">
        <f aca="false">IF(L1021="","",VALUE(MID(L1021,FIND("/",L1021,FIND("/",L1021)+1)+1,LEN(L1021)-FIND("/",L1021,FIND("/",L1021)+1))))</f>
        <v/>
      </c>
      <c r="Z1021" s="7" t="str">
        <f aca="false">IF(OR(L1021="",W1021=""),"",IFERROR(INDEX('لیست‌ها'!$Q$3:$Q$53,MATCH(W1021,'لیست‌ها'!$P$3:$P$53,0))+IF(X1021&lt;=6,(X1021-1)*31+Y1021,IF(X1021&lt;=11,186+(X1021-7)*30+Y1021,336+Y1021))-1,""))</f>
        <v/>
      </c>
      <c r="AA1021" s="7" t="str">
        <f aca="false">IF(H1021="","",VALUE(LEFT(H1021,FIND("/",H1021)-1)))</f>
        <v/>
      </c>
      <c r="AB1021" s="7" t="str">
        <f aca="false">IF(H1021="","",VALUE(MID(H1021,FIND("/",H1021)+1,FIND("/",H1021,FIND("/",H1021)+1)-FIND("/",H1021)-1)))</f>
        <v/>
      </c>
      <c r="AC1021" s="7" t="str">
        <f aca="false">IF(H1021="","",VALUE(MID(H1021,FIND("/",H1021,FIND("/",H1021)+1)+1,LEN(H1021)-FIND("/",H1021,FIND("/",H1021)+1))))</f>
        <v/>
      </c>
      <c r="AD1021" s="7" t="str">
        <f aca="false">IF(OR(H1021="",AA1021=""),"",IFERROR(INDEX('لیست‌ها'!$Q$3:$Q$53,MATCH(AA1021,'لیست‌ها'!$P$3:$P$53,0))+IF(AB1021&lt;=6,(AB1021-1)*31+AC1021,IF(AB1021&lt;=11,186+(AB1021-7)*30+AC1021,336+AC1021))-1,""))</f>
        <v/>
      </c>
      <c r="AE1021" s="7" t="str">
        <f aca="false">IF(P1021="","",VALUE(LEFT(P1021,FIND("/",P1021)-1)))</f>
        <v/>
      </c>
      <c r="AF1021" s="7" t="str">
        <f aca="false">IF(P1021="","",VALUE(MID(P1021,FIND("/",P1021)+1,FIND("/",P1021,FIND("/",P1021)+1)-FIND("/",P1021)-1)))</f>
        <v/>
      </c>
      <c r="AG1021" s="7" t="str">
        <f aca="false">IF(P1021="","",VALUE(MID(P1021,FIND("/",P1021,FIND("/",P1021)+1)+1,LEN(P1021)-FIND("/",P1021,FIND("/",P1021)+1))))</f>
        <v/>
      </c>
      <c r="AH1021" s="7" t="str">
        <f aca="false">IF(OR(P1021="",AE1021=""),"",IFERROR(INDEX('لیست‌ها'!$Q$3:$Q$53,MATCH(AE1021,'لیست‌ها'!$P$3:$P$53,0))+IF(AF1021&lt;=6,(AF1021-1)*31+AG1021,IF(AF1021&lt;=11,186+(AF1021-7)*30+AG1021,336+AG1021))-1,""))</f>
        <v/>
      </c>
      <c r="AI1021" s="7" t="str">
        <f aca="false">IF(W1021="","",W1021&amp;"-"&amp;TEXT(X1021,"00"))</f>
        <v/>
      </c>
      <c r="AJ1021" s="7" t="str">
        <f aca="false">IF(W1021="","",W1021*12+X1021)</f>
        <v/>
      </c>
      <c r="AK1021" s="7" t="str">
        <f aca="false">IF(U1021="تاخیر",V1021+ROW()/100000,"")</f>
        <v/>
      </c>
    </row>
    <row r="1022" customFormat="false" ht="15" hidden="false" customHeight="false" outlineLevel="0" collapsed="false">
      <c r="A1022" s="7" t="str">
        <f aca="false">IF(B1022="","",ROW()-3)</f>
        <v/>
      </c>
      <c r="B1022" s="8"/>
      <c r="C1022" s="8"/>
      <c r="D1022" s="8"/>
      <c r="E1022" s="9"/>
      <c r="F1022" s="9"/>
      <c r="G1022" s="8"/>
      <c r="H1022" s="8"/>
      <c r="I1022" s="8"/>
      <c r="J1022" s="9"/>
      <c r="K1022" s="8"/>
      <c r="L1022" s="8"/>
      <c r="M1022" s="8"/>
      <c r="N1022" s="8"/>
      <c r="O1022" s="8"/>
      <c r="P1022" s="8"/>
      <c r="Q1022" s="8"/>
      <c r="R1022" s="9"/>
      <c r="S1022" s="8"/>
      <c r="T1022" s="9"/>
      <c r="U1022" s="10" t="str">
        <f aca="true">IF(B1022="","",IF(OR(P1022&lt;&gt;"",I1022="می‌باشد"),"بسته",IF(AND(L1022&lt;&gt;"",W1022=""),"خطای فرمت تاریخ ایجاد",IF(AND(H1022&lt;&gt;"",AA1022=""),"خطای فرمت مهلت",IF(AND(H1022&lt;&gt;"",AD1022&lt;&gt;"",TODAY()&gt;AD1022),"تاخیر",IF(L1022&lt;&gt;"","در حال انجام",""))))))</f>
        <v/>
      </c>
      <c r="V1022" s="7" t="n">
        <f aca="true">IF(U1022="تاخیر",TODAY()-AD1022,IF(AND(U1022="بسته",AH1022&lt;&gt;"",AD1022&lt;&gt;"",AH1022&gt;AD1022),AH1022-AD1022,0))</f>
        <v>0</v>
      </c>
      <c r="W1022" s="7" t="str">
        <f aca="false">IF(L1022="","",VALUE(LEFT(L1022,FIND("/",L1022)-1)))</f>
        <v/>
      </c>
      <c r="X1022" s="7" t="str">
        <f aca="false">IF(L1022="","",VALUE(MID(L1022,FIND("/",L1022)+1,FIND("/",L1022,FIND("/",L1022)+1)-FIND("/",L1022)-1)))</f>
        <v/>
      </c>
      <c r="Y1022" s="7" t="str">
        <f aca="false">IF(L1022="","",VALUE(MID(L1022,FIND("/",L1022,FIND("/",L1022)+1)+1,LEN(L1022)-FIND("/",L1022,FIND("/",L1022)+1))))</f>
        <v/>
      </c>
      <c r="Z1022" s="7" t="str">
        <f aca="false">IF(OR(L1022="",W1022=""),"",IFERROR(INDEX('لیست‌ها'!$Q$3:$Q$53,MATCH(W1022,'لیست‌ها'!$P$3:$P$53,0))+IF(X1022&lt;=6,(X1022-1)*31+Y1022,IF(X1022&lt;=11,186+(X1022-7)*30+Y1022,336+Y1022))-1,""))</f>
        <v/>
      </c>
      <c r="AA1022" s="7" t="str">
        <f aca="false">IF(H1022="","",VALUE(LEFT(H1022,FIND("/",H1022)-1)))</f>
        <v/>
      </c>
      <c r="AB1022" s="7" t="str">
        <f aca="false">IF(H1022="","",VALUE(MID(H1022,FIND("/",H1022)+1,FIND("/",H1022,FIND("/",H1022)+1)-FIND("/",H1022)-1)))</f>
        <v/>
      </c>
      <c r="AC1022" s="7" t="str">
        <f aca="false">IF(H1022="","",VALUE(MID(H1022,FIND("/",H1022,FIND("/",H1022)+1)+1,LEN(H1022)-FIND("/",H1022,FIND("/",H1022)+1))))</f>
        <v/>
      </c>
      <c r="AD1022" s="7" t="str">
        <f aca="false">IF(OR(H1022="",AA1022=""),"",IFERROR(INDEX('لیست‌ها'!$Q$3:$Q$53,MATCH(AA1022,'لیست‌ها'!$P$3:$P$53,0))+IF(AB1022&lt;=6,(AB1022-1)*31+AC1022,IF(AB1022&lt;=11,186+(AB1022-7)*30+AC1022,336+AC1022))-1,""))</f>
        <v/>
      </c>
      <c r="AE1022" s="7" t="str">
        <f aca="false">IF(P1022="","",VALUE(LEFT(P1022,FIND("/",P1022)-1)))</f>
        <v/>
      </c>
      <c r="AF1022" s="7" t="str">
        <f aca="false">IF(P1022="","",VALUE(MID(P1022,FIND("/",P1022)+1,FIND("/",P1022,FIND("/",P1022)+1)-FIND("/",P1022)-1)))</f>
        <v/>
      </c>
      <c r="AG1022" s="7" t="str">
        <f aca="false">IF(P1022="","",VALUE(MID(P1022,FIND("/",P1022,FIND("/",P1022)+1)+1,LEN(P1022)-FIND("/",P1022,FIND("/",P1022)+1))))</f>
        <v/>
      </c>
      <c r="AH1022" s="7" t="str">
        <f aca="false">IF(OR(P1022="",AE1022=""),"",IFERROR(INDEX('لیست‌ها'!$Q$3:$Q$53,MATCH(AE1022,'لیست‌ها'!$P$3:$P$53,0))+IF(AF1022&lt;=6,(AF1022-1)*31+AG1022,IF(AF1022&lt;=11,186+(AF1022-7)*30+AG1022,336+AG1022))-1,""))</f>
        <v/>
      </c>
      <c r="AI1022" s="7" t="str">
        <f aca="false">IF(W1022="","",W1022&amp;"-"&amp;TEXT(X1022,"00"))</f>
        <v/>
      </c>
      <c r="AJ1022" s="7" t="str">
        <f aca="false">IF(W1022="","",W1022*12+X1022)</f>
        <v/>
      </c>
      <c r="AK1022" s="7" t="str">
        <f aca="false">IF(U1022="تاخیر",V1022+ROW()/100000,"")</f>
        <v/>
      </c>
    </row>
    <row r="1023" customFormat="false" ht="15" hidden="false" customHeight="false" outlineLevel="0" collapsed="false">
      <c r="A1023" s="7" t="str">
        <f aca="false">IF(B1023="","",ROW()-3)</f>
        <v/>
      </c>
      <c r="B1023" s="8"/>
      <c r="C1023" s="8"/>
      <c r="D1023" s="8"/>
      <c r="E1023" s="9"/>
      <c r="F1023" s="9"/>
      <c r="G1023" s="8"/>
      <c r="H1023" s="8"/>
      <c r="I1023" s="8"/>
      <c r="J1023" s="9"/>
      <c r="K1023" s="8"/>
      <c r="L1023" s="8"/>
      <c r="M1023" s="8"/>
      <c r="N1023" s="8"/>
      <c r="O1023" s="8"/>
      <c r="P1023" s="8"/>
      <c r="Q1023" s="8"/>
      <c r="R1023" s="9"/>
      <c r="S1023" s="8"/>
      <c r="T1023" s="9"/>
      <c r="U1023" s="10" t="str">
        <f aca="true">IF(B1023="","",IF(OR(P1023&lt;&gt;"",I1023="می‌باشد"),"بسته",IF(AND(L1023&lt;&gt;"",W1023=""),"خطای فرمت تاریخ ایجاد",IF(AND(H1023&lt;&gt;"",AA1023=""),"خطای فرمت مهلت",IF(AND(H1023&lt;&gt;"",AD1023&lt;&gt;"",TODAY()&gt;AD1023),"تاخیر",IF(L1023&lt;&gt;"","در حال انجام",""))))))</f>
        <v/>
      </c>
      <c r="V1023" s="7" t="n">
        <f aca="true">IF(U1023="تاخیر",TODAY()-AD1023,IF(AND(U1023="بسته",AH1023&lt;&gt;"",AD1023&lt;&gt;"",AH1023&gt;AD1023),AH1023-AD1023,0))</f>
        <v>0</v>
      </c>
      <c r="W1023" s="7" t="str">
        <f aca="false">IF(L1023="","",VALUE(LEFT(L1023,FIND("/",L1023)-1)))</f>
        <v/>
      </c>
      <c r="X1023" s="7" t="str">
        <f aca="false">IF(L1023="","",VALUE(MID(L1023,FIND("/",L1023)+1,FIND("/",L1023,FIND("/",L1023)+1)-FIND("/",L1023)-1)))</f>
        <v/>
      </c>
      <c r="Y1023" s="7" t="str">
        <f aca="false">IF(L1023="","",VALUE(MID(L1023,FIND("/",L1023,FIND("/",L1023)+1)+1,LEN(L1023)-FIND("/",L1023,FIND("/",L1023)+1))))</f>
        <v/>
      </c>
      <c r="Z1023" s="7" t="str">
        <f aca="false">IF(OR(L1023="",W1023=""),"",IFERROR(INDEX('لیست‌ها'!$Q$3:$Q$53,MATCH(W1023,'لیست‌ها'!$P$3:$P$53,0))+IF(X1023&lt;=6,(X1023-1)*31+Y1023,IF(X1023&lt;=11,186+(X1023-7)*30+Y1023,336+Y1023))-1,""))</f>
        <v/>
      </c>
      <c r="AA1023" s="7" t="str">
        <f aca="false">IF(H1023="","",VALUE(LEFT(H1023,FIND("/",H1023)-1)))</f>
        <v/>
      </c>
      <c r="AB1023" s="7" t="str">
        <f aca="false">IF(H1023="","",VALUE(MID(H1023,FIND("/",H1023)+1,FIND("/",H1023,FIND("/",H1023)+1)-FIND("/",H1023)-1)))</f>
        <v/>
      </c>
      <c r="AC1023" s="7" t="str">
        <f aca="false">IF(H1023="","",VALUE(MID(H1023,FIND("/",H1023,FIND("/",H1023)+1)+1,LEN(H1023)-FIND("/",H1023,FIND("/",H1023)+1))))</f>
        <v/>
      </c>
      <c r="AD1023" s="7" t="str">
        <f aca="false">IF(OR(H1023="",AA1023=""),"",IFERROR(INDEX('لیست‌ها'!$Q$3:$Q$53,MATCH(AA1023,'لیست‌ها'!$P$3:$P$53,0))+IF(AB1023&lt;=6,(AB1023-1)*31+AC1023,IF(AB1023&lt;=11,186+(AB1023-7)*30+AC1023,336+AC1023))-1,""))</f>
        <v/>
      </c>
      <c r="AE1023" s="7" t="str">
        <f aca="false">IF(P1023="","",VALUE(LEFT(P1023,FIND("/",P1023)-1)))</f>
        <v/>
      </c>
      <c r="AF1023" s="7" t="str">
        <f aca="false">IF(P1023="","",VALUE(MID(P1023,FIND("/",P1023)+1,FIND("/",P1023,FIND("/",P1023)+1)-FIND("/",P1023)-1)))</f>
        <v/>
      </c>
      <c r="AG1023" s="7" t="str">
        <f aca="false">IF(P1023="","",VALUE(MID(P1023,FIND("/",P1023,FIND("/",P1023)+1)+1,LEN(P1023)-FIND("/",P1023,FIND("/",P1023)+1))))</f>
        <v/>
      </c>
      <c r="AH1023" s="7" t="str">
        <f aca="false">IF(OR(P1023="",AE1023=""),"",IFERROR(INDEX('لیست‌ها'!$Q$3:$Q$53,MATCH(AE1023,'لیست‌ها'!$P$3:$P$53,0))+IF(AF1023&lt;=6,(AF1023-1)*31+AG1023,IF(AF1023&lt;=11,186+(AF1023-7)*30+AG1023,336+AG1023))-1,""))</f>
        <v/>
      </c>
      <c r="AI1023" s="7" t="str">
        <f aca="false">IF(W1023="","",W1023&amp;"-"&amp;TEXT(X1023,"00"))</f>
        <v/>
      </c>
      <c r="AJ1023" s="7" t="str">
        <f aca="false">IF(W1023="","",W1023*12+X1023)</f>
        <v/>
      </c>
      <c r="AK1023" s="7" t="str">
        <f aca="false">IF(U1023="تاخیر",V1023+ROW()/100000,"")</f>
        <v/>
      </c>
    </row>
    <row r="1024" customFormat="false" ht="15" hidden="false" customHeight="false" outlineLevel="0" collapsed="false">
      <c r="A1024" s="7" t="str">
        <f aca="false">IF(B1024="","",ROW()-3)</f>
        <v/>
      </c>
      <c r="B1024" s="8"/>
      <c r="C1024" s="8"/>
      <c r="D1024" s="8"/>
      <c r="E1024" s="9"/>
      <c r="F1024" s="9"/>
      <c r="G1024" s="8"/>
      <c r="H1024" s="8"/>
      <c r="I1024" s="8"/>
      <c r="J1024" s="9"/>
      <c r="K1024" s="8"/>
      <c r="L1024" s="8"/>
      <c r="M1024" s="8"/>
      <c r="N1024" s="8"/>
      <c r="O1024" s="8"/>
      <c r="P1024" s="8"/>
      <c r="Q1024" s="8"/>
      <c r="R1024" s="9"/>
      <c r="S1024" s="8"/>
      <c r="T1024" s="9"/>
      <c r="U1024" s="10" t="str">
        <f aca="true">IF(B1024="","",IF(OR(P1024&lt;&gt;"",I1024="می‌باشد"),"بسته",IF(AND(L1024&lt;&gt;"",W1024=""),"خطای فرمت تاریخ ایجاد",IF(AND(H1024&lt;&gt;"",AA1024=""),"خطای فرمت مهلت",IF(AND(H1024&lt;&gt;"",AD1024&lt;&gt;"",TODAY()&gt;AD1024),"تاخیر",IF(L1024&lt;&gt;"","در حال انجام",""))))))</f>
        <v/>
      </c>
      <c r="V1024" s="7" t="n">
        <f aca="true">IF(U1024="تاخیر",TODAY()-AD1024,IF(AND(U1024="بسته",AH1024&lt;&gt;"",AD1024&lt;&gt;"",AH1024&gt;AD1024),AH1024-AD1024,0))</f>
        <v>0</v>
      </c>
      <c r="W1024" s="7" t="str">
        <f aca="false">IF(L1024="","",VALUE(LEFT(L1024,FIND("/",L1024)-1)))</f>
        <v/>
      </c>
      <c r="X1024" s="7" t="str">
        <f aca="false">IF(L1024="","",VALUE(MID(L1024,FIND("/",L1024)+1,FIND("/",L1024,FIND("/",L1024)+1)-FIND("/",L1024)-1)))</f>
        <v/>
      </c>
      <c r="Y1024" s="7" t="str">
        <f aca="false">IF(L1024="","",VALUE(MID(L1024,FIND("/",L1024,FIND("/",L1024)+1)+1,LEN(L1024)-FIND("/",L1024,FIND("/",L1024)+1))))</f>
        <v/>
      </c>
      <c r="Z1024" s="7" t="str">
        <f aca="false">IF(OR(L1024="",W1024=""),"",IFERROR(INDEX('لیست‌ها'!$Q$3:$Q$53,MATCH(W1024,'لیست‌ها'!$P$3:$P$53,0))+IF(X1024&lt;=6,(X1024-1)*31+Y1024,IF(X1024&lt;=11,186+(X1024-7)*30+Y1024,336+Y1024))-1,""))</f>
        <v/>
      </c>
      <c r="AA1024" s="7" t="str">
        <f aca="false">IF(H1024="","",VALUE(LEFT(H1024,FIND("/",H1024)-1)))</f>
        <v/>
      </c>
      <c r="AB1024" s="7" t="str">
        <f aca="false">IF(H1024="","",VALUE(MID(H1024,FIND("/",H1024)+1,FIND("/",H1024,FIND("/",H1024)+1)-FIND("/",H1024)-1)))</f>
        <v/>
      </c>
      <c r="AC1024" s="7" t="str">
        <f aca="false">IF(H1024="","",VALUE(MID(H1024,FIND("/",H1024,FIND("/",H1024)+1)+1,LEN(H1024)-FIND("/",H1024,FIND("/",H1024)+1))))</f>
        <v/>
      </c>
      <c r="AD1024" s="7" t="str">
        <f aca="false">IF(OR(H1024="",AA1024=""),"",IFERROR(INDEX('لیست‌ها'!$Q$3:$Q$53,MATCH(AA1024,'لیست‌ها'!$P$3:$P$53,0))+IF(AB1024&lt;=6,(AB1024-1)*31+AC1024,IF(AB1024&lt;=11,186+(AB1024-7)*30+AC1024,336+AC1024))-1,""))</f>
        <v/>
      </c>
      <c r="AE1024" s="7" t="str">
        <f aca="false">IF(P1024="","",VALUE(LEFT(P1024,FIND("/",P1024)-1)))</f>
        <v/>
      </c>
      <c r="AF1024" s="7" t="str">
        <f aca="false">IF(P1024="","",VALUE(MID(P1024,FIND("/",P1024)+1,FIND("/",P1024,FIND("/",P1024)+1)-FIND("/",P1024)-1)))</f>
        <v/>
      </c>
      <c r="AG1024" s="7" t="str">
        <f aca="false">IF(P1024="","",VALUE(MID(P1024,FIND("/",P1024,FIND("/",P1024)+1)+1,LEN(P1024)-FIND("/",P1024,FIND("/",P1024)+1))))</f>
        <v/>
      </c>
      <c r="AH1024" s="7" t="str">
        <f aca="false">IF(OR(P1024="",AE1024=""),"",IFERROR(INDEX('لیست‌ها'!$Q$3:$Q$53,MATCH(AE1024,'لیست‌ها'!$P$3:$P$53,0))+IF(AF1024&lt;=6,(AF1024-1)*31+AG1024,IF(AF1024&lt;=11,186+(AF1024-7)*30+AG1024,336+AG1024))-1,""))</f>
        <v/>
      </c>
      <c r="AI1024" s="7" t="str">
        <f aca="false">IF(W1024="","",W1024&amp;"-"&amp;TEXT(X1024,"00"))</f>
        <v/>
      </c>
      <c r="AJ1024" s="7" t="str">
        <f aca="false">IF(W1024="","",W1024*12+X1024)</f>
        <v/>
      </c>
      <c r="AK1024" s="7" t="str">
        <f aca="false">IF(U1024="تاخیر",V1024+ROW()/100000,"")</f>
        <v/>
      </c>
    </row>
    <row r="1025" customFormat="false" ht="15" hidden="false" customHeight="false" outlineLevel="0" collapsed="false">
      <c r="A1025" s="7" t="str">
        <f aca="false">IF(B1025="","",ROW()-3)</f>
        <v/>
      </c>
      <c r="B1025" s="8"/>
      <c r="C1025" s="8"/>
      <c r="D1025" s="8"/>
      <c r="E1025" s="9"/>
      <c r="F1025" s="9"/>
      <c r="G1025" s="8"/>
      <c r="H1025" s="8"/>
      <c r="I1025" s="8"/>
      <c r="J1025" s="9"/>
      <c r="K1025" s="8"/>
      <c r="L1025" s="8"/>
      <c r="M1025" s="8"/>
      <c r="N1025" s="8"/>
      <c r="O1025" s="8"/>
      <c r="P1025" s="8"/>
      <c r="Q1025" s="8"/>
      <c r="R1025" s="9"/>
      <c r="S1025" s="8"/>
      <c r="T1025" s="9"/>
      <c r="U1025" s="10" t="str">
        <f aca="true">IF(B1025="","",IF(OR(P1025&lt;&gt;"",I1025="می‌باشد"),"بسته",IF(AND(L1025&lt;&gt;"",W1025=""),"خطای فرمت تاریخ ایجاد",IF(AND(H1025&lt;&gt;"",AA1025=""),"خطای فرمت مهلت",IF(AND(H1025&lt;&gt;"",AD1025&lt;&gt;"",TODAY()&gt;AD1025),"تاخیر",IF(L1025&lt;&gt;"","در حال انجام",""))))))</f>
        <v/>
      </c>
      <c r="V1025" s="7" t="n">
        <f aca="true">IF(U1025="تاخیر",TODAY()-AD1025,IF(AND(U1025="بسته",AH1025&lt;&gt;"",AD1025&lt;&gt;"",AH1025&gt;AD1025),AH1025-AD1025,0))</f>
        <v>0</v>
      </c>
      <c r="W1025" s="7" t="str">
        <f aca="false">IF(L1025="","",VALUE(LEFT(L1025,FIND("/",L1025)-1)))</f>
        <v/>
      </c>
      <c r="X1025" s="7" t="str">
        <f aca="false">IF(L1025="","",VALUE(MID(L1025,FIND("/",L1025)+1,FIND("/",L1025,FIND("/",L1025)+1)-FIND("/",L1025)-1)))</f>
        <v/>
      </c>
      <c r="Y1025" s="7" t="str">
        <f aca="false">IF(L1025="","",VALUE(MID(L1025,FIND("/",L1025,FIND("/",L1025)+1)+1,LEN(L1025)-FIND("/",L1025,FIND("/",L1025)+1))))</f>
        <v/>
      </c>
      <c r="Z1025" s="7" t="str">
        <f aca="false">IF(OR(L1025="",W1025=""),"",IFERROR(INDEX('لیست‌ها'!$Q$3:$Q$53,MATCH(W1025,'لیست‌ها'!$P$3:$P$53,0))+IF(X1025&lt;=6,(X1025-1)*31+Y1025,IF(X1025&lt;=11,186+(X1025-7)*30+Y1025,336+Y1025))-1,""))</f>
        <v/>
      </c>
      <c r="AA1025" s="7" t="str">
        <f aca="false">IF(H1025="","",VALUE(LEFT(H1025,FIND("/",H1025)-1)))</f>
        <v/>
      </c>
      <c r="AB1025" s="7" t="str">
        <f aca="false">IF(H1025="","",VALUE(MID(H1025,FIND("/",H1025)+1,FIND("/",H1025,FIND("/",H1025)+1)-FIND("/",H1025)-1)))</f>
        <v/>
      </c>
      <c r="AC1025" s="7" t="str">
        <f aca="false">IF(H1025="","",VALUE(MID(H1025,FIND("/",H1025,FIND("/",H1025)+1)+1,LEN(H1025)-FIND("/",H1025,FIND("/",H1025)+1))))</f>
        <v/>
      </c>
      <c r="AD1025" s="7" t="str">
        <f aca="false">IF(OR(H1025="",AA1025=""),"",IFERROR(INDEX('لیست‌ها'!$Q$3:$Q$53,MATCH(AA1025,'لیست‌ها'!$P$3:$P$53,0))+IF(AB1025&lt;=6,(AB1025-1)*31+AC1025,IF(AB1025&lt;=11,186+(AB1025-7)*30+AC1025,336+AC1025))-1,""))</f>
        <v/>
      </c>
      <c r="AE1025" s="7" t="str">
        <f aca="false">IF(P1025="","",VALUE(LEFT(P1025,FIND("/",P1025)-1)))</f>
        <v/>
      </c>
      <c r="AF1025" s="7" t="str">
        <f aca="false">IF(P1025="","",VALUE(MID(P1025,FIND("/",P1025)+1,FIND("/",P1025,FIND("/",P1025)+1)-FIND("/",P1025)-1)))</f>
        <v/>
      </c>
      <c r="AG1025" s="7" t="str">
        <f aca="false">IF(P1025="","",VALUE(MID(P1025,FIND("/",P1025,FIND("/",P1025)+1)+1,LEN(P1025)-FIND("/",P1025,FIND("/",P1025)+1))))</f>
        <v/>
      </c>
      <c r="AH1025" s="7" t="str">
        <f aca="false">IF(OR(P1025="",AE1025=""),"",IFERROR(INDEX('لیست‌ها'!$Q$3:$Q$53,MATCH(AE1025,'لیست‌ها'!$P$3:$P$53,0))+IF(AF1025&lt;=6,(AF1025-1)*31+AG1025,IF(AF1025&lt;=11,186+(AF1025-7)*30+AG1025,336+AG1025))-1,""))</f>
        <v/>
      </c>
      <c r="AI1025" s="7" t="str">
        <f aca="false">IF(W1025="","",W1025&amp;"-"&amp;TEXT(X1025,"00"))</f>
        <v/>
      </c>
      <c r="AJ1025" s="7" t="str">
        <f aca="false">IF(W1025="","",W1025*12+X1025)</f>
        <v/>
      </c>
      <c r="AK1025" s="7" t="str">
        <f aca="false">IF(U1025="تاخیر",V1025+ROW()/100000,"")</f>
        <v/>
      </c>
    </row>
    <row r="1026" customFormat="false" ht="15" hidden="false" customHeight="false" outlineLevel="0" collapsed="false">
      <c r="A1026" s="7" t="str">
        <f aca="false">IF(B1026="","",ROW()-3)</f>
        <v/>
      </c>
      <c r="B1026" s="8"/>
      <c r="C1026" s="8"/>
      <c r="D1026" s="8"/>
      <c r="E1026" s="9"/>
      <c r="F1026" s="9"/>
      <c r="G1026" s="8"/>
      <c r="H1026" s="8"/>
      <c r="I1026" s="8"/>
      <c r="J1026" s="9"/>
      <c r="K1026" s="8"/>
      <c r="L1026" s="8"/>
      <c r="M1026" s="8"/>
      <c r="N1026" s="8"/>
      <c r="O1026" s="8"/>
      <c r="P1026" s="8"/>
      <c r="Q1026" s="8"/>
      <c r="R1026" s="9"/>
      <c r="S1026" s="8"/>
      <c r="T1026" s="9"/>
      <c r="U1026" s="10" t="str">
        <f aca="true">IF(B1026="","",IF(OR(P1026&lt;&gt;"",I1026="می‌باشد"),"بسته",IF(AND(L1026&lt;&gt;"",W1026=""),"خطای فرمت تاریخ ایجاد",IF(AND(H1026&lt;&gt;"",AA1026=""),"خطای فرمت مهلت",IF(AND(H1026&lt;&gt;"",AD1026&lt;&gt;"",TODAY()&gt;AD1026),"تاخیر",IF(L1026&lt;&gt;"","در حال انجام",""))))))</f>
        <v/>
      </c>
      <c r="V1026" s="7" t="n">
        <f aca="true">IF(U1026="تاخیر",TODAY()-AD1026,IF(AND(U1026="بسته",AH1026&lt;&gt;"",AD1026&lt;&gt;"",AH1026&gt;AD1026),AH1026-AD1026,0))</f>
        <v>0</v>
      </c>
      <c r="W1026" s="7" t="str">
        <f aca="false">IF(L1026="","",VALUE(LEFT(L1026,FIND("/",L1026)-1)))</f>
        <v/>
      </c>
      <c r="X1026" s="7" t="str">
        <f aca="false">IF(L1026="","",VALUE(MID(L1026,FIND("/",L1026)+1,FIND("/",L1026,FIND("/",L1026)+1)-FIND("/",L1026)-1)))</f>
        <v/>
      </c>
      <c r="Y1026" s="7" t="str">
        <f aca="false">IF(L1026="","",VALUE(MID(L1026,FIND("/",L1026,FIND("/",L1026)+1)+1,LEN(L1026)-FIND("/",L1026,FIND("/",L1026)+1))))</f>
        <v/>
      </c>
      <c r="Z1026" s="7" t="str">
        <f aca="false">IF(OR(L1026="",W1026=""),"",IFERROR(INDEX('لیست‌ها'!$Q$3:$Q$53,MATCH(W1026,'لیست‌ها'!$P$3:$P$53,0))+IF(X1026&lt;=6,(X1026-1)*31+Y1026,IF(X1026&lt;=11,186+(X1026-7)*30+Y1026,336+Y1026))-1,""))</f>
        <v/>
      </c>
      <c r="AA1026" s="7" t="str">
        <f aca="false">IF(H1026="","",VALUE(LEFT(H1026,FIND("/",H1026)-1)))</f>
        <v/>
      </c>
      <c r="AB1026" s="7" t="str">
        <f aca="false">IF(H1026="","",VALUE(MID(H1026,FIND("/",H1026)+1,FIND("/",H1026,FIND("/",H1026)+1)-FIND("/",H1026)-1)))</f>
        <v/>
      </c>
      <c r="AC1026" s="7" t="str">
        <f aca="false">IF(H1026="","",VALUE(MID(H1026,FIND("/",H1026,FIND("/",H1026)+1)+1,LEN(H1026)-FIND("/",H1026,FIND("/",H1026)+1))))</f>
        <v/>
      </c>
      <c r="AD1026" s="7" t="str">
        <f aca="false">IF(OR(H1026="",AA1026=""),"",IFERROR(INDEX('لیست‌ها'!$Q$3:$Q$53,MATCH(AA1026,'لیست‌ها'!$P$3:$P$53,0))+IF(AB1026&lt;=6,(AB1026-1)*31+AC1026,IF(AB1026&lt;=11,186+(AB1026-7)*30+AC1026,336+AC1026))-1,""))</f>
        <v/>
      </c>
      <c r="AE1026" s="7" t="str">
        <f aca="false">IF(P1026="","",VALUE(LEFT(P1026,FIND("/",P1026)-1)))</f>
        <v/>
      </c>
      <c r="AF1026" s="7" t="str">
        <f aca="false">IF(P1026="","",VALUE(MID(P1026,FIND("/",P1026)+1,FIND("/",P1026,FIND("/",P1026)+1)-FIND("/",P1026)-1)))</f>
        <v/>
      </c>
      <c r="AG1026" s="7" t="str">
        <f aca="false">IF(P1026="","",VALUE(MID(P1026,FIND("/",P1026,FIND("/",P1026)+1)+1,LEN(P1026)-FIND("/",P1026,FIND("/",P1026)+1))))</f>
        <v/>
      </c>
      <c r="AH1026" s="7" t="str">
        <f aca="false">IF(OR(P1026="",AE1026=""),"",IFERROR(INDEX('لیست‌ها'!$Q$3:$Q$53,MATCH(AE1026,'لیست‌ها'!$P$3:$P$53,0))+IF(AF1026&lt;=6,(AF1026-1)*31+AG1026,IF(AF1026&lt;=11,186+(AF1026-7)*30+AG1026,336+AG1026))-1,""))</f>
        <v/>
      </c>
      <c r="AI1026" s="7" t="str">
        <f aca="false">IF(W1026="","",W1026&amp;"-"&amp;TEXT(X1026,"00"))</f>
        <v/>
      </c>
      <c r="AJ1026" s="7" t="str">
        <f aca="false">IF(W1026="","",W1026*12+X1026)</f>
        <v/>
      </c>
      <c r="AK1026" s="7" t="str">
        <f aca="false">IF(U1026="تاخیر",V1026+ROW()/100000,"")</f>
        <v/>
      </c>
    </row>
    <row r="1027" customFormat="false" ht="15" hidden="false" customHeight="false" outlineLevel="0" collapsed="false">
      <c r="A1027" s="7" t="str">
        <f aca="false">IF(B1027="","",ROW()-3)</f>
        <v/>
      </c>
      <c r="B1027" s="8"/>
      <c r="C1027" s="8"/>
      <c r="D1027" s="8"/>
      <c r="E1027" s="9"/>
      <c r="F1027" s="9"/>
      <c r="G1027" s="8"/>
      <c r="H1027" s="8"/>
      <c r="I1027" s="8"/>
      <c r="J1027" s="9"/>
      <c r="K1027" s="8"/>
      <c r="L1027" s="8"/>
      <c r="M1027" s="8"/>
      <c r="N1027" s="8"/>
      <c r="O1027" s="8"/>
      <c r="P1027" s="8"/>
      <c r="Q1027" s="8"/>
      <c r="R1027" s="9"/>
      <c r="S1027" s="8"/>
      <c r="T1027" s="9"/>
      <c r="U1027" s="10" t="str">
        <f aca="true">IF(B1027="","",IF(OR(P1027&lt;&gt;"",I1027="می‌باشد"),"بسته",IF(AND(L1027&lt;&gt;"",W1027=""),"خطای فرمت تاریخ ایجاد",IF(AND(H1027&lt;&gt;"",AA1027=""),"خطای فرمت مهلت",IF(AND(H1027&lt;&gt;"",AD1027&lt;&gt;"",TODAY()&gt;AD1027),"تاخیر",IF(L1027&lt;&gt;"","در حال انجام",""))))))</f>
        <v/>
      </c>
      <c r="V1027" s="7" t="n">
        <f aca="true">IF(U1027="تاخیر",TODAY()-AD1027,IF(AND(U1027="بسته",AH1027&lt;&gt;"",AD1027&lt;&gt;"",AH1027&gt;AD1027),AH1027-AD1027,0))</f>
        <v>0</v>
      </c>
      <c r="W1027" s="7" t="str">
        <f aca="false">IF(L1027="","",VALUE(LEFT(L1027,FIND("/",L1027)-1)))</f>
        <v/>
      </c>
      <c r="X1027" s="7" t="str">
        <f aca="false">IF(L1027="","",VALUE(MID(L1027,FIND("/",L1027)+1,FIND("/",L1027,FIND("/",L1027)+1)-FIND("/",L1027)-1)))</f>
        <v/>
      </c>
      <c r="Y1027" s="7" t="str">
        <f aca="false">IF(L1027="","",VALUE(MID(L1027,FIND("/",L1027,FIND("/",L1027)+1)+1,LEN(L1027)-FIND("/",L1027,FIND("/",L1027)+1))))</f>
        <v/>
      </c>
      <c r="Z1027" s="7" t="str">
        <f aca="false">IF(OR(L1027="",W1027=""),"",IFERROR(INDEX('لیست‌ها'!$Q$3:$Q$53,MATCH(W1027,'لیست‌ها'!$P$3:$P$53,0))+IF(X1027&lt;=6,(X1027-1)*31+Y1027,IF(X1027&lt;=11,186+(X1027-7)*30+Y1027,336+Y1027))-1,""))</f>
        <v/>
      </c>
      <c r="AA1027" s="7" t="str">
        <f aca="false">IF(H1027="","",VALUE(LEFT(H1027,FIND("/",H1027)-1)))</f>
        <v/>
      </c>
      <c r="AB1027" s="7" t="str">
        <f aca="false">IF(H1027="","",VALUE(MID(H1027,FIND("/",H1027)+1,FIND("/",H1027,FIND("/",H1027)+1)-FIND("/",H1027)-1)))</f>
        <v/>
      </c>
      <c r="AC1027" s="7" t="str">
        <f aca="false">IF(H1027="","",VALUE(MID(H1027,FIND("/",H1027,FIND("/",H1027)+1)+1,LEN(H1027)-FIND("/",H1027,FIND("/",H1027)+1))))</f>
        <v/>
      </c>
      <c r="AD1027" s="7" t="str">
        <f aca="false">IF(OR(H1027="",AA1027=""),"",IFERROR(INDEX('لیست‌ها'!$Q$3:$Q$53,MATCH(AA1027,'لیست‌ها'!$P$3:$P$53,0))+IF(AB1027&lt;=6,(AB1027-1)*31+AC1027,IF(AB1027&lt;=11,186+(AB1027-7)*30+AC1027,336+AC1027))-1,""))</f>
        <v/>
      </c>
      <c r="AE1027" s="7" t="str">
        <f aca="false">IF(P1027="","",VALUE(LEFT(P1027,FIND("/",P1027)-1)))</f>
        <v/>
      </c>
      <c r="AF1027" s="7" t="str">
        <f aca="false">IF(P1027="","",VALUE(MID(P1027,FIND("/",P1027)+1,FIND("/",P1027,FIND("/",P1027)+1)-FIND("/",P1027)-1)))</f>
        <v/>
      </c>
      <c r="AG1027" s="7" t="str">
        <f aca="false">IF(P1027="","",VALUE(MID(P1027,FIND("/",P1027,FIND("/",P1027)+1)+1,LEN(P1027)-FIND("/",P1027,FIND("/",P1027)+1))))</f>
        <v/>
      </c>
      <c r="AH1027" s="7" t="str">
        <f aca="false">IF(OR(P1027="",AE1027=""),"",IFERROR(INDEX('لیست‌ها'!$Q$3:$Q$53,MATCH(AE1027,'لیست‌ها'!$P$3:$P$53,0))+IF(AF1027&lt;=6,(AF1027-1)*31+AG1027,IF(AF1027&lt;=11,186+(AF1027-7)*30+AG1027,336+AG1027))-1,""))</f>
        <v/>
      </c>
      <c r="AI1027" s="7" t="str">
        <f aca="false">IF(W1027="","",W1027&amp;"-"&amp;TEXT(X1027,"00"))</f>
        <v/>
      </c>
      <c r="AJ1027" s="7" t="str">
        <f aca="false">IF(W1027="","",W1027*12+X1027)</f>
        <v/>
      </c>
      <c r="AK1027" s="7" t="str">
        <f aca="false">IF(U1027="تاخیر",V1027+ROW()/100000,"")</f>
        <v/>
      </c>
    </row>
    <row r="1028" customFormat="false" ht="15" hidden="false" customHeight="false" outlineLevel="0" collapsed="false">
      <c r="A1028" s="7" t="str">
        <f aca="false">IF(B1028="","",ROW()-3)</f>
        <v/>
      </c>
      <c r="B1028" s="8"/>
      <c r="C1028" s="8"/>
      <c r="D1028" s="8"/>
      <c r="E1028" s="9"/>
      <c r="F1028" s="9"/>
      <c r="G1028" s="8"/>
      <c r="H1028" s="8"/>
      <c r="I1028" s="8"/>
      <c r="J1028" s="9"/>
      <c r="K1028" s="8"/>
      <c r="L1028" s="8"/>
      <c r="M1028" s="8"/>
      <c r="N1028" s="8"/>
      <c r="O1028" s="8"/>
      <c r="P1028" s="8"/>
      <c r="Q1028" s="8"/>
      <c r="R1028" s="9"/>
      <c r="S1028" s="8"/>
      <c r="T1028" s="9"/>
      <c r="U1028" s="10" t="str">
        <f aca="true">IF(B1028="","",IF(OR(P1028&lt;&gt;"",I1028="می‌باشد"),"بسته",IF(AND(L1028&lt;&gt;"",W1028=""),"خطای فرمت تاریخ ایجاد",IF(AND(H1028&lt;&gt;"",AA1028=""),"خطای فرمت مهلت",IF(AND(H1028&lt;&gt;"",AD1028&lt;&gt;"",TODAY()&gt;AD1028),"تاخیر",IF(L1028&lt;&gt;"","در حال انجام",""))))))</f>
        <v/>
      </c>
      <c r="V1028" s="7" t="n">
        <f aca="true">IF(U1028="تاخیر",TODAY()-AD1028,IF(AND(U1028="بسته",AH1028&lt;&gt;"",AD1028&lt;&gt;"",AH1028&gt;AD1028),AH1028-AD1028,0))</f>
        <v>0</v>
      </c>
      <c r="W1028" s="7" t="str">
        <f aca="false">IF(L1028="","",VALUE(LEFT(L1028,FIND("/",L1028)-1)))</f>
        <v/>
      </c>
      <c r="X1028" s="7" t="str">
        <f aca="false">IF(L1028="","",VALUE(MID(L1028,FIND("/",L1028)+1,FIND("/",L1028,FIND("/",L1028)+1)-FIND("/",L1028)-1)))</f>
        <v/>
      </c>
      <c r="Y1028" s="7" t="str">
        <f aca="false">IF(L1028="","",VALUE(MID(L1028,FIND("/",L1028,FIND("/",L1028)+1)+1,LEN(L1028)-FIND("/",L1028,FIND("/",L1028)+1))))</f>
        <v/>
      </c>
      <c r="Z1028" s="7" t="str">
        <f aca="false">IF(OR(L1028="",W1028=""),"",IFERROR(INDEX('لیست‌ها'!$Q$3:$Q$53,MATCH(W1028,'لیست‌ها'!$P$3:$P$53,0))+IF(X1028&lt;=6,(X1028-1)*31+Y1028,IF(X1028&lt;=11,186+(X1028-7)*30+Y1028,336+Y1028))-1,""))</f>
        <v/>
      </c>
      <c r="AA1028" s="7" t="str">
        <f aca="false">IF(H1028="","",VALUE(LEFT(H1028,FIND("/",H1028)-1)))</f>
        <v/>
      </c>
      <c r="AB1028" s="7" t="str">
        <f aca="false">IF(H1028="","",VALUE(MID(H1028,FIND("/",H1028)+1,FIND("/",H1028,FIND("/",H1028)+1)-FIND("/",H1028)-1)))</f>
        <v/>
      </c>
      <c r="AC1028" s="7" t="str">
        <f aca="false">IF(H1028="","",VALUE(MID(H1028,FIND("/",H1028,FIND("/",H1028)+1)+1,LEN(H1028)-FIND("/",H1028,FIND("/",H1028)+1))))</f>
        <v/>
      </c>
      <c r="AD1028" s="7" t="str">
        <f aca="false">IF(OR(H1028="",AA1028=""),"",IFERROR(INDEX('لیست‌ها'!$Q$3:$Q$53,MATCH(AA1028,'لیست‌ها'!$P$3:$P$53,0))+IF(AB1028&lt;=6,(AB1028-1)*31+AC1028,IF(AB1028&lt;=11,186+(AB1028-7)*30+AC1028,336+AC1028))-1,""))</f>
        <v/>
      </c>
      <c r="AE1028" s="7" t="str">
        <f aca="false">IF(P1028="","",VALUE(LEFT(P1028,FIND("/",P1028)-1)))</f>
        <v/>
      </c>
      <c r="AF1028" s="7" t="str">
        <f aca="false">IF(P1028="","",VALUE(MID(P1028,FIND("/",P1028)+1,FIND("/",P1028,FIND("/",P1028)+1)-FIND("/",P1028)-1)))</f>
        <v/>
      </c>
      <c r="AG1028" s="7" t="str">
        <f aca="false">IF(P1028="","",VALUE(MID(P1028,FIND("/",P1028,FIND("/",P1028)+1)+1,LEN(P1028)-FIND("/",P1028,FIND("/",P1028)+1))))</f>
        <v/>
      </c>
      <c r="AH1028" s="7" t="str">
        <f aca="false">IF(OR(P1028="",AE1028=""),"",IFERROR(INDEX('لیست‌ها'!$Q$3:$Q$53,MATCH(AE1028,'لیست‌ها'!$P$3:$P$53,0))+IF(AF1028&lt;=6,(AF1028-1)*31+AG1028,IF(AF1028&lt;=11,186+(AF1028-7)*30+AG1028,336+AG1028))-1,""))</f>
        <v/>
      </c>
      <c r="AI1028" s="7" t="str">
        <f aca="false">IF(W1028="","",W1028&amp;"-"&amp;TEXT(X1028,"00"))</f>
        <v/>
      </c>
      <c r="AJ1028" s="7" t="str">
        <f aca="false">IF(W1028="","",W1028*12+X1028)</f>
        <v/>
      </c>
      <c r="AK1028" s="7" t="str">
        <f aca="false">IF(U1028="تاخیر",V1028+ROW()/100000,"")</f>
        <v/>
      </c>
    </row>
    <row r="1029" customFormat="false" ht="15" hidden="false" customHeight="false" outlineLevel="0" collapsed="false">
      <c r="A1029" s="7" t="str">
        <f aca="false">IF(B1029="","",ROW()-3)</f>
        <v/>
      </c>
      <c r="B1029" s="8"/>
      <c r="C1029" s="8"/>
      <c r="D1029" s="8"/>
      <c r="E1029" s="9"/>
      <c r="F1029" s="9"/>
      <c r="G1029" s="8"/>
      <c r="H1029" s="8"/>
      <c r="I1029" s="8"/>
      <c r="J1029" s="9"/>
      <c r="K1029" s="8"/>
      <c r="L1029" s="8"/>
      <c r="M1029" s="8"/>
      <c r="N1029" s="8"/>
      <c r="O1029" s="8"/>
      <c r="P1029" s="8"/>
      <c r="Q1029" s="8"/>
      <c r="R1029" s="9"/>
      <c r="S1029" s="8"/>
      <c r="T1029" s="9"/>
      <c r="U1029" s="10" t="str">
        <f aca="true">IF(B1029="","",IF(OR(P1029&lt;&gt;"",I1029="می‌باشد"),"بسته",IF(AND(L1029&lt;&gt;"",W1029=""),"خطای فرمت تاریخ ایجاد",IF(AND(H1029&lt;&gt;"",AA1029=""),"خطای فرمت مهلت",IF(AND(H1029&lt;&gt;"",AD1029&lt;&gt;"",TODAY()&gt;AD1029),"تاخیر",IF(L1029&lt;&gt;"","در حال انجام",""))))))</f>
        <v/>
      </c>
      <c r="V1029" s="7" t="n">
        <f aca="true">IF(U1029="تاخیر",TODAY()-AD1029,IF(AND(U1029="بسته",AH1029&lt;&gt;"",AD1029&lt;&gt;"",AH1029&gt;AD1029),AH1029-AD1029,0))</f>
        <v>0</v>
      </c>
      <c r="W1029" s="7" t="str">
        <f aca="false">IF(L1029="","",VALUE(LEFT(L1029,FIND("/",L1029)-1)))</f>
        <v/>
      </c>
      <c r="X1029" s="7" t="str">
        <f aca="false">IF(L1029="","",VALUE(MID(L1029,FIND("/",L1029)+1,FIND("/",L1029,FIND("/",L1029)+1)-FIND("/",L1029)-1)))</f>
        <v/>
      </c>
      <c r="Y1029" s="7" t="str">
        <f aca="false">IF(L1029="","",VALUE(MID(L1029,FIND("/",L1029,FIND("/",L1029)+1)+1,LEN(L1029)-FIND("/",L1029,FIND("/",L1029)+1))))</f>
        <v/>
      </c>
      <c r="Z1029" s="7" t="str">
        <f aca="false">IF(OR(L1029="",W1029=""),"",IFERROR(INDEX('لیست‌ها'!$Q$3:$Q$53,MATCH(W1029,'لیست‌ها'!$P$3:$P$53,0))+IF(X1029&lt;=6,(X1029-1)*31+Y1029,IF(X1029&lt;=11,186+(X1029-7)*30+Y1029,336+Y1029))-1,""))</f>
        <v/>
      </c>
      <c r="AA1029" s="7" t="str">
        <f aca="false">IF(H1029="","",VALUE(LEFT(H1029,FIND("/",H1029)-1)))</f>
        <v/>
      </c>
      <c r="AB1029" s="7" t="str">
        <f aca="false">IF(H1029="","",VALUE(MID(H1029,FIND("/",H1029)+1,FIND("/",H1029,FIND("/",H1029)+1)-FIND("/",H1029)-1)))</f>
        <v/>
      </c>
      <c r="AC1029" s="7" t="str">
        <f aca="false">IF(H1029="","",VALUE(MID(H1029,FIND("/",H1029,FIND("/",H1029)+1)+1,LEN(H1029)-FIND("/",H1029,FIND("/",H1029)+1))))</f>
        <v/>
      </c>
      <c r="AD1029" s="7" t="str">
        <f aca="false">IF(OR(H1029="",AA1029=""),"",IFERROR(INDEX('لیست‌ها'!$Q$3:$Q$53,MATCH(AA1029,'لیست‌ها'!$P$3:$P$53,0))+IF(AB1029&lt;=6,(AB1029-1)*31+AC1029,IF(AB1029&lt;=11,186+(AB1029-7)*30+AC1029,336+AC1029))-1,""))</f>
        <v/>
      </c>
      <c r="AE1029" s="7" t="str">
        <f aca="false">IF(P1029="","",VALUE(LEFT(P1029,FIND("/",P1029)-1)))</f>
        <v/>
      </c>
      <c r="AF1029" s="7" t="str">
        <f aca="false">IF(P1029="","",VALUE(MID(P1029,FIND("/",P1029)+1,FIND("/",P1029,FIND("/",P1029)+1)-FIND("/",P1029)-1)))</f>
        <v/>
      </c>
      <c r="AG1029" s="7" t="str">
        <f aca="false">IF(P1029="","",VALUE(MID(P1029,FIND("/",P1029,FIND("/",P1029)+1)+1,LEN(P1029)-FIND("/",P1029,FIND("/",P1029)+1))))</f>
        <v/>
      </c>
      <c r="AH1029" s="7" t="str">
        <f aca="false">IF(OR(P1029="",AE1029=""),"",IFERROR(INDEX('لیست‌ها'!$Q$3:$Q$53,MATCH(AE1029,'لیست‌ها'!$P$3:$P$53,0))+IF(AF1029&lt;=6,(AF1029-1)*31+AG1029,IF(AF1029&lt;=11,186+(AF1029-7)*30+AG1029,336+AG1029))-1,""))</f>
        <v/>
      </c>
      <c r="AI1029" s="7" t="str">
        <f aca="false">IF(W1029="","",W1029&amp;"-"&amp;TEXT(X1029,"00"))</f>
        <v/>
      </c>
      <c r="AJ1029" s="7" t="str">
        <f aca="false">IF(W1029="","",W1029*12+X1029)</f>
        <v/>
      </c>
      <c r="AK1029" s="7" t="str">
        <f aca="false">IF(U1029="تاخیر",V1029+ROW()/100000,"")</f>
        <v/>
      </c>
    </row>
    <row r="1030" customFormat="false" ht="15" hidden="false" customHeight="false" outlineLevel="0" collapsed="false">
      <c r="A1030" s="7" t="str">
        <f aca="false">IF(B1030="","",ROW()-3)</f>
        <v/>
      </c>
      <c r="B1030" s="8"/>
      <c r="C1030" s="8"/>
      <c r="D1030" s="8"/>
      <c r="E1030" s="9"/>
      <c r="F1030" s="9"/>
      <c r="G1030" s="8"/>
      <c r="H1030" s="8"/>
      <c r="I1030" s="8"/>
      <c r="J1030" s="9"/>
      <c r="K1030" s="8"/>
      <c r="L1030" s="8"/>
      <c r="M1030" s="8"/>
      <c r="N1030" s="8"/>
      <c r="O1030" s="8"/>
      <c r="P1030" s="8"/>
      <c r="Q1030" s="8"/>
      <c r="R1030" s="9"/>
      <c r="S1030" s="8"/>
      <c r="T1030" s="9"/>
      <c r="U1030" s="10" t="str">
        <f aca="true">IF(B1030="","",IF(OR(P1030&lt;&gt;"",I1030="می‌باشد"),"بسته",IF(AND(L1030&lt;&gt;"",W1030=""),"خطای فرمت تاریخ ایجاد",IF(AND(H1030&lt;&gt;"",AA1030=""),"خطای فرمت مهلت",IF(AND(H1030&lt;&gt;"",AD1030&lt;&gt;"",TODAY()&gt;AD1030),"تاخیر",IF(L1030&lt;&gt;"","در حال انجام",""))))))</f>
        <v/>
      </c>
      <c r="V1030" s="7" t="n">
        <f aca="true">IF(U1030="تاخیر",TODAY()-AD1030,IF(AND(U1030="بسته",AH1030&lt;&gt;"",AD1030&lt;&gt;"",AH1030&gt;AD1030),AH1030-AD1030,0))</f>
        <v>0</v>
      </c>
      <c r="W1030" s="7" t="str">
        <f aca="false">IF(L1030="","",VALUE(LEFT(L1030,FIND("/",L1030)-1)))</f>
        <v/>
      </c>
      <c r="X1030" s="7" t="str">
        <f aca="false">IF(L1030="","",VALUE(MID(L1030,FIND("/",L1030)+1,FIND("/",L1030,FIND("/",L1030)+1)-FIND("/",L1030)-1)))</f>
        <v/>
      </c>
      <c r="Y1030" s="7" t="str">
        <f aca="false">IF(L1030="","",VALUE(MID(L1030,FIND("/",L1030,FIND("/",L1030)+1)+1,LEN(L1030)-FIND("/",L1030,FIND("/",L1030)+1))))</f>
        <v/>
      </c>
      <c r="Z1030" s="7" t="str">
        <f aca="false">IF(OR(L1030="",W1030=""),"",IFERROR(INDEX('لیست‌ها'!$Q$3:$Q$53,MATCH(W1030,'لیست‌ها'!$P$3:$P$53,0))+IF(X1030&lt;=6,(X1030-1)*31+Y1030,IF(X1030&lt;=11,186+(X1030-7)*30+Y1030,336+Y1030))-1,""))</f>
        <v/>
      </c>
      <c r="AA1030" s="7" t="str">
        <f aca="false">IF(H1030="","",VALUE(LEFT(H1030,FIND("/",H1030)-1)))</f>
        <v/>
      </c>
      <c r="AB1030" s="7" t="str">
        <f aca="false">IF(H1030="","",VALUE(MID(H1030,FIND("/",H1030)+1,FIND("/",H1030,FIND("/",H1030)+1)-FIND("/",H1030)-1)))</f>
        <v/>
      </c>
      <c r="AC1030" s="7" t="str">
        <f aca="false">IF(H1030="","",VALUE(MID(H1030,FIND("/",H1030,FIND("/",H1030)+1)+1,LEN(H1030)-FIND("/",H1030,FIND("/",H1030)+1))))</f>
        <v/>
      </c>
      <c r="AD1030" s="7" t="str">
        <f aca="false">IF(OR(H1030="",AA1030=""),"",IFERROR(INDEX('لیست‌ها'!$Q$3:$Q$53,MATCH(AA1030,'لیست‌ها'!$P$3:$P$53,0))+IF(AB1030&lt;=6,(AB1030-1)*31+AC1030,IF(AB1030&lt;=11,186+(AB1030-7)*30+AC1030,336+AC1030))-1,""))</f>
        <v/>
      </c>
      <c r="AE1030" s="7" t="str">
        <f aca="false">IF(P1030="","",VALUE(LEFT(P1030,FIND("/",P1030)-1)))</f>
        <v/>
      </c>
      <c r="AF1030" s="7" t="str">
        <f aca="false">IF(P1030="","",VALUE(MID(P1030,FIND("/",P1030)+1,FIND("/",P1030,FIND("/",P1030)+1)-FIND("/",P1030)-1)))</f>
        <v/>
      </c>
      <c r="AG1030" s="7" t="str">
        <f aca="false">IF(P1030="","",VALUE(MID(P1030,FIND("/",P1030,FIND("/",P1030)+1)+1,LEN(P1030)-FIND("/",P1030,FIND("/",P1030)+1))))</f>
        <v/>
      </c>
      <c r="AH1030" s="7" t="str">
        <f aca="false">IF(OR(P1030="",AE1030=""),"",IFERROR(INDEX('لیست‌ها'!$Q$3:$Q$53,MATCH(AE1030,'لیست‌ها'!$P$3:$P$53,0))+IF(AF1030&lt;=6,(AF1030-1)*31+AG1030,IF(AF1030&lt;=11,186+(AF1030-7)*30+AG1030,336+AG1030))-1,""))</f>
        <v/>
      </c>
      <c r="AI1030" s="7" t="str">
        <f aca="false">IF(W1030="","",W1030&amp;"-"&amp;TEXT(X1030,"00"))</f>
        <v/>
      </c>
      <c r="AJ1030" s="7" t="str">
        <f aca="false">IF(W1030="","",W1030*12+X1030)</f>
        <v/>
      </c>
      <c r="AK1030" s="7" t="str">
        <f aca="false">IF(U1030="تاخیر",V1030+ROW()/100000,"")</f>
        <v/>
      </c>
    </row>
    <row r="1031" customFormat="false" ht="15" hidden="false" customHeight="false" outlineLevel="0" collapsed="false">
      <c r="A1031" s="7" t="str">
        <f aca="false">IF(B1031="","",ROW()-3)</f>
        <v/>
      </c>
      <c r="B1031" s="8"/>
      <c r="C1031" s="8"/>
      <c r="D1031" s="8"/>
      <c r="E1031" s="9"/>
      <c r="F1031" s="9"/>
      <c r="G1031" s="8"/>
      <c r="H1031" s="8"/>
      <c r="I1031" s="8"/>
      <c r="J1031" s="9"/>
      <c r="K1031" s="8"/>
      <c r="L1031" s="8"/>
      <c r="M1031" s="8"/>
      <c r="N1031" s="8"/>
      <c r="O1031" s="8"/>
      <c r="P1031" s="8"/>
      <c r="Q1031" s="8"/>
      <c r="R1031" s="9"/>
      <c r="S1031" s="8"/>
      <c r="T1031" s="9"/>
      <c r="U1031" s="10" t="str">
        <f aca="true">IF(B1031="","",IF(OR(P1031&lt;&gt;"",I1031="می‌باشد"),"بسته",IF(AND(L1031&lt;&gt;"",W1031=""),"خطای فرمت تاریخ ایجاد",IF(AND(H1031&lt;&gt;"",AA1031=""),"خطای فرمت مهلت",IF(AND(H1031&lt;&gt;"",AD1031&lt;&gt;"",TODAY()&gt;AD1031),"تاخیر",IF(L1031&lt;&gt;"","در حال انجام",""))))))</f>
        <v/>
      </c>
      <c r="V1031" s="7" t="n">
        <f aca="true">IF(U1031="تاخیر",TODAY()-AD1031,IF(AND(U1031="بسته",AH1031&lt;&gt;"",AD1031&lt;&gt;"",AH1031&gt;AD1031),AH1031-AD1031,0))</f>
        <v>0</v>
      </c>
      <c r="W1031" s="7" t="str">
        <f aca="false">IF(L1031="","",VALUE(LEFT(L1031,FIND("/",L1031)-1)))</f>
        <v/>
      </c>
      <c r="X1031" s="7" t="str">
        <f aca="false">IF(L1031="","",VALUE(MID(L1031,FIND("/",L1031)+1,FIND("/",L1031,FIND("/",L1031)+1)-FIND("/",L1031)-1)))</f>
        <v/>
      </c>
      <c r="Y1031" s="7" t="str">
        <f aca="false">IF(L1031="","",VALUE(MID(L1031,FIND("/",L1031,FIND("/",L1031)+1)+1,LEN(L1031)-FIND("/",L1031,FIND("/",L1031)+1))))</f>
        <v/>
      </c>
      <c r="Z1031" s="7" t="str">
        <f aca="false">IF(OR(L1031="",W1031=""),"",IFERROR(INDEX('لیست‌ها'!$Q$3:$Q$53,MATCH(W1031,'لیست‌ها'!$P$3:$P$53,0))+IF(X1031&lt;=6,(X1031-1)*31+Y1031,IF(X1031&lt;=11,186+(X1031-7)*30+Y1031,336+Y1031))-1,""))</f>
        <v/>
      </c>
      <c r="AA1031" s="7" t="str">
        <f aca="false">IF(H1031="","",VALUE(LEFT(H1031,FIND("/",H1031)-1)))</f>
        <v/>
      </c>
      <c r="AB1031" s="7" t="str">
        <f aca="false">IF(H1031="","",VALUE(MID(H1031,FIND("/",H1031)+1,FIND("/",H1031,FIND("/",H1031)+1)-FIND("/",H1031)-1)))</f>
        <v/>
      </c>
      <c r="AC1031" s="7" t="str">
        <f aca="false">IF(H1031="","",VALUE(MID(H1031,FIND("/",H1031,FIND("/",H1031)+1)+1,LEN(H1031)-FIND("/",H1031,FIND("/",H1031)+1))))</f>
        <v/>
      </c>
      <c r="AD1031" s="7" t="str">
        <f aca="false">IF(OR(H1031="",AA1031=""),"",IFERROR(INDEX('لیست‌ها'!$Q$3:$Q$53,MATCH(AA1031,'لیست‌ها'!$P$3:$P$53,0))+IF(AB1031&lt;=6,(AB1031-1)*31+AC1031,IF(AB1031&lt;=11,186+(AB1031-7)*30+AC1031,336+AC1031))-1,""))</f>
        <v/>
      </c>
      <c r="AE1031" s="7" t="str">
        <f aca="false">IF(P1031="","",VALUE(LEFT(P1031,FIND("/",P1031)-1)))</f>
        <v/>
      </c>
      <c r="AF1031" s="7" t="str">
        <f aca="false">IF(P1031="","",VALUE(MID(P1031,FIND("/",P1031)+1,FIND("/",P1031,FIND("/",P1031)+1)-FIND("/",P1031)-1)))</f>
        <v/>
      </c>
      <c r="AG1031" s="7" t="str">
        <f aca="false">IF(P1031="","",VALUE(MID(P1031,FIND("/",P1031,FIND("/",P1031)+1)+1,LEN(P1031)-FIND("/",P1031,FIND("/",P1031)+1))))</f>
        <v/>
      </c>
      <c r="AH1031" s="7" t="str">
        <f aca="false">IF(OR(P1031="",AE1031=""),"",IFERROR(INDEX('لیست‌ها'!$Q$3:$Q$53,MATCH(AE1031,'لیست‌ها'!$P$3:$P$53,0))+IF(AF1031&lt;=6,(AF1031-1)*31+AG1031,IF(AF1031&lt;=11,186+(AF1031-7)*30+AG1031,336+AG1031))-1,""))</f>
        <v/>
      </c>
      <c r="AI1031" s="7" t="str">
        <f aca="false">IF(W1031="","",W1031&amp;"-"&amp;TEXT(X1031,"00"))</f>
        <v/>
      </c>
      <c r="AJ1031" s="7" t="str">
        <f aca="false">IF(W1031="","",W1031*12+X1031)</f>
        <v/>
      </c>
      <c r="AK1031" s="7" t="str">
        <f aca="false">IF(U1031="تاخیر",V1031+ROW()/100000,"")</f>
        <v/>
      </c>
    </row>
    <row r="1032" customFormat="false" ht="15" hidden="false" customHeight="false" outlineLevel="0" collapsed="false">
      <c r="A1032" s="7" t="str">
        <f aca="false">IF(B1032="","",ROW()-3)</f>
        <v/>
      </c>
      <c r="B1032" s="8"/>
      <c r="C1032" s="8"/>
      <c r="D1032" s="8"/>
      <c r="E1032" s="9"/>
      <c r="F1032" s="9"/>
      <c r="G1032" s="8"/>
      <c r="H1032" s="8"/>
      <c r="I1032" s="8"/>
      <c r="J1032" s="9"/>
      <c r="K1032" s="8"/>
      <c r="L1032" s="8"/>
      <c r="M1032" s="8"/>
      <c r="N1032" s="8"/>
      <c r="O1032" s="8"/>
      <c r="P1032" s="8"/>
      <c r="Q1032" s="8"/>
      <c r="R1032" s="9"/>
      <c r="S1032" s="8"/>
      <c r="T1032" s="9"/>
      <c r="U1032" s="10" t="str">
        <f aca="true">IF(B1032="","",IF(OR(P1032&lt;&gt;"",I1032="می‌باشد"),"بسته",IF(AND(L1032&lt;&gt;"",W1032=""),"خطای فرمت تاریخ ایجاد",IF(AND(H1032&lt;&gt;"",AA1032=""),"خطای فرمت مهلت",IF(AND(H1032&lt;&gt;"",AD1032&lt;&gt;"",TODAY()&gt;AD1032),"تاخیر",IF(L1032&lt;&gt;"","در حال انجام",""))))))</f>
        <v/>
      </c>
      <c r="V1032" s="7" t="n">
        <f aca="true">IF(U1032="تاخیر",TODAY()-AD1032,IF(AND(U1032="بسته",AH1032&lt;&gt;"",AD1032&lt;&gt;"",AH1032&gt;AD1032),AH1032-AD1032,0))</f>
        <v>0</v>
      </c>
      <c r="W1032" s="7" t="str">
        <f aca="false">IF(L1032="","",VALUE(LEFT(L1032,FIND("/",L1032)-1)))</f>
        <v/>
      </c>
      <c r="X1032" s="7" t="str">
        <f aca="false">IF(L1032="","",VALUE(MID(L1032,FIND("/",L1032)+1,FIND("/",L1032,FIND("/",L1032)+1)-FIND("/",L1032)-1)))</f>
        <v/>
      </c>
      <c r="Y1032" s="7" t="str">
        <f aca="false">IF(L1032="","",VALUE(MID(L1032,FIND("/",L1032,FIND("/",L1032)+1)+1,LEN(L1032)-FIND("/",L1032,FIND("/",L1032)+1))))</f>
        <v/>
      </c>
      <c r="Z1032" s="7" t="str">
        <f aca="false">IF(OR(L1032="",W1032=""),"",IFERROR(INDEX('لیست‌ها'!$Q$3:$Q$53,MATCH(W1032,'لیست‌ها'!$P$3:$P$53,0))+IF(X1032&lt;=6,(X1032-1)*31+Y1032,IF(X1032&lt;=11,186+(X1032-7)*30+Y1032,336+Y1032))-1,""))</f>
        <v/>
      </c>
      <c r="AA1032" s="7" t="str">
        <f aca="false">IF(H1032="","",VALUE(LEFT(H1032,FIND("/",H1032)-1)))</f>
        <v/>
      </c>
      <c r="AB1032" s="7" t="str">
        <f aca="false">IF(H1032="","",VALUE(MID(H1032,FIND("/",H1032)+1,FIND("/",H1032,FIND("/",H1032)+1)-FIND("/",H1032)-1)))</f>
        <v/>
      </c>
      <c r="AC1032" s="7" t="str">
        <f aca="false">IF(H1032="","",VALUE(MID(H1032,FIND("/",H1032,FIND("/",H1032)+1)+1,LEN(H1032)-FIND("/",H1032,FIND("/",H1032)+1))))</f>
        <v/>
      </c>
      <c r="AD1032" s="7" t="str">
        <f aca="false">IF(OR(H1032="",AA1032=""),"",IFERROR(INDEX('لیست‌ها'!$Q$3:$Q$53,MATCH(AA1032,'لیست‌ها'!$P$3:$P$53,0))+IF(AB1032&lt;=6,(AB1032-1)*31+AC1032,IF(AB1032&lt;=11,186+(AB1032-7)*30+AC1032,336+AC1032))-1,""))</f>
        <v/>
      </c>
      <c r="AE1032" s="7" t="str">
        <f aca="false">IF(P1032="","",VALUE(LEFT(P1032,FIND("/",P1032)-1)))</f>
        <v/>
      </c>
      <c r="AF1032" s="7" t="str">
        <f aca="false">IF(P1032="","",VALUE(MID(P1032,FIND("/",P1032)+1,FIND("/",P1032,FIND("/",P1032)+1)-FIND("/",P1032)-1)))</f>
        <v/>
      </c>
      <c r="AG1032" s="7" t="str">
        <f aca="false">IF(P1032="","",VALUE(MID(P1032,FIND("/",P1032,FIND("/",P1032)+1)+1,LEN(P1032)-FIND("/",P1032,FIND("/",P1032)+1))))</f>
        <v/>
      </c>
      <c r="AH1032" s="7" t="str">
        <f aca="false">IF(OR(P1032="",AE1032=""),"",IFERROR(INDEX('لیست‌ها'!$Q$3:$Q$53,MATCH(AE1032,'لیست‌ها'!$P$3:$P$53,0))+IF(AF1032&lt;=6,(AF1032-1)*31+AG1032,IF(AF1032&lt;=11,186+(AF1032-7)*30+AG1032,336+AG1032))-1,""))</f>
        <v/>
      </c>
      <c r="AI1032" s="7" t="str">
        <f aca="false">IF(W1032="","",W1032&amp;"-"&amp;TEXT(X1032,"00"))</f>
        <v/>
      </c>
      <c r="AJ1032" s="7" t="str">
        <f aca="false">IF(W1032="","",W1032*12+X1032)</f>
        <v/>
      </c>
      <c r="AK1032" s="7" t="str">
        <f aca="false">IF(U1032="تاخیر",V1032+ROW()/100000,"")</f>
        <v/>
      </c>
    </row>
    <row r="1033" customFormat="false" ht="15" hidden="false" customHeight="false" outlineLevel="0" collapsed="false">
      <c r="A1033" s="7" t="str">
        <f aca="false">IF(B1033="","",ROW()-3)</f>
        <v/>
      </c>
      <c r="B1033" s="8"/>
      <c r="C1033" s="8"/>
      <c r="D1033" s="8"/>
      <c r="E1033" s="9"/>
      <c r="F1033" s="9"/>
      <c r="G1033" s="8"/>
      <c r="H1033" s="8"/>
      <c r="I1033" s="8"/>
      <c r="J1033" s="9"/>
      <c r="K1033" s="8"/>
      <c r="L1033" s="8"/>
      <c r="M1033" s="8"/>
      <c r="N1033" s="8"/>
      <c r="O1033" s="8"/>
      <c r="P1033" s="8"/>
      <c r="Q1033" s="8"/>
      <c r="R1033" s="9"/>
      <c r="S1033" s="8"/>
      <c r="T1033" s="9"/>
      <c r="U1033" s="10" t="str">
        <f aca="true">IF(B1033="","",IF(OR(P1033&lt;&gt;"",I1033="می‌باشد"),"بسته",IF(AND(L1033&lt;&gt;"",W1033=""),"خطای فرمت تاریخ ایجاد",IF(AND(H1033&lt;&gt;"",AA1033=""),"خطای فرمت مهلت",IF(AND(H1033&lt;&gt;"",AD1033&lt;&gt;"",TODAY()&gt;AD1033),"تاخیر",IF(L1033&lt;&gt;"","در حال انجام",""))))))</f>
        <v/>
      </c>
      <c r="V1033" s="7" t="n">
        <f aca="true">IF(U1033="تاخیر",TODAY()-AD1033,IF(AND(U1033="بسته",AH1033&lt;&gt;"",AD1033&lt;&gt;"",AH1033&gt;AD1033),AH1033-AD1033,0))</f>
        <v>0</v>
      </c>
      <c r="W1033" s="7" t="str">
        <f aca="false">IF(L1033="","",VALUE(LEFT(L1033,FIND("/",L1033)-1)))</f>
        <v/>
      </c>
      <c r="X1033" s="7" t="str">
        <f aca="false">IF(L1033="","",VALUE(MID(L1033,FIND("/",L1033)+1,FIND("/",L1033,FIND("/",L1033)+1)-FIND("/",L1033)-1)))</f>
        <v/>
      </c>
      <c r="Y1033" s="7" t="str">
        <f aca="false">IF(L1033="","",VALUE(MID(L1033,FIND("/",L1033,FIND("/",L1033)+1)+1,LEN(L1033)-FIND("/",L1033,FIND("/",L1033)+1))))</f>
        <v/>
      </c>
      <c r="Z1033" s="7" t="str">
        <f aca="false">IF(OR(L1033="",W1033=""),"",IFERROR(INDEX('لیست‌ها'!$Q$3:$Q$53,MATCH(W1033,'لیست‌ها'!$P$3:$P$53,0))+IF(X1033&lt;=6,(X1033-1)*31+Y1033,IF(X1033&lt;=11,186+(X1033-7)*30+Y1033,336+Y1033))-1,""))</f>
        <v/>
      </c>
      <c r="AA1033" s="7" t="str">
        <f aca="false">IF(H1033="","",VALUE(LEFT(H1033,FIND("/",H1033)-1)))</f>
        <v/>
      </c>
      <c r="AB1033" s="7" t="str">
        <f aca="false">IF(H1033="","",VALUE(MID(H1033,FIND("/",H1033)+1,FIND("/",H1033,FIND("/",H1033)+1)-FIND("/",H1033)-1)))</f>
        <v/>
      </c>
      <c r="AC1033" s="7" t="str">
        <f aca="false">IF(H1033="","",VALUE(MID(H1033,FIND("/",H1033,FIND("/",H1033)+1)+1,LEN(H1033)-FIND("/",H1033,FIND("/",H1033)+1))))</f>
        <v/>
      </c>
      <c r="AD1033" s="7" t="str">
        <f aca="false">IF(OR(H1033="",AA1033=""),"",IFERROR(INDEX('لیست‌ها'!$Q$3:$Q$53,MATCH(AA1033,'لیست‌ها'!$P$3:$P$53,0))+IF(AB1033&lt;=6,(AB1033-1)*31+AC1033,IF(AB1033&lt;=11,186+(AB1033-7)*30+AC1033,336+AC1033))-1,""))</f>
        <v/>
      </c>
      <c r="AE1033" s="7" t="str">
        <f aca="false">IF(P1033="","",VALUE(LEFT(P1033,FIND("/",P1033)-1)))</f>
        <v/>
      </c>
      <c r="AF1033" s="7" t="str">
        <f aca="false">IF(P1033="","",VALUE(MID(P1033,FIND("/",P1033)+1,FIND("/",P1033,FIND("/",P1033)+1)-FIND("/",P1033)-1)))</f>
        <v/>
      </c>
      <c r="AG1033" s="7" t="str">
        <f aca="false">IF(P1033="","",VALUE(MID(P1033,FIND("/",P1033,FIND("/",P1033)+1)+1,LEN(P1033)-FIND("/",P1033,FIND("/",P1033)+1))))</f>
        <v/>
      </c>
      <c r="AH1033" s="7" t="str">
        <f aca="false">IF(OR(P1033="",AE1033=""),"",IFERROR(INDEX('لیست‌ها'!$Q$3:$Q$53,MATCH(AE1033,'لیست‌ها'!$P$3:$P$53,0))+IF(AF1033&lt;=6,(AF1033-1)*31+AG1033,IF(AF1033&lt;=11,186+(AF1033-7)*30+AG1033,336+AG1033))-1,""))</f>
        <v/>
      </c>
      <c r="AI1033" s="7" t="str">
        <f aca="false">IF(W1033="","",W1033&amp;"-"&amp;TEXT(X1033,"00"))</f>
        <v/>
      </c>
      <c r="AJ1033" s="7" t="str">
        <f aca="false">IF(W1033="","",W1033*12+X1033)</f>
        <v/>
      </c>
      <c r="AK1033" s="7" t="str">
        <f aca="false">IF(U1033="تاخیر",V1033+ROW()/100000,"")</f>
        <v/>
      </c>
    </row>
    <row r="1034" customFormat="false" ht="15" hidden="false" customHeight="false" outlineLevel="0" collapsed="false">
      <c r="A1034" s="7" t="str">
        <f aca="false">IF(B1034="","",ROW()-3)</f>
        <v/>
      </c>
      <c r="B1034" s="8"/>
      <c r="C1034" s="8"/>
      <c r="D1034" s="8"/>
      <c r="E1034" s="9"/>
      <c r="F1034" s="9"/>
      <c r="G1034" s="8"/>
      <c r="H1034" s="8"/>
      <c r="I1034" s="8"/>
      <c r="J1034" s="9"/>
      <c r="K1034" s="8"/>
      <c r="L1034" s="8"/>
      <c r="M1034" s="8"/>
      <c r="N1034" s="8"/>
      <c r="O1034" s="8"/>
      <c r="P1034" s="8"/>
      <c r="Q1034" s="8"/>
      <c r="R1034" s="9"/>
      <c r="S1034" s="8"/>
      <c r="T1034" s="9"/>
      <c r="U1034" s="10" t="str">
        <f aca="true">IF(B1034="","",IF(OR(P1034&lt;&gt;"",I1034="می‌باشد"),"بسته",IF(AND(L1034&lt;&gt;"",W1034=""),"خطای فرمت تاریخ ایجاد",IF(AND(H1034&lt;&gt;"",AA1034=""),"خطای فرمت مهلت",IF(AND(H1034&lt;&gt;"",AD1034&lt;&gt;"",TODAY()&gt;AD1034),"تاخیر",IF(L1034&lt;&gt;"","در حال انجام",""))))))</f>
        <v/>
      </c>
      <c r="V1034" s="7" t="n">
        <f aca="true">IF(U1034="تاخیر",TODAY()-AD1034,IF(AND(U1034="بسته",AH1034&lt;&gt;"",AD1034&lt;&gt;"",AH1034&gt;AD1034),AH1034-AD1034,0))</f>
        <v>0</v>
      </c>
      <c r="W1034" s="7" t="str">
        <f aca="false">IF(L1034="","",VALUE(LEFT(L1034,FIND("/",L1034)-1)))</f>
        <v/>
      </c>
      <c r="X1034" s="7" t="str">
        <f aca="false">IF(L1034="","",VALUE(MID(L1034,FIND("/",L1034)+1,FIND("/",L1034,FIND("/",L1034)+1)-FIND("/",L1034)-1)))</f>
        <v/>
      </c>
      <c r="Y1034" s="7" t="str">
        <f aca="false">IF(L1034="","",VALUE(MID(L1034,FIND("/",L1034,FIND("/",L1034)+1)+1,LEN(L1034)-FIND("/",L1034,FIND("/",L1034)+1))))</f>
        <v/>
      </c>
      <c r="Z1034" s="7" t="str">
        <f aca="false">IF(OR(L1034="",W1034=""),"",IFERROR(INDEX('لیست‌ها'!$Q$3:$Q$53,MATCH(W1034,'لیست‌ها'!$P$3:$P$53,0))+IF(X1034&lt;=6,(X1034-1)*31+Y1034,IF(X1034&lt;=11,186+(X1034-7)*30+Y1034,336+Y1034))-1,""))</f>
        <v/>
      </c>
      <c r="AA1034" s="7" t="str">
        <f aca="false">IF(H1034="","",VALUE(LEFT(H1034,FIND("/",H1034)-1)))</f>
        <v/>
      </c>
      <c r="AB1034" s="7" t="str">
        <f aca="false">IF(H1034="","",VALUE(MID(H1034,FIND("/",H1034)+1,FIND("/",H1034,FIND("/",H1034)+1)-FIND("/",H1034)-1)))</f>
        <v/>
      </c>
      <c r="AC1034" s="7" t="str">
        <f aca="false">IF(H1034="","",VALUE(MID(H1034,FIND("/",H1034,FIND("/",H1034)+1)+1,LEN(H1034)-FIND("/",H1034,FIND("/",H1034)+1))))</f>
        <v/>
      </c>
      <c r="AD1034" s="7" t="str">
        <f aca="false">IF(OR(H1034="",AA1034=""),"",IFERROR(INDEX('لیست‌ها'!$Q$3:$Q$53,MATCH(AA1034,'لیست‌ها'!$P$3:$P$53,0))+IF(AB1034&lt;=6,(AB1034-1)*31+AC1034,IF(AB1034&lt;=11,186+(AB1034-7)*30+AC1034,336+AC1034))-1,""))</f>
        <v/>
      </c>
      <c r="AE1034" s="7" t="str">
        <f aca="false">IF(P1034="","",VALUE(LEFT(P1034,FIND("/",P1034)-1)))</f>
        <v/>
      </c>
      <c r="AF1034" s="7" t="str">
        <f aca="false">IF(P1034="","",VALUE(MID(P1034,FIND("/",P1034)+1,FIND("/",P1034,FIND("/",P1034)+1)-FIND("/",P1034)-1)))</f>
        <v/>
      </c>
      <c r="AG1034" s="7" t="str">
        <f aca="false">IF(P1034="","",VALUE(MID(P1034,FIND("/",P1034,FIND("/",P1034)+1)+1,LEN(P1034)-FIND("/",P1034,FIND("/",P1034)+1))))</f>
        <v/>
      </c>
      <c r="AH1034" s="7" t="str">
        <f aca="false">IF(OR(P1034="",AE1034=""),"",IFERROR(INDEX('لیست‌ها'!$Q$3:$Q$53,MATCH(AE1034,'لیست‌ها'!$P$3:$P$53,0))+IF(AF1034&lt;=6,(AF1034-1)*31+AG1034,IF(AF1034&lt;=11,186+(AF1034-7)*30+AG1034,336+AG1034))-1,""))</f>
        <v/>
      </c>
      <c r="AI1034" s="7" t="str">
        <f aca="false">IF(W1034="","",W1034&amp;"-"&amp;TEXT(X1034,"00"))</f>
        <v/>
      </c>
      <c r="AJ1034" s="7" t="str">
        <f aca="false">IF(W1034="","",W1034*12+X1034)</f>
        <v/>
      </c>
      <c r="AK1034" s="7" t="str">
        <f aca="false">IF(U1034="تاخیر",V1034+ROW()/100000,"")</f>
        <v/>
      </c>
    </row>
    <row r="1035" customFormat="false" ht="15" hidden="false" customHeight="false" outlineLevel="0" collapsed="false">
      <c r="A1035" s="7" t="str">
        <f aca="false">IF(B1035="","",ROW()-3)</f>
        <v/>
      </c>
      <c r="B1035" s="8"/>
      <c r="C1035" s="8"/>
      <c r="D1035" s="8"/>
      <c r="E1035" s="9"/>
      <c r="F1035" s="9"/>
      <c r="G1035" s="8"/>
      <c r="H1035" s="8"/>
      <c r="I1035" s="8"/>
      <c r="J1035" s="9"/>
      <c r="K1035" s="8"/>
      <c r="L1035" s="8"/>
      <c r="M1035" s="8"/>
      <c r="N1035" s="8"/>
      <c r="O1035" s="8"/>
      <c r="P1035" s="8"/>
      <c r="Q1035" s="8"/>
      <c r="R1035" s="9"/>
      <c r="S1035" s="8"/>
      <c r="T1035" s="9"/>
      <c r="U1035" s="10" t="str">
        <f aca="true">IF(B1035="","",IF(OR(P1035&lt;&gt;"",I1035="می‌باشد"),"بسته",IF(AND(L1035&lt;&gt;"",W1035=""),"خطای فرمت تاریخ ایجاد",IF(AND(H1035&lt;&gt;"",AA1035=""),"خطای فرمت مهلت",IF(AND(H1035&lt;&gt;"",AD1035&lt;&gt;"",TODAY()&gt;AD1035),"تاخیر",IF(L1035&lt;&gt;"","در حال انجام",""))))))</f>
        <v/>
      </c>
      <c r="V1035" s="7" t="n">
        <f aca="true">IF(U1035="تاخیر",TODAY()-AD1035,IF(AND(U1035="بسته",AH1035&lt;&gt;"",AD1035&lt;&gt;"",AH1035&gt;AD1035),AH1035-AD1035,0))</f>
        <v>0</v>
      </c>
      <c r="W1035" s="7" t="str">
        <f aca="false">IF(L1035="","",VALUE(LEFT(L1035,FIND("/",L1035)-1)))</f>
        <v/>
      </c>
      <c r="X1035" s="7" t="str">
        <f aca="false">IF(L1035="","",VALUE(MID(L1035,FIND("/",L1035)+1,FIND("/",L1035,FIND("/",L1035)+1)-FIND("/",L1035)-1)))</f>
        <v/>
      </c>
      <c r="Y1035" s="7" t="str">
        <f aca="false">IF(L1035="","",VALUE(MID(L1035,FIND("/",L1035,FIND("/",L1035)+1)+1,LEN(L1035)-FIND("/",L1035,FIND("/",L1035)+1))))</f>
        <v/>
      </c>
      <c r="Z1035" s="7" t="str">
        <f aca="false">IF(OR(L1035="",W1035=""),"",IFERROR(INDEX('لیست‌ها'!$Q$3:$Q$53,MATCH(W1035,'لیست‌ها'!$P$3:$P$53,0))+IF(X1035&lt;=6,(X1035-1)*31+Y1035,IF(X1035&lt;=11,186+(X1035-7)*30+Y1035,336+Y1035))-1,""))</f>
        <v/>
      </c>
      <c r="AA1035" s="7" t="str">
        <f aca="false">IF(H1035="","",VALUE(LEFT(H1035,FIND("/",H1035)-1)))</f>
        <v/>
      </c>
      <c r="AB1035" s="7" t="str">
        <f aca="false">IF(H1035="","",VALUE(MID(H1035,FIND("/",H1035)+1,FIND("/",H1035,FIND("/",H1035)+1)-FIND("/",H1035)-1)))</f>
        <v/>
      </c>
      <c r="AC1035" s="7" t="str">
        <f aca="false">IF(H1035="","",VALUE(MID(H1035,FIND("/",H1035,FIND("/",H1035)+1)+1,LEN(H1035)-FIND("/",H1035,FIND("/",H1035)+1))))</f>
        <v/>
      </c>
      <c r="AD1035" s="7" t="str">
        <f aca="false">IF(OR(H1035="",AA1035=""),"",IFERROR(INDEX('لیست‌ها'!$Q$3:$Q$53,MATCH(AA1035,'لیست‌ها'!$P$3:$P$53,0))+IF(AB1035&lt;=6,(AB1035-1)*31+AC1035,IF(AB1035&lt;=11,186+(AB1035-7)*30+AC1035,336+AC1035))-1,""))</f>
        <v/>
      </c>
      <c r="AE1035" s="7" t="str">
        <f aca="false">IF(P1035="","",VALUE(LEFT(P1035,FIND("/",P1035)-1)))</f>
        <v/>
      </c>
      <c r="AF1035" s="7" t="str">
        <f aca="false">IF(P1035="","",VALUE(MID(P1035,FIND("/",P1035)+1,FIND("/",P1035,FIND("/",P1035)+1)-FIND("/",P1035)-1)))</f>
        <v/>
      </c>
      <c r="AG1035" s="7" t="str">
        <f aca="false">IF(P1035="","",VALUE(MID(P1035,FIND("/",P1035,FIND("/",P1035)+1)+1,LEN(P1035)-FIND("/",P1035,FIND("/",P1035)+1))))</f>
        <v/>
      </c>
      <c r="AH1035" s="7" t="str">
        <f aca="false">IF(OR(P1035="",AE1035=""),"",IFERROR(INDEX('لیست‌ها'!$Q$3:$Q$53,MATCH(AE1035,'لیست‌ها'!$P$3:$P$53,0))+IF(AF1035&lt;=6,(AF1035-1)*31+AG1035,IF(AF1035&lt;=11,186+(AF1035-7)*30+AG1035,336+AG1035))-1,""))</f>
        <v/>
      </c>
      <c r="AI1035" s="7" t="str">
        <f aca="false">IF(W1035="","",W1035&amp;"-"&amp;TEXT(X1035,"00"))</f>
        <v/>
      </c>
      <c r="AJ1035" s="7" t="str">
        <f aca="false">IF(W1035="","",W1035*12+X1035)</f>
        <v/>
      </c>
      <c r="AK1035" s="7" t="str">
        <f aca="false">IF(U1035="تاخیر",V1035+ROW()/100000,"")</f>
        <v/>
      </c>
    </row>
    <row r="1036" customFormat="false" ht="15" hidden="false" customHeight="false" outlineLevel="0" collapsed="false">
      <c r="A1036" s="7" t="str">
        <f aca="false">IF(B1036="","",ROW()-3)</f>
        <v/>
      </c>
      <c r="B1036" s="8"/>
      <c r="C1036" s="8"/>
      <c r="D1036" s="8"/>
      <c r="E1036" s="9"/>
      <c r="F1036" s="9"/>
      <c r="G1036" s="8"/>
      <c r="H1036" s="8"/>
      <c r="I1036" s="8"/>
      <c r="J1036" s="9"/>
      <c r="K1036" s="8"/>
      <c r="L1036" s="8"/>
      <c r="M1036" s="8"/>
      <c r="N1036" s="8"/>
      <c r="O1036" s="8"/>
      <c r="P1036" s="8"/>
      <c r="Q1036" s="8"/>
      <c r="R1036" s="9"/>
      <c r="S1036" s="8"/>
      <c r="T1036" s="9"/>
      <c r="U1036" s="10" t="str">
        <f aca="true">IF(B1036="","",IF(OR(P1036&lt;&gt;"",I1036="می‌باشد"),"بسته",IF(AND(L1036&lt;&gt;"",W1036=""),"خطای فرمت تاریخ ایجاد",IF(AND(H1036&lt;&gt;"",AA1036=""),"خطای فرمت مهلت",IF(AND(H1036&lt;&gt;"",AD1036&lt;&gt;"",TODAY()&gt;AD1036),"تاخیر",IF(L1036&lt;&gt;"","در حال انجام",""))))))</f>
        <v/>
      </c>
      <c r="V1036" s="7" t="n">
        <f aca="true">IF(U1036="تاخیر",TODAY()-AD1036,IF(AND(U1036="بسته",AH1036&lt;&gt;"",AD1036&lt;&gt;"",AH1036&gt;AD1036),AH1036-AD1036,0))</f>
        <v>0</v>
      </c>
      <c r="W1036" s="7" t="str">
        <f aca="false">IF(L1036="","",VALUE(LEFT(L1036,FIND("/",L1036)-1)))</f>
        <v/>
      </c>
      <c r="X1036" s="7" t="str">
        <f aca="false">IF(L1036="","",VALUE(MID(L1036,FIND("/",L1036)+1,FIND("/",L1036,FIND("/",L1036)+1)-FIND("/",L1036)-1)))</f>
        <v/>
      </c>
      <c r="Y1036" s="7" t="str">
        <f aca="false">IF(L1036="","",VALUE(MID(L1036,FIND("/",L1036,FIND("/",L1036)+1)+1,LEN(L1036)-FIND("/",L1036,FIND("/",L1036)+1))))</f>
        <v/>
      </c>
      <c r="Z1036" s="7" t="str">
        <f aca="false">IF(OR(L1036="",W1036=""),"",IFERROR(INDEX('لیست‌ها'!$Q$3:$Q$53,MATCH(W1036,'لیست‌ها'!$P$3:$P$53,0))+IF(X1036&lt;=6,(X1036-1)*31+Y1036,IF(X1036&lt;=11,186+(X1036-7)*30+Y1036,336+Y1036))-1,""))</f>
        <v/>
      </c>
      <c r="AA1036" s="7" t="str">
        <f aca="false">IF(H1036="","",VALUE(LEFT(H1036,FIND("/",H1036)-1)))</f>
        <v/>
      </c>
      <c r="AB1036" s="7" t="str">
        <f aca="false">IF(H1036="","",VALUE(MID(H1036,FIND("/",H1036)+1,FIND("/",H1036,FIND("/",H1036)+1)-FIND("/",H1036)-1)))</f>
        <v/>
      </c>
      <c r="AC1036" s="7" t="str">
        <f aca="false">IF(H1036="","",VALUE(MID(H1036,FIND("/",H1036,FIND("/",H1036)+1)+1,LEN(H1036)-FIND("/",H1036,FIND("/",H1036)+1))))</f>
        <v/>
      </c>
      <c r="AD1036" s="7" t="str">
        <f aca="false">IF(OR(H1036="",AA1036=""),"",IFERROR(INDEX('لیست‌ها'!$Q$3:$Q$53,MATCH(AA1036,'لیست‌ها'!$P$3:$P$53,0))+IF(AB1036&lt;=6,(AB1036-1)*31+AC1036,IF(AB1036&lt;=11,186+(AB1036-7)*30+AC1036,336+AC1036))-1,""))</f>
        <v/>
      </c>
      <c r="AE1036" s="7" t="str">
        <f aca="false">IF(P1036="","",VALUE(LEFT(P1036,FIND("/",P1036)-1)))</f>
        <v/>
      </c>
      <c r="AF1036" s="7" t="str">
        <f aca="false">IF(P1036="","",VALUE(MID(P1036,FIND("/",P1036)+1,FIND("/",P1036,FIND("/",P1036)+1)-FIND("/",P1036)-1)))</f>
        <v/>
      </c>
      <c r="AG1036" s="7" t="str">
        <f aca="false">IF(P1036="","",VALUE(MID(P1036,FIND("/",P1036,FIND("/",P1036)+1)+1,LEN(P1036)-FIND("/",P1036,FIND("/",P1036)+1))))</f>
        <v/>
      </c>
      <c r="AH1036" s="7" t="str">
        <f aca="false">IF(OR(P1036="",AE1036=""),"",IFERROR(INDEX('لیست‌ها'!$Q$3:$Q$53,MATCH(AE1036,'لیست‌ها'!$P$3:$P$53,0))+IF(AF1036&lt;=6,(AF1036-1)*31+AG1036,IF(AF1036&lt;=11,186+(AF1036-7)*30+AG1036,336+AG1036))-1,""))</f>
        <v/>
      </c>
      <c r="AI1036" s="7" t="str">
        <f aca="false">IF(W1036="","",W1036&amp;"-"&amp;TEXT(X1036,"00"))</f>
        <v/>
      </c>
      <c r="AJ1036" s="7" t="str">
        <f aca="false">IF(W1036="","",W1036*12+X1036)</f>
        <v/>
      </c>
      <c r="AK1036" s="7" t="str">
        <f aca="false">IF(U1036="تاخیر",V1036+ROW()/100000,"")</f>
        <v/>
      </c>
    </row>
    <row r="1037" customFormat="false" ht="15" hidden="false" customHeight="false" outlineLevel="0" collapsed="false">
      <c r="A1037" s="7" t="str">
        <f aca="false">IF(B1037="","",ROW()-3)</f>
        <v/>
      </c>
      <c r="B1037" s="8"/>
      <c r="C1037" s="8"/>
      <c r="D1037" s="8"/>
      <c r="E1037" s="9"/>
      <c r="F1037" s="9"/>
      <c r="G1037" s="8"/>
      <c r="H1037" s="8"/>
      <c r="I1037" s="8"/>
      <c r="J1037" s="9"/>
      <c r="K1037" s="8"/>
      <c r="L1037" s="8"/>
      <c r="M1037" s="8"/>
      <c r="N1037" s="8"/>
      <c r="O1037" s="8"/>
      <c r="P1037" s="8"/>
      <c r="Q1037" s="8"/>
      <c r="R1037" s="9"/>
      <c r="S1037" s="8"/>
      <c r="T1037" s="9"/>
      <c r="U1037" s="10" t="str">
        <f aca="true">IF(B1037="","",IF(OR(P1037&lt;&gt;"",I1037="می‌باشد"),"بسته",IF(AND(L1037&lt;&gt;"",W1037=""),"خطای فرمت تاریخ ایجاد",IF(AND(H1037&lt;&gt;"",AA1037=""),"خطای فرمت مهلت",IF(AND(H1037&lt;&gt;"",AD1037&lt;&gt;"",TODAY()&gt;AD1037),"تاخیر",IF(L1037&lt;&gt;"","در حال انجام",""))))))</f>
        <v/>
      </c>
      <c r="V1037" s="7" t="n">
        <f aca="true">IF(U1037="تاخیر",TODAY()-AD1037,IF(AND(U1037="بسته",AH1037&lt;&gt;"",AD1037&lt;&gt;"",AH1037&gt;AD1037),AH1037-AD1037,0))</f>
        <v>0</v>
      </c>
      <c r="W1037" s="7" t="str">
        <f aca="false">IF(L1037="","",VALUE(LEFT(L1037,FIND("/",L1037)-1)))</f>
        <v/>
      </c>
      <c r="X1037" s="7" t="str">
        <f aca="false">IF(L1037="","",VALUE(MID(L1037,FIND("/",L1037)+1,FIND("/",L1037,FIND("/",L1037)+1)-FIND("/",L1037)-1)))</f>
        <v/>
      </c>
      <c r="Y1037" s="7" t="str">
        <f aca="false">IF(L1037="","",VALUE(MID(L1037,FIND("/",L1037,FIND("/",L1037)+1)+1,LEN(L1037)-FIND("/",L1037,FIND("/",L1037)+1))))</f>
        <v/>
      </c>
      <c r="Z1037" s="7" t="str">
        <f aca="false">IF(OR(L1037="",W1037=""),"",IFERROR(INDEX('لیست‌ها'!$Q$3:$Q$53,MATCH(W1037,'لیست‌ها'!$P$3:$P$53,0))+IF(X1037&lt;=6,(X1037-1)*31+Y1037,IF(X1037&lt;=11,186+(X1037-7)*30+Y1037,336+Y1037))-1,""))</f>
        <v/>
      </c>
      <c r="AA1037" s="7" t="str">
        <f aca="false">IF(H1037="","",VALUE(LEFT(H1037,FIND("/",H1037)-1)))</f>
        <v/>
      </c>
      <c r="AB1037" s="7" t="str">
        <f aca="false">IF(H1037="","",VALUE(MID(H1037,FIND("/",H1037)+1,FIND("/",H1037,FIND("/",H1037)+1)-FIND("/",H1037)-1)))</f>
        <v/>
      </c>
      <c r="AC1037" s="7" t="str">
        <f aca="false">IF(H1037="","",VALUE(MID(H1037,FIND("/",H1037,FIND("/",H1037)+1)+1,LEN(H1037)-FIND("/",H1037,FIND("/",H1037)+1))))</f>
        <v/>
      </c>
      <c r="AD1037" s="7" t="str">
        <f aca="false">IF(OR(H1037="",AA1037=""),"",IFERROR(INDEX('لیست‌ها'!$Q$3:$Q$53,MATCH(AA1037,'لیست‌ها'!$P$3:$P$53,0))+IF(AB1037&lt;=6,(AB1037-1)*31+AC1037,IF(AB1037&lt;=11,186+(AB1037-7)*30+AC1037,336+AC1037))-1,""))</f>
        <v/>
      </c>
      <c r="AE1037" s="7" t="str">
        <f aca="false">IF(P1037="","",VALUE(LEFT(P1037,FIND("/",P1037)-1)))</f>
        <v/>
      </c>
      <c r="AF1037" s="7" t="str">
        <f aca="false">IF(P1037="","",VALUE(MID(P1037,FIND("/",P1037)+1,FIND("/",P1037,FIND("/",P1037)+1)-FIND("/",P1037)-1)))</f>
        <v/>
      </c>
      <c r="AG1037" s="7" t="str">
        <f aca="false">IF(P1037="","",VALUE(MID(P1037,FIND("/",P1037,FIND("/",P1037)+1)+1,LEN(P1037)-FIND("/",P1037,FIND("/",P1037)+1))))</f>
        <v/>
      </c>
      <c r="AH1037" s="7" t="str">
        <f aca="false">IF(OR(P1037="",AE1037=""),"",IFERROR(INDEX('لیست‌ها'!$Q$3:$Q$53,MATCH(AE1037,'لیست‌ها'!$P$3:$P$53,0))+IF(AF1037&lt;=6,(AF1037-1)*31+AG1037,IF(AF1037&lt;=11,186+(AF1037-7)*30+AG1037,336+AG1037))-1,""))</f>
        <v/>
      </c>
      <c r="AI1037" s="7" t="str">
        <f aca="false">IF(W1037="","",W1037&amp;"-"&amp;TEXT(X1037,"00"))</f>
        <v/>
      </c>
      <c r="AJ1037" s="7" t="str">
        <f aca="false">IF(W1037="","",W1037*12+X1037)</f>
        <v/>
      </c>
      <c r="AK1037" s="7" t="str">
        <f aca="false">IF(U1037="تاخیر",V1037+ROW()/100000,"")</f>
        <v/>
      </c>
    </row>
    <row r="1038" customFormat="false" ht="15" hidden="false" customHeight="false" outlineLevel="0" collapsed="false">
      <c r="A1038" s="7" t="str">
        <f aca="false">IF(B1038="","",ROW()-3)</f>
        <v/>
      </c>
      <c r="B1038" s="8"/>
      <c r="C1038" s="8"/>
      <c r="D1038" s="8"/>
      <c r="E1038" s="9"/>
      <c r="F1038" s="9"/>
      <c r="G1038" s="8"/>
      <c r="H1038" s="8"/>
      <c r="I1038" s="8"/>
      <c r="J1038" s="9"/>
      <c r="K1038" s="8"/>
      <c r="L1038" s="8"/>
      <c r="M1038" s="8"/>
      <c r="N1038" s="8"/>
      <c r="O1038" s="8"/>
      <c r="P1038" s="8"/>
      <c r="Q1038" s="8"/>
      <c r="R1038" s="9"/>
      <c r="S1038" s="8"/>
      <c r="T1038" s="9"/>
      <c r="U1038" s="10" t="str">
        <f aca="true">IF(B1038="","",IF(OR(P1038&lt;&gt;"",I1038="می‌باشد"),"بسته",IF(AND(L1038&lt;&gt;"",W1038=""),"خطای فرمت تاریخ ایجاد",IF(AND(H1038&lt;&gt;"",AA1038=""),"خطای فرمت مهلت",IF(AND(H1038&lt;&gt;"",AD1038&lt;&gt;"",TODAY()&gt;AD1038),"تاخیر",IF(L1038&lt;&gt;"","در حال انجام",""))))))</f>
        <v/>
      </c>
      <c r="V1038" s="7" t="n">
        <f aca="true">IF(U1038="تاخیر",TODAY()-AD1038,IF(AND(U1038="بسته",AH1038&lt;&gt;"",AD1038&lt;&gt;"",AH1038&gt;AD1038),AH1038-AD1038,0))</f>
        <v>0</v>
      </c>
      <c r="W1038" s="7" t="str">
        <f aca="false">IF(L1038="","",VALUE(LEFT(L1038,FIND("/",L1038)-1)))</f>
        <v/>
      </c>
      <c r="X1038" s="7" t="str">
        <f aca="false">IF(L1038="","",VALUE(MID(L1038,FIND("/",L1038)+1,FIND("/",L1038,FIND("/",L1038)+1)-FIND("/",L1038)-1)))</f>
        <v/>
      </c>
      <c r="Y1038" s="7" t="str">
        <f aca="false">IF(L1038="","",VALUE(MID(L1038,FIND("/",L1038,FIND("/",L1038)+1)+1,LEN(L1038)-FIND("/",L1038,FIND("/",L1038)+1))))</f>
        <v/>
      </c>
      <c r="Z1038" s="7" t="str">
        <f aca="false">IF(OR(L1038="",W1038=""),"",IFERROR(INDEX('لیست‌ها'!$Q$3:$Q$53,MATCH(W1038,'لیست‌ها'!$P$3:$P$53,0))+IF(X1038&lt;=6,(X1038-1)*31+Y1038,IF(X1038&lt;=11,186+(X1038-7)*30+Y1038,336+Y1038))-1,""))</f>
        <v/>
      </c>
      <c r="AA1038" s="7" t="str">
        <f aca="false">IF(H1038="","",VALUE(LEFT(H1038,FIND("/",H1038)-1)))</f>
        <v/>
      </c>
      <c r="AB1038" s="7" t="str">
        <f aca="false">IF(H1038="","",VALUE(MID(H1038,FIND("/",H1038)+1,FIND("/",H1038,FIND("/",H1038)+1)-FIND("/",H1038)-1)))</f>
        <v/>
      </c>
      <c r="AC1038" s="7" t="str">
        <f aca="false">IF(H1038="","",VALUE(MID(H1038,FIND("/",H1038,FIND("/",H1038)+1)+1,LEN(H1038)-FIND("/",H1038,FIND("/",H1038)+1))))</f>
        <v/>
      </c>
      <c r="AD1038" s="7" t="str">
        <f aca="false">IF(OR(H1038="",AA1038=""),"",IFERROR(INDEX('لیست‌ها'!$Q$3:$Q$53,MATCH(AA1038,'لیست‌ها'!$P$3:$P$53,0))+IF(AB1038&lt;=6,(AB1038-1)*31+AC1038,IF(AB1038&lt;=11,186+(AB1038-7)*30+AC1038,336+AC1038))-1,""))</f>
        <v/>
      </c>
      <c r="AE1038" s="7" t="str">
        <f aca="false">IF(P1038="","",VALUE(LEFT(P1038,FIND("/",P1038)-1)))</f>
        <v/>
      </c>
      <c r="AF1038" s="7" t="str">
        <f aca="false">IF(P1038="","",VALUE(MID(P1038,FIND("/",P1038)+1,FIND("/",P1038,FIND("/",P1038)+1)-FIND("/",P1038)-1)))</f>
        <v/>
      </c>
      <c r="AG1038" s="7" t="str">
        <f aca="false">IF(P1038="","",VALUE(MID(P1038,FIND("/",P1038,FIND("/",P1038)+1)+1,LEN(P1038)-FIND("/",P1038,FIND("/",P1038)+1))))</f>
        <v/>
      </c>
      <c r="AH1038" s="7" t="str">
        <f aca="false">IF(OR(P1038="",AE1038=""),"",IFERROR(INDEX('لیست‌ها'!$Q$3:$Q$53,MATCH(AE1038,'لیست‌ها'!$P$3:$P$53,0))+IF(AF1038&lt;=6,(AF1038-1)*31+AG1038,IF(AF1038&lt;=11,186+(AF1038-7)*30+AG1038,336+AG1038))-1,""))</f>
        <v/>
      </c>
      <c r="AI1038" s="7" t="str">
        <f aca="false">IF(W1038="","",W1038&amp;"-"&amp;TEXT(X1038,"00"))</f>
        <v/>
      </c>
      <c r="AJ1038" s="7" t="str">
        <f aca="false">IF(W1038="","",W1038*12+X1038)</f>
        <v/>
      </c>
      <c r="AK1038" s="7" t="str">
        <f aca="false">IF(U1038="تاخیر",V1038+ROW()/100000,"")</f>
        <v/>
      </c>
    </row>
    <row r="1039" customFormat="false" ht="15" hidden="false" customHeight="false" outlineLevel="0" collapsed="false">
      <c r="A1039" s="7" t="str">
        <f aca="false">IF(B1039="","",ROW()-3)</f>
        <v/>
      </c>
      <c r="B1039" s="8"/>
      <c r="C1039" s="8"/>
      <c r="D1039" s="8"/>
      <c r="E1039" s="9"/>
      <c r="F1039" s="9"/>
      <c r="G1039" s="8"/>
      <c r="H1039" s="8"/>
      <c r="I1039" s="8"/>
      <c r="J1039" s="9"/>
      <c r="K1039" s="8"/>
      <c r="L1039" s="8"/>
      <c r="M1039" s="8"/>
      <c r="N1039" s="8"/>
      <c r="O1039" s="8"/>
      <c r="P1039" s="8"/>
      <c r="Q1039" s="8"/>
      <c r="R1039" s="9"/>
      <c r="S1039" s="8"/>
      <c r="T1039" s="9"/>
      <c r="U1039" s="10" t="str">
        <f aca="true">IF(B1039="","",IF(OR(P1039&lt;&gt;"",I1039="می‌باشد"),"بسته",IF(AND(L1039&lt;&gt;"",W1039=""),"خطای فرمت تاریخ ایجاد",IF(AND(H1039&lt;&gt;"",AA1039=""),"خطای فرمت مهلت",IF(AND(H1039&lt;&gt;"",AD1039&lt;&gt;"",TODAY()&gt;AD1039),"تاخیر",IF(L1039&lt;&gt;"","در حال انجام",""))))))</f>
        <v/>
      </c>
      <c r="V1039" s="7" t="n">
        <f aca="true">IF(U1039="تاخیر",TODAY()-AD1039,IF(AND(U1039="بسته",AH1039&lt;&gt;"",AD1039&lt;&gt;"",AH1039&gt;AD1039),AH1039-AD1039,0))</f>
        <v>0</v>
      </c>
      <c r="W1039" s="7" t="str">
        <f aca="false">IF(L1039="","",VALUE(LEFT(L1039,FIND("/",L1039)-1)))</f>
        <v/>
      </c>
      <c r="X1039" s="7" t="str">
        <f aca="false">IF(L1039="","",VALUE(MID(L1039,FIND("/",L1039)+1,FIND("/",L1039,FIND("/",L1039)+1)-FIND("/",L1039)-1)))</f>
        <v/>
      </c>
      <c r="Y1039" s="7" t="str">
        <f aca="false">IF(L1039="","",VALUE(MID(L1039,FIND("/",L1039,FIND("/",L1039)+1)+1,LEN(L1039)-FIND("/",L1039,FIND("/",L1039)+1))))</f>
        <v/>
      </c>
      <c r="Z1039" s="7" t="str">
        <f aca="false">IF(OR(L1039="",W1039=""),"",IFERROR(INDEX('لیست‌ها'!$Q$3:$Q$53,MATCH(W1039,'لیست‌ها'!$P$3:$P$53,0))+IF(X1039&lt;=6,(X1039-1)*31+Y1039,IF(X1039&lt;=11,186+(X1039-7)*30+Y1039,336+Y1039))-1,""))</f>
        <v/>
      </c>
      <c r="AA1039" s="7" t="str">
        <f aca="false">IF(H1039="","",VALUE(LEFT(H1039,FIND("/",H1039)-1)))</f>
        <v/>
      </c>
      <c r="AB1039" s="7" t="str">
        <f aca="false">IF(H1039="","",VALUE(MID(H1039,FIND("/",H1039)+1,FIND("/",H1039,FIND("/",H1039)+1)-FIND("/",H1039)-1)))</f>
        <v/>
      </c>
      <c r="AC1039" s="7" t="str">
        <f aca="false">IF(H1039="","",VALUE(MID(H1039,FIND("/",H1039,FIND("/",H1039)+1)+1,LEN(H1039)-FIND("/",H1039,FIND("/",H1039)+1))))</f>
        <v/>
      </c>
      <c r="AD1039" s="7" t="str">
        <f aca="false">IF(OR(H1039="",AA1039=""),"",IFERROR(INDEX('لیست‌ها'!$Q$3:$Q$53,MATCH(AA1039,'لیست‌ها'!$P$3:$P$53,0))+IF(AB1039&lt;=6,(AB1039-1)*31+AC1039,IF(AB1039&lt;=11,186+(AB1039-7)*30+AC1039,336+AC1039))-1,""))</f>
        <v/>
      </c>
      <c r="AE1039" s="7" t="str">
        <f aca="false">IF(P1039="","",VALUE(LEFT(P1039,FIND("/",P1039)-1)))</f>
        <v/>
      </c>
      <c r="AF1039" s="7" t="str">
        <f aca="false">IF(P1039="","",VALUE(MID(P1039,FIND("/",P1039)+1,FIND("/",P1039,FIND("/",P1039)+1)-FIND("/",P1039)-1)))</f>
        <v/>
      </c>
      <c r="AG1039" s="7" t="str">
        <f aca="false">IF(P1039="","",VALUE(MID(P1039,FIND("/",P1039,FIND("/",P1039)+1)+1,LEN(P1039)-FIND("/",P1039,FIND("/",P1039)+1))))</f>
        <v/>
      </c>
      <c r="AH1039" s="7" t="str">
        <f aca="false">IF(OR(P1039="",AE1039=""),"",IFERROR(INDEX('لیست‌ها'!$Q$3:$Q$53,MATCH(AE1039,'لیست‌ها'!$P$3:$P$53,0))+IF(AF1039&lt;=6,(AF1039-1)*31+AG1039,IF(AF1039&lt;=11,186+(AF1039-7)*30+AG1039,336+AG1039))-1,""))</f>
        <v/>
      </c>
      <c r="AI1039" s="7" t="str">
        <f aca="false">IF(W1039="","",W1039&amp;"-"&amp;TEXT(X1039,"00"))</f>
        <v/>
      </c>
      <c r="AJ1039" s="7" t="str">
        <f aca="false">IF(W1039="","",W1039*12+X1039)</f>
        <v/>
      </c>
      <c r="AK1039" s="7" t="str">
        <f aca="false">IF(U1039="تاخیر",V1039+ROW()/100000,"")</f>
        <v/>
      </c>
    </row>
    <row r="1040" customFormat="false" ht="15" hidden="false" customHeight="false" outlineLevel="0" collapsed="false">
      <c r="A1040" s="7" t="str">
        <f aca="false">IF(B1040="","",ROW()-3)</f>
        <v/>
      </c>
      <c r="B1040" s="8"/>
      <c r="C1040" s="8"/>
      <c r="D1040" s="8"/>
      <c r="E1040" s="9"/>
      <c r="F1040" s="9"/>
      <c r="G1040" s="8"/>
      <c r="H1040" s="8"/>
      <c r="I1040" s="8"/>
      <c r="J1040" s="9"/>
      <c r="K1040" s="8"/>
      <c r="L1040" s="8"/>
      <c r="M1040" s="8"/>
      <c r="N1040" s="8"/>
      <c r="O1040" s="8"/>
      <c r="P1040" s="8"/>
      <c r="Q1040" s="8"/>
      <c r="R1040" s="9"/>
      <c r="S1040" s="8"/>
      <c r="T1040" s="9"/>
      <c r="U1040" s="10" t="str">
        <f aca="true">IF(B1040="","",IF(OR(P1040&lt;&gt;"",I1040="می‌باشد"),"بسته",IF(AND(L1040&lt;&gt;"",W1040=""),"خطای فرمت تاریخ ایجاد",IF(AND(H1040&lt;&gt;"",AA1040=""),"خطای فرمت مهلت",IF(AND(H1040&lt;&gt;"",AD1040&lt;&gt;"",TODAY()&gt;AD1040),"تاخیر",IF(L1040&lt;&gt;"","در حال انجام",""))))))</f>
        <v/>
      </c>
      <c r="V1040" s="7" t="n">
        <f aca="true">IF(U1040="تاخیر",TODAY()-AD1040,IF(AND(U1040="بسته",AH1040&lt;&gt;"",AD1040&lt;&gt;"",AH1040&gt;AD1040),AH1040-AD1040,0))</f>
        <v>0</v>
      </c>
      <c r="W1040" s="7" t="str">
        <f aca="false">IF(L1040="","",VALUE(LEFT(L1040,FIND("/",L1040)-1)))</f>
        <v/>
      </c>
      <c r="X1040" s="7" t="str">
        <f aca="false">IF(L1040="","",VALUE(MID(L1040,FIND("/",L1040)+1,FIND("/",L1040,FIND("/",L1040)+1)-FIND("/",L1040)-1)))</f>
        <v/>
      </c>
      <c r="Y1040" s="7" t="str">
        <f aca="false">IF(L1040="","",VALUE(MID(L1040,FIND("/",L1040,FIND("/",L1040)+1)+1,LEN(L1040)-FIND("/",L1040,FIND("/",L1040)+1))))</f>
        <v/>
      </c>
      <c r="Z1040" s="7" t="str">
        <f aca="false">IF(OR(L1040="",W1040=""),"",IFERROR(INDEX('لیست‌ها'!$Q$3:$Q$53,MATCH(W1040,'لیست‌ها'!$P$3:$P$53,0))+IF(X1040&lt;=6,(X1040-1)*31+Y1040,IF(X1040&lt;=11,186+(X1040-7)*30+Y1040,336+Y1040))-1,""))</f>
        <v/>
      </c>
      <c r="AA1040" s="7" t="str">
        <f aca="false">IF(H1040="","",VALUE(LEFT(H1040,FIND("/",H1040)-1)))</f>
        <v/>
      </c>
      <c r="AB1040" s="7" t="str">
        <f aca="false">IF(H1040="","",VALUE(MID(H1040,FIND("/",H1040)+1,FIND("/",H1040,FIND("/",H1040)+1)-FIND("/",H1040)-1)))</f>
        <v/>
      </c>
      <c r="AC1040" s="7" t="str">
        <f aca="false">IF(H1040="","",VALUE(MID(H1040,FIND("/",H1040,FIND("/",H1040)+1)+1,LEN(H1040)-FIND("/",H1040,FIND("/",H1040)+1))))</f>
        <v/>
      </c>
      <c r="AD1040" s="7" t="str">
        <f aca="false">IF(OR(H1040="",AA1040=""),"",IFERROR(INDEX('لیست‌ها'!$Q$3:$Q$53,MATCH(AA1040,'لیست‌ها'!$P$3:$P$53,0))+IF(AB1040&lt;=6,(AB1040-1)*31+AC1040,IF(AB1040&lt;=11,186+(AB1040-7)*30+AC1040,336+AC1040))-1,""))</f>
        <v/>
      </c>
      <c r="AE1040" s="7" t="str">
        <f aca="false">IF(P1040="","",VALUE(LEFT(P1040,FIND("/",P1040)-1)))</f>
        <v/>
      </c>
      <c r="AF1040" s="7" t="str">
        <f aca="false">IF(P1040="","",VALUE(MID(P1040,FIND("/",P1040)+1,FIND("/",P1040,FIND("/",P1040)+1)-FIND("/",P1040)-1)))</f>
        <v/>
      </c>
      <c r="AG1040" s="7" t="str">
        <f aca="false">IF(P1040="","",VALUE(MID(P1040,FIND("/",P1040,FIND("/",P1040)+1)+1,LEN(P1040)-FIND("/",P1040,FIND("/",P1040)+1))))</f>
        <v/>
      </c>
      <c r="AH1040" s="7" t="str">
        <f aca="false">IF(OR(P1040="",AE1040=""),"",IFERROR(INDEX('لیست‌ها'!$Q$3:$Q$53,MATCH(AE1040,'لیست‌ها'!$P$3:$P$53,0))+IF(AF1040&lt;=6,(AF1040-1)*31+AG1040,IF(AF1040&lt;=11,186+(AF1040-7)*30+AG1040,336+AG1040))-1,""))</f>
        <v/>
      </c>
      <c r="AI1040" s="7" t="str">
        <f aca="false">IF(W1040="","",W1040&amp;"-"&amp;TEXT(X1040,"00"))</f>
        <v/>
      </c>
      <c r="AJ1040" s="7" t="str">
        <f aca="false">IF(W1040="","",W1040*12+X1040)</f>
        <v/>
      </c>
      <c r="AK1040" s="7" t="str">
        <f aca="false">IF(U1040="تاخیر",V1040+ROW()/100000,"")</f>
        <v/>
      </c>
    </row>
    <row r="1041" customFormat="false" ht="15" hidden="false" customHeight="false" outlineLevel="0" collapsed="false">
      <c r="A1041" s="7" t="str">
        <f aca="false">IF(B1041="","",ROW()-3)</f>
        <v/>
      </c>
      <c r="B1041" s="8"/>
      <c r="C1041" s="8"/>
      <c r="D1041" s="8"/>
      <c r="E1041" s="9"/>
      <c r="F1041" s="9"/>
      <c r="G1041" s="8"/>
      <c r="H1041" s="8"/>
      <c r="I1041" s="8"/>
      <c r="J1041" s="9"/>
      <c r="K1041" s="8"/>
      <c r="L1041" s="8"/>
      <c r="M1041" s="8"/>
      <c r="N1041" s="8"/>
      <c r="O1041" s="8"/>
      <c r="P1041" s="8"/>
      <c r="Q1041" s="8"/>
      <c r="R1041" s="9"/>
      <c r="S1041" s="8"/>
      <c r="T1041" s="9"/>
      <c r="U1041" s="10" t="str">
        <f aca="true">IF(B1041="","",IF(OR(P1041&lt;&gt;"",I1041="می‌باشد"),"بسته",IF(AND(L1041&lt;&gt;"",W1041=""),"خطای فرمت تاریخ ایجاد",IF(AND(H1041&lt;&gt;"",AA1041=""),"خطای فرمت مهلت",IF(AND(H1041&lt;&gt;"",AD1041&lt;&gt;"",TODAY()&gt;AD1041),"تاخیر",IF(L1041&lt;&gt;"","در حال انجام",""))))))</f>
        <v/>
      </c>
      <c r="V1041" s="7" t="n">
        <f aca="true">IF(U1041="تاخیر",TODAY()-AD1041,IF(AND(U1041="بسته",AH1041&lt;&gt;"",AD1041&lt;&gt;"",AH1041&gt;AD1041),AH1041-AD1041,0))</f>
        <v>0</v>
      </c>
      <c r="W1041" s="7" t="str">
        <f aca="false">IF(L1041="","",VALUE(LEFT(L1041,FIND("/",L1041)-1)))</f>
        <v/>
      </c>
      <c r="X1041" s="7" t="str">
        <f aca="false">IF(L1041="","",VALUE(MID(L1041,FIND("/",L1041)+1,FIND("/",L1041,FIND("/",L1041)+1)-FIND("/",L1041)-1)))</f>
        <v/>
      </c>
      <c r="Y1041" s="7" t="str">
        <f aca="false">IF(L1041="","",VALUE(MID(L1041,FIND("/",L1041,FIND("/",L1041)+1)+1,LEN(L1041)-FIND("/",L1041,FIND("/",L1041)+1))))</f>
        <v/>
      </c>
      <c r="Z1041" s="7" t="str">
        <f aca="false">IF(OR(L1041="",W1041=""),"",IFERROR(INDEX('لیست‌ها'!$Q$3:$Q$53,MATCH(W1041,'لیست‌ها'!$P$3:$P$53,0))+IF(X1041&lt;=6,(X1041-1)*31+Y1041,IF(X1041&lt;=11,186+(X1041-7)*30+Y1041,336+Y1041))-1,""))</f>
        <v/>
      </c>
      <c r="AA1041" s="7" t="str">
        <f aca="false">IF(H1041="","",VALUE(LEFT(H1041,FIND("/",H1041)-1)))</f>
        <v/>
      </c>
      <c r="AB1041" s="7" t="str">
        <f aca="false">IF(H1041="","",VALUE(MID(H1041,FIND("/",H1041)+1,FIND("/",H1041,FIND("/",H1041)+1)-FIND("/",H1041)-1)))</f>
        <v/>
      </c>
      <c r="AC1041" s="7" t="str">
        <f aca="false">IF(H1041="","",VALUE(MID(H1041,FIND("/",H1041,FIND("/",H1041)+1)+1,LEN(H1041)-FIND("/",H1041,FIND("/",H1041)+1))))</f>
        <v/>
      </c>
      <c r="AD1041" s="7" t="str">
        <f aca="false">IF(OR(H1041="",AA1041=""),"",IFERROR(INDEX('لیست‌ها'!$Q$3:$Q$53,MATCH(AA1041,'لیست‌ها'!$P$3:$P$53,0))+IF(AB1041&lt;=6,(AB1041-1)*31+AC1041,IF(AB1041&lt;=11,186+(AB1041-7)*30+AC1041,336+AC1041))-1,""))</f>
        <v/>
      </c>
      <c r="AE1041" s="7" t="str">
        <f aca="false">IF(P1041="","",VALUE(LEFT(P1041,FIND("/",P1041)-1)))</f>
        <v/>
      </c>
      <c r="AF1041" s="7" t="str">
        <f aca="false">IF(P1041="","",VALUE(MID(P1041,FIND("/",P1041)+1,FIND("/",P1041,FIND("/",P1041)+1)-FIND("/",P1041)-1)))</f>
        <v/>
      </c>
      <c r="AG1041" s="7" t="str">
        <f aca="false">IF(P1041="","",VALUE(MID(P1041,FIND("/",P1041,FIND("/",P1041)+1)+1,LEN(P1041)-FIND("/",P1041,FIND("/",P1041)+1))))</f>
        <v/>
      </c>
      <c r="AH1041" s="7" t="str">
        <f aca="false">IF(OR(P1041="",AE1041=""),"",IFERROR(INDEX('لیست‌ها'!$Q$3:$Q$53,MATCH(AE1041,'لیست‌ها'!$P$3:$P$53,0))+IF(AF1041&lt;=6,(AF1041-1)*31+AG1041,IF(AF1041&lt;=11,186+(AF1041-7)*30+AG1041,336+AG1041))-1,""))</f>
        <v/>
      </c>
      <c r="AI1041" s="7" t="str">
        <f aca="false">IF(W1041="","",W1041&amp;"-"&amp;TEXT(X1041,"00"))</f>
        <v/>
      </c>
      <c r="AJ1041" s="7" t="str">
        <f aca="false">IF(W1041="","",W1041*12+X1041)</f>
        <v/>
      </c>
      <c r="AK1041" s="7" t="str">
        <f aca="false">IF(U1041="تاخیر",V1041+ROW()/100000,"")</f>
        <v/>
      </c>
    </row>
    <row r="1042" customFormat="false" ht="15" hidden="false" customHeight="false" outlineLevel="0" collapsed="false">
      <c r="A1042" s="7" t="str">
        <f aca="false">IF(B1042="","",ROW()-3)</f>
        <v/>
      </c>
      <c r="B1042" s="8"/>
      <c r="C1042" s="8"/>
      <c r="D1042" s="8"/>
      <c r="E1042" s="9"/>
      <c r="F1042" s="9"/>
      <c r="G1042" s="8"/>
      <c r="H1042" s="8"/>
      <c r="I1042" s="8"/>
      <c r="J1042" s="9"/>
      <c r="K1042" s="8"/>
      <c r="L1042" s="8"/>
      <c r="M1042" s="8"/>
      <c r="N1042" s="8"/>
      <c r="O1042" s="8"/>
      <c r="P1042" s="8"/>
      <c r="Q1042" s="8"/>
      <c r="R1042" s="9"/>
      <c r="S1042" s="8"/>
      <c r="T1042" s="9"/>
      <c r="U1042" s="10" t="str">
        <f aca="true">IF(B1042="","",IF(OR(P1042&lt;&gt;"",I1042="می‌باشد"),"بسته",IF(AND(L1042&lt;&gt;"",W1042=""),"خطای فرمت تاریخ ایجاد",IF(AND(H1042&lt;&gt;"",AA1042=""),"خطای فرمت مهلت",IF(AND(H1042&lt;&gt;"",AD1042&lt;&gt;"",TODAY()&gt;AD1042),"تاخیر",IF(L1042&lt;&gt;"","در حال انجام",""))))))</f>
        <v/>
      </c>
      <c r="V1042" s="7" t="n">
        <f aca="true">IF(U1042="تاخیر",TODAY()-AD1042,IF(AND(U1042="بسته",AH1042&lt;&gt;"",AD1042&lt;&gt;"",AH1042&gt;AD1042),AH1042-AD1042,0))</f>
        <v>0</v>
      </c>
      <c r="W1042" s="7" t="str">
        <f aca="false">IF(L1042="","",VALUE(LEFT(L1042,FIND("/",L1042)-1)))</f>
        <v/>
      </c>
      <c r="X1042" s="7" t="str">
        <f aca="false">IF(L1042="","",VALUE(MID(L1042,FIND("/",L1042)+1,FIND("/",L1042,FIND("/",L1042)+1)-FIND("/",L1042)-1)))</f>
        <v/>
      </c>
      <c r="Y1042" s="7" t="str">
        <f aca="false">IF(L1042="","",VALUE(MID(L1042,FIND("/",L1042,FIND("/",L1042)+1)+1,LEN(L1042)-FIND("/",L1042,FIND("/",L1042)+1))))</f>
        <v/>
      </c>
      <c r="Z1042" s="7" t="str">
        <f aca="false">IF(OR(L1042="",W1042=""),"",IFERROR(INDEX('لیست‌ها'!$Q$3:$Q$53,MATCH(W1042,'لیست‌ها'!$P$3:$P$53,0))+IF(X1042&lt;=6,(X1042-1)*31+Y1042,IF(X1042&lt;=11,186+(X1042-7)*30+Y1042,336+Y1042))-1,""))</f>
        <v/>
      </c>
      <c r="AA1042" s="7" t="str">
        <f aca="false">IF(H1042="","",VALUE(LEFT(H1042,FIND("/",H1042)-1)))</f>
        <v/>
      </c>
      <c r="AB1042" s="7" t="str">
        <f aca="false">IF(H1042="","",VALUE(MID(H1042,FIND("/",H1042)+1,FIND("/",H1042,FIND("/",H1042)+1)-FIND("/",H1042)-1)))</f>
        <v/>
      </c>
      <c r="AC1042" s="7" t="str">
        <f aca="false">IF(H1042="","",VALUE(MID(H1042,FIND("/",H1042,FIND("/",H1042)+1)+1,LEN(H1042)-FIND("/",H1042,FIND("/",H1042)+1))))</f>
        <v/>
      </c>
      <c r="AD1042" s="7" t="str">
        <f aca="false">IF(OR(H1042="",AA1042=""),"",IFERROR(INDEX('لیست‌ها'!$Q$3:$Q$53,MATCH(AA1042,'لیست‌ها'!$P$3:$P$53,0))+IF(AB1042&lt;=6,(AB1042-1)*31+AC1042,IF(AB1042&lt;=11,186+(AB1042-7)*30+AC1042,336+AC1042))-1,""))</f>
        <v/>
      </c>
      <c r="AE1042" s="7" t="str">
        <f aca="false">IF(P1042="","",VALUE(LEFT(P1042,FIND("/",P1042)-1)))</f>
        <v/>
      </c>
      <c r="AF1042" s="7" t="str">
        <f aca="false">IF(P1042="","",VALUE(MID(P1042,FIND("/",P1042)+1,FIND("/",P1042,FIND("/",P1042)+1)-FIND("/",P1042)-1)))</f>
        <v/>
      </c>
      <c r="AG1042" s="7" t="str">
        <f aca="false">IF(P1042="","",VALUE(MID(P1042,FIND("/",P1042,FIND("/",P1042)+1)+1,LEN(P1042)-FIND("/",P1042,FIND("/",P1042)+1))))</f>
        <v/>
      </c>
      <c r="AH1042" s="7" t="str">
        <f aca="false">IF(OR(P1042="",AE1042=""),"",IFERROR(INDEX('لیست‌ها'!$Q$3:$Q$53,MATCH(AE1042,'لیست‌ها'!$P$3:$P$53,0))+IF(AF1042&lt;=6,(AF1042-1)*31+AG1042,IF(AF1042&lt;=11,186+(AF1042-7)*30+AG1042,336+AG1042))-1,""))</f>
        <v/>
      </c>
      <c r="AI1042" s="7" t="str">
        <f aca="false">IF(W1042="","",W1042&amp;"-"&amp;TEXT(X1042,"00"))</f>
        <v/>
      </c>
      <c r="AJ1042" s="7" t="str">
        <f aca="false">IF(W1042="","",W1042*12+X1042)</f>
        <v/>
      </c>
      <c r="AK1042" s="7" t="str">
        <f aca="false">IF(U1042="تاخیر",V1042+ROW()/100000,"")</f>
        <v/>
      </c>
    </row>
    <row r="1043" customFormat="false" ht="15" hidden="false" customHeight="false" outlineLevel="0" collapsed="false">
      <c r="A1043" s="7" t="str">
        <f aca="false">IF(B1043="","",ROW()-3)</f>
        <v/>
      </c>
      <c r="B1043" s="8"/>
      <c r="C1043" s="8"/>
      <c r="D1043" s="8"/>
      <c r="E1043" s="9"/>
      <c r="F1043" s="9"/>
      <c r="G1043" s="8"/>
      <c r="H1043" s="8"/>
      <c r="I1043" s="8"/>
      <c r="J1043" s="9"/>
      <c r="K1043" s="8"/>
      <c r="L1043" s="8"/>
      <c r="M1043" s="8"/>
      <c r="N1043" s="8"/>
      <c r="O1043" s="8"/>
      <c r="P1043" s="8"/>
      <c r="Q1043" s="8"/>
      <c r="R1043" s="9"/>
      <c r="S1043" s="8"/>
      <c r="T1043" s="9"/>
      <c r="U1043" s="10" t="str">
        <f aca="true">IF(B1043="","",IF(OR(P1043&lt;&gt;"",I1043="می‌باشد"),"بسته",IF(AND(L1043&lt;&gt;"",W1043=""),"خطای فرمت تاریخ ایجاد",IF(AND(H1043&lt;&gt;"",AA1043=""),"خطای فرمت مهلت",IF(AND(H1043&lt;&gt;"",AD1043&lt;&gt;"",TODAY()&gt;AD1043),"تاخیر",IF(L1043&lt;&gt;"","در حال انجام",""))))))</f>
        <v/>
      </c>
      <c r="V1043" s="7" t="n">
        <f aca="true">IF(U1043="تاخیر",TODAY()-AD1043,IF(AND(U1043="بسته",AH1043&lt;&gt;"",AD1043&lt;&gt;"",AH1043&gt;AD1043),AH1043-AD1043,0))</f>
        <v>0</v>
      </c>
      <c r="W1043" s="7" t="str">
        <f aca="false">IF(L1043="","",VALUE(LEFT(L1043,FIND("/",L1043)-1)))</f>
        <v/>
      </c>
      <c r="X1043" s="7" t="str">
        <f aca="false">IF(L1043="","",VALUE(MID(L1043,FIND("/",L1043)+1,FIND("/",L1043,FIND("/",L1043)+1)-FIND("/",L1043)-1)))</f>
        <v/>
      </c>
      <c r="Y1043" s="7" t="str">
        <f aca="false">IF(L1043="","",VALUE(MID(L1043,FIND("/",L1043,FIND("/",L1043)+1)+1,LEN(L1043)-FIND("/",L1043,FIND("/",L1043)+1))))</f>
        <v/>
      </c>
      <c r="Z1043" s="7" t="str">
        <f aca="false">IF(OR(L1043="",W1043=""),"",IFERROR(INDEX('لیست‌ها'!$Q$3:$Q$53,MATCH(W1043,'لیست‌ها'!$P$3:$P$53,0))+IF(X1043&lt;=6,(X1043-1)*31+Y1043,IF(X1043&lt;=11,186+(X1043-7)*30+Y1043,336+Y1043))-1,""))</f>
        <v/>
      </c>
      <c r="AA1043" s="7" t="str">
        <f aca="false">IF(H1043="","",VALUE(LEFT(H1043,FIND("/",H1043)-1)))</f>
        <v/>
      </c>
      <c r="AB1043" s="7" t="str">
        <f aca="false">IF(H1043="","",VALUE(MID(H1043,FIND("/",H1043)+1,FIND("/",H1043,FIND("/",H1043)+1)-FIND("/",H1043)-1)))</f>
        <v/>
      </c>
      <c r="AC1043" s="7" t="str">
        <f aca="false">IF(H1043="","",VALUE(MID(H1043,FIND("/",H1043,FIND("/",H1043)+1)+1,LEN(H1043)-FIND("/",H1043,FIND("/",H1043)+1))))</f>
        <v/>
      </c>
      <c r="AD1043" s="7" t="str">
        <f aca="false">IF(OR(H1043="",AA1043=""),"",IFERROR(INDEX('لیست‌ها'!$Q$3:$Q$53,MATCH(AA1043,'لیست‌ها'!$P$3:$P$53,0))+IF(AB1043&lt;=6,(AB1043-1)*31+AC1043,IF(AB1043&lt;=11,186+(AB1043-7)*30+AC1043,336+AC1043))-1,""))</f>
        <v/>
      </c>
      <c r="AE1043" s="7" t="str">
        <f aca="false">IF(P1043="","",VALUE(LEFT(P1043,FIND("/",P1043)-1)))</f>
        <v/>
      </c>
      <c r="AF1043" s="7" t="str">
        <f aca="false">IF(P1043="","",VALUE(MID(P1043,FIND("/",P1043)+1,FIND("/",P1043,FIND("/",P1043)+1)-FIND("/",P1043)-1)))</f>
        <v/>
      </c>
      <c r="AG1043" s="7" t="str">
        <f aca="false">IF(P1043="","",VALUE(MID(P1043,FIND("/",P1043,FIND("/",P1043)+1)+1,LEN(P1043)-FIND("/",P1043,FIND("/",P1043)+1))))</f>
        <v/>
      </c>
      <c r="AH1043" s="7" t="str">
        <f aca="false">IF(OR(P1043="",AE1043=""),"",IFERROR(INDEX('لیست‌ها'!$Q$3:$Q$53,MATCH(AE1043,'لیست‌ها'!$P$3:$P$53,0))+IF(AF1043&lt;=6,(AF1043-1)*31+AG1043,IF(AF1043&lt;=11,186+(AF1043-7)*30+AG1043,336+AG1043))-1,""))</f>
        <v/>
      </c>
      <c r="AI1043" s="7" t="str">
        <f aca="false">IF(W1043="","",W1043&amp;"-"&amp;TEXT(X1043,"00"))</f>
        <v/>
      </c>
      <c r="AJ1043" s="7" t="str">
        <f aca="false">IF(W1043="","",W1043*12+X1043)</f>
        <v/>
      </c>
      <c r="AK1043" s="7" t="str">
        <f aca="false">IF(U1043="تاخیر",V1043+ROW()/100000,"")</f>
        <v/>
      </c>
    </row>
    <row r="1044" customFormat="false" ht="15" hidden="false" customHeight="false" outlineLevel="0" collapsed="false">
      <c r="A1044" s="7" t="str">
        <f aca="false">IF(B1044="","",ROW()-3)</f>
        <v/>
      </c>
      <c r="B1044" s="8"/>
      <c r="C1044" s="8"/>
      <c r="D1044" s="8"/>
      <c r="E1044" s="9"/>
      <c r="F1044" s="9"/>
      <c r="G1044" s="8"/>
      <c r="H1044" s="8"/>
      <c r="I1044" s="8"/>
      <c r="J1044" s="9"/>
      <c r="K1044" s="8"/>
      <c r="L1044" s="8"/>
      <c r="M1044" s="8"/>
      <c r="N1044" s="8"/>
      <c r="O1044" s="8"/>
      <c r="P1044" s="8"/>
      <c r="Q1044" s="8"/>
      <c r="R1044" s="9"/>
      <c r="S1044" s="8"/>
      <c r="T1044" s="9"/>
      <c r="U1044" s="10" t="str">
        <f aca="true">IF(B1044="","",IF(OR(P1044&lt;&gt;"",I1044="می‌باشد"),"بسته",IF(AND(L1044&lt;&gt;"",W1044=""),"خطای فرمت تاریخ ایجاد",IF(AND(H1044&lt;&gt;"",AA1044=""),"خطای فرمت مهلت",IF(AND(H1044&lt;&gt;"",AD1044&lt;&gt;"",TODAY()&gt;AD1044),"تاخیر",IF(L1044&lt;&gt;"","در حال انجام",""))))))</f>
        <v/>
      </c>
      <c r="V1044" s="7" t="n">
        <f aca="true">IF(U1044="تاخیر",TODAY()-AD1044,IF(AND(U1044="بسته",AH1044&lt;&gt;"",AD1044&lt;&gt;"",AH1044&gt;AD1044),AH1044-AD1044,0))</f>
        <v>0</v>
      </c>
      <c r="W1044" s="7" t="str">
        <f aca="false">IF(L1044="","",VALUE(LEFT(L1044,FIND("/",L1044)-1)))</f>
        <v/>
      </c>
      <c r="X1044" s="7" t="str">
        <f aca="false">IF(L1044="","",VALUE(MID(L1044,FIND("/",L1044)+1,FIND("/",L1044,FIND("/",L1044)+1)-FIND("/",L1044)-1)))</f>
        <v/>
      </c>
      <c r="Y1044" s="7" t="str">
        <f aca="false">IF(L1044="","",VALUE(MID(L1044,FIND("/",L1044,FIND("/",L1044)+1)+1,LEN(L1044)-FIND("/",L1044,FIND("/",L1044)+1))))</f>
        <v/>
      </c>
      <c r="Z1044" s="7" t="str">
        <f aca="false">IF(OR(L1044="",W1044=""),"",IFERROR(INDEX('لیست‌ها'!$Q$3:$Q$53,MATCH(W1044,'لیست‌ها'!$P$3:$P$53,0))+IF(X1044&lt;=6,(X1044-1)*31+Y1044,IF(X1044&lt;=11,186+(X1044-7)*30+Y1044,336+Y1044))-1,""))</f>
        <v/>
      </c>
      <c r="AA1044" s="7" t="str">
        <f aca="false">IF(H1044="","",VALUE(LEFT(H1044,FIND("/",H1044)-1)))</f>
        <v/>
      </c>
      <c r="AB1044" s="7" t="str">
        <f aca="false">IF(H1044="","",VALUE(MID(H1044,FIND("/",H1044)+1,FIND("/",H1044,FIND("/",H1044)+1)-FIND("/",H1044)-1)))</f>
        <v/>
      </c>
      <c r="AC1044" s="7" t="str">
        <f aca="false">IF(H1044="","",VALUE(MID(H1044,FIND("/",H1044,FIND("/",H1044)+1)+1,LEN(H1044)-FIND("/",H1044,FIND("/",H1044)+1))))</f>
        <v/>
      </c>
      <c r="AD1044" s="7" t="str">
        <f aca="false">IF(OR(H1044="",AA1044=""),"",IFERROR(INDEX('لیست‌ها'!$Q$3:$Q$53,MATCH(AA1044,'لیست‌ها'!$P$3:$P$53,0))+IF(AB1044&lt;=6,(AB1044-1)*31+AC1044,IF(AB1044&lt;=11,186+(AB1044-7)*30+AC1044,336+AC1044))-1,""))</f>
        <v/>
      </c>
      <c r="AE1044" s="7" t="str">
        <f aca="false">IF(P1044="","",VALUE(LEFT(P1044,FIND("/",P1044)-1)))</f>
        <v/>
      </c>
      <c r="AF1044" s="7" t="str">
        <f aca="false">IF(P1044="","",VALUE(MID(P1044,FIND("/",P1044)+1,FIND("/",P1044,FIND("/",P1044)+1)-FIND("/",P1044)-1)))</f>
        <v/>
      </c>
      <c r="AG1044" s="7" t="str">
        <f aca="false">IF(P1044="","",VALUE(MID(P1044,FIND("/",P1044,FIND("/",P1044)+1)+1,LEN(P1044)-FIND("/",P1044,FIND("/",P1044)+1))))</f>
        <v/>
      </c>
      <c r="AH1044" s="7" t="str">
        <f aca="false">IF(OR(P1044="",AE1044=""),"",IFERROR(INDEX('لیست‌ها'!$Q$3:$Q$53,MATCH(AE1044,'لیست‌ها'!$P$3:$P$53,0))+IF(AF1044&lt;=6,(AF1044-1)*31+AG1044,IF(AF1044&lt;=11,186+(AF1044-7)*30+AG1044,336+AG1044))-1,""))</f>
        <v/>
      </c>
      <c r="AI1044" s="7" t="str">
        <f aca="false">IF(W1044="","",W1044&amp;"-"&amp;TEXT(X1044,"00"))</f>
        <v/>
      </c>
      <c r="AJ1044" s="7" t="str">
        <f aca="false">IF(W1044="","",W1044*12+X1044)</f>
        <v/>
      </c>
      <c r="AK1044" s="7" t="str">
        <f aca="false">IF(U1044="تاخیر",V1044+ROW()/100000,"")</f>
        <v/>
      </c>
    </row>
    <row r="1045" customFormat="false" ht="15" hidden="false" customHeight="false" outlineLevel="0" collapsed="false">
      <c r="A1045" s="7" t="str">
        <f aca="false">IF(B1045="","",ROW()-3)</f>
        <v/>
      </c>
      <c r="B1045" s="8"/>
      <c r="C1045" s="8"/>
      <c r="D1045" s="8"/>
      <c r="E1045" s="9"/>
      <c r="F1045" s="9"/>
      <c r="G1045" s="8"/>
      <c r="H1045" s="8"/>
      <c r="I1045" s="8"/>
      <c r="J1045" s="9"/>
      <c r="K1045" s="8"/>
      <c r="L1045" s="8"/>
      <c r="M1045" s="8"/>
      <c r="N1045" s="8"/>
      <c r="O1045" s="8"/>
      <c r="P1045" s="8"/>
      <c r="Q1045" s="8"/>
      <c r="R1045" s="9"/>
      <c r="S1045" s="8"/>
      <c r="T1045" s="9"/>
      <c r="U1045" s="10" t="str">
        <f aca="true">IF(B1045="","",IF(OR(P1045&lt;&gt;"",I1045="می‌باشد"),"بسته",IF(AND(L1045&lt;&gt;"",W1045=""),"خطای فرمت تاریخ ایجاد",IF(AND(H1045&lt;&gt;"",AA1045=""),"خطای فرمت مهلت",IF(AND(H1045&lt;&gt;"",AD1045&lt;&gt;"",TODAY()&gt;AD1045),"تاخیر",IF(L1045&lt;&gt;"","در حال انجام",""))))))</f>
        <v/>
      </c>
      <c r="V1045" s="7" t="n">
        <f aca="true">IF(U1045="تاخیر",TODAY()-AD1045,IF(AND(U1045="بسته",AH1045&lt;&gt;"",AD1045&lt;&gt;"",AH1045&gt;AD1045),AH1045-AD1045,0))</f>
        <v>0</v>
      </c>
      <c r="W1045" s="7" t="str">
        <f aca="false">IF(L1045="","",VALUE(LEFT(L1045,FIND("/",L1045)-1)))</f>
        <v/>
      </c>
      <c r="X1045" s="7" t="str">
        <f aca="false">IF(L1045="","",VALUE(MID(L1045,FIND("/",L1045)+1,FIND("/",L1045,FIND("/",L1045)+1)-FIND("/",L1045)-1)))</f>
        <v/>
      </c>
      <c r="Y1045" s="7" t="str">
        <f aca="false">IF(L1045="","",VALUE(MID(L1045,FIND("/",L1045,FIND("/",L1045)+1)+1,LEN(L1045)-FIND("/",L1045,FIND("/",L1045)+1))))</f>
        <v/>
      </c>
      <c r="Z1045" s="7" t="str">
        <f aca="false">IF(OR(L1045="",W1045=""),"",IFERROR(INDEX('لیست‌ها'!$Q$3:$Q$53,MATCH(W1045,'لیست‌ها'!$P$3:$P$53,0))+IF(X1045&lt;=6,(X1045-1)*31+Y1045,IF(X1045&lt;=11,186+(X1045-7)*30+Y1045,336+Y1045))-1,""))</f>
        <v/>
      </c>
      <c r="AA1045" s="7" t="str">
        <f aca="false">IF(H1045="","",VALUE(LEFT(H1045,FIND("/",H1045)-1)))</f>
        <v/>
      </c>
      <c r="AB1045" s="7" t="str">
        <f aca="false">IF(H1045="","",VALUE(MID(H1045,FIND("/",H1045)+1,FIND("/",H1045,FIND("/",H1045)+1)-FIND("/",H1045)-1)))</f>
        <v/>
      </c>
      <c r="AC1045" s="7" t="str">
        <f aca="false">IF(H1045="","",VALUE(MID(H1045,FIND("/",H1045,FIND("/",H1045)+1)+1,LEN(H1045)-FIND("/",H1045,FIND("/",H1045)+1))))</f>
        <v/>
      </c>
      <c r="AD1045" s="7" t="str">
        <f aca="false">IF(OR(H1045="",AA1045=""),"",IFERROR(INDEX('لیست‌ها'!$Q$3:$Q$53,MATCH(AA1045,'لیست‌ها'!$P$3:$P$53,0))+IF(AB1045&lt;=6,(AB1045-1)*31+AC1045,IF(AB1045&lt;=11,186+(AB1045-7)*30+AC1045,336+AC1045))-1,""))</f>
        <v/>
      </c>
      <c r="AE1045" s="7" t="str">
        <f aca="false">IF(P1045="","",VALUE(LEFT(P1045,FIND("/",P1045)-1)))</f>
        <v/>
      </c>
      <c r="AF1045" s="7" t="str">
        <f aca="false">IF(P1045="","",VALUE(MID(P1045,FIND("/",P1045)+1,FIND("/",P1045,FIND("/",P1045)+1)-FIND("/",P1045)-1)))</f>
        <v/>
      </c>
      <c r="AG1045" s="7" t="str">
        <f aca="false">IF(P1045="","",VALUE(MID(P1045,FIND("/",P1045,FIND("/",P1045)+1)+1,LEN(P1045)-FIND("/",P1045,FIND("/",P1045)+1))))</f>
        <v/>
      </c>
      <c r="AH1045" s="7" t="str">
        <f aca="false">IF(OR(P1045="",AE1045=""),"",IFERROR(INDEX('لیست‌ها'!$Q$3:$Q$53,MATCH(AE1045,'لیست‌ها'!$P$3:$P$53,0))+IF(AF1045&lt;=6,(AF1045-1)*31+AG1045,IF(AF1045&lt;=11,186+(AF1045-7)*30+AG1045,336+AG1045))-1,""))</f>
        <v/>
      </c>
      <c r="AI1045" s="7" t="str">
        <f aca="false">IF(W1045="","",W1045&amp;"-"&amp;TEXT(X1045,"00"))</f>
        <v/>
      </c>
      <c r="AJ1045" s="7" t="str">
        <f aca="false">IF(W1045="","",W1045*12+X1045)</f>
        <v/>
      </c>
      <c r="AK1045" s="7" t="str">
        <f aca="false">IF(U1045="تاخیر",V1045+ROW()/100000,"")</f>
        <v/>
      </c>
    </row>
    <row r="1046" customFormat="false" ht="15" hidden="false" customHeight="false" outlineLevel="0" collapsed="false">
      <c r="A1046" s="7" t="str">
        <f aca="false">IF(B1046="","",ROW()-3)</f>
        <v/>
      </c>
      <c r="B1046" s="8"/>
      <c r="C1046" s="8"/>
      <c r="D1046" s="8"/>
      <c r="E1046" s="9"/>
      <c r="F1046" s="9"/>
      <c r="G1046" s="8"/>
      <c r="H1046" s="8"/>
      <c r="I1046" s="8"/>
      <c r="J1046" s="9"/>
      <c r="K1046" s="8"/>
      <c r="L1046" s="8"/>
      <c r="M1046" s="8"/>
      <c r="N1046" s="8"/>
      <c r="O1046" s="8"/>
      <c r="P1046" s="8"/>
      <c r="Q1046" s="8"/>
      <c r="R1046" s="9"/>
      <c r="S1046" s="8"/>
      <c r="T1046" s="9"/>
      <c r="U1046" s="10" t="str">
        <f aca="true">IF(B1046="","",IF(OR(P1046&lt;&gt;"",I1046="می‌باشد"),"بسته",IF(AND(L1046&lt;&gt;"",W1046=""),"خطای فرمت تاریخ ایجاد",IF(AND(H1046&lt;&gt;"",AA1046=""),"خطای فرمت مهلت",IF(AND(H1046&lt;&gt;"",AD1046&lt;&gt;"",TODAY()&gt;AD1046),"تاخیر",IF(L1046&lt;&gt;"","در حال انجام",""))))))</f>
        <v/>
      </c>
      <c r="V1046" s="7" t="n">
        <f aca="true">IF(U1046="تاخیر",TODAY()-AD1046,IF(AND(U1046="بسته",AH1046&lt;&gt;"",AD1046&lt;&gt;"",AH1046&gt;AD1046),AH1046-AD1046,0))</f>
        <v>0</v>
      </c>
      <c r="W1046" s="7" t="str">
        <f aca="false">IF(L1046="","",VALUE(LEFT(L1046,FIND("/",L1046)-1)))</f>
        <v/>
      </c>
      <c r="X1046" s="7" t="str">
        <f aca="false">IF(L1046="","",VALUE(MID(L1046,FIND("/",L1046)+1,FIND("/",L1046,FIND("/",L1046)+1)-FIND("/",L1046)-1)))</f>
        <v/>
      </c>
      <c r="Y1046" s="7" t="str">
        <f aca="false">IF(L1046="","",VALUE(MID(L1046,FIND("/",L1046,FIND("/",L1046)+1)+1,LEN(L1046)-FIND("/",L1046,FIND("/",L1046)+1))))</f>
        <v/>
      </c>
      <c r="Z1046" s="7" t="str">
        <f aca="false">IF(OR(L1046="",W1046=""),"",IFERROR(INDEX('لیست‌ها'!$Q$3:$Q$53,MATCH(W1046,'لیست‌ها'!$P$3:$P$53,0))+IF(X1046&lt;=6,(X1046-1)*31+Y1046,IF(X1046&lt;=11,186+(X1046-7)*30+Y1046,336+Y1046))-1,""))</f>
        <v/>
      </c>
      <c r="AA1046" s="7" t="str">
        <f aca="false">IF(H1046="","",VALUE(LEFT(H1046,FIND("/",H1046)-1)))</f>
        <v/>
      </c>
      <c r="AB1046" s="7" t="str">
        <f aca="false">IF(H1046="","",VALUE(MID(H1046,FIND("/",H1046)+1,FIND("/",H1046,FIND("/",H1046)+1)-FIND("/",H1046)-1)))</f>
        <v/>
      </c>
      <c r="AC1046" s="7" t="str">
        <f aca="false">IF(H1046="","",VALUE(MID(H1046,FIND("/",H1046,FIND("/",H1046)+1)+1,LEN(H1046)-FIND("/",H1046,FIND("/",H1046)+1))))</f>
        <v/>
      </c>
      <c r="AD1046" s="7" t="str">
        <f aca="false">IF(OR(H1046="",AA1046=""),"",IFERROR(INDEX('لیست‌ها'!$Q$3:$Q$53,MATCH(AA1046,'لیست‌ها'!$P$3:$P$53,0))+IF(AB1046&lt;=6,(AB1046-1)*31+AC1046,IF(AB1046&lt;=11,186+(AB1046-7)*30+AC1046,336+AC1046))-1,""))</f>
        <v/>
      </c>
      <c r="AE1046" s="7" t="str">
        <f aca="false">IF(P1046="","",VALUE(LEFT(P1046,FIND("/",P1046)-1)))</f>
        <v/>
      </c>
      <c r="AF1046" s="7" t="str">
        <f aca="false">IF(P1046="","",VALUE(MID(P1046,FIND("/",P1046)+1,FIND("/",P1046,FIND("/",P1046)+1)-FIND("/",P1046)-1)))</f>
        <v/>
      </c>
      <c r="AG1046" s="7" t="str">
        <f aca="false">IF(P1046="","",VALUE(MID(P1046,FIND("/",P1046,FIND("/",P1046)+1)+1,LEN(P1046)-FIND("/",P1046,FIND("/",P1046)+1))))</f>
        <v/>
      </c>
      <c r="AH1046" s="7" t="str">
        <f aca="false">IF(OR(P1046="",AE1046=""),"",IFERROR(INDEX('لیست‌ها'!$Q$3:$Q$53,MATCH(AE1046,'لیست‌ها'!$P$3:$P$53,0))+IF(AF1046&lt;=6,(AF1046-1)*31+AG1046,IF(AF1046&lt;=11,186+(AF1046-7)*30+AG1046,336+AG1046))-1,""))</f>
        <v/>
      </c>
      <c r="AI1046" s="7" t="str">
        <f aca="false">IF(W1046="","",W1046&amp;"-"&amp;TEXT(X1046,"00"))</f>
        <v/>
      </c>
      <c r="AJ1046" s="7" t="str">
        <f aca="false">IF(W1046="","",W1046*12+X1046)</f>
        <v/>
      </c>
      <c r="AK1046" s="7" t="str">
        <f aca="false">IF(U1046="تاخیر",V1046+ROW()/100000,"")</f>
        <v/>
      </c>
    </row>
    <row r="1047" customFormat="false" ht="15" hidden="false" customHeight="false" outlineLevel="0" collapsed="false">
      <c r="A1047" s="7" t="str">
        <f aca="false">IF(B1047="","",ROW()-3)</f>
        <v/>
      </c>
      <c r="B1047" s="8"/>
      <c r="C1047" s="8"/>
      <c r="D1047" s="8"/>
      <c r="E1047" s="9"/>
      <c r="F1047" s="9"/>
      <c r="G1047" s="8"/>
      <c r="H1047" s="8"/>
      <c r="I1047" s="8"/>
      <c r="J1047" s="9"/>
      <c r="K1047" s="8"/>
      <c r="L1047" s="8"/>
      <c r="M1047" s="8"/>
      <c r="N1047" s="8"/>
      <c r="O1047" s="8"/>
      <c r="P1047" s="8"/>
      <c r="Q1047" s="8"/>
      <c r="R1047" s="9"/>
      <c r="S1047" s="8"/>
      <c r="T1047" s="9"/>
      <c r="U1047" s="10" t="str">
        <f aca="true">IF(B1047="","",IF(OR(P1047&lt;&gt;"",I1047="می‌باشد"),"بسته",IF(AND(L1047&lt;&gt;"",W1047=""),"خطای فرمت تاریخ ایجاد",IF(AND(H1047&lt;&gt;"",AA1047=""),"خطای فرمت مهلت",IF(AND(H1047&lt;&gt;"",AD1047&lt;&gt;"",TODAY()&gt;AD1047),"تاخیر",IF(L1047&lt;&gt;"","در حال انجام",""))))))</f>
        <v/>
      </c>
      <c r="V1047" s="7" t="n">
        <f aca="true">IF(U1047="تاخیر",TODAY()-AD1047,IF(AND(U1047="بسته",AH1047&lt;&gt;"",AD1047&lt;&gt;"",AH1047&gt;AD1047),AH1047-AD1047,0))</f>
        <v>0</v>
      </c>
      <c r="W1047" s="7" t="str">
        <f aca="false">IF(L1047="","",VALUE(LEFT(L1047,FIND("/",L1047)-1)))</f>
        <v/>
      </c>
      <c r="X1047" s="7" t="str">
        <f aca="false">IF(L1047="","",VALUE(MID(L1047,FIND("/",L1047)+1,FIND("/",L1047,FIND("/",L1047)+1)-FIND("/",L1047)-1)))</f>
        <v/>
      </c>
      <c r="Y1047" s="7" t="str">
        <f aca="false">IF(L1047="","",VALUE(MID(L1047,FIND("/",L1047,FIND("/",L1047)+1)+1,LEN(L1047)-FIND("/",L1047,FIND("/",L1047)+1))))</f>
        <v/>
      </c>
      <c r="Z1047" s="7" t="str">
        <f aca="false">IF(OR(L1047="",W1047=""),"",IFERROR(INDEX('لیست‌ها'!$Q$3:$Q$53,MATCH(W1047,'لیست‌ها'!$P$3:$P$53,0))+IF(X1047&lt;=6,(X1047-1)*31+Y1047,IF(X1047&lt;=11,186+(X1047-7)*30+Y1047,336+Y1047))-1,""))</f>
        <v/>
      </c>
      <c r="AA1047" s="7" t="str">
        <f aca="false">IF(H1047="","",VALUE(LEFT(H1047,FIND("/",H1047)-1)))</f>
        <v/>
      </c>
      <c r="AB1047" s="7" t="str">
        <f aca="false">IF(H1047="","",VALUE(MID(H1047,FIND("/",H1047)+1,FIND("/",H1047,FIND("/",H1047)+1)-FIND("/",H1047)-1)))</f>
        <v/>
      </c>
      <c r="AC1047" s="7" t="str">
        <f aca="false">IF(H1047="","",VALUE(MID(H1047,FIND("/",H1047,FIND("/",H1047)+1)+1,LEN(H1047)-FIND("/",H1047,FIND("/",H1047)+1))))</f>
        <v/>
      </c>
      <c r="AD1047" s="7" t="str">
        <f aca="false">IF(OR(H1047="",AA1047=""),"",IFERROR(INDEX('لیست‌ها'!$Q$3:$Q$53,MATCH(AA1047,'لیست‌ها'!$P$3:$P$53,0))+IF(AB1047&lt;=6,(AB1047-1)*31+AC1047,IF(AB1047&lt;=11,186+(AB1047-7)*30+AC1047,336+AC1047))-1,""))</f>
        <v/>
      </c>
      <c r="AE1047" s="7" t="str">
        <f aca="false">IF(P1047="","",VALUE(LEFT(P1047,FIND("/",P1047)-1)))</f>
        <v/>
      </c>
      <c r="AF1047" s="7" t="str">
        <f aca="false">IF(P1047="","",VALUE(MID(P1047,FIND("/",P1047)+1,FIND("/",P1047,FIND("/",P1047)+1)-FIND("/",P1047)-1)))</f>
        <v/>
      </c>
      <c r="AG1047" s="7" t="str">
        <f aca="false">IF(P1047="","",VALUE(MID(P1047,FIND("/",P1047,FIND("/",P1047)+1)+1,LEN(P1047)-FIND("/",P1047,FIND("/",P1047)+1))))</f>
        <v/>
      </c>
      <c r="AH1047" s="7" t="str">
        <f aca="false">IF(OR(P1047="",AE1047=""),"",IFERROR(INDEX('لیست‌ها'!$Q$3:$Q$53,MATCH(AE1047,'لیست‌ها'!$P$3:$P$53,0))+IF(AF1047&lt;=6,(AF1047-1)*31+AG1047,IF(AF1047&lt;=11,186+(AF1047-7)*30+AG1047,336+AG1047))-1,""))</f>
        <v/>
      </c>
      <c r="AI1047" s="7" t="str">
        <f aca="false">IF(W1047="","",W1047&amp;"-"&amp;TEXT(X1047,"00"))</f>
        <v/>
      </c>
      <c r="AJ1047" s="7" t="str">
        <f aca="false">IF(W1047="","",W1047*12+X1047)</f>
        <v/>
      </c>
      <c r="AK1047" s="7" t="str">
        <f aca="false">IF(U1047="تاخیر",V1047+ROW()/100000,"")</f>
        <v/>
      </c>
    </row>
    <row r="1048" customFormat="false" ht="15" hidden="false" customHeight="false" outlineLevel="0" collapsed="false">
      <c r="A1048" s="7" t="str">
        <f aca="false">IF(B1048="","",ROW()-3)</f>
        <v/>
      </c>
      <c r="B1048" s="8"/>
      <c r="C1048" s="8"/>
      <c r="D1048" s="8"/>
      <c r="E1048" s="9"/>
      <c r="F1048" s="9"/>
      <c r="G1048" s="8"/>
      <c r="H1048" s="8"/>
      <c r="I1048" s="8"/>
      <c r="J1048" s="9"/>
      <c r="K1048" s="8"/>
      <c r="L1048" s="8"/>
      <c r="M1048" s="8"/>
      <c r="N1048" s="8"/>
      <c r="O1048" s="8"/>
      <c r="P1048" s="8"/>
      <c r="Q1048" s="8"/>
      <c r="R1048" s="9"/>
      <c r="S1048" s="8"/>
      <c r="T1048" s="9"/>
      <c r="U1048" s="10" t="str">
        <f aca="true">IF(B1048="","",IF(OR(P1048&lt;&gt;"",I1048="می‌باشد"),"بسته",IF(AND(L1048&lt;&gt;"",W1048=""),"خطای فرمت تاریخ ایجاد",IF(AND(H1048&lt;&gt;"",AA1048=""),"خطای فرمت مهلت",IF(AND(H1048&lt;&gt;"",AD1048&lt;&gt;"",TODAY()&gt;AD1048),"تاخیر",IF(L1048&lt;&gt;"","در حال انجام",""))))))</f>
        <v/>
      </c>
      <c r="V1048" s="7" t="n">
        <f aca="true">IF(U1048="تاخیر",TODAY()-AD1048,IF(AND(U1048="بسته",AH1048&lt;&gt;"",AD1048&lt;&gt;"",AH1048&gt;AD1048),AH1048-AD1048,0))</f>
        <v>0</v>
      </c>
      <c r="W1048" s="7" t="str">
        <f aca="false">IF(L1048="","",VALUE(LEFT(L1048,FIND("/",L1048)-1)))</f>
        <v/>
      </c>
      <c r="X1048" s="7" t="str">
        <f aca="false">IF(L1048="","",VALUE(MID(L1048,FIND("/",L1048)+1,FIND("/",L1048,FIND("/",L1048)+1)-FIND("/",L1048)-1)))</f>
        <v/>
      </c>
      <c r="Y1048" s="7" t="str">
        <f aca="false">IF(L1048="","",VALUE(MID(L1048,FIND("/",L1048,FIND("/",L1048)+1)+1,LEN(L1048)-FIND("/",L1048,FIND("/",L1048)+1))))</f>
        <v/>
      </c>
      <c r="Z1048" s="7" t="str">
        <f aca="false">IF(OR(L1048="",W1048=""),"",IFERROR(INDEX('لیست‌ها'!$Q$3:$Q$53,MATCH(W1048,'لیست‌ها'!$P$3:$P$53,0))+IF(X1048&lt;=6,(X1048-1)*31+Y1048,IF(X1048&lt;=11,186+(X1048-7)*30+Y1048,336+Y1048))-1,""))</f>
        <v/>
      </c>
      <c r="AA1048" s="7" t="str">
        <f aca="false">IF(H1048="","",VALUE(LEFT(H1048,FIND("/",H1048)-1)))</f>
        <v/>
      </c>
      <c r="AB1048" s="7" t="str">
        <f aca="false">IF(H1048="","",VALUE(MID(H1048,FIND("/",H1048)+1,FIND("/",H1048,FIND("/",H1048)+1)-FIND("/",H1048)-1)))</f>
        <v/>
      </c>
      <c r="AC1048" s="7" t="str">
        <f aca="false">IF(H1048="","",VALUE(MID(H1048,FIND("/",H1048,FIND("/",H1048)+1)+1,LEN(H1048)-FIND("/",H1048,FIND("/",H1048)+1))))</f>
        <v/>
      </c>
      <c r="AD1048" s="7" t="str">
        <f aca="false">IF(OR(H1048="",AA1048=""),"",IFERROR(INDEX('لیست‌ها'!$Q$3:$Q$53,MATCH(AA1048,'لیست‌ها'!$P$3:$P$53,0))+IF(AB1048&lt;=6,(AB1048-1)*31+AC1048,IF(AB1048&lt;=11,186+(AB1048-7)*30+AC1048,336+AC1048))-1,""))</f>
        <v/>
      </c>
      <c r="AE1048" s="7" t="str">
        <f aca="false">IF(P1048="","",VALUE(LEFT(P1048,FIND("/",P1048)-1)))</f>
        <v/>
      </c>
      <c r="AF1048" s="7" t="str">
        <f aca="false">IF(P1048="","",VALUE(MID(P1048,FIND("/",P1048)+1,FIND("/",P1048,FIND("/",P1048)+1)-FIND("/",P1048)-1)))</f>
        <v/>
      </c>
      <c r="AG1048" s="7" t="str">
        <f aca="false">IF(P1048="","",VALUE(MID(P1048,FIND("/",P1048,FIND("/",P1048)+1)+1,LEN(P1048)-FIND("/",P1048,FIND("/",P1048)+1))))</f>
        <v/>
      </c>
      <c r="AH1048" s="7" t="str">
        <f aca="false">IF(OR(P1048="",AE1048=""),"",IFERROR(INDEX('لیست‌ها'!$Q$3:$Q$53,MATCH(AE1048,'لیست‌ها'!$P$3:$P$53,0))+IF(AF1048&lt;=6,(AF1048-1)*31+AG1048,IF(AF1048&lt;=11,186+(AF1048-7)*30+AG1048,336+AG1048))-1,""))</f>
        <v/>
      </c>
      <c r="AI1048" s="7" t="str">
        <f aca="false">IF(W1048="","",W1048&amp;"-"&amp;TEXT(X1048,"00"))</f>
        <v/>
      </c>
      <c r="AJ1048" s="7" t="str">
        <f aca="false">IF(W1048="","",W1048*12+X1048)</f>
        <v/>
      </c>
      <c r="AK1048" s="7" t="str">
        <f aca="false">IF(U1048="تاخیر",V1048+ROW()/100000,"")</f>
        <v/>
      </c>
    </row>
    <row r="1049" customFormat="false" ht="15" hidden="false" customHeight="false" outlineLevel="0" collapsed="false">
      <c r="A1049" s="7" t="str">
        <f aca="false">IF(B1049="","",ROW()-3)</f>
        <v/>
      </c>
      <c r="B1049" s="8"/>
      <c r="C1049" s="8"/>
      <c r="D1049" s="8"/>
      <c r="E1049" s="9"/>
      <c r="F1049" s="9"/>
      <c r="G1049" s="8"/>
      <c r="H1049" s="8"/>
      <c r="I1049" s="8"/>
      <c r="J1049" s="9"/>
      <c r="K1049" s="8"/>
      <c r="L1049" s="8"/>
      <c r="M1049" s="8"/>
      <c r="N1049" s="8"/>
      <c r="O1049" s="8"/>
      <c r="P1049" s="8"/>
      <c r="Q1049" s="8"/>
      <c r="R1049" s="9"/>
      <c r="S1049" s="8"/>
      <c r="T1049" s="9"/>
      <c r="U1049" s="10" t="str">
        <f aca="true">IF(B1049="","",IF(OR(P1049&lt;&gt;"",I1049="می‌باشد"),"بسته",IF(AND(L1049&lt;&gt;"",W1049=""),"خطای فرمت تاریخ ایجاد",IF(AND(H1049&lt;&gt;"",AA1049=""),"خطای فرمت مهلت",IF(AND(H1049&lt;&gt;"",AD1049&lt;&gt;"",TODAY()&gt;AD1049),"تاخیر",IF(L1049&lt;&gt;"","در حال انجام",""))))))</f>
        <v/>
      </c>
      <c r="V1049" s="7" t="n">
        <f aca="true">IF(U1049="تاخیر",TODAY()-AD1049,IF(AND(U1049="بسته",AH1049&lt;&gt;"",AD1049&lt;&gt;"",AH1049&gt;AD1049),AH1049-AD1049,0))</f>
        <v>0</v>
      </c>
      <c r="W1049" s="7" t="str">
        <f aca="false">IF(L1049="","",VALUE(LEFT(L1049,FIND("/",L1049)-1)))</f>
        <v/>
      </c>
      <c r="X1049" s="7" t="str">
        <f aca="false">IF(L1049="","",VALUE(MID(L1049,FIND("/",L1049)+1,FIND("/",L1049,FIND("/",L1049)+1)-FIND("/",L1049)-1)))</f>
        <v/>
      </c>
      <c r="Y1049" s="7" t="str">
        <f aca="false">IF(L1049="","",VALUE(MID(L1049,FIND("/",L1049,FIND("/",L1049)+1)+1,LEN(L1049)-FIND("/",L1049,FIND("/",L1049)+1))))</f>
        <v/>
      </c>
      <c r="Z1049" s="7" t="str">
        <f aca="false">IF(OR(L1049="",W1049=""),"",IFERROR(INDEX('لیست‌ها'!$Q$3:$Q$53,MATCH(W1049,'لیست‌ها'!$P$3:$P$53,0))+IF(X1049&lt;=6,(X1049-1)*31+Y1049,IF(X1049&lt;=11,186+(X1049-7)*30+Y1049,336+Y1049))-1,""))</f>
        <v/>
      </c>
      <c r="AA1049" s="7" t="str">
        <f aca="false">IF(H1049="","",VALUE(LEFT(H1049,FIND("/",H1049)-1)))</f>
        <v/>
      </c>
      <c r="AB1049" s="7" t="str">
        <f aca="false">IF(H1049="","",VALUE(MID(H1049,FIND("/",H1049)+1,FIND("/",H1049,FIND("/",H1049)+1)-FIND("/",H1049)-1)))</f>
        <v/>
      </c>
      <c r="AC1049" s="7" t="str">
        <f aca="false">IF(H1049="","",VALUE(MID(H1049,FIND("/",H1049,FIND("/",H1049)+1)+1,LEN(H1049)-FIND("/",H1049,FIND("/",H1049)+1))))</f>
        <v/>
      </c>
      <c r="AD1049" s="7" t="str">
        <f aca="false">IF(OR(H1049="",AA1049=""),"",IFERROR(INDEX('لیست‌ها'!$Q$3:$Q$53,MATCH(AA1049,'لیست‌ها'!$P$3:$P$53,0))+IF(AB1049&lt;=6,(AB1049-1)*31+AC1049,IF(AB1049&lt;=11,186+(AB1049-7)*30+AC1049,336+AC1049))-1,""))</f>
        <v/>
      </c>
      <c r="AE1049" s="7" t="str">
        <f aca="false">IF(P1049="","",VALUE(LEFT(P1049,FIND("/",P1049)-1)))</f>
        <v/>
      </c>
      <c r="AF1049" s="7" t="str">
        <f aca="false">IF(P1049="","",VALUE(MID(P1049,FIND("/",P1049)+1,FIND("/",P1049,FIND("/",P1049)+1)-FIND("/",P1049)-1)))</f>
        <v/>
      </c>
      <c r="AG1049" s="7" t="str">
        <f aca="false">IF(P1049="","",VALUE(MID(P1049,FIND("/",P1049,FIND("/",P1049)+1)+1,LEN(P1049)-FIND("/",P1049,FIND("/",P1049)+1))))</f>
        <v/>
      </c>
      <c r="AH1049" s="7" t="str">
        <f aca="false">IF(OR(P1049="",AE1049=""),"",IFERROR(INDEX('لیست‌ها'!$Q$3:$Q$53,MATCH(AE1049,'لیست‌ها'!$P$3:$P$53,0))+IF(AF1049&lt;=6,(AF1049-1)*31+AG1049,IF(AF1049&lt;=11,186+(AF1049-7)*30+AG1049,336+AG1049))-1,""))</f>
        <v/>
      </c>
      <c r="AI1049" s="7" t="str">
        <f aca="false">IF(W1049="","",W1049&amp;"-"&amp;TEXT(X1049,"00"))</f>
        <v/>
      </c>
      <c r="AJ1049" s="7" t="str">
        <f aca="false">IF(W1049="","",W1049*12+X1049)</f>
        <v/>
      </c>
      <c r="AK1049" s="7" t="str">
        <f aca="false">IF(U1049="تاخیر",V1049+ROW()/100000,"")</f>
        <v/>
      </c>
    </row>
    <row r="1050" customFormat="false" ht="15" hidden="false" customHeight="false" outlineLevel="0" collapsed="false">
      <c r="A1050" s="7" t="str">
        <f aca="false">IF(B1050="","",ROW()-3)</f>
        <v/>
      </c>
      <c r="B1050" s="8"/>
      <c r="C1050" s="8"/>
      <c r="D1050" s="8"/>
      <c r="E1050" s="9"/>
      <c r="F1050" s="9"/>
      <c r="G1050" s="8"/>
      <c r="H1050" s="8"/>
      <c r="I1050" s="8"/>
      <c r="J1050" s="9"/>
      <c r="K1050" s="8"/>
      <c r="L1050" s="8"/>
      <c r="M1050" s="8"/>
      <c r="N1050" s="8"/>
      <c r="O1050" s="8"/>
      <c r="P1050" s="8"/>
      <c r="Q1050" s="8"/>
      <c r="R1050" s="9"/>
      <c r="S1050" s="8"/>
      <c r="T1050" s="9"/>
      <c r="U1050" s="10" t="str">
        <f aca="true">IF(B1050="","",IF(OR(P1050&lt;&gt;"",I1050="می‌باشد"),"بسته",IF(AND(L1050&lt;&gt;"",W1050=""),"خطای فرمت تاریخ ایجاد",IF(AND(H1050&lt;&gt;"",AA1050=""),"خطای فرمت مهلت",IF(AND(H1050&lt;&gt;"",AD1050&lt;&gt;"",TODAY()&gt;AD1050),"تاخیر",IF(L1050&lt;&gt;"","در حال انجام",""))))))</f>
        <v/>
      </c>
      <c r="V1050" s="7" t="n">
        <f aca="true">IF(U1050="تاخیر",TODAY()-AD1050,IF(AND(U1050="بسته",AH1050&lt;&gt;"",AD1050&lt;&gt;"",AH1050&gt;AD1050),AH1050-AD1050,0))</f>
        <v>0</v>
      </c>
      <c r="W1050" s="7" t="str">
        <f aca="false">IF(L1050="","",VALUE(LEFT(L1050,FIND("/",L1050)-1)))</f>
        <v/>
      </c>
      <c r="X1050" s="7" t="str">
        <f aca="false">IF(L1050="","",VALUE(MID(L1050,FIND("/",L1050)+1,FIND("/",L1050,FIND("/",L1050)+1)-FIND("/",L1050)-1)))</f>
        <v/>
      </c>
      <c r="Y1050" s="7" t="str">
        <f aca="false">IF(L1050="","",VALUE(MID(L1050,FIND("/",L1050,FIND("/",L1050)+1)+1,LEN(L1050)-FIND("/",L1050,FIND("/",L1050)+1))))</f>
        <v/>
      </c>
      <c r="Z1050" s="7" t="str">
        <f aca="false">IF(OR(L1050="",W1050=""),"",IFERROR(INDEX('لیست‌ها'!$Q$3:$Q$53,MATCH(W1050,'لیست‌ها'!$P$3:$P$53,0))+IF(X1050&lt;=6,(X1050-1)*31+Y1050,IF(X1050&lt;=11,186+(X1050-7)*30+Y1050,336+Y1050))-1,""))</f>
        <v/>
      </c>
      <c r="AA1050" s="7" t="str">
        <f aca="false">IF(H1050="","",VALUE(LEFT(H1050,FIND("/",H1050)-1)))</f>
        <v/>
      </c>
      <c r="AB1050" s="7" t="str">
        <f aca="false">IF(H1050="","",VALUE(MID(H1050,FIND("/",H1050)+1,FIND("/",H1050,FIND("/",H1050)+1)-FIND("/",H1050)-1)))</f>
        <v/>
      </c>
      <c r="AC1050" s="7" t="str">
        <f aca="false">IF(H1050="","",VALUE(MID(H1050,FIND("/",H1050,FIND("/",H1050)+1)+1,LEN(H1050)-FIND("/",H1050,FIND("/",H1050)+1))))</f>
        <v/>
      </c>
      <c r="AD1050" s="7" t="str">
        <f aca="false">IF(OR(H1050="",AA1050=""),"",IFERROR(INDEX('لیست‌ها'!$Q$3:$Q$53,MATCH(AA1050,'لیست‌ها'!$P$3:$P$53,0))+IF(AB1050&lt;=6,(AB1050-1)*31+AC1050,IF(AB1050&lt;=11,186+(AB1050-7)*30+AC1050,336+AC1050))-1,""))</f>
        <v/>
      </c>
      <c r="AE1050" s="7" t="str">
        <f aca="false">IF(P1050="","",VALUE(LEFT(P1050,FIND("/",P1050)-1)))</f>
        <v/>
      </c>
      <c r="AF1050" s="7" t="str">
        <f aca="false">IF(P1050="","",VALUE(MID(P1050,FIND("/",P1050)+1,FIND("/",P1050,FIND("/",P1050)+1)-FIND("/",P1050)-1)))</f>
        <v/>
      </c>
      <c r="AG1050" s="7" t="str">
        <f aca="false">IF(P1050="","",VALUE(MID(P1050,FIND("/",P1050,FIND("/",P1050)+1)+1,LEN(P1050)-FIND("/",P1050,FIND("/",P1050)+1))))</f>
        <v/>
      </c>
      <c r="AH1050" s="7" t="str">
        <f aca="false">IF(OR(P1050="",AE1050=""),"",IFERROR(INDEX('لیست‌ها'!$Q$3:$Q$53,MATCH(AE1050,'لیست‌ها'!$P$3:$P$53,0))+IF(AF1050&lt;=6,(AF1050-1)*31+AG1050,IF(AF1050&lt;=11,186+(AF1050-7)*30+AG1050,336+AG1050))-1,""))</f>
        <v/>
      </c>
      <c r="AI1050" s="7" t="str">
        <f aca="false">IF(W1050="","",W1050&amp;"-"&amp;TEXT(X1050,"00"))</f>
        <v/>
      </c>
      <c r="AJ1050" s="7" t="str">
        <f aca="false">IF(W1050="","",W1050*12+X1050)</f>
        <v/>
      </c>
      <c r="AK1050" s="7" t="str">
        <f aca="false">IF(U1050="تاخیر",V1050+ROW()/100000,"")</f>
        <v/>
      </c>
    </row>
    <row r="1051" customFormat="false" ht="15" hidden="false" customHeight="false" outlineLevel="0" collapsed="false">
      <c r="A1051" s="7" t="str">
        <f aca="false">IF(B1051="","",ROW()-3)</f>
        <v/>
      </c>
      <c r="B1051" s="8"/>
      <c r="C1051" s="8"/>
      <c r="D1051" s="8"/>
      <c r="E1051" s="9"/>
      <c r="F1051" s="9"/>
      <c r="G1051" s="8"/>
      <c r="H1051" s="8"/>
      <c r="I1051" s="8"/>
      <c r="J1051" s="9"/>
      <c r="K1051" s="8"/>
      <c r="L1051" s="8"/>
      <c r="M1051" s="8"/>
      <c r="N1051" s="8"/>
      <c r="O1051" s="8"/>
      <c r="P1051" s="8"/>
      <c r="Q1051" s="8"/>
      <c r="R1051" s="9"/>
      <c r="S1051" s="8"/>
      <c r="T1051" s="9"/>
      <c r="U1051" s="10" t="str">
        <f aca="true">IF(B1051="","",IF(OR(P1051&lt;&gt;"",I1051="می‌باشد"),"بسته",IF(AND(L1051&lt;&gt;"",W1051=""),"خطای فرمت تاریخ ایجاد",IF(AND(H1051&lt;&gt;"",AA1051=""),"خطای فرمت مهلت",IF(AND(H1051&lt;&gt;"",AD1051&lt;&gt;"",TODAY()&gt;AD1051),"تاخیر",IF(L1051&lt;&gt;"","در حال انجام",""))))))</f>
        <v/>
      </c>
      <c r="V1051" s="7" t="n">
        <f aca="true">IF(U1051="تاخیر",TODAY()-AD1051,IF(AND(U1051="بسته",AH1051&lt;&gt;"",AD1051&lt;&gt;"",AH1051&gt;AD1051),AH1051-AD1051,0))</f>
        <v>0</v>
      </c>
      <c r="W1051" s="7" t="str">
        <f aca="false">IF(L1051="","",VALUE(LEFT(L1051,FIND("/",L1051)-1)))</f>
        <v/>
      </c>
      <c r="X1051" s="7" t="str">
        <f aca="false">IF(L1051="","",VALUE(MID(L1051,FIND("/",L1051)+1,FIND("/",L1051,FIND("/",L1051)+1)-FIND("/",L1051)-1)))</f>
        <v/>
      </c>
      <c r="Y1051" s="7" t="str">
        <f aca="false">IF(L1051="","",VALUE(MID(L1051,FIND("/",L1051,FIND("/",L1051)+1)+1,LEN(L1051)-FIND("/",L1051,FIND("/",L1051)+1))))</f>
        <v/>
      </c>
      <c r="Z1051" s="7" t="str">
        <f aca="false">IF(OR(L1051="",W1051=""),"",IFERROR(INDEX('لیست‌ها'!$Q$3:$Q$53,MATCH(W1051,'لیست‌ها'!$P$3:$P$53,0))+IF(X1051&lt;=6,(X1051-1)*31+Y1051,IF(X1051&lt;=11,186+(X1051-7)*30+Y1051,336+Y1051))-1,""))</f>
        <v/>
      </c>
      <c r="AA1051" s="7" t="str">
        <f aca="false">IF(H1051="","",VALUE(LEFT(H1051,FIND("/",H1051)-1)))</f>
        <v/>
      </c>
      <c r="AB1051" s="7" t="str">
        <f aca="false">IF(H1051="","",VALUE(MID(H1051,FIND("/",H1051)+1,FIND("/",H1051,FIND("/",H1051)+1)-FIND("/",H1051)-1)))</f>
        <v/>
      </c>
      <c r="AC1051" s="7" t="str">
        <f aca="false">IF(H1051="","",VALUE(MID(H1051,FIND("/",H1051,FIND("/",H1051)+1)+1,LEN(H1051)-FIND("/",H1051,FIND("/",H1051)+1))))</f>
        <v/>
      </c>
      <c r="AD1051" s="7" t="str">
        <f aca="false">IF(OR(H1051="",AA1051=""),"",IFERROR(INDEX('لیست‌ها'!$Q$3:$Q$53,MATCH(AA1051,'لیست‌ها'!$P$3:$P$53,0))+IF(AB1051&lt;=6,(AB1051-1)*31+AC1051,IF(AB1051&lt;=11,186+(AB1051-7)*30+AC1051,336+AC1051))-1,""))</f>
        <v/>
      </c>
      <c r="AE1051" s="7" t="str">
        <f aca="false">IF(P1051="","",VALUE(LEFT(P1051,FIND("/",P1051)-1)))</f>
        <v/>
      </c>
      <c r="AF1051" s="7" t="str">
        <f aca="false">IF(P1051="","",VALUE(MID(P1051,FIND("/",P1051)+1,FIND("/",P1051,FIND("/",P1051)+1)-FIND("/",P1051)-1)))</f>
        <v/>
      </c>
      <c r="AG1051" s="7" t="str">
        <f aca="false">IF(P1051="","",VALUE(MID(P1051,FIND("/",P1051,FIND("/",P1051)+1)+1,LEN(P1051)-FIND("/",P1051,FIND("/",P1051)+1))))</f>
        <v/>
      </c>
      <c r="AH1051" s="7" t="str">
        <f aca="false">IF(OR(P1051="",AE1051=""),"",IFERROR(INDEX('لیست‌ها'!$Q$3:$Q$53,MATCH(AE1051,'لیست‌ها'!$P$3:$P$53,0))+IF(AF1051&lt;=6,(AF1051-1)*31+AG1051,IF(AF1051&lt;=11,186+(AF1051-7)*30+AG1051,336+AG1051))-1,""))</f>
        <v/>
      </c>
      <c r="AI1051" s="7" t="str">
        <f aca="false">IF(W1051="","",W1051&amp;"-"&amp;TEXT(X1051,"00"))</f>
        <v/>
      </c>
      <c r="AJ1051" s="7" t="str">
        <f aca="false">IF(W1051="","",W1051*12+X1051)</f>
        <v/>
      </c>
      <c r="AK1051" s="7" t="str">
        <f aca="false">IF(U1051="تاخیر",V1051+ROW()/100000,"")</f>
        <v/>
      </c>
    </row>
    <row r="1052" customFormat="false" ht="15" hidden="false" customHeight="false" outlineLevel="0" collapsed="false">
      <c r="A1052" s="7" t="str">
        <f aca="false">IF(B1052="","",ROW()-3)</f>
        <v/>
      </c>
      <c r="B1052" s="8"/>
      <c r="C1052" s="8"/>
      <c r="D1052" s="8"/>
      <c r="E1052" s="9"/>
      <c r="F1052" s="9"/>
      <c r="G1052" s="8"/>
      <c r="H1052" s="8"/>
      <c r="I1052" s="8"/>
      <c r="J1052" s="9"/>
      <c r="K1052" s="8"/>
      <c r="L1052" s="8"/>
      <c r="M1052" s="8"/>
      <c r="N1052" s="8"/>
      <c r="O1052" s="8"/>
      <c r="P1052" s="8"/>
      <c r="Q1052" s="8"/>
      <c r="R1052" s="9"/>
      <c r="S1052" s="8"/>
      <c r="T1052" s="9"/>
      <c r="U1052" s="10" t="str">
        <f aca="true">IF(B1052="","",IF(OR(P1052&lt;&gt;"",I1052="می‌باشد"),"بسته",IF(AND(L1052&lt;&gt;"",W1052=""),"خطای فرمت تاریخ ایجاد",IF(AND(H1052&lt;&gt;"",AA1052=""),"خطای فرمت مهلت",IF(AND(H1052&lt;&gt;"",AD1052&lt;&gt;"",TODAY()&gt;AD1052),"تاخیر",IF(L1052&lt;&gt;"","در حال انجام",""))))))</f>
        <v/>
      </c>
      <c r="V1052" s="7" t="n">
        <f aca="true">IF(U1052="تاخیر",TODAY()-AD1052,IF(AND(U1052="بسته",AH1052&lt;&gt;"",AD1052&lt;&gt;"",AH1052&gt;AD1052),AH1052-AD1052,0))</f>
        <v>0</v>
      </c>
      <c r="W1052" s="7" t="str">
        <f aca="false">IF(L1052="","",VALUE(LEFT(L1052,FIND("/",L1052)-1)))</f>
        <v/>
      </c>
      <c r="X1052" s="7" t="str">
        <f aca="false">IF(L1052="","",VALUE(MID(L1052,FIND("/",L1052)+1,FIND("/",L1052,FIND("/",L1052)+1)-FIND("/",L1052)-1)))</f>
        <v/>
      </c>
      <c r="Y1052" s="7" t="str">
        <f aca="false">IF(L1052="","",VALUE(MID(L1052,FIND("/",L1052,FIND("/",L1052)+1)+1,LEN(L1052)-FIND("/",L1052,FIND("/",L1052)+1))))</f>
        <v/>
      </c>
      <c r="Z1052" s="7" t="str">
        <f aca="false">IF(OR(L1052="",W1052=""),"",IFERROR(INDEX('لیست‌ها'!$Q$3:$Q$53,MATCH(W1052,'لیست‌ها'!$P$3:$P$53,0))+IF(X1052&lt;=6,(X1052-1)*31+Y1052,IF(X1052&lt;=11,186+(X1052-7)*30+Y1052,336+Y1052))-1,""))</f>
        <v/>
      </c>
      <c r="AA1052" s="7" t="str">
        <f aca="false">IF(H1052="","",VALUE(LEFT(H1052,FIND("/",H1052)-1)))</f>
        <v/>
      </c>
      <c r="AB1052" s="7" t="str">
        <f aca="false">IF(H1052="","",VALUE(MID(H1052,FIND("/",H1052)+1,FIND("/",H1052,FIND("/",H1052)+1)-FIND("/",H1052)-1)))</f>
        <v/>
      </c>
      <c r="AC1052" s="7" t="str">
        <f aca="false">IF(H1052="","",VALUE(MID(H1052,FIND("/",H1052,FIND("/",H1052)+1)+1,LEN(H1052)-FIND("/",H1052,FIND("/",H1052)+1))))</f>
        <v/>
      </c>
      <c r="AD1052" s="7" t="str">
        <f aca="false">IF(OR(H1052="",AA1052=""),"",IFERROR(INDEX('لیست‌ها'!$Q$3:$Q$53,MATCH(AA1052,'لیست‌ها'!$P$3:$P$53,0))+IF(AB1052&lt;=6,(AB1052-1)*31+AC1052,IF(AB1052&lt;=11,186+(AB1052-7)*30+AC1052,336+AC1052))-1,""))</f>
        <v/>
      </c>
      <c r="AE1052" s="7" t="str">
        <f aca="false">IF(P1052="","",VALUE(LEFT(P1052,FIND("/",P1052)-1)))</f>
        <v/>
      </c>
      <c r="AF1052" s="7" t="str">
        <f aca="false">IF(P1052="","",VALUE(MID(P1052,FIND("/",P1052)+1,FIND("/",P1052,FIND("/",P1052)+1)-FIND("/",P1052)-1)))</f>
        <v/>
      </c>
      <c r="AG1052" s="7" t="str">
        <f aca="false">IF(P1052="","",VALUE(MID(P1052,FIND("/",P1052,FIND("/",P1052)+1)+1,LEN(P1052)-FIND("/",P1052,FIND("/",P1052)+1))))</f>
        <v/>
      </c>
      <c r="AH1052" s="7" t="str">
        <f aca="false">IF(OR(P1052="",AE1052=""),"",IFERROR(INDEX('لیست‌ها'!$Q$3:$Q$53,MATCH(AE1052,'لیست‌ها'!$P$3:$P$53,0))+IF(AF1052&lt;=6,(AF1052-1)*31+AG1052,IF(AF1052&lt;=11,186+(AF1052-7)*30+AG1052,336+AG1052))-1,""))</f>
        <v/>
      </c>
      <c r="AI1052" s="7" t="str">
        <f aca="false">IF(W1052="","",W1052&amp;"-"&amp;TEXT(X1052,"00"))</f>
        <v/>
      </c>
      <c r="AJ1052" s="7" t="str">
        <f aca="false">IF(W1052="","",W1052*12+X1052)</f>
        <v/>
      </c>
      <c r="AK1052" s="7" t="str">
        <f aca="false">IF(U1052="تاخیر",V1052+ROW()/100000,"")</f>
        <v/>
      </c>
    </row>
    <row r="1053" customFormat="false" ht="15" hidden="false" customHeight="false" outlineLevel="0" collapsed="false">
      <c r="A1053" s="7" t="str">
        <f aca="false">IF(B1053="","",ROW()-3)</f>
        <v/>
      </c>
      <c r="B1053" s="8"/>
      <c r="C1053" s="8"/>
      <c r="D1053" s="8"/>
      <c r="E1053" s="9"/>
      <c r="F1053" s="9"/>
      <c r="G1053" s="8"/>
      <c r="H1053" s="8"/>
      <c r="I1053" s="8"/>
      <c r="J1053" s="9"/>
      <c r="K1053" s="8"/>
      <c r="L1053" s="8"/>
      <c r="M1053" s="8"/>
      <c r="N1053" s="8"/>
      <c r="O1053" s="8"/>
      <c r="P1053" s="8"/>
      <c r="Q1053" s="8"/>
      <c r="R1053" s="9"/>
      <c r="S1053" s="8"/>
      <c r="T1053" s="9"/>
      <c r="U1053" s="10" t="str">
        <f aca="true">IF(B1053="","",IF(OR(P1053&lt;&gt;"",I1053="می‌باشد"),"بسته",IF(AND(L1053&lt;&gt;"",W1053=""),"خطای فرمت تاریخ ایجاد",IF(AND(H1053&lt;&gt;"",AA1053=""),"خطای فرمت مهلت",IF(AND(H1053&lt;&gt;"",AD1053&lt;&gt;"",TODAY()&gt;AD1053),"تاخیر",IF(L1053&lt;&gt;"","در حال انجام",""))))))</f>
        <v/>
      </c>
      <c r="V1053" s="7" t="n">
        <f aca="true">IF(U1053="تاخیر",TODAY()-AD1053,IF(AND(U1053="بسته",AH1053&lt;&gt;"",AD1053&lt;&gt;"",AH1053&gt;AD1053),AH1053-AD1053,0))</f>
        <v>0</v>
      </c>
      <c r="W1053" s="7" t="str">
        <f aca="false">IF(L1053="","",VALUE(LEFT(L1053,FIND("/",L1053)-1)))</f>
        <v/>
      </c>
      <c r="X1053" s="7" t="str">
        <f aca="false">IF(L1053="","",VALUE(MID(L1053,FIND("/",L1053)+1,FIND("/",L1053,FIND("/",L1053)+1)-FIND("/",L1053)-1)))</f>
        <v/>
      </c>
      <c r="Y1053" s="7" t="str">
        <f aca="false">IF(L1053="","",VALUE(MID(L1053,FIND("/",L1053,FIND("/",L1053)+1)+1,LEN(L1053)-FIND("/",L1053,FIND("/",L1053)+1))))</f>
        <v/>
      </c>
      <c r="Z1053" s="7" t="str">
        <f aca="false">IF(OR(L1053="",W1053=""),"",IFERROR(INDEX('لیست‌ها'!$Q$3:$Q$53,MATCH(W1053,'لیست‌ها'!$P$3:$P$53,0))+IF(X1053&lt;=6,(X1053-1)*31+Y1053,IF(X1053&lt;=11,186+(X1053-7)*30+Y1053,336+Y1053))-1,""))</f>
        <v/>
      </c>
      <c r="AA1053" s="7" t="str">
        <f aca="false">IF(H1053="","",VALUE(LEFT(H1053,FIND("/",H1053)-1)))</f>
        <v/>
      </c>
      <c r="AB1053" s="7" t="str">
        <f aca="false">IF(H1053="","",VALUE(MID(H1053,FIND("/",H1053)+1,FIND("/",H1053,FIND("/",H1053)+1)-FIND("/",H1053)-1)))</f>
        <v/>
      </c>
      <c r="AC1053" s="7" t="str">
        <f aca="false">IF(H1053="","",VALUE(MID(H1053,FIND("/",H1053,FIND("/",H1053)+1)+1,LEN(H1053)-FIND("/",H1053,FIND("/",H1053)+1))))</f>
        <v/>
      </c>
      <c r="AD1053" s="7" t="str">
        <f aca="false">IF(OR(H1053="",AA1053=""),"",IFERROR(INDEX('لیست‌ها'!$Q$3:$Q$53,MATCH(AA1053,'لیست‌ها'!$P$3:$P$53,0))+IF(AB1053&lt;=6,(AB1053-1)*31+AC1053,IF(AB1053&lt;=11,186+(AB1053-7)*30+AC1053,336+AC1053))-1,""))</f>
        <v/>
      </c>
      <c r="AE1053" s="7" t="str">
        <f aca="false">IF(P1053="","",VALUE(LEFT(P1053,FIND("/",P1053)-1)))</f>
        <v/>
      </c>
      <c r="AF1053" s="7" t="str">
        <f aca="false">IF(P1053="","",VALUE(MID(P1053,FIND("/",P1053)+1,FIND("/",P1053,FIND("/",P1053)+1)-FIND("/",P1053)-1)))</f>
        <v/>
      </c>
      <c r="AG1053" s="7" t="str">
        <f aca="false">IF(P1053="","",VALUE(MID(P1053,FIND("/",P1053,FIND("/",P1053)+1)+1,LEN(P1053)-FIND("/",P1053,FIND("/",P1053)+1))))</f>
        <v/>
      </c>
      <c r="AH1053" s="7" t="str">
        <f aca="false">IF(OR(P1053="",AE1053=""),"",IFERROR(INDEX('لیست‌ها'!$Q$3:$Q$53,MATCH(AE1053,'لیست‌ها'!$P$3:$P$53,0))+IF(AF1053&lt;=6,(AF1053-1)*31+AG1053,IF(AF1053&lt;=11,186+(AF1053-7)*30+AG1053,336+AG1053))-1,""))</f>
        <v/>
      </c>
      <c r="AI1053" s="7" t="str">
        <f aca="false">IF(W1053="","",W1053&amp;"-"&amp;TEXT(X1053,"00"))</f>
        <v/>
      </c>
      <c r="AJ1053" s="7" t="str">
        <f aca="false">IF(W1053="","",W1053*12+X1053)</f>
        <v/>
      </c>
      <c r="AK1053" s="7" t="str">
        <f aca="false">IF(U1053="تاخیر",V1053+ROW()/100000,"")</f>
        <v/>
      </c>
    </row>
    <row r="1054" customFormat="false" ht="15" hidden="false" customHeight="false" outlineLevel="0" collapsed="false">
      <c r="A1054" s="7" t="str">
        <f aca="false">IF(B1054="","",ROW()-3)</f>
        <v/>
      </c>
      <c r="B1054" s="8"/>
      <c r="C1054" s="8"/>
      <c r="D1054" s="8"/>
      <c r="E1054" s="9"/>
      <c r="F1054" s="9"/>
      <c r="G1054" s="8"/>
      <c r="H1054" s="8"/>
      <c r="I1054" s="8"/>
      <c r="J1054" s="9"/>
      <c r="K1054" s="8"/>
      <c r="L1054" s="8"/>
      <c r="M1054" s="8"/>
      <c r="N1054" s="8"/>
      <c r="O1054" s="8"/>
      <c r="P1054" s="8"/>
      <c r="Q1054" s="8"/>
      <c r="R1054" s="9"/>
      <c r="S1054" s="8"/>
      <c r="T1054" s="9"/>
      <c r="U1054" s="10" t="str">
        <f aca="true">IF(B1054="","",IF(OR(P1054&lt;&gt;"",I1054="می‌باشد"),"بسته",IF(AND(L1054&lt;&gt;"",W1054=""),"خطای فرمت تاریخ ایجاد",IF(AND(H1054&lt;&gt;"",AA1054=""),"خطای فرمت مهلت",IF(AND(H1054&lt;&gt;"",AD1054&lt;&gt;"",TODAY()&gt;AD1054),"تاخیر",IF(L1054&lt;&gt;"","در حال انجام",""))))))</f>
        <v/>
      </c>
      <c r="V1054" s="7" t="n">
        <f aca="true">IF(U1054="تاخیر",TODAY()-AD1054,IF(AND(U1054="بسته",AH1054&lt;&gt;"",AD1054&lt;&gt;"",AH1054&gt;AD1054),AH1054-AD1054,0))</f>
        <v>0</v>
      </c>
      <c r="W1054" s="7" t="str">
        <f aca="false">IF(L1054="","",VALUE(LEFT(L1054,FIND("/",L1054)-1)))</f>
        <v/>
      </c>
      <c r="X1054" s="7" t="str">
        <f aca="false">IF(L1054="","",VALUE(MID(L1054,FIND("/",L1054)+1,FIND("/",L1054,FIND("/",L1054)+1)-FIND("/",L1054)-1)))</f>
        <v/>
      </c>
      <c r="Y1054" s="7" t="str">
        <f aca="false">IF(L1054="","",VALUE(MID(L1054,FIND("/",L1054,FIND("/",L1054)+1)+1,LEN(L1054)-FIND("/",L1054,FIND("/",L1054)+1))))</f>
        <v/>
      </c>
      <c r="Z1054" s="7" t="str">
        <f aca="false">IF(OR(L1054="",W1054=""),"",IFERROR(INDEX('لیست‌ها'!$Q$3:$Q$53,MATCH(W1054,'لیست‌ها'!$P$3:$P$53,0))+IF(X1054&lt;=6,(X1054-1)*31+Y1054,IF(X1054&lt;=11,186+(X1054-7)*30+Y1054,336+Y1054))-1,""))</f>
        <v/>
      </c>
      <c r="AA1054" s="7" t="str">
        <f aca="false">IF(H1054="","",VALUE(LEFT(H1054,FIND("/",H1054)-1)))</f>
        <v/>
      </c>
      <c r="AB1054" s="7" t="str">
        <f aca="false">IF(H1054="","",VALUE(MID(H1054,FIND("/",H1054)+1,FIND("/",H1054,FIND("/",H1054)+1)-FIND("/",H1054)-1)))</f>
        <v/>
      </c>
      <c r="AC1054" s="7" t="str">
        <f aca="false">IF(H1054="","",VALUE(MID(H1054,FIND("/",H1054,FIND("/",H1054)+1)+1,LEN(H1054)-FIND("/",H1054,FIND("/",H1054)+1))))</f>
        <v/>
      </c>
      <c r="AD1054" s="7" t="str">
        <f aca="false">IF(OR(H1054="",AA1054=""),"",IFERROR(INDEX('لیست‌ها'!$Q$3:$Q$53,MATCH(AA1054,'لیست‌ها'!$P$3:$P$53,0))+IF(AB1054&lt;=6,(AB1054-1)*31+AC1054,IF(AB1054&lt;=11,186+(AB1054-7)*30+AC1054,336+AC1054))-1,""))</f>
        <v/>
      </c>
      <c r="AE1054" s="7" t="str">
        <f aca="false">IF(P1054="","",VALUE(LEFT(P1054,FIND("/",P1054)-1)))</f>
        <v/>
      </c>
      <c r="AF1054" s="7" t="str">
        <f aca="false">IF(P1054="","",VALUE(MID(P1054,FIND("/",P1054)+1,FIND("/",P1054,FIND("/",P1054)+1)-FIND("/",P1054)-1)))</f>
        <v/>
      </c>
      <c r="AG1054" s="7" t="str">
        <f aca="false">IF(P1054="","",VALUE(MID(P1054,FIND("/",P1054,FIND("/",P1054)+1)+1,LEN(P1054)-FIND("/",P1054,FIND("/",P1054)+1))))</f>
        <v/>
      </c>
      <c r="AH1054" s="7" t="str">
        <f aca="false">IF(OR(P1054="",AE1054=""),"",IFERROR(INDEX('لیست‌ها'!$Q$3:$Q$53,MATCH(AE1054,'لیست‌ها'!$P$3:$P$53,0))+IF(AF1054&lt;=6,(AF1054-1)*31+AG1054,IF(AF1054&lt;=11,186+(AF1054-7)*30+AG1054,336+AG1054))-1,""))</f>
        <v/>
      </c>
      <c r="AI1054" s="7" t="str">
        <f aca="false">IF(W1054="","",W1054&amp;"-"&amp;TEXT(X1054,"00"))</f>
        <v/>
      </c>
      <c r="AJ1054" s="7" t="str">
        <f aca="false">IF(W1054="","",W1054*12+X1054)</f>
        <v/>
      </c>
      <c r="AK1054" s="7" t="str">
        <f aca="false">IF(U1054="تاخیر",V1054+ROW()/100000,"")</f>
        <v/>
      </c>
    </row>
    <row r="1055" customFormat="false" ht="15" hidden="false" customHeight="false" outlineLevel="0" collapsed="false">
      <c r="A1055" s="7" t="str">
        <f aca="false">IF(B1055="","",ROW()-3)</f>
        <v/>
      </c>
      <c r="B1055" s="8"/>
      <c r="C1055" s="8"/>
      <c r="D1055" s="8"/>
      <c r="E1055" s="9"/>
      <c r="F1055" s="9"/>
      <c r="G1055" s="8"/>
      <c r="H1055" s="8"/>
      <c r="I1055" s="8"/>
      <c r="J1055" s="9"/>
      <c r="K1055" s="8"/>
      <c r="L1055" s="8"/>
      <c r="M1055" s="8"/>
      <c r="N1055" s="8"/>
      <c r="O1055" s="8"/>
      <c r="P1055" s="8"/>
      <c r="Q1055" s="8"/>
      <c r="R1055" s="9"/>
      <c r="S1055" s="8"/>
      <c r="T1055" s="9"/>
      <c r="U1055" s="10" t="str">
        <f aca="true">IF(B1055="","",IF(OR(P1055&lt;&gt;"",I1055="می‌باشد"),"بسته",IF(AND(L1055&lt;&gt;"",W1055=""),"خطای فرمت تاریخ ایجاد",IF(AND(H1055&lt;&gt;"",AA1055=""),"خطای فرمت مهلت",IF(AND(H1055&lt;&gt;"",AD1055&lt;&gt;"",TODAY()&gt;AD1055),"تاخیر",IF(L1055&lt;&gt;"","در حال انجام",""))))))</f>
        <v/>
      </c>
      <c r="V1055" s="7" t="n">
        <f aca="true">IF(U1055="تاخیر",TODAY()-AD1055,IF(AND(U1055="بسته",AH1055&lt;&gt;"",AD1055&lt;&gt;"",AH1055&gt;AD1055),AH1055-AD1055,0))</f>
        <v>0</v>
      </c>
      <c r="W1055" s="7" t="str">
        <f aca="false">IF(L1055="","",VALUE(LEFT(L1055,FIND("/",L1055)-1)))</f>
        <v/>
      </c>
      <c r="X1055" s="7" t="str">
        <f aca="false">IF(L1055="","",VALUE(MID(L1055,FIND("/",L1055)+1,FIND("/",L1055,FIND("/",L1055)+1)-FIND("/",L1055)-1)))</f>
        <v/>
      </c>
      <c r="Y1055" s="7" t="str">
        <f aca="false">IF(L1055="","",VALUE(MID(L1055,FIND("/",L1055,FIND("/",L1055)+1)+1,LEN(L1055)-FIND("/",L1055,FIND("/",L1055)+1))))</f>
        <v/>
      </c>
      <c r="Z1055" s="7" t="str">
        <f aca="false">IF(OR(L1055="",W1055=""),"",IFERROR(INDEX('لیست‌ها'!$Q$3:$Q$53,MATCH(W1055,'لیست‌ها'!$P$3:$P$53,0))+IF(X1055&lt;=6,(X1055-1)*31+Y1055,IF(X1055&lt;=11,186+(X1055-7)*30+Y1055,336+Y1055))-1,""))</f>
        <v/>
      </c>
      <c r="AA1055" s="7" t="str">
        <f aca="false">IF(H1055="","",VALUE(LEFT(H1055,FIND("/",H1055)-1)))</f>
        <v/>
      </c>
      <c r="AB1055" s="7" t="str">
        <f aca="false">IF(H1055="","",VALUE(MID(H1055,FIND("/",H1055)+1,FIND("/",H1055,FIND("/",H1055)+1)-FIND("/",H1055)-1)))</f>
        <v/>
      </c>
      <c r="AC1055" s="7" t="str">
        <f aca="false">IF(H1055="","",VALUE(MID(H1055,FIND("/",H1055,FIND("/",H1055)+1)+1,LEN(H1055)-FIND("/",H1055,FIND("/",H1055)+1))))</f>
        <v/>
      </c>
      <c r="AD1055" s="7" t="str">
        <f aca="false">IF(OR(H1055="",AA1055=""),"",IFERROR(INDEX('لیست‌ها'!$Q$3:$Q$53,MATCH(AA1055,'لیست‌ها'!$P$3:$P$53,0))+IF(AB1055&lt;=6,(AB1055-1)*31+AC1055,IF(AB1055&lt;=11,186+(AB1055-7)*30+AC1055,336+AC1055))-1,""))</f>
        <v/>
      </c>
      <c r="AE1055" s="7" t="str">
        <f aca="false">IF(P1055="","",VALUE(LEFT(P1055,FIND("/",P1055)-1)))</f>
        <v/>
      </c>
      <c r="AF1055" s="7" t="str">
        <f aca="false">IF(P1055="","",VALUE(MID(P1055,FIND("/",P1055)+1,FIND("/",P1055,FIND("/",P1055)+1)-FIND("/",P1055)-1)))</f>
        <v/>
      </c>
      <c r="AG1055" s="7" t="str">
        <f aca="false">IF(P1055="","",VALUE(MID(P1055,FIND("/",P1055,FIND("/",P1055)+1)+1,LEN(P1055)-FIND("/",P1055,FIND("/",P1055)+1))))</f>
        <v/>
      </c>
      <c r="AH1055" s="7" t="str">
        <f aca="false">IF(OR(P1055="",AE1055=""),"",IFERROR(INDEX('لیست‌ها'!$Q$3:$Q$53,MATCH(AE1055,'لیست‌ها'!$P$3:$P$53,0))+IF(AF1055&lt;=6,(AF1055-1)*31+AG1055,IF(AF1055&lt;=11,186+(AF1055-7)*30+AG1055,336+AG1055))-1,""))</f>
        <v/>
      </c>
      <c r="AI1055" s="7" t="str">
        <f aca="false">IF(W1055="","",W1055&amp;"-"&amp;TEXT(X1055,"00"))</f>
        <v/>
      </c>
      <c r="AJ1055" s="7" t="str">
        <f aca="false">IF(W1055="","",W1055*12+X1055)</f>
        <v/>
      </c>
      <c r="AK1055" s="7" t="str">
        <f aca="false">IF(U1055="تاخیر",V1055+ROW()/100000,"")</f>
        <v/>
      </c>
    </row>
    <row r="1056" customFormat="false" ht="15" hidden="false" customHeight="false" outlineLevel="0" collapsed="false">
      <c r="A1056" s="7" t="str">
        <f aca="false">IF(B1056="","",ROW()-3)</f>
        <v/>
      </c>
      <c r="B1056" s="8"/>
      <c r="C1056" s="8"/>
      <c r="D1056" s="8"/>
      <c r="E1056" s="9"/>
      <c r="F1056" s="9"/>
      <c r="G1056" s="8"/>
      <c r="H1056" s="8"/>
      <c r="I1056" s="8"/>
      <c r="J1056" s="9"/>
      <c r="K1056" s="8"/>
      <c r="L1056" s="8"/>
      <c r="M1056" s="8"/>
      <c r="N1056" s="8"/>
      <c r="O1056" s="8"/>
      <c r="P1056" s="8"/>
      <c r="Q1056" s="8"/>
      <c r="R1056" s="9"/>
      <c r="S1056" s="8"/>
      <c r="T1056" s="9"/>
      <c r="U1056" s="10" t="str">
        <f aca="true">IF(B1056="","",IF(OR(P1056&lt;&gt;"",I1056="می‌باشد"),"بسته",IF(AND(L1056&lt;&gt;"",W1056=""),"خطای فرمت تاریخ ایجاد",IF(AND(H1056&lt;&gt;"",AA1056=""),"خطای فرمت مهلت",IF(AND(H1056&lt;&gt;"",AD1056&lt;&gt;"",TODAY()&gt;AD1056),"تاخیر",IF(L1056&lt;&gt;"","در حال انجام",""))))))</f>
        <v/>
      </c>
      <c r="V1056" s="7" t="n">
        <f aca="true">IF(U1056="تاخیر",TODAY()-AD1056,IF(AND(U1056="بسته",AH1056&lt;&gt;"",AD1056&lt;&gt;"",AH1056&gt;AD1056),AH1056-AD1056,0))</f>
        <v>0</v>
      </c>
      <c r="W1056" s="7" t="str">
        <f aca="false">IF(L1056="","",VALUE(LEFT(L1056,FIND("/",L1056)-1)))</f>
        <v/>
      </c>
      <c r="X1056" s="7" t="str">
        <f aca="false">IF(L1056="","",VALUE(MID(L1056,FIND("/",L1056)+1,FIND("/",L1056,FIND("/",L1056)+1)-FIND("/",L1056)-1)))</f>
        <v/>
      </c>
      <c r="Y1056" s="7" t="str">
        <f aca="false">IF(L1056="","",VALUE(MID(L1056,FIND("/",L1056,FIND("/",L1056)+1)+1,LEN(L1056)-FIND("/",L1056,FIND("/",L1056)+1))))</f>
        <v/>
      </c>
      <c r="Z1056" s="7" t="str">
        <f aca="false">IF(OR(L1056="",W1056=""),"",IFERROR(INDEX('لیست‌ها'!$Q$3:$Q$53,MATCH(W1056,'لیست‌ها'!$P$3:$P$53,0))+IF(X1056&lt;=6,(X1056-1)*31+Y1056,IF(X1056&lt;=11,186+(X1056-7)*30+Y1056,336+Y1056))-1,""))</f>
        <v/>
      </c>
      <c r="AA1056" s="7" t="str">
        <f aca="false">IF(H1056="","",VALUE(LEFT(H1056,FIND("/",H1056)-1)))</f>
        <v/>
      </c>
      <c r="AB1056" s="7" t="str">
        <f aca="false">IF(H1056="","",VALUE(MID(H1056,FIND("/",H1056)+1,FIND("/",H1056,FIND("/",H1056)+1)-FIND("/",H1056)-1)))</f>
        <v/>
      </c>
      <c r="AC1056" s="7" t="str">
        <f aca="false">IF(H1056="","",VALUE(MID(H1056,FIND("/",H1056,FIND("/",H1056)+1)+1,LEN(H1056)-FIND("/",H1056,FIND("/",H1056)+1))))</f>
        <v/>
      </c>
      <c r="AD1056" s="7" t="str">
        <f aca="false">IF(OR(H1056="",AA1056=""),"",IFERROR(INDEX('لیست‌ها'!$Q$3:$Q$53,MATCH(AA1056,'لیست‌ها'!$P$3:$P$53,0))+IF(AB1056&lt;=6,(AB1056-1)*31+AC1056,IF(AB1056&lt;=11,186+(AB1056-7)*30+AC1056,336+AC1056))-1,""))</f>
        <v/>
      </c>
      <c r="AE1056" s="7" t="str">
        <f aca="false">IF(P1056="","",VALUE(LEFT(P1056,FIND("/",P1056)-1)))</f>
        <v/>
      </c>
      <c r="AF1056" s="7" t="str">
        <f aca="false">IF(P1056="","",VALUE(MID(P1056,FIND("/",P1056)+1,FIND("/",P1056,FIND("/",P1056)+1)-FIND("/",P1056)-1)))</f>
        <v/>
      </c>
      <c r="AG1056" s="7" t="str">
        <f aca="false">IF(P1056="","",VALUE(MID(P1056,FIND("/",P1056,FIND("/",P1056)+1)+1,LEN(P1056)-FIND("/",P1056,FIND("/",P1056)+1))))</f>
        <v/>
      </c>
      <c r="AH1056" s="7" t="str">
        <f aca="false">IF(OR(P1056="",AE1056=""),"",IFERROR(INDEX('لیست‌ها'!$Q$3:$Q$53,MATCH(AE1056,'لیست‌ها'!$P$3:$P$53,0))+IF(AF1056&lt;=6,(AF1056-1)*31+AG1056,IF(AF1056&lt;=11,186+(AF1056-7)*30+AG1056,336+AG1056))-1,""))</f>
        <v/>
      </c>
      <c r="AI1056" s="7" t="str">
        <f aca="false">IF(W1056="","",W1056&amp;"-"&amp;TEXT(X1056,"00"))</f>
        <v/>
      </c>
      <c r="AJ1056" s="7" t="str">
        <f aca="false">IF(W1056="","",W1056*12+X1056)</f>
        <v/>
      </c>
      <c r="AK1056" s="7" t="str">
        <f aca="false">IF(U1056="تاخیر",V1056+ROW()/100000,"")</f>
        <v/>
      </c>
    </row>
    <row r="1057" customFormat="false" ht="15" hidden="false" customHeight="false" outlineLevel="0" collapsed="false">
      <c r="A1057" s="7" t="str">
        <f aca="false">IF(B1057="","",ROW()-3)</f>
        <v/>
      </c>
      <c r="B1057" s="8"/>
      <c r="C1057" s="8"/>
      <c r="D1057" s="8"/>
      <c r="E1057" s="9"/>
      <c r="F1057" s="9"/>
      <c r="G1057" s="8"/>
      <c r="H1057" s="8"/>
      <c r="I1057" s="8"/>
      <c r="J1057" s="9"/>
      <c r="K1057" s="8"/>
      <c r="L1057" s="8"/>
      <c r="M1057" s="8"/>
      <c r="N1057" s="8"/>
      <c r="O1057" s="8"/>
      <c r="P1057" s="8"/>
      <c r="Q1057" s="8"/>
      <c r="R1057" s="9"/>
      <c r="S1057" s="8"/>
      <c r="T1057" s="9"/>
      <c r="U1057" s="10" t="str">
        <f aca="true">IF(B1057="","",IF(OR(P1057&lt;&gt;"",I1057="می‌باشد"),"بسته",IF(AND(L1057&lt;&gt;"",W1057=""),"خطای فرمت تاریخ ایجاد",IF(AND(H1057&lt;&gt;"",AA1057=""),"خطای فرمت مهلت",IF(AND(H1057&lt;&gt;"",AD1057&lt;&gt;"",TODAY()&gt;AD1057),"تاخیر",IF(L1057&lt;&gt;"","در حال انجام",""))))))</f>
        <v/>
      </c>
      <c r="V1057" s="7" t="n">
        <f aca="true">IF(U1057="تاخیر",TODAY()-AD1057,IF(AND(U1057="بسته",AH1057&lt;&gt;"",AD1057&lt;&gt;"",AH1057&gt;AD1057),AH1057-AD1057,0))</f>
        <v>0</v>
      </c>
      <c r="W1057" s="7" t="str">
        <f aca="false">IF(L1057="","",VALUE(LEFT(L1057,FIND("/",L1057)-1)))</f>
        <v/>
      </c>
      <c r="X1057" s="7" t="str">
        <f aca="false">IF(L1057="","",VALUE(MID(L1057,FIND("/",L1057)+1,FIND("/",L1057,FIND("/",L1057)+1)-FIND("/",L1057)-1)))</f>
        <v/>
      </c>
      <c r="Y1057" s="7" t="str">
        <f aca="false">IF(L1057="","",VALUE(MID(L1057,FIND("/",L1057,FIND("/",L1057)+1)+1,LEN(L1057)-FIND("/",L1057,FIND("/",L1057)+1))))</f>
        <v/>
      </c>
      <c r="Z1057" s="7" t="str">
        <f aca="false">IF(OR(L1057="",W1057=""),"",IFERROR(INDEX('لیست‌ها'!$Q$3:$Q$53,MATCH(W1057,'لیست‌ها'!$P$3:$P$53,0))+IF(X1057&lt;=6,(X1057-1)*31+Y1057,IF(X1057&lt;=11,186+(X1057-7)*30+Y1057,336+Y1057))-1,""))</f>
        <v/>
      </c>
      <c r="AA1057" s="7" t="str">
        <f aca="false">IF(H1057="","",VALUE(LEFT(H1057,FIND("/",H1057)-1)))</f>
        <v/>
      </c>
      <c r="AB1057" s="7" t="str">
        <f aca="false">IF(H1057="","",VALUE(MID(H1057,FIND("/",H1057)+1,FIND("/",H1057,FIND("/",H1057)+1)-FIND("/",H1057)-1)))</f>
        <v/>
      </c>
      <c r="AC1057" s="7" t="str">
        <f aca="false">IF(H1057="","",VALUE(MID(H1057,FIND("/",H1057,FIND("/",H1057)+1)+1,LEN(H1057)-FIND("/",H1057,FIND("/",H1057)+1))))</f>
        <v/>
      </c>
      <c r="AD1057" s="7" t="str">
        <f aca="false">IF(OR(H1057="",AA1057=""),"",IFERROR(INDEX('لیست‌ها'!$Q$3:$Q$53,MATCH(AA1057,'لیست‌ها'!$P$3:$P$53,0))+IF(AB1057&lt;=6,(AB1057-1)*31+AC1057,IF(AB1057&lt;=11,186+(AB1057-7)*30+AC1057,336+AC1057))-1,""))</f>
        <v/>
      </c>
      <c r="AE1057" s="7" t="str">
        <f aca="false">IF(P1057="","",VALUE(LEFT(P1057,FIND("/",P1057)-1)))</f>
        <v/>
      </c>
      <c r="AF1057" s="7" t="str">
        <f aca="false">IF(P1057="","",VALUE(MID(P1057,FIND("/",P1057)+1,FIND("/",P1057,FIND("/",P1057)+1)-FIND("/",P1057)-1)))</f>
        <v/>
      </c>
      <c r="AG1057" s="7" t="str">
        <f aca="false">IF(P1057="","",VALUE(MID(P1057,FIND("/",P1057,FIND("/",P1057)+1)+1,LEN(P1057)-FIND("/",P1057,FIND("/",P1057)+1))))</f>
        <v/>
      </c>
      <c r="AH1057" s="7" t="str">
        <f aca="false">IF(OR(P1057="",AE1057=""),"",IFERROR(INDEX('لیست‌ها'!$Q$3:$Q$53,MATCH(AE1057,'لیست‌ها'!$P$3:$P$53,0))+IF(AF1057&lt;=6,(AF1057-1)*31+AG1057,IF(AF1057&lt;=11,186+(AF1057-7)*30+AG1057,336+AG1057))-1,""))</f>
        <v/>
      </c>
      <c r="AI1057" s="7" t="str">
        <f aca="false">IF(W1057="","",W1057&amp;"-"&amp;TEXT(X1057,"00"))</f>
        <v/>
      </c>
      <c r="AJ1057" s="7" t="str">
        <f aca="false">IF(W1057="","",W1057*12+X1057)</f>
        <v/>
      </c>
      <c r="AK1057" s="7" t="str">
        <f aca="false">IF(U1057="تاخیر",V1057+ROW()/100000,"")</f>
        <v/>
      </c>
    </row>
    <row r="1058" customFormat="false" ht="15" hidden="false" customHeight="false" outlineLevel="0" collapsed="false">
      <c r="A1058" s="7" t="str">
        <f aca="false">IF(B1058="","",ROW()-3)</f>
        <v/>
      </c>
      <c r="B1058" s="8"/>
      <c r="C1058" s="8"/>
      <c r="D1058" s="8"/>
      <c r="E1058" s="9"/>
      <c r="F1058" s="9"/>
      <c r="G1058" s="8"/>
      <c r="H1058" s="8"/>
      <c r="I1058" s="8"/>
      <c r="J1058" s="9"/>
      <c r="K1058" s="8"/>
      <c r="L1058" s="8"/>
      <c r="M1058" s="8"/>
      <c r="N1058" s="8"/>
      <c r="O1058" s="8"/>
      <c r="P1058" s="8"/>
      <c r="Q1058" s="8"/>
      <c r="R1058" s="9"/>
      <c r="S1058" s="8"/>
      <c r="T1058" s="9"/>
      <c r="U1058" s="10" t="str">
        <f aca="true">IF(B1058="","",IF(OR(P1058&lt;&gt;"",I1058="می‌باشد"),"بسته",IF(AND(L1058&lt;&gt;"",W1058=""),"خطای فرمت تاریخ ایجاد",IF(AND(H1058&lt;&gt;"",AA1058=""),"خطای فرمت مهلت",IF(AND(H1058&lt;&gt;"",AD1058&lt;&gt;"",TODAY()&gt;AD1058),"تاخیر",IF(L1058&lt;&gt;"","در حال انجام",""))))))</f>
        <v/>
      </c>
      <c r="V1058" s="7" t="n">
        <f aca="true">IF(U1058="تاخیر",TODAY()-AD1058,IF(AND(U1058="بسته",AH1058&lt;&gt;"",AD1058&lt;&gt;"",AH1058&gt;AD1058),AH1058-AD1058,0))</f>
        <v>0</v>
      </c>
      <c r="W1058" s="7" t="str">
        <f aca="false">IF(L1058="","",VALUE(LEFT(L1058,FIND("/",L1058)-1)))</f>
        <v/>
      </c>
      <c r="X1058" s="7" t="str">
        <f aca="false">IF(L1058="","",VALUE(MID(L1058,FIND("/",L1058)+1,FIND("/",L1058,FIND("/",L1058)+1)-FIND("/",L1058)-1)))</f>
        <v/>
      </c>
      <c r="Y1058" s="7" t="str">
        <f aca="false">IF(L1058="","",VALUE(MID(L1058,FIND("/",L1058,FIND("/",L1058)+1)+1,LEN(L1058)-FIND("/",L1058,FIND("/",L1058)+1))))</f>
        <v/>
      </c>
      <c r="Z1058" s="7" t="str">
        <f aca="false">IF(OR(L1058="",W1058=""),"",IFERROR(INDEX('لیست‌ها'!$Q$3:$Q$53,MATCH(W1058,'لیست‌ها'!$P$3:$P$53,0))+IF(X1058&lt;=6,(X1058-1)*31+Y1058,IF(X1058&lt;=11,186+(X1058-7)*30+Y1058,336+Y1058))-1,""))</f>
        <v/>
      </c>
      <c r="AA1058" s="7" t="str">
        <f aca="false">IF(H1058="","",VALUE(LEFT(H1058,FIND("/",H1058)-1)))</f>
        <v/>
      </c>
      <c r="AB1058" s="7" t="str">
        <f aca="false">IF(H1058="","",VALUE(MID(H1058,FIND("/",H1058)+1,FIND("/",H1058,FIND("/",H1058)+1)-FIND("/",H1058)-1)))</f>
        <v/>
      </c>
      <c r="AC1058" s="7" t="str">
        <f aca="false">IF(H1058="","",VALUE(MID(H1058,FIND("/",H1058,FIND("/",H1058)+1)+1,LEN(H1058)-FIND("/",H1058,FIND("/",H1058)+1))))</f>
        <v/>
      </c>
      <c r="AD1058" s="7" t="str">
        <f aca="false">IF(OR(H1058="",AA1058=""),"",IFERROR(INDEX('لیست‌ها'!$Q$3:$Q$53,MATCH(AA1058,'لیست‌ها'!$P$3:$P$53,0))+IF(AB1058&lt;=6,(AB1058-1)*31+AC1058,IF(AB1058&lt;=11,186+(AB1058-7)*30+AC1058,336+AC1058))-1,""))</f>
        <v/>
      </c>
      <c r="AE1058" s="7" t="str">
        <f aca="false">IF(P1058="","",VALUE(LEFT(P1058,FIND("/",P1058)-1)))</f>
        <v/>
      </c>
      <c r="AF1058" s="7" t="str">
        <f aca="false">IF(P1058="","",VALUE(MID(P1058,FIND("/",P1058)+1,FIND("/",P1058,FIND("/",P1058)+1)-FIND("/",P1058)-1)))</f>
        <v/>
      </c>
      <c r="AG1058" s="7" t="str">
        <f aca="false">IF(P1058="","",VALUE(MID(P1058,FIND("/",P1058,FIND("/",P1058)+1)+1,LEN(P1058)-FIND("/",P1058,FIND("/",P1058)+1))))</f>
        <v/>
      </c>
      <c r="AH1058" s="7" t="str">
        <f aca="false">IF(OR(P1058="",AE1058=""),"",IFERROR(INDEX('لیست‌ها'!$Q$3:$Q$53,MATCH(AE1058,'لیست‌ها'!$P$3:$P$53,0))+IF(AF1058&lt;=6,(AF1058-1)*31+AG1058,IF(AF1058&lt;=11,186+(AF1058-7)*30+AG1058,336+AG1058))-1,""))</f>
        <v/>
      </c>
      <c r="AI1058" s="7" t="str">
        <f aca="false">IF(W1058="","",W1058&amp;"-"&amp;TEXT(X1058,"00"))</f>
        <v/>
      </c>
      <c r="AJ1058" s="7" t="str">
        <f aca="false">IF(W1058="","",W1058*12+X1058)</f>
        <v/>
      </c>
      <c r="AK1058" s="7" t="str">
        <f aca="false">IF(U1058="تاخیر",V1058+ROW()/100000,"")</f>
        <v/>
      </c>
    </row>
    <row r="1059" customFormat="false" ht="15" hidden="false" customHeight="false" outlineLevel="0" collapsed="false">
      <c r="A1059" s="7" t="str">
        <f aca="false">IF(B1059="","",ROW()-3)</f>
        <v/>
      </c>
      <c r="B1059" s="8"/>
      <c r="C1059" s="8"/>
      <c r="D1059" s="8"/>
      <c r="E1059" s="9"/>
      <c r="F1059" s="9"/>
      <c r="G1059" s="8"/>
      <c r="H1059" s="8"/>
      <c r="I1059" s="8"/>
      <c r="J1059" s="9"/>
      <c r="K1059" s="8"/>
      <c r="L1059" s="8"/>
      <c r="M1059" s="8"/>
      <c r="N1059" s="8"/>
      <c r="O1059" s="8"/>
      <c r="P1059" s="8"/>
      <c r="Q1059" s="8"/>
      <c r="R1059" s="9"/>
      <c r="S1059" s="8"/>
      <c r="T1059" s="9"/>
      <c r="U1059" s="10" t="str">
        <f aca="true">IF(B1059="","",IF(OR(P1059&lt;&gt;"",I1059="می‌باشد"),"بسته",IF(AND(L1059&lt;&gt;"",W1059=""),"خطای فرمت تاریخ ایجاد",IF(AND(H1059&lt;&gt;"",AA1059=""),"خطای فرمت مهلت",IF(AND(H1059&lt;&gt;"",AD1059&lt;&gt;"",TODAY()&gt;AD1059),"تاخیر",IF(L1059&lt;&gt;"","در حال انجام",""))))))</f>
        <v/>
      </c>
      <c r="V1059" s="7" t="n">
        <f aca="true">IF(U1059="تاخیر",TODAY()-AD1059,IF(AND(U1059="بسته",AH1059&lt;&gt;"",AD1059&lt;&gt;"",AH1059&gt;AD1059),AH1059-AD1059,0))</f>
        <v>0</v>
      </c>
      <c r="W1059" s="7" t="str">
        <f aca="false">IF(L1059="","",VALUE(LEFT(L1059,FIND("/",L1059)-1)))</f>
        <v/>
      </c>
      <c r="X1059" s="7" t="str">
        <f aca="false">IF(L1059="","",VALUE(MID(L1059,FIND("/",L1059)+1,FIND("/",L1059,FIND("/",L1059)+1)-FIND("/",L1059)-1)))</f>
        <v/>
      </c>
      <c r="Y1059" s="7" t="str">
        <f aca="false">IF(L1059="","",VALUE(MID(L1059,FIND("/",L1059,FIND("/",L1059)+1)+1,LEN(L1059)-FIND("/",L1059,FIND("/",L1059)+1))))</f>
        <v/>
      </c>
      <c r="Z1059" s="7" t="str">
        <f aca="false">IF(OR(L1059="",W1059=""),"",IFERROR(INDEX('لیست‌ها'!$Q$3:$Q$53,MATCH(W1059,'لیست‌ها'!$P$3:$P$53,0))+IF(X1059&lt;=6,(X1059-1)*31+Y1059,IF(X1059&lt;=11,186+(X1059-7)*30+Y1059,336+Y1059))-1,""))</f>
        <v/>
      </c>
      <c r="AA1059" s="7" t="str">
        <f aca="false">IF(H1059="","",VALUE(LEFT(H1059,FIND("/",H1059)-1)))</f>
        <v/>
      </c>
      <c r="AB1059" s="7" t="str">
        <f aca="false">IF(H1059="","",VALUE(MID(H1059,FIND("/",H1059)+1,FIND("/",H1059,FIND("/",H1059)+1)-FIND("/",H1059)-1)))</f>
        <v/>
      </c>
      <c r="AC1059" s="7" t="str">
        <f aca="false">IF(H1059="","",VALUE(MID(H1059,FIND("/",H1059,FIND("/",H1059)+1)+1,LEN(H1059)-FIND("/",H1059,FIND("/",H1059)+1))))</f>
        <v/>
      </c>
      <c r="AD1059" s="7" t="str">
        <f aca="false">IF(OR(H1059="",AA1059=""),"",IFERROR(INDEX('لیست‌ها'!$Q$3:$Q$53,MATCH(AA1059,'لیست‌ها'!$P$3:$P$53,0))+IF(AB1059&lt;=6,(AB1059-1)*31+AC1059,IF(AB1059&lt;=11,186+(AB1059-7)*30+AC1059,336+AC1059))-1,""))</f>
        <v/>
      </c>
      <c r="AE1059" s="7" t="str">
        <f aca="false">IF(P1059="","",VALUE(LEFT(P1059,FIND("/",P1059)-1)))</f>
        <v/>
      </c>
      <c r="AF1059" s="7" t="str">
        <f aca="false">IF(P1059="","",VALUE(MID(P1059,FIND("/",P1059)+1,FIND("/",P1059,FIND("/",P1059)+1)-FIND("/",P1059)-1)))</f>
        <v/>
      </c>
      <c r="AG1059" s="7" t="str">
        <f aca="false">IF(P1059="","",VALUE(MID(P1059,FIND("/",P1059,FIND("/",P1059)+1)+1,LEN(P1059)-FIND("/",P1059,FIND("/",P1059)+1))))</f>
        <v/>
      </c>
      <c r="AH1059" s="7" t="str">
        <f aca="false">IF(OR(P1059="",AE1059=""),"",IFERROR(INDEX('لیست‌ها'!$Q$3:$Q$53,MATCH(AE1059,'لیست‌ها'!$P$3:$P$53,0))+IF(AF1059&lt;=6,(AF1059-1)*31+AG1059,IF(AF1059&lt;=11,186+(AF1059-7)*30+AG1059,336+AG1059))-1,""))</f>
        <v/>
      </c>
      <c r="AI1059" s="7" t="str">
        <f aca="false">IF(W1059="","",W1059&amp;"-"&amp;TEXT(X1059,"00"))</f>
        <v/>
      </c>
      <c r="AJ1059" s="7" t="str">
        <f aca="false">IF(W1059="","",W1059*12+X1059)</f>
        <v/>
      </c>
      <c r="AK1059" s="7" t="str">
        <f aca="false">IF(U1059="تاخیر",V1059+ROW()/100000,"")</f>
        <v/>
      </c>
    </row>
    <row r="1060" customFormat="false" ht="15" hidden="false" customHeight="false" outlineLevel="0" collapsed="false">
      <c r="A1060" s="7" t="str">
        <f aca="false">IF(B1060="","",ROW()-3)</f>
        <v/>
      </c>
      <c r="B1060" s="8"/>
      <c r="C1060" s="8"/>
      <c r="D1060" s="8"/>
      <c r="E1060" s="9"/>
      <c r="F1060" s="9"/>
      <c r="G1060" s="8"/>
      <c r="H1060" s="8"/>
      <c r="I1060" s="8"/>
      <c r="J1060" s="9"/>
      <c r="K1060" s="8"/>
      <c r="L1060" s="8"/>
      <c r="M1060" s="8"/>
      <c r="N1060" s="8"/>
      <c r="O1060" s="8"/>
      <c r="P1060" s="8"/>
      <c r="Q1060" s="8"/>
      <c r="R1060" s="9"/>
      <c r="S1060" s="8"/>
      <c r="T1060" s="9"/>
      <c r="U1060" s="10" t="str">
        <f aca="true">IF(B1060="","",IF(OR(P1060&lt;&gt;"",I1060="می‌باشد"),"بسته",IF(AND(L1060&lt;&gt;"",W1060=""),"خطای فرمت تاریخ ایجاد",IF(AND(H1060&lt;&gt;"",AA1060=""),"خطای فرمت مهلت",IF(AND(H1060&lt;&gt;"",AD1060&lt;&gt;"",TODAY()&gt;AD1060),"تاخیر",IF(L1060&lt;&gt;"","در حال انجام",""))))))</f>
        <v/>
      </c>
      <c r="V1060" s="7" t="n">
        <f aca="true">IF(U1060="تاخیر",TODAY()-AD1060,IF(AND(U1060="بسته",AH1060&lt;&gt;"",AD1060&lt;&gt;"",AH1060&gt;AD1060),AH1060-AD1060,0))</f>
        <v>0</v>
      </c>
      <c r="W1060" s="7" t="str">
        <f aca="false">IF(L1060="","",VALUE(LEFT(L1060,FIND("/",L1060)-1)))</f>
        <v/>
      </c>
      <c r="X1060" s="7" t="str">
        <f aca="false">IF(L1060="","",VALUE(MID(L1060,FIND("/",L1060)+1,FIND("/",L1060,FIND("/",L1060)+1)-FIND("/",L1060)-1)))</f>
        <v/>
      </c>
      <c r="Y1060" s="7" t="str">
        <f aca="false">IF(L1060="","",VALUE(MID(L1060,FIND("/",L1060,FIND("/",L1060)+1)+1,LEN(L1060)-FIND("/",L1060,FIND("/",L1060)+1))))</f>
        <v/>
      </c>
      <c r="Z1060" s="7" t="str">
        <f aca="false">IF(OR(L1060="",W1060=""),"",IFERROR(INDEX('لیست‌ها'!$Q$3:$Q$53,MATCH(W1060,'لیست‌ها'!$P$3:$P$53,0))+IF(X1060&lt;=6,(X1060-1)*31+Y1060,IF(X1060&lt;=11,186+(X1060-7)*30+Y1060,336+Y1060))-1,""))</f>
        <v/>
      </c>
      <c r="AA1060" s="7" t="str">
        <f aca="false">IF(H1060="","",VALUE(LEFT(H1060,FIND("/",H1060)-1)))</f>
        <v/>
      </c>
      <c r="AB1060" s="7" t="str">
        <f aca="false">IF(H1060="","",VALUE(MID(H1060,FIND("/",H1060)+1,FIND("/",H1060,FIND("/",H1060)+1)-FIND("/",H1060)-1)))</f>
        <v/>
      </c>
      <c r="AC1060" s="7" t="str">
        <f aca="false">IF(H1060="","",VALUE(MID(H1060,FIND("/",H1060,FIND("/",H1060)+1)+1,LEN(H1060)-FIND("/",H1060,FIND("/",H1060)+1))))</f>
        <v/>
      </c>
      <c r="AD1060" s="7" t="str">
        <f aca="false">IF(OR(H1060="",AA1060=""),"",IFERROR(INDEX('لیست‌ها'!$Q$3:$Q$53,MATCH(AA1060,'لیست‌ها'!$P$3:$P$53,0))+IF(AB1060&lt;=6,(AB1060-1)*31+AC1060,IF(AB1060&lt;=11,186+(AB1060-7)*30+AC1060,336+AC1060))-1,""))</f>
        <v/>
      </c>
      <c r="AE1060" s="7" t="str">
        <f aca="false">IF(P1060="","",VALUE(LEFT(P1060,FIND("/",P1060)-1)))</f>
        <v/>
      </c>
      <c r="AF1060" s="7" t="str">
        <f aca="false">IF(P1060="","",VALUE(MID(P1060,FIND("/",P1060)+1,FIND("/",P1060,FIND("/",P1060)+1)-FIND("/",P1060)-1)))</f>
        <v/>
      </c>
      <c r="AG1060" s="7" t="str">
        <f aca="false">IF(P1060="","",VALUE(MID(P1060,FIND("/",P1060,FIND("/",P1060)+1)+1,LEN(P1060)-FIND("/",P1060,FIND("/",P1060)+1))))</f>
        <v/>
      </c>
      <c r="AH1060" s="7" t="str">
        <f aca="false">IF(OR(P1060="",AE1060=""),"",IFERROR(INDEX('لیست‌ها'!$Q$3:$Q$53,MATCH(AE1060,'لیست‌ها'!$P$3:$P$53,0))+IF(AF1060&lt;=6,(AF1060-1)*31+AG1060,IF(AF1060&lt;=11,186+(AF1060-7)*30+AG1060,336+AG1060))-1,""))</f>
        <v/>
      </c>
      <c r="AI1060" s="7" t="str">
        <f aca="false">IF(W1060="","",W1060&amp;"-"&amp;TEXT(X1060,"00"))</f>
        <v/>
      </c>
      <c r="AJ1060" s="7" t="str">
        <f aca="false">IF(W1060="","",W1060*12+X1060)</f>
        <v/>
      </c>
      <c r="AK1060" s="7" t="str">
        <f aca="false">IF(U1060="تاخیر",V1060+ROW()/100000,"")</f>
        <v/>
      </c>
    </row>
    <row r="1061" customFormat="false" ht="15" hidden="false" customHeight="false" outlineLevel="0" collapsed="false">
      <c r="A1061" s="7" t="str">
        <f aca="false">IF(B1061="","",ROW()-3)</f>
        <v/>
      </c>
      <c r="B1061" s="8"/>
      <c r="C1061" s="8"/>
      <c r="D1061" s="8"/>
      <c r="E1061" s="9"/>
      <c r="F1061" s="9"/>
      <c r="G1061" s="8"/>
      <c r="H1061" s="8"/>
      <c r="I1061" s="8"/>
      <c r="J1061" s="9"/>
      <c r="K1061" s="8"/>
      <c r="L1061" s="8"/>
      <c r="M1061" s="8"/>
      <c r="N1061" s="8"/>
      <c r="O1061" s="8"/>
      <c r="P1061" s="8"/>
      <c r="Q1061" s="8"/>
      <c r="R1061" s="9"/>
      <c r="S1061" s="8"/>
      <c r="T1061" s="9"/>
      <c r="U1061" s="10" t="str">
        <f aca="true">IF(B1061="","",IF(OR(P1061&lt;&gt;"",I1061="می‌باشد"),"بسته",IF(AND(L1061&lt;&gt;"",W1061=""),"خطای فرمت تاریخ ایجاد",IF(AND(H1061&lt;&gt;"",AA1061=""),"خطای فرمت مهلت",IF(AND(H1061&lt;&gt;"",AD1061&lt;&gt;"",TODAY()&gt;AD1061),"تاخیر",IF(L1061&lt;&gt;"","در حال انجام",""))))))</f>
        <v/>
      </c>
      <c r="V1061" s="7" t="n">
        <f aca="true">IF(U1061="تاخیر",TODAY()-AD1061,IF(AND(U1061="بسته",AH1061&lt;&gt;"",AD1061&lt;&gt;"",AH1061&gt;AD1061),AH1061-AD1061,0))</f>
        <v>0</v>
      </c>
      <c r="W1061" s="7" t="str">
        <f aca="false">IF(L1061="","",VALUE(LEFT(L1061,FIND("/",L1061)-1)))</f>
        <v/>
      </c>
      <c r="X1061" s="7" t="str">
        <f aca="false">IF(L1061="","",VALUE(MID(L1061,FIND("/",L1061)+1,FIND("/",L1061,FIND("/",L1061)+1)-FIND("/",L1061)-1)))</f>
        <v/>
      </c>
      <c r="Y1061" s="7" t="str">
        <f aca="false">IF(L1061="","",VALUE(MID(L1061,FIND("/",L1061,FIND("/",L1061)+1)+1,LEN(L1061)-FIND("/",L1061,FIND("/",L1061)+1))))</f>
        <v/>
      </c>
      <c r="Z1061" s="7" t="str">
        <f aca="false">IF(OR(L1061="",W1061=""),"",IFERROR(INDEX('لیست‌ها'!$Q$3:$Q$53,MATCH(W1061,'لیست‌ها'!$P$3:$P$53,0))+IF(X1061&lt;=6,(X1061-1)*31+Y1061,IF(X1061&lt;=11,186+(X1061-7)*30+Y1061,336+Y1061))-1,""))</f>
        <v/>
      </c>
      <c r="AA1061" s="7" t="str">
        <f aca="false">IF(H1061="","",VALUE(LEFT(H1061,FIND("/",H1061)-1)))</f>
        <v/>
      </c>
      <c r="AB1061" s="7" t="str">
        <f aca="false">IF(H1061="","",VALUE(MID(H1061,FIND("/",H1061)+1,FIND("/",H1061,FIND("/",H1061)+1)-FIND("/",H1061)-1)))</f>
        <v/>
      </c>
      <c r="AC1061" s="7" t="str">
        <f aca="false">IF(H1061="","",VALUE(MID(H1061,FIND("/",H1061,FIND("/",H1061)+1)+1,LEN(H1061)-FIND("/",H1061,FIND("/",H1061)+1))))</f>
        <v/>
      </c>
      <c r="AD1061" s="7" t="str">
        <f aca="false">IF(OR(H1061="",AA1061=""),"",IFERROR(INDEX('لیست‌ها'!$Q$3:$Q$53,MATCH(AA1061,'لیست‌ها'!$P$3:$P$53,0))+IF(AB1061&lt;=6,(AB1061-1)*31+AC1061,IF(AB1061&lt;=11,186+(AB1061-7)*30+AC1061,336+AC1061))-1,""))</f>
        <v/>
      </c>
      <c r="AE1061" s="7" t="str">
        <f aca="false">IF(P1061="","",VALUE(LEFT(P1061,FIND("/",P1061)-1)))</f>
        <v/>
      </c>
      <c r="AF1061" s="7" t="str">
        <f aca="false">IF(P1061="","",VALUE(MID(P1061,FIND("/",P1061)+1,FIND("/",P1061,FIND("/",P1061)+1)-FIND("/",P1061)-1)))</f>
        <v/>
      </c>
      <c r="AG1061" s="7" t="str">
        <f aca="false">IF(P1061="","",VALUE(MID(P1061,FIND("/",P1061,FIND("/",P1061)+1)+1,LEN(P1061)-FIND("/",P1061,FIND("/",P1061)+1))))</f>
        <v/>
      </c>
      <c r="AH1061" s="7" t="str">
        <f aca="false">IF(OR(P1061="",AE1061=""),"",IFERROR(INDEX('لیست‌ها'!$Q$3:$Q$53,MATCH(AE1061,'لیست‌ها'!$P$3:$P$53,0))+IF(AF1061&lt;=6,(AF1061-1)*31+AG1061,IF(AF1061&lt;=11,186+(AF1061-7)*30+AG1061,336+AG1061))-1,""))</f>
        <v/>
      </c>
      <c r="AI1061" s="7" t="str">
        <f aca="false">IF(W1061="","",W1061&amp;"-"&amp;TEXT(X1061,"00"))</f>
        <v/>
      </c>
      <c r="AJ1061" s="7" t="str">
        <f aca="false">IF(W1061="","",W1061*12+X1061)</f>
        <v/>
      </c>
      <c r="AK1061" s="7" t="str">
        <f aca="false">IF(U1061="تاخیر",V1061+ROW()/100000,"")</f>
        <v/>
      </c>
    </row>
    <row r="1062" customFormat="false" ht="15" hidden="false" customHeight="false" outlineLevel="0" collapsed="false">
      <c r="A1062" s="7" t="str">
        <f aca="false">IF(B1062="","",ROW()-3)</f>
        <v/>
      </c>
      <c r="B1062" s="8"/>
      <c r="C1062" s="8"/>
      <c r="D1062" s="8"/>
      <c r="E1062" s="9"/>
      <c r="F1062" s="9"/>
      <c r="G1062" s="8"/>
      <c r="H1062" s="8"/>
      <c r="I1062" s="8"/>
      <c r="J1062" s="9"/>
      <c r="K1062" s="8"/>
      <c r="L1062" s="8"/>
      <c r="M1062" s="8"/>
      <c r="N1062" s="8"/>
      <c r="O1062" s="8"/>
      <c r="P1062" s="8"/>
      <c r="Q1062" s="8"/>
      <c r="R1062" s="9"/>
      <c r="S1062" s="8"/>
      <c r="T1062" s="9"/>
      <c r="U1062" s="10" t="str">
        <f aca="true">IF(B1062="","",IF(OR(P1062&lt;&gt;"",I1062="می‌باشد"),"بسته",IF(AND(L1062&lt;&gt;"",W1062=""),"خطای فرمت تاریخ ایجاد",IF(AND(H1062&lt;&gt;"",AA1062=""),"خطای فرمت مهلت",IF(AND(H1062&lt;&gt;"",AD1062&lt;&gt;"",TODAY()&gt;AD1062),"تاخیر",IF(L1062&lt;&gt;"","در حال انجام",""))))))</f>
        <v/>
      </c>
      <c r="V1062" s="7" t="n">
        <f aca="true">IF(U1062="تاخیر",TODAY()-AD1062,IF(AND(U1062="بسته",AH1062&lt;&gt;"",AD1062&lt;&gt;"",AH1062&gt;AD1062),AH1062-AD1062,0))</f>
        <v>0</v>
      </c>
      <c r="W1062" s="7" t="str">
        <f aca="false">IF(L1062="","",VALUE(LEFT(L1062,FIND("/",L1062)-1)))</f>
        <v/>
      </c>
      <c r="X1062" s="7" t="str">
        <f aca="false">IF(L1062="","",VALUE(MID(L1062,FIND("/",L1062)+1,FIND("/",L1062,FIND("/",L1062)+1)-FIND("/",L1062)-1)))</f>
        <v/>
      </c>
      <c r="Y1062" s="7" t="str">
        <f aca="false">IF(L1062="","",VALUE(MID(L1062,FIND("/",L1062,FIND("/",L1062)+1)+1,LEN(L1062)-FIND("/",L1062,FIND("/",L1062)+1))))</f>
        <v/>
      </c>
      <c r="Z1062" s="7" t="str">
        <f aca="false">IF(OR(L1062="",W1062=""),"",IFERROR(INDEX('لیست‌ها'!$Q$3:$Q$53,MATCH(W1062,'لیست‌ها'!$P$3:$P$53,0))+IF(X1062&lt;=6,(X1062-1)*31+Y1062,IF(X1062&lt;=11,186+(X1062-7)*30+Y1062,336+Y1062))-1,""))</f>
        <v/>
      </c>
      <c r="AA1062" s="7" t="str">
        <f aca="false">IF(H1062="","",VALUE(LEFT(H1062,FIND("/",H1062)-1)))</f>
        <v/>
      </c>
      <c r="AB1062" s="7" t="str">
        <f aca="false">IF(H1062="","",VALUE(MID(H1062,FIND("/",H1062)+1,FIND("/",H1062,FIND("/",H1062)+1)-FIND("/",H1062)-1)))</f>
        <v/>
      </c>
      <c r="AC1062" s="7" t="str">
        <f aca="false">IF(H1062="","",VALUE(MID(H1062,FIND("/",H1062,FIND("/",H1062)+1)+1,LEN(H1062)-FIND("/",H1062,FIND("/",H1062)+1))))</f>
        <v/>
      </c>
      <c r="AD1062" s="7" t="str">
        <f aca="false">IF(OR(H1062="",AA1062=""),"",IFERROR(INDEX('لیست‌ها'!$Q$3:$Q$53,MATCH(AA1062,'لیست‌ها'!$P$3:$P$53,0))+IF(AB1062&lt;=6,(AB1062-1)*31+AC1062,IF(AB1062&lt;=11,186+(AB1062-7)*30+AC1062,336+AC1062))-1,""))</f>
        <v/>
      </c>
      <c r="AE1062" s="7" t="str">
        <f aca="false">IF(P1062="","",VALUE(LEFT(P1062,FIND("/",P1062)-1)))</f>
        <v/>
      </c>
      <c r="AF1062" s="7" t="str">
        <f aca="false">IF(P1062="","",VALUE(MID(P1062,FIND("/",P1062)+1,FIND("/",P1062,FIND("/",P1062)+1)-FIND("/",P1062)-1)))</f>
        <v/>
      </c>
      <c r="AG1062" s="7" t="str">
        <f aca="false">IF(P1062="","",VALUE(MID(P1062,FIND("/",P1062,FIND("/",P1062)+1)+1,LEN(P1062)-FIND("/",P1062,FIND("/",P1062)+1))))</f>
        <v/>
      </c>
      <c r="AH1062" s="7" t="str">
        <f aca="false">IF(OR(P1062="",AE1062=""),"",IFERROR(INDEX('لیست‌ها'!$Q$3:$Q$53,MATCH(AE1062,'لیست‌ها'!$P$3:$P$53,0))+IF(AF1062&lt;=6,(AF1062-1)*31+AG1062,IF(AF1062&lt;=11,186+(AF1062-7)*30+AG1062,336+AG1062))-1,""))</f>
        <v/>
      </c>
      <c r="AI1062" s="7" t="str">
        <f aca="false">IF(W1062="","",W1062&amp;"-"&amp;TEXT(X1062,"00"))</f>
        <v/>
      </c>
      <c r="AJ1062" s="7" t="str">
        <f aca="false">IF(W1062="","",W1062*12+X1062)</f>
        <v/>
      </c>
      <c r="AK1062" s="7" t="str">
        <f aca="false">IF(U1062="تاخیر",V1062+ROW()/100000,"")</f>
        <v/>
      </c>
    </row>
    <row r="1063" customFormat="false" ht="15" hidden="false" customHeight="false" outlineLevel="0" collapsed="false">
      <c r="A1063" s="7" t="str">
        <f aca="false">IF(B1063="","",ROW()-3)</f>
        <v/>
      </c>
      <c r="B1063" s="8"/>
      <c r="C1063" s="8"/>
      <c r="D1063" s="8"/>
      <c r="E1063" s="9"/>
      <c r="F1063" s="9"/>
      <c r="G1063" s="8"/>
      <c r="H1063" s="8"/>
      <c r="I1063" s="8"/>
      <c r="J1063" s="9"/>
      <c r="K1063" s="8"/>
      <c r="L1063" s="8"/>
      <c r="M1063" s="8"/>
      <c r="N1063" s="8"/>
      <c r="O1063" s="8"/>
      <c r="P1063" s="8"/>
      <c r="Q1063" s="8"/>
      <c r="R1063" s="9"/>
      <c r="S1063" s="8"/>
      <c r="T1063" s="9"/>
      <c r="U1063" s="10" t="str">
        <f aca="true">IF(B1063="","",IF(OR(P1063&lt;&gt;"",I1063="می‌باشد"),"بسته",IF(AND(L1063&lt;&gt;"",W1063=""),"خطای فرمت تاریخ ایجاد",IF(AND(H1063&lt;&gt;"",AA1063=""),"خطای فرمت مهلت",IF(AND(H1063&lt;&gt;"",AD1063&lt;&gt;"",TODAY()&gt;AD1063),"تاخیر",IF(L1063&lt;&gt;"","در حال انجام",""))))))</f>
        <v/>
      </c>
      <c r="V1063" s="7" t="n">
        <f aca="true">IF(U1063="تاخیر",TODAY()-AD1063,IF(AND(U1063="بسته",AH1063&lt;&gt;"",AD1063&lt;&gt;"",AH1063&gt;AD1063),AH1063-AD1063,0))</f>
        <v>0</v>
      </c>
      <c r="W1063" s="7" t="str">
        <f aca="false">IF(L1063="","",VALUE(LEFT(L1063,FIND("/",L1063)-1)))</f>
        <v/>
      </c>
      <c r="X1063" s="7" t="str">
        <f aca="false">IF(L1063="","",VALUE(MID(L1063,FIND("/",L1063)+1,FIND("/",L1063,FIND("/",L1063)+1)-FIND("/",L1063)-1)))</f>
        <v/>
      </c>
      <c r="Y1063" s="7" t="str">
        <f aca="false">IF(L1063="","",VALUE(MID(L1063,FIND("/",L1063,FIND("/",L1063)+1)+1,LEN(L1063)-FIND("/",L1063,FIND("/",L1063)+1))))</f>
        <v/>
      </c>
      <c r="Z1063" s="7" t="str">
        <f aca="false">IF(OR(L1063="",W1063=""),"",IFERROR(INDEX('لیست‌ها'!$Q$3:$Q$53,MATCH(W1063,'لیست‌ها'!$P$3:$P$53,0))+IF(X1063&lt;=6,(X1063-1)*31+Y1063,IF(X1063&lt;=11,186+(X1063-7)*30+Y1063,336+Y1063))-1,""))</f>
        <v/>
      </c>
      <c r="AA1063" s="7" t="str">
        <f aca="false">IF(H1063="","",VALUE(LEFT(H1063,FIND("/",H1063)-1)))</f>
        <v/>
      </c>
      <c r="AB1063" s="7" t="str">
        <f aca="false">IF(H1063="","",VALUE(MID(H1063,FIND("/",H1063)+1,FIND("/",H1063,FIND("/",H1063)+1)-FIND("/",H1063)-1)))</f>
        <v/>
      </c>
      <c r="AC1063" s="7" t="str">
        <f aca="false">IF(H1063="","",VALUE(MID(H1063,FIND("/",H1063,FIND("/",H1063)+1)+1,LEN(H1063)-FIND("/",H1063,FIND("/",H1063)+1))))</f>
        <v/>
      </c>
      <c r="AD1063" s="7" t="str">
        <f aca="false">IF(OR(H1063="",AA1063=""),"",IFERROR(INDEX('لیست‌ها'!$Q$3:$Q$53,MATCH(AA1063,'لیست‌ها'!$P$3:$P$53,0))+IF(AB1063&lt;=6,(AB1063-1)*31+AC1063,IF(AB1063&lt;=11,186+(AB1063-7)*30+AC1063,336+AC1063))-1,""))</f>
        <v/>
      </c>
      <c r="AE1063" s="7" t="str">
        <f aca="false">IF(P1063="","",VALUE(LEFT(P1063,FIND("/",P1063)-1)))</f>
        <v/>
      </c>
      <c r="AF1063" s="7" t="str">
        <f aca="false">IF(P1063="","",VALUE(MID(P1063,FIND("/",P1063)+1,FIND("/",P1063,FIND("/",P1063)+1)-FIND("/",P1063)-1)))</f>
        <v/>
      </c>
      <c r="AG1063" s="7" t="str">
        <f aca="false">IF(P1063="","",VALUE(MID(P1063,FIND("/",P1063,FIND("/",P1063)+1)+1,LEN(P1063)-FIND("/",P1063,FIND("/",P1063)+1))))</f>
        <v/>
      </c>
      <c r="AH1063" s="7" t="str">
        <f aca="false">IF(OR(P1063="",AE1063=""),"",IFERROR(INDEX('لیست‌ها'!$Q$3:$Q$53,MATCH(AE1063,'لیست‌ها'!$P$3:$P$53,0))+IF(AF1063&lt;=6,(AF1063-1)*31+AG1063,IF(AF1063&lt;=11,186+(AF1063-7)*30+AG1063,336+AG1063))-1,""))</f>
        <v/>
      </c>
      <c r="AI1063" s="7" t="str">
        <f aca="false">IF(W1063="","",W1063&amp;"-"&amp;TEXT(X1063,"00"))</f>
        <v/>
      </c>
      <c r="AJ1063" s="7" t="str">
        <f aca="false">IF(W1063="","",W1063*12+X1063)</f>
        <v/>
      </c>
      <c r="AK1063" s="7" t="str">
        <f aca="false">IF(U1063="تاخیر",V1063+ROW()/100000,"")</f>
        <v/>
      </c>
    </row>
    <row r="1064" customFormat="false" ht="15" hidden="false" customHeight="false" outlineLevel="0" collapsed="false">
      <c r="A1064" s="7" t="str">
        <f aca="false">IF(B1064="","",ROW()-3)</f>
        <v/>
      </c>
      <c r="B1064" s="8"/>
      <c r="C1064" s="8"/>
      <c r="D1064" s="8"/>
      <c r="E1064" s="9"/>
      <c r="F1064" s="9"/>
      <c r="G1064" s="8"/>
      <c r="H1064" s="8"/>
      <c r="I1064" s="8"/>
      <c r="J1064" s="9"/>
      <c r="K1064" s="8"/>
      <c r="L1064" s="8"/>
      <c r="M1064" s="8"/>
      <c r="N1064" s="8"/>
      <c r="O1064" s="8"/>
      <c r="P1064" s="8"/>
      <c r="Q1064" s="8"/>
      <c r="R1064" s="9"/>
      <c r="S1064" s="8"/>
      <c r="T1064" s="9"/>
      <c r="U1064" s="10" t="str">
        <f aca="true">IF(B1064="","",IF(OR(P1064&lt;&gt;"",I1064="می‌باشد"),"بسته",IF(AND(L1064&lt;&gt;"",W1064=""),"خطای فرمت تاریخ ایجاد",IF(AND(H1064&lt;&gt;"",AA1064=""),"خطای فرمت مهلت",IF(AND(H1064&lt;&gt;"",AD1064&lt;&gt;"",TODAY()&gt;AD1064),"تاخیر",IF(L1064&lt;&gt;"","در حال انجام",""))))))</f>
        <v/>
      </c>
      <c r="V1064" s="7" t="n">
        <f aca="true">IF(U1064="تاخیر",TODAY()-AD1064,IF(AND(U1064="بسته",AH1064&lt;&gt;"",AD1064&lt;&gt;"",AH1064&gt;AD1064),AH1064-AD1064,0))</f>
        <v>0</v>
      </c>
      <c r="W1064" s="7" t="str">
        <f aca="false">IF(L1064="","",VALUE(LEFT(L1064,FIND("/",L1064)-1)))</f>
        <v/>
      </c>
      <c r="X1064" s="7" t="str">
        <f aca="false">IF(L1064="","",VALUE(MID(L1064,FIND("/",L1064)+1,FIND("/",L1064,FIND("/",L1064)+1)-FIND("/",L1064)-1)))</f>
        <v/>
      </c>
      <c r="Y1064" s="7" t="str">
        <f aca="false">IF(L1064="","",VALUE(MID(L1064,FIND("/",L1064,FIND("/",L1064)+1)+1,LEN(L1064)-FIND("/",L1064,FIND("/",L1064)+1))))</f>
        <v/>
      </c>
      <c r="Z1064" s="7" t="str">
        <f aca="false">IF(OR(L1064="",W1064=""),"",IFERROR(INDEX('لیست‌ها'!$Q$3:$Q$53,MATCH(W1064,'لیست‌ها'!$P$3:$P$53,0))+IF(X1064&lt;=6,(X1064-1)*31+Y1064,IF(X1064&lt;=11,186+(X1064-7)*30+Y1064,336+Y1064))-1,""))</f>
        <v/>
      </c>
      <c r="AA1064" s="7" t="str">
        <f aca="false">IF(H1064="","",VALUE(LEFT(H1064,FIND("/",H1064)-1)))</f>
        <v/>
      </c>
      <c r="AB1064" s="7" t="str">
        <f aca="false">IF(H1064="","",VALUE(MID(H1064,FIND("/",H1064)+1,FIND("/",H1064,FIND("/",H1064)+1)-FIND("/",H1064)-1)))</f>
        <v/>
      </c>
      <c r="AC1064" s="7" t="str">
        <f aca="false">IF(H1064="","",VALUE(MID(H1064,FIND("/",H1064,FIND("/",H1064)+1)+1,LEN(H1064)-FIND("/",H1064,FIND("/",H1064)+1))))</f>
        <v/>
      </c>
      <c r="AD1064" s="7" t="str">
        <f aca="false">IF(OR(H1064="",AA1064=""),"",IFERROR(INDEX('لیست‌ها'!$Q$3:$Q$53,MATCH(AA1064,'لیست‌ها'!$P$3:$P$53,0))+IF(AB1064&lt;=6,(AB1064-1)*31+AC1064,IF(AB1064&lt;=11,186+(AB1064-7)*30+AC1064,336+AC1064))-1,""))</f>
        <v/>
      </c>
      <c r="AE1064" s="7" t="str">
        <f aca="false">IF(P1064="","",VALUE(LEFT(P1064,FIND("/",P1064)-1)))</f>
        <v/>
      </c>
      <c r="AF1064" s="7" t="str">
        <f aca="false">IF(P1064="","",VALUE(MID(P1064,FIND("/",P1064)+1,FIND("/",P1064,FIND("/",P1064)+1)-FIND("/",P1064)-1)))</f>
        <v/>
      </c>
      <c r="AG1064" s="7" t="str">
        <f aca="false">IF(P1064="","",VALUE(MID(P1064,FIND("/",P1064,FIND("/",P1064)+1)+1,LEN(P1064)-FIND("/",P1064,FIND("/",P1064)+1))))</f>
        <v/>
      </c>
      <c r="AH1064" s="7" t="str">
        <f aca="false">IF(OR(P1064="",AE1064=""),"",IFERROR(INDEX('لیست‌ها'!$Q$3:$Q$53,MATCH(AE1064,'لیست‌ها'!$P$3:$P$53,0))+IF(AF1064&lt;=6,(AF1064-1)*31+AG1064,IF(AF1064&lt;=11,186+(AF1064-7)*30+AG1064,336+AG1064))-1,""))</f>
        <v/>
      </c>
      <c r="AI1064" s="7" t="str">
        <f aca="false">IF(W1064="","",W1064&amp;"-"&amp;TEXT(X1064,"00"))</f>
        <v/>
      </c>
      <c r="AJ1064" s="7" t="str">
        <f aca="false">IF(W1064="","",W1064*12+X1064)</f>
        <v/>
      </c>
      <c r="AK1064" s="7" t="str">
        <f aca="false">IF(U1064="تاخیر",V1064+ROW()/100000,"")</f>
        <v/>
      </c>
    </row>
    <row r="1065" customFormat="false" ht="15" hidden="false" customHeight="false" outlineLevel="0" collapsed="false">
      <c r="A1065" s="7" t="str">
        <f aca="false">IF(B1065="","",ROW()-3)</f>
        <v/>
      </c>
      <c r="B1065" s="8"/>
      <c r="C1065" s="8"/>
      <c r="D1065" s="8"/>
      <c r="E1065" s="9"/>
      <c r="F1065" s="9"/>
      <c r="G1065" s="8"/>
      <c r="H1065" s="8"/>
      <c r="I1065" s="8"/>
      <c r="J1065" s="9"/>
      <c r="K1065" s="8"/>
      <c r="L1065" s="8"/>
      <c r="M1065" s="8"/>
      <c r="N1065" s="8"/>
      <c r="O1065" s="8"/>
      <c r="P1065" s="8"/>
      <c r="Q1065" s="8"/>
      <c r="R1065" s="9"/>
      <c r="S1065" s="8"/>
      <c r="T1065" s="9"/>
      <c r="U1065" s="10" t="str">
        <f aca="true">IF(B1065="","",IF(OR(P1065&lt;&gt;"",I1065="می‌باشد"),"بسته",IF(AND(L1065&lt;&gt;"",W1065=""),"خطای فرمت تاریخ ایجاد",IF(AND(H1065&lt;&gt;"",AA1065=""),"خطای فرمت مهلت",IF(AND(H1065&lt;&gt;"",AD1065&lt;&gt;"",TODAY()&gt;AD1065),"تاخیر",IF(L1065&lt;&gt;"","در حال انجام",""))))))</f>
        <v/>
      </c>
      <c r="V1065" s="7" t="n">
        <f aca="true">IF(U1065="تاخیر",TODAY()-AD1065,IF(AND(U1065="بسته",AH1065&lt;&gt;"",AD1065&lt;&gt;"",AH1065&gt;AD1065),AH1065-AD1065,0))</f>
        <v>0</v>
      </c>
      <c r="W1065" s="7" t="str">
        <f aca="false">IF(L1065="","",VALUE(LEFT(L1065,FIND("/",L1065)-1)))</f>
        <v/>
      </c>
      <c r="X1065" s="7" t="str">
        <f aca="false">IF(L1065="","",VALUE(MID(L1065,FIND("/",L1065)+1,FIND("/",L1065,FIND("/",L1065)+1)-FIND("/",L1065)-1)))</f>
        <v/>
      </c>
      <c r="Y1065" s="7" t="str">
        <f aca="false">IF(L1065="","",VALUE(MID(L1065,FIND("/",L1065,FIND("/",L1065)+1)+1,LEN(L1065)-FIND("/",L1065,FIND("/",L1065)+1))))</f>
        <v/>
      </c>
      <c r="Z1065" s="7" t="str">
        <f aca="false">IF(OR(L1065="",W1065=""),"",IFERROR(INDEX('لیست‌ها'!$Q$3:$Q$53,MATCH(W1065,'لیست‌ها'!$P$3:$P$53,0))+IF(X1065&lt;=6,(X1065-1)*31+Y1065,IF(X1065&lt;=11,186+(X1065-7)*30+Y1065,336+Y1065))-1,""))</f>
        <v/>
      </c>
      <c r="AA1065" s="7" t="str">
        <f aca="false">IF(H1065="","",VALUE(LEFT(H1065,FIND("/",H1065)-1)))</f>
        <v/>
      </c>
      <c r="AB1065" s="7" t="str">
        <f aca="false">IF(H1065="","",VALUE(MID(H1065,FIND("/",H1065)+1,FIND("/",H1065,FIND("/",H1065)+1)-FIND("/",H1065)-1)))</f>
        <v/>
      </c>
      <c r="AC1065" s="7" t="str">
        <f aca="false">IF(H1065="","",VALUE(MID(H1065,FIND("/",H1065,FIND("/",H1065)+1)+1,LEN(H1065)-FIND("/",H1065,FIND("/",H1065)+1))))</f>
        <v/>
      </c>
      <c r="AD1065" s="7" t="str">
        <f aca="false">IF(OR(H1065="",AA1065=""),"",IFERROR(INDEX('لیست‌ها'!$Q$3:$Q$53,MATCH(AA1065,'لیست‌ها'!$P$3:$P$53,0))+IF(AB1065&lt;=6,(AB1065-1)*31+AC1065,IF(AB1065&lt;=11,186+(AB1065-7)*30+AC1065,336+AC1065))-1,""))</f>
        <v/>
      </c>
      <c r="AE1065" s="7" t="str">
        <f aca="false">IF(P1065="","",VALUE(LEFT(P1065,FIND("/",P1065)-1)))</f>
        <v/>
      </c>
      <c r="AF1065" s="7" t="str">
        <f aca="false">IF(P1065="","",VALUE(MID(P1065,FIND("/",P1065)+1,FIND("/",P1065,FIND("/",P1065)+1)-FIND("/",P1065)-1)))</f>
        <v/>
      </c>
      <c r="AG1065" s="7" t="str">
        <f aca="false">IF(P1065="","",VALUE(MID(P1065,FIND("/",P1065,FIND("/",P1065)+1)+1,LEN(P1065)-FIND("/",P1065,FIND("/",P1065)+1))))</f>
        <v/>
      </c>
      <c r="AH1065" s="7" t="str">
        <f aca="false">IF(OR(P1065="",AE1065=""),"",IFERROR(INDEX('لیست‌ها'!$Q$3:$Q$53,MATCH(AE1065,'لیست‌ها'!$P$3:$P$53,0))+IF(AF1065&lt;=6,(AF1065-1)*31+AG1065,IF(AF1065&lt;=11,186+(AF1065-7)*30+AG1065,336+AG1065))-1,""))</f>
        <v/>
      </c>
      <c r="AI1065" s="7" t="str">
        <f aca="false">IF(W1065="","",W1065&amp;"-"&amp;TEXT(X1065,"00"))</f>
        <v/>
      </c>
      <c r="AJ1065" s="7" t="str">
        <f aca="false">IF(W1065="","",W1065*12+X1065)</f>
        <v/>
      </c>
      <c r="AK1065" s="7" t="str">
        <f aca="false">IF(U1065="تاخیر",V1065+ROW()/100000,"")</f>
        <v/>
      </c>
    </row>
    <row r="1066" customFormat="false" ht="15" hidden="false" customHeight="false" outlineLevel="0" collapsed="false">
      <c r="A1066" s="7" t="str">
        <f aca="false">IF(B1066="","",ROW()-3)</f>
        <v/>
      </c>
      <c r="B1066" s="8"/>
      <c r="C1066" s="8"/>
      <c r="D1066" s="8"/>
      <c r="E1066" s="9"/>
      <c r="F1066" s="9"/>
      <c r="G1066" s="8"/>
      <c r="H1066" s="8"/>
      <c r="I1066" s="8"/>
      <c r="J1066" s="9"/>
      <c r="K1066" s="8"/>
      <c r="L1066" s="8"/>
      <c r="M1066" s="8"/>
      <c r="N1066" s="8"/>
      <c r="O1066" s="8"/>
      <c r="P1066" s="8"/>
      <c r="Q1066" s="8"/>
      <c r="R1066" s="9"/>
      <c r="S1066" s="8"/>
      <c r="T1066" s="9"/>
      <c r="U1066" s="10" t="str">
        <f aca="true">IF(B1066="","",IF(OR(P1066&lt;&gt;"",I1066="می‌باشد"),"بسته",IF(AND(L1066&lt;&gt;"",W1066=""),"خطای فرمت تاریخ ایجاد",IF(AND(H1066&lt;&gt;"",AA1066=""),"خطای فرمت مهلت",IF(AND(H1066&lt;&gt;"",AD1066&lt;&gt;"",TODAY()&gt;AD1066),"تاخیر",IF(L1066&lt;&gt;"","در حال انجام",""))))))</f>
        <v/>
      </c>
      <c r="V1066" s="7" t="n">
        <f aca="true">IF(U1066="تاخیر",TODAY()-AD1066,IF(AND(U1066="بسته",AH1066&lt;&gt;"",AD1066&lt;&gt;"",AH1066&gt;AD1066),AH1066-AD1066,0))</f>
        <v>0</v>
      </c>
      <c r="W1066" s="7" t="str">
        <f aca="false">IF(L1066="","",VALUE(LEFT(L1066,FIND("/",L1066)-1)))</f>
        <v/>
      </c>
      <c r="X1066" s="7" t="str">
        <f aca="false">IF(L1066="","",VALUE(MID(L1066,FIND("/",L1066)+1,FIND("/",L1066,FIND("/",L1066)+1)-FIND("/",L1066)-1)))</f>
        <v/>
      </c>
      <c r="Y1066" s="7" t="str">
        <f aca="false">IF(L1066="","",VALUE(MID(L1066,FIND("/",L1066,FIND("/",L1066)+1)+1,LEN(L1066)-FIND("/",L1066,FIND("/",L1066)+1))))</f>
        <v/>
      </c>
      <c r="Z1066" s="7" t="str">
        <f aca="false">IF(OR(L1066="",W1066=""),"",IFERROR(INDEX('لیست‌ها'!$Q$3:$Q$53,MATCH(W1066,'لیست‌ها'!$P$3:$P$53,0))+IF(X1066&lt;=6,(X1066-1)*31+Y1066,IF(X1066&lt;=11,186+(X1066-7)*30+Y1066,336+Y1066))-1,""))</f>
        <v/>
      </c>
      <c r="AA1066" s="7" t="str">
        <f aca="false">IF(H1066="","",VALUE(LEFT(H1066,FIND("/",H1066)-1)))</f>
        <v/>
      </c>
      <c r="AB1066" s="7" t="str">
        <f aca="false">IF(H1066="","",VALUE(MID(H1066,FIND("/",H1066)+1,FIND("/",H1066,FIND("/",H1066)+1)-FIND("/",H1066)-1)))</f>
        <v/>
      </c>
      <c r="AC1066" s="7" t="str">
        <f aca="false">IF(H1066="","",VALUE(MID(H1066,FIND("/",H1066,FIND("/",H1066)+1)+1,LEN(H1066)-FIND("/",H1066,FIND("/",H1066)+1))))</f>
        <v/>
      </c>
      <c r="AD1066" s="7" t="str">
        <f aca="false">IF(OR(H1066="",AA1066=""),"",IFERROR(INDEX('لیست‌ها'!$Q$3:$Q$53,MATCH(AA1066,'لیست‌ها'!$P$3:$P$53,0))+IF(AB1066&lt;=6,(AB1066-1)*31+AC1066,IF(AB1066&lt;=11,186+(AB1066-7)*30+AC1066,336+AC1066))-1,""))</f>
        <v/>
      </c>
      <c r="AE1066" s="7" t="str">
        <f aca="false">IF(P1066="","",VALUE(LEFT(P1066,FIND("/",P1066)-1)))</f>
        <v/>
      </c>
      <c r="AF1066" s="7" t="str">
        <f aca="false">IF(P1066="","",VALUE(MID(P1066,FIND("/",P1066)+1,FIND("/",P1066,FIND("/",P1066)+1)-FIND("/",P1066)-1)))</f>
        <v/>
      </c>
      <c r="AG1066" s="7" t="str">
        <f aca="false">IF(P1066="","",VALUE(MID(P1066,FIND("/",P1066,FIND("/",P1066)+1)+1,LEN(P1066)-FIND("/",P1066,FIND("/",P1066)+1))))</f>
        <v/>
      </c>
      <c r="AH1066" s="7" t="str">
        <f aca="false">IF(OR(P1066="",AE1066=""),"",IFERROR(INDEX('لیست‌ها'!$Q$3:$Q$53,MATCH(AE1066,'لیست‌ها'!$P$3:$P$53,0))+IF(AF1066&lt;=6,(AF1066-1)*31+AG1066,IF(AF1066&lt;=11,186+(AF1066-7)*30+AG1066,336+AG1066))-1,""))</f>
        <v/>
      </c>
      <c r="AI1066" s="7" t="str">
        <f aca="false">IF(W1066="","",W1066&amp;"-"&amp;TEXT(X1066,"00"))</f>
        <v/>
      </c>
      <c r="AJ1066" s="7" t="str">
        <f aca="false">IF(W1066="","",W1066*12+X1066)</f>
        <v/>
      </c>
      <c r="AK1066" s="7" t="str">
        <f aca="false">IF(U1066="تاخیر",V1066+ROW()/100000,"")</f>
        <v/>
      </c>
    </row>
    <row r="1067" customFormat="false" ht="15" hidden="false" customHeight="false" outlineLevel="0" collapsed="false">
      <c r="A1067" s="7" t="str">
        <f aca="false">IF(B1067="","",ROW()-3)</f>
        <v/>
      </c>
      <c r="B1067" s="8"/>
      <c r="C1067" s="8"/>
      <c r="D1067" s="8"/>
      <c r="E1067" s="9"/>
      <c r="F1067" s="9"/>
      <c r="G1067" s="8"/>
      <c r="H1067" s="8"/>
      <c r="I1067" s="8"/>
      <c r="J1067" s="9"/>
      <c r="K1067" s="8"/>
      <c r="L1067" s="8"/>
      <c r="M1067" s="8"/>
      <c r="N1067" s="8"/>
      <c r="O1067" s="8"/>
      <c r="P1067" s="8"/>
      <c r="Q1067" s="8"/>
      <c r="R1067" s="9"/>
      <c r="S1067" s="8"/>
      <c r="T1067" s="9"/>
      <c r="U1067" s="10" t="str">
        <f aca="true">IF(B1067="","",IF(OR(P1067&lt;&gt;"",I1067="می‌باشد"),"بسته",IF(AND(L1067&lt;&gt;"",W1067=""),"خطای فرمت تاریخ ایجاد",IF(AND(H1067&lt;&gt;"",AA1067=""),"خطای فرمت مهلت",IF(AND(H1067&lt;&gt;"",AD1067&lt;&gt;"",TODAY()&gt;AD1067),"تاخیر",IF(L1067&lt;&gt;"","در حال انجام",""))))))</f>
        <v/>
      </c>
      <c r="V1067" s="7" t="n">
        <f aca="true">IF(U1067="تاخیر",TODAY()-AD1067,IF(AND(U1067="بسته",AH1067&lt;&gt;"",AD1067&lt;&gt;"",AH1067&gt;AD1067),AH1067-AD1067,0))</f>
        <v>0</v>
      </c>
      <c r="W1067" s="7" t="str">
        <f aca="false">IF(L1067="","",VALUE(LEFT(L1067,FIND("/",L1067)-1)))</f>
        <v/>
      </c>
      <c r="X1067" s="7" t="str">
        <f aca="false">IF(L1067="","",VALUE(MID(L1067,FIND("/",L1067)+1,FIND("/",L1067,FIND("/",L1067)+1)-FIND("/",L1067)-1)))</f>
        <v/>
      </c>
      <c r="Y1067" s="7" t="str">
        <f aca="false">IF(L1067="","",VALUE(MID(L1067,FIND("/",L1067,FIND("/",L1067)+1)+1,LEN(L1067)-FIND("/",L1067,FIND("/",L1067)+1))))</f>
        <v/>
      </c>
      <c r="Z1067" s="7" t="str">
        <f aca="false">IF(OR(L1067="",W1067=""),"",IFERROR(INDEX('لیست‌ها'!$Q$3:$Q$53,MATCH(W1067,'لیست‌ها'!$P$3:$P$53,0))+IF(X1067&lt;=6,(X1067-1)*31+Y1067,IF(X1067&lt;=11,186+(X1067-7)*30+Y1067,336+Y1067))-1,""))</f>
        <v/>
      </c>
      <c r="AA1067" s="7" t="str">
        <f aca="false">IF(H1067="","",VALUE(LEFT(H1067,FIND("/",H1067)-1)))</f>
        <v/>
      </c>
      <c r="AB1067" s="7" t="str">
        <f aca="false">IF(H1067="","",VALUE(MID(H1067,FIND("/",H1067)+1,FIND("/",H1067,FIND("/",H1067)+1)-FIND("/",H1067)-1)))</f>
        <v/>
      </c>
      <c r="AC1067" s="7" t="str">
        <f aca="false">IF(H1067="","",VALUE(MID(H1067,FIND("/",H1067,FIND("/",H1067)+1)+1,LEN(H1067)-FIND("/",H1067,FIND("/",H1067)+1))))</f>
        <v/>
      </c>
      <c r="AD1067" s="7" t="str">
        <f aca="false">IF(OR(H1067="",AA1067=""),"",IFERROR(INDEX('لیست‌ها'!$Q$3:$Q$53,MATCH(AA1067,'لیست‌ها'!$P$3:$P$53,0))+IF(AB1067&lt;=6,(AB1067-1)*31+AC1067,IF(AB1067&lt;=11,186+(AB1067-7)*30+AC1067,336+AC1067))-1,""))</f>
        <v/>
      </c>
      <c r="AE1067" s="7" t="str">
        <f aca="false">IF(P1067="","",VALUE(LEFT(P1067,FIND("/",P1067)-1)))</f>
        <v/>
      </c>
      <c r="AF1067" s="7" t="str">
        <f aca="false">IF(P1067="","",VALUE(MID(P1067,FIND("/",P1067)+1,FIND("/",P1067,FIND("/",P1067)+1)-FIND("/",P1067)-1)))</f>
        <v/>
      </c>
      <c r="AG1067" s="7" t="str">
        <f aca="false">IF(P1067="","",VALUE(MID(P1067,FIND("/",P1067,FIND("/",P1067)+1)+1,LEN(P1067)-FIND("/",P1067,FIND("/",P1067)+1))))</f>
        <v/>
      </c>
      <c r="AH1067" s="7" t="str">
        <f aca="false">IF(OR(P1067="",AE1067=""),"",IFERROR(INDEX('لیست‌ها'!$Q$3:$Q$53,MATCH(AE1067,'لیست‌ها'!$P$3:$P$53,0))+IF(AF1067&lt;=6,(AF1067-1)*31+AG1067,IF(AF1067&lt;=11,186+(AF1067-7)*30+AG1067,336+AG1067))-1,""))</f>
        <v/>
      </c>
      <c r="AI1067" s="7" t="str">
        <f aca="false">IF(W1067="","",W1067&amp;"-"&amp;TEXT(X1067,"00"))</f>
        <v/>
      </c>
      <c r="AJ1067" s="7" t="str">
        <f aca="false">IF(W1067="","",W1067*12+X1067)</f>
        <v/>
      </c>
      <c r="AK1067" s="7" t="str">
        <f aca="false">IF(U1067="تاخیر",V1067+ROW()/100000,"")</f>
        <v/>
      </c>
    </row>
    <row r="1068" customFormat="false" ht="15" hidden="false" customHeight="false" outlineLevel="0" collapsed="false">
      <c r="A1068" s="7" t="str">
        <f aca="false">IF(B1068="","",ROW()-3)</f>
        <v/>
      </c>
      <c r="B1068" s="8"/>
      <c r="C1068" s="8"/>
      <c r="D1068" s="8"/>
      <c r="E1068" s="9"/>
      <c r="F1068" s="9"/>
      <c r="G1068" s="8"/>
      <c r="H1068" s="8"/>
      <c r="I1068" s="8"/>
      <c r="J1068" s="9"/>
      <c r="K1068" s="8"/>
      <c r="L1068" s="8"/>
      <c r="M1068" s="8"/>
      <c r="N1068" s="8"/>
      <c r="O1068" s="8"/>
      <c r="P1068" s="8"/>
      <c r="Q1068" s="8"/>
      <c r="R1068" s="9"/>
      <c r="S1068" s="8"/>
      <c r="T1068" s="9"/>
      <c r="U1068" s="10" t="str">
        <f aca="true">IF(B1068="","",IF(OR(P1068&lt;&gt;"",I1068="می‌باشد"),"بسته",IF(AND(L1068&lt;&gt;"",W1068=""),"خطای فرمت تاریخ ایجاد",IF(AND(H1068&lt;&gt;"",AA1068=""),"خطای فرمت مهلت",IF(AND(H1068&lt;&gt;"",AD1068&lt;&gt;"",TODAY()&gt;AD1068),"تاخیر",IF(L1068&lt;&gt;"","در حال انجام",""))))))</f>
        <v/>
      </c>
      <c r="V1068" s="7" t="n">
        <f aca="true">IF(U1068="تاخیر",TODAY()-AD1068,IF(AND(U1068="بسته",AH1068&lt;&gt;"",AD1068&lt;&gt;"",AH1068&gt;AD1068),AH1068-AD1068,0))</f>
        <v>0</v>
      </c>
      <c r="W1068" s="7" t="str">
        <f aca="false">IF(L1068="","",VALUE(LEFT(L1068,FIND("/",L1068)-1)))</f>
        <v/>
      </c>
      <c r="X1068" s="7" t="str">
        <f aca="false">IF(L1068="","",VALUE(MID(L1068,FIND("/",L1068)+1,FIND("/",L1068,FIND("/",L1068)+1)-FIND("/",L1068)-1)))</f>
        <v/>
      </c>
      <c r="Y1068" s="7" t="str">
        <f aca="false">IF(L1068="","",VALUE(MID(L1068,FIND("/",L1068,FIND("/",L1068)+1)+1,LEN(L1068)-FIND("/",L1068,FIND("/",L1068)+1))))</f>
        <v/>
      </c>
      <c r="Z1068" s="7" t="str">
        <f aca="false">IF(OR(L1068="",W1068=""),"",IFERROR(INDEX('لیست‌ها'!$Q$3:$Q$53,MATCH(W1068,'لیست‌ها'!$P$3:$P$53,0))+IF(X1068&lt;=6,(X1068-1)*31+Y1068,IF(X1068&lt;=11,186+(X1068-7)*30+Y1068,336+Y1068))-1,""))</f>
        <v/>
      </c>
      <c r="AA1068" s="7" t="str">
        <f aca="false">IF(H1068="","",VALUE(LEFT(H1068,FIND("/",H1068)-1)))</f>
        <v/>
      </c>
      <c r="AB1068" s="7" t="str">
        <f aca="false">IF(H1068="","",VALUE(MID(H1068,FIND("/",H1068)+1,FIND("/",H1068,FIND("/",H1068)+1)-FIND("/",H1068)-1)))</f>
        <v/>
      </c>
      <c r="AC1068" s="7" t="str">
        <f aca="false">IF(H1068="","",VALUE(MID(H1068,FIND("/",H1068,FIND("/",H1068)+1)+1,LEN(H1068)-FIND("/",H1068,FIND("/",H1068)+1))))</f>
        <v/>
      </c>
      <c r="AD1068" s="7" t="str">
        <f aca="false">IF(OR(H1068="",AA1068=""),"",IFERROR(INDEX('لیست‌ها'!$Q$3:$Q$53,MATCH(AA1068,'لیست‌ها'!$P$3:$P$53,0))+IF(AB1068&lt;=6,(AB1068-1)*31+AC1068,IF(AB1068&lt;=11,186+(AB1068-7)*30+AC1068,336+AC1068))-1,""))</f>
        <v/>
      </c>
      <c r="AE1068" s="7" t="str">
        <f aca="false">IF(P1068="","",VALUE(LEFT(P1068,FIND("/",P1068)-1)))</f>
        <v/>
      </c>
      <c r="AF1068" s="7" t="str">
        <f aca="false">IF(P1068="","",VALUE(MID(P1068,FIND("/",P1068)+1,FIND("/",P1068,FIND("/",P1068)+1)-FIND("/",P1068)-1)))</f>
        <v/>
      </c>
      <c r="AG1068" s="7" t="str">
        <f aca="false">IF(P1068="","",VALUE(MID(P1068,FIND("/",P1068,FIND("/",P1068)+1)+1,LEN(P1068)-FIND("/",P1068,FIND("/",P1068)+1))))</f>
        <v/>
      </c>
      <c r="AH1068" s="7" t="str">
        <f aca="false">IF(OR(P1068="",AE1068=""),"",IFERROR(INDEX('لیست‌ها'!$Q$3:$Q$53,MATCH(AE1068,'لیست‌ها'!$P$3:$P$53,0))+IF(AF1068&lt;=6,(AF1068-1)*31+AG1068,IF(AF1068&lt;=11,186+(AF1068-7)*30+AG1068,336+AG1068))-1,""))</f>
        <v/>
      </c>
      <c r="AI1068" s="7" t="str">
        <f aca="false">IF(W1068="","",W1068&amp;"-"&amp;TEXT(X1068,"00"))</f>
        <v/>
      </c>
      <c r="AJ1068" s="7" t="str">
        <f aca="false">IF(W1068="","",W1068*12+X1068)</f>
        <v/>
      </c>
      <c r="AK1068" s="7" t="str">
        <f aca="false">IF(U1068="تاخیر",V1068+ROW()/100000,"")</f>
        <v/>
      </c>
    </row>
    <row r="1069" customFormat="false" ht="15" hidden="false" customHeight="false" outlineLevel="0" collapsed="false">
      <c r="A1069" s="7" t="str">
        <f aca="false">IF(B1069="","",ROW()-3)</f>
        <v/>
      </c>
      <c r="B1069" s="8"/>
      <c r="C1069" s="8"/>
      <c r="D1069" s="8"/>
      <c r="E1069" s="9"/>
      <c r="F1069" s="9"/>
      <c r="G1069" s="8"/>
      <c r="H1069" s="8"/>
      <c r="I1069" s="8"/>
      <c r="J1069" s="9"/>
      <c r="K1069" s="8"/>
      <c r="L1069" s="8"/>
      <c r="M1069" s="8"/>
      <c r="N1069" s="8"/>
      <c r="O1069" s="8"/>
      <c r="P1069" s="8"/>
      <c r="Q1069" s="8"/>
      <c r="R1069" s="9"/>
      <c r="S1069" s="8"/>
      <c r="T1069" s="9"/>
      <c r="U1069" s="10" t="str">
        <f aca="true">IF(B1069="","",IF(OR(P1069&lt;&gt;"",I1069="می‌باشد"),"بسته",IF(AND(L1069&lt;&gt;"",W1069=""),"خطای فرمت تاریخ ایجاد",IF(AND(H1069&lt;&gt;"",AA1069=""),"خطای فرمت مهلت",IF(AND(H1069&lt;&gt;"",AD1069&lt;&gt;"",TODAY()&gt;AD1069),"تاخیر",IF(L1069&lt;&gt;"","در حال انجام",""))))))</f>
        <v/>
      </c>
      <c r="V1069" s="7" t="n">
        <f aca="true">IF(U1069="تاخیر",TODAY()-AD1069,IF(AND(U1069="بسته",AH1069&lt;&gt;"",AD1069&lt;&gt;"",AH1069&gt;AD1069),AH1069-AD1069,0))</f>
        <v>0</v>
      </c>
      <c r="W1069" s="7" t="str">
        <f aca="false">IF(L1069="","",VALUE(LEFT(L1069,FIND("/",L1069)-1)))</f>
        <v/>
      </c>
      <c r="X1069" s="7" t="str">
        <f aca="false">IF(L1069="","",VALUE(MID(L1069,FIND("/",L1069)+1,FIND("/",L1069,FIND("/",L1069)+1)-FIND("/",L1069)-1)))</f>
        <v/>
      </c>
      <c r="Y1069" s="7" t="str">
        <f aca="false">IF(L1069="","",VALUE(MID(L1069,FIND("/",L1069,FIND("/",L1069)+1)+1,LEN(L1069)-FIND("/",L1069,FIND("/",L1069)+1))))</f>
        <v/>
      </c>
      <c r="Z1069" s="7" t="str">
        <f aca="false">IF(OR(L1069="",W1069=""),"",IFERROR(INDEX('لیست‌ها'!$Q$3:$Q$53,MATCH(W1069,'لیست‌ها'!$P$3:$P$53,0))+IF(X1069&lt;=6,(X1069-1)*31+Y1069,IF(X1069&lt;=11,186+(X1069-7)*30+Y1069,336+Y1069))-1,""))</f>
        <v/>
      </c>
      <c r="AA1069" s="7" t="str">
        <f aca="false">IF(H1069="","",VALUE(LEFT(H1069,FIND("/",H1069)-1)))</f>
        <v/>
      </c>
      <c r="AB1069" s="7" t="str">
        <f aca="false">IF(H1069="","",VALUE(MID(H1069,FIND("/",H1069)+1,FIND("/",H1069,FIND("/",H1069)+1)-FIND("/",H1069)-1)))</f>
        <v/>
      </c>
      <c r="AC1069" s="7" t="str">
        <f aca="false">IF(H1069="","",VALUE(MID(H1069,FIND("/",H1069,FIND("/",H1069)+1)+1,LEN(H1069)-FIND("/",H1069,FIND("/",H1069)+1))))</f>
        <v/>
      </c>
      <c r="AD1069" s="7" t="str">
        <f aca="false">IF(OR(H1069="",AA1069=""),"",IFERROR(INDEX('لیست‌ها'!$Q$3:$Q$53,MATCH(AA1069,'لیست‌ها'!$P$3:$P$53,0))+IF(AB1069&lt;=6,(AB1069-1)*31+AC1069,IF(AB1069&lt;=11,186+(AB1069-7)*30+AC1069,336+AC1069))-1,""))</f>
        <v/>
      </c>
      <c r="AE1069" s="7" t="str">
        <f aca="false">IF(P1069="","",VALUE(LEFT(P1069,FIND("/",P1069)-1)))</f>
        <v/>
      </c>
      <c r="AF1069" s="7" t="str">
        <f aca="false">IF(P1069="","",VALUE(MID(P1069,FIND("/",P1069)+1,FIND("/",P1069,FIND("/",P1069)+1)-FIND("/",P1069)-1)))</f>
        <v/>
      </c>
      <c r="AG1069" s="7" t="str">
        <f aca="false">IF(P1069="","",VALUE(MID(P1069,FIND("/",P1069,FIND("/",P1069)+1)+1,LEN(P1069)-FIND("/",P1069,FIND("/",P1069)+1))))</f>
        <v/>
      </c>
      <c r="AH1069" s="7" t="str">
        <f aca="false">IF(OR(P1069="",AE1069=""),"",IFERROR(INDEX('لیست‌ها'!$Q$3:$Q$53,MATCH(AE1069,'لیست‌ها'!$P$3:$P$53,0))+IF(AF1069&lt;=6,(AF1069-1)*31+AG1069,IF(AF1069&lt;=11,186+(AF1069-7)*30+AG1069,336+AG1069))-1,""))</f>
        <v/>
      </c>
      <c r="AI1069" s="7" t="str">
        <f aca="false">IF(W1069="","",W1069&amp;"-"&amp;TEXT(X1069,"00"))</f>
        <v/>
      </c>
      <c r="AJ1069" s="7" t="str">
        <f aca="false">IF(W1069="","",W1069*12+X1069)</f>
        <v/>
      </c>
      <c r="AK1069" s="7" t="str">
        <f aca="false">IF(U1069="تاخیر",V1069+ROW()/100000,"")</f>
        <v/>
      </c>
    </row>
    <row r="1070" customFormat="false" ht="15" hidden="false" customHeight="false" outlineLevel="0" collapsed="false">
      <c r="A1070" s="7" t="str">
        <f aca="false">IF(B1070="","",ROW()-3)</f>
        <v/>
      </c>
      <c r="B1070" s="8"/>
      <c r="C1070" s="8"/>
      <c r="D1070" s="8"/>
      <c r="E1070" s="9"/>
      <c r="F1070" s="9"/>
      <c r="G1070" s="8"/>
      <c r="H1070" s="8"/>
      <c r="I1070" s="8"/>
      <c r="J1070" s="9"/>
      <c r="K1070" s="8"/>
      <c r="L1070" s="8"/>
      <c r="M1070" s="8"/>
      <c r="N1070" s="8"/>
      <c r="O1070" s="8"/>
      <c r="P1070" s="8"/>
      <c r="Q1070" s="8"/>
      <c r="R1070" s="9"/>
      <c r="S1070" s="8"/>
      <c r="T1070" s="9"/>
      <c r="U1070" s="10" t="str">
        <f aca="true">IF(B1070="","",IF(OR(P1070&lt;&gt;"",I1070="می‌باشد"),"بسته",IF(AND(L1070&lt;&gt;"",W1070=""),"خطای فرمت تاریخ ایجاد",IF(AND(H1070&lt;&gt;"",AA1070=""),"خطای فرمت مهلت",IF(AND(H1070&lt;&gt;"",AD1070&lt;&gt;"",TODAY()&gt;AD1070),"تاخیر",IF(L1070&lt;&gt;"","در حال انجام",""))))))</f>
        <v/>
      </c>
      <c r="V1070" s="7" t="n">
        <f aca="true">IF(U1070="تاخیر",TODAY()-AD1070,IF(AND(U1070="بسته",AH1070&lt;&gt;"",AD1070&lt;&gt;"",AH1070&gt;AD1070),AH1070-AD1070,0))</f>
        <v>0</v>
      </c>
      <c r="W1070" s="7" t="str">
        <f aca="false">IF(L1070="","",VALUE(LEFT(L1070,FIND("/",L1070)-1)))</f>
        <v/>
      </c>
      <c r="X1070" s="7" t="str">
        <f aca="false">IF(L1070="","",VALUE(MID(L1070,FIND("/",L1070)+1,FIND("/",L1070,FIND("/",L1070)+1)-FIND("/",L1070)-1)))</f>
        <v/>
      </c>
      <c r="Y1070" s="7" t="str">
        <f aca="false">IF(L1070="","",VALUE(MID(L1070,FIND("/",L1070,FIND("/",L1070)+1)+1,LEN(L1070)-FIND("/",L1070,FIND("/",L1070)+1))))</f>
        <v/>
      </c>
      <c r="Z1070" s="7" t="str">
        <f aca="false">IF(OR(L1070="",W1070=""),"",IFERROR(INDEX('لیست‌ها'!$Q$3:$Q$53,MATCH(W1070,'لیست‌ها'!$P$3:$P$53,0))+IF(X1070&lt;=6,(X1070-1)*31+Y1070,IF(X1070&lt;=11,186+(X1070-7)*30+Y1070,336+Y1070))-1,""))</f>
        <v/>
      </c>
      <c r="AA1070" s="7" t="str">
        <f aca="false">IF(H1070="","",VALUE(LEFT(H1070,FIND("/",H1070)-1)))</f>
        <v/>
      </c>
      <c r="AB1070" s="7" t="str">
        <f aca="false">IF(H1070="","",VALUE(MID(H1070,FIND("/",H1070)+1,FIND("/",H1070,FIND("/",H1070)+1)-FIND("/",H1070)-1)))</f>
        <v/>
      </c>
      <c r="AC1070" s="7" t="str">
        <f aca="false">IF(H1070="","",VALUE(MID(H1070,FIND("/",H1070,FIND("/",H1070)+1)+1,LEN(H1070)-FIND("/",H1070,FIND("/",H1070)+1))))</f>
        <v/>
      </c>
      <c r="AD1070" s="7" t="str">
        <f aca="false">IF(OR(H1070="",AA1070=""),"",IFERROR(INDEX('لیست‌ها'!$Q$3:$Q$53,MATCH(AA1070,'لیست‌ها'!$P$3:$P$53,0))+IF(AB1070&lt;=6,(AB1070-1)*31+AC1070,IF(AB1070&lt;=11,186+(AB1070-7)*30+AC1070,336+AC1070))-1,""))</f>
        <v/>
      </c>
      <c r="AE1070" s="7" t="str">
        <f aca="false">IF(P1070="","",VALUE(LEFT(P1070,FIND("/",P1070)-1)))</f>
        <v/>
      </c>
      <c r="AF1070" s="7" t="str">
        <f aca="false">IF(P1070="","",VALUE(MID(P1070,FIND("/",P1070)+1,FIND("/",P1070,FIND("/",P1070)+1)-FIND("/",P1070)-1)))</f>
        <v/>
      </c>
      <c r="AG1070" s="7" t="str">
        <f aca="false">IF(P1070="","",VALUE(MID(P1070,FIND("/",P1070,FIND("/",P1070)+1)+1,LEN(P1070)-FIND("/",P1070,FIND("/",P1070)+1))))</f>
        <v/>
      </c>
      <c r="AH1070" s="7" t="str">
        <f aca="false">IF(OR(P1070="",AE1070=""),"",IFERROR(INDEX('لیست‌ها'!$Q$3:$Q$53,MATCH(AE1070,'لیست‌ها'!$P$3:$P$53,0))+IF(AF1070&lt;=6,(AF1070-1)*31+AG1070,IF(AF1070&lt;=11,186+(AF1070-7)*30+AG1070,336+AG1070))-1,""))</f>
        <v/>
      </c>
      <c r="AI1070" s="7" t="str">
        <f aca="false">IF(W1070="","",W1070&amp;"-"&amp;TEXT(X1070,"00"))</f>
        <v/>
      </c>
      <c r="AJ1070" s="7" t="str">
        <f aca="false">IF(W1070="","",W1070*12+X1070)</f>
        <v/>
      </c>
      <c r="AK1070" s="7" t="str">
        <f aca="false">IF(U1070="تاخیر",V1070+ROW()/100000,"")</f>
        <v/>
      </c>
    </row>
    <row r="1071" customFormat="false" ht="15" hidden="false" customHeight="false" outlineLevel="0" collapsed="false">
      <c r="A1071" s="7" t="str">
        <f aca="false">IF(B1071="","",ROW()-3)</f>
        <v/>
      </c>
      <c r="B1071" s="8"/>
      <c r="C1071" s="8"/>
      <c r="D1071" s="8"/>
      <c r="E1071" s="9"/>
      <c r="F1071" s="9"/>
      <c r="G1071" s="8"/>
      <c r="H1071" s="8"/>
      <c r="I1071" s="8"/>
      <c r="J1071" s="9"/>
      <c r="K1071" s="8"/>
      <c r="L1071" s="8"/>
      <c r="M1071" s="8"/>
      <c r="N1071" s="8"/>
      <c r="O1071" s="8"/>
      <c r="P1071" s="8"/>
      <c r="Q1071" s="8"/>
      <c r="R1071" s="9"/>
      <c r="S1071" s="8"/>
      <c r="T1071" s="9"/>
      <c r="U1071" s="10" t="str">
        <f aca="true">IF(B1071="","",IF(OR(P1071&lt;&gt;"",I1071="می‌باشد"),"بسته",IF(AND(L1071&lt;&gt;"",W1071=""),"خطای فرمت تاریخ ایجاد",IF(AND(H1071&lt;&gt;"",AA1071=""),"خطای فرمت مهلت",IF(AND(H1071&lt;&gt;"",AD1071&lt;&gt;"",TODAY()&gt;AD1071),"تاخیر",IF(L1071&lt;&gt;"","در حال انجام",""))))))</f>
        <v/>
      </c>
      <c r="V1071" s="7" t="n">
        <f aca="true">IF(U1071="تاخیر",TODAY()-AD1071,IF(AND(U1071="بسته",AH1071&lt;&gt;"",AD1071&lt;&gt;"",AH1071&gt;AD1071),AH1071-AD1071,0))</f>
        <v>0</v>
      </c>
      <c r="W1071" s="7" t="str">
        <f aca="false">IF(L1071="","",VALUE(LEFT(L1071,FIND("/",L1071)-1)))</f>
        <v/>
      </c>
      <c r="X1071" s="7" t="str">
        <f aca="false">IF(L1071="","",VALUE(MID(L1071,FIND("/",L1071)+1,FIND("/",L1071,FIND("/",L1071)+1)-FIND("/",L1071)-1)))</f>
        <v/>
      </c>
      <c r="Y1071" s="7" t="str">
        <f aca="false">IF(L1071="","",VALUE(MID(L1071,FIND("/",L1071,FIND("/",L1071)+1)+1,LEN(L1071)-FIND("/",L1071,FIND("/",L1071)+1))))</f>
        <v/>
      </c>
      <c r="Z1071" s="7" t="str">
        <f aca="false">IF(OR(L1071="",W1071=""),"",IFERROR(INDEX('لیست‌ها'!$Q$3:$Q$53,MATCH(W1071,'لیست‌ها'!$P$3:$P$53,0))+IF(X1071&lt;=6,(X1071-1)*31+Y1071,IF(X1071&lt;=11,186+(X1071-7)*30+Y1071,336+Y1071))-1,""))</f>
        <v/>
      </c>
      <c r="AA1071" s="7" t="str">
        <f aca="false">IF(H1071="","",VALUE(LEFT(H1071,FIND("/",H1071)-1)))</f>
        <v/>
      </c>
      <c r="AB1071" s="7" t="str">
        <f aca="false">IF(H1071="","",VALUE(MID(H1071,FIND("/",H1071)+1,FIND("/",H1071,FIND("/",H1071)+1)-FIND("/",H1071)-1)))</f>
        <v/>
      </c>
      <c r="AC1071" s="7" t="str">
        <f aca="false">IF(H1071="","",VALUE(MID(H1071,FIND("/",H1071,FIND("/",H1071)+1)+1,LEN(H1071)-FIND("/",H1071,FIND("/",H1071)+1))))</f>
        <v/>
      </c>
      <c r="AD1071" s="7" t="str">
        <f aca="false">IF(OR(H1071="",AA1071=""),"",IFERROR(INDEX('لیست‌ها'!$Q$3:$Q$53,MATCH(AA1071,'لیست‌ها'!$P$3:$P$53,0))+IF(AB1071&lt;=6,(AB1071-1)*31+AC1071,IF(AB1071&lt;=11,186+(AB1071-7)*30+AC1071,336+AC1071))-1,""))</f>
        <v/>
      </c>
      <c r="AE1071" s="7" t="str">
        <f aca="false">IF(P1071="","",VALUE(LEFT(P1071,FIND("/",P1071)-1)))</f>
        <v/>
      </c>
      <c r="AF1071" s="7" t="str">
        <f aca="false">IF(P1071="","",VALUE(MID(P1071,FIND("/",P1071)+1,FIND("/",P1071,FIND("/",P1071)+1)-FIND("/",P1071)-1)))</f>
        <v/>
      </c>
      <c r="AG1071" s="7" t="str">
        <f aca="false">IF(P1071="","",VALUE(MID(P1071,FIND("/",P1071,FIND("/",P1071)+1)+1,LEN(P1071)-FIND("/",P1071,FIND("/",P1071)+1))))</f>
        <v/>
      </c>
      <c r="AH1071" s="7" t="str">
        <f aca="false">IF(OR(P1071="",AE1071=""),"",IFERROR(INDEX('لیست‌ها'!$Q$3:$Q$53,MATCH(AE1071,'لیست‌ها'!$P$3:$P$53,0))+IF(AF1071&lt;=6,(AF1071-1)*31+AG1071,IF(AF1071&lt;=11,186+(AF1071-7)*30+AG1071,336+AG1071))-1,""))</f>
        <v/>
      </c>
      <c r="AI1071" s="7" t="str">
        <f aca="false">IF(W1071="","",W1071&amp;"-"&amp;TEXT(X1071,"00"))</f>
        <v/>
      </c>
      <c r="AJ1071" s="7" t="str">
        <f aca="false">IF(W1071="","",W1071*12+X1071)</f>
        <v/>
      </c>
      <c r="AK1071" s="7" t="str">
        <f aca="false">IF(U1071="تاخیر",V1071+ROW()/100000,"")</f>
        <v/>
      </c>
    </row>
    <row r="1072" customFormat="false" ht="15" hidden="false" customHeight="false" outlineLevel="0" collapsed="false">
      <c r="A1072" s="7" t="str">
        <f aca="false">IF(B1072="","",ROW()-3)</f>
        <v/>
      </c>
      <c r="B1072" s="8"/>
      <c r="C1072" s="8"/>
      <c r="D1072" s="8"/>
      <c r="E1072" s="9"/>
      <c r="F1072" s="9"/>
      <c r="G1072" s="8"/>
      <c r="H1072" s="8"/>
      <c r="I1072" s="8"/>
      <c r="J1072" s="9"/>
      <c r="K1072" s="8"/>
      <c r="L1072" s="8"/>
      <c r="M1072" s="8"/>
      <c r="N1072" s="8"/>
      <c r="O1072" s="8"/>
      <c r="P1072" s="8"/>
      <c r="Q1072" s="8"/>
      <c r="R1072" s="9"/>
      <c r="S1072" s="8"/>
      <c r="T1072" s="9"/>
      <c r="U1072" s="10" t="str">
        <f aca="true">IF(B1072="","",IF(OR(P1072&lt;&gt;"",I1072="می‌باشد"),"بسته",IF(AND(L1072&lt;&gt;"",W1072=""),"خطای فرمت تاریخ ایجاد",IF(AND(H1072&lt;&gt;"",AA1072=""),"خطای فرمت مهلت",IF(AND(H1072&lt;&gt;"",AD1072&lt;&gt;"",TODAY()&gt;AD1072),"تاخیر",IF(L1072&lt;&gt;"","در حال انجام",""))))))</f>
        <v/>
      </c>
      <c r="V1072" s="7" t="n">
        <f aca="true">IF(U1072="تاخیر",TODAY()-AD1072,IF(AND(U1072="بسته",AH1072&lt;&gt;"",AD1072&lt;&gt;"",AH1072&gt;AD1072),AH1072-AD1072,0))</f>
        <v>0</v>
      </c>
      <c r="W1072" s="7" t="str">
        <f aca="false">IF(L1072="","",VALUE(LEFT(L1072,FIND("/",L1072)-1)))</f>
        <v/>
      </c>
      <c r="X1072" s="7" t="str">
        <f aca="false">IF(L1072="","",VALUE(MID(L1072,FIND("/",L1072)+1,FIND("/",L1072,FIND("/",L1072)+1)-FIND("/",L1072)-1)))</f>
        <v/>
      </c>
      <c r="Y1072" s="7" t="str">
        <f aca="false">IF(L1072="","",VALUE(MID(L1072,FIND("/",L1072,FIND("/",L1072)+1)+1,LEN(L1072)-FIND("/",L1072,FIND("/",L1072)+1))))</f>
        <v/>
      </c>
      <c r="Z1072" s="7" t="str">
        <f aca="false">IF(OR(L1072="",W1072=""),"",IFERROR(INDEX('لیست‌ها'!$Q$3:$Q$53,MATCH(W1072,'لیست‌ها'!$P$3:$P$53,0))+IF(X1072&lt;=6,(X1072-1)*31+Y1072,IF(X1072&lt;=11,186+(X1072-7)*30+Y1072,336+Y1072))-1,""))</f>
        <v/>
      </c>
      <c r="AA1072" s="7" t="str">
        <f aca="false">IF(H1072="","",VALUE(LEFT(H1072,FIND("/",H1072)-1)))</f>
        <v/>
      </c>
      <c r="AB1072" s="7" t="str">
        <f aca="false">IF(H1072="","",VALUE(MID(H1072,FIND("/",H1072)+1,FIND("/",H1072,FIND("/",H1072)+1)-FIND("/",H1072)-1)))</f>
        <v/>
      </c>
      <c r="AC1072" s="7" t="str">
        <f aca="false">IF(H1072="","",VALUE(MID(H1072,FIND("/",H1072,FIND("/",H1072)+1)+1,LEN(H1072)-FIND("/",H1072,FIND("/",H1072)+1))))</f>
        <v/>
      </c>
      <c r="AD1072" s="7" t="str">
        <f aca="false">IF(OR(H1072="",AA1072=""),"",IFERROR(INDEX('لیست‌ها'!$Q$3:$Q$53,MATCH(AA1072,'لیست‌ها'!$P$3:$P$53,0))+IF(AB1072&lt;=6,(AB1072-1)*31+AC1072,IF(AB1072&lt;=11,186+(AB1072-7)*30+AC1072,336+AC1072))-1,""))</f>
        <v/>
      </c>
      <c r="AE1072" s="7" t="str">
        <f aca="false">IF(P1072="","",VALUE(LEFT(P1072,FIND("/",P1072)-1)))</f>
        <v/>
      </c>
      <c r="AF1072" s="7" t="str">
        <f aca="false">IF(P1072="","",VALUE(MID(P1072,FIND("/",P1072)+1,FIND("/",P1072,FIND("/",P1072)+1)-FIND("/",P1072)-1)))</f>
        <v/>
      </c>
      <c r="AG1072" s="7" t="str">
        <f aca="false">IF(P1072="","",VALUE(MID(P1072,FIND("/",P1072,FIND("/",P1072)+1)+1,LEN(P1072)-FIND("/",P1072,FIND("/",P1072)+1))))</f>
        <v/>
      </c>
      <c r="AH1072" s="7" t="str">
        <f aca="false">IF(OR(P1072="",AE1072=""),"",IFERROR(INDEX('لیست‌ها'!$Q$3:$Q$53,MATCH(AE1072,'لیست‌ها'!$P$3:$P$53,0))+IF(AF1072&lt;=6,(AF1072-1)*31+AG1072,IF(AF1072&lt;=11,186+(AF1072-7)*30+AG1072,336+AG1072))-1,""))</f>
        <v/>
      </c>
      <c r="AI1072" s="7" t="str">
        <f aca="false">IF(W1072="","",W1072&amp;"-"&amp;TEXT(X1072,"00"))</f>
        <v/>
      </c>
      <c r="AJ1072" s="7" t="str">
        <f aca="false">IF(W1072="","",W1072*12+X1072)</f>
        <v/>
      </c>
      <c r="AK1072" s="7" t="str">
        <f aca="false">IF(U1072="تاخیر",V1072+ROW()/100000,"")</f>
        <v/>
      </c>
    </row>
    <row r="1073" customFormat="false" ht="15" hidden="false" customHeight="false" outlineLevel="0" collapsed="false">
      <c r="A1073" s="7" t="str">
        <f aca="false">IF(B1073="","",ROW()-3)</f>
        <v/>
      </c>
      <c r="B1073" s="8"/>
      <c r="C1073" s="8"/>
      <c r="D1073" s="8"/>
      <c r="E1073" s="9"/>
      <c r="F1073" s="9"/>
      <c r="G1073" s="8"/>
      <c r="H1073" s="8"/>
      <c r="I1073" s="8"/>
      <c r="J1073" s="9"/>
      <c r="K1073" s="8"/>
      <c r="L1073" s="8"/>
      <c r="M1073" s="8"/>
      <c r="N1073" s="8"/>
      <c r="O1073" s="8"/>
      <c r="P1073" s="8"/>
      <c r="Q1073" s="8"/>
      <c r="R1073" s="9"/>
      <c r="S1073" s="8"/>
      <c r="T1073" s="9"/>
      <c r="U1073" s="10" t="str">
        <f aca="true">IF(B1073="","",IF(OR(P1073&lt;&gt;"",I1073="می‌باشد"),"بسته",IF(AND(L1073&lt;&gt;"",W1073=""),"خطای فرمت تاریخ ایجاد",IF(AND(H1073&lt;&gt;"",AA1073=""),"خطای فرمت مهلت",IF(AND(H1073&lt;&gt;"",AD1073&lt;&gt;"",TODAY()&gt;AD1073),"تاخیر",IF(L1073&lt;&gt;"","در حال انجام",""))))))</f>
        <v/>
      </c>
      <c r="V1073" s="7" t="n">
        <f aca="true">IF(U1073="تاخیر",TODAY()-AD1073,IF(AND(U1073="بسته",AH1073&lt;&gt;"",AD1073&lt;&gt;"",AH1073&gt;AD1073),AH1073-AD1073,0))</f>
        <v>0</v>
      </c>
      <c r="W1073" s="7" t="str">
        <f aca="false">IF(L1073="","",VALUE(LEFT(L1073,FIND("/",L1073)-1)))</f>
        <v/>
      </c>
      <c r="X1073" s="7" t="str">
        <f aca="false">IF(L1073="","",VALUE(MID(L1073,FIND("/",L1073)+1,FIND("/",L1073,FIND("/",L1073)+1)-FIND("/",L1073)-1)))</f>
        <v/>
      </c>
      <c r="Y1073" s="7" t="str">
        <f aca="false">IF(L1073="","",VALUE(MID(L1073,FIND("/",L1073,FIND("/",L1073)+1)+1,LEN(L1073)-FIND("/",L1073,FIND("/",L1073)+1))))</f>
        <v/>
      </c>
      <c r="Z1073" s="7" t="str">
        <f aca="false">IF(OR(L1073="",W1073=""),"",IFERROR(INDEX('لیست‌ها'!$Q$3:$Q$53,MATCH(W1073,'لیست‌ها'!$P$3:$P$53,0))+IF(X1073&lt;=6,(X1073-1)*31+Y1073,IF(X1073&lt;=11,186+(X1073-7)*30+Y1073,336+Y1073))-1,""))</f>
        <v/>
      </c>
      <c r="AA1073" s="7" t="str">
        <f aca="false">IF(H1073="","",VALUE(LEFT(H1073,FIND("/",H1073)-1)))</f>
        <v/>
      </c>
      <c r="AB1073" s="7" t="str">
        <f aca="false">IF(H1073="","",VALUE(MID(H1073,FIND("/",H1073)+1,FIND("/",H1073,FIND("/",H1073)+1)-FIND("/",H1073)-1)))</f>
        <v/>
      </c>
      <c r="AC1073" s="7" t="str">
        <f aca="false">IF(H1073="","",VALUE(MID(H1073,FIND("/",H1073,FIND("/",H1073)+1)+1,LEN(H1073)-FIND("/",H1073,FIND("/",H1073)+1))))</f>
        <v/>
      </c>
      <c r="AD1073" s="7" t="str">
        <f aca="false">IF(OR(H1073="",AA1073=""),"",IFERROR(INDEX('لیست‌ها'!$Q$3:$Q$53,MATCH(AA1073,'لیست‌ها'!$P$3:$P$53,0))+IF(AB1073&lt;=6,(AB1073-1)*31+AC1073,IF(AB1073&lt;=11,186+(AB1073-7)*30+AC1073,336+AC1073))-1,""))</f>
        <v/>
      </c>
      <c r="AE1073" s="7" t="str">
        <f aca="false">IF(P1073="","",VALUE(LEFT(P1073,FIND("/",P1073)-1)))</f>
        <v/>
      </c>
      <c r="AF1073" s="7" t="str">
        <f aca="false">IF(P1073="","",VALUE(MID(P1073,FIND("/",P1073)+1,FIND("/",P1073,FIND("/",P1073)+1)-FIND("/",P1073)-1)))</f>
        <v/>
      </c>
      <c r="AG1073" s="7" t="str">
        <f aca="false">IF(P1073="","",VALUE(MID(P1073,FIND("/",P1073,FIND("/",P1073)+1)+1,LEN(P1073)-FIND("/",P1073,FIND("/",P1073)+1))))</f>
        <v/>
      </c>
      <c r="AH1073" s="7" t="str">
        <f aca="false">IF(OR(P1073="",AE1073=""),"",IFERROR(INDEX('لیست‌ها'!$Q$3:$Q$53,MATCH(AE1073,'لیست‌ها'!$P$3:$P$53,0))+IF(AF1073&lt;=6,(AF1073-1)*31+AG1073,IF(AF1073&lt;=11,186+(AF1073-7)*30+AG1073,336+AG1073))-1,""))</f>
        <v/>
      </c>
      <c r="AI1073" s="7" t="str">
        <f aca="false">IF(W1073="","",W1073&amp;"-"&amp;TEXT(X1073,"00"))</f>
        <v/>
      </c>
      <c r="AJ1073" s="7" t="str">
        <f aca="false">IF(W1073="","",W1073*12+X1073)</f>
        <v/>
      </c>
      <c r="AK1073" s="7" t="str">
        <f aca="false">IF(U1073="تاخیر",V1073+ROW()/100000,"")</f>
        <v/>
      </c>
    </row>
    <row r="1074" customFormat="false" ht="15" hidden="false" customHeight="false" outlineLevel="0" collapsed="false">
      <c r="A1074" s="7" t="str">
        <f aca="false">IF(B1074="","",ROW()-3)</f>
        <v/>
      </c>
      <c r="B1074" s="8"/>
      <c r="C1074" s="8"/>
      <c r="D1074" s="8"/>
      <c r="E1074" s="9"/>
      <c r="F1074" s="9"/>
      <c r="G1074" s="8"/>
      <c r="H1074" s="8"/>
      <c r="I1074" s="8"/>
      <c r="J1074" s="9"/>
      <c r="K1074" s="8"/>
      <c r="L1074" s="8"/>
      <c r="M1074" s="8"/>
      <c r="N1074" s="8"/>
      <c r="O1074" s="8"/>
      <c r="P1074" s="8"/>
      <c r="Q1074" s="8"/>
      <c r="R1074" s="9"/>
      <c r="S1074" s="8"/>
      <c r="T1074" s="9"/>
      <c r="U1074" s="10" t="str">
        <f aca="true">IF(B1074="","",IF(OR(P1074&lt;&gt;"",I1074="می‌باشد"),"بسته",IF(AND(L1074&lt;&gt;"",W1074=""),"خطای فرمت تاریخ ایجاد",IF(AND(H1074&lt;&gt;"",AA1074=""),"خطای فرمت مهلت",IF(AND(H1074&lt;&gt;"",AD1074&lt;&gt;"",TODAY()&gt;AD1074),"تاخیر",IF(L1074&lt;&gt;"","در حال انجام",""))))))</f>
        <v/>
      </c>
      <c r="V1074" s="7" t="n">
        <f aca="true">IF(U1074="تاخیر",TODAY()-AD1074,IF(AND(U1074="بسته",AH1074&lt;&gt;"",AD1074&lt;&gt;"",AH1074&gt;AD1074),AH1074-AD1074,0))</f>
        <v>0</v>
      </c>
      <c r="W1074" s="7" t="str">
        <f aca="false">IF(L1074="","",VALUE(LEFT(L1074,FIND("/",L1074)-1)))</f>
        <v/>
      </c>
      <c r="X1074" s="7" t="str">
        <f aca="false">IF(L1074="","",VALUE(MID(L1074,FIND("/",L1074)+1,FIND("/",L1074,FIND("/",L1074)+1)-FIND("/",L1074)-1)))</f>
        <v/>
      </c>
      <c r="Y1074" s="7" t="str">
        <f aca="false">IF(L1074="","",VALUE(MID(L1074,FIND("/",L1074,FIND("/",L1074)+1)+1,LEN(L1074)-FIND("/",L1074,FIND("/",L1074)+1))))</f>
        <v/>
      </c>
      <c r="Z1074" s="7" t="str">
        <f aca="false">IF(OR(L1074="",W1074=""),"",IFERROR(INDEX('لیست‌ها'!$Q$3:$Q$53,MATCH(W1074,'لیست‌ها'!$P$3:$P$53,0))+IF(X1074&lt;=6,(X1074-1)*31+Y1074,IF(X1074&lt;=11,186+(X1074-7)*30+Y1074,336+Y1074))-1,""))</f>
        <v/>
      </c>
      <c r="AA1074" s="7" t="str">
        <f aca="false">IF(H1074="","",VALUE(LEFT(H1074,FIND("/",H1074)-1)))</f>
        <v/>
      </c>
      <c r="AB1074" s="7" t="str">
        <f aca="false">IF(H1074="","",VALUE(MID(H1074,FIND("/",H1074)+1,FIND("/",H1074,FIND("/",H1074)+1)-FIND("/",H1074)-1)))</f>
        <v/>
      </c>
      <c r="AC1074" s="7" t="str">
        <f aca="false">IF(H1074="","",VALUE(MID(H1074,FIND("/",H1074,FIND("/",H1074)+1)+1,LEN(H1074)-FIND("/",H1074,FIND("/",H1074)+1))))</f>
        <v/>
      </c>
      <c r="AD1074" s="7" t="str">
        <f aca="false">IF(OR(H1074="",AA1074=""),"",IFERROR(INDEX('لیست‌ها'!$Q$3:$Q$53,MATCH(AA1074,'لیست‌ها'!$P$3:$P$53,0))+IF(AB1074&lt;=6,(AB1074-1)*31+AC1074,IF(AB1074&lt;=11,186+(AB1074-7)*30+AC1074,336+AC1074))-1,""))</f>
        <v/>
      </c>
      <c r="AE1074" s="7" t="str">
        <f aca="false">IF(P1074="","",VALUE(LEFT(P1074,FIND("/",P1074)-1)))</f>
        <v/>
      </c>
      <c r="AF1074" s="7" t="str">
        <f aca="false">IF(P1074="","",VALUE(MID(P1074,FIND("/",P1074)+1,FIND("/",P1074,FIND("/",P1074)+1)-FIND("/",P1074)-1)))</f>
        <v/>
      </c>
      <c r="AG1074" s="7" t="str">
        <f aca="false">IF(P1074="","",VALUE(MID(P1074,FIND("/",P1074,FIND("/",P1074)+1)+1,LEN(P1074)-FIND("/",P1074,FIND("/",P1074)+1))))</f>
        <v/>
      </c>
      <c r="AH1074" s="7" t="str">
        <f aca="false">IF(OR(P1074="",AE1074=""),"",IFERROR(INDEX('لیست‌ها'!$Q$3:$Q$53,MATCH(AE1074,'لیست‌ها'!$P$3:$P$53,0))+IF(AF1074&lt;=6,(AF1074-1)*31+AG1074,IF(AF1074&lt;=11,186+(AF1074-7)*30+AG1074,336+AG1074))-1,""))</f>
        <v/>
      </c>
      <c r="AI1074" s="7" t="str">
        <f aca="false">IF(W1074="","",W1074&amp;"-"&amp;TEXT(X1074,"00"))</f>
        <v/>
      </c>
      <c r="AJ1074" s="7" t="str">
        <f aca="false">IF(W1074="","",W1074*12+X1074)</f>
        <v/>
      </c>
      <c r="AK1074" s="7" t="str">
        <f aca="false">IF(U1074="تاخیر",V1074+ROW()/100000,"")</f>
        <v/>
      </c>
    </row>
    <row r="1075" customFormat="false" ht="15" hidden="false" customHeight="false" outlineLevel="0" collapsed="false">
      <c r="A1075" s="7" t="str">
        <f aca="false">IF(B1075="","",ROW()-3)</f>
        <v/>
      </c>
      <c r="B1075" s="8"/>
      <c r="C1075" s="8"/>
      <c r="D1075" s="8"/>
      <c r="E1075" s="9"/>
      <c r="F1075" s="9"/>
      <c r="G1075" s="8"/>
      <c r="H1075" s="8"/>
      <c r="I1075" s="8"/>
      <c r="J1075" s="9"/>
      <c r="K1075" s="8"/>
      <c r="L1075" s="8"/>
      <c r="M1075" s="8"/>
      <c r="N1075" s="8"/>
      <c r="O1075" s="8"/>
      <c r="P1075" s="8"/>
      <c r="Q1075" s="8"/>
      <c r="R1075" s="9"/>
      <c r="S1075" s="8"/>
      <c r="T1075" s="9"/>
      <c r="U1075" s="10" t="str">
        <f aca="true">IF(B1075="","",IF(OR(P1075&lt;&gt;"",I1075="می‌باشد"),"بسته",IF(AND(L1075&lt;&gt;"",W1075=""),"خطای فرمت تاریخ ایجاد",IF(AND(H1075&lt;&gt;"",AA1075=""),"خطای فرمت مهلت",IF(AND(H1075&lt;&gt;"",AD1075&lt;&gt;"",TODAY()&gt;AD1075),"تاخیر",IF(L1075&lt;&gt;"","در حال انجام",""))))))</f>
        <v/>
      </c>
      <c r="V1075" s="7" t="n">
        <f aca="true">IF(U1075="تاخیر",TODAY()-AD1075,IF(AND(U1075="بسته",AH1075&lt;&gt;"",AD1075&lt;&gt;"",AH1075&gt;AD1075),AH1075-AD1075,0))</f>
        <v>0</v>
      </c>
      <c r="W1075" s="7" t="str">
        <f aca="false">IF(L1075="","",VALUE(LEFT(L1075,FIND("/",L1075)-1)))</f>
        <v/>
      </c>
      <c r="X1075" s="7" t="str">
        <f aca="false">IF(L1075="","",VALUE(MID(L1075,FIND("/",L1075)+1,FIND("/",L1075,FIND("/",L1075)+1)-FIND("/",L1075)-1)))</f>
        <v/>
      </c>
      <c r="Y1075" s="7" t="str">
        <f aca="false">IF(L1075="","",VALUE(MID(L1075,FIND("/",L1075,FIND("/",L1075)+1)+1,LEN(L1075)-FIND("/",L1075,FIND("/",L1075)+1))))</f>
        <v/>
      </c>
      <c r="Z1075" s="7" t="str">
        <f aca="false">IF(OR(L1075="",W1075=""),"",IFERROR(INDEX('لیست‌ها'!$Q$3:$Q$53,MATCH(W1075,'لیست‌ها'!$P$3:$P$53,0))+IF(X1075&lt;=6,(X1075-1)*31+Y1075,IF(X1075&lt;=11,186+(X1075-7)*30+Y1075,336+Y1075))-1,""))</f>
        <v/>
      </c>
      <c r="AA1075" s="7" t="str">
        <f aca="false">IF(H1075="","",VALUE(LEFT(H1075,FIND("/",H1075)-1)))</f>
        <v/>
      </c>
      <c r="AB1075" s="7" t="str">
        <f aca="false">IF(H1075="","",VALUE(MID(H1075,FIND("/",H1075)+1,FIND("/",H1075,FIND("/",H1075)+1)-FIND("/",H1075)-1)))</f>
        <v/>
      </c>
      <c r="AC1075" s="7" t="str">
        <f aca="false">IF(H1075="","",VALUE(MID(H1075,FIND("/",H1075,FIND("/",H1075)+1)+1,LEN(H1075)-FIND("/",H1075,FIND("/",H1075)+1))))</f>
        <v/>
      </c>
      <c r="AD1075" s="7" t="str">
        <f aca="false">IF(OR(H1075="",AA1075=""),"",IFERROR(INDEX('لیست‌ها'!$Q$3:$Q$53,MATCH(AA1075,'لیست‌ها'!$P$3:$P$53,0))+IF(AB1075&lt;=6,(AB1075-1)*31+AC1075,IF(AB1075&lt;=11,186+(AB1075-7)*30+AC1075,336+AC1075))-1,""))</f>
        <v/>
      </c>
      <c r="AE1075" s="7" t="str">
        <f aca="false">IF(P1075="","",VALUE(LEFT(P1075,FIND("/",P1075)-1)))</f>
        <v/>
      </c>
      <c r="AF1075" s="7" t="str">
        <f aca="false">IF(P1075="","",VALUE(MID(P1075,FIND("/",P1075)+1,FIND("/",P1075,FIND("/",P1075)+1)-FIND("/",P1075)-1)))</f>
        <v/>
      </c>
      <c r="AG1075" s="7" t="str">
        <f aca="false">IF(P1075="","",VALUE(MID(P1075,FIND("/",P1075,FIND("/",P1075)+1)+1,LEN(P1075)-FIND("/",P1075,FIND("/",P1075)+1))))</f>
        <v/>
      </c>
      <c r="AH1075" s="7" t="str">
        <f aca="false">IF(OR(P1075="",AE1075=""),"",IFERROR(INDEX('لیست‌ها'!$Q$3:$Q$53,MATCH(AE1075,'لیست‌ها'!$P$3:$P$53,0))+IF(AF1075&lt;=6,(AF1075-1)*31+AG1075,IF(AF1075&lt;=11,186+(AF1075-7)*30+AG1075,336+AG1075))-1,""))</f>
        <v/>
      </c>
      <c r="AI1075" s="7" t="str">
        <f aca="false">IF(W1075="","",W1075&amp;"-"&amp;TEXT(X1075,"00"))</f>
        <v/>
      </c>
      <c r="AJ1075" s="7" t="str">
        <f aca="false">IF(W1075="","",W1075*12+X1075)</f>
        <v/>
      </c>
      <c r="AK1075" s="7" t="str">
        <f aca="false">IF(U1075="تاخیر",V1075+ROW()/100000,"")</f>
        <v/>
      </c>
    </row>
    <row r="1076" customFormat="false" ht="15" hidden="false" customHeight="false" outlineLevel="0" collapsed="false">
      <c r="A1076" s="7" t="str">
        <f aca="false">IF(B1076="","",ROW()-3)</f>
        <v/>
      </c>
      <c r="B1076" s="8"/>
      <c r="C1076" s="8"/>
      <c r="D1076" s="8"/>
      <c r="E1076" s="9"/>
      <c r="F1076" s="9"/>
      <c r="G1076" s="8"/>
      <c r="H1076" s="8"/>
      <c r="I1076" s="8"/>
      <c r="J1076" s="9"/>
      <c r="K1076" s="8"/>
      <c r="L1076" s="8"/>
      <c r="M1076" s="8"/>
      <c r="N1076" s="8"/>
      <c r="O1076" s="8"/>
      <c r="P1076" s="8"/>
      <c r="Q1076" s="8"/>
      <c r="R1076" s="9"/>
      <c r="S1076" s="8"/>
      <c r="T1076" s="9"/>
      <c r="U1076" s="10" t="str">
        <f aca="true">IF(B1076="","",IF(OR(P1076&lt;&gt;"",I1076="می‌باشد"),"بسته",IF(AND(L1076&lt;&gt;"",W1076=""),"خطای فرمت تاریخ ایجاد",IF(AND(H1076&lt;&gt;"",AA1076=""),"خطای فرمت مهلت",IF(AND(H1076&lt;&gt;"",AD1076&lt;&gt;"",TODAY()&gt;AD1076),"تاخیر",IF(L1076&lt;&gt;"","در حال انجام",""))))))</f>
        <v/>
      </c>
      <c r="V1076" s="7" t="n">
        <f aca="true">IF(U1076="تاخیر",TODAY()-AD1076,IF(AND(U1076="بسته",AH1076&lt;&gt;"",AD1076&lt;&gt;"",AH1076&gt;AD1076),AH1076-AD1076,0))</f>
        <v>0</v>
      </c>
      <c r="W1076" s="7" t="str">
        <f aca="false">IF(L1076="","",VALUE(LEFT(L1076,FIND("/",L1076)-1)))</f>
        <v/>
      </c>
      <c r="X1076" s="7" t="str">
        <f aca="false">IF(L1076="","",VALUE(MID(L1076,FIND("/",L1076)+1,FIND("/",L1076,FIND("/",L1076)+1)-FIND("/",L1076)-1)))</f>
        <v/>
      </c>
      <c r="Y1076" s="7" t="str">
        <f aca="false">IF(L1076="","",VALUE(MID(L1076,FIND("/",L1076,FIND("/",L1076)+1)+1,LEN(L1076)-FIND("/",L1076,FIND("/",L1076)+1))))</f>
        <v/>
      </c>
      <c r="Z1076" s="7" t="str">
        <f aca="false">IF(OR(L1076="",W1076=""),"",IFERROR(INDEX('لیست‌ها'!$Q$3:$Q$53,MATCH(W1076,'لیست‌ها'!$P$3:$P$53,0))+IF(X1076&lt;=6,(X1076-1)*31+Y1076,IF(X1076&lt;=11,186+(X1076-7)*30+Y1076,336+Y1076))-1,""))</f>
        <v/>
      </c>
      <c r="AA1076" s="7" t="str">
        <f aca="false">IF(H1076="","",VALUE(LEFT(H1076,FIND("/",H1076)-1)))</f>
        <v/>
      </c>
      <c r="AB1076" s="7" t="str">
        <f aca="false">IF(H1076="","",VALUE(MID(H1076,FIND("/",H1076)+1,FIND("/",H1076,FIND("/",H1076)+1)-FIND("/",H1076)-1)))</f>
        <v/>
      </c>
      <c r="AC1076" s="7" t="str">
        <f aca="false">IF(H1076="","",VALUE(MID(H1076,FIND("/",H1076,FIND("/",H1076)+1)+1,LEN(H1076)-FIND("/",H1076,FIND("/",H1076)+1))))</f>
        <v/>
      </c>
      <c r="AD1076" s="7" t="str">
        <f aca="false">IF(OR(H1076="",AA1076=""),"",IFERROR(INDEX('لیست‌ها'!$Q$3:$Q$53,MATCH(AA1076,'لیست‌ها'!$P$3:$P$53,0))+IF(AB1076&lt;=6,(AB1076-1)*31+AC1076,IF(AB1076&lt;=11,186+(AB1076-7)*30+AC1076,336+AC1076))-1,""))</f>
        <v/>
      </c>
      <c r="AE1076" s="7" t="str">
        <f aca="false">IF(P1076="","",VALUE(LEFT(P1076,FIND("/",P1076)-1)))</f>
        <v/>
      </c>
      <c r="AF1076" s="7" t="str">
        <f aca="false">IF(P1076="","",VALUE(MID(P1076,FIND("/",P1076)+1,FIND("/",P1076,FIND("/",P1076)+1)-FIND("/",P1076)-1)))</f>
        <v/>
      </c>
      <c r="AG1076" s="7" t="str">
        <f aca="false">IF(P1076="","",VALUE(MID(P1076,FIND("/",P1076,FIND("/",P1076)+1)+1,LEN(P1076)-FIND("/",P1076,FIND("/",P1076)+1))))</f>
        <v/>
      </c>
      <c r="AH1076" s="7" t="str">
        <f aca="false">IF(OR(P1076="",AE1076=""),"",IFERROR(INDEX('لیست‌ها'!$Q$3:$Q$53,MATCH(AE1076,'لیست‌ها'!$P$3:$P$53,0))+IF(AF1076&lt;=6,(AF1076-1)*31+AG1076,IF(AF1076&lt;=11,186+(AF1076-7)*30+AG1076,336+AG1076))-1,""))</f>
        <v/>
      </c>
      <c r="AI1076" s="7" t="str">
        <f aca="false">IF(W1076="","",W1076&amp;"-"&amp;TEXT(X1076,"00"))</f>
        <v/>
      </c>
      <c r="AJ1076" s="7" t="str">
        <f aca="false">IF(W1076="","",W1076*12+X1076)</f>
        <v/>
      </c>
      <c r="AK1076" s="7" t="str">
        <f aca="false">IF(U1076="تاخیر",V1076+ROW()/100000,"")</f>
        <v/>
      </c>
    </row>
    <row r="1077" customFormat="false" ht="15" hidden="false" customHeight="false" outlineLevel="0" collapsed="false">
      <c r="A1077" s="7" t="str">
        <f aca="false">IF(B1077="","",ROW()-3)</f>
        <v/>
      </c>
      <c r="B1077" s="8"/>
      <c r="C1077" s="8"/>
      <c r="D1077" s="8"/>
      <c r="E1077" s="9"/>
      <c r="F1077" s="9"/>
      <c r="G1077" s="8"/>
      <c r="H1077" s="8"/>
      <c r="I1077" s="8"/>
      <c r="J1077" s="9"/>
      <c r="K1077" s="8"/>
      <c r="L1077" s="8"/>
      <c r="M1077" s="8"/>
      <c r="N1077" s="8"/>
      <c r="O1077" s="8"/>
      <c r="P1077" s="8"/>
      <c r="Q1077" s="8"/>
      <c r="R1077" s="9"/>
      <c r="S1077" s="8"/>
      <c r="T1077" s="9"/>
      <c r="U1077" s="10" t="str">
        <f aca="true">IF(B1077="","",IF(OR(P1077&lt;&gt;"",I1077="می‌باشد"),"بسته",IF(AND(L1077&lt;&gt;"",W1077=""),"خطای فرمت تاریخ ایجاد",IF(AND(H1077&lt;&gt;"",AA1077=""),"خطای فرمت مهلت",IF(AND(H1077&lt;&gt;"",AD1077&lt;&gt;"",TODAY()&gt;AD1077),"تاخیر",IF(L1077&lt;&gt;"","در حال انجام",""))))))</f>
        <v/>
      </c>
      <c r="V1077" s="7" t="n">
        <f aca="true">IF(U1077="تاخیر",TODAY()-AD1077,IF(AND(U1077="بسته",AH1077&lt;&gt;"",AD1077&lt;&gt;"",AH1077&gt;AD1077),AH1077-AD1077,0))</f>
        <v>0</v>
      </c>
      <c r="W1077" s="7" t="str">
        <f aca="false">IF(L1077="","",VALUE(LEFT(L1077,FIND("/",L1077)-1)))</f>
        <v/>
      </c>
      <c r="X1077" s="7" t="str">
        <f aca="false">IF(L1077="","",VALUE(MID(L1077,FIND("/",L1077)+1,FIND("/",L1077,FIND("/",L1077)+1)-FIND("/",L1077)-1)))</f>
        <v/>
      </c>
      <c r="Y1077" s="7" t="str">
        <f aca="false">IF(L1077="","",VALUE(MID(L1077,FIND("/",L1077,FIND("/",L1077)+1)+1,LEN(L1077)-FIND("/",L1077,FIND("/",L1077)+1))))</f>
        <v/>
      </c>
      <c r="Z1077" s="7" t="str">
        <f aca="false">IF(OR(L1077="",W1077=""),"",IFERROR(INDEX('لیست‌ها'!$Q$3:$Q$53,MATCH(W1077,'لیست‌ها'!$P$3:$P$53,0))+IF(X1077&lt;=6,(X1077-1)*31+Y1077,IF(X1077&lt;=11,186+(X1077-7)*30+Y1077,336+Y1077))-1,""))</f>
        <v/>
      </c>
      <c r="AA1077" s="7" t="str">
        <f aca="false">IF(H1077="","",VALUE(LEFT(H1077,FIND("/",H1077)-1)))</f>
        <v/>
      </c>
      <c r="AB1077" s="7" t="str">
        <f aca="false">IF(H1077="","",VALUE(MID(H1077,FIND("/",H1077)+1,FIND("/",H1077,FIND("/",H1077)+1)-FIND("/",H1077)-1)))</f>
        <v/>
      </c>
      <c r="AC1077" s="7" t="str">
        <f aca="false">IF(H1077="","",VALUE(MID(H1077,FIND("/",H1077,FIND("/",H1077)+1)+1,LEN(H1077)-FIND("/",H1077,FIND("/",H1077)+1))))</f>
        <v/>
      </c>
      <c r="AD1077" s="7" t="str">
        <f aca="false">IF(OR(H1077="",AA1077=""),"",IFERROR(INDEX('لیست‌ها'!$Q$3:$Q$53,MATCH(AA1077,'لیست‌ها'!$P$3:$P$53,0))+IF(AB1077&lt;=6,(AB1077-1)*31+AC1077,IF(AB1077&lt;=11,186+(AB1077-7)*30+AC1077,336+AC1077))-1,""))</f>
        <v/>
      </c>
      <c r="AE1077" s="7" t="str">
        <f aca="false">IF(P1077="","",VALUE(LEFT(P1077,FIND("/",P1077)-1)))</f>
        <v/>
      </c>
      <c r="AF1077" s="7" t="str">
        <f aca="false">IF(P1077="","",VALUE(MID(P1077,FIND("/",P1077)+1,FIND("/",P1077,FIND("/",P1077)+1)-FIND("/",P1077)-1)))</f>
        <v/>
      </c>
      <c r="AG1077" s="7" t="str">
        <f aca="false">IF(P1077="","",VALUE(MID(P1077,FIND("/",P1077,FIND("/",P1077)+1)+1,LEN(P1077)-FIND("/",P1077,FIND("/",P1077)+1))))</f>
        <v/>
      </c>
      <c r="AH1077" s="7" t="str">
        <f aca="false">IF(OR(P1077="",AE1077=""),"",IFERROR(INDEX('لیست‌ها'!$Q$3:$Q$53,MATCH(AE1077,'لیست‌ها'!$P$3:$P$53,0))+IF(AF1077&lt;=6,(AF1077-1)*31+AG1077,IF(AF1077&lt;=11,186+(AF1077-7)*30+AG1077,336+AG1077))-1,""))</f>
        <v/>
      </c>
      <c r="AI1077" s="7" t="str">
        <f aca="false">IF(W1077="","",W1077&amp;"-"&amp;TEXT(X1077,"00"))</f>
        <v/>
      </c>
      <c r="AJ1077" s="7" t="str">
        <f aca="false">IF(W1077="","",W1077*12+X1077)</f>
        <v/>
      </c>
      <c r="AK1077" s="7" t="str">
        <f aca="false">IF(U1077="تاخیر",V1077+ROW()/100000,"")</f>
        <v/>
      </c>
    </row>
    <row r="1078" customFormat="false" ht="15" hidden="false" customHeight="false" outlineLevel="0" collapsed="false">
      <c r="A1078" s="7" t="str">
        <f aca="false">IF(B1078="","",ROW()-3)</f>
        <v/>
      </c>
      <c r="B1078" s="8"/>
      <c r="C1078" s="8"/>
      <c r="D1078" s="8"/>
      <c r="E1078" s="9"/>
      <c r="F1078" s="9"/>
      <c r="G1078" s="8"/>
      <c r="H1078" s="8"/>
      <c r="I1078" s="8"/>
      <c r="J1078" s="9"/>
      <c r="K1078" s="8"/>
      <c r="L1078" s="8"/>
      <c r="M1078" s="8"/>
      <c r="N1078" s="8"/>
      <c r="O1078" s="8"/>
      <c r="P1078" s="8"/>
      <c r="Q1078" s="8"/>
      <c r="R1078" s="9"/>
      <c r="S1078" s="8"/>
      <c r="T1078" s="9"/>
      <c r="U1078" s="10" t="str">
        <f aca="true">IF(B1078="","",IF(OR(P1078&lt;&gt;"",I1078="می‌باشد"),"بسته",IF(AND(L1078&lt;&gt;"",W1078=""),"خطای فرمت تاریخ ایجاد",IF(AND(H1078&lt;&gt;"",AA1078=""),"خطای فرمت مهلت",IF(AND(H1078&lt;&gt;"",AD1078&lt;&gt;"",TODAY()&gt;AD1078),"تاخیر",IF(L1078&lt;&gt;"","در حال انجام",""))))))</f>
        <v/>
      </c>
      <c r="V1078" s="7" t="n">
        <f aca="true">IF(U1078="تاخیر",TODAY()-AD1078,IF(AND(U1078="بسته",AH1078&lt;&gt;"",AD1078&lt;&gt;"",AH1078&gt;AD1078),AH1078-AD1078,0))</f>
        <v>0</v>
      </c>
      <c r="W1078" s="7" t="str">
        <f aca="false">IF(L1078="","",VALUE(LEFT(L1078,FIND("/",L1078)-1)))</f>
        <v/>
      </c>
      <c r="X1078" s="7" t="str">
        <f aca="false">IF(L1078="","",VALUE(MID(L1078,FIND("/",L1078)+1,FIND("/",L1078,FIND("/",L1078)+1)-FIND("/",L1078)-1)))</f>
        <v/>
      </c>
      <c r="Y1078" s="7" t="str">
        <f aca="false">IF(L1078="","",VALUE(MID(L1078,FIND("/",L1078,FIND("/",L1078)+1)+1,LEN(L1078)-FIND("/",L1078,FIND("/",L1078)+1))))</f>
        <v/>
      </c>
      <c r="Z1078" s="7" t="str">
        <f aca="false">IF(OR(L1078="",W1078=""),"",IFERROR(INDEX('لیست‌ها'!$Q$3:$Q$53,MATCH(W1078,'لیست‌ها'!$P$3:$P$53,0))+IF(X1078&lt;=6,(X1078-1)*31+Y1078,IF(X1078&lt;=11,186+(X1078-7)*30+Y1078,336+Y1078))-1,""))</f>
        <v/>
      </c>
      <c r="AA1078" s="7" t="str">
        <f aca="false">IF(H1078="","",VALUE(LEFT(H1078,FIND("/",H1078)-1)))</f>
        <v/>
      </c>
      <c r="AB1078" s="7" t="str">
        <f aca="false">IF(H1078="","",VALUE(MID(H1078,FIND("/",H1078)+1,FIND("/",H1078,FIND("/",H1078)+1)-FIND("/",H1078)-1)))</f>
        <v/>
      </c>
      <c r="AC1078" s="7" t="str">
        <f aca="false">IF(H1078="","",VALUE(MID(H1078,FIND("/",H1078,FIND("/",H1078)+1)+1,LEN(H1078)-FIND("/",H1078,FIND("/",H1078)+1))))</f>
        <v/>
      </c>
      <c r="AD1078" s="7" t="str">
        <f aca="false">IF(OR(H1078="",AA1078=""),"",IFERROR(INDEX('لیست‌ها'!$Q$3:$Q$53,MATCH(AA1078,'لیست‌ها'!$P$3:$P$53,0))+IF(AB1078&lt;=6,(AB1078-1)*31+AC1078,IF(AB1078&lt;=11,186+(AB1078-7)*30+AC1078,336+AC1078))-1,""))</f>
        <v/>
      </c>
      <c r="AE1078" s="7" t="str">
        <f aca="false">IF(P1078="","",VALUE(LEFT(P1078,FIND("/",P1078)-1)))</f>
        <v/>
      </c>
      <c r="AF1078" s="7" t="str">
        <f aca="false">IF(P1078="","",VALUE(MID(P1078,FIND("/",P1078)+1,FIND("/",P1078,FIND("/",P1078)+1)-FIND("/",P1078)-1)))</f>
        <v/>
      </c>
      <c r="AG1078" s="7" t="str">
        <f aca="false">IF(P1078="","",VALUE(MID(P1078,FIND("/",P1078,FIND("/",P1078)+1)+1,LEN(P1078)-FIND("/",P1078,FIND("/",P1078)+1))))</f>
        <v/>
      </c>
      <c r="AH1078" s="7" t="str">
        <f aca="false">IF(OR(P1078="",AE1078=""),"",IFERROR(INDEX('لیست‌ها'!$Q$3:$Q$53,MATCH(AE1078,'لیست‌ها'!$P$3:$P$53,0))+IF(AF1078&lt;=6,(AF1078-1)*31+AG1078,IF(AF1078&lt;=11,186+(AF1078-7)*30+AG1078,336+AG1078))-1,""))</f>
        <v/>
      </c>
      <c r="AI1078" s="7" t="str">
        <f aca="false">IF(W1078="","",W1078&amp;"-"&amp;TEXT(X1078,"00"))</f>
        <v/>
      </c>
      <c r="AJ1078" s="7" t="str">
        <f aca="false">IF(W1078="","",W1078*12+X1078)</f>
        <v/>
      </c>
      <c r="AK1078" s="7" t="str">
        <f aca="false">IF(U1078="تاخیر",V1078+ROW()/100000,"")</f>
        <v/>
      </c>
    </row>
    <row r="1079" customFormat="false" ht="15" hidden="false" customHeight="false" outlineLevel="0" collapsed="false">
      <c r="A1079" s="7" t="str">
        <f aca="false">IF(B1079="","",ROW()-3)</f>
        <v/>
      </c>
      <c r="B1079" s="8"/>
      <c r="C1079" s="8"/>
      <c r="D1079" s="8"/>
      <c r="E1079" s="9"/>
      <c r="F1079" s="9"/>
      <c r="G1079" s="8"/>
      <c r="H1079" s="8"/>
      <c r="I1079" s="8"/>
      <c r="J1079" s="9"/>
      <c r="K1079" s="8"/>
      <c r="L1079" s="8"/>
      <c r="M1079" s="8"/>
      <c r="N1079" s="8"/>
      <c r="O1079" s="8"/>
      <c r="P1079" s="8"/>
      <c r="Q1079" s="8"/>
      <c r="R1079" s="9"/>
      <c r="S1079" s="8"/>
      <c r="T1079" s="9"/>
      <c r="U1079" s="10" t="str">
        <f aca="true">IF(B1079="","",IF(OR(P1079&lt;&gt;"",I1079="می‌باشد"),"بسته",IF(AND(L1079&lt;&gt;"",W1079=""),"خطای فرمت تاریخ ایجاد",IF(AND(H1079&lt;&gt;"",AA1079=""),"خطای فرمت مهلت",IF(AND(H1079&lt;&gt;"",AD1079&lt;&gt;"",TODAY()&gt;AD1079),"تاخیر",IF(L1079&lt;&gt;"","در حال انجام",""))))))</f>
        <v/>
      </c>
      <c r="V1079" s="7" t="n">
        <f aca="true">IF(U1079="تاخیر",TODAY()-AD1079,IF(AND(U1079="بسته",AH1079&lt;&gt;"",AD1079&lt;&gt;"",AH1079&gt;AD1079),AH1079-AD1079,0))</f>
        <v>0</v>
      </c>
      <c r="W1079" s="7" t="str">
        <f aca="false">IF(L1079="","",VALUE(LEFT(L1079,FIND("/",L1079)-1)))</f>
        <v/>
      </c>
      <c r="X1079" s="7" t="str">
        <f aca="false">IF(L1079="","",VALUE(MID(L1079,FIND("/",L1079)+1,FIND("/",L1079,FIND("/",L1079)+1)-FIND("/",L1079)-1)))</f>
        <v/>
      </c>
      <c r="Y1079" s="7" t="str">
        <f aca="false">IF(L1079="","",VALUE(MID(L1079,FIND("/",L1079,FIND("/",L1079)+1)+1,LEN(L1079)-FIND("/",L1079,FIND("/",L1079)+1))))</f>
        <v/>
      </c>
      <c r="Z1079" s="7" t="str">
        <f aca="false">IF(OR(L1079="",W1079=""),"",IFERROR(INDEX('لیست‌ها'!$Q$3:$Q$53,MATCH(W1079,'لیست‌ها'!$P$3:$P$53,0))+IF(X1079&lt;=6,(X1079-1)*31+Y1079,IF(X1079&lt;=11,186+(X1079-7)*30+Y1079,336+Y1079))-1,""))</f>
        <v/>
      </c>
      <c r="AA1079" s="7" t="str">
        <f aca="false">IF(H1079="","",VALUE(LEFT(H1079,FIND("/",H1079)-1)))</f>
        <v/>
      </c>
      <c r="AB1079" s="7" t="str">
        <f aca="false">IF(H1079="","",VALUE(MID(H1079,FIND("/",H1079)+1,FIND("/",H1079,FIND("/",H1079)+1)-FIND("/",H1079)-1)))</f>
        <v/>
      </c>
      <c r="AC1079" s="7" t="str">
        <f aca="false">IF(H1079="","",VALUE(MID(H1079,FIND("/",H1079,FIND("/",H1079)+1)+1,LEN(H1079)-FIND("/",H1079,FIND("/",H1079)+1))))</f>
        <v/>
      </c>
      <c r="AD1079" s="7" t="str">
        <f aca="false">IF(OR(H1079="",AA1079=""),"",IFERROR(INDEX('لیست‌ها'!$Q$3:$Q$53,MATCH(AA1079,'لیست‌ها'!$P$3:$P$53,0))+IF(AB1079&lt;=6,(AB1079-1)*31+AC1079,IF(AB1079&lt;=11,186+(AB1079-7)*30+AC1079,336+AC1079))-1,""))</f>
        <v/>
      </c>
      <c r="AE1079" s="7" t="str">
        <f aca="false">IF(P1079="","",VALUE(LEFT(P1079,FIND("/",P1079)-1)))</f>
        <v/>
      </c>
      <c r="AF1079" s="7" t="str">
        <f aca="false">IF(P1079="","",VALUE(MID(P1079,FIND("/",P1079)+1,FIND("/",P1079,FIND("/",P1079)+1)-FIND("/",P1079)-1)))</f>
        <v/>
      </c>
      <c r="AG1079" s="7" t="str">
        <f aca="false">IF(P1079="","",VALUE(MID(P1079,FIND("/",P1079,FIND("/",P1079)+1)+1,LEN(P1079)-FIND("/",P1079,FIND("/",P1079)+1))))</f>
        <v/>
      </c>
      <c r="AH1079" s="7" t="str">
        <f aca="false">IF(OR(P1079="",AE1079=""),"",IFERROR(INDEX('لیست‌ها'!$Q$3:$Q$53,MATCH(AE1079,'لیست‌ها'!$P$3:$P$53,0))+IF(AF1079&lt;=6,(AF1079-1)*31+AG1079,IF(AF1079&lt;=11,186+(AF1079-7)*30+AG1079,336+AG1079))-1,""))</f>
        <v/>
      </c>
      <c r="AI1079" s="7" t="str">
        <f aca="false">IF(W1079="","",W1079&amp;"-"&amp;TEXT(X1079,"00"))</f>
        <v/>
      </c>
      <c r="AJ1079" s="7" t="str">
        <f aca="false">IF(W1079="","",W1079*12+X1079)</f>
        <v/>
      </c>
      <c r="AK1079" s="7" t="str">
        <f aca="false">IF(U1079="تاخیر",V1079+ROW()/100000,"")</f>
        <v/>
      </c>
    </row>
    <row r="1080" customFormat="false" ht="15" hidden="false" customHeight="false" outlineLevel="0" collapsed="false">
      <c r="A1080" s="7" t="str">
        <f aca="false">IF(B1080="","",ROW()-3)</f>
        <v/>
      </c>
      <c r="B1080" s="8"/>
      <c r="C1080" s="8"/>
      <c r="D1080" s="8"/>
      <c r="E1080" s="9"/>
      <c r="F1080" s="9"/>
      <c r="G1080" s="8"/>
      <c r="H1080" s="8"/>
      <c r="I1080" s="8"/>
      <c r="J1080" s="9"/>
      <c r="K1080" s="8"/>
      <c r="L1080" s="8"/>
      <c r="M1080" s="8"/>
      <c r="N1080" s="8"/>
      <c r="O1080" s="8"/>
      <c r="P1080" s="8"/>
      <c r="Q1080" s="8"/>
      <c r="R1080" s="9"/>
      <c r="S1080" s="8"/>
      <c r="T1080" s="9"/>
      <c r="U1080" s="10" t="str">
        <f aca="true">IF(B1080="","",IF(OR(P1080&lt;&gt;"",I1080="می‌باشد"),"بسته",IF(AND(L1080&lt;&gt;"",W1080=""),"خطای فرمت تاریخ ایجاد",IF(AND(H1080&lt;&gt;"",AA1080=""),"خطای فرمت مهلت",IF(AND(H1080&lt;&gt;"",AD1080&lt;&gt;"",TODAY()&gt;AD1080),"تاخیر",IF(L1080&lt;&gt;"","در حال انجام",""))))))</f>
        <v/>
      </c>
      <c r="V1080" s="7" t="n">
        <f aca="true">IF(U1080="تاخیر",TODAY()-AD1080,IF(AND(U1080="بسته",AH1080&lt;&gt;"",AD1080&lt;&gt;"",AH1080&gt;AD1080),AH1080-AD1080,0))</f>
        <v>0</v>
      </c>
      <c r="W1080" s="7" t="str">
        <f aca="false">IF(L1080="","",VALUE(LEFT(L1080,FIND("/",L1080)-1)))</f>
        <v/>
      </c>
      <c r="X1080" s="7" t="str">
        <f aca="false">IF(L1080="","",VALUE(MID(L1080,FIND("/",L1080)+1,FIND("/",L1080,FIND("/",L1080)+1)-FIND("/",L1080)-1)))</f>
        <v/>
      </c>
      <c r="Y1080" s="7" t="str">
        <f aca="false">IF(L1080="","",VALUE(MID(L1080,FIND("/",L1080,FIND("/",L1080)+1)+1,LEN(L1080)-FIND("/",L1080,FIND("/",L1080)+1))))</f>
        <v/>
      </c>
      <c r="Z1080" s="7" t="str">
        <f aca="false">IF(OR(L1080="",W1080=""),"",IFERROR(INDEX('لیست‌ها'!$Q$3:$Q$53,MATCH(W1080,'لیست‌ها'!$P$3:$P$53,0))+IF(X1080&lt;=6,(X1080-1)*31+Y1080,IF(X1080&lt;=11,186+(X1080-7)*30+Y1080,336+Y1080))-1,""))</f>
        <v/>
      </c>
      <c r="AA1080" s="7" t="str">
        <f aca="false">IF(H1080="","",VALUE(LEFT(H1080,FIND("/",H1080)-1)))</f>
        <v/>
      </c>
      <c r="AB1080" s="7" t="str">
        <f aca="false">IF(H1080="","",VALUE(MID(H1080,FIND("/",H1080)+1,FIND("/",H1080,FIND("/",H1080)+1)-FIND("/",H1080)-1)))</f>
        <v/>
      </c>
      <c r="AC1080" s="7" t="str">
        <f aca="false">IF(H1080="","",VALUE(MID(H1080,FIND("/",H1080,FIND("/",H1080)+1)+1,LEN(H1080)-FIND("/",H1080,FIND("/",H1080)+1))))</f>
        <v/>
      </c>
      <c r="AD1080" s="7" t="str">
        <f aca="false">IF(OR(H1080="",AA1080=""),"",IFERROR(INDEX('لیست‌ها'!$Q$3:$Q$53,MATCH(AA1080,'لیست‌ها'!$P$3:$P$53,0))+IF(AB1080&lt;=6,(AB1080-1)*31+AC1080,IF(AB1080&lt;=11,186+(AB1080-7)*30+AC1080,336+AC1080))-1,""))</f>
        <v/>
      </c>
      <c r="AE1080" s="7" t="str">
        <f aca="false">IF(P1080="","",VALUE(LEFT(P1080,FIND("/",P1080)-1)))</f>
        <v/>
      </c>
      <c r="AF1080" s="7" t="str">
        <f aca="false">IF(P1080="","",VALUE(MID(P1080,FIND("/",P1080)+1,FIND("/",P1080,FIND("/",P1080)+1)-FIND("/",P1080)-1)))</f>
        <v/>
      </c>
      <c r="AG1080" s="7" t="str">
        <f aca="false">IF(P1080="","",VALUE(MID(P1080,FIND("/",P1080,FIND("/",P1080)+1)+1,LEN(P1080)-FIND("/",P1080,FIND("/",P1080)+1))))</f>
        <v/>
      </c>
      <c r="AH1080" s="7" t="str">
        <f aca="false">IF(OR(P1080="",AE1080=""),"",IFERROR(INDEX('لیست‌ها'!$Q$3:$Q$53,MATCH(AE1080,'لیست‌ها'!$P$3:$P$53,0))+IF(AF1080&lt;=6,(AF1080-1)*31+AG1080,IF(AF1080&lt;=11,186+(AF1080-7)*30+AG1080,336+AG1080))-1,""))</f>
        <v/>
      </c>
      <c r="AI1080" s="7" t="str">
        <f aca="false">IF(W1080="","",W1080&amp;"-"&amp;TEXT(X1080,"00"))</f>
        <v/>
      </c>
      <c r="AJ1080" s="7" t="str">
        <f aca="false">IF(W1080="","",W1080*12+X1080)</f>
        <v/>
      </c>
      <c r="AK1080" s="7" t="str">
        <f aca="false">IF(U1080="تاخیر",V1080+ROW()/100000,"")</f>
        <v/>
      </c>
    </row>
    <row r="1081" customFormat="false" ht="15" hidden="false" customHeight="false" outlineLevel="0" collapsed="false">
      <c r="A1081" s="7" t="str">
        <f aca="false">IF(B1081="","",ROW()-3)</f>
        <v/>
      </c>
      <c r="B1081" s="8"/>
      <c r="C1081" s="8"/>
      <c r="D1081" s="8"/>
      <c r="E1081" s="9"/>
      <c r="F1081" s="9"/>
      <c r="G1081" s="8"/>
      <c r="H1081" s="8"/>
      <c r="I1081" s="8"/>
      <c r="J1081" s="9"/>
      <c r="K1081" s="8"/>
      <c r="L1081" s="8"/>
      <c r="M1081" s="8"/>
      <c r="N1081" s="8"/>
      <c r="O1081" s="8"/>
      <c r="P1081" s="8"/>
      <c r="Q1081" s="8"/>
      <c r="R1081" s="9"/>
      <c r="S1081" s="8"/>
      <c r="T1081" s="9"/>
      <c r="U1081" s="10" t="str">
        <f aca="true">IF(B1081="","",IF(OR(P1081&lt;&gt;"",I1081="می‌باشد"),"بسته",IF(AND(L1081&lt;&gt;"",W1081=""),"خطای فرمت تاریخ ایجاد",IF(AND(H1081&lt;&gt;"",AA1081=""),"خطای فرمت مهلت",IF(AND(H1081&lt;&gt;"",AD1081&lt;&gt;"",TODAY()&gt;AD1081),"تاخیر",IF(L1081&lt;&gt;"","در حال انجام",""))))))</f>
        <v/>
      </c>
      <c r="V1081" s="7" t="n">
        <f aca="true">IF(U1081="تاخیر",TODAY()-AD1081,IF(AND(U1081="بسته",AH1081&lt;&gt;"",AD1081&lt;&gt;"",AH1081&gt;AD1081),AH1081-AD1081,0))</f>
        <v>0</v>
      </c>
      <c r="W1081" s="7" t="str">
        <f aca="false">IF(L1081="","",VALUE(LEFT(L1081,FIND("/",L1081)-1)))</f>
        <v/>
      </c>
      <c r="X1081" s="7" t="str">
        <f aca="false">IF(L1081="","",VALUE(MID(L1081,FIND("/",L1081)+1,FIND("/",L1081,FIND("/",L1081)+1)-FIND("/",L1081)-1)))</f>
        <v/>
      </c>
      <c r="Y1081" s="7" t="str">
        <f aca="false">IF(L1081="","",VALUE(MID(L1081,FIND("/",L1081,FIND("/",L1081)+1)+1,LEN(L1081)-FIND("/",L1081,FIND("/",L1081)+1))))</f>
        <v/>
      </c>
      <c r="Z1081" s="7" t="str">
        <f aca="false">IF(OR(L1081="",W1081=""),"",IFERROR(INDEX('لیست‌ها'!$Q$3:$Q$53,MATCH(W1081,'لیست‌ها'!$P$3:$P$53,0))+IF(X1081&lt;=6,(X1081-1)*31+Y1081,IF(X1081&lt;=11,186+(X1081-7)*30+Y1081,336+Y1081))-1,""))</f>
        <v/>
      </c>
      <c r="AA1081" s="7" t="str">
        <f aca="false">IF(H1081="","",VALUE(LEFT(H1081,FIND("/",H1081)-1)))</f>
        <v/>
      </c>
      <c r="AB1081" s="7" t="str">
        <f aca="false">IF(H1081="","",VALUE(MID(H1081,FIND("/",H1081)+1,FIND("/",H1081,FIND("/",H1081)+1)-FIND("/",H1081)-1)))</f>
        <v/>
      </c>
      <c r="AC1081" s="7" t="str">
        <f aca="false">IF(H1081="","",VALUE(MID(H1081,FIND("/",H1081,FIND("/",H1081)+1)+1,LEN(H1081)-FIND("/",H1081,FIND("/",H1081)+1))))</f>
        <v/>
      </c>
      <c r="AD1081" s="7" t="str">
        <f aca="false">IF(OR(H1081="",AA1081=""),"",IFERROR(INDEX('لیست‌ها'!$Q$3:$Q$53,MATCH(AA1081,'لیست‌ها'!$P$3:$P$53,0))+IF(AB1081&lt;=6,(AB1081-1)*31+AC1081,IF(AB1081&lt;=11,186+(AB1081-7)*30+AC1081,336+AC1081))-1,""))</f>
        <v/>
      </c>
      <c r="AE1081" s="7" t="str">
        <f aca="false">IF(P1081="","",VALUE(LEFT(P1081,FIND("/",P1081)-1)))</f>
        <v/>
      </c>
      <c r="AF1081" s="7" t="str">
        <f aca="false">IF(P1081="","",VALUE(MID(P1081,FIND("/",P1081)+1,FIND("/",P1081,FIND("/",P1081)+1)-FIND("/",P1081)-1)))</f>
        <v/>
      </c>
      <c r="AG1081" s="7" t="str">
        <f aca="false">IF(P1081="","",VALUE(MID(P1081,FIND("/",P1081,FIND("/",P1081)+1)+1,LEN(P1081)-FIND("/",P1081,FIND("/",P1081)+1))))</f>
        <v/>
      </c>
      <c r="AH1081" s="7" t="str">
        <f aca="false">IF(OR(P1081="",AE1081=""),"",IFERROR(INDEX('لیست‌ها'!$Q$3:$Q$53,MATCH(AE1081,'لیست‌ها'!$P$3:$P$53,0))+IF(AF1081&lt;=6,(AF1081-1)*31+AG1081,IF(AF1081&lt;=11,186+(AF1081-7)*30+AG1081,336+AG1081))-1,""))</f>
        <v/>
      </c>
      <c r="AI1081" s="7" t="str">
        <f aca="false">IF(W1081="","",W1081&amp;"-"&amp;TEXT(X1081,"00"))</f>
        <v/>
      </c>
      <c r="AJ1081" s="7" t="str">
        <f aca="false">IF(W1081="","",W1081*12+X1081)</f>
        <v/>
      </c>
      <c r="AK1081" s="7" t="str">
        <f aca="false">IF(U1081="تاخیر",V1081+ROW()/100000,"")</f>
        <v/>
      </c>
    </row>
    <row r="1082" customFormat="false" ht="15" hidden="false" customHeight="false" outlineLevel="0" collapsed="false">
      <c r="A1082" s="7" t="str">
        <f aca="false">IF(B1082="","",ROW()-3)</f>
        <v/>
      </c>
      <c r="B1082" s="8"/>
      <c r="C1082" s="8"/>
      <c r="D1082" s="8"/>
      <c r="E1082" s="9"/>
      <c r="F1082" s="9"/>
      <c r="G1082" s="8"/>
      <c r="H1082" s="8"/>
      <c r="I1082" s="8"/>
      <c r="J1082" s="9"/>
      <c r="K1082" s="8"/>
      <c r="L1082" s="8"/>
      <c r="M1082" s="8"/>
      <c r="N1082" s="8"/>
      <c r="O1082" s="8"/>
      <c r="P1082" s="8"/>
      <c r="Q1082" s="8"/>
      <c r="R1082" s="9"/>
      <c r="S1082" s="8"/>
      <c r="T1082" s="9"/>
      <c r="U1082" s="10" t="str">
        <f aca="true">IF(B1082="","",IF(OR(P1082&lt;&gt;"",I1082="می‌باشد"),"بسته",IF(AND(L1082&lt;&gt;"",W1082=""),"خطای فرمت تاریخ ایجاد",IF(AND(H1082&lt;&gt;"",AA1082=""),"خطای فرمت مهلت",IF(AND(H1082&lt;&gt;"",AD1082&lt;&gt;"",TODAY()&gt;AD1082),"تاخیر",IF(L1082&lt;&gt;"","در حال انجام",""))))))</f>
        <v/>
      </c>
      <c r="V1082" s="7" t="n">
        <f aca="true">IF(U1082="تاخیر",TODAY()-AD1082,IF(AND(U1082="بسته",AH1082&lt;&gt;"",AD1082&lt;&gt;"",AH1082&gt;AD1082),AH1082-AD1082,0))</f>
        <v>0</v>
      </c>
      <c r="W1082" s="7" t="str">
        <f aca="false">IF(L1082="","",VALUE(LEFT(L1082,FIND("/",L1082)-1)))</f>
        <v/>
      </c>
      <c r="X1082" s="7" t="str">
        <f aca="false">IF(L1082="","",VALUE(MID(L1082,FIND("/",L1082)+1,FIND("/",L1082,FIND("/",L1082)+1)-FIND("/",L1082)-1)))</f>
        <v/>
      </c>
      <c r="Y1082" s="7" t="str">
        <f aca="false">IF(L1082="","",VALUE(MID(L1082,FIND("/",L1082,FIND("/",L1082)+1)+1,LEN(L1082)-FIND("/",L1082,FIND("/",L1082)+1))))</f>
        <v/>
      </c>
      <c r="Z1082" s="7" t="str">
        <f aca="false">IF(OR(L1082="",W1082=""),"",IFERROR(INDEX('لیست‌ها'!$Q$3:$Q$53,MATCH(W1082,'لیست‌ها'!$P$3:$P$53,0))+IF(X1082&lt;=6,(X1082-1)*31+Y1082,IF(X1082&lt;=11,186+(X1082-7)*30+Y1082,336+Y1082))-1,""))</f>
        <v/>
      </c>
      <c r="AA1082" s="7" t="str">
        <f aca="false">IF(H1082="","",VALUE(LEFT(H1082,FIND("/",H1082)-1)))</f>
        <v/>
      </c>
      <c r="AB1082" s="7" t="str">
        <f aca="false">IF(H1082="","",VALUE(MID(H1082,FIND("/",H1082)+1,FIND("/",H1082,FIND("/",H1082)+1)-FIND("/",H1082)-1)))</f>
        <v/>
      </c>
      <c r="AC1082" s="7" t="str">
        <f aca="false">IF(H1082="","",VALUE(MID(H1082,FIND("/",H1082,FIND("/",H1082)+1)+1,LEN(H1082)-FIND("/",H1082,FIND("/",H1082)+1))))</f>
        <v/>
      </c>
      <c r="AD1082" s="7" t="str">
        <f aca="false">IF(OR(H1082="",AA1082=""),"",IFERROR(INDEX('لیست‌ها'!$Q$3:$Q$53,MATCH(AA1082,'لیست‌ها'!$P$3:$P$53,0))+IF(AB1082&lt;=6,(AB1082-1)*31+AC1082,IF(AB1082&lt;=11,186+(AB1082-7)*30+AC1082,336+AC1082))-1,""))</f>
        <v/>
      </c>
      <c r="AE1082" s="7" t="str">
        <f aca="false">IF(P1082="","",VALUE(LEFT(P1082,FIND("/",P1082)-1)))</f>
        <v/>
      </c>
      <c r="AF1082" s="7" t="str">
        <f aca="false">IF(P1082="","",VALUE(MID(P1082,FIND("/",P1082)+1,FIND("/",P1082,FIND("/",P1082)+1)-FIND("/",P1082)-1)))</f>
        <v/>
      </c>
      <c r="AG1082" s="7" t="str">
        <f aca="false">IF(P1082="","",VALUE(MID(P1082,FIND("/",P1082,FIND("/",P1082)+1)+1,LEN(P1082)-FIND("/",P1082,FIND("/",P1082)+1))))</f>
        <v/>
      </c>
      <c r="AH1082" s="7" t="str">
        <f aca="false">IF(OR(P1082="",AE1082=""),"",IFERROR(INDEX('لیست‌ها'!$Q$3:$Q$53,MATCH(AE1082,'لیست‌ها'!$P$3:$P$53,0))+IF(AF1082&lt;=6,(AF1082-1)*31+AG1082,IF(AF1082&lt;=11,186+(AF1082-7)*30+AG1082,336+AG1082))-1,""))</f>
        <v/>
      </c>
      <c r="AI1082" s="7" t="str">
        <f aca="false">IF(W1082="","",W1082&amp;"-"&amp;TEXT(X1082,"00"))</f>
        <v/>
      </c>
      <c r="AJ1082" s="7" t="str">
        <f aca="false">IF(W1082="","",W1082*12+X1082)</f>
        <v/>
      </c>
      <c r="AK1082" s="7" t="str">
        <f aca="false">IF(U1082="تاخیر",V1082+ROW()/100000,"")</f>
        <v/>
      </c>
    </row>
    <row r="1083" customFormat="false" ht="15" hidden="false" customHeight="false" outlineLevel="0" collapsed="false">
      <c r="A1083" s="7" t="str">
        <f aca="false">IF(B1083="","",ROW()-3)</f>
        <v/>
      </c>
      <c r="B1083" s="8"/>
      <c r="C1083" s="8"/>
      <c r="D1083" s="8"/>
      <c r="E1083" s="9"/>
      <c r="F1083" s="9"/>
      <c r="G1083" s="8"/>
      <c r="H1083" s="8"/>
      <c r="I1083" s="8"/>
      <c r="J1083" s="9"/>
      <c r="K1083" s="8"/>
      <c r="L1083" s="8"/>
      <c r="M1083" s="8"/>
      <c r="N1083" s="8"/>
      <c r="O1083" s="8"/>
      <c r="P1083" s="8"/>
      <c r="Q1083" s="8"/>
      <c r="R1083" s="9"/>
      <c r="S1083" s="8"/>
      <c r="T1083" s="9"/>
      <c r="U1083" s="10" t="str">
        <f aca="true">IF(B1083="","",IF(OR(P1083&lt;&gt;"",I1083="می‌باشد"),"بسته",IF(AND(L1083&lt;&gt;"",W1083=""),"خطای فرمت تاریخ ایجاد",IF(AND(H1083&lt;&gt;"",AA1083=""),"خطای فرمت مهلت",IF(AND(H1083&lt;&gt;"",AD1083&lt;&gt;"",TODAY()&gt;AD1083),"تاخیر",IF(L1083&lt;&gt;"","در حال انجام",""))))))</f>
        <v/>
      </c>
      <c r="V1083" s="7" t="n">
        <f aca="true">IF(U1083="تاخیر",TODAY()-AD1083,IF(AND(U1083="بسته",AH1083&lt;&gt;"",AD1083&lt;&gt;"",AH1083&gt;AD1083),AH1083-AD1083,0))</f>
        <v>0</v>
      </c>
      <c r="W1083" s="7" t="str">
        <f aca="false">IF(L1083="","",VALUE(LEFT(L1083,FIND("/",L1083)-1)))</f>
        <v/>
      </c>
      <c r="X1083" s="7" t="str">
        <f aca="false">IF(L1083="","",VALUE(MID(L1083,FIND("/",L1083)+1,FIND("/",L1083,FIND("/",L1083)+1)-FIND("/",L1083)-1)))</f>
        <v/>
      </c>
      <c r="Y1083" s="7" t="str">
        <f aca="false">IF(L1083="","",VALUE(MID(L1083,FIND("/",L1083,FIND("/",L1083)+1)+1,LEN(L1083)-FIND("/",L1083,FIND("/",L1083)+1))))</f>
        <v/>
      </c>
      <c r="Z1083" s="7" t="str">
        <f aca="false">IF(OR(L1083="",W1083=""),"",IFERROR(INDEX('لیست‌ها'!$Q$3:$Q$53,MATCH(W1083,'لیست‌ها'!$P$3:$P$53,0))+IF(X1083&lt;=6,(X1083-1)*31+Y1083,IF(X1083&lt;=11,186+(X1083-7)*30+Y1083,336+Y1083))-1,""))</f>
        <v/>
      </c>
      <c r="AA1083" s="7" t="str">
        <f aca="false">IF(H1083="","",VALUE(LEFT(H1083,FIND("/",H1083)-1)))</f>
        <v/>
      </c>
      <c r="AB1083" s="7" t="str">
        <f aca="false">IF(H1083="","",VALUE(MID(H1083,FIND("/",H1083)+1,FIND("/",H1083,FIND("/",H1083)+1)-FIND("/",H1083)-1)))</f>
        <v/>
      </c>
      <c r="AC1083" s="7" t="str">
        <f aca="false">IF(H1083="","",VALUE(MID(H1083,FIND("/",H1083,FIND("/",H1083)+1)+1,LEN(H1083)-FIND("/",H1083,FIND("/",H1083)+1))))</f>
        <v/>
      </c>
      <c r="AD1083" s="7" t="str">
        <f aca="false">IF(OR(H1083="",AA1083=""),"",IFERROR(INDEX('لیست‌ها'!$Q$3:$Q$53,MATCH(AA1083,'لیست‌ها'!$P$3:$P$53,0))+IF(AB1083&lt;=6,(AB1083-1)*31+AC1083,IF(AB1083&lt;=11,186+(AB1083-7)*30+AC1083,336+AC1083))-1,""))</f>
        <v/>
      </c>
      <c r="AE1083" s="7" t="str">
        <f aca="false">IF(P1083="","",VALUE(LEFT(P1083,FIND("/",P1083)-1)))</f>
        <v/>
      </c>
      <c r="AF1083" s="7" t="str">
        <f aca="false">IF(P1083="","",VALUE(MID(P1083,FIND("/",P1083)+1,FIND("/",P1083,FIND("/",P1083)+1)-FIND("/",P1083)-1)))</f>
        <v/>
      </c>
      <c r="AG1083" s="7" t="str">
        <f aca="false">IF(P1083="","",VALUE(MID(P1083,FIND("/",P1083,FIND("/",P1083)+1)+1,LEN(P1083)-FIND("/",P1083,FIND("/",P1083)+1))))</f>
        <v/>
      </c>
      <c r="AH1083" s="7" t="str">
        <f aca="false">IF(OR(P1083="",AE1083=""),"",IFERROR(INDEX('لیست‌ها'!$Q$3:$Q$53,MATCH(AE1083,'لیست‌ها'!$P$3:$P$53,0))+IF(AF1083&lt;=6,(AF1083-1)*31+AG1083,IF(AF1083&lt;=11,186+(AF1083-7)*30+AG1083,336+AG1083))-1,""))</f>
        <v/>
      </c>
      <c r="AI1083" s="7" t="str">
        <f aca="false">IF(W1083="","",W1083&amp;"-"&amp;TEXT(X1083,"00"))</f>
        <v/>
      </c>
      <c r="AJ1083" s="7" t="str">
        <f aca="false">IF(W1083="","",W1083*12+X1083)</f>
        <v/>
      </c>
      <c r="AK1083" s="7" t="str">
        <f aca="false">IF(U1083="تاخیر",V1083+ROW()/100000,"")</f>
        <v/>
      </c>
    </row>
    <row r="1084" customFormat="false" ht="15" hidden="false" customHeight="false" outlineLevel="0" collapsed="false">
      <c r="A1084" s="7" t="str">
        <f aca="false">IF(B1084="","",ROW()-3)</f>
        <v/>
      </c>
      <c r="B1084" s="8"/>
      <c r="C1084" s="8"/>
      <c r="D1084" s="8"/>
      <c r="E1084" s="9"/>
      <c r="F1084" s="9"/>
      <c r="G1084" s="8"/>
      <c r="H1084" s="8"/>
      <c r="I1084" s="8"/>
      <c r="J1084" s="9"/>
      <c r="K1084" s="8"/>
      <c r="L1084" s="8"/>
      <c r="M1084" s="8"/>
      <c r="N1084" s="8"/>
      <c r="O1084" s="8"/>
      <c r="P1084" s="8"/>
      <c r="Q1084" s="8"/>
      <c r="R1084" s="9"/>
      <c r="S1084" s="8"/>
      <c r="T1084" s="9"/>
      <c r="U1084" s="10" t="str">
        <f aca="true">IF(B1084="","",IF(OR(P1084&lt;&gt;"",I1084="می‌باشد"),"بسته",IF(AND(L1084&lt;&gt;"",W1084=""),"خطای فرمت تاریخ ایجاد",IF(AND(H1084&lt;&gt;"",AA1084=""),"خطای فرمت مهلت",IF(AND(H1084&lt;&gt;"",AD1084&lt;&gt;"",TODAY()&gt;AD1084),"تاخیر",IF(L1084&lt;&gt;"","در حال انجام",""))))))</f>
        <v/>
      </c>
      <c r="V1084" s="7" t="n">
        <f aca="true">IF(U1084="تاخیر",TODAY()-AD1084,IF(AND(U1084="بسته",AH1084&lt;&gt;"",AD1084&lt;&gt;"",AH1084&gt;AD1084),AH1084-AD1084,0))</f>
        <v>0</v>
      </c>
      <c r="W1084" s="7" t="str">
        <f aca="false">IF(L1084="","",VALUE(LEFT(L1084,FIND("/",L1084)-1)))</f>
        <v/>
      </c>
      <c r="X1084" s="7" t="str">
        <f aca="false">IF(L1084="","",VALUE(MID(L1084,FIND("/",L1084)+1,FIND("/",L1084,FIND("/",L1084)+1)-FIND("/",L1084)-1)))</f>
        <v/>
      </c>
      <c r="Y1084" s="7" t="str">
        <f aca="false">IF(L1084="","",VALUE(MID(L1084,FIND("/",L1084,FIND("/",L1084)+1)+1,LEN(L1084)-FIND("/",L1084,FIND("/",L1084)+1))))</f>
        <v/>
      </c>
      <c r="Z1084" s="7" t="str">
        <f aca="false">IF(OR(L1084="",W1084=""),"",IFERROR(INDEX('لیست‌ها'!$Q$3:$Q$53,MATCH(W1084,'لیست‌ها'!$P$3:$P$53,0))+IF(X1084&lt;=6,(X1084-1)*31+Y1084,IF(X1084&lt;=11,186+(X1084-7)*30+Y1084,336+Y1084))-1,""))</f>
        <v/>
      </c>
      <c r="AA1084" s="7" t="str">
        <f aca="false">IF(H1084="","",VALUE(LEFT(H1084,FIND("/",H1084)-1)))</f>
        <v/>
      </c>
      <c r="AB1084" s="7" t="str">
        <f aca="false">IF(H1084="","",VALUE(MID(H1084,FIND("/",H1084)+1,FIND("/",H1084,FIND("/",H1084)+1)-FIND("/",H1084)-1)))</f>
        <v/>
      </c>
      <c r="AC1084" s="7" t="str">
        <f aca="false">IF(H1084="","",VALUE(MID(H1084,FIND("/",H1084,FIND("/",H1084)+1)+1,LEN(H1084)-FIND("/",H1084,FIND("/",H1084)+1))))</f>
        <v/>
      </c>
      <c r="AD1084" s="7" t="str">
        <f aca="false">IF(OR(H1084="",AA1084=""),"",IFERROR(INDEX('لیست‌ها'!$Q$3:$Q$53,MATCH(AA1084,'لیست‌ها'!$P$3:$P$53,0))+IF(AB1084&lt;=6,(AB1084-1)*31+AC1084,IF(AB1084&lt;=11,186+(AB1084-7)*30+AC1084,336+AC1084))-1,""))</f>
        <v/>
      </c>
      <c r="AE1084" s="7" t="str">
        <f aca="false">IF(P1084="","",VALUE(LEFT(P1084,FIND("/",P1084)-1)))</f>
        <v/>
      </c>
      <c r="AF1084" s="7" t="str">
        <f aca="false">IF(P1084="","",VALUE(MID(P1084,FIND("/",P1084)+1,FIND("/",P1084,FIND("/",P1084)+1)-FIND("/",P1084)-1)))</f>
        <v/>
      </c>
      <c r="AG1084" s="7" t="str">
        <f aca="false">IF(P1084="","",VALUE(MID(P1084,FIND("/",P1084,FIND("/",P1084)+1)+1,LEN(P1084)-FIND("/",P1084,FIND("/",P1084)+1))))</f>
        <v/>
      </c>
      <c r="AH1084" s="7" t="str">
        <f aca="false">IF(OR(P1084="",AE1084=""),"",IFERROR(INDEX('لیست‌ها'!$Q$3:$Q$53,MATCH(AE1084,'لیست‌ها'!$P$3:$P$53,0))+IF(AF1084&lt;=6,(AF1084-1)*31+AG1084,IF(AF1084&lt;=11,186+(AF1084-7)*30+AG1084,336+AG1084))-1,""))</f>
        <v/>
      </c>
      <c r="AI1084" s="7" t="str">
        <f aca="false">IF(W1084="","",W1084&amp;"-"&amp;TEXT(X1084,"00"))</f>
        <v/>
      </c>
      <c r="AJ1084" s="7" t="str">
        <f aca="false">IF(W1084="","",W1084*12+X1084)</f>
        <v/>
      </c>
      <c r="AK1084" s="7" t="str">
        <f aca="false">IF(U1084="تاخیر",V1084+ROW()/100000,"")</f>
        <v/>
      </c>
    </row>
    <row r="1085" customFormat="false" ht="15" hidden="false" customHeight="false" outlineLevel="0" collapsed="false">
      <c r="A1085" s="7" t="str">
        <f aca="false">IF(B1085="","",ROW()-3)</f>
        <v/>
      </c>
      <c r="B1085" s="8"/>
      <c r="C1085" s="8"/>
      <c r="D1085" s="8"/>
      <c r="E1085" s="9"/>
      <c r="F1085" s="9"/>
      <c r="G1085" s="8"/>
      <c r="H1085" s="8"/>
      <c r="I1085" s="8"/>
      <c r="J1085" s="9"/>
      <c r="K1085" s="8"/>
      <c r="L1085" s="8"/>
      <c r="M1085" s="8"/>
      <c r="N1085" s="8"/>
      <c r="O1085" s="8"/>
      <c r="P1085" s="8"/>
      <c r="Q1085" s="8"/>
      <c r="R1085" s="9"/>
      <c r="S1085" s="8"/>
      <c r="T1085" s="9"/>
      <c r="U1085" s="10" t="str">
        <f aca="true">IF(B1085="","",IF(OR(P1085&lt;&gt;"",I1085="می‌باشد"),"بسته",IF(AND(L1085&lt;&gt;"",W1085=""),"خطای فرمت تاریخ ایجاد",IF(AND(H1085&lt;&gt;"",AA1085=""),"خطای فرمت مهلت",IF(AND(H1085&lt;&gt;"",AD1085&lt;&gt;"",TODAY()&gt;AD1085),"تاخیر",IF(L1085&lt;&gt;"","در حال انجام",""))))))</f>
        <v/>
      </c>
      <c r="V1085" s="7" t="n">
        <f aca="true">IF(U1085="تاخیر",TODAY()-AD1085,IF(AND(U1085="بسته",AH1085&lt;&gt;"",AD1085&lt;&gt;"",AH1085&gt;AD1085),AH1085-AD1085,0))</f>
        <v>0</v>
      </c>
      <c r="W1085" s="7" t="str">
        <f aca="false">IF(L1085="","",VALUE(LEFT(L1085,FIND("/",L1085)-1)))</f>
        <v/>
      </c>
      <c r="X1085" s="7" t="str">
        <f aca="false">IF(L1085="","",VALUE(MID(L1085,FIND("/",L1085)+1,FIND("/",L1085,FIND("/",L1085)+1)-FIND("/",L1085)-1)))</f>
        <v/>
      </c>
      <c r="Y1085" s="7" t="str">
        <f aca="false">IF(L1085="","",VALUE(MID(L1085,FIND("/",L1085,FIND("/",L1085)+1)+1,LEN(L1085)-FIND("/",L1085,FIND("/",L1085)+1))))</f>
        <v/>
      </c>
      <c r="Z1085" s="7" t="str">
        <f aca="false">IF(OR(L1085="",W1085=""),"",IFERROR(INDEX('لیست‌ها'!$Q$3:$Q$53,MATCH(W1085,'لیست‌ها'!$P$3:$P$53,0))+IF(X1085&lt;=6,(X1085-1)*31+Y1085,IF(X1085&lt;=11,186+(X1085-7)*30+Y1085,336+Y1085))-1,""))</f>
        <v/>
      </c>
      <c r="AA1085" s="7" t="str">
        <f aca="false">IF(H1085="","",VALUE(LEFT(H1085,FIND("/",H1085)-1)))</f>
        <v/>
      </c>
      <c r="AB1085" s="7" t="str">
        <f aca="false">IF(H1085="","",VALUE(MID(H1085,FIND("/",H1085)+1,FIND("/",H1085,FIND("/",H1085)+1)-FIND("/",H1085)-1)))</f>
        <v/>
      </c>
      <c r="AC1085" s="7" t="str">
        <f aca="false">IF(H1085="","",VALUE(MID(H1085,FIND("/",H1085,FIND("/",H1085)+1)+1,LEN(H1085)-FIND("/",H1085,FIND("/",H1085)+1))))</f>
        <v/>
      </c>
      <c r="AD1085" s="7" t="str">
        <f aca="false">IF(OR(H1085="",AA1085=""),"",IFERROR(INDEX('لیست‌ها'!$Q$3:$Q$53,MATCH(AA1085,'لیست‌ها'!$P$3:$P$53,0))+IF(AB1085&lt;=6,(AB1085-1)*31+AC1085,IF(AB1085&lt;=11,186+(AB1085-7)*30+AC1085,336+AC1085))-1,""))</f>
        <v/>
      </c>
      <c r="AE1085" s="7" t="str">
        <f aca="false">IF(P1085="","",VALUE(LEFT(P1085,FIND("/",P1085)-1)))</f>
        <v/>
      </c>
      <c r="AF1085" s="7" t="str">
        <f aca="false">IF(P1085="","",VALUE(MID(P1085,FIND("/",P1085)+1,FIND("/",P1085,FIND("/",P1085)+1)-FIND("/",P1085)-1)))</f>
        <v/>
      </c>
      <c r="AG1085" s="7" t="str">
        <f aca="false">IF(P1085="","",VALUE(MID(P1085,FIND("/",P1085,FIND("/",P1085)+1)+1,LEN(P1085)-FIND("/",P1085,FIND("/",P1085)+1))))</f>
        <v/>
      </c>
      <c r="AH1085" s="7" t="str">
        <f aca="false">IF(OR(P1085="",AE1085=""),"",IFERROR(INDEX('لیست‌ها'!$Q$3:$Q$53,MATCH(AE1085,'لیست‌ها'!$P$3:$P$53,0))+IF(AF1085&lt;=6,(AF1085-1)*31+AG1085,IF(AF1085&lt;=11,186+(AF1085-7)*30+AG1085,336+AG1085))-1,""))</f>
        <v/>
      </c>
      <c r="AI1085" s="7" t="str">
        <f aca="false">IF(W1085="","",W1085&amp;"-"&amp;TEXT(X1085,"00"))</f>
        <v/>
      </c>
      <c r="AJ1085" s="7" t="str">
        <f aca="false">IF(W1085="","",W1085*12+X1085)</f>
        <v/>
      </c>
      <c r="AK1085" s="7" t="str">
        <f aca="false">IF(U1085="تاخیر",V1085+ROW()/100000,"")</f>
        <v/>
      </c>
    </row>
    <row r="1086" customFormat="false" ht="15" hidden="false" customHeight="false" outlineLevel="0" collapsed="false">
      <c r="A1086" s="7" t="str">
        <f aca="false">IF(B1086="","",ROW()-3)</f>
        <v/>
      </c>
      <c r="B1086" s="8"/>
      <c r="C1086" s="8"/>
      <c r="D1086" s="8"/>
      <c r="E1086" s="9"/>
      <c r="F1086" s="9"/>
      <c r="G1086" s="8"/>
      <c r="H1086" s="8"/>
      <c r="I1086" s="8"/>
      <c r="J1086" s="9"/>
      <c r="K1086" s="8"/>
      <c r="L1086" s="8"/>
      <c r="M1086" s="8"/>
      <c r="N1086" s="8"/>
      <c r="O1086" s="8"/>
      <c r="P1086" s="8"/>
      <c r="Q1086" s="8"/>
      <c r="R1086" s="9"/>
      <c r="S1086" s="8"/>
      <c r="T1086" s="9"/>
      <c r="U1086" s="10" t="str">
        <f aca="true">IF(B1086="","",IF(OR(P1086&lt;&gt;"",I1086="می‌باشد"),"بسته",IF(AND(L1086&lt;&gt;"",W1086=""),"خطای فرمت تاریخ ایجاد",IF(AND(H1086&lt;&gt;"",AA1086=""),"خطای فرمت مهلت",IF(AND(H1086&lt;&gt;"",AD1086&lt;&gt;"",TODAY()&gt;AD1086),"تاخیر",IF(L1086&lt;&gt;"","در حال انجام",""))))))</f>
        <v/>
      </c>
      <c r="V1086" s="7" t="n">
        <f aca="true">IF(U1086="تاخیر",TODAY()-AD1086,IF(AND(U1086="بسته",AH1086&lt;&gt;"",AD1086&lt;&gt;"",AH1086&gt;AD1086),AH1086-AD1086,0))</f>
        <v>0</v>
      </c>
      <c r="W1086" s="7" t="str">
        <f aca="false">IF(L1086="","",VALUE(LEFT(L1086,FIND("/",L1086)-1)))</f>
        <v/>
      </c>
      <c r="X1086" s="7" t="str">
        <f aca="false">IF(L1086="","",VALUE(MID(L1086,FIND("/",L1086)+1,FIND("/",L1086,FIND("/",L1086)+1)-FIND("/",L1086)-1)))</f>
        <v/>
      </c>
      <c r="Y1086" s="7" t="str">
        <f aca="false">IF(L1086="","",VALUE(MID(L1086,FIND("/",L1086,FIND("/",L1086)+1)+1,LEN(L1086)-FIND("/",L1086,FIND("/",L1086)+1))))</f>
        <v/>
      </c>
      <c r="Z1086" s="7" t="str">
        <f aca="false">IF(OR(L1086="",W1086=""),"",IFERROR(INDEX('لیست‌ها'!$Q$3:$Q$53,MATCH(W1086,'لیست‌ها'!$P$3:$P$53,0))+IF(X1086&lt;=6,(X1086-1)*31+Y1086,IF(X1086&lt;=11,186+(X1086-7)*30+Y1086,336+Y1086))-1,""))</f>
        <v/>
      </c>
      <c r="AA1086" s="7" t="str">
        <f aca="false">IF(H1086="","",VALUE(LEFT(H1086,FIND("/",H1086)-1)))</f>
        <v/>
      </c>
      <c r="AB1086" s="7" t="str">
        <f aca="false">IF(H1086="","",VALUE(MID(H1086,FIND("/",H1086)+1,FIND("/",H1086,FIND("/",H1086)+1)-FIND("/",H1086)-1)))</f>
        <v/>
      </c>
      <c r="AC1086" s="7" t="str">
        <f aca="false">IF(H1086="","",VALUE(MID(H1086,FIND("/",H1086,FIND("/",H1086)+1)+1,LEN(H1086)-FIND("/",H1086,FIND("/",H1086)+1))))</f>
        <v/>
      </c>
      <c r="AD1086" s="7" t="str">
        <f aca="false">IF(OR(H1086="",AA1086=""),"",IFERROR(INDEX('لیست‌ها'!$Q$3:$Q$53,MATCH(AA1086,'لیست‌ها'!$P$3:$P$53,0))+IF(AB1086&lt;=6,(AB1086-1)*31+AC1086,IF(AB1086&lt;=11,186+(AB1086-7)*30+AC1086,336+AC1086))-1,""))</f>
        <v/>
      </c>
      <c r="AE1086" s="7" t="str">
        <f aca="false">IF(P1086="","",VALUE(LEFT(P1086,FIND("/",P1086)-1)))</f>
        <v/>
      </c>
      <c r="AF1086" s="7" t="str">
        <f aca="false">IF(P1086="","",VALUE(MID(P1086,FIND("/",P1086)+1,FIND("/",P1086,FIND("/",P1086)+1)-FIND("/",P1086)-1)))</f>
        <v/>
      </c>
      <c r="AG1086" s="7" t="str">
        <f aca="false">IF(P1086="","",VALUE(MID(P1086,FIND("/",P1086,FIND("/",P1086)+1)+1,LEN(P1086)-FIND("/",P1086,FIND("/",P1086)+1))))</f>
        <v/>
      </c>
      <c r="AH1086" s="7" t="str">
        <f aca="false">IF(OR(P1086="",AE1086=""),"",IFERROR(INDEX('لیست‌ها'!$Q$3:$Q$53,MATCH(AE1086,'لیست‌ها'!$P$3:$P$53,0))+IF(AF1086&lt;=6,(AF1086-1)*31+AG1086,IF(AF1086&lt;=11,186+(AF1086-7)*30+AG1086,336+AG1086))-1,""))</f>
        <v/>
      </c>
      <c r="AI1086" s="7" t="str">
        <f aca="false">IF(W1086="","",W1086&amp;"-"&amp;TEXT(X1086,"00"))</f>
        <v/>
      </c>
      <c r="AJ1086" s="7" t="str">
        <f aca="false">IF(W1086="","",W1086*12+X1086)</f>
        <v/>
      </c>
      <c r="AK1086" s="7" t="str">
        <f aca="false">IF(U1086="تاخیر",V1086+ROW()/100000,"")</f>
        <v/>
      </c>
    </row>
    <row r="1087" customFormat="false" ht="15" hidden="false" customHeight="false" outlineLevel="0" collapsed="false">
      <c r="A1087" s="7" t="str">
        <f aca="false">IF(B1087="","",ROW()-3)</f>
        <v/>
      </c>
      <c r="B1087" s="8"/>
      <c r="C1087" s="8"/>
      <c r="D1087" s="8"/>
      <c r="E1087" s="9"/>
      <c r="F1087" s="9"/>
      <c r="G1087" s="8"/>
      <c r="H1087" s="8"/>
      <c r="I1087" s="8"/>
      <c r="J1087" s="9"/>
      <c r="K1087" s="8"/>
      <c r="L1087" s="8"/>
      <c r="M1087" s="8"/>
      <c r="N1087" s="8"/>
      <c r="O1087" s="8"/>
      <c r="P1087" s="8"/>
      <c r="Q1087" s="8"/>
      <c r="R1087" s="9"/>
      <c r="S1087" s="8"/>
      <c r="T1087" s="9"/>
      <c r="U1087" s="10" t="str">
        <f aca="true">IF(B1087="","",IF(OR(P1087&lt;&gt;"",I1087="می‌باشد"),"بسته",IF(AND(L1087&lt;&gt;"",W1087=""),"خطای فرمت تاریخ ایجاد",IF(AND(H1087&lt;&gt;"",AA1087=""),"خطای فرمت مهلت",IF(AND(H1087&lt;&gt;"",AD1087&lt;&gt;"",TODAY()&gt;AD1087),"تاخیر",IF(L1087&lt;&gt;"","در حال انجام",""))))))</f>
        <v/>
      </c>
      <c r="V1087" s="7" t="n">
        <f aca="true">IF(U1087="تاخیر",TODAY()-AD1087,IF(AND(U1087="بسته",AH1087&lt;&gt;"",AD1087&lt;&gt;"",AH1087&gt;AD1087),AH1087-AD1087,0))</f>
        <v>0</v>
      </c>
      <c r="W1087" s="7" t="str">
        <f aca="false">IF(L1087="","",VALUE(LEFT(L1087,FIND("/",L1087)-1)))</f>
        <v/>
      </c>
      <c r="X1087" s="7" t="str">
        <f aca="false">IF(L1087="","",VALUE(MID(L1087,FIND("/",L1087)+1,FIND("/",L1087,FIND("/",L1087)+1)-FIND("/",L1087)-1)))</f>
        <v/>
      </c>
      <c r="Y1087" s="7" t="str">
        <f aca="false">IF(L1087="","",VALUE(MID(L1087,FIND("/",L1087,FIND("/",L1087)+1)+1,LEN(L1087)-FIND("/",L1087,FIND("/",L1087)+1))))</f>
        <v/>
      </c>
      <c r="Z1087" s="7" t="str">
        <f aca="false">IF(OR(L1087="",W1087=""),"",IFERROR(INDEX('لیست‌ها'!$Q$3:$Q$53,MATCH(W1087,'لیست‌ها'!$P$3:$P$53,0))+IF(X1087&lt;=6,(X1087-1)*31+Y1087,IF(X1087&lt;=11,186+(X1087-7)*30+Y1087,336+Y1087))-1,""))</f>
        <v/>
      </c>
      <c r="AA1087" s="7" t="str">
        <f aca="false">IF(H1087="","",VALUE(LEFT(H1087,FIND("/",H1087)-1)))</f>
        <v/>
      </c>
      <c r="AB1087" s="7" t="str">
        <f aca="false">IF(H1087="","",VALUE(MID(H1087,FIND("/",H1087)+1,FIND("/",H1087,FIND("/",H1087)+1)-FIND("/",H1087)-1)))</f>
        <v/>
      </c>
      <c r="AC1087" s="7" t="str">
        <f aca="false">IF(H1087="","",VALUE(MID(H1087,FIND("/",H1087,FIND("/",H1087)+1)+1,LEN(H1087)-FIND("/",H1087,FIND("/",H1087)+1))))</f>
        <v/>
      </c>
      <c r="AD1087" s="7" t="str">
        <f aca="false">IF(OR(H1087="",AA1087=""),"",IFERROR(INDEX('لیست‌ها'!$Q$3:$Q$53,MATCH(AA1087,'لیست‌ها'!$P$3:$P$53,0))+IF(AB1087&lt;=6,(AB1087-1)*31+AC1087,IF(AB1087&lt;=11,186+(AB1087-7)*30+AC1087,336+AC1087))-1,""))</f>
        <v/>
      </c>
      <c r="AE1087" s="7" t="str">
        <f aca="false">IF(P1087="","",VALUE(LEFT(P1087,FIND("/",P1087)-1)))</f>
        <v/>
      </c>
      <c r="AF1087" s="7" t="str">
        <f aca="false">IF(P1087="","",VALUE(MID(P1087,FIND("/",P1087)+1,FIND("/",P1087,FIND("/",P1087)+1)-FIND("/",P1087)-1)))</f>
        <v/>
      </c>
      <c r="AG1087" s="7" t="str">
        <f aca="false">IF(P1087="","",VALUE(MID(P1087,FIND("/",P1087,FIND("/",P1087)+1)+1,LEN(P1087)-FIND("/",P1087,FIND("/",P1087)+1))))</f>
        <v/>
      </c>
      <c r="AH1087" s="7" t="str">
        <f aca="false">IF(OR(P1087="",AE1087=""),"",IFERROR(INDEX('لیست‌ها'!$Q$3:$Q$53,MATCH(AE1087,'لیست‌ها'!$P$3:$P$53,0))+IF(AF1087&lt;=6,(AF1087-1)*31+AG1087,IF(AF1087&lt;=11,186+(AF1087-7)*30+AG1087,336+AG1087))-1,""))</f>
        <v/>
      </c>
      <c r="AI1087" s="7" t="str">
        <f aca="false">IF(W1087="","",W1087&amp;"-"&amp;TEXT(X1087,"00"))</f>
        <v/>
      </c>
      <c r="AJ1087" s="7" t="str">
        <f aca="false">IF(W1087="","",W1087*12+X1087)</f>
        <v/>
      </c>
      <c r="AK1087" s="7" t="str">
        <f aca="false">IF(U1087="تاخیر",V1087+ROW()/100000,"")</f>
        <v/>
      </c>
    </row>
    <row r="1088" customFormat="false" ht="15" hidden="false" customHeight="false" outlineLevel="0" collapsed="false">
      <c r="A1088" s="7" t="str">
        <f aca="false">IF(B1088="","",ROW()-3)</f>
        <v/>
      </c>
      <c r="B1088" s="8"/>
      <c r="C1088" s="8"/>
      <c r="D1088" s="8"/>
      <c r="E1088" s="9"/>
      <c r="F1088" s="9"/>
      <c r="G1088" s="8"/>
      <c r="H1088" s="8"/>
      <c r="I1088" s="8"/>
      <c r="J1088" s="9"/>
      <c r="K1088" s="8"/>
      <c r="L1088" s="8"/>
      <c r="M1088" s="8"/>
      <c r="N1088" s="8"/>
      <c r="O1088" s="8"/>
      <c r="P1088" s="8"/>
      <c r="Q1088" s="8"/>
      <c r="R1088" s="9"/>
      <c r="S1088" s="8"/>
      <c r="T1088" s="9"/>
      <c r="U1088" s="10" t="str">
        <f aca="true">IF(B1088="","",IF(OR(P1088&lt;&gt;"",I1088="می‌باشد"),"بسته",IF(AND(L1088&lt;&gt;"",W1088=""),"خطای فرمت تاریخ ایجاد",IF(AND(H1088&lt;&gt;"",AA1088=""),"خطای فرمت مهلت",IF(AND(H1088&lt;&gt;"",AD1088&lt;&gt;"",TODAY()&gt;AD1088),"تاخیر",IF(L1088&lt;&gt;"","در حال انجام",""))))))</f>
        <v/>
      </c>
      <c r="V1088" s="7" t="n">
        <f aca="true">IF(U1088="تاخیر",TODAY()-AD1088,IF(AND(U1088="بسته",AH1088&lt;&gt;"",AD1088&lt;&gt;"",AH1088&gt;AD1088),AH1088-AD1088,0))</f>
        <v>0</v>
      </c>
      <c r="W1088" s="7" t="str">
        <f aca="false">IF(L1088="","",VALUE(LEFT(L1088,FIND("/",L1088)-1)))</f>
        <v/>
      </c>
      <c r="X1088" s="7" t="str">
        <f aca="false">IF(L1088="","",VALUE(MID(L1088,FIND("/",L1088)+1,FIND("/",L1088,FIND("/",L1088)+1)-FIND("/",L1088)-1)))</f>
        <v/>
      </c>
      <c r="Y1088" s="7" t="str">
        <f aca="false">IF(L1088="","",VALUE(MID(L1088,FIND("/",L1088,FIND("/",L1088)+1)+1,LEN(L1088)-FIND("/",L1088,FIND("/",L1088)+1))))</f>
        <v/>
      </c>
      <c r="Z1088" s="7" t="str">
        <f aca="false">IF(OR(L1088="",W1088=""),"",IFERROR(INDEX('لیست‌ها'!$Q$3:$Q$53,MATCH(W1088,'لیست‌ها'!$P$3:$P$53,0))+IF(X1088&lt;=6,(X1088-1)*31+Y1088,IF(X1088&lt;=11,186+(X1088-7)*30+Y1088,336+Y1088))-1,""))</f>
        <v/>
      </c>
      <c r="AA1088" s="7" t="str">
        <f aca="false">IF(H1088="","",VALUE(LEFT(H1088,FIND("/",H1088)-1)))</f>
        <v/>
      </c>
      <c r="AB1088" s="7" t="str">
        <f aca="false">IF(H1088="","",VALUE(MID(H1088,FIND("/",H1088)+1,FIND("/",H1088,FIND("/",H1088)+1)-FIND("/",H1088)-1)))</f>
        <v/>
      </c>
      <c r="AC1088" s="7" t="str">
        <f aca="false">IF(H1088="","",VALUE(MID(H1088,FIND("/",H1088,FIND("/",H1088)+1)+1,LEN(H1088)-FIND("/",H1088,FIND("/",H1088)+1))))</f>
        <v/>
      </c>
      <c r="AD1088" s="7" t="str">
        <f aca="false">IF(OR(H1088="",AA1088=""),"",IFERROR(INDEX('لیست‌ها'!$Q$3:$Q$53,MATCH(AA1088,'لیست‌ها'!$P$3:$P$53,0))+IF(AB1088&lt;=6,(AB1088-1)*31+AC1088,IF(AB1088&lt;=11,186+(AB1088-7)*30+AC1088,336+AC1088))-1,""))</f>
        <v/>
      </c>
      <c r="AE1088" s="7" t="str">
        <f aca="false">IF(P1088="","",VALUE(LEFT(P1088,FIND("/",P1088)-1)))</f>
        <v/>
      </c>
      <c r="AF1088" s="7" t="str">
        <f aca="false">IF(P1088="","",VALUE(MID(P1088,FIND("/",P1088)+1,FIND("/",P1088,FIND("/",P1088)+1)-FIND("/",P1088)-1)))</f>
        <v/>
      </c>
      <c r="AG1088" s="7" t="str">
        <f aca="false">IF(P1088="","",VALUE(MID(P1088,FIND("/",P1088,FIND("/",P1088)+1)+1,LEN(P1088)-FIND("/",P1088,FIND("/",P1088)+1))))</f>
        <v/>
      </c>
      <c r="AH1088" s="7" t="str">
        <f aca="false">IF(OR(P1088="",AE1088=""),"",IFERROR(INDEX('لیست‌ها'!$Q$3:$Q$53,MATCH(AE1088,'لیست‌ها'!$P$3:$P$53,0))+IF(AF1088&lt;=6,(AF1088-1)*31+AG1088,IF(AF1088&lt;=11,186+(AF1088-7)*30+AG1088,336+AG1088))-1,""))</f>
        <v/>
      </c>
      <c r="AI1088" s="7" t="str">
        <f aca="false">IF(W1088="","",W1088&amp;"-"&amp;TEXT(X1088,"00"))</f>
        <v/>
      </c>
      <c r="AJ1088" s="7" t="str">
        <f aca="false">IF(W1088="","",W1088*12+X1088)</f>
        <v/>
      </c>
      <c r="AK1088" s="7" t="str">
        <f aca="false">IF(U1088="تاخیر",V1088+ROW()/100000,"")</f>
        <v/>
      </c>
    </row>
    <row r="1089" customFormat="false" ht="15" hidden="false" customHeight="false" outlineLevel="0" collapsed="false">
      <c r="A1089" s="7" t="str">
        <f aca="false">IF(B1089="","",ROW()-3)</f>
        <v/>
      </c>
      <c r="B1089" s="8"/>
      <c r="C1089" s="8"/>
      <c r="D1089" s="8"/>
      <c r="E1089" s="9"/>
      <c r="F1089" s="9"/>
      <c r="G1089" s="8"/>
      <c r="H1089" s="8"/>
      <c r="I1089" s="8"/>
      <c r="J1089" s="9"/>
      <c r="K1089" s="8"/>
      <c r="L1089" s="8"/>
      <c r="M1089" s="8"/>
      <c r="N1089" s="8"/>
      <c r="O1089" s="8"/>
      <c r="P1089" s="8"/>
      <c r="Q1089" s="8"/>
      <c r="R1089" s="9"/>
      <c r="S1089" s="8"/>
      <c r="T1089" s="9"/>
      <c r="U1089" s="10" t="str">
        <f aca="true">IF(B1089="","",IF(OR(P1089&lt;&gt;"",I1089="می‌باشد"),"بسته",IF(AND(L1089&lt;&gt;"",W1089=""),"خطای فرمت تاریخ ایجاد",IF(AND(H1089&lt;&gt;"",AA1089=""),"خطای فرمت مهلت",IF(AND(H1089&lt;&gt;"",AD1089&lt;&gt;"",TODAY()&gt;AD1089),"تاخیر",IF(L1089&lt;&gt;"","در حال انجام",""))))))</f>
        <v/>
      </c>
      <c r="V1089" s="7" t="n">
        <f aca="true">IF(U1089="تاخیر",TODAY()-AD1089,IF(AND(U1089="بسته",AH1089&lt;&gt;"",AD1089&lt;&gt;"",AH1089&gt;AD1089),AH1089-AD1089,0))</f>
        <v>0</v>
      </c>
      <c r="W1089" s="7" t="str">
        <f aca="false">IF(L1089="","",VALUE(LEFT(L1089,FIND("/",L1089)-1)))</f>
        <v/>
      </c>
      <c r="X1089" s="7" t="str">
        <f aca="false">IF(L1089="","",VALUE(MID(L1089,FIND("/",L1089)+1,FIND("/",L1089,FIND("/",L1089)+1)-FIND("/",L1089)-1)))</f>
        <v/>
      </c>
      <c r="Y1089" s="7" t="str">
        <f aca="false">IF(L1089="","",VALUE(MID(L1089,FIND("/",L1089,FIND("/",L1089)+1)+1,LEN(L1089)-FIND("/",L1089,FIND("/",L1089)+1))))</f>
        <v/>
      </c>
      <c r="Z1089" s="7" t="str">
        <f aca="false">IF(OR(L1089="",W1089=""),"",IFERROR(INDEX('لیست‌ها'!$Q$3:$Q$53,MATCH(W1089,'لیست‌ها'!$P$3:$P$53,0))+IF(X1089&lt;=6,(X1089-1)*31+Y1089,IF(X1089&lt;=11,186+(X1089-7)*30+Y1089,336+Y1089))-1,""))</f>
        <v/>
      </c>
      <c r="AA1089" s="7" t="str">
        <f aca="false">IF(H1089="","",VALUE(LEFT(H1089,FIND("/",H1089)-1)))</f>
        <v/>
      </c>
      <c r="AB1089" s="7" t="str">
        <f aca="false">IF(H1089="","",VALUE(MID(H1089,FIND("/",H1089)+1,FIND("/",H1089,FIND("/",H1089)+1)-FIND("/",H1089)-1)))</f>
        <v/>
      </c>
      <c r="AC1089" s="7" t="str">
        <f aca="false">IF(H1089="","",VALUE(MID(H1089,FIND("/",H1089,FIND("/",H1089)+1)+1,LEN(H1089)-FIND("/",H1089,FIND("/",H1089)+1))))</f>
        <v/>
      </c>
      <c r="AD1089" s="7" t="str">
        <f aca="false">IF(OR(H1089="",AA1089=""),"",IFERROR(INDEX('لیست‌ها'!$Q$3:$Q$53,MATCH(AA1089,'لیست‌ها'!$P$3:$P$53,0))+IF(AB1089&lt;=6,(AB1089-1)*31+AC1089,IF(AB1089&lt;=11,186+(AB1089-7)*30+AC1089,336+AC1089))-1,""))</f>
        <v/>
      </c>
      <c r="AE1089" s="7" t="str">
        <f aca="false">IF(P1089="","",VALUE(LEFT(P1089,FIND("/",P1089)-1)))</f>
        <v/>
      </c>
      <c r="AF1089" s="7" t="str">
        <f aca="false">IF(P1089="","",VALUE(MID(P1089,FIND("/",P1089)+1,FIND("/",P1089,FIND("/",P1089)+1)-FIND("/",P1089)-1)))</f>
        <v/>
      </c>
      <c r="AG1089" s="7" t="str">
        <f aca="false">IF(P1089="","",VALUE(MID(P1089,FIND("/",P1089,FIND("/",P1089)+1)+1,LEN(P1089)-FIND("/",P1089,FIND("/",P1089)+1))))</f>
        <v/>
      </c>
      <c r="AH1089" s="7" t="str">
        <f aca="false">IF(OR(P1089="",AE1089=""),"",IFERROR(INDEX('لیست‌ها'!$Q$3:$Q$53,MATCH(AE1089,'لیست‌ها'!$P$3:$P$53,0))+IF(AF1089&lt;=6,(AF1089-1)*31+AG1089,IF(AF1089&lt;=11,186+(AF1089-7)*30+AG1089,336+AG1089))-1,""))</f>
        <v/>
      </c>
      <c r="AI1089" s="7" t="str">
        <f aca="false">IF(W1089="","",W1089&amp;"-"&amp;TEXT(X1089,"00"))</f>
        <v/>
      </c>
      <c r="AJ1089" s="7" t="str">
        <f aca="false">IF(W1089="","",W1089*12+X1089)</f>
        <v/>
      </c>
      <c r="AK1089" s="7" t="str">
        <f aca="false">IF(U1089="تاخیر",V1089+ROW()/100000,"")</f>
        <v/>
      </c>
    </row>
    <row r="1090" customFormat="false" ht="15" hidden="false" customHeight="false" outlineLevel="0" collapsed="false">
      <c r="A1090" s="7" t="str">
        <f aca="false">IF(B1090="","",ROW()-3)</f>
        <v/>
      </c>
      <c r="B1090" s="8"/>
      <c r="C1090" s="8"/>
      <c r="D1090" s="8"/>
      <c r="E1090" s="9"/>
      <c r="F1090" s="9"/>
      <c r="G1090" s="8"/>
      <c r="H1090" s="8"/>
      <c r="I1090" s="8"/>
      <c r="J1090" s="9"/>
      <c r="K1090" s="8"/>
      <c r="L1090" s="8"/>
      <c r="M1090" s="8"/>
      <c r="N1090" s="8"/>
      <c r="O1090" s="8"/>
      <c r="P1090" s="8"/>
      <c r="Q1090" s="8"/>
      <c r="R1090" s="9"/>
      <c r="S1090" s="8"/>
      <c r="T1090" s="9"/>
      <c r="U1090" s="10" t="str">
        <f aca="true">IF(B1090="","",IF(OR(P1090&lt;&gt;"",I1090="می‌باشد"),"بسته",IF(AND(L1090&lt;&gt;"",W1090=""),"خطای فرمت تاریخ ایجاد",IF(AND(H1090&lt;&gt;"",AA1090=""),"خطای فرمت مهلت",IF(AND(H1090&lt;&gt;"",AD1090&lt;&gt;"",TODAY()&gt;AD1090),"تاخیر",IF(L1090&lt;&gt;"","در حال انجام",""))))))</f>
        <v/>
      </c>
      <c r="V1090" s="7" t="n">
        <f aca="true">IF(U1090="تاخیر",TODAY()-AD1090,IF(AND(U1090="بسته",AH1090&lt;&gt;"",AD1090&lt;&gt;"",AH1090&gt;AD1090),AH1090-AD1090,0))</f>
        <v>0</v>
      </c>
      <c r="W1090" s="7" t="str">
        <f aca="false">IF(L1090="","",VALUE(LEFT(L1090,FIND("/",L1090)-1)))</f>
        <v/>
      </c>
      <c r="X1090" s="7" t="str">
        <f aca="false">IF(L1090="","",VALUE(MID(L1090,FIND("/",L1090)+1,FIND("/",L1090,FIND("/",L1090)+1)-FIND("/",L1090)-1)))</f>
        <v/>
      </c>
      <c r="Y1090" s="7" t="str">
        <f aca="false">IF(L1090="","",VALUE(MID(L1090,FIND("/",L1090,FIND("/",L1090)+1)+1,LEN(L1090)-FIND("/",L1090,FIND("/",L1090)+1))))</f>
        <v/>
      </c>
      <c r="Z1090" s="7" t="str">
        <f aca="false">IF(OR(L1090="",W1090=""),"",IFERROR(INDEX('لیست‌ها'!$Q$3:$Q$53,MATCH(W1090,'لیست‌ها'!$P$3:$P$53,0))+IF(X1090&lt;=6,(X1090-1)*31+Y1090,IF(X1090&lt;=11,186+(X1090-7)*30+Y1090,336+Y1090))-1,""))</f>
        <v/>
      </c>
      <c r="AA1090" s="7" t="str">
        <f aca="false">IF(H1090="","",VALUE(LEFT(H1090,FIND("/",H1090)-1)))</f>
        <v/>
      </c>
      <c r="AB1090" s="7" t="str">
        <f aca="false">IF(H1090="","",VALUE(MID(H1090,FIND("/",H1090)+1,FIND("/",H1090,FIND("/",H1090)+1)-FIND("/",H1090)-1)))</f>
        <v/>
      </c>
      <c r="AC1090" s="7" t="str">
        <f aca="false">IF(H1090="","",VALUE(MID(H1090,FIND("/",H1090,FIND("/",H1090)+1)+1,LEN(H1090)-FIND("/",H1090,FIND("/",H1090)+1))))</f>
        <v/>
      </c>
      <c r="AD1090" s="7" t="str">
        <f aca="false">IF(OR(H1090="",AA1090=""),"",IFERROR(INDEX('لیست‌ها'!$Q$3:$Q$53,MATCH(AA1090,'لیست‌ها'!$P$3:$P$53,0))+IF(AB1090&lt;=6,(AB1090-1)*31+AC1090,IF(AB1090&lt;=11,186+(AB1090-7)*30+AC1090,336+AC1090))-1,""))</f>
        <v/>
      </c>
      <c r="AE1090" s="7" t="str">
        <f aca="false">IF(P1090="","",VALUE(LEFT(P1090,FIND("/",P1090)-1)))</f>
        <v/>
      </c>
      <c r="AF1090" s="7" t="str">
        <f aca="false">IF(P1090="","",VALUE(MID(P1090,FIND("/",P1090)+1,FIND("/",P1090,FIND("/",P1090)+1)-FIND("/",P1090)-1)))</f>
        <v/>
      </c>
      <c r="AG1090" s="7" t="str">
        <f aca="false">IF(P1090="","",VALUE(MID(P1090,FIND("/",P1090,FIND("/",P1090)+1)+1,LEN(P1090)-FIND("/",P1090,FIND("/",P1090)+1))))</f>
        <v/>
      </c>
      <c r="AH1090" s="7" t="str">
        <f aca="false">IF(OR(P1090="",AE1090=""),"",IFERROR(INDEX('لیست‌ها'!$Q$3:$Q$53,MATCH(AE1090,'لیست‌ها'!$P$3:$P$53,0))+IF(AF1090&lt;=6,(AF1090-1)*31+AG1090,IF(AF1090&lt;=11,186+(AF1090-7)*30+AG1090,336+AG1090))-1,""))</f>
        <v/>
      </c>
      <c r="AI1090" s="7" t="str">
        <f aca="false">IF(W1090="","",W1090&amp;"-"&amp;TEXT(X1090,"00"))</f>
        <v/>
      </c>
      <c r="AJ1090" s="7" t="str">
        <f aca="false">IF(W1090="","",W1090*12+X1090)</f>
        <v/>
      </c>
      <c r="AK1090" s="7" t="str">
        <f aca="false">IF(U1090="تاخیر",V1090+ROW()/100000,"")</f>
        <v/>
      </c>
    </row>
    <row r="1091" customFormat="false" ht="15" hidden="false" customHeight="false" outlineLevel="0" collapsed="false">
      <c r="A1091" s="7" t="str">
        <f aca="false">IF(B1091="","",ROW()-3)</f>
        <v/>
      </c>
      <c r="B1091" s="8"/>
      <c r="C1091" s="8"/>
      <c r="D1091" s="8"/>
      <c r="E1091" s="9"/>
      <c r="F1091" s="9"/>
      <c r="G1091" s="8"/>
      <c r="H1091" s="8"/>
      <c r="I1091" s="8"/>
      <c r="J1091" s="9"/>
      <c r="K1091" s="8"/>
      <c r="L1091" s="8"/>
      <c r="M1091" s="8"/>
      <c r="N1091" s="8"/>
      <c r="O1091" s="8"/>
      <c r="P1091" s="8"/>
      <c r="Q1091" s="8"/>
      <c r="R1091" s="9"/>
      <c r="S1091" s="8"/>
      <c r="T1091" s="9"/>
      <c r="U1091" s="10" t="str">
        <f aca="true">IF(B1091="","",IF(OR(P1091&lt;&gt;"",I1091="می‌باشد"),"بسته",IF(AND(L1091&lt;&gt;"",W1091=""),"خطای فرمت تاریخ ایجاد",IF(AND(H1091&lt;&gt;"",AA1091=""),"خطای فرمت مهلت",IF(AND(H1091&lt;&gt;"",AD1091&lt;&gt;"",TODAY()&gt;AD1091),"تاخیر",IF(L1091&lt;&gt;"","در حال انجام",""))))))</f>
        <v/>
      </c>
      <c r="V1091" s="7" t="n">
        <f aca="true">IF(U1091="تاخیر",TODAY()-AD1091,IF(AND(U1091="بسته",AH1091&lt;&gt;"",AD1091&lt;&gt;"",AH1091&gt;AD1091),AH1091-AD1091,0))</f>
        <v>0</v>
      </c>
      <c r="W1091" s="7" t="str">
        <f aca="false">IF(L1091="","",VALUE(LEFT(L1091,FIND("/",L1091)-1)))</f>
        <v/>
      </c>
      <c r="X1091" s="7" t="str">
        <f aca="false">IF(L1091="","",VALUE(MID(L1091,FIND("/",L1091)+1,FIND("/",L1091,FIND("/",L1091)+1)-FIND("/",L1091)-1)))</f>
        <v/>
      </c>
      <c r="Y1091" s="7" t="str">
        <f aca="false">IF(L1091="","",VALUE(MID(L1091,FIND("/",L1091,FIND("/",L1091)+1)+1,LEN(L1091)-FIND("/",L1091,FIND("/",L1091)+1))))</f>
        <v/>
      </c>
      <c r="Z1091" s="7" t="str">
        <f aca="false">IF(OR(L1091="",W1091=""),"",IFERROR(INDEX('لیست‌ها'!$Q$3:$Q$53,MATCH(W1091,'لیست‌ها'!$P$3:$P$53,0))+IF(X1091&lt;=6,(X1091-1)*31+Y1091,IF(X1091&lt;=11,186+(X1091-7)*30+Y1091,336+Y1091))-1,""))</f>
        <v/>
      </c>
      <c r="AA1091" s="7" t="str">
        <f aca="false">IF(H1091="","",VALUE(LEFT(H1091,FIND("/",H1091)-1)))</f>
        <v/>
      </c>
      <c r="AB1091" s="7" t="str">
        <f aca="false">IF(H1091="","",VALUE(MID(H1091,FIND("/",H1091)+1,FIND("/",H1091,FIND("/",H1091)+1)-FIND("/",H1091)-1)))</f>
        <v/>
      </c>
      <c r="AC1091" s="7" t="str">
        <f aca="false">IF(H1091="","",VALUE(MID(H1091,FIND("/",H1091,FIND("/",H1091)+1)+1,LEN(H1091)-FIND("/",H1091,FIND("/",H1091)+1))))</f>
        <v/>
      </c>
      <c r="AD1091" s="7" t="str">
        <f aca="false">IF(OR(H1091="",AA1091=""),"",IFERROR(INDEX('لیست‌ها'!$Q$3:$Q$53,MATCH(AA1091,'لیست‌ها'!$P$3:$P$53,0))+IF(AB1091&lt;=6,(AB1091-1)*31+AC1091,IF(AB1091&lt;=11,186+(AB1091-7)*30+AC1091,336+AC1091))-1,""))</f>
        <v/>
      </c>
      <c r="AE1091" s="7" t="str">
        <f aca="false">IF(P1091="","",VALUE(LEFT(P1091,FIND("/",P1091)-1)))</f>
        <v/>
      </c>
      <c r="AF1091" s="7" t="str">
        <f aca="false">IF(P1091="","",VALUE(MID(P1091,FIND("/",P1091)+1,FIND("/",P1091,FIND("/",P1091)+1)-FIND("/",P1091)-1)))</f>
        <v/>
      </c>
      <c r="AG1091" s="7" t="str">
        <f aca="false">IF(P1091="","",VALUE(MID(P1091,FIND("/",P1091,FIND("/",P1091)+1)+1,LEN(P1091)-FIND("/",P1091,FIND("/",P1091)+1))))</f>
        <v/>
      </c>
      <c r="AH1091" s="7" t="str">
        <f aca="false">IF(OR(P1091="",AE1091=""),"",IFERROR(INDEX('لیست‌ها'!$Q$3:$Q$53,MATCH(AE1091,'لیست‌ها'!$P$3:$P$53,0))+IF(AF1091&lt;=6,(AF1091-1)*31+AG1091,IF(AF1091&lt;=11,186+(AF1091-7)*30+AG1091,336+AG1091))-1,""))</f>
        <v/>
      </c>
      <c r="AI1091" s="7" t="str">
        <f aca="false">IF(W1091="","",W1091&amp;"-"&amp;TEXT(X1091,"00"))</f>
        <v/>
      </c>
      <c r="AJ1091" s="7" t="str">
        <f aca="false">IF(W1091="","",W1091*12+X1091)</f>
        <v/>
      </c>
      <c r="AK1091" s="7" t="str">
        <f aca="false">IF(U1091="تاخیر",V1091+ROW()/100000,"")</f>
        <v/>
      </c>
    </row>
    <row r="1092" customFormat="false" ht="15" hidden="false" customHeight="false" outlineLevel="0" collapsed="false">
      <c r="A1092" s="7" t="str">
        <f aca="false">IF(B1092="","",ROW()-3)</f>
        <v/>
      </c>
      <c r="B1092" s="8"/>
      <c r="C1092" s="8"/>
      <c r="D1092" s="8"/>
      <c r="E1092" s="9"/>
      <c r="F1092" s="9"/>
      <c r="G1092" s="8"/>
      <c r="H1092" s="8"/>
      <c r="I1092" s="8"/>
      <c r="J1092" s="9"/>
      <c r="K1092" s="8"/>
      <c r="L1092" s="8"/>
      <c r="M1092" s="8"/>
      <c r="N1092" s="8"/>
      <c r="O1092" s="8"/>
      <c r="P1092" s="8"/>
      <c r="Q1092" s="8"/>
      <c r="R1092" s="9"/>
      <c r="S1092" s="8"/>
      <c r="T1092" s="9"/>
      <c r="U1092" s="10" t="str">
        <f aca="true">IF(B1092="","",IF(OR(P1092&lt;&gt;"",I1092="می‌باشد"),"بسته",IF(AND(L1092&lt;&gt;"",W1092=""),"خطای فرمت تاریخ ایجاد",IF(AND(H1092&lt;&gt;"",AA1092=""),"خطای فرمت مهلت",IF(AND(H1092&lt;&gt;"",AD1092&lt;&gt;"",TODAY()&gt;AD1092),"تاخیر",IF(L1092&lt;&gt;"","در حال انجام",""))))))</f>
        <v/>
      </c>
      <c r="V1092" s="7" t="n">
        <f aca="true">IF(U1092="تاخیر",TODAY()-AD1092,IF(AND(U1092="بسته",AH1092&lt;&gt;"",AD1092&lt;&gt;"",AH1092&gt;AD1092),AH1092-AD1092,0))</f>
        <v>0</v>
      </c>
      <c r="W1092" s="7" t="str">
        <f aca="false">IF(L1092="","",VALUE(LEFT(L1092,FIND("/",L1092)-1)))</f>
        <v/>
      </c>
      <c r="X1092" s="7" t="str">
        <f aca="false">IF(L1092="","",VALUE(MID(L1092,FIND("/",L1092)+1,FIND("/",L1092,FIND("/",L1092)+1)-FIND("/",L1092)-1)))</f>
        <v/>
      </c>
      <c r="Y1092" s="7" t="str">
        <f aca="false">IF(L1092="","",VALUE(MID(L1092,FIND("/",L1092,FIND("/",L1092)+1)+1,LEN(L1092)-FIND("/",L1092,FIND("/",L1092)+1))))</f>
        <v/>
      </c>
      <c r="Z1092" s="7" t="str">
        <f aca="false">IF(OR(L1092="",W1092=""),"",IFERROR(INDEX('لیست‌ها'!$Q$3:$Q$53,MATCH(W1092,'لیست‌ها'!$P$3:$P$53,0))+IF(X1092&lt;=6,(X1092-1)*31+Y1092,IF(X1092&lt;=11,186+(X1092-7)*30+Y1092,336+Y1092))-1,""))</f>
        <v/>
      </c>
      <c r="AA1092" s="7" t="str">
        <f aca="false">IF(H1092="","",VALUE(LEFT(H1092,FIND("/",H1092)-1)))</f>
        <v/>
      </c>
      <c r="AB1092" s="7" t="str">
        <f aca="false">IF(H1092="","",VALUE(MID(H1092,FIND("/",H1092)+1,FIND("/",H1092,FIND("/",H1092)+1)-FIND("/",H1092)-1)))</f>
        <v/>
      </c>
      <c r="AC1092" s="7" t="str">
        <f aca="false">IF(H1092="","",VALUE(MID(H1092,FIND("/",H1092,FIND("/",H1092)+1)+1,LEN(H1092)-FIND("/",H1092,FIND("/",H1092)+1))))</f>
        <v/>
      </c>
      <c r="AD1092" s="7" t="str">
        <f aca="false">IF(OR(H1092="",AA1092=""),"",IFERROR(INDEX('لیست‌ها'!$Q$3:$Q$53,MATCH(AA1092,'لیست‌ها'!$P$3:$P$53,0))+IF(AB1092&lt;=6,(AB1092-1)*31+AC1092,IF(AB1092&lt;=11,186+(AB1092-7)*30+AC1092,336+AC1092))-1,""))</f>
        <v/>
      </c>
      <c r="AE1092" s="7" t="str">
        <f aca="false">IF(P1092="","",VALUE(LEFT(P1092,FIND("/",P1092)-1)))</f>
        <v/>
      </c>
      <c r="AF1092" s="7" t="str">
        <f aca="false">IF(P1092="","",VALUE(MID(P1092,FIND("/",P1092)+1,FIND("/",P1092,FIND("/",P1092)+1)-FIND("/",P1092)-1)))</f>
        <v/>
      </c>
      <c r="AG1092" s="7" t="str">
        <f aca="false">IF(P1092="","",VALUE(MID(P1092,FIND("/",P1092,FIND("/",P1092)+1)+1,LEN(P1092)-FIND("/",P1092,FIND("/",P1092)+1))))</f>
        <v/>
      </c>
      <c r="AH1092" s="7" t="str">
        <f aca="false">IF(OR(P1092="",AE1092=""),"",IFERROR(INDEX('لیست‌ها'!$Q$3:$Q$53,MATCH(AE1092,'لیست‌ها'!$P$3:$P$53,0))+IF(AF1092&lt;=6,(AF1092-1)*31+AG1092,IF(AF1092&lt;=11,186+(AF1092-7)*30+AG1092,336+AG1092))-1,""))</f>
        <v/>
      </c>
      <c r="AI1092" s="7" t="str">
        <f aca="false">IF(W1092="","",W1092&amp;"-"&amp;TEXT(X1092,"00"))</f>
        <v/>
      </c>
      <c r="AJ1092" s="7" t="str">
        <f aca="false">IF(W1092="","",W1092*12+X1092)</f>
        <v/>
      </c>
      <c r="AK1092" s="7" t="str">
        <f aca="false">IF(U1092="تاخیر",V1092+ROW()/100000,"")</f>
        <v/>
      </c>
    </row>
    <row r="1093" customFormat="false" ht="15" hidden="false" customHeight="false" outlineLevel="0" collapsed="false">
      <c r="A1093" s="7" t="str">
        <f aca="false">IF(B1093="","",ROW()-3)</f>
        <v/>
      </c>
      <c r="B1093" s="8"/>
      <c r="C1093" s="8"/>
      <c r="D1093" s="8"/>
      <c r="E1093" s="9"/>
      <c r="F1093" s="9"/>
      <c r="G1093" s="8"/>
      <c r="H1093" s="8"/>
      <c r="I1093" s="8"/>
      <c r="J1093" s="9"/>
      <c r="K1093" s="8"/>
      <c r="L1093" s="8"/>
      <c r="M1093" s="8"/>
      <c r="N1093" s="8"/>
      <c r="O1093" s="8"/>
      <c r="P1093" s="8"/>
      <c r="Q1093" s="8"/>
      <c r="R1093" s="9"/>
      <c r="S1093" s="8"/>
      <c r="T1093" s="9"/>
      <c r="U1093" s="10" t="str">
        <f aca="true">IF(B1093="","",IF(OR(P1093&lt;&gt;"",I1093="می‌باشد"),"بسته",IF(AND(L1093&lt;&gt;"",W1093=""),"خطای فرمت تاریخ ایجاد",IF(AND(H1093&lt;&gt;"",AA1093=""),"خطای فرمت مهلت",IF(AND(H1093&lt;&gt;"",AD1093&lt;&gt;"",TODAY()&gt;AD1093),"تاخیر",IF(L1093&lt;&gt;"","در حال انجام",""))))))</f>
        <v/>
      </c>
      <c r="V1093" s="7" t="n">
        <f aca="true">IF(U1093="تاخیر",TODAY()-AD1093,IF(AND(U1093="بسته",AH1093&lt;&gt;"",AD1093&lt;&gt;"",AH1093&gt;AD1093),AH1093-AD1093,0))</f>
        <v>0</v>
      </c>
      <c r="W1093" s="7" t="str">
        <f aca="false">IF(L1093="","",VALUE(LEFT(L1093,FIND("/",L1093)-1)))</f>
        <v/>
      </c>
      <c r="X1093" s="7" t="str">
        <f aca="false">IF(L1093="","",VALUE(MID(L1093,FIND("/",L1093)+1,FIND("/",L1093,FIND("/",L1093)+1)-FIND("/",L1093)-1)))</f>
        <v/>
      </c>
      <c r="Y1093" s="7" t="str">
        <f aca="false">IF(L1093="","",VALUE(MID(L1093,FIND("/",L1093,FIND("/",L1093)+1)+1,LEN(L1093)-FIND("/",L1093,FIND("/",L1093)+1))))</f>
        <v/>
      </c>
      <c r="Z1093" s="7" t="str">
        <f aca="false">IF(OR(L1093="",W1093=""),"",IFERROR(INDEX('لیست‌ها'!$Q$3:$Q$53,MATCH(W1093,'لیست‌ها'!$P$3:$P$53,0))+IF(X1093&lt;=6,(X1093-1)*31+Y1093,IF(X1093&lt;=11,186+(X1093-7)*30+Y1093,336+Y1093))-1,""))</f>
        <v/>
      </c>
      <c r="AA1093" s="7" t="str">
        <f aca="false">IF(H1093="","",VALUE(LEFT(H1093,FIND("/",H1093)-1)))</f>
        <v/>
      </c>
      <c r="AB1093" s="7" t="str">
        <f aca="false">IF(H1093="","",VALUE(MID(H1093,FIND("/",H1093)+1,FIND("/",H1093,FIND("/",H1093)+1)-FIND("/",H1093)-1)))</f>
        <v/>
      </c>
      <c r="AC1093" s="7" t="str">
        <f aca="false">IF(H1093="","",VALUE(MID(H1093,FIND("/",H1093,FIND("/",H1093)+1)+1,LEN(H1093)-FIND("/",H1093,FIND("/",H1093)+1))))</f>
        <v/>
      </c>
      <c r="AD1093" s="7" t="str">
        <f aca="false">IF(OR(H1093="",AA1093=""),"",IFERROR(INDEX('لیست‌ها'!$Q$3:$Q$53,MATCH(AA1093,'لیست‌ها'!$P$3:$P$53,0))+IF(AB1093&lt;=6,(AB1093-1)*31+AC1093,IF(AB1093&lt;=11,186+(AB1093-7)*30+AC1093,336+AC1093))-1,""))</f>
        <v/>
      </c>
      <c r="AE1093" s="7" t="str">
        <f aca="false">IF(P1093="","",VALUE(LEFT(P1093,FIND("/",P1093)-1)))</f>
        <v/>
      </c>
      <c r="AF1093" s="7" t="str">
        <f aca="false">IF(P1093="","",VALUE(MID(P1093,FIND("/",P1093)+1,FIND("/",P1093,FIND("/",P1093)+1)-FIND("/",P1093)-1)))</f>
        <v/>
      </c>
      <c r="AG1093" s="7" t="str">
        <f aca="false">IF(P1093="","",VALUE(MID(P1093,FIND("/",P1093,FIND("/",P1093)+1)+1,LEN(P1093)-FIND("/",P1093,FIND("/",P1093)+1))))</f>
        <v/>
      </c>
      <c r="AH1093" s="7" t="str">
        <f aca="false">IF(OR(P1093="",AE1093=""),"",IFERROR(INDEX('لیست‌ها'!$Q$3:$Q$53,MATCH(AE1093,'لیست‌ها'!$P$3:$P$53,0))+IF(AF1093&lt;=6,(AF1093-1)*31+AG1093,IF(AF1093&lt;=11,186+(AF1093-7)*30+AG1093,336+AG1093))-1,""))</f>
        <v/>
      </c>
      <c r="AI1093" s="7" t="str">
        <f aca="false">IF(W1093="","",W1093&amp;"-"&amp;TEXT(X1093,"00"))</f>
        <v/>
      </c>
      <c r="AJ1093" s="7" t="str">
        <f aca="false">IF(W1093="","",W1093*12+X1093)</f>
        <v/>
      </c>
      <c r="AK1093" s="7" t="str">
        <f aca="false">IF(U1093="تاخیر",V1093+ROW()/100000,"")</f>
        <v/>
      </c>
    </row>
    <row r="1094" customFormat="false" ht="15" hidden="false" customHeight="false" outlineLevel="0" collapsed="false">
      <c r="A1094" s="7" t="str">
        <f aca="false">IF(B1094="","",ROW()-3)</f>
        <v/>
      </c>
      <c r="B1094" s="8"/>
      <c r="C1094" s="8"/>
      <c r="D1094" s="8"/>
      <c r="E1094" s="9"/>
      <c r="F1094" s="9"/>
      <c r="G1094" s="8"/>
      <c r="H1094" s="8"/>
      <c r="I1094" s="8"/>
      <c r="J1094" s="9"/>
      <c r="K1094" s="8"/>
      <c r="L1094" s="8"/>
      <c r="M1094" s="8"/>
      <c r="N1094" s="8"/>
      <c r="O1094" s="8"/>
      <c r="P1094" s="8"/>
      <c r="Q1094" s="8"/>
      <c r="R1094" s="9"/>
      <c r="S1094" s="8"/>
      <c r="T1094" s="9"/>
      <c r="U1094" s="10" t="str">
        <f aca="true">IF(B1094="","",IF(OR(P1094&lt;&gt;"",I1094="می‌باشد"),"بسته",IF(AND(L1094&lt;&gt;"",W1094=""),"خطای فرمت تاریخ ایجاد",IF(AND(H1094&lt;&gt;"",AA1094=""),"خطای فرمت مهلت",IF(AND(H1094&lt;&gt;"",AD1094&lt;&gt;"",TODAY()&gt;AD1094),"تاخیر",IF(L1094&lt;&gt;"","در حال انجام",""))))))</f>
        <v/>
      </c>
      <c r="V1094" s="7" t="n">
        <f aca="true">IF(U1094="تاخیر",TODAY()-AD1094,IF(AND(U1094="بسته",AH1094&lt;&gt;"",AD1094&lt;&gt;"",AH1094&gt;AD1094),AH1094-AD1094,0))</f>
        <v>0</v>
      </c>
      <c r="W1094" s="7" t="str">
        <f aca="false">IF(L1094="","",VALUE(LEFT(L1094,FIND("/",L1094)-1)))</f>
        <v/>
      </c>
      <c r="X1094" s="7" t="str">
        <f aca="false">IF(L1094="","",VALUE(MID(L1094,FIND("/",L1094)+1,FIND("/",L1094,FIND("/",L1094)+1)-FIND("/",L1094)-1)))</f>
        <v/>
      </c>
      <c r="Y1094" s="7" t="str">
        <f aca="false">IF(L1094="","",VALUE(MID(L1094,FIND("/",L1094,FIND("/",L1094)+1)+1,LEN(L1094)-FIND("/",L1094,FIND("/",L1094)+1))))</f>
        <v/>
      </c>
      <c r="Z1094" s="7" t="str">
        <f aca="false">IF(OR(L1094="",W1094=""),"",IFERROR(INDEX('لیست‌ها'!$Q$3:$Q$53,MATCH(W1094,'لیست‌ها'!$P$3:$P$53,0))+IF(X1094&lt;=6,(X1094-1)*31+Y1094,IF(X1094&lt;=11,186+(X1094-7)*30+Y1094,336+Y1094))-1,""))</f>
        <v/>
      </c>
      <c r="AA1094" s="7" t="str">
        <f aca="false">IF(H1094="","",VALUE(LEFT(H1094,FIND("/",H1094)-1)))</f>
        <v/>
      </c>
      <c r="AB1094" s="7" t="str">
        <f aca="false">IF(H1094="","",VALUE(MID(H1094,FIND("/",H1094)+1,FIND("/",H1094,FIND("/",H1094)+1)-FIND("/",H1094)-1)))</f>
        <v/>
      </c>
      <c r="AC1094" s="7" t="str">
        <f aca="false">IF(H1094="","",VALUE(MID(H1094,FIND("/",H1094,FIND("/",H1094)+1)+1,LEN(H1094)-FIND("/",H1094,FIND("/",H1094)+1))))</f>
        <v/>
      </c>
      <c r="AD1094" s="7" t="str">
        <f aca="false">IF(OR(H1094="",AA1094=""),"",IFERROR(INDEX('لیست‌ها'!$Q$3:$Q$53,MATCH(AA1094,'لیست‌ها'!$P$3:$P$53,0))+IF(AB1094&lt;=6,(AB1094-1)*31+AC1094,IF(AB1094&lt;=11,186+(AB1094-7)*30+AC1094,336+AC1094))-1,""))</f>
        <v/>
      </c>
      <c r="AE1094" s="7" t="str">
        <f aca="false">IF(P1094="","",VALUE(LEFT(P1094,FIND("/",P1094)-1)))</f>
        <v/>
      </c>
      <c r="AF1094" s="7" t="str">
        <f aca="false">IF(P1094="","",VALUE(MID(P1094,FIND("/",P1094)+1,FIND("/",P1094,FIND("/",P1094)+1)-FIND("/",P1094)-1)))</f>
        <v/>
      </c>
      <c r="AG1094" s="7" t="str">
        <f aca="false">IF(P1094="","",VALUE(MID(P1094,FIND("/",P1094,FIND("/",P1094)+1)+1,LEN(P1094)-FIND("/",P1094,FIND("/",P1094)+1))))</f>
        <v/>
      </c>
      <c r="AH1094" s="7" t="str">
        <f aca="false">IF(OR(P1094="",AE1094=""),"",IFERROR(INDEX('لیست‌ها'!$Q$3:$Q$53,MATCH(AE1094,'لیست‌ها'!$P$3:$P$53,0))+IF(AF1094&lt;=6,(AF1094-1)*31+AG1094,IF(AF1094&lt;=11,186+(AF1094-7)*30+AG1094,336+AG1094))-1,""))</f>
        <v/>
      </c>
      <c r="AI1094" s="7" t="str">
        <f aca="false">IF(W1094="","",W1094&amp;"-"&amp;TEXT(X1094,"00"))</f>
        <v/>
      </c>
      <c r="AJ1094" s="7" t="str">
        <f aca="false">IF(W1094="","",W1094*12+X1094)</f>
        <v/>
      </c>
      <c r="AK1094" s="7" t="str">
        <f aca="false">IF(U1094="تاخیر",V1094+ROW()/100000,"")</f>
        <v/>
      </c>
    </row>
    <row r="1095" customFormat="false" ht="15" hidden="false" customHeight="false" outlineLevel="0" collapsed="false">
      <c r="A1095" s="7" t="str">
        <f aca="false">IF(B1095="","",ROW()-3)</f>
        <v/>
      </c>
      <c r="B1095" s="8"/>
      <c r="C1095" s="8"/>
      <c r="D1095" s="8"/>
      <c r="E1095" s="9"/>
      <c r="F1095" s="9"/>
      <c r="G1095" s="8"/>
      <c r="H1095" s="8"/>
      <c r="I1095" s="8"/>
      <c r="J1095" s="9"/>
      <c r="K1095" s="8"/>
      <c r="L1095" s="8"/>
      <c r="M1095" s="8"/>
      <c r="N1095" s="8"/>
      <c r="O1095" s="8"/>
      <c r="P1095" s="8"/>
      <c r="Q1095" s="8"/>
      <c r="R1095" s="9"/>
      <c r="S1095" s="8"/>
      <c r="T1095" s="9"/>
      <c r="U1095" s="10" t="str">
        <f aca="true">IF(B1095="","",IF(OR(P1095&lt;&gt;"",I1095="می‌باشد"),"بسته",IF(AND(L1095&lt;&gt;"",W1095=""),"خطای فرمت تاریخ ایجاد",IF(AND(H1095&lt;&gt;"",AA1095=""),"خطای فرمت مهلت",IF(AND(H1095&lt;&gt;"",AD1095&lt;&gt;"",TODAY()&gt;AD1095),"تاخیر",IF(L1095&lt;&gt;"","در حال انجام",""))))))</f>
        <v/>
      </c>
      <c r="V1095" s="7" t="n">
        <f aca="true">IF(U1095="تاخیر",TODAY()-AD1095,IF(AND(U1095="بسته",AH1095&lt;&gt;"",AD1095&lt;&gt;"",AH1095&gt;AD1095),AH1095-AD1095,0))</f>
        <v>0</v>
      </c>
      <c r="W1095" s="7" t="str">
        <f aca="false">IF(L1095="","",VALUE(LEFT(L1095,FIND("/",L1095)-1)))</f>
        <v/>
      </c>
      <c r="X1095" s="7" t="str">
        <f aca="false">IF(L1095="","",VALUE(MID(L1095,FIND("/",L1095)+1,FIND("/",L1095,FIND("/",L1095)+1)-FIND("/",L1095)-1)))</f>
        <v/>
      </c>
      <c r="Y1095" s="7" t="str">
        <f aca="false">IF(L1095="","",VALUE(MID(L1095,FIND("/",L1095,FIND("/",L1095)+1)+1,LEN(L1095)-FIND("/",L1095,FIND("/",L1095)+1))))</f>
        <v/>
      </c>
      <c r="Z1095" s="7" t="str">
        <f aca="false">IF(OR(L1095="",W1095=""),"",IFERROR(INDEX('لیست‌ها'!$Q$3:$Q$53,MATCH(W1095,'لیست‌ها'!$P$3:$P$53,0))+IF(X1095&lt;=6,(X1095-1)*31+Y1095,IF(X1095&lt;=11,186+(X1095-7)*30+Y1095,336+Y1095))-1,""))</f>
        <v/>
      </c>
      <c r="AA1095" s="7" t="str">
        <f aca="false">IF(H1095="","",VALUE(LEFT(H1095,FIND("/",H1095)-1)))</f>
        <v/>
      </c>
      <c r="AB1095" s="7" t="str">
        <f aca="false">IF(H1095="","",VALUE(MID(H1095,FIND("/",H1095)+1,FIND("/",H1095,FIND("/",H1095)+1)-FIND("/",H1095)-1)))</f>
        <v/>
      </c>
      <c r="AC1095" s="7" t="str">
        <f aca="false">IF(H1095="","",VALUE(MID(H1095,FIND("/",H1095,FIND("/",H1095)+1)+1,LEN(H1095)-FIND("/",H1095,FIND("/",H1095)+1))))</f>
        <v/>
      </c>
      <c r="AD1095" s="7" t="str">
        <f aca="false">IF(OR(H1095="",AA1095=""),"",IFERROR(INDEX('لیست‌ها'!$Q$3:$Q$53,MATCH(AA1095,'لیست‌ها'!$P$3:$P$53,0))+IF(AB1095&lt;=6,(AB1095-1)*31+AC1095,IF(AB1095&lt;=11,186+(AB1095-7)*30+AC1095,336+AC1095))-1,""))</f>
        <v/>
      </c>
      <c r="AE1095" s="7" t="str">
        <f aca="false">IF(P1095="","",VALUE(LEFT(P1095,FIND("/",P1095)-1)))</f>
        <v/>
      </c>
      <c r="AF1095" s="7" t="str">
        <f aca="false">IF(P1095="","",VALUE(MID(P1095,FIND("/",P1095)+1,FIND("/",P1095,FIND("/",P1095)+1)-FIND("/",P1095)-1)))</f>
        <v/>
      </c>
      <c r="AG1095" s="7" t="str">
        <f aca="false">IF(P1095="","",VALUE(MID(P1095,FIND("/",P1095,FIND("/",P1095)+1)+1,LEN(P1095)-FIND("/",P1095,FIND("/",P1095)+1))))</f>
        <v/>
      </c>
      <c r="AH1095" s="7" t="str">
        <f aca="false">IF(OR(P1095="",AE1095=""),"",IFERROR(INDEX('لیست‌ها'!$Q$3:$Q$53,MATCH(AE1095,'لیست‌ها'!$P$3:$P$53,0))+IF(AF1095&lt;=6,(AF1095-1)*31+AG1095,IF(AF1095&lt;=11,186+(AF1095-7)*30+AG1095,336+AG1095))-1,""))</f>
        <v/>
      </c>
      <c r="AI1095" s="7" t="str">
        <f aca="false">IF(W1095="","",W1095&amp;"-"&amp;TEXT(X1095,"00"))</f>
        <v/>
      </c>
      <c r="AJ1095" s="7" t="str">
        <f aca="false">IF(W1095="","",W1095*12+X1095)</f>
        <v/>
      </c>
      <c r="AK1095" s="7" t="str">
        <f aca="false">IF(U1095="تاخیر",V1095+ROW()/100000,"")</f>
        <v/>
      </c>
    </row>
    <row r="1096" customFormat="false" ht="15" hidden="false" customHeight="false" outlineLevel="0" collapsed="false">
      <c r="A1096" s="7" t="str">
        <f aca="false">IF(B1096="","",ROW()-3)</f>
        <v/>
      </c>
      <c r="B1096" s="8"/>
      <c r="C1096" s="8"/>
      <c r="D1096" s="8"/>
      <c r="E1096" s="9"/>
      <c r="F1096" s="9"/>
      <c r="G1096" s="8"/>
      <c r="H1096" s="8"/>
      <c r="I1096" s="8"/>
      <c r="J1096" s="9"/>
      <c r="K1096" s="8"/>
      <c r="L1096" s="8"/>
      <c r="M1096" s="8"/>
      <c r="N1096" s="8"/>
      <c r="O1096" s="8"/>
      <c r="P1096" s="8"/>
      <c r="Q1096" s="8"/>
      <c r="R1096" s="9"/>
      <c r="S1096" s="8"/>
      <c r="T1096" s="9"/>
      <c r="U1096" s="10" t="str">
        <f aca="true">IF(B1096="","",IF(OR(P1096&lt;&gt;"",I1096="می‌باشد"),"بسته",IF(AND(L1096&lt;&gt;"",W1096=""),"خطای فرمت تاریخ ایجاد",IF(AND(H1096&lt;&gt;"",AA1096=""),"خطای فرمت مهلت",IF(AND(H1096&lt;&gt;"",AD1096&lt;&gt;"",TODAY()&gt;AD1096),"تاخیر",IF(L1096&lt;&gt;"","در حال انجام",""))))))</f>
        <v/>
      </c>
      <c r="V1096" s="7" t="n">
        <f aca="true">IF(U1096="تاخیر",TODAY()-AD1096,IF(AND(U1096="بسته",AH1096&lt;&gt;"",AD1096&lt;&gt;"",AH1096&gt;AD1096),AH1096-AD1096,0))</f>
        <v>0</v>
      </c>
      <c r="W1096" s="7" t="str">
        <f aca="false">IF(L1096="","",VALUE(LEFT(L1096,FIND("/",L1096)-1)))</f>
        <v/>
      </c>
      <c r="X1096" s="7" t="str">
        <f aca="false">IF(L1096="","",VALUE(MID(L1096,FIND("/",L1096)+1,FIND("/",L1096,FIND("/",L1096)+1)-FIND("/",L1096)-1)))</f>
        <v/>
      </c>
      <c r="Y1096" s="7" t="str">
        <f aca="false">IF(L1096="","",VALUE(MID(L1096,FIND("/",L1096,FIND("/",L1096)+1)+1,LEN(L1096)-FIND("/",L1096,FIND("/",L1096)+1))))</f>
        <v/>
      </c>
      <c r="Z1096" s="7" t="str">
        <f aca="false">IF(OR(L1096="",W1096=""),"",IFERROR(INDEX('لیست‌ها'!$Q$3:$Q$53,MATCH(W1096,'لیست‌ها'!$P$3:$P$53,0))+IF(X1096&lt;=6,(X1096-1)*31+Y1096,IF(X1096&lt;=11,186+(X1096-7)*30+Y1096,336+Y1096))-1,""))</f>
        <v/>
      </c>
      <c r="AA1096" s="7" t="str">
        <f aca="false">IF(H1096="","",VALUE(LEFT(H1096,FIND("/",H1096)-1)))</f>
        <v/>
      </c>
      <c r="AB1096" s="7" t="str">
        <f aca="false">IF(H1096="","",VALUE(MID(H1096,FIND("/",H1096)+1,FIND("/",H1096,FIND("/",H1096)+1)-FIND("/",H1096)-1)))</f>
        <v/>
      </c>
      <c r="AC1096" s="7" t="str">
        <f aca="false">IF(H1096="","",VALUE(MID(H1096,FIND("/",H1096,FIND("/",H1096)+1)+1,LEN(H1096)-FIND("/",H1096,FIND("/",H1096)+1))))</f>
        <v/>
      </c>
      <c r="AD1096" s="7" t="str">
        <f aca="false">IF(OR(H1096="",AA1096=""),"",IFERROR(INDEX('لیست‌ها'!$Q$3:$Q$53,MATCH(AA1096,'لیست‌ها'!$P$3:$P$53,0))+IF(AB1096&lt;=6,(AB1096-1)*31+AC1096,IF(AB1096&lt;=11,186+(AB1096-7)*30+AC1096,336+AC1096))-1,""))</f>
        <v/>
      </c>
      <c r="AE1096" s="7" t="str">
        <f aca="false">IF(P1096="","",VALUE(LEFT(P1096,FIND("/",P1096)-1)))</f>
        <v/>
      </c>
      <c r="AF1096" s="7" t="str">
        <f aca="false">IF(P1096="","",VALUE(MID(P1096,FIND("/",P1096)+1,FIND("/",P1096,FIND("/",P1096)+1)-FIND("/",P1096)-1)))</f>
        <v/>
      </c>
      <c r="AG1096" s="7" t="str">
        <f aca="false">IF(P1096="","",VALUE(MID(P1096,FIND("/",P1096,FIND("/",P1096)+1)+1,LEN(P1096)-FIND("/",P1096,FIND("/",P1096)+1))))</f>
        <v/>
      </c>
      <c r="AH1096" s="7" t="str">
        <f aca="false">IF(OR(P1096="",AE1096=""),"",IFERROR(INDEX('لیست‌ها'!$Q$3:$Q$53,MATCH(AE1096,'لیست‌ها'!$P$3:$P$53,0))+IF(AF1096&lt;=6,(AF1096-1)*31+AG1096,IF(AF1096&lt;=11,186+(AF1096-7)*30+AG1096,336+AG1096))-1,""))</f>
        <v/>
      </c>
      <c r="AI1096" s="7" t="str">
        <f aca="false">IF(W1096="","",W1096&amp;"-"&amp;TEXT(X1096,"00"))</f>
        <v/>
      </c>
      <c r="AJ1096" s="7" t="str">
        <f aca="false">IF(W1096="","",W1096*12+X1096)</f>
        <v/>
      </c>
      <c r="AK1096" s="7" t="str">
        <f aca="false">IF(U1096="تاخیر",V1096+ROW()/100000,"")</f>
        <v/>
      </c>
    </row>
    <row r="1097" customFormat="false" ht="15" hidden="false" customHeight="false" outlineLevel="0" collapsed="false">
      <c r="A1097" s="7" t="str">
        <f aca="false">IF(B1097="","",ROW()-3)</f>
        <v/>
      </c>
      <c r="B1097" s="8"/>
      <c r="C1097" s="8"/>
      <c r="D1097" s="8"/>
      <c r="E1097" s="9"/>
      <c r="F1097" s="9"/>
      <c r="G1097" s="8"/>
      <c r="H1097" s="8"/>
      <c r="I1097" s="8"/>
      <c r="J1097" s="9"/>
      <c r="K1097" s="8"/>
      <c r="L1097" s="8"/>
      <c r="M1097" s="8"/>
      <c r="N1097" s="8"/>
      <c r="O1097" s="8"/>
      <c r="P1097" s="8"/>
      <c r="Q1097" s="8"/>
      <c r="R1097" s="9"/>
      <c r="S1097" s="8"/>
      <c r="T1097" s="9"/>
      <c r="U1097" s="10" t="str">
        <f aca="true">IF(B1097="","",IF(OR(P1097&lt;&gt;"",I1097="می‌باشد"),"بسته",IF(AND(L1097&lt;&gt;"",W1097=""),"خطای فرمت تاریخ ایجاد",IF(AND(H1097&lt;&gt;"",AA1097=""),"خطای فرمت مهلت",IF(AND(H1097&lt;&gt;"",AD1097&lt;&gt;"",TODAY()&gt;AD1097),"تاخیر",IF(L1097&lt;&gt;"","در حال انجام",""))))))</f>
        <v/>
      </c>
      <c r="V1097" s="7" t="n">
        <f aca="true">IF(U1097="تاخیر",TODAY()-AD1097,IF(AND(U1097="بسته",AH1097&lt;&gt;"",AD1097&lt;&gt;"",AH1097&gt;AD1097),AH1097-AD1097,0))</f>
        <v>0</v>
      </c>
      <c r="W1097" s="7" t="str">
        <f aca="false">IF(L1097="","",VALUE(LEFT(L1097,FIND("/",L1097)-1)))</f>
        <v/>
      </c>
      <c r="X1097" s="7" t="str">
        <f aca="false">IF(L1097="","",VALUE(MID(L1097,FIND("/",L1097)+1,FIND("/",L1097,FIND("/",L1097)+1)-FIND("/",L1097)-1)))</f>
        <v/>
      </c>
      <c r="Y1097" s="7" t="str">
        <f aca="false">IF(L1097="","",VALUE(MID(L1097,FIND("/",L1097,FIND("/",L1097)+1)+1,LEN(L1097)-FIND("/",L1097,FIND("/",L1097)+1))))</f>
        <v/>
      </c>
      <c r="Z1097" s="7" t="str">
        <f aca="false">IF(OR(L1097="",W1097=""),"",IFERROR(INDEX('لیست‌ها'!$Q$3:$Q$53,MATCH(W1097,'لیست‌ها'!$P$3:$P$53,0))+IF(X1097&lt;=6,(X1097-1)*31+Y1097,IF(X1097&lt;=11,186+(X1097-7)*30+Y1097,336+Y1097))-1,""))</f>
        <v/>
      </c>
      <c r="AA1097" s="7" t="str">
        <f aca="false">IF(H1097="","",VALUE(LEFT(H1097,FIND("/",H1097)-1)))</f>
        <v/>
      </c>
      <c r="AB1097" s="7" t="str">
        <f aca="false">IF(H1097="","",VALUE(MID(H1097,FIND("/",H1097)+1,FIND("/",H1097,FIND("/",H1097)+1)-FIND("/",H1097)-1)))</f>
        <v/>
      </c>
      <c r="AC1097" s="7" t="str">
        <f aca="false">IF(H1097="","",VALUE(MID(H1097,FIND("/",H1097,FIND("/",H1097)+1)+1,LEN(H1097)-FIND("/",H1097,FIND("/",H1097)+1))))</f>
        <v/>
      </c>
      <c r="AD1097" s="7" t="str">
        <f aca="false">IF(OR(H1097="",AA1097=""),"",IFERROR(INDEX('لیست‌ها'!$Q$3:$Q$53,MATCH(AA1097,'لیست‌ها'!$P$3:$P$53,0))+IF(AB1097&lt;=6,(AB1097-1)*31+AC1097,IF(AB1097&lt;=11,186+(AB1097-7)*30+AC1097,336+AC1097))-1,""))</f>
        <v/>
      </c>
      <c r="AE1097" s="7" t="str">
        <f aca="false">IF(P1097="","",VALUE(LEFT(P1097,FIND("/",P1097)-1)))</f>
        <v/>
      </c>
      <c r="AF1097" s="7" t="str">
        <f aca="false">IF(P1097="","",VALUE(MID(P1097,FIND("/",P1097)+1,FIND("/",P1097,FIND("/",P1097)+1)-FIND("/",P1097)-1)))</f>
        <v/>
      </c>
      <c r="AG1097" s="7" t="str">
        <f aca="false">IF(P1097="","",VALUE(MID(P1097,FIND("/",P1097,FIND("/",P1097)+1)+1,LEN(P1097)-FIND("/",P1097,FIND("/",P1097)+1))))</f>
        <v/>
      </c>
      <c r="AH1097" s="7" t="str">
        <f aca="false">IF(OR(P1097="",AE1097=""),"",IFERROR(INDEX('لیست‌ها'!$Q$3:$Q$53,MATCH(AE1097,'لیست‌ها'!$P$3:$P$53,0))+IF(AF1097&lt;=6,(AF1097-1)*31+AG1097,IF(AF1097&lt;=11,186+(AF1097-7)*30+AG1097,336+AG1097))-1,""))</f>
        <v/>
      </c>
      <c r="AI1097" s="7" t="str">
        <f aca="false">IF(W1097="","",W1097&amp;"-"&amp;TEXT(X1097,"00"))</f>
        <v/>
      </c>
      <c r="AJ1097" s="7" t="str">
        <f aca="false">IF(W1097="","",W1097*12+X1097)</f>
        <v/>
      </c>
      <c r="AK1097" s="7" t="str">
        <f aca="false">IF(U1097="تاخیر",V1097+ROW()/100000,"")</f>
        <v/>
      </c>
    </row>
    <row r="1098" customFormat="false" ht="15" hidden="false" customHeight="false" outlineLevel="0" collapsed="false">
      <c r="A1098" s="7" t="str">
        <f aca="false">IF(B1098="","",ROW()-3)</f>
        <v/>
      </c>
      <c r="B1098" s="8"/>
      <c r="C1098" s="8"/>
      <c r="D1098" s="8"/>
      <c r="E1098" s="9"/>
      <c r="F1098" s="9"/>
      <c r="G1098" s="8"/>
      <c r="H1098" s="8"/>
      <c r="I1098" s="8"/>
      <c r="J1098" s="9"/>
      <c r="K1098" s="8"/>
      <c r="L1098" s="8"/>
      <c r="M1098" s="8"/>
      <c r="N1098" s="8"/>
      <c r="O1098" s="8"/>
      <c r="P1098" s="8"/>
      <c r="Q1098" s="8"/>
      <c r="R1098" s="9"/>
      <c r="S1098" s="8"/>
      <c r="T1098" s="9"/>
      <c r="U1098" s="10" t="str">
        <f aca="true">IF(B1098="","",IF(OR(P1098&lt;&gt;"",I1098="می‌باشد"),"بسته",IF(AND(L1098&lt;&gt;"",W1098=""),"خطای فرمت تاریخ ایجاد",IF(AND(H1098&lt;&gt;"",AA1098=""),"خطای فرمت مهلت",IF(AND(H1098&lt;&gt;"",AD1098&lt;&gt;"",TODAY()&gt;AD1098),"تاخیر",IF(L1098&lt;&gt;"","در حال انجام",""))))))</f>
        <v/>
      </c>
      <c r="V1098" s="7" t="n">
        <f aca="true">IF(U1098="تاخیر",TODAY()-AD1098,IF(AND(U1098="بسته",AH1098&lt;&gt;"",AD1098&lt;&gt;"",AH1098&gt;AD1098),AH1098-AD1098,0))</f>
        <v>0</v>
      </c>
      <c r="W1098" s="7" t="str">
        <f aca="false">IF(L1098="","",VALUE(LEFT(L1098,FIND("/",L1098)-1)))</f>
        <v/>
      </c>
      <c r="X1098" s="7" t="str">
        <f aca="false">IF(L1098="","",VALUE(MID(L1098,FIND("/",L1098)+1,FIND("/",L1098,FIND("/",L1098)+1)-FIND("/",L1098)-1)))</f>
        <v/>
      </c>
      <c r="Y1098" s="7" t="str">
        <f aca="false">IF(L1098="","",VALUE(MID(L1098,FIND("/",L1098,FIND("/",L1098)+1)+1,LEN(L1098)-FIND("/",L1098,FIND("/",L1098)+1))))</f>
        <v/>
      </c>
      <c r="Z1098" s="7" t="str">
        <f aca="false">IF(OR(L1098="",W1098=""),"",IFERROR(INDEX('لیست‌ها'!$Q$3:$Q$53,MATCH(W1098,'لیست‌ها'!$P$3:$P$53,0))+IF(X1098&lt;=6,(X1098-1)*31+Y1098,IF(X1098&lt;=11,186+(X1098-7)*30+Y1098,336+Y1098))-1,""))</f>
        <v/>
      </c>
      <c r="AA1098" s="7" t="str">
        <f aca="false">IF(H1098="","",VALUE(LEFT(H1098,FIND("/",H1098)-1)))</f>
        <v/>
      </c>
      <c r="AB1098" s="7" t="str">
        <f aca="false">IF(H1098="","",VALUE(MID(H1098,FIND("/",H1098)+1,FIND("/",H1098,FIND("/",H1098)+1)-FIND("/",H1098)-1)))</f>
        <v/>
      </c>
      <c r="AC1098" s="7" t="str">
        <f aca="false">IF(H1098="","",VALUE(MID(H1098,FIND("/",H1098,FIND("/",H1098)+1)+1,LEN(H1098)-FIND("/",H1098,FIND("/",H1098)+1))))</f>
        <v/>
      </c>
      <c r="AD1098" s="7" t="str">
        <f aca="false">IF(OR(H1098="",AA1098=""),"",IFERROR(INDEX('لیست‌ها'!$Q$3:$Q$53,MATCH(AA1098,'لیست‌ها'!$P$3:$P$53,0))+IF(AB1098&lt;=6,(AB1098-1)*31+AC1098,IF(AB1098&lt;=11,186+(AB1098-7)*30+AC1098,336+AC1098))-1,""))</f>
        <v/>
      </c>
      <c r="AE1098" s="7" t="str">
        <f aca="false">IF(P1098="","",VALUE(LEFT(P1098,FIND("/",P1098)-1)))</f>
        <v/>
      </c>
      <c r="AF1098" s="7" t="str">
        <f aca="false">IF(P1098="","",VALUE(MID(P1098,FIND("/",P1098)+1,FIND("/",P1098,FIND("/",P1098)+1)-FIND("/",P1098)-1)))</f>
        <v/>
      </c>
      <c r="AG1098" s="7" t="str">
        <f aca="false">IF(P1098="","",VALUE(MID(P1098,FIND("/",P1098,FIND("/",P1098)+1)+1,LEN(P1098)-FIND("/",P1098,FIND("/",P1098)+1))))</f>
        <v/>
      </c>
      <c r="AH1098" s="7" t="str">
        <f aca="false">IF(OR(P1098="",AE1098=""),"",IFERROR(INDEX('لیست‌ها'!$Q$3:$Q$53,MATCH(AE1098,'لیست‌ها'!$P$3:$P$53,0))+IF(AF1098&lt;=6,(AF1098-1)*31+AG1098,IF(AF1098&lt;=11,186+(AF1098-7)*30+AG1098,336+AG1098))-1,""))</f>
        <v/>
      </c>
      <c r="AI1098" s="7" t="str">
        <f aca="false">IF(W1098="","",W1098&amp;"-"&amp;TEXT(X1098,"00"))</f>
        <v/>
      </c>
      <c r="AJ1098" s="7" t="str">
        <f aca="false">IF(W1098="","",W1098*12+X1098)</f>
        <v/>
      </c>
      <c r="AK1098" s="7" t="str">
        <f aca="false">IF(U1098="تاخیر",V1098+ROW()/100000,"")</f>
        <v/>
      </c>
    </row>
    <row r="1099" customFormat="false" ht="15" hidden="false" customHeight="false" outlineLevel="0" collapsed="false">
      <c r="A1099" s="7" t="str">
        <f aca="false">IF(B1099="","",ROW()-3)</f>
        <v/>
      </c>
      <c r="B1099" s="8"/>
      <c r="C1099" s="8"/>
      <c r="D1099" s="8"/>
      <c r="E1099" s="9"/>
      <c r="F1099" s="9"/>
      <c r="G1099" s="8"/>
      <c r="H1099" s="8"/>
      <c r="I1099" s="8"/>
      <c r="J1099" s="9"/>
      <c r="K1099" s="8"/>
      <c r="L1099" s="8"/>
      <c r="M1099" s="8"/>
      <c r="N1099" s="8"/>
      <c r="O1099" s="8"/>
      <c r="P1099" s="8"/>
      <c r="Q1099" s="8"/>
      <c r="R1099" s="9"/>
      <c r="S1099" s="8"/>
      <c r="T1099" s="9"/>
      <c r="U1099" s="10" t="str">
        <f aca="true">IF(B1099="","",IF(OR(P1099&lt;&gt;"",I1099="می‌باشد"),"بسته",IF(AND(L1099&lt;&gt;"",W1099=""),"خطای فرمت تاریخ ایجاد",IF(AND(H1099&lt;&gt;"",AA1099=""),"خطای فرمت مهلت",IF(AND(H1099&lt;&gt;"",AD1099&lt;&gt;"",TODAY()&gt;AD1099),"تاخیر",IF(L1099&lt;&gt;"","در حال انجام",""))))))</f>
        <v/>
      </c>
      <c r="V1099" s="7" t="n">
        <f aca="true">IF(U1099="تاخیر",TODAY()-AD1099,IF(AND(U1099="بسته",AH1099&lt;&gt;"",AD1099&lt;&gt;"",AH1099&gt;AD1099),AH1099-AD1099,0))</f>
        <v>0</v>
      </c>
      <c r="W1099" s="7" t="str">
        <f aca="false">IF(L1099="","",VALUE(LEFT(L1099,FIND("/",L1099)-1)))</f>
        <v/>
      </c>
      <c r="X1099" s="7" t="str">
        <f aca="false">IF(L1099="","",VALUE(MID(L1099,FIND("/",L1099)+1,FIND("/",L1099,FIND("/",L1099)+1)-FIND("/",L1099)-1)))</f>
        <v/>
      </c>
      <c r="Y1099" s="7" t="str">
        <f aca="false">IF(L1099="","",VALUE(MID(L1099,FIND("/",L1099,FIND("/",L1099)+1)+1,LEN(L1099)-FIND("/",L1099,FIND("/",L1099)+1))))</f>
        <v/>
      </c>
      <c r="Z1099" s="7" t="str">
        <f aca="false">IF(OR(L1099="",W1099=""),"",IFERROR(INDEX('لیست‌ها'!$Q$3:$Q$53,MATCH(W1099,'لیست‌ها'!$P$3:$P$53,0))+IF(X1099&lt;=6,(X1099-1)*31+Y1099,IF(X1099&lt;=11,186+(X1099-7)*30+Y1099,336+Y1099))-1,""))</f>
        <v/>
      </c>
      <c r="AA1099" s="7" t="str">
        <f aca="false">IF(H1099="","",VALUE(LEFT(H1099,FIND("/",H1099)-1)))</f>
        <v/>
      </c>
      <c r="AB1099" s="7" t="str">
        <f aca="false">IF(H1099="","",VALUE(MID(H1099,FIND("/",H1099)+1,FIND("/",H1099,FIND("/",H1099)+1)-FIND("/",H1099)-1)))</f>
        <v/>
      </c>
      <c r="AC1099" s="7" t="str">
        <f aca="false">IF(H1099="","",VALUE(MID(H1099,FIND("/",H1099,FIND("/",H1099)+1)+1,LEN(H1099)-FIND("/",H1099,FIND("/",H1099)+1))))</f>
        <v/>
      </c>
      <c r="AD1099" s="7" t="str">
        <f aca="false">IF(OR(H1099="",AA1099=""),"",IFERROR(INDEX('لیست‌ها'!$Q$3:$Q$53,MATCH(AA1099,'لیست‌ها'!$P$3:$P$53,0))+IF(AB1099&lt;=6,(AB1099-1)*31+AC1099,IF(AB1099&lt;=11,186+(AB1099-7)*30+AC1099,336+AC1099))-1,""))</f>
        <v/>
      </c>
      <c r="AE1099" s="7" t="str">
        <f aca="false">IF(P1099="","",VALUE(LEFT(P1099,FIND("/",P1099)-1)))</f>
        <v/>
      </c>
      <c r="AF1099" s="7" t="str">
        <f aca="false">IF(P1099="","",VALUE(MID(P1099,FIND("/",P1099)+1,FIND("/",P1099,FIND("/",P1099)+1)-FIND("/",P1099)-1)))</f>
        <v/>
      </c>
      <c r="AG1099" s="7" t="str">
        <f aca="false">IF(P1099="","",VALUE(MID(P1099,FIND("/",P1099,FIND("/",P1099)+1)+1,LEN(P1099)-FIND("/",P1099,FIND("/",P1099)+1))))</f>
        <v/>
      </c>
      <c r="AH1099" s="7" t="str">
        <f aca="false">IF(OR(P1099="",AE1099=""),"",IFERROR(INDEX('لیست‌ها'!$Q$3:$Q$53,MATCH(AE1099,'لیست‌ها'!$P$3:$P$53,0))+IF(AF1099&lt;=6,(AF1099-1)*31+AG1099,IF(AF1099&lt;=11,186+(AF1099-7)*30+AG1099,336+AG1099))-1,""))</f>
        <v/>
      </c>
      <c r="AI1099" s="7" t="str">
        <f aca="false">IF(W1099="","",W1099&amp;"-"&amp;TEXT(X1099,"00"))</f>
        <v/>
      </c>
      <c r="AJ1099" s="7" t="str">
        <f aca="false">IF(W1099="","",W1099*12+X1099)</f>
        <v/>
      </c>
      <c r="AK1099" s="7" t="str">
        <f aca="false">IF(U1099="تاخیر",V1099+ROW()/100000,"")</f>
        <v/>
      </c>
    </row>
    <row r="1100" customFormat="false" ht="15" hidden="false" customHeight="false" outlineLevel="0" collapsed="false">
      <c r="A1100" s="7" t="str">
        <f aca="false">IF(B1100="","",ROW()-3)</f>
        <v/>
      </c>
      <c r="B1100" s="8"/>
      <c r="C1100" s="8"/>
      <c r="D1100" s="8"/>
      <c r="E1100" s="9"/>
      <c r="F1100" s="9"/>
      <c r="G1100" s="8"/>
      <c r="H1100" s="8"/>
      <c r="I1100" s="8"/>
      <c r="J1100" s="9"/>
      <c r="K1100" s="8"/>
      <c r="L1100" s="8"/>
      <c r="M1100" s="8"/>
      <c r="N1100" s="8"/>
      <c r="O1100" s="8"/>
      <c r="P1100" s="8"/>
      <c r="Q1100" s="8"/>
      <c r="R1100" s="9"/>
      <c r="S1100" s="8"/>
      <c r="T1100" s="9"/>
      <c r="U1100" s="10" t="str">
        <f aca="true">IF(B1100="","",IF(OR(P1100&lt;&gt;"",I1100="می‌باشد"),"بسته",IF(AND(L1100&lt;&gt;"",W1100=""),"خطای فرمت تاریخ ایجاد",IF(AND(H1100&lt;&gt;"",AA1100=""),"خطای فرمت مهلت",IF(AND(H1100&lt;&gt;"",AD1100&lt;&gt;"",TODAY()&gt;AD1100),"تاخیر",IF(L1100&lt;&gt;"","در حال انجام",""))))))</f>
        <v/>
      </c>
      <c r="V1100" s="7" t="n">
        <f aca="true">IF(U1100="تاخیر",TODAY()-AD1100,IF(AND(U1100="بسته",AH1100&lt;&gt;"",AD1100&lt;&gt;"",AH1100&gt;AD1100),AH1100-AD1100,0))</f>
        <v>0</v>
      </c>
      <c r="W1100" s="7" t="str">
        <f aca="false">IF(L1100="","",VALUE(LEFT(L1100,FIND("/",L1100)-1)))</f>
        <v/>
      </c>
      <c r="X1100" s="7" t="str">
        <f aca="false">IF(L1100="","",VALUE(MID(L1100,FIND("/",L1100)+1,FIND("/",L1100,FIND("/",L1100)+1)-FIND("/",L1100)-1)))</f>
        <v/>
      </c>
      <c r="Y1100" s="7" t="str">
        <f aca="false">IF(L1100="","",VALUE(MID(L1100,FIND("/",L1100,FIND("/",L1100)+1)+1,LEN(L1100)-FIND("/",L1100,FIND("/",L1100)+1))))</f>
        <v/>
      </c>
      <c r="Z1100" s="7" t="str">
        <f aca="false">IF(OR(L1100="",W1100=""),"",IFERROR(INDEX('لیست‌ها'!$Q$3:$Q$53,MATCH(W1100,'لیست‌ها'!$P$3:$P$53,0))+IF(X1100&lt;=6,(X1100-1)*31+Y1100,IF(X1100&lt;=11,186+(X1100-7)*30+Y1100,336+Y1100))-1,""))</f>
        <v/>
      </c>
      <c r="AA1100" s="7" t="str">
        <f aca="false">IF(H1100="","",VALUE(LEFT(H1100,FIND("/",H1100)-1)))</f>
        <v/>
      </c>
      <c r="AB1100" s="7" t="str">
        <f aca="false">IF(H1100="","",VALUE(MID(H1100,FIND("/",H1100)+1,FIND("/",H1100,FIND("/",H1100)+1)-FIND("/",H1100)-1)))</f>
        <v/>
      </c>
      <c r="AC1100" s="7" t="str">
        <f aca="false">IF(H1100="","",VALUE(MID(H1100,FIND("/",H1100,FIND("/",H1100)+1)+1,LEN(H1100)-FIND("/",H1100,FIND("/",H1100)+1))))</f>
        <v/>
      </c>
      <c r="AD1100" s="7" t="str">
        <f aca="false">IF(OR(H1100="",AA1100=""),"",IFERROR(INDEX('لیست‌ها'!$Q$3:$Q$53,MATCH(AA1100,'لیست‌ها'!$P$3:$P$53,0))+IF(AB1100&lt;=6,(AB1100-1)*31+AC1100,IF(AB1100&lt;=11,186+(AB1100-7)*30+AC1100,336+AC1100))-1,""))</f>
        <v/>
      </c>
      <c r="AE1100" s="7" t="str">
        <f aca="false">IF(P1100="","",VALUE(LEFT(P1100,FIND("/",P1100)-1)))</f>
        <v/>
      </c>
      <c r="AF1100" s="7" t="str">
        <f aca="false">IF(P1100="","",VALUE(MID(P1100,FIND("/",P1100)+1,FIND("/",P1100,FIND("/",P1100)+1)-FIND("/",P1100)-1)))</f>
        <v/>
      </c>
      <c r="AG1100" s="7" t="str">
        <f aca="false">IF(P1100="","",VALUE(MID(P1100,FIND("/",P1100,FIND("/",P1100)+1)+1,LEN(P1100)-FIND("/",P1100,FIND("/",P1100)+1))))</f>
        <v/>
      </c>
      <c r="AH1100" s="7" t="str">
        <f aca="false">IF(OR(P1100="",AE1100=""),"",IFERROR(INDEX('لیست‌ها'!$Q$3:$Q$53,MATCH(AE1100,'لیست‌ها'!$P$3:$P$53,0))+IF(AF1100&lt;=6,(AF1100-1)*31+AG1100,IF(AF1100&lt;=11,186+(AF1100-7)*30+AG1100,336+AG1100))-1,""))</f>
        <v/>
      </c>
      <c r="AI1100" s="7" t="str">
        <f aca="false">IF(W1100="","",W1100&amp;"-"&amp;TEXT(X1100,"00"))</f>
        <v/>
      </c>
      <c r="AJ1100" s="7" t="str">
        <f aca="false">IF(W1100="","",W1100*12+X1100)</f>
        <v/>
      </c>
      <c r="AK1100" s="7" t="str">
        <f aca="false">IF(U1100="تاخیر",V1100+ROW()/100000,"")</f>
        <v/>
      </c>
    </row>
    <row r="1101" customFormat="false" ht="15" hidden="false" customHeight="false" outlineLevel="0" collapsed="false">
      <c r="A1101" s="7" t="str">
        <f aca="false">IF(B1101="","",ROW()-3)</f>
        <v/>
      </c>
      <c r="B1101" s="8"/>
      <c r="C1101" s="8"/>
      <c r="D1101" s="8"/>
      <c r="E1101" s="9"/>
      <c r="F1101" s="9"/>
      <c r="G1101" s="8"/>
      <c r="H1101" s="8"/>
      <c r="I1101" s="8"/>
      <c r="J1101" s="9"/>
      <c r="K1101" s="8"/>
      <c r="L1101" s="8"/>
      <c r="M1101" s="8"/>
      <c r="N1101" s="8"/>
      <c r="O1101" s="8"/>
      <c r="P1101" s="8"/>
      <c r="Q1101" s="8"/>
      <c r="R1101" s="9"/>
      <c r="S1101" s="8"/>
      <c r="T1101" s="9"/>
      <c r="U1101" s="10" t="str">
        <f aca="true">IF(B1101="","",IF(OR(P1101&lt;&gt;"",I1101="می‌باشد"),"بسته",IF(AND(L1101&lt;&gt;"",W1101=""),"خطای فرمت تاریخ ایجاد",IF(AND(H1101&lt;&gt;"",AA1101=""),"خطای فرمت مهلت",IF(AND(H1101&lt;&gt;"",AD1101&lt;&gt;"",TODAY()&gt;AD1101),"تاخیر",IF(L1101&lt;&gt;"","در حال انجام",""))))))</f>
        <v/>
      </c>
      <c r="V1101" s="7" t="n">
        <f aca="true">IF(U1101="تاخیر",TODAY()-AD1101,IF(AND(U1101="بسته",AH1101&lt;&gt;"",AD1101&lt;&gt;"",AH1101&gt;AD1101),AH1101-AD1101,0))</f>
        <v>0</v>
      </c>
      <c r="W1101" s="7" t="str">
        <f aca="false">IF(L1101="","",VALUE(LEFT(L1101,FIND("/",L1101)-1)))</f>
        <v/>
      </c>
      <c r="X1101" s="7" t="str">
        <f aca="false">IF(L1101="","",VALUE(MID(L1101,FIND("/",L1101)+1,FIND("/",L1101,FIND("/",L1101)+1)-FIND("/",L1101)-1)))</f>
        <v/>
      </c>
      <c r="Y1101" s="7" t="str">
        <f aca="false">IF(L1101="","",VALUE(MID(L1101,FIND("/",L1101,FIND("/",L1101)+1)+1,LEN(L1101)-FIND("/",L1101,FIND("/",L1101)+1))))</f>
        <v/>
      </c>
      <c r="Z1101" s="7" t="str">
        <f aca="false">IF(OR(L1101="",W1101=""),"",IFERROR(INDEX('لیست‌ها'!$Q$3:$Q$53,MATCH(W1101,'لیست‌ها'!$P$3:$P$53,0))+IF(X1101&lt;=6,(X1101-1)*31+Y1101,IF(X1101&lt;=11,186+(X1101-7)*30+Y1101,336+Y1101))-1,""))</f>
        <v/>
      </c>
      <c r="AA1101" s="7" t="str">
        <f aca="false">IF(H1101="","",VALUE(LEFT(H1101,FIND("/",H1101)-1)))</f>
        <v/>
      </c>
      <c r="AB1101" s="7" t="str">
        <f aca="false">IF(H1101="","",VALUE(MID(H1101,FIND("/",H1101)+1,FIND("/",H1101,FIND("/",H1101)+1)-FIND("/",H1101)-1)))</f>
        <v/>
      </c>
      <c r="AC1101" s="7" t="str">
        <f aca="false">IF(H1101="","",VALUE(MID(H1101,FIND("/",H1101,FIND("/",H1101)+1)+1,LEN(H1101)-FIND("/",H1101,FIND("/",H1101)+1))))</f>
        <v/>
      </c>
      <c r="AD1101" s="7" t="str">
        <f aca="false">IF(OR(H1101="",AA1101=""),"",IFERROR(INDEX('لیست‌ها'!$Q$3:$Q$53,MATCH(AA1101,'لیست‌ها'!$P$3:$P$53,0))+IF(AB1101&lt;=6,(AB1101-1)*31+AC1101,IF(AB1101&lt;=11,186+(AB1101-7)*30+AC1101,336+AC1101))-1,""))</f>
        <v/>
      </c>
      <c r="AE1101" s="7" t="str">
        <f aca="false">IF(P1101="","",VALUE(LEFT(P1101,FIND("/",P1101)-1)))</f>
        <v/>
      </c>
      <c r="AF1101" s="7" t="str">
        <f aca="false">IF(P1101="","",VALUE(MID(P1101,FIND("/",P1101)+1,FIND("/",P1101,FIND("/",P1101)+1)-FIND("/",P1101)-1)))</f>
        <v/>
      </c>
      <c r="AG1101" s="7" t="str">
        <f aca="false">IF(P1101="","",VALUE(MID(P1101,FIND("/",P1101,FIND("/",P1101)+1)+1,LEN(P1101)-FIND("/",P1101,FIND("/",P1101)+1))))</f>
        <v/>
      </c>
      <c r="AH1101" s="7" t="str">
        <f aca="false">IF(OR(P1101="",AE1101=""),"",IFERROR(INDEX('لیست‌ها'!$Q$3:$Q$53,MATCH(AE1101,'لیست‌ها'!$P$3:$P$53,0))+IF(AF1101&lt;=6,(AF1101-1)*31+AG1101,IF(AF1101&lt;=11,186+(AF1101-7)*30+AG1101,336+AG1101))-1,""))</f>
        <v/>
      </c>
      <c r="AI1101" s="7" t="str">
        <f aca="false">IF(W1101="","",W1101&amp;"-"&amp;TEXT(X1101,"00"))</f>
        <v/>
      </c>
      <c r="AJ1101" s="7" t="str">
        <f aca="false">IF(W1101="","",W1101*12+X1101)</f>
        <v/>
      </c>
      <c r="AK1101" s="7" t="str">
        <f aca="false">IF(U1101="تاخیر",V1101+ROW()/100000,"")</f>
        <v/>
      </c>
    </row>
    <row r="1102" customFormat="false" ht="15" hidden="false" customHeight="false" outlineLevel="0" collapsed="false">
      <c r="A1102" s="7" t="str">
        <f aca="false">IF(B1102="","",ROW()-3)</f>
        <v/>
      </c>
      <c r="B1102" s="8"/>
      <c r="C1102" s="8"/>
      <c r="D1102" s="8"/>
      <c r="E1102" s="9"/>
      <c r="F1102" s="9"/>
      <c r="G1102" s="8"/>
      <c r="H1102" s="8"/>
      <c r="I1102" s="8"/>
      <c r="J1102" s="9"/>
      <c r="K1102" s="8"/>
      <c r="L1102" s="8"/>
      <c r="M1102" s="8"/>
      <c r="N1102" s="8"/>
      <c r="O1102" s="8"/>
      <c r="P1102" s="8"/>
      <c r="Q1102" s="8"/>
      <c r="R1102" s="9"/>
      <c r="S1102" s="8"/>
      <c r="T1102" s="9"/>
      <c r="U1102" s="10" t="str">
        <f aca="true">IF(B1102="","",IF(OR(P1102&lt;&gt;"",I1102="می‌باشد"),"بسته",IF(AND(L1102&lt;&gt;"",W1102=""),"خطای فرمت تاریخ ایجاد",IF(AND(H1102&lt;&gt;"",AA1102=""),"خطای فرمت مهلت",IF(AND(H1102&lt;&gt;"",AD1102&lt;&gt;"",TODAY()&gt;AD1102),"تاخیر",IF(L1102&lt;&gt;"","در حال انجام",""))))))</f>
        <v/>
      </c>
      <c r="V1102" s="7" t="n">
        <f aca="true">IF(U1102="تاخیر",TODAY()-AD1102,IF(AND(U1102="بسته",AH1102&lt;&gt;"",AD1102&lt;&gt;"",AH1102&gt;AD1102),AH1102-AD1102,0))</f>
        <v>0</v>
      </c>
      <c r="W1102" s="7" t="str">
        <f aca="false">IF(L1102="","",VALUE(LEFT(L1102,FIND("/",L1102)-1)))</f>
        <v/>
      </c>
      <c r="X1102" s="7" t="str">
        <f aca="false">IF(L1102="","",VALUE(MID(L1102,FIND("/",L1102)+1,FIND("/",L1102,FIND("/",L1102)+1)-FIND("/",L1102)-1)))</f>
        <v/>
      </c>
      <c r="Y1102" s="7" t="str">
        <f aca="false">IF(L1102="","",VALUE(MID(L1102,FIND("/",L1102,FIND("/",L1102)+1)+1,LEN(L1102)-FIND("/",L1102,FIND("/",L1102)+1))))</f>
        <v/>
      </c>
      <c r="Z1102" s="7" t="str">
        <f aca="false">IF(OR(L1102="",W1102=""),"",IFERROR(INDEX('لیست‌ها'!$Q$3:$Q$53,MATCH(W1102,'لیست‌ها'!$P$3:$P$53,0))+IF(X1102&lt;=6,(X1102-1)*31+Y1102,IF(X1102&lt;=11,186+(X1102-7)*30+Y1102,336+Y1102))-1,""))</f>
        <v/>
      </c>
      <c r="AA1102" s="7" t="str">
        <f aca="false">IF(H1102="","",VALUE(LEFT(H1102,FIND("/",H1102)-1)))</f>
        <v/>
      </c>
      <c r="AB1102" s="7" t="str">
        <f aca="false">IF(H1102="","",VALUE(MID(H1102,FIND("/",H1102)+1,FIND("/",H1102,FIND("/",H1102)+1)-FIND("/",H1102)-1)))</f>
        <v/>
      </c>
      <c r="AC1102" s="7" t="str">
        <f aca="false">IF(H1102="","",VALUE(MID(H1102,FIND("/",H1102,FIND("/",H1102)+1)+1,LEN(H1102)-FIND("/",H1102,FIND("/",H1102)+1))))</f>
        <v/>
      </c>
      <c r="AD1102" s="7" t="str">
        <f aca="false">IF(OR(H1102="",AA1102=""),"",IFERROR(INDEX('لیست‌ها'!$Q$3:$Q$53,MATCH(AA1102,'لیست‌ها'!$P$3:$P$53,0))+IF(AB1102&lt;=6,(AB1102-1)*31+AC1102,IF(AB1102&lt;=11,186+(AB1102-7)*30+AC1102,336+AC1102))-1,""))</f>
        <v/>
      </c>
      <c r="AE1102" s="7" t="str">
        <f aca="false">IF(P1102="","",VALUE(LEFT(P1102,FIND("/",P1102)-1)))</f>
        <v/>
      </c>
      <c r="AF1102" s="7" t="str">
        <f aca="false">IF(P1102="","",VALUE(MID(P1102,FIND("/",P1102)+1,FIND("/",P1102,FIND("/",P1102)+1)-FIND("/",P1102)-1)))</f>
        <v/>
      </c>
      <c r="AG1102" s="7" t="str">
        <f aca="false">IF(P1102="","",VALUE(MID(P1102,FIND("/",P1102,FIND("/",P1102)+1)+1,LEN(P1102)-FIND("/",P1102,FIND("/",P1102)+1))))</f>
        <v/>
      </c>
      <c r="AH1102" s="7" t="str">
        <f aca="false">IF(OR(P1102="",AE1102=""),"",IFERROR(INDEX('لیست‌ها'!$Q$3:$Q$53,MATCH(AE1102,'لیست‌ها'!$P$3:$P$53,0))+IF(AF1102&lt;=6,(AF1102-1)*31+AG1102,IF(AF1102&lt;=11,186+(AF1102-7)*30+AG1102,336+AG1102))-1,""))</f>
        <v/>
      </c>
      <c r="AI1102" s="7" t="str">
        <f aca="false">IF(W1102="","",W1102&amp;"-"&amp;TEXT(X1102,"00"))</f>
        <v/>
      </c>
      <c r="AJ1102" s="7" t="str">
        <f aca="false">IF(W1102="","",W1102*12+X1102)</f>
        <v/>
      </c>
      <c r="AK1102" s="7" t="str">
        <f aca="false">IF(U1102="تاخیر",V1102+ROW()/100000,"")</f>
        <v/>
      </c>
    </row>
    <row r="1103" customFormat="false" ht="15" hidden="false" customHeight="false" outlineLevel="0" collapsed="false">
      <c r="A1103" s="7" t="str">
        <f aca="false">IF(B1103="","",ROW()-3)</f>
        <v/>
      </c>
      <c r="B1103" s="8"/>
      <c r="C1103" s="8"/>
      <c r="D1103" s="8"/>
      <c r="E1103" s="9"/>
      <c r="F1103" s="9"/>
      <c r="G1103" s="8"/>
      <c r="H1103" s="8"/>
      <c r="I1103" s="8"/>
      <c r="J1103" s="9"/>
      <c r="K1103" s="8"/>
      <c r="L1103" s="8"/>
      <c r="M1103" s="8"/>
      <c r="N1103" s="8"/>
      <c r="O1103" s="8"/>
      <c r="P1103" s="8"/>
      <c r="Q1103" s="8"/>
      <c r="R1103" s="9"/>
      <c r="S1103" s="8"/>
      <c r="T1103" s="9"/>
      <c r="U1103" s="10" t="str">
        <f aca="true">IF(B1103="","",IF(OR(P1103&lt;&gt;"",I1103="می‌باشد"),"بسته",IF(AND(L1103&lt;&gt;"",W1103=""),"خطای فرمت تاریخ ایجاد",IF(AND(H1103&lt;&gt;"",AA1103=""),"خطای فرمت مهلت",IF(AND(H1103&lt;&gt;"",AD1103&lt;&gt;"",TODAY()&gt;AD1103),"تاخیر",IF(L1103&lt;&gt;"","در حال انجام",""))))))</f>
        <v/>
      </c>
      <c r="V1103" s="7" t="n">
        <f aca="true">IF(U1103="تاخیر",TODAY()-AD1103,IF(AND(U1103="بسته",AH1103&lt;&gt;"",AD1103&lt;&gt;"",AH1103&gt;AD1103),AH1103-AD1103,0))</f>
        <v>0</v>
      </c>
      <c r="W1103" s="7" t="str">
        <f aca="false">IF(L1103="","",VALUE(LEFT(L1103,FIND("/",L1103)-1)))</f>
        <v/>
      </c>
      <c r="X1103" s="7" t="str">
        <f aca="false">IF(L1103="","",VALUE(MID(L1103,FIND("/",L1103)+1,FIND("/",L1103,FIND("/",L1103)+1)-FIND("/",L1103)-1)))</f>
        <v/>
      </c>
      <c r="Y1103" s="7" t="str">
        <f aca="false">IF(L1103="","",VALUE(MID(L1103,FIND("/",L1103,FIND("/",L1103)+1)+1,LEN(L1103)-FIND("/",L1103,FIND("/",L1103)+1))))</f>
        <v/>
      </c>
      <c r="Z1103" s="7" t="str">
        <f aca="false">IF(OR(L1103="",W1103=""),"",IFERROR(INDEX('لیست‌ها'!$Q$3:$Q$53,MATCH(W1103,'لیست‌ها'!$P$3:$P$53,0))+IF(X1103&lt;=6,(X1103-1)*31+Y1103,IF(X1103&lt;=11,186+(X1103-7)*30+Y1103,336+Y1103))-1,""))</f>
        <v/>
      </c>
      <c r="AA1103" s="7" t="str">
        <f aca="false">IF(H1103="","",VALUE(LEFT(H1103,FIND("/",H1103)-1)))</f>
        <v/>
      </c>
      <c r="AB1103" s="7" t="str">
        <f aca="false">IF(H1103="","",VALUE(MID(H1103,FIND("/",H1103)+1,FIND("/",H1103,FIND("/",H1103)+1)-FIND("/",H1103)-1)))</f>
        <v/>
      </c>
      <c r="AC1103" s="7" t="str">
        <f aca="false">IF(H1103="","",VALUE(MID(H1103,FIND("/",H1103,FIND("/",H1103)+1)+1,LEN(H1103)-FIND("/",H1103,FIND("/",H1103)+1))))</f>
        <v/>
      </c>
      <c r="AD1103" s="7" t="str">
        <f aca="false">IF(OR(H1103="",AA1103=""),"",IFERROR(INDEX('لیست‌ها'!$Q$3:$Q$53,MATCH(AA1103,'لیست‌ها'!$P$3:$P$53,0))+IF(AB1103&lt;=6,(AB1103-1)*31+AC1103,IF(AB1103&lt;=11,186+(AB1103-7)*30+AC1103,336+AC1103))-1,""))</f>
        <v/>
      </c>
      <c r="AE1103" s="7" t="str">
        <f aca="false">IF(P1103="","",VALUE(LEFT(P1103,FIND("/",P1103)-1)))</f>
        <v/>
      </c>
      <c r="AF1103" s="7" t="str">
        <f aca="false">IF(P1103="","",VALUE(MID(P1103,FIND("/",P1103)+1,FIND("/",P1103,FIND("/",P1103)+1)-FIND("/",P1103)-1)))</f>
        <v/>
      </c>
      <c r="AG1103" s="7" t="str">
        <f aca="false">IF(P1103="","",VALUE(MID(P1103,FIND("/",P1103,FIND("/",P1103)+1)+1,LEN(P1103)-FIND("/",P1103,FIND("/",P1103)+1))))</f>
        <v/>
      </c>
      <c r="AH1103" s="7" t="str">
        <f aca="false">IF(OR(P1103="",AE1103=""),"",IFERROR(INDEX('لیست‌ها'!$Q$3:$Q$53,MATCH(AE1103,'لیست‌ها'!$P$3:$P$53,0))+IF(AF1103&lt;=6,(AF1103-1)*31+AG1103,IF(AF1103&lt;=11,186+(AF1103-7)*30+AG1103,336+AG1103))-1,""))</f>
        <v/>
      </c>
      <c r="AI1103" s="7" t="str">
        <f aca="false">IF(W1103="","",W1103&amp;"-"&amp;TEXT(X1103,"00"))</f>
        <v/>
      </c>
      <c r="AJ1103" s="7" t="str">
        <f aca="false">IF(W1103="","",W1103*12+X1103)</f>
        <v/>
      </c>
      <c r="AK1103" s="7" t="str">
        <f aca="false">IF(U1103="تاخیر",V1103+ROW()/100000,"")</f>
        <v/>
      </c>
    </row>
    <row r="1104" customFormat="false" ht="15" hidden="false" customHeight="false" outlineLevel="0" collapsed="false">
      <c r="A1104" s="7" t="str">
        <f aca="false">IF(B1104="","",ROW()-3)</f>
        <v/>
      </c>
      <c r="B1104" s="8"/>
      <c r="C1104" s="8"/>
      <c r="D1104" s="8"/>
      <c r="E1104" s="9"/>
      <c r="F1104" s="9"/>
      <c r="G1104" s="8"/>
      <c r="H1104" s="8"/>
      <c r="I1104" s="8"/>
      <c r="J1104" s="9"/>
      <c r="K1104" s="8"/>
      <c r="L1104" s="8"/>
      <c r="M1104" s="8"/>
      <c r="N1104" s="8"/>
      <c r="O1104" s="8"/>
      <c r="P1104" s="8"/>
      <c r="Q1104" s="8"/>
      <c r="R1104" s="9"/>
      <c r="S1104" s="8"/>
      <c r="T1104" s="9"/>
      <c r="U1104" s="10" t="str">
        <f aca="true">IF(B1104="","",IF(OR(P1104&lt;&gt;"",I1104="می‌باشد"),"بسته",IF(AND(L1104&lt;&gt;"",W1104=""),"خطای فرمت تاریخ ایجاد",IF(AND(H1104&lt;&gt;"",AA1104=""),"خطای فرمت مهلت",IF(AND(H1104&lt;&gt;"",AD1104&lt;&gt;"",TODAY()&gt;AD1104),"تاخیر",IF(L1104&lt;&gt;"","در حال انجام",""))))))</f>
        <v/>
      </c>
      <c r="V1104" s="7" t="n">
        <f aca="true">IF(U1104="تاخیر",TODAY()-AD1104,IF(AND(U1104="بسته",AH1104&lt;&gt;"",AD1104&lt;&gt;"",AH1104&gt;AD1104),AH1104-AD1104,0))</f>
        <v>0</v>
      </c>
      <c r="W1104" s="7" t="str">
        <f aca="false">IF(L1104="","",VALUE(LEFT(L1104,FIND("/",L1104)-1)))</f>
        <v/>
      </c>
      <c r="X1104" s="7" t="str">
        <f aca="false">IF(L1104="","",VALUE(MID(L1104,FIND("/",L1104)+1,FIND("/",L1104,FIND("/",L1104)+1)-FIND("/",L1104)-1)))</f>
        <v/>
      </c>
      <c r="Y1104" s="7" t="str">
        <f aca="false">IF(L1104="","",VALUE(MID(L1104,FIND("/",L1104,FIND("/",L1104)+1)+1,LEN(L1104)-FIND("/",L1104,FIND("/",L1104)+1))))</f>
        <v/>
      </c>
      <c r="Z1104" s="7" t="str">
        <f aca="false">IF(OR(L1104="",W1104=""),"",IFERROR(INDEX('لیست‌ها'!$Q$3:$Q$53,MATCH(W1104,'لیست‌ها'!$P$3:$P$53,0))+IF(X1104&lt;=6,(X1104-1)*31+Y1104,IF(X1104&lt;=11,186+(X1104-7)*30+Y1104,336+Y1104))-1,""))</f>
        <v/>
      </c>
      <c r="AA1104" s="7" t="str">
        <f aca="false">IF(H1104="","",VALUE(LEFT(H1104,FIND("/",H1104)-1)))</f>
        <v/>
      </c>
      <c r="AB1104" s="7" t="str">
        <f aca="false">IF(H1104="","",VALUE(MID(H1104,FIND("/",H1104)+1,FIND("/",H1104,FIND("/",H1104)+1)-FIND("/",H1104)-1)))</f>
        <v/>
      </c>
      <c r="AC1104" s="7" t="str">
        <f aca="false">IF(H1104="","",VALUE(MID(H1104,FIND("/",H1104,FIND("/",H1104)+1)+1,LEN(H1104)-FIND("/",H1104,FIND("/",H1104)+1))))</f>
        <v/>
      </c>
      <c r="AD1104" s="7" t="str">
        <f aca="false">IF(OR(H1104="",AA1104=""),"",IFERROR(INDEX('لیست‌ها'!$Q$3:$Q$53,MATCH(AA1104,'لیست‌ها'!$P$3:$P$53,0))+IF(AB1104&lt;=6,(AB1104-1)*31+AC1104,IF(AB1104&lt;=11,186+(AB1104-7)*30+AC1104,336+AC1104))-1,""))</f>
        <v/>
      </c>
      <c r="AE1104" s="7" t="str">
        <f aca="false">IF(P1104="","",VALUE(LEFT(P1104,FIND("/",P1104)-1)))</f>
        <v/>
      </c>
      <c r="AF1104" s="7" t="str">
        <f aca="false">IF(P1104="","",VALUE(MID(P1104,FIND("/",P1104)+1,FIND("/",P1104,FIND("/",P1104)+1)-FIND("/",P1104)-1)))</f>
        <v/>
      </c>
      <c r="AG1104" s="7" t="str">
        <f aca="false">IF(P1104="","",VALUE(MID(P1104,FIND("/",P1104,FIND("/",P1104)+1)+1,LEN(P1104)-FIND("/",P1104,FIND("/",P1104)+1))))</f>
        <v/>
      </c>
      <c r="AH1104" s="7" t="str">
        <f aca="false">IF(OR(P1104="",AE1104=""),"",IFERROR(INDEX('لیست‌ها'!$Q$3:$Q$53,MATCH(AE1104,'لیست‌ها'!$P$3:$P$53,0))+IF(AF1104&lt;=6,(AF1104-1)*31+AG1104,IF(AF1104&lt;=11,186+(AF1104-7)*30+AG1104,336+AG1104))-1,""))</f>
        <v/>
      </c>
      <c r="AI1104" s="7" t="str">
        <f aca="false">IF(W1104="","",W1104&amp;"-"&amp;TEXT(X1104,"00"))</f>
        <v/>
      </c>
      <c r="AJ1104" s="7" t="str">
        <f aca="false">IF(W1104="","",W1104*12+X1104)</f>
        <v/>
      </c>
      <c r="AK1104" s="7" t="str">
        <f aca="false">IF(U1104="تاخیر",V1104+ROW()/100000,"")</f>
        <v/>
      </c>
    </row>
    <row r="1105" customFormat="false" ht="15" hidden="false" customHeight="false" outlineLevel="0" collapsed="false">
      <c r="A1105" s="7" t="str">
        <f aca="false">IF(B1105="","",ROW()-3)</f>
        <v/>
      </c>
      <c r="B1105" s="8"/>
      <c r="C1105" s="8"/>
      <c r="D1105" s="8"/>
      <c r="E1105" s="9"/>
      <c r="F1105" s="9"/>
      <c r="G1105" s="8"/>
      <c r="H1105" s="8"/>
      <c r="I1105" s="8"/>
      <c r="J1105" s="9"/>
      <c r="K1105" s="8"/>
      <c r="L1105" s="8"/>
      <c r="M1105" s="8"/>
      <c r="N1105" s="8"/>
      <c r="O1105" s="8"/>
      <c r="P1105" s="8"/>
      <c r="Q1105" s="8"/>
      <c r="R1105" s="9"/>
      <c r="S1105" s="8"/>
      <c r="T1105" s="9"/>
      <c r="U1105" s="10" t="str">
        <f aca="true">IF(B1105="","",IF(OR(P1105&lt;&gt;"",I1105="می‌باشد"),"بسته",IF(AND(L1105&lt;&gt;"",W1105=""),"خطای فرمت تاریخ ایجاد",IF(AND(H1105&lt;&gt;"",AA1105=""),"خطای فرمت مهلت",IF(AND(H1105&lt;&gt;"",AD1105&lt;&gt;"",TODAY()&gt;AD1105),"تاخیر",IF(L1105&lt;&gt;"","در حال انجام",""))))))</f>
        <v/>
      </c>
      <c r="V1105" s="7" t="n">
        <f aca="true">IF(U1105="تاخیر",TODAY()-AD1105,IF(AND(U1105="بسته",AH1105&lt;&gt;"",AD1105&lt;&gt;"",AH1105&gt;AD1105),AH1105-AD1105,0))</f>
        <v>0</v>
      </c>
      <c r="W1105" s="7" t="str">
        <f aca="false">IF(L1105="","",VALUE(LEFT(L1105,FIND("/",L1105)-1)))</f>
        <v/>
      </c>
      <c r="X1105" s="7" t="str">
        <f aca="false">IF(L1105="","",VALUE(MID(L1105,FIND("/",L1105)+1,FIND("/",L1105,FIND("/",L1105)+1)-FIND("/",L1105)-1)))</f>
        <v/>
      </c>
      <c r="Y1105" s="7" t="str">
        <f aca="false">IF(L1105="","",VALUE(MID(L1105,FIND("/",L1105,FIND("/",L1105)+1)+1,LEN(L1105)-FIND("/",L1105,FIND("/",L1105)+1))))</f>
        <v/>
      </c>
      <c r="Z1105" s="7" t="str">
        <f aca="false">IF(OR(L1105="",W1105=""),"",IFERROR(INDEX('لیست‌ها'!$Q$3:$Q$53,MATCH(W1105,'لیست‌ها'!$P$3:$P$53,0))+IF(X1105&lt;=6,(X1105-1)*31+Y1105,IF(X1105&lt;=11,186+(X1105-7)*30+Y1105,336+Y1105))-1,""))</f>
        <v/>
      </c>
      <c r="AA1105" s="7" t="str">
        <f aca="false">IF(H1105="","",VALUE(LEFT(H1105,FIND("/",H1105)-1)))</f>
        <v/>
      </c>
      <c r="AB1105" s="7" t="str">
        <f aca="false">IF(H1105="","",VALUE(MID(H1105,FIND("/",H1105)+1,FIND("/",H1105,FIND("/",H1105)+1)-FIND("/",H1105)-1)))</f>
        <v/>
      </c>
      <c r="AC1105" s="7" t="str">
        <f aca="false">IF(H1105="","",VALUE(MID(H1105,FIND("/",H1105,FIND("/",H1105)+1)+1,LEN(H1105)-FIND("/",H1105,FIND("/",H1105)+1))))</f>
        <v/>
      </c>
      <c r="AD1105" s="7" t="str">
        <f aca="false">IF(OR(H1105="",AA1105=""),"",IFERROR(INDEX('لیست‌ها'!$Q$3:$Q$53,MATCH(AA1105,'لیست‌ها'!$P$3:$P$53,0))+IF(AB1105&lt;=6,(AB1105-1)*31+AC1105,IF(AB1105&lt;=11,186+(AB1105-7)*30+AC1105,336+AC1105))-1,""))</f>
        <v/>
      </c>
      <c r="AE1105" s="7" t="str">
        <f aca="false">IF(P1105="","",VALUE(LEFT(P1105,FIND("/",P1105)-1)))</f>
        <v/>
      </c>
      <c r="AF1105" s="7" t="str">
        <f aca="false">IF(P1105="","",VALUE(MID(P1105,FIND("/",P1105)+1,FIND("/",P1105,FIND("/",P1105)+1)-FIND("/",P1105)-1)))</f>
        <v/>
      </c>
      <c r="AG1105" s="7" t="str">
        <f aca="false">IF(P1105="","",VALUE(MID(P1105,FIND("/",P1105,FIND("/",P1105)+1)+1,LEN(P1105)-FIND("/",P1105,FIND("/",P1105)+1))))</f>
        <v/>
      </c>
      <c r="AH1105" s="7" t="str">
        <f aca="false">IF(OR(P1105="",AE1105=""),"",IFERROR(INDEX('لیست‌ها'!$Q$3:$Q$53,MATCH(AE1105,'لیست‌ها'!$P$3:$P$53,0))+IF(AF1105&lt;=6,(AF1105-1)*31+AG1105,IF(AF1105&lt;=11,186+(AF1105-7)*30+AG1105,336+AG1105))-1,""))</f>
        <v/>
      </c>
      <c r="AI1105" s="7" t="str">
        <f aca="false">IF(W1105="","",W1105&amp;"-"&amp;TEXT(X1105,"00"))</f>
        <v/>
      </c>
      <c r="AJ1105" s="7" t="str">
        <f aca="false">IF(W1105="","",W1105*12+X1105)</f>
        <v/>
      </c>
      <c r="AK1105" s="7" t="str">
        <f aca="false">IF(U1105="تاخیر",V1105+ROW()/100000,"")</f>
        <v/>
      </c>
    </row>
    <row r="1106" customFormat="false" ht="15" hidden="false" customHeight="false" outlineLevel="0" collapsed="false">
      <c r="A1106" s="7" t="str">
        <f aca="false">IF(B1106="","",ROW()-3)</f>
        <v/>
      </c>
      <c r="B1106" s="8"/>
      <c r="C1106" s="8"/>
      <c r="D1106" s="8"/>
      <c r="E1106" s="9"/>
      <c r="F1106" s="9"/>
      <c r="G1106" s="8"/>
      <c r="H1106" s="8"/>
      <c r="I1106" s="8"/>
      <c r="J1106" s="9"/>
      <c r="K1106" s="8"/>
      <c r="L1106" s="8"/>
      <c r="M1106" s="8"/>
      <c r="N1106" s="8"/>
      <c r="O1106" s="8"/>
      <c r="P1106" s="8"/>
      <c r="Q1106" s="8"/>
      <c r="R1106" s="9"/>
      <c r="S1106" s="8"/>
      <c r="T1106" s="9"/>
      <c r="U1106" s="10" t="str">
        <f aca="true">IF(B1106="","",IF(OR(P1106&lt;&gt;"",I1106="می‌باشد"),"بسته",IF(AND(L1106&lt;&gt;"",W1106=""),"خطای فرمت تاریخ ایجاد",IF(AND(H1106&lt;&gt;"",AA1106=""),"خطای فرمت مهلت",IF(AND(H1106&lt;&gt;"",AD1106&lt;&gt;"",TODAY()&gt;AD1106),"تاخیر",IF(L1106&lt;&gt;"","در حال انجام",""))))))</f>
        <v/>
      </c>
      <c r="V1106" s="7" t="n">
        <f aca="true">IF(U1106="تاخیر",TODAY()-AD1106,IF(AND(U1106="بسته",AH1106&lt;&gt;"",AD1106&lt;&gt;"",AH1106&gt;AD1106),AH1106-AD1106,0))</f>
        <v>0</v>
      </c>
      <c r="W1106" s="7" t="str">
        <f aca="false">IF(L1106="","",VALUE(LEFT(L1106,FIND("/",L1106)-1)))</f>
        <v/>
      </c>
      <c r="X1106" s="7" t="str">
        <f aca="false">IF(L1106="","",VALUE(MID(L1106,FIND("/",L1106)+1,FIND("/",L1106,FIND("/",L1106)+1)-FIND("/",L1106)-1)))</f>
        <v/>
      </c>
      <c r="Y1106" s="7" t="str">
        <f aca="false">IF(L1106="","",VALUE(MID(L1106,FIND("/",L1106,FIND("/",L1106)+1)+1,LEN(L1106)-FIND("/",L1106,FIND("/",L1106)+1))))</f>
        <v/>
      </c>
      <c r="Z1106" s="7" t="str">
        <f aca="false">IF(OR(L1106="",W1106=""),"",IFERROR(INDEX('لیست‌ها'!$Q$3:$Q$53,MATCH(W1106,'لیست‌ها'!$P$3:$P$53,0))+IF(X1106&lt;=6,(X1106-1)*31+Y1106,IF(X1106&lt;=11,186+(X1106-7)*30+Y1106,336+Y1106))-1,""))</f>
        <v/>
      </c>
      <c r="AA1106" s="7" t="str">
        <f aca="false">IF(H1106="","",VALUE(LEFT(H1106,FIND("/",H1106)-1)))</f>
        <v/>
      </c>
      <c r="AB1106" s="7" t="str">
        <f aca="false">IF(H1106="","",VALUE(MID(H1106,FIND("/",H1106)+1,FIND("/",H1106,FIND("/",H1106)+1)-FIND("/",H1106)-1)))</f>
        <v/>
      </c>
      <c r="AC1106" s="7" t="str">
        <f aca="false">IF(H1106="","",VALUE(MID(H1106,FIND("/",H1106,FIND("/",H1106)+1)+1,LEN(H1106)-FIND("/",H1106,FIND("/",H1106)+1))))</f>
        <v/>
      </c>
      <c r="AD1106" s="7" t="str">
        <f aca="false">IF(OR(H1106="",AA1106=""),"",IFERROR(INDEX('لیست‌ها'!$Q$3:$Q$53,MATCH(AA1106,'لیست‌ها'!$P$3:$P$53,0))+IF(AB1106&lt;=6,(AB1106-1)*31+AC1106,IF(AB1106&lt;=11,186+(AB1106-7)*30+AC1106,336+AC1106))-1,""))</f>
        <v/>
      </c>
      <c r="AE1106" s="7" t="str">
        <f aca="false">IF(P1106="","",VALUE(LEFT(P1106,FIND("/",P1106)-1)))</f>
        <v/>
      </c>
      <c r="AF1106" s="7" t="str">
        <f aca="false">IF(P1106="","",VALUE(MID(P1106,FIND("/",P1106)+1,FIND("/",P1106,FIND("/",P1106)+1)-FIND("/",P1106)-1)))</f>
        <v/>
      </c>
      <c r="AG1106" s="7" t="str">
        <f aca="false">IF(P1106="","",VALUE(MID(P1106,FIND("/",P1106,FIND("/",P1106)+1)+1,LEN(P1106)-FIND("/",P1106,FIND("/",P1106)+1))))</f>
        <v/>
      </c>
      <c r="AH1106" s="7" t="str">
        <f aca="false">IF(OR(P1106="",AE1106=""),"",IFERROR(INDEX('لیست‌ها'!$Q$3:$Q$53,MATCH(AE1106,'لیست‌ها'!$P$3:$P$53,0))+IF(AF1106&lt;=6,(AF1106-1)*31+AG1106,IF(AF1106&lt;=11,186+(AF1106-7)*30+AG1106,336+AG1106))-1,""))</f>
        <v/>
      </c>
      <c r="AI1106" s="7" t="str">
        <f aca="false">IF(W1106="","",W1106&amp;"-"&amp;TEXT(X1106,"00"))</f>
        <v/>
      </c>
      <c r="AJ1106" s="7" t="str">
        <f aca="false">IF(W1106="","",W1106*12+X1106)</f>
        <v/>
      </c>
      <c r="AK1106" s="7" t="str">
        <f aca="false">IF(U1106="تاخیر",V1106+ROW()/100000,"")</f>
        <v/>
      </c>
    </row>
    <row r="1107" customFormat="false" ht="15" hidden="false" customHeight="false" outlineLevel="0" collapsed="false">
      <c r="A1107" s="7" t="str">
        <f aca="false">IF(B1107="","",ROW()-3)</f>
        <v/>
      </c>
      <c r="B1107" s="8"/>
      <c r="C1107" s="8"/>
      <c r="D1107" s="8"/>
      <c r="E1107" s="9"/>
      <c r="F1107" s="9"/>
      <c r="G1107" s="8"/>
      <c r="H1107" s="8"/>
      <c r="I1107" s="8"/>
      <c r="J1107" s="9"/>
      <c r="K1107" s="8"/>
      <c r="L1107" s="8"/>
      <c r="M1107" s="8"/>
      <c r="N1107" s="8"/>
      <c r="O1107" s="8"/>
      <c r="P1107" s="8"/>
      <c r="Q1107" s="8"/>
      <c r="R1107" s="9"/>
      <c r="S1107" s="8"/>
      <c r="T1107" s="9"/>
      <c r="U1107" s="10" t="str">
        <f aca="true">IF(B1107="","",IF(OR(P1107&lt;&gt;"",I1107="می‌باشد"),"بسته",IF(AND(L1107&lt;&gt;"",W1107=""),"خطای فرمت تاریخ ایجاد",IF(AND(H1107&lt;&gt;"",AA1107=""),"خطای فرمت مهلت",IF(AND(H1107&lt;&gt;"",AD1107&lt;&gt;"",TODAY()&gt;AD1107),"تاخیر",IF(L1107&lt;&gt;"","در حال انجام",""))))))</f>
        <v/>
      </c>
      <c r="V1107" s="7" t="n">
        <f aca="true">IF(U1107="تاخیر",TODAY()-AD1107,IF(AND(U1107="بسته",AH1107&lt;&gt;"",AD1107&lt;&gt;"",AH1107&gt;AD1107),AH1107-AD1107,0))</f>
        <v>0</v>
      </c>
      <c r="W1107" s="7" t="str">
        <f aca="false">IF(L1107="","",VALUE(LEFT(L1107,FIND("/",L1107)-1)))</f>
        <v/>
      </c>
      <c r="X1107" s="7" t="str">
        <f aca="false">IF(L1107="","",VALUE(MID(L1107,FIND("/",L1107)+1,FIND("/",L1107,FIND("/",L1107)+1)-FIND("/",L1107)-1)))</f>
        <v/>
      </c>
      <c r="Y1107" s="7" t="str">
        <f aca="false">IF(L1107="","",VALUE(MID(L1107,FIND("/",L1107,FIND("/",L1107)+1)+1,LEN(L1107)-FIND("/",L1107,FIND("/",L1107)+1))))</f>
        <v/>
      </c>
      <c r="Z1107" s="7" t="str">
        <f aca="false">IF(OR(L1107="",W1107=""),"",IFERROR(INDEX('لیست‌ها'!$Q$3:$Q$53,MATCH(W1107,'لیست‌ها'!$P$3:$P$53,0))+IF(X1107&lt;=6,(X1107-1)*31+Y1107,IF(X1107&lt;=11,186+(X1107-7)*30+Y1107,336+Y1107))-1,""))</f>
        <v/>
      </c>
      <c r="AA1107" s="7" t="str">
        <f aca="false">IF(H1107="","",VALUE(LEFT(H1107,FIND("/",H1107)-1)))</f>
        <v/>
      </c>
      <c r="AB1107" s="7" t="str">
        <f aca="false">IF(H1107="","",VALUE(MID(H1107,FIND("/",H1107)+1,FIND("/",H1107,FIND("/",H1107)+1)-FIND("/",H1107)-1)))</f>
        <v/>
      </c>
      <c r="AC1107" s="7" t="str">
        <f aca="false">IF(H1107="","",VALUE(MID(H1107,FIND("/",H1107,FIND("/",H1107)+1)+1,LEN(H1107)-FIND("/",H1107,FIND("/",H1107)+1))))</f>
        <v/>
      </c>
      <c r="AD1107" s="7" t="str">
        <f aca="false">IF(OR(H1107="",AA1107=""),"",IFERROR(INDEX('لیست‌ها'!$Q$3:$Q$53,MATCH(AA1107,'لیست‌ها'!$P$3:$P$53,0))+IF(AB1107&lt;=6,(AB1107-1)*31+AC1107,IF(AB1107&lt;=11,186+(AB1107-7)*30+AC1107,336+AC1107))-1,""))</f>
        <v/>
      </c>
      <c r="AE1107" s="7" t="str">
        <f aca="false">IF(P1107="","",VALUE(LEFT(P1107,FIND("/",P1107)-1)))</f>
        <v/>
      </c>
      <c r="AF1107" s="7" t="str">
        <f aca="false">IF(P1107="","",VALUE(MID(P1107,FIND("/",P1107)+1,FIND("/",P1107,FIND("/",P1107)+1)-FIND("/",P1107)-1)))</f>
        <v/>
      </c>
      <c r="AG1107" s="7" t="str">
        <f aca="false">IF(P1107="","",VALUE(MID(P1107,FIND("/",P1107,FIND("/",P1107)+1)+1,LEN(P1107)-FIND("/",P1107,FIND("/",P1107)+1))))</f>
        <v/>
      </c>
      <c r="AH1107" s="7" t="str">
        <f aca="false">IF(OR(P1107="",AE1107=""),"",IFERROR(INDEX('لیست‌ها'!$Q$3:$Q$53,MATCH(AE1107,'لیست‌ها'!$P$3:$P$53,0))+IF(AF1107&lt;=6,(AF1107-1)*31+AG1107,IF(AF1107&lt;=11,186+(AF1107-7)*30+AG1107,336+AG1107))-1,""))</f>
        <v/>
      </c>
      <c r="AI1107" s="7" t="str">
        <f aca="false">IF(W1107="","",W1107&amp;"-"&amp;TEXT(X1107,"00"))</f>
        <v/>
      </c>
      <c r="AJ1107" s="7" t="str">
        <f aca="false">IF(W1107="","",W1107*12+X1107)</f>
        <v/>
      </c>
      <c r="AK1107" s="7" t="str">
        <f aca="false">IF(U1107="تاخیر",V1107+ROW()/100000,"")</f>
        <v/>
      </c>
    </row>
    <row r="1108" customFormat="false" ht="15" hidden="false" customHeight="false" outlineLevel="0" collapsed="false">
      <c r="A1108" s="7" t="str">
        <f aca="false">IF(B1108="","",ROW()-3)</f>
        <v/>
      </c>
      <c r="B1108" s="8"/>
      <c r="C1108" s="8"/>
      <c r="D1108" s="8"/>
      <c r="E1108" s="9"/>
      <c r="F1108" s="9"/>
      <c r="G1108" s="8"/>
      <c r="H1108" s="8"/>
      <c r="I1108" s="8"/>
      <c r="J1108" s="9"/>
      <c r="K1108" s="8"/>
      <c r="L1108" s="8"/>
      <c r="M1108" s="8"/>
      <c r="N1108" s="8"/>
      <c r="O1108" s="8"/>
      <c r="P1108" s="8"/>
      <c r="Q1108" s="8"/>
      <c r="R1108" s="9"/>
      <c r="S1108" s="8"/>
      <c r="T1108" s="9"/>
      <c r="U1108" s="10" t="str">
        <f aca="true">IF(B1108="","",IF(OR(P1108&lt;&gt;"",I1108="می‌باشد"),"بسته",IF(AND(L1108&lt;&gt;"",W1108=""),"خطای فرمت تاریخ ایجاد",IF(AND(H1108&lt;&gt;"",AA1108=""),"خطای فرمت مهلت",IF(AND(H1108&lt;&gt;"",AD1108&lt;&gt;"",TODAY()&gt;AD1108),"تاخیر",IF(L1108&lt;&gt;"","در حال انجام",""))))))</f>
        <v/>
      </c>
      <c r="V1108" s="7" t="n">
        <f aca="true">IF(U1108="تاخیر",TODAY()-AD1108,IF(AND(U1108="بسته",AH1108&lt;&gt;"",AD1108&lt;&gt;"",AH1108&gt;AD1108),AH1108-AD1108,0))</f>
        <v>0</v>
      </c>
      <c r="W1108" s="7" t="str">
        <f aca="false">IF(L1108="","",VALUE(LEFT(L1108,FIND("/",L1108)-1)))</f>
        <v/>
      </c>
      <c r="X1108" s="7" t="str">
        <f aca="false">IF(L1108="","",VALUE(MID(L1108,FIND("/",L1108)+1,FIND("/",L1108,FIND("/",L1108)+1)-FIND("/",L1108)-1)))</f>
        <v/>
      </c>
      <c r="Y1108" s="7" t="str">
        <f aca="false">IF(L1108="","",VALUE(MID(L1108,FIND("/",L1108,FIND("/",L1108)+1)+1,LEN(L1108)-FIND("/",L1108,FIND("/",L1108)+1))))</f>
        <v/>
      </c>
      <c r="Z1108" s="7" t="str">
        <f aca="false">IF(OR(L1108="",W1108=""),"",IFERROR(INDEX('لیست‌ها'!$Q$3:$Q$53,MATCH(W1108,'لیست‌ها'!$P$3:$P$53,0))+IF(X1108&lt;=6,(X1108-1)*31+Y1108,IF(X1108&lt;=11,186+(X1108-7)*30+Y1108,336+Y1108))-1,""))</f>
        <v/>
      </c>
      <c r="AA1108" s="7" t="str">
        <f aca="false">IF(H1108="","",VALUE(LEFT(H1108,FIND("/",H1108)-1)))</f>
        <v/>
      </c>
      <c r="AB1108" s="7" t="str">
        <f aca="false">IF(H1108="","",VALUE(MID(H1108,FIND("/",H1108)+1,FIND("/",H1108,FIND("/",H1108)+1)-FIND("/",H1108)-1)))</f>
        <v/>
      </c>
      <c r="AC1108" s="7" t="str">
        <f aca="false">IF(H1108="","",VALUE(MID(H1108,FIND("/",H1108,FIND("/",H1108)+1)+1,LEN(H1108)-FIND("/",H1108,FIND("/",H1108)+1))))</f>
        <v/>
      </c>
      <c r="AD1108" s="7" t="str">
        <f aca="false">IF(OR(H1108="",AA1108=""),"",IFERROR(INDEX('لیست‌ها'!$Q$3:$Q$53,MATCH(AA1108,'لیست‌ها'!$P$3:$P$53,0))+IF(AB1108&lt;=6,(AB1108-1)*31+AC1108,IF(AB1108&lt;=11,186+(AB1108-7)*30+AC1108,336+AC1108))-1,""))</f>
        <v/>
      </c>
      <c r="AE1108" s="7" t="str">
        <f aca="false">IF(P1108="","",VALUE(LEFT(P1108,FIND("/",P1108)-1)))</f>
        <v/>
      </c>
      <c r="AF1108" s="7" t="str">
        <f aca="false">IF(P1108="","",VALUE(MID(P1108,FIND("/",P1108)+1,FIND("/",P1108,FIND("/",P1108)+1)-FIND("/",P1108)-1)))</f>
        <v/>
      </c>
      <c r="AG1108" s="7" t="str">
        <f aca="false">IF(P1108="","",VALUE(MID(P1108,FIND("/",P1108,FIND("/",P1108)+1)+1,LEN(P1108)-FIND("/",P1108,FIND("/",P1108)+1))))</f>
        <v/>
      </c>
      <c r="AH1108" s="7" t="str">
        <f aca="false">IF(OR(P1108="",AE1108=""),"",IFERROR(INDEX('لیست‌ها'!$Q$3:$Q$53,MATCH(AE1108,'لیست‌ها'!$P$3:$P$53,0))+IF(AF1108&lt;=6,(AF1108-1)*31+AG1108,IF(AF1108&lt;=11,186+(AF1108-7)*30+AG1108,336+AG1108))-1,""))</f>
        <v/>
      </c>
      <c r="AI1108" s="7" t="str">
        <f aca="false">IF(W1108="","",W1108&amp;"-"&amp;TEXT(X1108,"00"))</f>
        <v/>
      </c>
      <c r="AJ1108" s="7" t="str">
        <f aca="false">IF(W1108="","",W1108*12+X1108)</f>
        <v/>
      </c>
      <c r="AK1108" s="7" t="str">
        <f aca="false">IF(U1108="تاخیر",V1108+ROW()/100000,"")</f>
        <v/>
      </c>
    </row>
    <row r="1109" customFormat="false" ht="15" hidden="false" customHeight="false" outlineLevel="0" collapsed="false">
      <c r="A1109" s="7" t="str">
        <f aca="false">IF(B1109="","",ROW()-3)</f>
        <v/>
      </c>
      <c r="B1109" s="8"/>
      <c r="C1109" s="8"/>
      <c r="D1109" s="8"/>
      <c r="E1109" s="9"/>
      <c r="F1109" s="9"/>
      <c r="G1109" s="8"/>
      <c r="H1109" s="8"/>
      <c r="I1109" s="8"/>
      <c r="J1109" s="9"/>
      <c r="K1109" s="8"/>
      <c r="L1109" s="8"/>
      <c r="M1109" s="8"/>
      <c r="N1109" s="8"/>
      <c r="O1109" s="8"/>
      <c r="P1109" s="8"/>
      <c r="Q1109" s="8"/>
      <c r="R1109" s="9"/>
      <c r="S1109" s="8"/>
      <c r="T1109" s="9"/>
      <c r="U1109" s="10" t="str">
        <f aca="true">IF(B1109="","",IF(OR(P1109&lt;&gt;"",I1109="می‌باشد"),"بسته",IF(AND(L1109&lt;&gt;"",W1109=""),"خطای فرمت تاریخ ایجاد",IF(AND(H1109&lt;&gt;"",AA1109=""),"خطای فرمت مهلت",IF(AND(H1109&lt;&gt;"",AD1109&lt;&gt;"",TODAY()&gt;AD1109),"تاخیر",IF(L1109&lt;&gt;"","در حال انجام",""))))))</f>
        <v/>
      </c>
      <c r="V1109" s="7" t="n">
        <f aca="true">IF(U1109="تاخیر",TODAY()-AD1109,IF(AND(U1109="بسته",AH1109&lt;&gt;"",AD1109&lt;&gt;"",AH1109&gt;AD1109),AH1109-AD1109,0))</f>
        <v>0</v>
      </c>
      <c r="W1109" s="7" t="str">
        <f aca="false">IF(L1109="","",VALUE(LEFT(L1109,FIND("/",L1109)-1)))</f>
        <v/>
      </c>
      <c r="X1109" s="7" t="str">
        <f aca="false">IF(L1109="","",VALUE(MID(L1109,FIND("/",L1109)+1,FIND("/",L1109,FIND("/",L1109)+1)-FIND("/",L1109)-1)))</f>
        <v/>
      </c>
      <c r="Y1109" s="7" t="str">
        <f aca="false">IF(L1109="","",VALUE(MID(L1109,FIND("/",L1109,FIND("/",L1109)+1)+1,LEN(L1109)-FIND("/",L1109,FIND("/",L1109)+1))))</f>
        <v/>
      </c>
      <c r="Z1109" s="7" t="str">
        <f aca="false">IF(OR(L1109="",W1109=""),"",IFERROR(INDEX('لیست‌ها'!$Q$3:$Q$53,MATCH(W1109,'لیست‌ها'!$P$3:$P$53,0))+IF(X1109&lt;=6,(X1109-1)*31+Y1109,IF(X1109&lt;=11,186+(X1109-7)*30+Y1109,336+Y1109))-1,""))</f>
        <v/>
      </c>
      <c r="AA1109" s="7" t="str">
        <f aca="false">IF(H1109="","",VALUE(LEFT(H1109,FIND("/",H1109)-1)))</f>
        <v/>
      </c>
      <c r="AB1109" s="7" t="str">
        <f aca="false">IF(H1109="","",VALUE(MID(H1109,FIND("/",H1109)+1,FIND("/",H1109,FIND("/",H1109)+1)-FIND("/",H1109)-1)))</f>
        <v/>
      </c>
      <c r="AC1109" s="7" t="str">
        <f aca="false">IF(H1109="","",VALUE(MID(H1109,FIND("/",H1109,FIND("/",H1109)+1)+1,LEN(H1109)-FIND("/",H1109,FIND("/",H1109)+1))))</f>
        <v/>
      </c>
      <c r="AD1109" s="7" t="str">
        <f aca="false">IF(OR(H1109="",AA1109=""),"",IFERROR(INDEX('لیست‌ها'!$Q$3:$Q$53,MATCH(AA1109,'لیست‌ها'!$P$3:$P$53,0))+IF(AB1109&lt;=6,(AB1109-1)*31+AC1109,IF(AB1109&lt;=11,186+(AB1109-7)*30+AC1109,336+AC1109))-1,""))</f>
        <v/>
      </c>
      <c r="AE1109" s="7" t="str">
        <f aca="false">IF(P1109="","",VALUE(LEFT(P1109,FIND("/",P1109)-1)))</f>
        <v/>
      </c>
      <c r="AF1109" s="7" t="str">
        <f aca="false">IF(P1109="","",VALUE(MID(P1109,FIND("/",P1109)+1,FIND("/",P1109,FIND("/",P1109)+1)-FIND("/",P1109)-1)))</f>
        <v/>
      </c>
      <c r="AG1109" s="7" t="str">
        <f aca="false">IF(P1109="","",VALUE(MID(P1109,FIND("/",P1109,FIND("/",P1109)+1)+1,LEN(P1109)-FIND("/",P1109,FIND("/",P1109)+1))))</f>
        <v/>
      </c>
      <c r="AH1109" s="7" t="str">
        <f aca="false">IF(OR(P1109="",AE1109=""),"",IFERROR(INDEX('لیست‌ها'!$Q$3:$Q$53,MATCH(AE1109,'لیست‌ها'!$P$3:$P$53,0))+IF(AF1109&lt;=6,(AF1109-1)*31+AG1109,IF(AF1109&lt;=11,186+(AF1109-7)*30+AG1109,336+AG1109))-1,""))</f>
        <v/>
      </c>
      <c r="AI1109" s="7" t="str">
        <f aca="false">IF(W1109="","",W1109&amp;"-"&amp;TEXT(X1109,"00"))</f>
        <v/>
      </c>
      <c r="AJ1109" s="7" t="str">
        <f aca="false">IF(W1109="","",W1109*12+X1109)</f>
        <v/>
      </c>
      <c r="AK1109" s="7" t="str">
        <f aca="false">IF(U1109="تاخیر",V1109+ROW()/100000,"")</f>
        <v/>
      </c>
    </row>
    <row r="1110" customFormat="false" ht="15" hidden="false" customHeight="false" outlineLevel="0" collapsed="false">
      <c r="A1110" s="7" t="str">
        <f aca="false">IF(B1110="","",ROW()-3)</f>
        <v/>
      </c>
      <c r="B1110" s="8"/>
      <c r="C1110" s="8"/>
      <c r="D1110" s="8"/>
      <c r="E1110" s="9"/>
      <c r="F1110" s="9"/>
      <c r="G1110" s="8"/>
      <c r="H1110" s="8"/>
      <c r="I1110" s="8"/>
      <c r="J1110" s="9"/>
      <c r="K1110" s="8"/>
      <c r="L1110" s="8"/>
      <c r="M1110" s="8"/>
      <c r="N1110" s="8"/>
      <c r="O1110" s="8"/>
      <c r="P1110" s="8"/>
      <c r="Q1110" s="8"/>
      <c r="R1110" s="9"/>
      <c r="S1110" s="8"/>
      <c r="T1110" s="9"/>
      <c r="U1110" s="10" t="str">
        <f aca="true">IF(B1110="","",IF(OR(P1110&lt;&gt;"",I1110="می‌باشد"),"بسته",IF(AND(L1110&lt;&gt;"",W1110=""),"خطای فرمت تاریخ ایجاد",IF(AND(H1110&lt;&gt;"",AA1110=""),"خطای فرمت مهلت",IF(AND(H1110&lt;&gt;"",AD1110&lt;&gt;"",TODAY()&gt;AD1110),"تاخیر",IF(L1110&lt;&gt;"","در حال انجام",""))))))</f>
        <v/>
      </c>
      <c r="V1110" s="7" t="n">
        <f aca="true">IF(U1110="تاخیر",TODAY()-AD1110,IF(AND(U1110="بسته",AH1110&lt;&gt;"",AD1110&lt;&gt;"",AH1110&gt;AD1110),AH1110-AD1110,0))</f>
        <v>0</v>
      </c>
      <c r="W1110" s="7" t="str">
        <f aca="false">IF(L1110="","",VALUE(LEFT(L1110,FIND("/",L1110)-1)))</f>
        <v/>
      </c>
      <c r="X1110" s="7" t="str">
        <f aca="false">IF(L1110="","",VALUE(MID(L1110,FIND("/",L1110)+1,FIND("/",L1110,FIND("/",L1110)+1)-FIND("/",L1110)-1)))</f>
        <v/>
      </c>
      <c r="Y1110" s="7" t="str">
        <f aca="false">IF(L1110="","",VALUE(MID(L1110,FIND("/",L1110,FIND("/",L1110)+1)+1,LEN(L1110)-FIND("/",L1110,FIND("/",L1110)+1))))</f>
        <v/>
      </c>
      <c r="Z1110" s="7" t="str">
        <f aca="false">IF(OR(L1110="",W1110=""),"",IFERROR(INDEX('لیست‌ها'!$Q$3:$Q$53,MATCH(W1110,'لیست‌ها'!$P$3:$P$53,0))+IF(X1110&lt;=6,(X1110-1)*31+Y1110,IF(X1110&lt;=11,186+(X1110-7)*30+Y1110,336+Y1110))-1,""))</f>
        <v/>
      </c>
      <c r="AA1110" s="7" t="str">
        <f aca="false">IF(H1110="","",VALUE(LEFT(H1110,FIND("/",H1110)-1)))</f>
        <v/>
      </c>
      <c r="AB1110" s="7" t="str">
        <f aca="false">IF(H1110="","",VALUE(MID(H1110,FIND("/",H1110)+1,FIND("/",H1110,FIND("/",H1110)+1)-FIND("/",H1110)-1)))</f>
        <v/>
      </c>
      <c r="AC1110" s="7" t="str">
        <f aca="false">IF(H1110="","",VALUE(MID(H1110,FIND("/",H1110,FIND("/",H1110)+1)+1,LEN(H1110)-FIND("/",H1110,FIND("/",H1110)+1))))</f>
        <v/>
      </c>
      <c r="AD1110" s="7" t="str">
        <f aca="false">IF(OR(H1110="",AA1110=""),"",IFERROR(INDEX('لیست‌ها'!$Q$3:$Q$53,MATCH(AA1110,'لیست‌ها'!$P$3:$P$53,0))+IF(AB1110&lt;=6,(AB1110-1)*31+AC1110,IF(AB1110&lt;=11,186+(AB1110-7)*30+AC1110,336+AC1110))-1,""))</f>
        <v/>
      </c>
      <c r="AE1110" s="7" t="str">
        <f aca="false">IF(P1110="","",VALUE(LEFT(P1110,FIND("/",P1110)-1)))</f>
        <v/>
      </c>
      <c r="AF1110" s="7" t="str">
        <f aca="false">IF(P1110="","",VALUE(MID(P1110,FIND("/",P1110)+1,FIND("/",P1110,FIND("/",P1110)+1)-FIND("/",P1110)-1)))</f>
        <v/>
      </c>
      <c r="AG1110" s="7" t="str">
        <f aca="false">IF(P1110="","",VALUE(MID(P1110,FIND("/",P1110,FIND("/",P1110)+1)+1,LEN(P1110)-FIND("/",P1110,FIND("/",P1110)+1))))</f>
        <v/>
      </c>
      <c r="AH1110" s="7" t="str">
        <f aca="false">IF(OR(P1110="",AE1110=""),"",IFERROR(INDEX('لیست‌ها'!$Q$3:$Q$53,MATCH(AE1110,'لیست‌ها'!$P$3:$P$53,0))+IF(AF1110&lt;=6,(AF1110-1)*31+AG1110,IF(AF1110&lt;=11,186+(AF1110-7)*30+AG1110,336+AG1110))-1,""))</f>
        <v/>
      </c>
      <c r="AI1110" s="7" t="str">
        <f aca="false">IF(W1110="","",W1110&amp;"-"&amp;TEXT(X1110,"00"))</f>
        <v/>
      </c>
      <c r="AJ1110" s="7" t="str">
        <f aca="false">IF(W1110="","",W1110*12+X1110)</f>
        <v/>
      </c>
      <c r="AK1110" s="7" t="str">
        <f aca="false">IF(U1110="تاخیر",V1110+ROW()/100000,"")</f>
        <v/>
      </c>
    </row>
    <row r="1111" customFormat="false" ht="15" hidden="false" customHeight="false" outlineLevel="0" collapsed="false">
      <c r="A1111" s="7" t="str">
        <f aca="false">IF(B1111="","",ROW()-3)</f>
        <v/>
      </c>
      <c r="B1111" s="8"/>
      <c r="C1111" s="8"/>
      <c r="D1111" s="8"/>
      <c r="E1111" s="9"/>
      <c r="F1111" s="9"/>
      <c r="G1111" s="8"/>
      <c r="H1111" s="8"/>
      <c r="I1111" s="8"/>
      <c r="J1111" s="9"/>
      <c r="K1111" s="8"/>
      <c r="L1111" s="8"/>
      <c r="M1111" s="8"/>
      <c r="N1111" s="8"/>
      <c r="O1111" s="8"/>
      <c r="P1111" s="8"/>
      <c r="Q1111" s="8"/>
      <c r="R1111" s="9"/>
      <c r="S1111" s="8"/>
      <c r="T1111" s="9"/>
      <c r="U1111" s="10" t="str">
        <f aca="true">IF(B1111="","",IF(OR(P1111&lt;&gt;"",I1111="می‌باشد"),"بسته",IF(AND(L1111&lt;&gt;"",W1111=""),"خطای فرمت تاریخ ایجاد",IF(AND(H1111&lt;&gt;"",AA1111=""),"خطای فرمت مهلت",IF(AND(H1111&lt;&gt;"",AD1111&lt;&gt;"",TODAY()&gt;AD1111),"تاخیر",IF(L1111&lt;&gt;"","در حال انجام",""))))))</f>
        <v/>
      </c>
      <c r="V1111" s="7" t="n">
        <f aca="true">IF(U1111="تاخیر",TODAY()-AD1111,IF(AND(U1111="بسته",AH1111&lt;&gt;"",AD1111&lt;&gt;"",AH1111&gt;AD1111),AH1111-AD1111,0))</f>
        <v>0</v>
      </c>
      <c r="W1111" s="7" t="str">
        <f aca="false">IF(L1111="","",VALUE(LEFT(L1111,FIND("/",L1111)-1)))</f>
        <v/>
      </c>
      <c r="X1111" s="7" t="str">
        <f aca="false">IF(L1111="","",VALUE(MID(L1111,FIND("/",L1111)+1,FIND("/",L1111,FIND("/",L1111)+1)-FIND("/",L1111)-1)))</f>
        <v/>
      </c>
      <c r="Y1111" s="7" t="str">
        <f aca="false">IF(L1111="","",VALUE(MID(L1111,FIND("/",L1111,FIND("/",L1111)+1)+1,LEN(L1111)-FIND("/",L1111,FIND("/",L1111)+1))))</f>
        <v/>
      </c>
      <c r="Z1111" s="7" t="str">
        <f aca="false">IF(OR(L1111="",W1111=""),"",IFERROR(INDEX('لیست‌ها'!$Q$3:$Q$53,MATCH(W1111,'لیست‌ها'!$P$3:$P$53,0))+IF(X1111&lt;=6,(X1111-1)*31+Y1111,IF(X1111&lt;=11,186+(X1111-7)*30+Y1111,336+Y1111))-1,""))</f>
        <v/>
      </c>
      <c r="AA1111" s="7" t="str">
        <f aca="false">IF(H1111="","",VALUE(LEFT(H1111,FIND("/",H1111)-1)))</f>
        <v/>
      </c>
      <c r="AB1111" s="7" t="str">
        <f aca="false">IF(H1111="","",VALUE(MID(H1111,FIND("/",H1111)+1,FIND("/",H1111,FIND("/",H1111)+1)-FIND("/",H1111)-1)))</f>
        <v/>
      </c>
      <c r="AC1111" s="7" t="str">
        <f aca="false">IF(H1111="","",VALUE(MID(H1111,FIND("/",H1111,FIND("/",H1111)+1)+1,LEN(H1111)-FIND("/",H1111,FIND("/",H1111)+1))))</f>
        <v/>
      </c>
      <c r="AD1111" s="7" t="str">
        <f aca="false">IF(OR(H1111="",AA1111=""),"",IFERROR(INDEX('لیست‌ها'!$Q$3:$Q$53,MATCH(AA1111,'لیست‌ها'!$P$3:$P$53,0))+IF(AB1111&lt;=6,(AB1111-1)*31+AC1111,IF(AB1111&lt;=11,186+(AB1111-7)*30+AC1111,336+AC1111))-1,""))</f>
        <v/>
      </c>
      <c r="AE1111" s="7" t="str">
        <f aca="false">IF(P1111="","",VALUE(LEFT(P1111,FIND("/",P1111)-1)))</f>
        <v/>
      </c>
      <c r="AF1111" s="7" t="str">
        <f aca="false">IF(P1111="","",VALUE(MID(P1111,FIND("/",P1111)+1,FIND("/",P1111,FIND("/",P1111)+1)-FIND("/",P1111)-1)))</f>
        <v/>
      </c>
      <c r="AG1111" s="7" t="str">
        <f aca="false">IF(P1111="","",VALUE(MID(P1111,FIND("/",P1111,FIND("/",P1111)+1)+1,LEN(P1111)-FIND("/",P1111,FIND("/",P1111)+1))))</f>
        <v/>
      </c>
      <c r="AH1111" s="7" t="str">
        <f aca="false">IF(OR(P1111="",AE1111=""),"",IFERROR(INDEX('لیست‌ها'!$Q$3:$Q$53,MATCH(AE1111,'لیست‌ها'!$P$3:$P$53,0))+IF(AF1111&lt;=6,(AF1111-1)*31+AG1111,IF(AF1111&lt;=11,186+(AF1111-7)*30+AG1111,336+AG1111))-1,""))</f>
        <v/>
      </c>
      <c r="AI1111" s="7" t="str">
        <f aca="false">IF(W1111="","",W1111&amp;"-"&amp;TEXT(X1111,"00"))</f>
        <v/>
      </c>
      <c r="AJ1111" s="7" t="str">
        <f aca="false">IF(W1111="","",W1111*12+X1111)</f>
        <v/>
      </c>
      <c r="AK1111" s="7" t="str">
        <f aca="false">IF(U1111="تاخیر",V1111+ROW()/100000,"")</f>
        <v/>
      </c>
    </row>
    <row r="1112" customFormat="false" ht="15" hidden="false" customHeight="false" outlineLevel="0" collapsed="false">
      <c r="A1112" s="7" t="str">
        <f aca="false">IF(B1112="","",ROW()-3)</f>
        <v/>
      </c>
      <c r="B1112" s="8"/>
      <c r="C1112" s="8"/>
      <c r="D1112" s="8"/>
      <c r="E1112" s="9"/>
      <c r="F1112" s="9"/>
      <c r="G1112" s="8"/>
      <c r="H1112" s="8"/>
      <c r="I1112" s="8"/>
      <c r="J1112" s="9"/>
      <c r="K1112" s="8"/>
      <c r="L1112" s="8"/>
      <c r="M1112" s="8"/>
      <c r="N1112" s="8"/>
      <c r="O1112" s="8"/>
      <c r="P1112" s="8"/>
      <c r="Q1112" s="8"/>
      <c r="R1112" s="9"/>
      <c r="S1112" s="8"/>
      <c r="T1112" s="9"/>
      <c r="U1112" s="10" t="str">
        <f aca="true">IF(B1112="","",IF(OR(P1112&lt;&gt;"",I1112="می‌باشد"),"بسته",IF(AND(L1112&lt;&gt;"",W1112=""),"خطای فرمت تاریخ ایجاد",IF(AND(H1112&lt;&gt;"",AA1112=""),"خطای فرمت مهلت",IF(AND(H1112&lt;&gt;"",AD1112&lt;&gt;"",TODAY()&gt;AD1112),"تاخیر",IF(L1112&lt;&gt;"","در حال انجام",""))))))</f>
        <v/>
      </c>
      <c r="V1112" s="7" t="n">
        <f aca="true">IF(U1112="تاخیر",TODAY()-AD1112,IF(AND(U1112="بسته",AH1112&lt;&gt;"",AD1112&lt;&gt;"",AH1112&gt;AD1112),AH1112-AD1112,0))</f>
        <v>0</v>
      </c>
      <c r="W1112" s="7" t="str">
        <f aca="false">IF(L1112="","",VALUE(LEFT(L1112,FIND("/",L1112)-1)))</f>
        <v/>
      </c>
      <c r="X1112" s="7" t="str">
        <f aca="false">IF(L1112="","",VALUE(MID(L1112,FIND("/",L1112)+1,FIND("/",L1112,FIND("/",L1112)+1)-FIND("/",L1112)-1)))</f>
        <v/>
      </c>
      <c r="Y1112" s="7" t="str">
        <f aca="false">IF(L1112="","",VALUE(MID(L1112,FIND("/",L1112,FIND("/",L1112)+1)+1,LEN(L1112)-FIND("/",L1112,FIND("/",L1112)+1))))</f>
        <v/>
      </c>
      <c r="Z1112" s="7" t="str">
        <f aca="false">IF(OR(L1112="",W1112=""),"",IFERROR(INDEX('لیست‌ها'!$Q$3:$Q$53,MATCH(W1112,'لیست‌ها'!$P$3:$P$53,0))+IF(X1112&lt;=6,(X1112-1)*31+Y1112,IF(X1112&lt;=11,186+(X1112-7)*30+Y1112,336+Y1112))-1,""))</f>
        <v/>
      </c>
      <c r="AA1112" s="7" t="str">
        <f aca="false">IF(H1112="","",VALUE(LEFT(H1112,FIND("/",H1112)-1)))</f>
        <v/>
      </c>
      <c r="AB1112" s="7" t="str">
        <f aca="false">IF(H1112="","",VALUE(MID(H1112,FIND("/",H1112)+1,FIND("/",H1112,FIND("/",H1112)+1)-FIND("/",H1112)-1)))</f>
        <v/>
      </c>
      <c r="AC1112" s="7" t="str">
        <f aca="false">IF(H1112="","",VALUE(MID(H1112,FIND("/",H1112,FIND("/",H1112)+1)+1,LEN(H1112)-FIND("/",H1112,FIND("/",H1112)+1))))</f>
        <v/>
      </c>
      <c r="AD1112" s="7" t="str">
        <f aca="false">IF(OR(H1112="",AA1112=""),"",IFERROR(INDEX('لیست‌ها'!$Q$3:$Q$53,MATCH(AA1112,'لیست‌ها'!$P$3:$P$53,0))+IF(AB1112&lt;=6,(AB1112-1)*31+AC1112,IF(AB1112&lt;=11,186+(AB1112-7)*30+AC1112,336+AC1112))-1,""))</f>
        <v/>
      </c>
      <c r="AE1112" s="7" t="str">
        <f aca="false">IF(P1112="","",VALUE(LEFT(P1112,FIND("/",P1112)-1)))</f>
        <v/>
      </c>
      <c r="AF1112" s="7" t="str">
        <f aca="false">IF(P1112="","",VALUE(MID(P1112,FIND("/",P1112)+1,FIND("/",P1112,FIND("/",P1112)+1)-FIND("/",P1112)-1)))</f>
        <v/>
      </c>
      <c r="AG1112" s="7" t="str">
        <f aca="false">IF(P1112="","",VALUE(MID(P1112,FIND("/",P1112,FIND("/",P1112)+1)+1,LEN(P1112)-FIND("/",P1112,FIND("/",P1112)+1))))</f>
        <v/>
      </c>
      <c r="AH1112" s="7" t="str">
        <f aca="false">IF(OR(P1112="",AE1112=""),"",IFERROR(INDEX('لیست‌ها'!$Q$3:$Q$53,MATCH(AE1112,'لیست‌ها'!$P$3:$P$53,0))+IF(AF1112&lt;=6,(AF1112-1)*31+AG1112,IF(AF1112&lt;=11,186+(AF1112-7)*30+AG1112,336+AG1112))-1,""))</f>
        <v/>
      </c>
      <c r="AI1112" s="7" t="str">
        <f aca="false">IF(W1112="","",W1112&amp;"-"&amp;TEXT(X1112,"00"))</f>
        <v/>
      </c>
      <c r="AJ1112" s="7" t="str">
        <f aca="false">IF(W1112="","",W1112*12+X1112)</f>
        <v/>
      </c>
      <c r="AK1112" s="7" t="str">
        <f aca="false">IF(U1112="تاخیر",V1112+ROW()/100000,"")</f>
        <v/>
      </c>
    </row>
    <row r="1113" customFormat="false" ht="15" hidden="false" customHeight="false" outlineLevel="0" collapsed="false">
      <c r="A1113" s="7" t="str">
        <f aca="false">IF(B1113="","",ROW()-3)</f>
        <v/>
      </c>
      <c r="B1113" s="8"/>
      <c r="C1113" s="8"/>
      <c r="D1113" s="8"/>
      <c r="E1113" s="9"/>
      <c r="F1113" s="9"/>
      <c r="G1113" s="8"/>
      <c r="H1113" s="8"/>
      <c r="I1113" s="8"/>
      <c r="J1113" s="9"/>
      <c r="K1113" s="8"/>
      <c r="L1113" s="8"/>
      <c r="M1113" s="8"/>
      <c r="N1113" s="8"/>
      <c r="O1113" s="8"/>
      <c r="P1113" s="8"/>
      <c r="Q1113" s="8"/>
      <c r="R1113" s="9"/>
      <c r="S1113" s="8"/>
      <c r="T1113" s="9"/>
      <c r="U1113" s="10" t="str">
        <f aca="true">IF(B1113="","",IF(OR(P1113&lt;&gt;"",I1113="می‌باشد"),"بسته",IF(AND(L1113&lt;&gt;"",W1113=""),"خطای فرمت تاریخ ایجاد",IF(AND(H1113&lt;&gt;"",AA1113=""),"خطای فرمت مهلت",IF(AND(H1113&lt;&gt;"",AD1113&lt;&gt;"",TODAY()&gt;AD1113),"تاخیر",IF(L1113&lt;&gt;"","در حال انجام",""))))))</f>
        <v/>
      </c>
      <c r="V1113" s="7" t="n">
        <f aca="true">IF(U1113="تاخیر",TODAY()-AD1113,IF(AND(U1113="بسته",AH1113&lt;&gt;"",AD1113&lt;&gt;"",AH1113&gt;AD1113),AH1113-AD1113,0))</f>
        <v>0</v>
      </c>
      <c r="W1113" s="7" t="str">
        <f aca="false">IF(L1113="","",VALUE(LEFT(L1113,FIND("/",L1113)-1)))</f>
        <v/>
      </c>
      <c r="X1113" s="7" t="str">
        <f aca="false">IF(L1113="","",VALUE(MID(L1113,FIND("/",L1113)+1,FIND("/",L1113,FIND("/",L1113)+1)-FIND("/",L1113)-1)))</f>
        <v/>
      </c>
      <c r="Y1113" s="7" t="str">
        <f aca="false">IF(L1113="","",VALUE(MID(L1113,FIND("/",L1113,FIND("/",L1113)+1)+1,LEN(L1113)-FIND("/",L1113,FIND("/",L1113)+1))))</f>
        <v/>
      </c>
      <c r="Z1113" s="7" t="str">
        <f aca="false">IF(OR(L1113="",W1113=""),"",IFERROR(INDEX('لیست‌ها'!$Q$3:$Q$53,MATCH(W1113,'لیست‌ها'!$P$3:$P$53,0))+IF(X1113&lt;=6,(X1113-1)*31+Y1113,IF(X1113&lt;=11,186+(X1113-7)*30+Y1113,336+Y1113))-1,""))</f>
        <v/>
      </c>
      <c r="AA1113" s="7" t="str">
        <f aca="false">IF(H1113="","",VALUE(LEFT(H1113,FIND("/",H1113)-1)))</f>
        <v/>
      </c>
      <c r="AB1113" s="7" t="str">
        <f aca="false">IF(H1113="","",VALUE(MID(H1113,FIND("/",H1113)+1,FIND("/",H1113,FIND("/",H1113)+1)-FIND("/",H1113)-1)))</f>
        <v/>
      </c>
      <c r="AC1113" s="7" t="str">
        <f aca="false">IF(H1113="","",VALUE(MID(H1113,FIND("/",H1113,FIND("/",H1113)+1)+1,LEN(H1113)-FIND("/",H1113,FIND("/",H1113)+1))))</f>
        <v/>
      </c>
      <c r="AD1113" s="7" t="str">
        <f aca="false">IF(OR(H1113="",AA1113=""),"",IFERROR(INDEX('لیست‌ها'!$Q$3:$Q$53,MATCH(AA1113,'لیست‌ها'!$P$3:$P$53,0))+IF(AB1113&lt;=6,(AB1113-1)*31+AC1113,IF(AB1113&lt;=11,186+(AB1113-7)*30+AC1113,336+AC1113))-1,""))</f>
        <v/>
      </c>
      <c r="AE1113" s="7" t="str">
        <f aca="false">IF(P1113="","",VALUE(LEFT(P1113,FIND("/",P1113)-1)))</f>
        <v/>
      </c>
      <c r="AF1113" s="7" t="str">
        <f aca="false">IF(P1113="","",VALUE(MID(P1113,FIND("/",P1113)+1,FIND("/",P1113,FIND("/",P1113)+1)-FIND("/",P1113)-1)))</f>
        <v/>
      </c>
      <c r="AG1113" s="7" t="str">
        <f aca="false">IF(P1113="","",VALUE(MID(P1113,FIND("/",P1113,FIND("/",P1113)+1)+1,LEN(P1113)-FIND("/",P1113,FIND("/",P1113)+1))))</f>
        <v/>
      </c>
      <c r="AH1113" s="7" t="str">
        <f aca="false">IF(OR(P1113="",AE1113=""),"",IFERROR(INDEX('لیست‌ها'!$Q$3:$Q$53,MATCH(AE1113,'لیست‌ها'!$P$3:$P$53,0))+IF(AF1113&lt;=6,(AF1113-1)*31+AG1113,IF(AF1113&lt;=11,186+(AF1113-7)*30+AG1113,336+AG1113))-1,""))</f>
        <v/>
      </c>
      <c r="AI1113" s="7" t="str">
        <f aca="false">IF(W1113="","",W1113&amp;"-"&amp;TEXT(X1113,"00"))</f>
        <v/>
      </c>
      <c r="AJ1113" s="7" t="str">
        <f aca="false">IF(W1113="","",W1113*12+X1113)</f>
        <v/>
      </c>
      <c r="AK1113" s="7" t="str">
        <f aca="false">IF(U1113="تاخیر",V1113+ROW()/100000,"")</f>
        <v/>
      </c>
    </row>
    <row r="1114" customFormat="false" ht="15" hidden="false" customHeight="false" outlineLevel="0" collapsed="false">
      <c r="A1114" s="7" t="str">
        <f aca="false">IF(B1114="","",ROW()-3)</f>
        <v/>
      </c>
      <c r="B1114" s="8"/>
      <c r="C1114" s="8"/>
      <c r="D1114" s="8"/>
      <c r="E1114" s="9"/>
      <c r="F1114" s="9"/>
      <c r="G1114" s="8"/>
      <c r="H1114" s="8"/>
      <c r="I1114" s="8"/>
      <c r="J1114" s="9"/>
      <c r="K1114" s="8"/>
      <c r="L1114" s="8"/>
      <c r="M1114" s="8"/>
      <c r="N1114" s="8"/>
      <c r="O1114" s="8"/>
      <c r="P1114" s="8"/>
      <c r="Q1114" s="8"/>
      <c r="R1114" s="9"/>
      <c r="S1114" s="8"/>
      <c r="T1114" s="9"/>
      <c r="U1114" s="10" t="str">
        <f aca="true">IF(B1114="","",IF(OR(P1114&lt;&gt;"",I1114="می‌باشد"),"بسته",IF(AND(L1114&lt;&gt;"",W1114=""),"خطای فرمت تاریخ ایجاد",IF(AND(H1114&lt;&gt;"",AA1114=""),"خطای فرمت مهلت",IF(AND(H1114&lt;&gt;"",AD1114&lt;&gt;"",TODAY()&gt;AD1114),"تاخیر",IF(L1114&lt;&gt;"","در حال انجام",""))))))</f>
        <v/>
      </c>
      <c r="V1114" s="7" t="n">
        <f aca="true">IF(U1114="تاخیر",TODAY()-AD1114,IF(AND(U1114="بسته",AH1114&lt;&gt;"",AD1114&lt;&gt;"",AH1114&gt;AD1114),AH1114-AD1114,0))</f>
        <v>0</v>
      </c>
      <c r="W1114" s="7" t="str">
        <f aca="false">IF(L1114="","",VALUE(LEFT(L1114,FIND("/",L1114)-1)))</f>
        <v/>
      </c>
      <c r="X1114" s="7" t="str">
        <f aca="false">IF(L1114="","",VALUE(MID(L1114,FIND("/",L1114)+1,FIND("/",L1114,FIND("/",L1114)+1)-FIND("/",L1114)-1)))</f>
        <v/>
      </c>
      <c r="Y1114" s="7" t="str">
        <f aca="false">IF(L1114="","",VALUE(MID(L1114,FIND("/",L1114,FIND("/",L1114)+1)+1,LEN(L1114)-FIND("/",L1114,FIND("/",L1114)+1))))</f>
        <v/>
      </c>
      <c r="Z1114" s="7" t="str">
        <f aca="false">IF(OR(L1114="",W1114=""),"",IFERROR(INDEX('لیست‌ها'!$Q$3:$Q$53,MATCH(W1114,'لیست‌ها'!$P$3:$P$53,0))+IF(X1114&lt;=6,(X1114-1)*31+Y1114,IF(X1114&lt;=11,186+(X1114-7)*30+Y1114,336+Y1114))-1,""))</f>
        <v/>
      </c>
      <c r="AA1114" s="7" t="str">
        <f aca="false">IF(H1114="","",VALUE(LEFT(H1114,FIND("/",H1114)-1)))</f>
        <v/>
      </c>
      <c r="AB1114" s="7" t="str">
        <f aca="false">IF(H1114="","",VALUE(MID(H1114,FIND("/",H1114)+1,FIND("/",H1114,FIND("/",H1114)+1)-FIND("/",H1114)-1)))</f>
        <v/>
      </c>
      <c r="AC1114" s="7" t="str">
        <f aca="false">IF(H1114="","",VALUE(MID(H1114,FIND("/",H1114,FIND("/",H1114)+1)+1,LEN(H1114)-FIND("/",H1114,FIND("/",H1114)+1))))</f>
        <v/>
      </c>
      <c r="AD1114" s="7" t="str">
        <f aca="false">IF(OR(H1114="",AA1114=""),"",IFERROR(INDEX('لیست‌ها'!$Q$3:$Q$53,MATCH(AA1114,'لیست‌ها'!$P$3:$P$53,0))+IF(AB1114&lt;=6,(AB1114-1)*31+AC1114,IF(AB1114&lt;=11,186+(AB1114-7)*30+AC1114,336+AC1114))-1,""))</f>
        <v/>
      </c>
      <c r="AE1114" s="7" t="str">
        <f aca="false">IF(P1114="","",VALUE(LEFT(P1114,FIND("/",P1114)-1)))</f>
        <v/>
      </c>
      <c r="AF1114" s="7" t="str">
        <f aca="false">IF(P1114="","",VALUE(MID(P1114,FIND("/",P1114)+1,FIND("/",P1114,FIND("/",P1114)+1)-FIND("/",P1114)-1)))</f>
        <v/>
      </c>
      <c r="AG1114" s="7" t="str">
        <f aca="false">IF(P1114="","",VALUE(MID(P1114,FIND("/",P1114,FIND("/",P1114)+1)+1,LEN(P1114)-FIND("/",P1114,FIND("/",P1114)+1))))</f>
        <v/>
      </c>
      <c r="AH1114" s="7" t="str">
        <f aca="false">IF(OR(P1114="",AE1114=""),"",IFERROR(INDEX('لیست‌ها'!$Q$3:$Q$53,MATCH(AE1114,'لیست‌ها'!$P$3:$P$53,0))+IF(AF1114&lt;=6,(AF1114-1)*31+AG1114,IF(AF1114&lt;=11,186+(AF1114-7)*30+AG1114,336+AG1114))-1,""))</f>
        <v/>
      </c>
      <c r="AI1114" s="7" t="str">
        <f aca="false">IF(W1114="","",W1114&amp;"-"&amp;TEXT(X1114,"00"))</f>
        <v/>
      </c>
      <c r="AJ1114" s="7" t="str">
        <f aca="false">IF(W1114="","",W1114*12+X1114)</f>
        <v/>
      </c>
      <c r="AK1114" s="7" t="str">
        <f aca="false">IF(U1114="تاخیر",V1114+ROW()/100000,"")</f>
        <v/>
      </c>
    </row>
    <row r="1115" customFormat="false" ht="15" hidden="false" customHeight="false" outlineLevel="0" collapsed="false">
      <c r="A1115" s="7" t="str">
        <f aca="false">IF(B1115="","",ROW()-3)</f>
        <v/>
      </c>
      <c r="B1115" s="8"/>
      <c r="C1115" s="8"/>
      <c r="D1115" s="8"/>
      <c r="E1115" s="9"/>
      <c r="F1115" s="9"/>
      <c r="G1115" s="8"/>
      <c r="H1115" s="8"/>
      <c r="I1115" s="8"/>
      <c r="J1115" s="9"/>
      <c r="K1115" s="8"/>
      <c r="L1115" s="8"/>
      <c r="M1115" s="8"/>
      <c r="N1115" s="8"/>
      <c r="O1115" s="8"/>
      <c r="P1115" s="8"/>
      <c r="Q1115" s="8"/>
      <c r="R1115" s="9"/>
      <c r="S1115" s="8"/>
      <c r="T1115" s="9"/>
      <c r="U1115" s="10" t="str">
        <f aca="true">IF(B1115="","",IF(OR(P1115&lt;&gt;"",I1115="می‌باشد"),"بسته",IF(AND(L1115&lt;&gt;"",W1115=""),"خطای فرمت تاریخ ایجاد",IF(AND(H1115&lt;&gt;"",AA1115=""),"خطای فرمت مهلت",IF(AND(H1115&lt;&gt;"",AD1115&lt;&gt;"",TODAY()&gt;AD1115),"تاخیر",IF(L1115&lt;&gt;"","در حال انجام",""))))))</f>
        <v/>
      </c>
      <c r="V1115" s="7" t="n">
        <f aca="true">IF(U1115="تاخیر",TODAY()-AD1115,IF(AND(U1115="بسته",AH1115&lt;&gt;"",AD1115&lt;&gt;"",AH1115&gt;AD1115),AH1115-AD1115,0))</f>
        <v>0</v>
      </c>
      <c r="W1115" s="7" t="str">
        <f aca="false">IF(L1115="","",VALUE(LEFT(L1115,FIND("/",L1115)-1)))</f>
        <v/>
      </c>
      <c r="X1115" s="7" t="str">
        <f aca="false">IF(L1115="","",VALUE(MID(L1115,FIND("/",L1115)+1,FIND("/",L1115,FIND("/",L1115)+1)-FIND("/",L1115)-1)))</f>
        <v/>
      </c>
      <c r="Y1115" s="7" t="str">
        <f aca="false">IF(L1115="","",VALUE(MID(L1115,FIND("/",L1115,FIND("/",L1115)+1)+1,LEN(L1115)-FIND("/",L1115,FIND("/",L1115)+1))))</f>
        <v/>
      </c>
      <c r="Z1115" s="7" t="str">
        <f aca="false">IF(OR(L1115="",W1115=""),"",IFERROR(INDEX('لیست‌ها'!$Q$3:$Q$53,MATCH(W1115,'لیست‌ها'!$P$3:$P$53,0))+IF(X1115&lt;=6,(X1115-1)*31+Y1115,IF(X1115&lt;=11,186+(X1115-7)*30+Y1115,336+Y1115))-1,""))</f>
        <v/>
      </c>
      <c r="AA1115" s="7" t="str">
        <f aca="false">IF(H1115="","",VALUE(LEFT(H1115,FIND("/",H1115)-1)))</f>
        <v/>
      </c>
      <c r="AB1115" s="7" t="str">
        <f aca="false">IF(H1115="","",VALUE(MID(H1115,FIND("/",H1115)+1,FIND("/",H1115,FIND("/",H1115)+1)-FIND("/",H1115)-1)))</f>
        <v/>
      </c>
      <c r="AC1115" s="7" t="str">
        <f aca="false">IF(H1115="","",VALUE(MID(H1115,FIND("/",H1115,FIND("/",H1115)+1)+1,LEN(H1115)-FIND("/",H1115,FIND("/",H1115)+1))))</f>
        <v/>
      </c>
      <c r="AD1115" s="7" t="str">
        <f aca="false">IF(OR(H1115="",AA1115=""),"",IFERROR(INDEX('لیست‌ها'!$Q$3:$Q$53,MATCH(AA1115,'لیست‌ها'!$P$3:$P$53,0))+IF(AB1115&lt;=6,(AB1115-1)*31+AC1115,IF(AB1115&lt;=11,186+(AB1115-7)*30+AC1115,336+AC1115))-1,""))</f>
        <v/>
      </c>
      <c r="AE1115" s="7" t="str">
        <f aca="false">IF(P1115="","",VALUE(LEFT(P1115,FIND("/",P1115)-1)))</f>
        <v/>
      </c>
      <c r="AF1115" s="7" t="str">
        <f aca="false">IF(P1115="","",VALUE(MID(P1115,FIND("/",P1115)+1,FIND("/",P1115,FIND("/",P1115)+1)-FIND("/",P1115)-1)))</f>
        <v/>
      </c>
      <c r="AG1115" s="7" t="str">
        <f aca="false">IF(P1115="","",VALUE(MID(P1115,FIND("/",P1115,FIND("/",P1115)+1)+1,LEN(P1115)-FIND("/",P1115,FIND("/",P1115)+1))))</f>
        <v/>
      </c>
      <c r="AH1115" s="7" t="str">
        <f aca="false">IF(OR(P1115="",AE1115=""),"",IFERROR(INDEX('لیست‌ها'!$Q$3:$Q$53,MATCH(AE1115,'لیست‌ها'!$P$3:$P$53,0))+IF(AF1115&lt;=6,(AF1115-1)*31+AG1115,IF(AF1115&lt;=11,186+(AF1115-7)*30+AG1115,336+AG1115))-1,""))</f>
        <v/>
      </c>
      <c r="AI1115" s="7" t="str">
        <f aca="false">IF(W1115="","",W1115&amp;"-"&amp;TEXT(X1115,"00"))</f>
        <v/>
      </c>
      <c r="AJ1115" s="7" t="str">
        <f aca="false">IF(W1115="","",W1115*12+X1115)</f>
        <v/>
      </c>
      <c r="AK1115" s="7" t="str">
        <f aca="false">IF(U1115="تاخیر",V1115+ROW()/100000,"")</f>
        <v/>
      </c>
    </row>
    <row r="1116" customFormat="false" ht="15" hidden="false" customHeight="false" outlineLevel="0" collapsed="false">
      <c r="A1116" s="7" t="str">
        <f aca="false">IF(B1116="","",ROW()-3)</f>
        <v/>
      </c>
      <c r="B1116" s="8"/>
      <c r="C1116" s="8"/>
      <c r="D1116" s="8"/>
      <c r="E1116" s="9"/>
      <c r="F1116" s="9"/>
      <c r="G1116" s="8"/>
      <c r="H1116" s="8"/>
      <c r="I1116" s="8"/>
      <c r="J1116" s="9"/>
      <c r="K1116" s="8"/>
      <c r="L1116" s="8"/>
      <c r="M1116" s="8"/>
      <c r="N1116" s="8"/>
      <c r="O1116" s="8"/>
      <c r="P1116" s="8"/>
      <c r="Q1116" s="8"/>
      <c r="R1116" s="9"/>
      <c r="S1116" s="8"/>
      <c r="T1116" s="9"/>
      <c r="U1116" s="10" t="str">
        <f aca="true">IF(B1116="","",IF(OR(P1116&lt;&gt;"",I1116="می‌باشد"),"بسته",IF(AND(L1116&lt;&gt;"",W1116=""),"خطای فرمت تاریخ ایجاد",IF(AND(H1116&lt;&gt;"",AA1116=""),"خطای فرمت مهلت",IF(AND(H1116&lt;&gt;"",AD1116&lt;&gt;"",TODAY()&gt;AD1116),"تاخیر",IF(L1116&lt;&gt;"","در حال انجام",""))))))</f>
        <v/>
      </c>
      <c r="V1116" s="7" t="n">
        <f aca="true">IF(U1116="تاخیر",TODAY()-AD1116,IF(AND(U1116="بسته",AH1116&lt;&gt;"",AD1116&lt;&gt;"",AH1116&gt;AD1116),AH1116-AD1116,0))</f>
        <v>0</v>
      </c>
      <c r="W1116" s="7" t="str">
        <f aca="false">IF(L1116="","",VALUE(LEFT(L1116,FIND("/",L1116)-1)))</f>
        <v/>
      </c>
      <c r="X1116" s="7" t="str">
        <f aca="false">IF(L1116="","",VALUE(MID(L1116,FIND("/",L1116)+1,FIND("/",L1116,FIND("/",L1116)+1)-FIND("/",L1116)-1)))</f>
        <v/>
      </c>
      <c r="Y1116" s="7" t="str">
        <f aca="false">IF(L1116="","",VALUE(MID(L1116,FIND("/",L1116,FIND("/",L1116)+1)+1,LEN(L1116)-FIND("/",L1116,FIND("/",L1116)+1))))</f>
        <v/>
      </c>
      <c r="Z1116" s="7" t="str">
        <f aca="false">IF(OR(L1116="",W1116=""),"",IFERROR(INDEX('لیست‌ها'!$Q$3:$Q$53,MATCH(W1116,'لیست‌ها'!$P$3:$P$53,0))+IF(X1116&lt;=6,(X1116-1)*31+Y1116,IF(X1116&lt;=11,186+(X1116-7)*30+Y1116,336+Y1116))-1,""))</f>
        <v/>
      </c>
      <c r="AA1116" s="7" t="str">
        <f aca="false">IF(H1116="","",VALUE(LEFT(H1116,FIND("/",H1116)-1)))</f>
        <v/>
      </c>
      <c r="AB1116" s="7" t="str">
        <f aca="false">IF(H1116="","",VALUE(MID(H1116,FIND("/",H1116)+1,FIND("/",H1116,FIND("/",H1116)+1)-FIND("/",H1116)-1)))</f>
        <v/>
      </c>
      <c r="AC1116" s="7" t="str">
        <f aca="false">IF(H1116="","",VALUE(MID(H1116,FIND("/",H1116,FIND("/",H1116)+1)+1,LEN(H1116)-FIND("/",H1116,FIND("/",H1116)+1))))</f>
        <v/>
      </c>
      <c r="AD1116" s="7" t="str">
        <f aca="false">IF(OR(H1116="",AA1116=""),"",IFERROR(INDEX('لیست‌ها'!$Q$3:$Q$53,MATCH(AA1116,'لیست‌ها'!$P$3:$P$53,0))+IF(AB1116&lt;=6,(AB1116-1)*31+AC1116,IF(AB1116&lt;=11,186+(AB1116-7)*30+AC1116,336+AC1116))-1,""))</f>
        <v/>
      </c>
      <c r="AE1116" s="7" t="str">
        <f aca="false">IF(P1116="","",VALUE(LEFT(P1116,FIND("/",P1116)-1)))</f>
        <v/>
      </c>
      <c r="AF1116" s="7" t="str">
        <f aca="false">IF(P1116="","",VALUE(MID(P1116,FIND("/",P1116)+1,FIND("/",P1116,FIND("/",P1116)+1)-FIND("/",P1116)-1)))</f>
        <v/>
      </c>
      <c r="AG1116" s="7" t="str">
        <f aca="false">IF(P1116="","",VALUE(MID(P1116,FIND("/",P1116,FIND("/",P1116)+1)+1,LEN(P1116)-FIND("/",P1116,FIND("/",P1116)+1))))</f>
        <v/>
      </c>
      <c r="AH1116" s="7" t="str">
        <f aca="false">IF(OR(P1116="",AE1116=""),"",IFERROR(INDEX('لیست‌ها'!$Q$3:$Q$53,MATCH(AE1116,'لیست‌ها'!$P$3:$P$53,0))+IF(AF1116&lt;=6,(AF1116-1)*31+AG1116,IF(AF1116&lt;=11,186+(AF1116-7)*30+AG1116,336+AG1116))-1,""))</f>
        <v/>
      </c>
      <c r="AI1116" s="7" t="str">
        <f aca="false">IF(W1116="","",W1116&amp;"-"&amp;TEXT(X1116,"00"))</f>
        <v/>
      </c>
      <c r="AJ1116" s="7" t="str">
        <f aca="false">IF(W1116="","",W1116*12+X1116)</f>
        <v/>
      </c>
      <c r="AK1116" s="7" t="str">
        <f aca="false">IF(U1116="تاخیر",V1116+ROW()/100000,"")</f>
        <v/>
      </c>
    </row>
    <row r="1117" customFormat="false" ht="15" hidden="false" customHeight="false" outlineLevel="0" collapsed="false">
      <c r="A1117" s="7" t="str">
        <f aca="false">IF(B1117="","",ROW()-3)</f>
        <v/>
      </c>
      <c r="B1117" s="8"/>
      <c r="C1117" s="8"/>
      <c r="D1117" s="8"/>
      <c r="E1117" s="9"/>
      <c r="F1117" s="9"/>
      <c r="G1117" s="8"/>
      <c r="H1117" s="8"/>
      <c r="I1117" s="8"/>
      <c r="J1117" s="9"/>
      <c r="K1117" s="8"/>
      <c r="L1117" s="8"/>
      <c r="M1117" s="8"/>
      <c r="N1117" s="8"/>
      <c r="O1117" s="8"/>
      <c r="P1117" s="8"/>
      <c r="Q1117" s="8"/>
      <c r="R1117" s="9"/>
      <c r="S1117" s="8"/>
      <c r="T1117" s="9"/>
      <c r="U1117" s="10" t="str">
        <f aca="true">IF(B1117="","",IF(OR(P1117&lt;&gt;"",I1117="می‌باشد"),"بسته",IF(AND(L1117&lt;&gt;"",W1117=""),"خطای فرمت تاریخ ایجاد",IF(AND(H1117&lt;&gt;"",AA1117=""),"خطای فرمت مهلت",IF(AND(H1117&lt;&gt;"",AD1117&lt;&gt;"",TODAY()&gt;AD1117),"تاخیر",IF(L1117&lt;&gt;"","در حال انجام",""))))))</f>
        <v/>
      </c>
      <c r="V1117" s="7" t="n">
        <f aca="true">IF(U1117="تاخیر",TODAY()-AD1117,IF(AND(U1117="بسته",AH1117&lt;&gt;"",AD1117&lt;&gt;"",AH1117&gt;AD1117),AH1117-AD1117,0))</f>
        <v>0</v>
      </c>
      <c r="W1117" s="7" t="str">
        <f aca="false">IF(L1117="","",VALUE(LEFT(L1117,FIND("/",L1117)-1)))</f>
        <v/>
      </c>
      <c r="X1117" s="7" t="str">
        <f aca="false">IF(L1117="","",VALUE(MID(L1117,FIND("/",L1117)+1,FIND("/",L1117,FIND("/",L1117)+1)-FIND("/",L1117)-1)))</f>
        <v/>
      </c>
      <c r="Y1117" s="7" t="str">
        <f aca="false">IF(L1117="","",VALUE(MID(L1117,FIND("/",L1117,FIND("/",L1117)+1)+1,LEN(L1117)-FIND("/",L1117,FIND("/",L1117)+1))))</f>
        <v/>
      </c>
      <c r="Z1117" s="7" t="str">
        <f aca="false">IF(OR(L1117="",W1117=""),"",IFERROR(INDEX('لیست‌ها'!$Q$3:$Q$53,MATCH(W1117,'لیست‌ها'!$P$3:$P$53,0))+IF(X1117&lt;=6,(X1117-1)*31+Y1117,IF(X1117&lt;=11,186+(X1117-7)*30+Y1117,336+Y1117))-1,""))</f>
        <v/>
      </c>
      <c r="AA1117" s="7" t="str">
        <f aca="false">IF(H1117="","",VALUE(LEFT(H1117,FIND("/",H1117)-1)))</f>
        <v/>
      </c>
      <c r="AB1117" s="7" t="str">
        <f aca="false">IF(H1117="","",VALUE(MID(H1117,FIND("/",H1117)+1,FIND("/",H1117,FIND("/",H1117)+1)-FIND("/",H1117)-1)))</f>
        <v/>
      </c>
      <c r="AC1117" s="7" t="str">
        <f aca="false">IF(H1117="","",VALUE(MID(H1117,FIND("/",H1117,FIND("/",H1117)+1)+1,LEN(H1117)-FIND("/",H1117,FIND("/",H1117)+1))))</f>
        <v/>
      </c>
      <c r="AD1117" s="7" t="str">
        <f aca="false">IF(OR(H1117="",AA1117=""),"",IFERROR(INDEX('لیست‌ها'!$Q$3:$Q$53,MATCH(AA1117,'لیست‌ها'!$P$3:$P$53,0))+IF(AB1117&lt;=6,(AB1117-1)*31+AC1117,IF(AB1117&lt;=11,186+(AB1117-7)*30+AC1117,336+AC1117))-1,""))</f>
        <v/>
      </c>
      <c r="AE1117" s="7" t="str">
        <f aca="false">IF(P1117="","",VALUE(LEFT(P1117,FIND("/",P1117)-1)))</f>
        <v/>
      </c>
      <c r="AF1117" s="7" t="str">
        <f aca="false">IF(P1117="","",VALUE(MID(P1117,FIND("/",P1117)+1,FIND("/",P1117,FIND("/",P1117)+1)-FIND("/",P1117)-1)))</f>
        <v/>
      </c>
      <c r="AG1117" s="7" t="str">
        <f aca="false">IF(P1117="","",VALUE(MID(P1117,FIND("/",P1117,FIND("/",P1117)+1)+1,LEN(P1117)-FIND("/",P1117,FIND("/",P1117)+1))))</f>
        <v/>
      </c>
      <c r="AH1117" s="7" t="str">
        <f aca="false">IF(OR(P1117="",AE1117=""),"",IFERROR(INDEX('لیست‌ها'!$Q$3:$Q$53,MATCH(AE1117,'لیست‌ها'!$P$3:$P$53,0))+IF(AF1117&lt;=6,(AF1117-1)*31+AG1117,IF(AF1117&lt;=11,186+(AF1117-7)*30+AG1117,336+AG1117))-1,""))</f>
        <v/>
      </c>
      <c r="AI1117" s="7" t="str">
        <f aca="false">IF(W1117="","",W1117&amp;"-"&amp;TEXT(X1117,"00"))</f>
        <v/>
      </c>
      <c r="AJ1117" s="7" t="str">
        <f aca="false">IF(W1117="","",W1117*12+X1117)</f>
        <v/>
      </c>
      <c r="AK1117" s="7" t="str">
        <f aca="false">IF(U1117="تاخیر",V1117+ROW()/100000,"")</f>
        <v/>
      </c>
    </row>
    <row r="1118" customFormat="false" ht="15" hidden="false" customHeight="false" outlineLevel="0" collapsed="false">
      <c r="A1118" s="7" t="str">
        <f aca="false">IF(B1118="","",ROW()-3)</f>
        <v/>
      </c>
      <c r="B1118" s="8"/>
      <c r="C1118" s="8"/>
      <c r="D1118" s="8"/>
      <c r="E1118" s="9"/>
      <c r="F1118" s="9"/>
      <c r="G1118" s="8"/>
      <c r="H1118" s="8"/>
      <c r="I1118" s="8"/>
      <c r="J1118" s="9"/>
      <c r="K1118" s="8"/>
      <c r="L1118" s="8"/>
      <c r="M1118" s="8"/>
      <c r="N1118" s="8"/>
      <c r="O1118" s="8"/>
      <c r="P1118" s="8"/>
      <c r="Q1118" s="8"/>
      <c r="R1118" s="9"/>
      <c r="S1118" s="8"/>
      <c r="T1118" s="9"/>
      <c r="U1118" s="10" t="str">
        <f aca="true">IF(B1118="","",IF(OR(P1118&lt;&gt;"",I1118="می‌باشد"),"بسته",IF(AND(L1118&lt;&gt;"",W1118=""),"خطای فرمت تاریخ ایجاد",IF(AND(H1118&lt;&gt;"",AA1118=""),"خطای فرمت مهلت",IF(AND(H1118&lt;&gt;"",AD1118&lt;&gt;"",TODAY()&gt;AD1118),"تاخیر",IF(L1118&lt;&gt;"","در حال انجام",""))))))</f>
        <v/>
      </c>
      <c r="V1118" s="7" t="n">
        <f aca="true">IF(U1118="تاخیر",TODAY()-AD1118,IF(AND(U1118="بسته",AH1118&lt;&gt;"",AD1118&lt;&gt;"",AH1118&gt;AD1118),AH1118-AD1118,0))</f>
        <v>0</v>
      </c>
      <c r="W1118" s="7" t="str">
        <f aca="false">IF(L1118="","",VALUE(LEFT(L1118,FIND("/",L1118)-1)))</f>
        <v/>
      </c>
      <c r="X1118" s="7" t="str">
        <f aca="false">IF(L1118="","",VALUE(MID(L1118,FIND("/",L1118)+1,FIND("/",L1118,FIND("/",L1118)+1)-FIND("/",L1118)-1)))</f>
        <v/>
      </c>
      <c r="Y1118" s="7" t="str">
        <f aca="false">IF(L1118="","",VALUE(MID(L1118,FIND("/",L1118,FIND("/",L1118)+1)+1,LEN(L1118)-FIND("/",L1118,FIND("/",L1118)+1))))</f>
        <v/>
      </c>
      <c r="Z1118" s="7" t="str">
        <f aca="false">IF(OR(L1118="",W1118=""),"",IFERROR(INDEX('لیست‌ها'!$Q$3:$Q$53,MATCH(W1118,'لیست‌ها'!$P$3:$P$53,0))+IF(X1118&lt;=6,(X1118-1)*31+Y1118,IF(X1118&lt;=11,186+(X1118-7)*30+Y1118,336+Y1118))-1,""))</f>
        <v/>
      </c>
      <c r="AA1118" s="7" t="str">
        <f aca="false">IF(H1118="","",VALUE(LEFT(H1118,FIND("/",H1118)-1)))</f>
        <v/>
      </c>
      <c r="AB1118" s="7" t="str">
        <f aca="false">IF(H1118="","",VALUE(MID(H1118,FIND("/",H1118)+1,FIND("/",H1118,FIND("/",H1118)+1)-FIND("/",H1118)-1)))</f>
        <v/>
      </c>
      <c r="AC1118" s="7" t="str">
        <f aca="false">IF(H1118="","",VALUE(MID(H1118,FIND("/",H1118,FIND("/",H1118)+1)+1,LEN(H1118)-FIND("/",H1118,FIND("/",H1118)+1))))</f>
        <v/>
      </c>
      <c r="AD1118" s="7" t="str">
        <f aca="false">IF(OR(H1118="",AA1118=""),"",IFERROR(INDEX('لیست‌ها'!$Q$3:$Q$53,MATCH(AA1118,'لیست‌ها'!$P$3:$P$53,0))+IF(AB1118&lt;=6,(AB1118-1)*31+AC1118,IF(AB1118&lt;=11,186+(AB1118-7)*30+AC1118,336+AC1118))-1,""))</f>
        <v/>
      </c>
      <c r="AE1118" s="7" t="str">
        <f aca="false">IF(P1118="","",VALUE(LEFT(P1118,FIND("/",P1118)-1)))</f>
        <v/>
      </c>
      <c r="AF1118" s="7" t="str">
        <f aca="false">IF(P1118="","",VALUE(MID(P1118,FIND("/",P1118)+1,FIND("/",P1118,FIND("/",P1118)+1)-FIND("/",P1118)-1)))</f>
        <v/>
      </c>
      <c r="AG1118" s="7" t="str">
        <f aca="false">IF(P1118="","",VALUE(MID(P1118,FIND("/",P1118,FIND("/",P1118)+1)+1,LEN(P1118)-FIND("/",P1118,FIND("/",P1118)+1))))</f>
        <v/>
      </c>
      <c r="AH1118" s="7" t="str">
        <f aca="false">IF(OR(P1118="",AE1118=""),"",IFERROR(INDEX('لیست‌ها'!$Q$3:$Q$53,MATCH(AE1118,'لیست‌ها'!$P$3:$P$53,0))+IF(AF1118&lt;=6,(AF1118-1)*31+AG1118,IF(AF1118&lt;=11,186+(AF1118-7)*30+AG1118,336+AG1118))-1,""))</f>
        <v/>
      </c>
      <c r="AI1118" s="7" t="str">
        <f aca="false">IF(W1118="","",W1118&amp;"-"&amp;TEXT(X1118,"00"))</f>
        <v/>
      </c>
      <c r="AJ1118" s="7" t="str">
        <f aca="false">IF(W1118="","",W1118*12+X1118)</f>
        <v/>
      </c>
      <c r="AK1118" s="7" t="str">
        <f aca="false">IF(U1118="تاخیر",V1118+ROW()/100000,"")</f>
        <v/>
      </c>
    </row>
    <row r="1119" customFormat="false" ht="15" hidden="false" customHeight="false" outlineLevel="0" collapsed="false">
      <c r="A1119" s="7" t="str">
        <f aca="false">IF(B1119="","",ROW()-3)</f>
        <v/>
      </c>
      <c r="B1119" s="8"/>
      <c r="C1119" s="8"/>
      <c r="D1119" s="8"/>
      <c r="E1119" s="9"/>
      <c r="F1119" s="9"/>
      <c r="G1119" s="8"/>
      <c r="H1119" s="8"/>
      <c r="I1119" s="8"/>
      <c r="J1119" s="9"/>
      <c r="K1119" s="8"/>
      <c r="L1119" s="8"/>
      <c r="M1119" s="8"/>
      <c r="N1119" s="8"/>
      <c r="O1119" s="8"/>
      <c r="P1119" s="8"/>
      <c r="Q1119" s="8"/>
      <c r="R1119" s="9"/>
      <c r="S1119" s="8"/>
      <c r="T1119" s="9"/>
      <c r="U1119" s="10" t="str">
        <f aca="true">IF(B1119="","",IF(OR(P1119&lt;&gt;"",I1119="می‌باشد"),"بسته",IF(AND(L1119&lt;&gt;"",W1119=""),"خطای فرمت تاریخ ایجاد",IF(AND(H1119&lt;&gt;"",AA1119=""),"خطای فرمت مهلت",IF(AND(H1119&lt;&gt;"",AD1119&lt;&gt;"",TODAY()&gt;AD1119),"تاخیر",IF(L1119&lt;&gt;"","در حال انجام",""))))))</f>
        <v/>
      </c>
      <c r="V1119" s="7" t="n">
        <f aca="true">IF(U1119="تاخیر",TODAY()-AD1119,IF(AND(U1119="بسته",AH1119&lt;&gt;"",AD1119&lt;&gt;"",AH1119&gt;AD1119),AH1119-AD1119,0))</f>
        <v>0</v>
      </c>
      <c r="W1119" s="7" t="str">
        <f aca="false">IF(L1119="","",VALUE(LEFT(L1119,FIND("/",L1119)-1)))</f>
        <v/>
      </c>
      <c r="X1119" s="7" t="str">
        <f aca="false">IF(L1119="","",VALUE(MID(L1119,FIND("/",L1119)+1,FIND("/",L1119,FIND("/",L1119)+1)-FIND("/",L1119)-1)))</f>
        <v/>
      </c>
      <c r="Y1119" s="7" t="str">
        <f aca="false">IF(L1119="","",VALUE(MID(L1119,FIND("/",L1119,FIND("/",L1119)+1)+1,LEN(L1119)-FIND("/",L1119,FIND("/",L1119)+1))))</f>
        <v/>
      </c>
      <c r="Z1119" s="7" t="str">
        <f aca="false">IF(OR(L1119="",W1119=""),"",IFERROR(INDEX('لیست‌ها'!$Q$3:$Q$53,MATCH(W1119,'لیست‌ها'!$P$3:$P$53,0))+IF(X1119&lt;=6,(X1119-1)*31+Y1119,IF(X1119&lt;=11,186+(X1119-7)*30+Y1119,336+Y1119))-1,""))</f>
        <v/>
      </c>
      <c r="AA1119" s="7" t="str">
        <f aca="false">IF(H1119="","",VALUE(LEFT(H1119,FIND("/",H1119)-1)))</f>
        <v/>
      </c>
      <c r="AB1119" s="7" t="str">
        <f aca="false">IF(H1119="","",VALUE(MID(H1119,FIND("/",H1119)+1,FIND("/",H1119,FIND("/",H1119)+1)-FIND("/",H1119)-1)))</f>
        <v/>
      </c>
      <c r="AC1119" s="7" t="str">
        <f aca="false">IF(H1119="","",VALUE(MID(H1119,FIND("/",H1119,FIND("/",H1119)+1)+1,LEN(H1119)-FIND("/",H1119,FIND("/",H1119)+1))))</f>
        <v/>
      </c>
      <c r="AD1119" s="7" t="str">
        <f aca="false">IF(OR(H1119="",AA1119=""),"",IFERROR(INDEX('لیست‌ها'!$Q$3:$Q$53,MATCH(AA1119,'لیست‌ها'!$P$3:$P$53,0))+IF(AB1119&lt;=6,(AB1119-1)*31+AC1119,IF(AB1119&lt;=11,186+(AB1119-7)*30+AC1119,336+AC1119))-1,""))</f>
        <v/>
      </c>
      <c r="AE1119" s="7" t="str">
        <f aca="false">IF(P1119="","",VALUE(LEFT(P1119,FIND("/",P1119)-1)))</f>
        <v/>
      </c>
      <c r="AF1119" s="7" t="str">
        <f aca="false">IF(P1119="","",VALUE(MID(P1119,FIND("/",P1119)+1,FIND("/",P1119,FIND("/",P1119)+1)-FIND("/",P1119)-1)))</f>
        <v/>
      </c>
      <c r="AG1119" s="7" t="str">
        <f aca="false">IF(P1119="","",VALUE(MID(P1119,FIND("/",P1119,FIND("/",P1119)+1)+1,LEN(P1119)-FIND("/",P1119,FIND("/",P1119)+1))))</f>
        <v/>
      </c>
      <c r="AH1119" s="7" t="str">
        <f aca="false">IF(OR(P1119="",AE1119=""),"",IFERROR(INDEX('لیست‌ها'!$Q$3:$Q$53,MATCH(AE1119,'لیست‌ها'!$P$3:$P$53,0))+IF(AF1119&lt;=6,(AF1119-1)*31+AG1119,IF(AF1119&lt;=11,186+(AF1119-7)*30+AG1119,336+AG1119))-1,""))</f>
        <v/>
      </c>
      <c r="AI1119" s="7" t="str">
        <f aca="false">IF(W1119="","",W1119&amp;"-"&amp;TEXT(X1119,"00"))</f>
        <v/>
      </c>
      <c r="AJ1119" s="7" t="str">
        <f aca="false">IF(W1119="","",W1119*12+X1119)</f>
        <v/>
      </c>
      <c r="AK1119" s="7" t="str">
        <f aca="false">IF(U1119="تاخیر",V1119+ROW()/100000,"")</f>
        <v/>
      </c>
    </row>
    <row r="1120" customFormat="false" ht="15" hidden="false" customHeight="false" outlineLevel="0" collapsed="false">
      <c r="A1120" s="7" t="str">
        <f aca="false">IF(B1120="","",ROW()-3)</f>
        <v/>
      </c>
      <c r="B1120" s="8"/>
      <c r="C1120" s="8"/>
      <c r="D1120" s="8"/>
      <c r="E1120" s="9"/>
      <c r="F1120" s="9"/>
      <c r="G1120" s="8"/>
      <c r="H1120" s="8"/>
      <c r="I1120" s="8"/>
      <c r="J1120" s="9"/>
      <c r="K1120" s="8"/>
      <c r="L1120" s="8"/>
      <c r="M1120" s="8"/>
      <c r="N1120" s="8"/>
      <c r="O1120" s="8"/>
      <c r="P1120" s="8"/>
      <c r="Q1120" s="8"/>
      <c r="R1120" s="9"/>
      <c r="S1120" s="8"/>
      <c r="T1120" s="9"/>
      <c r="U1120" s="10" t="str">
        <f aca="true">IF(B1120="","",IF(OR(P1120&lt;&gt;"",I1120="می‌باشد"),"بسته",IF(AND(L1120&lt;&gt;"",W1120=""),"خطای فرمت تاریخ ایجاد",IF(AND(H1120&lt;&gt;"",AA1120=""),"خطای فرمت مهلت",IF(AND(H1120&lt;&gt;"",AD1120&lt;&gt;"",TODAY()&gt;AD1120),"تاخیر",IF(L1120&lt;&gt;"","در حال انجام",""))))))</f>
        <v/>
      </c>
      <c r="V1120" s="7" t="n">
        <f aca="true">IF(U1120="تاخیر",TODAY()-AD1120,IF(AND(U1120="بسته",AH1120&lt;&gt;"",AD1120&lt;&gt;"",AH1120&gt;AD1120),AH1120-AD1120,0))</f>
        <v>0</v>
      </c>
      <c r="W1120" s="7" t="str">
        <f aca="false">IF(L1120="","",VALUE(LEFT(L1120,FIND("/",L1120)-1)))</f>
        <v/>
      </c>
      <c r="X1120" s="7" t="str">
        <f aca="false">IF(L1120="","",VALUE(MID(L1120,FIND("/",L1120)+1,FIND("/",L1120,FIND("/",L1120)+1)-FIND("/",L1120)-1)))</f>
        <v/>
      </c>
      <c r="Y1120" s="7" t="str">
        <f aca="false">IF(L1120="","",VALUE(MID(L1120,FIND("/",L1120,FIND("/",L1120)+1)+1,LEN(L1120)-FIND("/",L1120,FIND("/",L1120)+1))))</f>
        <v/>
      </c>
      <c r="Z1120" s="7" t="str">
        <f aca="false">IF(OR(L1120="",W1120=""),"",IFERROR(INDEX('لیست‌ها'!$Q$3:$Q$53,MATCH(W1120,'لیست‌ها'!$P$3:$P$53,0))+IF(X1120&lt;=6,(X1120-1)*31+Y1120,IF(X1120&lt;=11,186+(X1120-7)*30+Y1120,336+Y1120))-1,""))</f>
        <v/>
      </c>
      <c r="AA1120" s="7" t="str">
        <f aca="false">IF(H1120="","",VALUE(LEFT(H1120,FIND("/",H1120)-1)))</f>
        <v/>
      </c>
      <c r="AB1120" s="7" t="str">
        <f aca="false">IF(H1120="","",VALUE(MID(H1120,FIND("/",H1120)+1,FIND("/",H1120,FIND("/",H1120)+1)-FIND("/",H1120)-1)))</f>
        <v/>
      </c>
      <c r="AC1120" s="7" t="str">
        <f aca="false">IF(H1120="","",VALUE(MID(H1120,FIND("/",H1120,FIND("/",H1120)+1)+1,LEN(H1120)-FIND("/",H1120,FIND("/",H1120)+1))))</f>
        <v/>
      </c>
      <c r="AD1120" s="7" t="str">
        <f aca="false">IF(OR(H1120="",AA1120=""),"",IFERROR(INDEX('لیست‌ها'!$Q$3:$Q$53,MATCH(AA1120,'لیست‌ها'!$P$3:$P$53,0))+IF(AB1120&lt;=6,(AB1120-1)*31+AC1120,IF(AB1120&lt;=11,186+(AB1120-7)*30+AC1120,336+AC1120))-1,""))</f>
        <v/>
      </c>
      <c r="AE1120" s="7" t="str">
        <f aca="false">IF(P1120="","",VALUE(LEFT(P1120,FIND("/",P1120)-1)))</f>
        <v/>
      </c>
      <c r="AF1120" s="7" t="str">
        <f aca="false">IF(P1120="","",VALUE(MID(P1120,FIND("/",P1120)+1,FIND("/",P1120,FIND("/",P1120)+1)-FIND("/",P1120)-1)))</f>
        <v/>
      </c>
      <c r="AG1120" s="7" t="str">
        <f aca="false">IF(P1120="","",VALUE(MID(P1120,FIND("/",P1120,FIND("/",P1120)+1)+1,LEN(P1120)-FIND("/",P1120,FIND("/",P1120)+1))))</f>
        <v/>
      </c>
      <c r="AH1120" s="7" t="str">
        <f aca="false">IF(OR(P1120="",AE1120=""),"",IFERROR(INDEX('لیست‌ها'!$Q$3:$Q$53,MATCH(AE1120,'لیست‌ها'!$P$3:$P$53,0))+IF(AF1120&lt;=6,(AF1120-1)*31+AG1120,IF(AF1120&lt;=11,186+(AF1120-7)*30+AG1120,336+AG1120))-1,""))</f>
        <v/>
      </c>
      <c r="AI1120" s="7" t="str">
        <f aca="false">IF(W1120="","",W1120&amp;"-"&amp;TEXT(X1120,"00"))</f>
        <v/>
      </c>
      <c r="AJ1120" s="7" t="str">
        <f aca="false">IF(W1120="","",W1120*12+X1120)</f>
        <v/>
      </c>
      <c r="AK1120" s="7" t="str">
        <f aca="false">IF(U1120="تاخیر",V1120+ROW()/100000,"")</f>
        <v/>
      </c>
    </row>
    <row r="1121" customFormat="false" ht="15" hidden="false" customHeight="false" outlineLevel="0" collapsed="false">
      <c r="A1121" s="7" t="str">
        <f aca="false">IF(B1121="","",ROW()-3)</f>
        <v/>
      </c>
      <c r="B1121" s="8"/>
      <c r="C1121" s="8"/>
      <c r="D1121" s="8"/>
      <c r="E1121" s="9"/>
      <c r="F1121" s="9"/>
      <c r="G1121" s="8"/>
      <c r="H1121" s="8"/>
      <c r="I1121" s="8"/>
      <c r="J1121" s="9"/>
      <c r="K1121" s="8"/>
      <c r="L1121" s="8"/>
      <c r="M1121" s="8"/>
      <c r="N1121" s="8"/>
      <c r="O1121" s="8"/>
      <c r="P1121" s="8"/>
      <c r="Q1121" s="8"/>
      <c r="R1121" s="9"/>
      <c r="S1121" s="8"/>
      <c r="T1121" s="9"/>
      <c r="U1121" s="10" t="str">
        <f aca="true">IF(B1121="","",IF(OR(P1121&lt;&gt;"",I1121="می‌باشد"),"بسته",IF(AND(L1121&lt;&gt;"",W1121=""),"خطای فرمت تاریخ ایجاد",IF(AND(H1121&lt;&gt;"",AA1121=""),"خطای فرمت مهلت",IF(AND(H1121&lt;&gt;"",AD1121&lt;&gt;"",TODAY()&gt;AD1121),"تاخیر",IF(L1121&lt;&gt;"","در حال انجام",""))))))</f>
        <v/>
      </c>
      <c r="V1121" s="7" t="n">
        <f aca="true">IF(U1121="تاخیر",TODAY()-AD1121,IF(AND(U1121="بسته",AH1121&lt;&gt;"",AD1121&lt;&gt;"",AH1121&gt;AD1121),AH1121-AD1121,0))</f>
        <v>0</v>
      </c>
      <c r="W1121" s="7" t="str">
        <f aca="false">IF(L1121="","",VALUE(LEFT(L1121,FIND("/",L1121)-1)))</f>
        <v/>
      </c>
      <c r="X1121" s="7" t="str">
        <f aca="false">IF(L1121="","",VALUE(MID(L1121,FIND("/",L1121)+1,FIND("/",L1121,FIND("/",L1121)+1)-FIND("/",L1121)-1)))</f>
        <v/>
      </c>
      <c r="Y1121" s="7" t="str">
        <f aca="false">IF(L1121="","",VALUE(MID(L1121,FIND("/",L1121,FIND("/",L1121)+1)+1,LEN(L1121)-FIND("/",L1121,FIND("/",L1121)+1))))</f>
        <v/>
      </c>
      <c r="Z1121" s="7" t="str">
        <f aca="false">IF(OR(L1121="",W1121=""),"",IFERROR(INDEX('لیست‌ها'!$Q$3:$Q$53,MATCH(W1121,'لیست‌ها'!$P$3:$P$53,0))+IF(X1121&lt;=6,(X1121-1)*31+Y1121,IF(X1121&lt;=11,186+(X1121-7)*30+Y1121,336+Y1121))-1,""))</f>
        <v/>
      </c>
      <c r="AA1121" s="7" t="str">
        <f aca="false">IF(H1121="","",VALUE(LEFT(H1121,FIND("/",H1121)-1)))</f>
        <v/>
      </c>
      <c r="AB1121" s="7" t="str">
        <f aca="false">IF(H1121="","",VALUE(MID(H1121,FIND("/",H1121)+1,FIND("/",H1121,FIND("/",H1121)+1)-FIND("/",H1121)-1)))</f>
        <v/>
      </c>
      <c r="AC1121" s="7" t="str">
        <f aca="false">IF(H1121="","",VALUE(MID(H1121,FIND("/",H1121,FIND("/",H1121)+1)+1,LEN(H1121)-FIND("/",H1121,FIND("/",H1121)+1))))</f>
        <v/>
      </c>
      <c r="AD1121" s="7" t="str">
        <f aca="false">IF(OR(H1121="",AA1121=""),"",IFERROR(INDEX('لیست‌ها'!$Q$3:$Q$53,MATCH(AA1121,'لیست‌ها'!$P$3:$P$53,0))+IF(AB1121&lt;=6,(AB1121-1)*31+AC1121,IF(AB1121&lt;=11,186+(AB1121-7)*30+AC1121,336+AC1121))-1,""))</f>
        <v/>
      </c>
      <c r="AE1121" s="7" t="str">
        <f aca="false">IF(P1121="","",VALUE(LEFT(P1121,FIND("/",P1121)-1)))</f>
        <v/>
      </c>
      <c r="AF1121" s="7" t="str">
        <f aca="false">IF(P1121="","",VALUE(MID(P1121,FIND("/",P1121)+1,FIND("/",P1121,FIND("/",P1121)+1)-FIND("/",P1121)-1)))</f>
        <v/>
      </c>
      <c r="AG1121" s="7" t="str">
        <f aca="false">IF(P1121="","",VALUE(MID(P1121,FIND("/",P1121,FIND("/",P1121)+1)+1,LEN(P1121)-FIND("/",P1121,FIND("/",P1121)+1))))</f>
        <v/>
      </c>
      <c r="AH1121" s="7" t="str">
        <f aca="false">IF(OR(P1121="",AE1121=""),"",IFERROR(INDEX('لیست‌ها'!$Q$3:$Q$53,MATCH(AE1121,'لیست‌ها'!$P$3:$P$53,0))+IF(AF1121&lt;=6,(AF1121-1)*31+AG1121,IF(AF1121&lt;=11,186+(AF1121-7)*30+AG1121,336+AG1121))-1,""))</f>
        <v/>
      </c>
      <c r="AI1121" s="7" t="str">
        <f aca="false">IF(W1121="","",W1121&amp;"-"&amp;TEXT(X1121,"00"))</f>
        <v/>
      </c>
      <c r="AJ1121" s="7" t="str">
        <f aca="false">IF(W1121="","",W1121*12+X1121)</f>
        <v/>
      </c>
      <c r="AK1121" s="7" t="str">
        <f aca="false">IF(U1121="تاخیر",V1121+ROW()/100000,"")</f>
        <v/>
      </c>
    </row>
    <row r="1122" customFormat="false" ht="15" hidden="false" customHeight="false" outlineLevel="0" collapsed="false">
      <c r="A1122" s="7" t="str">
        <f aca="false">IF(B1122="","",ROW()-3)</f>
        <v/>
      </c>
      <c r="B1122" s="8"/>
      <c r="C1122" s="8"/>
      <c r="D1122" s="8"/>
      <c r="E1122" s="9"/>
      <c r="F1122" s="9"/>
      <c r="G1122" s="8"/>
      <c r="H1122" s="8"/>
      <c r="I1122" s="8"/>
      <c r="J1122" s="9"/>
      <c r="K1122" s="8"/>
      <c r="L1122" s="8"/>
      <c r="M1122" s="8"/>
      <c r="N1122" s="8"/>
      <c r="O1122" s="8"/>
      <c r="P1122" s="8"/>
      <c r="Q1122" s="8"/>
      <c r="R1122" s="9"/>
      <c r="S1122" s="8"/>
      <c r="T1122" s="9"/>
      <c r="U1122" s="10" t="str">
        <f aca="true">IF(B1122="","",IF(OR(P1122&lt;&gt;"",I1122="می‌باشد"),"بسته",IF(AND(L1122&lt;&gt;"",W1122=""),"خطای فرمت تاریخ ایجاد",IF(AND(H1122&lt;&gt;"",AA1122=""),"خطای فرمت مهلت",IF(AND(H1122&lt;&gt;"",AD1122&lt;&gt;"",TODAY()&gt;AD1122),"تاخیر",IF(L1122&lt;&gt;"","در حال انجام",""))))))</f>
        <v/>
      </c>
      <c r="V1122" s="7" t="n">
        <f aca="true">IF(U1122="تاخیر",TODAY()-AD1122,IF(AND(U1122="بسته",AH1122&lt;&gt;"",AD1122&lt;&gt;"",AH1122&gt;AD1122),AH1122-AD1122,0))</f>
        <v>0</v>
      </c>
      <c r="W1122" s="7" t="str">
        <f aca="false">IF(L1122="","",VALUE(LEFT(L1122,FIND("/",L1122)-1)))</f>
        <v/>
      </c>
      <c r="X1122" s="7" t="str">
        <f aca="false">IF(L1122="","",VALUE(MID(L1122,FIND("/",L1122)+1,FIND("/",L1122,FIND("/",L1122)+1)-FIND("/",L1122)-1)))</f>
        <v/>
      </c>
      <c r="Y1122" s="7" t="str">
        <f aca="false">IF(L1122="","",VALUE(MID(L1122,FIND("/",L1122,FIND("/",L1122)+1)+1,LEN(L1122)-FIND("/",L1122,FIND("/",L1122)+1))))</f>
        <v/>
      </c>
      <c r="Z1122" s="7" t="str">
        <f aca="false">IF(OR(L1122="",W1122=""),"",IFERROR(INDEX('لیست‌ها'!$Q$3:$Q$53,MATCH(W1122,'لیست‌ها'!$P$3:$P$53,0))+IF(X1122&lt;=6,(X1122-1)*31+Y1122,IF(X1122&lt;=11,186+(X1122-7)*30+Y1122,336+Y1122))-1,""))</f>
        <v/>
      </c>
      <c r="AA1122" s="7" t="str">
        <f aca="false">IF(H1122="","",VALUE(LEFT(H1122,FIND("/",H1122)-1)))</f>
        <v/>
      </c>
      <c r="AB1122" s="7" t="str">
        <f aca="false">IF(H1122="","",VALUE(MID(H1122,FIND("/",H1122)+1,FIND("/",H1122,FIND("/",H1122)+1)-FIND("/",H1122)-1)))</f>
        <v/>
      </c>
      <c r="AC1122" s="7" t="str">
        <f aca="false">IF(H1122="","",VALUE(MID(H1122,FIND("/",H1122,FIND("/",H1122)+1)+1,LEN(H1122)-FIND("/",H1122,FIND("/",H1122)+1))))</f>
        <v/>
      </c>
      <c r="AD1122" s="7" t="str">
        <f aca="false">IF(OR(H1122="",AA1122=""),"",IFERROR(INDEX('لیست‌ها'!$Q$3:$Q$53,MATCH(AA1122,'لیست‌ها'!$P$3:$P$53,0))+IF(AB1122&lt;=6,(AB1122-1)*31+AC1122,IF(AB1122&lt;=11,186+(AB1122-7)*30+AC1122,336+AC1122))-1,""))</f>
        <v/>
      </c>
      <c r="AE1122" s="7" t="str">
        <f aca="false">IF(P1122="","",VALUE(LEFT(P1122,FIND("/",P1122)-1)))</f>
        <v/>
      </c>
      <c r="AF1122" s="7" t="str">
        <f aca="false">IF(P1122="","",VALUE(MID(P1122,FIND("/",P1122)+1,FIND("/",P1122,FIND("/",P1122)+1)-FIND("/",P1122)-1)))</f>
        <v/>
      </c>
      <c r="AG1122" s="7" t="str">
        <f aca="false">IF(P1122="","",VALUE(MID(P1122,FIND("/",P1122,FIND("/",P1122)+1)+1,LEN(P1122)-FIND("/",P1122,FIND("/",P1122)+1))))</f>
        <v/>
      </c>
      <c r="AH1122" s="7" t="str">
        <f aca="false">IF(OR(P1122="",AE1122=""),"",IFERROR(INDEX('لیست‌ها'!$Q$3:$Q$53,MATCH(AE1122,'لیست‌ها'!$P$3:$P$53,0))+IF(AF1122&lt;=6,(AF1122-1)*31+AG1122,IF(AF1122&lt;=11,186+(AF1122-7)*30+AG1122,336+AG1122))-1,""))</f>
        <v/>
      </c>
      <c r="AI1122" s="7" t="str">
        <f aca="false">IF(W1122="","",W1122&amp;"-"&amp;TEXT(X1122,"00"))</f>
        <v/>
      </c>
      <c r="AJ1122" s="7" t="str">
        <f aca="false">IF(W1122="","",W1122*12+X1122)</f>
        <v/>
      </c>
      <c r="AK1122" s="7" t="str">
        <f aca="false">IF(U1122="تاخیر",V1122+ROW()/100000,"")</f>
        <v/>
      </c>
    </row>
    <row r="1123" customFormat="false" ht="15" hidden="false" customHeight="false" outlineLevel="0" collapsed="false">
      <c r="A1123" s="7" t="str">
        <f aca="false">IF(B1123="","",ROW()-3)</f>
        <v/>
      </c>
      <c r="B1123" s="8"/>
      <c r="C1123" s="8"/>
      <c r="D1123" s="8"/>
      <c r="E1123" s="9"/>
      <c r="F1123" s="9"/>
      <c r="G1123" s="8"/>
      <c r="H1123" s="8"/>
      <c r="I1123" s="8"/>
      <c r="J1123" s="9"/>
      <c r="K1123" s="8"/>
      <c r="L1123" s="8"/>
      <c r="M1123" s="8"/>
      <c r="N1123" s="8"/>
      <c r="O1123" s="8"/>
      <c r="P1123" s="8"/>
      <c r="Q1123" s="8"/>
      <c r="R1123" s="9"/>
      <c r="S1123" s="8"/>
      <c r="T1123" s="9"/>
      <c r="U1123" s="10" t="str">
        <f aca="true">IF(B1123="","",IF(OR(P1123&lt;&gt;"",I1123="می‌باشد"),"بسته",IF(AND(L1123&lt;&gt;"",W1123=""),"خطای فرمت تاریخ ایجاد",IF(AND(H1123&lt;&gt;"",AA1123=""),"خطای فرمت مهلت",IF(AND(H1123&lt;&gt;"",AD1123&lt;&gt;"",TODAY()&gt;AD1123),"تاخیر",IF(L1123&lt;&gt;"","در حال انجام",""))))))</f>
        <v/>
      </c>
      <c r="V1123" s="7" t="n">
        <f aca="true">IF(U1123="تاخیر",TODAY()-AD1123,IF(AND(U1123="بسته",AH1123&lt;&gt;"",AD1123&lt;&gt;"",AH1123&gt;AD1123),AH1123-AD1123,0))</f>
        <v>0</v>
      </c>
      <c r="W1123" s="7" t="str">
        <f aca="false">IF(L1123="","",VALUE(LEFT(L1123,FIND("/",L1123)-1)))</f>
        <v/>
      </c>
      <c r="X1123" s="7" t="str">
        <f aca="false">IF(L1123="","",VALUE(MID(L1123,FIND("/",L1123)+1,FIND("/",L1123,FIND("/",L1123)+1)-FIND("/",L1123)-1)))</f>
        <v/>
      </c>
      <c r="Y1123" s="7" t="str">
        <f aca="false">IF(L1123="","",VALUE(MID(L1123,FIND("/",L1123,FIND("/",L1123)+1)+1,LEN(L1123)-FIND("/",L1123,FIND("/",L1123)+1))))</f>
        <v/>
      </c>
      <c r="Z1123" s="7" t="str">
        <f aca="false">IF(OR(L1123="",W1123=""),"",IFERROR(INDEX('لیست‌ها'!$Q$3:$Q$53,MATCH(W1123,'لیست‌ها'!$P$3:$P$53,0))+IF(X1123&lt;=6,(X1123-1)*31+Y1123,IF(X1123&lt;=11,186+(X1123-7)*30+Y1123,336+Y1123))-1,""))</f>
        <v/>
      </c>
      <c r="AA1123" s="7" t="str">
        <f aca="false">IF(H1123="","",VALUE(LEFT(H1123,FIND("/",H1123)-1)))</f>
        <v/>
      </c>
      <c r="AB1123" s="7" t="str">
        <f aca="false">IF(H1123="","",VALUE(MID(H1123,FIND("/",H1123)+1,FIND("/",H1123,FIND("/",H1123)+1)-FIND("/",H1123)-1)))</f>
        <v/>
      </c>
      <c r="AC1123" s="7" t="str">
        <f aca="false">IF(H1123="","",VALUE(MID(H1123,FIND("/",H1123,FIND("/",H1123)+1)+1,LEN(H1123)-FIND("/",H1123,FIND("/",H1123)+1))))</f>
        <v/>
      </c>
      <c r="AD1123" s="7" t="str">
        <f aca="false">IF(OR(H1123="",AA1123=""),"",IFERROR(INDEX('لیست‌ها'!$Q$3:$Q$53,MATCH(AA1123,'لیست‌ها'!$P$3:$P$53,0))+IF(AB1123&lt;=6,(AB1123-1)*31+AC1123,IF(AB1123&lt;=11,186+(AB1123-7)*30+AC1123,336+AC1123))-1,""))</f>
        <v/>
      </c>
      <c r="AE1123" s="7" t="str">
        <f aca="false">IF(P1123="","",VALUE(LEFT(P1123,FIND("/",P1123)-1)))</f>
        <v/>
      </c>
      <c r="AF1123" s="7" t="str">
        <f aca="false">IF(P1123="","",VALUE(MID(P1123,FIND("/",P1123)+1,FIND("/",P1123,FIND("/",P1123)+1)-FIND("/",P1123)-1)))</f>
        <v/>
      </c>
      <c r="AG1123" s="7" t="str">
        <f aca="false">IF(P1123="","",VALUE(MID(P1123,FIND("/",P1123,FIND("/",P1123)+1)+1,LEN(P1123)-FIND("/",P1123,FIND("/",P1123)+1))))</f>
        <v/>
      </c>
      <c r="AH1123" s="7" t="str">
        <f aca="false">IF(OR(P1123="",AE1123=""),"",IFERROR(INDEX('لیست‌ها'!$Q$3:$Q$53,MATCH(AE1123,'لیست‌ها'!$P$3:$P$53,0))+IF(AF1123&lt;=6,(AF1123-1)*31+AG1123,IF(AF1123&lt;=11,186+(AF1123-7)*30+AG1123,336+AG1123))-1,""))</f>
        <v/>
      </c>
      <c r="AI1123" s="7" t="str">
        <f aca="false">IF(W1123="","",W1123&amp;"-"&amp;TEXT(X1123,"00"))</f>
        <v/>
      </c>
      <c r="AJ1123" s="7" t="str">
        <f aca="false">IF(W1123="","",W1123*12+X1123)</f>
        <v/>
      </c>
      <c r="AK1123" s="7" t="str">
        <f aca="false">IF(U1123="تاخیر",V1123+ROW()/100000,"")</f>
        <v/>
      </c>
    </row>
    <row r="1124" customFormat="false" ht="15" hidden="false" customHeight="false" outlineLevel="0" collapsed="false">
      <c r="A1124" s="7" t="str">
        <f aca="false">IF(B1124="","",ROW()-3)</f>
        <v/>
      </c>
      <c r="B1124" s="8"/>
      <c r="C1124" s="8"/>
      <c r="D1124" s="8"/>
      <c r="E1124" s="9"/>
      <c r="F1124" s="9"/>
      <c r="G1124" s="8"/>
      <c r="H1124" s="8"/>
      <c r="I1124" s="8"/>
      <c r="J1124" s="9"/>
      <c r="K1124" s="8"/>
      <c r="L1124" s="8"/>
      <c r="M1124" s="8"/>
      <c r="N1124" s="8"/>
      <c r="O1124" s="8"/>
      <c r="P1124" s="8"/>
      <c r="Q1124" s="8"/>
      <c r="R1124" s="9"/>
      <c r="S1124" s="8"/>
      <c r="T1124" s="9"/>
      <c r="U1124" s="10" t="str">
        <f aca="true">IF(B1124="","",IF(OR(P1124&lt;&gt;"",I1124="می‌باشد"),"بسته",IF(AND(L1124&lt;&gt;"",W1124=""),"خطای فرمت تاریخ ایجاد",IF(AND(H1124&lt;&gt;"",AA1124=""),"خطای فرمت مهلت",IF(AND(H1124&lt;&gt;"",AD1124&lt;&gt;"",TODAY()&gt;AD1124),"تاخیر",IF(L1124&lt;&gt;"","در حال انجام",""))))))</f>
        <v/>
      </c>
      <c r="V1124" s="7" t="n">
        <f aca="true">IF(U1124="تاخیر",TODAY()-AD1124,IF(AND(U1124="بسته",AH1124&lt;&gt;"",AD1124&lt;&gt;"",AH1124&gt;AD1124),AH1124-AD1124,0))</f>
        <v>0</v>
      </c>
      <c r="W1124" s="7" t="str">
        <f aca="false">IF(L1124="","",VALUE(LEFT(L1124,FIND("/",L1124)-1)))</f>
        <v/>
      </c>
      <c r="X1124" s="7" t="str">
        <f aca="false">IF(L1124="","",VALUE(MID(L1124,FIND("/",L1124)+1,FIND("/",L1124,FIND("/",L1124)+1)-FIND("/",L1124)-1)))</f>
        <v/>
      </c>
      <c r="Y1124" s="7" t="str">
        <f aca="false">IF(L1124="","",VALUE(MID(L1124,FIND("/",L1124,FIND("/",L1124)+1)+1,LEN(L1124)-FIND("/",L1124,FIND("/",L1124)+1))))</f>
        <v/>
      </c>
      <c r="Z1124" s="7" t="str">
        <f aca="false">IF(OR(L1124="",W1124=""),"",IFERROR(INDEX('لیست‌ها'!$Q$3:$Q$53,MATCH(W1124,'لیست‌ها'!$P$3:$P$53,0))+IF(X1124&lt;=6,(X1124-1)*31+Y1124,IF(X1124&lt;=11,186+(X1124-7)*30+Y1124,336+Y1124))-1,""))</f>
        <v/>
      </c>
      <c r="AA1124" s="7" t="str">
        <f aca="false">IF(H1124="","",VALUE(LEFT(H1124,FIND("/",H1124)-1)))</f>
        <v/>
      </c>
      <c r="AB1124" s="7" t="str">
        <f aca="false">IF(H1124="","",VALUE(MID(H1124,FIND("/",H1124)+1,FIND("/",H1124,FIND("/",H1124)+1)-FIND("/",H1124)-1)))</f>
        <v/>
      </c>
      <c r="AC1124" s="7" t="str">
        <f aca="false">IF(H1124="","",VALUE(MID(H1124,FIND("/",H1124,FIND("/",H1124)+1)+1,LEN(H1124)-FIND("/",H1124,FIND("/",H1124)+1))))</f>
        <v/>
      </c>
      <c r="AD1124" s="7" t="str">
        <f aca="false">IF(OR(H1124="",AA1124=""),"",IFERROR(INDEX('لیست‌ها'!$Q$3:$Q$53,MATCH(AA1124,'لیست‌ها'!$P$3:$P$53,0))+IF(AB1124&lt;=6,(AB1124-1)*31+AC1124,IF(AB1124&lt;=11,186+(AB1124-7)*30+AC1124,336+AC1124))-1,""))</f>
        <v/>
      </c>
      <c r="AE1124" s="7" t="str">
        <f aca="false">IF(P1124="","",VALUE(LEFT(P1124,FIND("/",P1124)-1)))</f>
        <v/>
      </c>
      <c r="AF1124" s="7" t="str">
        <f aca="false">IF(P1124="","",VALUE(MID(P1124,FIND("/",P1124)+1,FIND("/",P1124,FIND("/",P1124)+1)-FIND("/",P1124)-1)))</f>
        <v/>
      </c>
      <c r="AG1124" s="7" t="str">
        <f aca="false">IF(P1124="","",VALUE(MID(P1124,FIND("/",P1124,FIND("/",P1124)+1)+1,LEN(P1124)-FIND("/",P1124,FIND("/",P1124)+1))))</f>
        <v/>
      </c>
      <c r="AH1124" s="7" t="str">
        <f aca="false">IF(OR(P1124="",AE1124=""),"",IFERROR(INDEX('لیست‌ها'!$Q$3:$Q$53,MATCH(AE1124,'لیست‌ها'!$P$3:$P$53,0))+IF(AF1124&lt;=6,(AF1124-1)*31+AG1124,IF(AF1124&lt;=11,186+(AF1124-7)*30+AG1124,336+AG1124))-1,""))</f>
        <v/>
      </c>
      <c r="AI1124" s="7" t="str">
        <f aca="false">IF(W1124="","",W1124&amp;"-"&amp;TEXT(X1124,"00"))</f>
        <v/>
      </c>
      <c r="AJ1124" s="7" t="str">
        <f aca="false">IF(W1124="","",W1124*12+X1124)</f>
        <v/>
      </c>
      <c r="AK1124" s="7" t="str">
        <f aca="false">IF(U1124="تاخیر",V1124+ROW()/100000,"")</f>
        <v/>
      </c>
    </row>
    <row r="1125" customFormat="false" ht="15" hidden="false" customHeight="false" outlineLevel="0" collapsed="false">
      <c r="A1125" s="7" t="str">
        <f aca="false">IF(B1125="","",ROW()-3)</f>
        <v/>
      </c>
      <c r="B1125" s="8"/>
      <c r="C1125" s="8"/>
      <c r="D1125" s="8"/>
      <c r="E1125" s="9"/>
      <c r="F1125" s="9"/>
      <c r="G1125" s="8"/>
      <c r="H1125" s="8"/>
      <c r="I1125" s="8"/>
      <c r="J1125" s="9"/>
      <c r="K1125" s="8"/>
      <c r="L1125" s="8"/>
      <c r="M1125" s="8"/>
      <c r="N1125" s="8"/>
      <c r="O1125" s="8"/>
      <c r="P1125" s="8"/>
      <c r="Q1125" s="8"/>
      <c r="R1125" s="9"/>
      <c r="S1125" s="8"/>
      <c r="T1125" s="9"/>
      <c r="U1125" s="10" t="str">
        <f aca="true">IF(B1125="","",IF(OR(P1125&lt;&gt;"",I1125="می‌باشد"),"بسته",IF(AND(L1125&lt;&gt;"",W1125=""),"خطای فرمت تاریخ ایجاد",IF(AND(H1125&lt;&gt;"",AA1125=""),"خطای فرمت مهلت",IF(AND(H1125&lt;&gt;"",AD1125&lt;&gt;"",TODAY()&gt;AD1125),"تاخیر",IF(L1125&lt;&gt;"","در حال انجام",""))))))</f>
        <v/>
      </c>
      <c r="V1125" s="7" t="n">
        <f aca="true">IF(U1125="تاخیر",TODAY()-AD1125,IF(AND(U1125="بسته",AH1125&lt;&gt;"",AD1125&lt;&gt;"",AH1125&gt;AD1125),AH1125-AD1125,0))</f>
        <v>0</v>
      </c>
      <c r="W1125" s="7" t="str">
        <f aca="false">IF(L1125="","",VALUE(LEFT(L1125,FIND("/",L1125)-1)))</f>
        <v/>
      </c>
      <c r="X1125" s="7" t="str">
        <f aca="false">IF(L1125="","",VALUE(MID(L1125,FIND("/",L1125)+1,FIND("/",L1125,FIND("/",L1125)+1)-FIND("/",L1125)-1)))</f>
        <v/>
      </c>
      <c r="Y1125" s="7" t="str">
        <f aca="false">IF(L1125="","",VALUE(MID(L1125,FIND("/",L1125,FIND("/",L1125)+1)+1,LEN(L1125)-FIND("/",L1125,FIND("/",L1125)+1))))</f>
        <v/>
      </c>
      <c r="Z1125" s="7" t="str">
        <f aca="false">IF(OR(L1125="",W1125=""),"",IFERROR(INDEX('لیست‌ها'!$Q$3:$Q$53,MATCH(W1125,'لیست‌ها'!$P$3:$P$53,0))+IF(X1125&lt;=6,(X1125-1)*31+Y1125,IF(X1125&lt;=11,186+(X1125-7)*30+Y1125,336+Y1125))-1,""))</f>
        <v/>
      </c>
      <c r="AA1125" s="7" t="str">
        <f aca="false">IF(H1125="","",VALUE(LEFT(H1125,FIND("/",H1125)-1)))</f>
        <v/>
      </c>
      <c r="AB1125" s="7" t="str">
        <f aca="false">IF(H1125="","",VALUE(MID(H1125,FIND("/",H1125)+1,FIND("/",H1125,FIND("/",H1125)+1)-FIND("/",H1125)-1)))</f>
        <v/>
      </c>
      <c r="AC1125" s="7" t="str">
        <f aca="false">IF(H1125="","",VALUE(MID(H1125,FIND("/",H1125,FIND("/",H1125)+1)+1,LEN(H1125)-FIND("/",H1125,FIND("/",H1125)+1))))</f>
        <v/>
      </c>
      <c r="AD1125" s="7" t="str">
        <f aca="false">IF(OR(H1125="",AA1125=""),"",IFERROR(INDEX('لیست‌ها'!$Q$3:$Q$53,MATCH(AA1125,'لیست‌ها'!$P$3:$P$53,0))+IF(AB1125&lt;=6,(AB1125-1)*31+AC1125,IF(AB1125&lt;=11,186+(AB1125-7)*30+AC1125,336+AC1125))-1,""))</f>
        <v/>
      </c>
      <c r="AE1125" s="7" t="str">
        <f aca="false">IF(P1125="","",VALUE(LEFT(P1125,FIND("/",P1125)-1)))</f>
        <v/>
      </c>
      <c r="AF1125" s="7" t="str">
        <f aca="false">IF(P1125="","",VALUE(MID(P1125,FIND("/",P1125)+1,FIND("/",P1125,FIND("/",P1125)+1)-FIND("/",P1125)-1)))</f>
        <v/>
      </c>
      <c r="AG1125" s="7" t="str">
        <f aca="false">IF(P1125="","",VALUE(MID(P1125,FIND("/",P1125,FIND("/",P1125)+1)+1,LEN(P1125)-FIND("/",P1125,FIND("/",P1125)+1))))</f>
        <v/>
      </c>
      <c r="AH1125" s="7" t="str">
        <f aca="false">IF(OR(P1125="",AE1125=""),"",IFERROR(INDEX('لیست‌ها'!$Q$3:$Q$53,MATCH(AE1125,'لیست‌ها'!$P$3:$P$53,0))+IF(AF1125&lt;=6,(AF1125-1)*31+AG1125,IF(AF1125&lt;=11,186+(AF1125-7)*30+AG1125,336+AG1125))-1,""))</f>
        <v/>
      </c>
      <c r="AI1125" s="7" t="str">
        <f aca="false">IF(W1125="","",W1125&amp;"-"&amp;TEXT(X1125,"00"))</f>
        <v/>
      </c>
      <c r="AJ1125" s="7" t="str">
        <f aca="false">IF(W1125="","",W1125*12+X1125)</f>
        <v/>
      </c>
      <c r="AK1125" s="7" t="str">
        <f aca="false">IF(U1125="تاخیر",V1125+ROW()/100000,"")</f>
        <v/>
      </c>
    </row>
    <row r="1126" customFormat="false" ht="15" hidden="false" customHeight="false" outlineLevel="0" collapsed="false">
      <c r="A1126" s="7" t="str">
        <f aca="false">IF(B1126="","",ROW()-3)</f>
        <v/>
      </c>
      <c r="B1126" s="8"/>
      <c r="C1126" s="8"/>
      <c r="D1126" s="8"/>
      <c r="E1126" s="9"/>
      <c r="F1126" s="9"/>
      <c r="G1126" s="8"/>
      <c r="H1126" s="8"/>
      <c r="I1126" s="8"/>
      <c r="J1126" s="9"/>
      <c r="K1126" s="8"/>
      <c r="L1126" s="8"/>
      <c r="M1126" s="8"/>
      <c r="N1126" s="8"/>
      <c r="O1126" s="8"/>
      <c r="P1126" s="8"/>
      <c r="Q1126" s="8"/>
      <c r="R1126" s="9"/>
      <c r="S1126" s="8"/>
      <c r="T1126" s="9"/>
      <c r="U1126" s="10" t="str">
        <f aca="true">IF(B1126="","",IF(OR(P1126&lt;&gt;"",I1126="می‌باشد"),"بسته",IF(AND(L1126&lt;&gt;"",W1126=""),"خطای فرمت تاریخ ایجاد",IF(AND(H1126&lt;&gt;"",AA1126=""),"خطای فرمت مهلت",IF(AND(H1126&lt;&gt;"",AD1126&lt;&gt;"",TODAY()&gt;AD1126),"تاخیر",IF(L1126&lt;&gt;"","در حال انجام",""))))))</f>
        <v/>
      </c>
      <c r="V1126" s="7" t="n">
        <f aca="true">IF(U1126="تاخیر",TODAY()-AD1126,IF(AND(U1126="بسته",AH1126&lt;&gt;"",AD1126&lt;&gt;"",AH1126&gt;AD1126),AH1126-AD1126,0))</f>
        <v>0</v>
      </c>
      <c r="W1126" s="7" t="str">
        <f aca="false">IF(L1126="","",VALUE(LEFT(L1126,FIND("/",L1126)-1)))</f>
        <v/>
      </c>
      <c r="X1126" s="7" t="str">
        <f aca="false">IF(L1126="","",VALUE(MID(L1126,FIND("/",L1126)+1,FIND("/",L1126,FIND("/",L1126)+1)-FIND("/",L1126)-1)))</f>
        <v/>
      </c>
      <c r="Y1126" s="7" t="str">
        <f aca="false">IF(L1126="","",VALUE(MID(L1126,FIND("/",L1126,FIND("/",L1126)+1)+1,LEN(L1126)-FIND("/",L1126,FIND("/",L1126)+1))))</f>
        <v/>
      </c>
      <c r="Z1126" s="7" t="str">
        <f aca="false">IF(OR(L1126="",W1126=""),"",IFERROR(INDEX('لیست‌ها'!$Q$3:$Q$53,MATCH(W1126,'لیست‌ها'!$P$3:$P$53,0))+IF(X1126&lt;=6,(X1126-1)*31+Y1126,IF(X1126&lt;=11,186+(X1126-7)*30+Y1126,336+Y1126))-1,""))</f>
        <v/>
      </c>
      <c r="AA1126" s="7" t="str">
        <f aca="false">IF(H1126="","",VALUE(LEFT(H1126,FIND("/",H1126)-1)))</f>
        <v/>
      </c>
      <c r="AB1126" s="7" t="str">
        <f aca="false">IF(H1126="","",VALUE(MID(H1126,FIND("/",H1126)+1,FIND("/",H1126,FIND("/",H1126)+1)-FIND("/",H1126)-1)))</f>
        <v/>
      </c>
      <c r="AC1126" s="7" t="str">
        <f aca="false">IF(H1126="","",VALUE(MID(H1126,FIND("/",H1126,FIND("/",H1126)+1)+1,LEN(H1126)-FIND("/",H1126,FIND("/",H1126)+1))))</f>
        <v/>
      </c>
      <c r="AD1126" s="7" t="str">
        <f aca="false">IF(OR(H1126="",AA1126=""),"",IFERROR(INDEX('لیست‌ها'!$Q$3:$Q$53,MATCH(AA1126,'لیست‌ها'!$P$3:$P$53,0))+IF(AB1126&lt;=6,(AB1126-1)*31+AC1126,IF(AB1126&lt;=11,186+(AB1126-7)*30+AC1126,336+AC1126))-1,""))</f>
        <v/>
      </c>
      <c r="AE1126" s="7" t="str">
        <f aca="false">IF(P1126="","",VALUE(LEFT(P1126,FIND("/",P1126)-1)))</f>
        <v/>
      </c>
      <c r="AF1126" s="7" t="str">
        <f aca="false">IF(P1126="","",VALUE(MID(P1126,FIND("/",P1126)+1,FIND("/",P1126,FIND("/",P1126)+1)-FIND("/",P1126)-1)))</f>
        <v/>
      </c>
      <c r="AG1126" s="7" t="str">
        <f aca="false">IF(P1126="","",VALUE(MID(P1126,FIND("/",P1126,FIND("/",P1126)+1)+1,LEN(P1126)-FIND("/",P1126,FIND("/",P1126)+1))))</f>
        <v/>
      </c>
      <c r="AH1126" s="7" t="str">
        <f aca="false">IF(OR(P1126="",AE1126=""),"",IFERROR(INDEX('لیست‌ها'!$Q$3:$Q$53,MATCH(AE1126,'لیست‌ها'!$P$3:$P$53,0))+IF(AF1126&lt;=6,(AF1126-1)*31+AG1126,IF(AF1126&lt;=11,186+(AF1126-7)*30+AG1126,336+AG1126))-1,""))</f>
        <v/>
      </c>
      <c r="AI1126" s="7" t="str">
        <f aca="false">IF(W1126="","",W1126&amp;"-"&amp;TEXT(X1126,"00"))</f>
        <v/>
      </c>
      <c r="AJ1126" s="7" t="str">
        <f aca="false">IF(W1126="","",W1126*12+X1126)</f>
        <v/>
      </c>
      <c r="AK1126" s="7" t="str">
        <f aca="false">IF(U1126="تاخیر",V1126+ROW()/100000,"")</f>
        <v/>
      </c>
    </row>
    <row r="1127" customFormat="false" ht="15" hidden="false" customHeight="false" outlineLevel="0" collapsed="false">
      <c r="A1127" s="7" t="str">
        <f aca="false">IF(B1127="","",ROW()-3)</f>
        <v/>
      </c>
      <c r="B1127" s="8"/>
      <c r="C1127" s="8"/>
      <c r="D1127" s="8"/>
      <c r="E1127" s="9"/>
      <c r="F1127" s="9"/>
      <c r="G1127" s="8"/>
      <c r="H1127" s="8"/>
      <c r="I1127" s="8"/>
      <c r="J1127" s="9"/>
      <c r="K1127" s="8"/>
      <c r="L1127" s="8"/>
      <c r="M1127" s="8"/>
      <c r="N1127" s="8"/>
      <c r="O1127" s="8"/>
      <c r="P1127" s="8"/>
      <c r="Q1127" s="8"/>
      <c r="R1127" s="9"/>
      <c r="S1127" s="8"/>
      <c r="T1127" s="9"/>
      <c r="U1127" s="10" t="str">
        <f aca="true">IF(B1127="","",IF(OR(P1127&lt;&gt;"",I1127="می‌باشد"),"بسته",IF(AND(L1127&lt;&gt;"",W1127=""),"خطای فرمت تاریخ ایجاد",IF(AND(H1127&lt;&gt;"",AA1127=""),"خطای فرمت مهلت",IF(AND(H1127&lt;&gt;"",AD1127&lt;&gt;"",TODAY()&gt;AD1127),"تاخیر",IF(L1127&lt;&gt;"","در حال انجام",""))))))</f>
        <v/>
      </c>
      <c r="V1127" s="7" t="n">
        <f aca="true">IF(U1127="تاخیر",TODAY()-AD1127,IF(AND(U1127="بسته",AH1127&lt;&gt;"",AD1127&lt;&gt;"",AH1127&gt;AD1127),AH1127-AD1127,0))</f>
        <v>0</v>
      </c>
      <c r="W1127" s="7" t="str">
        <f aca="false">IF(L1127="","",VALUE(LEFT(L1127,FIND("/",L1127)-1)))</f>
        <v/>
      </c>
      <c r="X1127" s="7" t="str">
        <f aca="false">IF(L1127="","",VALUE(MID(L1127,FIND("/",L1127)+1,FIND("/",L1127,FIND("/",L1127)+1)-FIND("/",L1127)-1)))</f>
        <v/>
      </c>
      <c r="Y1127" s="7" t="str">
        <f aca="false">IF(L1127="","",VALUE(MID(L1127,FIND("/",L1127,FIND("/",L1127)+1)+1,LEN(L1127)-FIND("/",L1127,FIND("/",L1127)+1))))</f>
        <v/>
      </c>
      <c r="Z1127" s="7" t="str">
        <f aca="false">IF(OR(L1127="",W1127=""),"",IFERROR(INDEX('لیست‌ها'!$Q$3:$Q$53,MATCH(W1127,'لیست‌ها'!$P$3:$P$53,0))+IF(X1127&lt;=6,(X1127-1)*31+Y1127,IF(X1127&lt;=11,186+(X1127-7)*30+Y1127,336+Y1127))-1,""))</f>
        <v/>
      </c>
      <c r="AA1127" s="7" t="str">
        <f aca="false">IF(H1127="","",VALUE(LEFT(H1127,FIND("/",H1127)-1)))</f>
        <v/>
      </c>
      <c r="AB1127" s="7" t="str">
        <f aca="false">IF(H1127="","",VALUE(MID(H1127,FIND("/",H1127)+1,FIND("/",H1127,FIND("/",H1127)+1)-FIND("/",H1127)-1)))</f>
        <v/>
      </c>
      <c r="AC1127" s="7" t="str">
        <f aca="false">IF(H1127="","",VALUE(MID(H1127,FIND("/",H1127,FIND("/",H1127)+1)+1,LEN(H1127)-FIND("/",H1127,FIND("/",H1127)+1))))</f>
        <v/>
      </c>
      <c r="AD1127" s="7" t="str">
        <f aca="false">IF(OR(H1127="",AA1127=""),"",IFERROR(INDEX('لیست‌ها'!$Q$3:$Q$53,MATCH(AA1127,'لیست‌ها'!$P$3:$P$53,0))+IF(AB1127&lt;=6,(AB1127-1)*31+AC1127,IF(AB1127&lt;=11,186+(AB1127-7)*30+AC1127,336+AC1127))-1,""))</f>
        <v/>
      </c>
      <c r="AE1127" s="7" t="str">
        <f aca="false">IF(P1127="","",VALUE(LEFT(P1127,FIND("/",P1127)-1)))</f>
        <v/>
      </c>
      <c r="AF1127" s="7" t="str">
        <f aca="false">IF(P1127="","",VALUE(MID(P1127,FIND("/",P1127)+1,FIND("/",P1127,FIND("/",P1127)+1)-FIND("/",P1127)-1)))</f>
        <v/>
      </c>
      <c r="AG1127" s="7" t="str">
        <f aca="false">IF(P1127="","",VALUE(MID(P1127,FIND("/",P1127,FIND("/",P1127)+1)+1,LEN(P1127)-FIND("/",P1127,FIND("/",P1127)+1))))</f>
        <v/>
      </c>
      <c r="AH1127" s="7" t="str">
        <f aca="false">IF(OR(P1127="",AE1127=""),"",IFERROR(INDEX('لیست‌ها'!$Q$3:$Q$53,MATCH(AE1127,'لیست‌ها'!$P$3:$P$53,0))+IF(AF1127&lt;=6,(AF1127-1)*31+AG1127,IF(AF1127&lt;=11,186+(AF1127-7)*30+AG1127,336+AG1127))-1,""))</f>
        <v/>
      </c>
      <c r="AI1127" s="7" t="str">
        <f aca="false">IF(W1127="","",W1127&amp;"-"&amp;TEXT(X1127,"00"))</f>
        <v/>
      </c>
      <c r="AJ1127" s="7" t="str">
        <f aca="false">IF(W1127="","",W1127*12+X1127)</f>
        <v/>
      </c>
      <c r="AK1127" s="7" t="str">
        <f aca="false">IF(U1127="تاخیر",V1127+ROW()/100000,"")</f>
        <v/>
      </c>
    </row>
    <row r="1128" customFormat="false" ht="15" hidden="false" customHeight="false" outlineLevel="0" collapsed="false">
      <c r="A1128" s="7" t="str">
        <f aca="false">IF(B1128="","",ROW()-3)</f>
        <v/>
      </c>
      <c r="B1128" s="8"/>
      <c r="C1128" s="8"/>
      <c r="D1128" s="8"/>
      <c r="E1128" s="9"/>
      <c r="F1128" s="9"/>
      <c r="G1128" s="8"/>
      <c r="H1128" s="8"/>
      <c r="I1128" s="8"/>
      <c r="J1128" s="9"/>
      <c r="K1128" s="8"/>
      <c r="L1128" s="8"/>
      <c r="M1128" s="8"/>
      <c r="N1128" s="8"/>
      <c r="O1128" s="8"/>
      <c r="P1128" s="8"/>
      <c r="Q1128" s="8"/>
      <c r="R1128" s="9"/>
      <c r="S1128" s="8"/>
      <c r="T1128" s="9"/>
      <c r="U1128" s="10" t="str">
        <f aca="true">IF(B1128="","",IF(OR(P1128&lt;&gt;"",I1128="می‌باشد"),"بسته",IF(AND(L1128&lt;&gt;"",W1128=""),"خطای فرمت تاریخ ایجاد",IF(AND(H1128&lt;&gt;"",AA1128=""),"خطای فرمت مهلت",IF(AND(H1128&lt;&gt;"",AD1128&lt;&gt;"",TODAY()&gt;AD1128),"تاخیر",IF(L1128&lt;&gt;"","در حال انجام",""))))))</f>
        <v/>
      </c>
      <c r="V1128" s="7" t="n">
        <f aca="true">IF(U1128="تاخیر",TODAY()-AD1128,IF(AND(U1128="بسته",AH1128&lt;&gt;"",AD1128&lt;&gt;"",AH1128&gt;AD1128),AH1128-AD1128,0))</f>
        <v>0</v>
      </c>
      <c r="W1128" s="7" t="str">
        <f aca="false">IF(L1128="","",VALUE(LEFT(L1128,FIND("/",L1128)-1)))</f>
        <v/>
      </c>
      <c r="X1128" s="7" t="str">
        <f aca="false">IF(L1128="","",VALUE(MID(L1128,FIND("/",L1128)+1,FIND("/",L1128,FIND("/",L1128)+1)-FIND("/",L1128)-1)))</f>
        <v/>
      </c>
      <c r="Y1128" s="7" t="str">
        <f aca="false">IF(L1128="","",VALUE(MID(L1128,FIND("/",L1128,FIND("/",L1128)+1)+1,LEN(L1128)-FIND("/",L1128,FIND("/",L1128)+1))))</f>
        <v/>
      </c>
      <c r="Z1128" s="7" t="str">
        <f aca="false">IF(OR(L1128="",W1128=""),"",IFERROR(INDEX('لیست‌ها'!$Q$3:$Q$53,MATCH(W1128,'لیست‌ها'!$P$3:$P$53,0))+IF(X1128&lt;=6,(X1128-1)*31+Y1128,IF(X1128&lt;=11,186+(X1128-7)*30+Y1128,336+Y1128))-1,""))</f>
        <v/>
      </c>
      <c r="AA1128" s="7" t="str">
        <f aca="false">IF(H1128="","",VALUE(LEFT(H1128,FIND("/",H1128)-1)))</f>
        <v/>
      </c>
      <c r="AB1128" s="7" t="str">
        <f aca="false">IF(H1128="","",VALUE(MID(H1128,FIND("/",H1128)+1,FIND("/",H1128,FIND("/",H1128)+1)-FIND("/",H1128)-1)))</f>
        <v/>
      </c>
      <c r="AC1128" s="7" t="str">
        <f aca="false">IF(H1128="","",VALUE(MID(H1128,FIND("/",H1128,FIND("/",H1128)+1)+1,LEN(H1128)-FIND("/",H1128,FIND("/",H1128)+1))))</f>
        <v/>
      </c>
      <c r="AD1128" s="7" t="str">
        <f aca="false">IF(OR(H1128="",AA1128=""),"",IFERROR(INDEX('لیست‌ها'!$Q$3:$Q$53,MATCH(AA1128,'لیست‌ها'!$P$3:$P$53,0))+IF(AB1128&lt;=6,(AB1128-1)*31+AC1128,IF(AB1128&lt;=11,186+(AB1128-7)*30+AC1128,336+AC1128))-1,""))</f>
        <v/>
      </c>
      <c r="AE1128" s="7" t="str">
        <f aca="false">IF(P1128="","",VALUE(LEFT(P1128,FIND("/",P1128)-1)))</f>
        <v/>
      </c>
      <c r="AF1128" s="7" t="str">
        <f aca="false">IF(P1128="","",VALUE(MID(P1128,FIND("/",P1128)+1,FIND("/",P1128,FIND("/",P1128)+1)-FIND("/",P1128)-1)))</f>
        <v/>
      </c>
      <c r="AG1128" s="7" t="str">
        <f aca="false">IF(P1128="","",VALUE(MID(P1128,FIND("/",P1128,FIND("/",P1128)+1)+1,LEN(P1128)-FIND("/",P1128,FIND("/",P1128)+1))))</f>
        <v/>
      </c>
      <c r="AH1128" s="7" t="str">
        <f aca="false">IF(OR(P1128="",AE1128=""),"",IFERROR(INDEX('لیست‌ها'!$Q$3:$Q$53,MATCH(AE1128,'لیست‌ها'!$P$3:$P$53,0))+IF(AF1128&lt;=6,(AF1128-1)*31+AG1128,IF(AF1128&lt;=11,186+(AF1128-7)*30+AG1128,336+AG1128))-1,""))</f>
        <v/>
      </c>
      <c r="AI1128" s="7" t="str">
        <f aca="false">IF(W1128="","",W1128&amp;"-"&amp;TEXT(X1128,"00"))</f>
        <v/>
      </c>
      <c r="AJ1128" s="7" t="str">
        <f aca="false">IF(W1128="","",W1128*12+X1128)</f>
        <v/>
      </c>
      <c r="AK1128" s="7" t="str">
        <f aca="false">IF(U1128="تاخیر",V1128+ROW()/100000,"")</f>
        <v/>
      </c>
    </row>
    <row r="1129" customFormat="false" ht="15" hidden="false" customHeight="false" outlineLevel="0" collapsed="false">
      <c r="A1129" s="7" t="str">
        <f aca="false">IF(B1129="","",ROW()-3)</f>
        <v/>
      </c>
      <c r="B1129" s="8"/>
      <c r="C1129" s="8"/>
      <c r="D1129" s="8"/>
      <c r="E1129" s="9"/>
      <c r="F1129" s="9"/>
      <c r="G1129" s="8"/>
      <c r="H1129" s="8"/>
      <c r="I1129" s="8"/>
      <c r="J1129" s="9"/>
      <c r="K1129" s="8"/>
      <c r="L1129" s="8"/>
      <c r="M1129" s="8"/>
      <c r="N1129" s="8"/>
      <c r="O1129" s="8"/>
      <c r="P1129" s="8"/>
      <c r="Q1129" s="8"/>
      <c r="R1129" s="9"/>
      <c r="S1129" s="8"/>
      <c r="T1129" s="9"/>
      <c r="U1129" s="10" t="str">
        <f aca="true">IF(B1129="","",IF(OR(P1129&lt;&gt;"",I1129="می‌باشد"),"بسته",IF(AND(L1129&lt;&gt;"",W1129=""),"خطای فرمت تاریخ ایجاد",IF(AND(H1129&lt;&gt;"",AA1129=""),"خطای فرمت مهلت",IF(AND(H1129&lt;&gt;"",AD1129&lt;&gt;"",TODAY()&gt;AD1129),"تاخیر",IF(L1129&lt;&gt;"","در حال انجام",""))))))</f>
        <v/>
      </c>
      <c r="V1129" s="7" t="n">
        <f aca="true">IF(U1129="تاخیر",TODAY()-AD1129,IF(AND(U1129="بسته",AH1129&lt;&gt;"",AD1129&lt;&gt;"",AH1129&gt;AD1129),AH1129-AD1129,0))</f>
        <v>0</v>
      </c>
      <c r="W1129" s="7" t="str">
        <f aca="false">IF(L1129="","",VALUE(LEFT(L1129,FIND("/",L1129)-1)))</f>
        <v/>
      </c>
      <c r="X1129" s="7" t="str">
        <f aca="false">IF(L1129="","",VALUE(MID(L1129,FIND("/",L1129)+1,FIND("/",L1129,FIND("/",L1129)+1)-FIND("/",L1129)-1)))</f>
        <v/>
      </c>
      <c r="Y1129" s="7" t="str">
        <f aca="false">IF(L1129="","",VALUE(MID(L1129,FIND("/",L1129,FIND("/",L1129)+1)+1,LEN(L1129)-FIND("/",L1129,FIND("/",L1129)+1))))</f>
        <v/>
      </c>
      <c r="Z1129" s="7" t="str">
        <f aca="false">IF(OR(L1129="",W1129=""),"",IFERROR(INDEX('لیست‌ها'!$Q$3:$Q$53,MATCH(W1129,'لیست‌ها'!$P$3:$P$53,0))+IF(X1129&lt;=6,(X1129-1)*31+Y1129,IF(X1129&lt;=11,186+(X1129-7)*30+Y1129,336+Y1129))-1,""))</f>
        <v/>
      </c>
      <c r="AA1129" s="7" t="str">
        <f aca="false">IF(H1129="","",VALUE(LEFT(H1129,FIND("/",H1129)-1)))</f>
        <v/>
      </c>
      <c r="AB1129" s="7" t="str">
        <f aca="false">IF(H1129="","",VALUE(MID(H1129,FIND("/",H1129)+1,FIND("/",H1129,FIND("/",H1129)+1)-FIND("/",H1129)-1)))</f>
        <v/>
      </c>
      <c r="AC1129" s="7" t="str">
        <f aca="false">IF(H1129="","",VALUE(MID(H1129,FIND("/",H1129,FIND("/",H1129)+1)+1,LEN(H1129)-FIND("/",H1129,FIND("/",H1129)+1))))</f>
        <v/>
      </c>
      <c r="AD1129" s="7" t="str">
        <f aca="false">IF(OR(H1129="",AA1129=""),"",IFERROR(INDEX('لیست‌ها'!$Q$3:$Q$53,MATCH(AA1129,'لیست‌ها'!$P$3:$P$53,0))+IF(AB1129&lt;=6,(AB1129-1)*31+AC1129,IF(AB1129&lt;=11,186+(AB1129-7)*30+AC1129,336+AC1129))-1,""))</f>
        <v/>
      </c>
      <c r="AE1129" s="7" t="str">
        <f aca="false">IF(P1129="","",VALUE(LEFT(P1129,FIND("/",P1129)-1)))</f>
        <v/>
      </c>
      <c r="AF1129" s="7" t="str">
        <f aca="false">IF(P1129="","",VALUE(MID(P1129,FIND("/",P1129)+1,FIND("/",P1129,FIND("/",P1129)+1)-FIND("/",P1129)-1)))</f>
        <v/>
      </c>
      <c r="AG1129" s="7" t="str">
        <f aca="false">IF(P1129="","",VALUE(MID(P1129,FIND("/",P1129,FIND("/",P1129)+1)+1,LEN(P1129)-FIND("/",P1129,FIND("/",P1129)+1))))</f>
        <v/>
      </c>
      <c r="AH1129" s="7" t="str">
        <f aca="false">IF(OR(P1129="",AE1129=""),"",IFERROR(INDEX('لیست‌ها'!$Q$3:$Q$53,MATCH(AE1129,'لیست‌ها'!$P$3:$P$53,0))+IF(AF1129&lt;=6,(AF1129-1)*31+AG1129,IF(AF1129&lt;=11,186+(AF1129-7)*30+AG1129,336+AG1129))-1,""))</f>
        <v/>
      </c>
      <c r="AI1129" s="7" t="str">
        <f aca="false">IF(W1129="","",W1129&amp;"-"&amp;TEXT(X1129,"00"))</f>
        <v/>
      </c>
      <c r="AJ1129" s="7" t="str">
        <f aca="false">IF(W1129="","",W1129*12+X1129)</f>
        <v/>
      </c>
      <c r="AK1129" s="7" t="str">
        <f aca="false">IF(U1129="تاخیر",V1129+ROW()/100000,"")</f>
        <v/>
      </c>
    </row>
    <row r="1130" customFormat="false" ht="15" hidden="false" customHeight="false" outlineLevel="0" collapsed="false">
      <c r="A1130" s="7" t="str">
        <f aca="false">IF(B1130="","",ROW()-3)</f>
        <v/>
      </c>
      <c r="B1130" s="8"/>
      <c r="C1130" s="8"/>
      <c r="D1130" s="8"/>
      <c r="E1130" s="9"/>
      <c r="F1130" s="9"/>
      <c r="G1130" s="8"/>
      <c r="H1130" s="8"/>
      <c r="I1130" s="8"/>
      <c r="J1130" s="9"/>
      <c r="K1130" s="8"/>
      <c r="L1130" s="8"/>
      <c r="M1130" s="8"/>
      <c r="N1130" s="8"/>
      <c r="O1130" s="8"/>
      <c r="P1130" s="8"/>
      <c r="Q1130" s="8"/>
      <c r="R1130" s="9"/>
      <c r="S1130" s="8"/>
      <c r="T1130" s="9"/>
      <c r="U1130" s="10" t="str">
        <f aca="true">IF(B1130="","",IF(OR(P1130&lt;&gt;"",I1130="می‌باشد"),"بسته",IF(AND(L1130&lt;&gt;"",W1130=""),"خطای فرمت تاریخ ایجاد",IF(AND(H1130&lt;&gt;"",AA1130=""),"خطای فرمت مهلت",IF(AND(H1130&lt;&gt;"",AD1130&lt;&gt;"",TODAY()&gt;AD1130),"تاخیر",IF(L1130&lt;&gt;"","در حال انجام",""))))))</f>
        <v/>
      </c>
      <c r="V1130" s="7" t="n">
        <f aca="true">IF(U1130="تاخیر",TODAY()-AD1130,IF(AND(U1130="بسته",AH1130&lt;&gt;"",AD1130&lt;&gt;"",AH1130&gt;AD1130),AH1130-AD1130,0))</f>
        <v>0</v>
      </c>
      <c r="W1130" s="7" t="str">
        <f aca="false">IF(L1130="","",VALUE(LEFT(L1130,FIND("/",L1130)-1)))</f>
        <v/>
      </c>
      <c r="X1130" s="7" t="str">
        <f aca="false">IF(L1130="","",VALUE(MID(L1130,FIND("/",L1130)+1,FIND("/",L1130,FIND("/",L1130)+1)-FIND("/",L1130)-1)))</f>
        <v/>
      </c>
      <c r="Y1130" s="7" t="str">
        <f aca="false">IF(L1130="","",VALUE(MID(L1130,FIND("/",L1130,FIND("/",L1130)+1)+1,LEN(L1130)-FIND("/",L1130,FIND("/",L1130)+1))))</f>
        <v/>
      </c>
      <c r="Z1130" s="7" t="str">
        <f aca="false">IF(OR(L1130="",W1130=""),"",IFERROR(INDEX('لیست‌ها'!$Q$3:$Q$53,MATCH(W1130,'لیست‌ها'!$P$3:$P$53,0))+IF(X1130&lt;=6,(X1130-1)*31+Y1130,IF(X1130&lt;=11,186+(X1130-7)*30+Y1130,336+Y1130))-1,""))</f>
        <v/>
      </c>
      <c r="AA1130" s="7" t="str">
        <f aca="false">IF(H1130="","",VALUE(LEFT(H1130,FIND("/",H1130)-1)))</f>
        <v/>
      </c>
      <c r="AB1130" s="7" t="str">
        <f aca="false">IF(H1130="","",VALUE(MID(H1130,FIND("/",H1130)+1,FIND("/",H1130,FIND("/",H1130)+1)-FIND("/",H1130)-1)))</f>
        <v/>
      </c>
      <c r="AC1130" s="7" t="str">
        <f aca="false">IF(H1130="","",VALUE(MID(H1130,FIND("/",H1130,FIND("/",H1130)+1)+1,LEN(H1130)-FIND("/",H1130,FIND("/",H1130)+1))))</f>
        <v/>
      </c>
      <c r="AD1130" s="7" t="str">
        <f aca="false">IF(OR(H1130="",AA1130=""),"",IFERROR(INDEX('لیست‌ها'!$Q$3:$Q$53,MATCH(AA1130,'لیست‌ها'!$P$3:$P$53,0))+IF(AB1130&lt;=6,(AB1130-1)*31+AC1130,IF(AB1130&lt;=11,186+(AB1130-7)*30+AC1130,336+AC1130))-1,""))</f>
        <v/>
      </c>
      <c r="AE1130" s="7" t="str">
        <f aca="false">IF(P1130="","",VALUE(LEFT(P1130,FIND("/",P1130)-1)))</f>
        <v/>
      </c>
      <c r="AF1130" s="7" t="str">
        <f aca="false">IF(P1130="","",VALUE(MID(P1130,FIND("/",P1130)+1,FIND("/",P1130,FIND("/",P1130)+1)-FIND("/",P1130)-1)))</f>
        <v/>
      </c>
      <c r="AG1130" s="7" t="str">
        <f aca="false">IF(P1130="","",VALUE(MID(P1130,FIND("/",P1130,FIND("/",P1130)+1)+1,LEN(P1130)-FIND("/",P1130,FIND("/",P1130)+1))))</f>
        <v/>
      </c>
      <c r="AH1130" s="7" t="str">
        <f aca="false">IF(OR(P1130="",AE1130=""),"",IFERROR(INDEX('لیست‌ها'!$Q$3:$Q$53,MATCH(AE1130,'لیست‌ها'!$P$3:$P$53,0))+IF(AF1130&lt;=6,(AF1130-1)*31+AG1130,IF(AF1130&lt;=11,186+(AF1130-7)*30+AG1130,336+AG1130))-1,""))</f>
        <v/>
      </c>
      <c r="AI1130" s="7" t="str">
        <f aca="false">IF(W1130="","",W1130&amp;"-"&amp;TEXT(X1130,"00"))</f>
        <v/>
      </c>
      <c r="AJ1130" s="7" t="str">
        <f aca="false">IF(W1130="","",W1130*12+X1130)</f>
        <v/>
      </c>
      <c r="AK1130" s="7" t="str">
        <f aca="false">IF(U1130="تاخیر",V1130+ROW()/100000,"")</f>
        <v/>
      </c>
    </row>
    <row r="1131" customFormat="false" ht="15" hidden="false" customHeight="false" outlineLevel="0" collapsed="false">
      <c r="A1131" s="7" t="str">
        <f aca="false">IF(B1131="","",ROW()-3)</f>
        <v/>
      </c>
      <c r="B1131" s="8"/>
      <c r="C1131" s="8"/>
      <c r="D1131" s="8"/>
      <c r="E1131" s="9"/>
      <c r="F1131" s="9"/>
      <c r="G1131" s="8"/>
      <c r="H1131" s="8"/>
      <c r="I1131" s="8"/>
      <c r="J1131" s="9"/>
      <c r="K1131" s="8"/>
      <c r="L1131" s="8"/>
      <c r="M1131" s="8"/>
      <c r="N1131" s="8"/>
      <c r="O1131" s="8"/>
      <c r="P1131" s="8"/>
      <c r="Q1131" s="8"/>
      <c r="R1131" s="9"/>
      <c r="S1131" s="8"/>
      <c r="T1131" s="9"/>
      <c r="U1131" s="10" t="str">
        <f aca="true">IF(B1131="","",IF(OR(P1131&lt;&gt;"",I1131="می‌باشد"),"بسته",IF(AND(L1131&lt;&gt;"",W1131=""),"خطای فرمت تاریخ ایجاد",IF(AND(H1131&lt;&gt;"",AA1131=""),"خطای فرمت مهلت",IF(AND(H1131&lt;&gt;"",AD1131&lt;&gt;"",TODAY()&gt;AD1131),"تاخیر",IF(L1131&lt;&gt;"","در حال انجام",""))))))</f>
        <v/>
      </c>
      <c r="V1131" s="7" t="n">
        <f aca="true">IF(U1131="تاخیر",TODAY()-AD1131,IF(AND(U1131="بسته",AH1131&lt;&gt;"",AD1131&lt;&gt;"",AH1131&gt;AD1131),AH1131-AD1131,0))</f>
        <v>0</v>
      </c>
      <c r="W1131" s="7" t="str">
        <f aca="false">IF(L1131="","",VALUE(LEFT(L1131,FIND("/",L1131)-1)))</f>
        <v/>
      </c>
      <c r="X1131" s="7" t="str">
        <f aca="false">IF(L1131="","",VALUE(MID(L1131,FIND("/",L1131)+1,FIND("/",L1131,FIND("/",L1131)+1)-FIND("/",L1131)-1)))</f>
        <v/>
      </c>
      <c r="Y1131" s="7" t="str">
        <f aca="false">IF(L1131="","",VALUE(MID(L1131,FIND("/",L1131,FIND("/",L1131)+1)+1,LEN(L1131)-FIND("/",L1131,FIND("/",L1131)+1))))</f>
        <v/>
      </c>
      <c r="Z1131" s="7" t="str">
        <f aca="false">IF(OR(L1131="",W1131=""),"",IFERROR(INDEX('لیست‌ها'!$Q$3:$Q$53,MATCH(W1131,'لیست‌ها'!$P$3:$P$53,0))+IF(X1131&lt;=6,(X1131-1)*31+Y1131,IF(X1131&lt;=11,186+(X1131-7)*30+Y1131,336+Y1131))-1,""))</f>
        <v/>
      </c>
      <c r="AA1131" s="7" t="str">
        <f aca="false">IF(H1131="","",VALUE(LEFT(H1131,FIND("/",H1131)-1)))</f>
        <v/>
      </c>
      <c r="AB1131" s="7" t="str">
        <f aca="false">IF(H1131="","",VALUE(MID(H1131,FIND("/",H1131)+1,FIND("/",H1131,FIND("/",H1131)+1)-FIND("/",H1131)-1)))</f>
        <v/>
      </c>
      <c r="AC1131" s="7" t="str">
        <f aca="false">IF(H1131="","",VALUE(MID(H1131,FIND("/",H1131,FIND("/",H1131)+1)+1,LEN(H1131)-FIND("/",H1131,FIND("/",H1131)+1))))</f>
        <v/>
      </c>
      <c r="AD1131" s="7" t="str">
        <f aca="false">IF(OR(H1131="",AA1131=""),"",IFERROR(INDEX('لیست‌ها'!$Q$3:$Q$53,MATCH(AA1131,'لیست‌ها'!$P$3:$P$53,0))+IF(AB1131&lt;=6,(AB1131-1)*31+AC1131,IF(AB1131&lt;=11,186+(AB1131-7)*30+AC1131,336+AC1131))-1,""))</f>
        <v/>
      </c>
      <c r="AE1131" s="7" t="str">
        <f aca="false">IF(P1131="","",VALUE(LEFT(P1131,FIND("/",P1131)-1)))</f>
        <v/>
      </c>
      <c r="AF1131" s="7" t="str">
        <f aca="false">IF(P1131="","",VALUE(MID(P1131,FIND("/",P1131)+1,FIND("/",P1131,FIND("/",P1131)+1)-FIND("/",P1131)-1)))</f>
        <v/>
      </c>
      <c r="AG1131" s="7" t="str">
        <f aca="false">IF(P1131="","",VALUE(MID(P1131,FIND("/",P1131,FIND("/",P1131)+1)+1,LEN(P1131)-FIND("/",P1131,FIND("/",P1131)+1))))</f>
        <v/>
      </c>
      <c r="AH1131" s="7" t="str">
        <f aca="false">IF(OR(P1131="",AE1131=""),"",IFERROR(INDEX('لیست‌ها'!$Q$3:$Q$53,MATCH(AE1131,'لیست‌ها'!$P$3:$P$53,0))+IF(AF1131&lt;=6,(AF1131-1)*31+AG1131,IF(AF1131&lt;=11,186+(AF1131-7)*30+AG1131,336+AG1131))-1,""))</f>
        <v/>
      </c>
      <c r="AI1131" s="7" t="str">
        <f aca="false">IF(W1131="","",W1131&amp;"-"&amp;TEXT(X1131,"00"))</f>
        <v/>
      </c>
      <c r="AJ1131" s="7" t="str">
        <f aca="false">IF(W1131="","",W1131*12+X1131)</f>
        <v/>
      </c>
      <c r="AK1131" s="7" t="str">
        <f aca="false">IF(U1131="تاخیر",V1131+ROW()/100000,"")</f>
        <v/>
      </c>
    </row>
    <row r="1132" customFormat="false" ht="15" hidden="false" customHeight="false" outlineLevel="0" collapsed="false">
      <c r="A1132" s="7" t="str">
        <f aca="false">IF(B1132="","",ROW()-3)</f>
        <v/>
      </c>
      <c r="B1132" s="8"/>
      <c r="C1132" s="8"/>
      <c r="D1132" s="8"/>
      <c r="E1132" s="9"/>
      <c r="F1132" s="9"/>
      <c r="G1132" s="8"/>
      <c r="H1132" s="8"/>
      <c r="I1132" s="8"/>
      <c r="J1132" s="9"/>
      <c r="K1132" s="8"/>
      <c r="L1132" s="8"/>
      <c r="M1132" s="8"/>
      <c r="N1132" s="8"/>
      <c r="O1132" s="8"/>
      <c r="P1132" s="8"/>
      <c r="Q1132" s="8"/>
      <c r="R1132" s="9"/>
      <c r="S1132" s="8"/>
      <c r="T1132" s="9"/>
      <c r="U1132" s="10" t="str">
        <f aca="true">IF(B1132="","",IF(OR(P1132&lt;&gt;"",I1132="می‌باشد"),"بسته",IF(AND(L1132&lt;&gt;"",W1132=""),"خطای فرمت تاریخ ایجاد",IF(AND(H1132&lt;&gt;"",AA1132=""),"خطای فرمت مهلت",IF(AND(H1132&lt;&gt;"",AD1132&lt;&gt;"",TODAY()&gt;AD1132),"تاخیر",IF(L1132&lt;&gt;"","در حال انجام",""))))))</f>
        <v/>
      </c>
      <c r="V1132" s="7" t="n">
        <f aca="true">IF(U1132="تاخیر",TODAY()-AD1132,IF(AND(U1132="بسته",AH1132&lt;&gt;"",AD1132&lt;&gt;"",AH1132&gt;AD1132),AH1132-AD1132,0))</f>
        <v>0</v>
      </c>
      <c r="W1132" s="7" t="str">
        <f aca="false">IF(L1132="","",VALUE(LEFT(L1132,FIND("/",L1132)-1)))</f>
        <v/>
      </c>
      <c r="X1132" s="7" t="str">
        <f aca="false">IF(L1132="","",VALUE(MID(L1132,FIND("/",L1132)+1,FIND("/",L1132,FIND("/",L1132)+1)-FIND("/",L1132)-1)))</f>
        <v/>
      </c>
      <c r="Y1132" s="7" t="str">
        <f aca="false">IF(L1132="","",VALUE(MID(L1132,FIND("/",L1132,FIND("/",L1132)+1)+1,LEN(L1132)-FIND("/",L1132,FIND("/",L1132)+1))))</f>
        <v/>
      </c>
      <c r="Z1132" s="7" t="str">
        <f aca="false">IF(OR(L1132="",W1132=""),"",IFERROR(INDEX('لیست‌ها'!$Q$3:$Q$53,MATCH(W1132,'لیست‌ها'!$P$3:$P$53,0))+IF(X1132&lt;=6,(X1132-1)*31+Y1132,IF(X1132&lt;=11,186+(X1132-7)*30+Y1132,336+Y1132))-1,""))</f>
        <v/>
      </c>
      <c r="AA1132" s="7" t="str">
        <f aca="false">IF(H1132="","",VALUE(LEFT(H1132,FIND("/",H1132)-1)))</f>
        <v/>
      </c>
      <c r="AB1132" s="7" t="str">
        <f aca="false">IF(H1132="","",VALUE(MID(H1132,FIND("/",H1132)+1,FIND("/",H1132,FIND("/",H1132)+1)-FIND("/",H1132)-1)))</f>
        <v/>
      </c>
      <c r="AC1132" s="7" t="str">
        <f aca="false">IF(H1132="","",VALUE(MID(H1132,FIND("/",H1132,FIND("/",H1132)+1)+1,LEN(H1132)-FIND("/",H1132,FIND("/",H1132)+1))))</f>
        <v/>
      </c>
      <c r="AD1132" s="7" t="str">
        <f aca="false">IF(OR(H1132="",AA1132=""),"",IFERROR(INDEX('لیست‌ها'!$Q$3:$Q$53,MATCH(AA1132,'لیست‌ها'!$P$3:$P$53,0))+IF(AB1132&lt;=6,(AB1132-1)*31+AC1132,IF(AB1132&lt;=11,186+(AB1132-7)*30+AC1132,336+AC1132))-1,""))</f>
        <v/>
      </c>
      <c r="AE1132" s="7" t="str">
        <f aca="false">IF(P1132="","",VALUE(LEFT(P1132,FIND("/",P1132)-1)))</f>
        <v/>
      </c>
      <c r="AF1132" s="7" t="str">
        <f aca="false">IF(P1132="","",VALUE(MID(P1132,FIND("/",P1132)+1,FIND("/",P1132,FIND("/",P1132)+1)-FIND("/",P1132)-1)))</f>
        <v/>
      </c>
      <c r="AG1132" s="7" t="str">
        <f aca="false">IF(P1132="","",VALUE(MID(P1132,FIND("/",P1132,FIND("/",P1132)+1)+1,LEN(P1132)-FIND("/",P1132,FIND("/",P1132)+1))))</f>
        <v/>
      </c>
      <c r="AH1132" s="7" t="str">
        <f aca="false">IF(OR(P1132="",AE1132=""),"",IFERROR(INDEX('لیست‌ها'!$Q$3:$Q$53,MATCH(AE1132,'لیست‌ها'!$P$3:$P$53,0))+IF(AF1132&lt;=6,(AF1132-1)*31+AG1132,IF(AF1132&lt;=11,186+(AF1132-7)*30+AG1132,336+AG1132))-1,""))</f>
        <v/>
      </c>
      <c r="AI1132" s="7" t="str">
        <f aca="false">IF(W1132="","",W1132&amp;"-"&amp;TEXT(X1132,"00"))</f>
        <v/>
      </c>
      <c r="AJ1132" s="7" t="str">
        <f aca="false">IF(W1132="","",W1132*12+X1132)</f>
        <v/>
      </c>
      <c r="AK1132" s="7" t="str">
        <f aca="false">IF(U1132="تاخیر",V1132+ROW()/100000,"")</f>
        <v/>
      </c>
    </row>
    <row r="1133" customFormat="false" ht="15" hidden="false" customHeight="false" outlineLevel="0" collapsed="false">
      <c r="A1133" s="7" t="str">
        <f aca="false">IF(B1133="","",ROW()-3)</f>
        <v/>
      </c>
      <c r="B1133" s="8"/>
      <c r="C1133" s="8"/>
      <c r="D1133" s="8"/>
      <c r="E1133" s="9"/>
      <c r="F1133" s="9"/>
      <c r="G1133" s="8"/>
      <c r="H1133" s="8"/>
      <c r="I1133" s="8"/>
      <c r="J1133" s="9"/>
      <c r="K1133" s="8"/>
      <c r="L1133" s="8"/>
      <c r="M1133" s="8"/>
      <c r="N1133" s="8"/>
      <c r="O1133" s="8"/>
      <c r="P1133" s="8"/>
      <c r="Q1133" s="8"/>
      <c r="R1133" s="9"/>
      <c r="S1133" s="8"/>
      <c r="T1133" s="9"/>
      <c r="U1133" s="10" t="str">
        <f aca="true">IF(B1133="","",IF(OR(P1133&lt;&gt;"",I1133="می‌باشد"),"بسته",IF(AND(L1133&lt;&gt;"",W1133=""),"خطای فرمت تاریخ ایجاد",IF(AND(H1133&lt;&gt;"",AA1133=""),"خطای فرمت مهلت",IF(AND(H1133&lt;&gt;"",AD1133&lt;&gt;"",TODAY()&gt;AD1133),"تاخیر",IF(L1133&lt;&gt;"","در حال انجام",""))))))</f>
        <v/>
      </c>
      <c r="V1133" s="7" t="n">
        <f aca="true">IF(U1133="تاخیر",TODAY()-AD1133,IF(AND(U1133="بسته",AH1133&lt;&gt;"",AD1133&lt;&gt;"",AH1133&gt;AD1133),AH1133-AD1133,0))</f>
        <v>0</v>
      </c>
      <c r="W1133" s="7" t="str">
        <f aca="false">IF(L1133="","",VALUE(LEFT(L1133,FIND("/",L1133)-1)))</f>
        <v/>
      </c>
      <c r="X1133" s="7" t="str">
        <f aca="false">IF(L1133="","",VALUE(MID(L1133,FIND("/",L1133)+1,FIND("/",L1133,FIND("/",L1133)+1)-FIND("/",L1133)-1)))</f>
        <v/>
      </c>
      <c r="Y1133" s="7" t="str">
        <f aca="false">IF(L1133="","",VALUE(MID(L1133,FIND("/",L1133,FIND("/",L1133)+1)+1,LEN(L1133)-FIND("/",L1133,FIND("/",L1133)+1))))</f>
        <v/>
      </c>
      <c r="Z1133" s="7" t="str">
        <f aca="false">IF(OR(L1133="",W1133=""),"",IFERROR(INDEX('لیست‌ها'!$Q$3:$Q$53,MATCH(W1133,'لیست‌ها'!$P$3:$P$53,0))+IF(X1133&lt;=6,(X1133-1)*31+Y1133,IF(X1133&lt;=11,186+(X1133-7)*30+Y1133,336+Y1133))-1,""))</f>
        <v/>
      </c>
      <c r="AA1133" s="7" t="str">
        <f aca="false">IF(H1133="","",VALUE(LEFT(H1133,FIND("/",H1133)-1)))</f>
        <v/>
      </c>
      <c r="AB1133" s="7" t="str">
        <f aca="false">IF(H1133="","",VALUE(MID(H1133,FIND("/",H1133)+1,FIND("/",H1133,FIND("/",H1133)+1)-FIND("/",H1133)-1)))</f>
        <v/>
      </c>
      <c r="AC1133" s="7" t="str">
        <f aca="false">IF(H1133="","",VALUE(MID(H1133,FIND("/",H1133,FIND("/",H1133)+1)+1,LEN(H1133)-FIND("/",H1133,FIND("/",H1133)+1))))</f>
        <v/>
      </c>
      <c r="AD1133" s="7" t="str">
        <f aca="false">IF(OR(H1133="",AA1133=""),"",IFERROR(INDEX('لیست‌ها'!$Q$3:$Q$53,MATCH(AA1133,'لیست‌ها'!$P$3:$P$53,0))+IF(AB1133&lt;=6,(AB1133-1)*31+AC1133,IF(AB1133&lt;=11,186+(AB1133-7)*30+AC1133,336+AC1133))-1,""))</f>
        <v/>
      </c>
      <c r="AE1133" s="7" t="str">
        <f aca="false">IF(P1133="","",VALUE(LEFT(P1133,FIND("/",P1133)-1)))</f>
        <v/>
      </c>
      <c r="AF1133" s="7" t="str">
        <f aca="false">IF(P1133="","",VALUE(MID(P1133,FIND("/",P1133)+1,FIND("/",P1133,FIND("/",P1133)+1)-FIND("/",P1133)-1)))</f>
        <v/>
      </c>
      <c r="AG1133" s="7" t="str">
        <f aca="false">IF(P1133="","",VALUE(MID(P1133,FIND("/",P1133,FIND("/",P1133)+1)+1,LEN(P1133)-FIND("/",P1133,FIND("/",P1133)+1))))</f>
        <v/>
      </c>
      <c r="AH1133" s="7" t="str">
        <f aca="false">IF(OR(P1133="",AE1133=""),"",IFERROR(INDEX('لیست‌ها'!$Q$3:$Q$53,MATCH(AE1133,'لیست‌ها'!$P$3:$P$53,0))+IF(AF1133&lt;=6,(AF1133-1)*31+AG1133,IF(AF1133&lt;=11,186+(AF1133-7)*30+AG1133,336+AG1133))-1,""))</f>
        <v/>
      </c>
      <c r="AI1133" s="7" t="str">
        <f aca="false">IF(W1133="","",W1133&amp;"-"&amp;TEXT(X1133,"00"))</f>
        <v/>
      </c>
      <c r="AJ1133" s="7" t="str">
        <f aca="false">IF(W1133="","",W1133*12+X1133)</f>
        <v/>
      </c>
      <c r="AK1133" s="7" t="str">
        <f aca="false">IF(U1133="تاخیر",V1133+ROW()/100000,"")</f>
        <v/>
      </c>
    </row>
    <row r="1134" customFormat="false" ht="15" hidden="false" customHeight="false" outlineLevel="0" collapsed="false">
      <c r="A1134" s="7" t="str">
        <f aca="false">IF(B1134="","",ROW()-3)</f>
        <v/>
      </c>
      <c r="B1134" s="8"/>
      <c r="C1134" s="8"/>
      <c r="D1134" s="8"/>
      <c r="E1134" s="9"/>
      <c r="F1134" s="9"/>
      <c r="G1134" s="8"/>
      <c r="H1134" s="8"/>
      <c r="I1134" s="8"/>
      <c r="J1134" s="9"/>
      <c r="K1134" s="8"/>
      <c r="L1134" s="8"/>
      <c r="M1134" s="8"/>
      <c r="N1134" s="8"/>
      <c r="O1134" s="8"/>
      <c r="P1134" s="8"/>
      <c r="Q1134" s="8"/>
      <c r="R1134" s="9"/>
      <c r="S1134" s="8"/>
      <c r="T1134" s="9"/>
      <c r="U1134" s="10" t="str">
        <f aca="true">IF(B1134="","",IF(OR(P1134&lt;&gt;"",I1134="می‌باشد"),"بسته",IF(AND(L1134&lt;&gt;"",W1134=""),"خطای فرمت تاریخ ایجاد",IF(AND(H1134&lt;&gt;"",AA1134=""),"خطای فرمت مهلت",IF(AND(H1134&lt;&gt;"",AD1134&lt;&gt;"",TODAY()&gt;AD1134),"تاخیر",IF(L1134&lt;&gt;"","در حال انجام",""))))))</f>
        <v/>
      </c>
      <c r="V1134" s="7" t="n">
        <f aca="true">IF(U1134="تاخیر",TODAY()-AD1134,IF(AND(U1134="بسته",AH1134&lt;&gt;"",AD1134&lt;&gt;"",AH1134&gt;AD1134),AH1134-AD1134,0))</f>
        <v>0</v>
      </c>
      <c r="W1134" s="7" t="str">
        <f aca="false">IF(L1134="","",VALUE(LEFT(L1134,FIND("/",L1134)-1)))</f>
        <v/>
      </c>
      <c r="X1134" s="7" t="str">
        <f aca="false">IF(L1134="","",VALUE(MID(L1134,FIND("/",L1134)+1,FIND("/",L1134,FIND("/",L1134)+1)-FIND("/",L1134)-1)))</f>
        <v/>
      </c>
      <c r="Y1134" s="7" t="str">
        <f aca="false">IF(L1134="","",VALUE(MID(L1134,FIND("/",L1134,FIND("/",L1134)+1)+1,LEN(L1134)-FIND("/",L1134,FIND("/",L1134)+1))))</f>
        <v/>
      </c>
      <c r="Z1134" s="7" t="str">
        <f aca="false">IF(OR(L1134="",W1134=""),"",IFERROR(INDEX('لیست‌ها'!$Q$3:$Q$53,MATCH(W1134,'لیست‌ها'!$P$3:$P$53,0))+IF(X1134&lt;=6,(X1134-1)*31+Y1134,IF(X1134&lt;=11,186+(X1134-7)*30+Y1134,336+Y1134))-1,""))</f>
        <v/>
      </c>
      <c r="AA1134" s="7" t="str">
        <f aca="false">IF(H1134="","",VALUE(LEFT(H1134,FIND("/",H1134)-1)))</f>
        <v/>
      </c>
      <c r="AB1134" s="7" t="str">
        <f aca="false">IF(H1134="","",VALUE(MID(H1134,FIND("/",H1134)+1,FIND("/",H1134,FIND("/",H1134)+1)-FIND("/",H1134)-1)))</f>
        <v/>
      </c>
      <c r="AC1134" s="7" t="str">
        <f aca="false">IF(H1134="","",VALUE(MID(H1134,FIND("/",H1134,FIND("/",H1134)+1)+1,LEN(H1134)-FIND("/",H1134,FIND("/",H1134)+1))))</f>
        <v/>
      </c>
      <c r="AD1134" s="7" t="str">
        <f aca="false">IF(OR(H1134="",AA1134=""),"",IFERROR(INDEX('لیست‌ها'!$Q$3:$Q$53,MATCH(AA1134,'لیست‌ها'!$P$3:$P$53,0))+IF(AB1134&lt;=6,(AB1134-1)*31+AC1134,IF(AB1134&lt;=11,186+(AB1134-7)*30+AC1134,336+AC1134))-1,""))</f>
        <v/>
      </c>
      <c r="AE1134" s="7" t="str">
        <f aca="false">IF(P1134="","",VALUE(LEFT(P1134,FIND("/",P1134)-1)))</f>
        <v/>
      </c>
      <c r="AF1134" s="7" t="str">
        <f aca="false">IF(P1134="","",VALUE(MID(P1134,FIND("/",P1134)+1,FIND("/",P1134,FIND("/",P1134)+1)-FIND("/",P1134)-1)))</f>
        <v/>
      </c>
      <c r="AG1134" s="7" t="str">
        <f aca="false">IF(P1134="","",VALUE(MID(P1134,FIND("/",P1134,FIND("/",P1134)+1)+1,LEN(P1134)-FIND("/",P1134,FIND("/",P1134)+1))))</f>
        <v/>
      </c>
      <c r="AH1134" s="7" t="str">
        <f aca="false">IF(OR(P1134="",AE1134=""),"",IFERROR(INDEX('لیست‌ها'!$Q$3:$Q$53,MATCH(AE1134,'لیست‌ها'!$P$3:$P$53,0))+IF(AF1134&lt;=6,(AF1134-1)*31+AG1134,IF(AF1134&lt;=11,186+(AF1134-7)*30+AG1134,336+AG1134))-1,""))</f>
        <v/>
      </c>
      <c r="AI1134" s="7" t="str">
        <f aca="false">IF(W1134="","",W1134&amp;"-"&amp;TEXT(X1134,"00"))</f>
        <v/>
      </c>
      <c r="AJ1134" s="7" t="str">
        <f aca="false">IF(W1134="","",W1134*12+X1134)</f>
        <v/>
      </c>
      <c r="AK1134" s="7" t="str">
        <f aca="false">IF(U1134="تاخیر",V1134+ROW()/100000,"")</f>
        <v/>
      </c>
    </row>
    <row r="1135" customFormat="false" ht="15" hidden="false" customHeight="false" outlineLevel="0" collapsed="false">
      <c r="A1135" s="7" t="str">
        <f aca="false">IF(B1135="","",ROW()-3)</f>
        <v/>
      </c>
      <c r="B1135" s="8"/>
      <c r="C1135" s="8"/>
      <c r="D1135" s="8"/>
      <c r="E1135" s="9"/>
      <c r="F1135" s="9"/>
      <c r="G1135" s="8"/>
      <c r="H1135" s="8"/>
      <c r="I1135" s="8"/>
      <c r="J1135" s="9"/>
      <c r="K1135" s="8"/>
      <c r="L1135" s="8"/>
      <c r="M1135" s="8"/>
      <c r="N1135" s="8"/>
      <c r="O1135" s="8"/>
      <c r="P1135" s="8"/>
      <c r="Q1135" s="8"/>
      <c r="R1135" s="9"/>
      <c r="S1135" s="8"/>
      <c r="T1135" s="9"/>
      <c r="U1135" s="10" t="str">
        <f aca="true">IF(B1135="","",IF(OR(P1135&lt;&gt;"",I1135="می‌باشد"),"بسته",IF(AND(L1135&lt;&gt;"",W1135=""),"خطای فرمت تاریخ ایجاد",IF(AND(H1135&lt;&gt;"",AA1135=""),"خطای فرمت مهلت",IF(AND(H1135&lt;&gt;"",AD1135&lt;&gt;"",TODAY()&gt;AD1135),"تاخیر",IF(L1135&lt;&gt;"","در حال انجام",""))))))</f>
        <v/>
      </c>
      <c r="V1135" s="7" t="n">
        <f aca="true">IF(U1135="تاخیر",TODAY()-AD1135,IF(AND(U1135="بسته",AH1135&lt;&gt;"",AD1135&lt;&gt;"",AH1135&gt;AD1135),AH1135-AD1135,0))</f>
        <v>0</v>
      </c>
      <c r="W1135" s="7" t="str">
        <f aca="false">IF(L1135="","",VALUE(LEFT(L1135,FIND("/",L1135)-1)))</f>
        <v/>
      </c>
      <c r="X1135" s="7" t="str">
        <f aca="false">IF(L1135="","",VALUE(MID(L1135,FIND("/",L1135)+1,FIND("/",L1135,FIND("/",L1135)+1)-FIND("/",L1135)-1)))</f>
        <v/>
      </c>
      <c r="Y1135" s="7" t="str">
        <f aca="false">IF(L1135="","",VALUE(MID(L1135,FIND("/",L1135,FIND("/",L1135)+1)+1,LEN(L1135)-FIND("/",L1135,FIND("/",L1135)+1))))</f>
        <v/>
      </c>
      <c r="Z1135" s="7" t="str">
        <f aca="false">IF(OR(L1135="",W1135=""),"",IFERROR(INDEX('لیست‌ها'!$Q$3:$Q$53,MATCH(W1135,'لیست‌ها'!$P$3:$P$53,0))+IF(X1135&lt;=6,(X1135-1)*31+Y1135,IF(X1135&lt;=11,186+(X1135-7)*30+Y1135,336+Y1135))-1,""))</f>
        <v/>
      </c>
      <c r="AA1135" s="7" t="str">
        <f aca="false">IF(H1135="","",VALUE(LEFT(H1135,FIND("/",H1135)-1)))</f>
        <v/>
      </c>
      <c r="AB1135" s="7" t="str">
        <f aca="false">IF(H1135="","",VALUE(MID(H1135,FIND("/",H1135)+1,FIND("/",H1135,FIND("/",H1135)+1)-FIND("/",H1135)-1)))</f>
        <v/>
      </c>
      <c r="AC1135" s="7" t="str">
        <f aca="false">IF(H1135="","",VALUE(MID(H1135,FIND("/",H1135,FIND("/",H1135)+1)+1,LEN(H1135)-FIND("/",H1135,FIND("/",H1135)+1))))</f>
        <v/>
      </c>
      <c r="AD1135" s="7" t="str">
        <f aca="false">IF(OR(H1135="",AA1135=""),"",IFERROR(INDEX('لیست‌ها'!$Q$3:$Q$53,MATCH(AA1135,'لیست‌ها'!$P$3:$P$53,0))+IF(AB1135&lt;=6,(AB1135-1)*31+AC1135,IF(AB1135&lt;=11,186+(AB1135-7)*30+AC1135,336+AC1135))-1,""))</f>
        <v/>
      </c>
      <c r="AE1135" s="7" t="str">
        <f aca="false">IF(P1135="","",VALUE(LEFT(P1135,FIND("/",P1135)-1)))</f>
        <v/>
      </c>
      <c r="AF1135" s="7" t="str">
        <f aca="false">IF(P1135="","",VALUE(MID(P1135,FIND("/",P1135)+1,FIND("/",P1135,FIND("/",P1135)+1)-FIND("/",P1135)-1)))</f>
        <v/>
      </c>
      <c r="AG1135" s="7" t="str">
        <f aca="false">IF(P1135="","",VALUE(MID(P1135,FIND("/",P1135,FIND("/",P1135)+1)+1,LEN(P1135)-FIND("/",P1135,FIND("/",P1135)+1))))</f>
        <v/>
      </c>
      <c r="AH1135" s="7" t="str">
        <f aca="false">IF(OR(P1135="",AE1135=""),"",IFERROR(INDEX('لیست‌ها'!$Q$3:$Q$53,MATCH(AE1135,'لیست‌ها'!$P$3:$P$53,0))+IF(AF1135&lt;=6,(AF1135-1)*31+AG1135,IF(AF1135&lt;=11,186+(AF1135-7)*30+AG1135,336+AG1135))-1,""))</f>
        <v/>
      </c>
      <c r="AI1135" s="7" t="str">
        <f aca="false">IF(W1135="","",W1135&amp;"-"&amp;TEXT(X1135,"00"))</f>
        <v/>
      </c>
      <c r="AJ1135" s="7" t="str">
        <f aca="false">IF(W1135="","",W1135*12+X1135)</f>
        <v/>
      </c>
      <c r="AK1135" s="7" t="str">
        <f aca="false">IF(U1135="تاخیر",V1135+ROW()/100000,"")</f>
        <v/>
      </c>
    </row>
    <row r="1136" customFormat="false" ht="15" hidden="false" customHeight="false" outlineLevel="0" collapsed="false">
      <c r="A1136" s="7" t="str">
        <f aca="false">IF(B1136="","",ROW()-3)</f>
        <v/>
      </c>
      <c r="B1136" s="8"/>
      <c r="C1136" s="8"/>
      <c r="D1136" s="8"/>
      <c r="E1136" s="9"/>
      <c r="F1136" s="9"/>
      <c r="G1136" s="8"/>
      <c r="H1136" s="8"/>
      <c r="I1136" s="8"/>
      <c r="J1136" s="9"/>
      <c r="K1136" s="8"/>
      <c r="L1136" s="8"/>
      <c r="M1136" s="8"/>
      <c r="N1136" s="8"/>
      <c r="O1136" s="8"/>
      <c r="P1136" s="8"/>
      <c r="Q1136" s="8"/>
      <c r="R1136" s="9"/>
      <c r="S1136" s="8"/>
      <c r="T1136" s="9"/>
      <c r="U1136" s="10" t="str">
        <f aca="true">IF(B1136="","",IF(OR(P1136&lt;&gt;"",I1136="می‌باشد"),"بسته",IF(AND(L1136&lt;&gt;"",W1136=""),"خطای فرمت تاریخ ایجاد",IF(AND(H1136&lt;&gt;"",AA1136=""),"خطای فرمت مهلت",IF(AND(H1136&lt;&gt;"",AD1136&lt;&gt;"",TODAY()&gt;AD1136),"تاخیر",IF(L1136&lt;&gt;"","در حال انجام",""))))))</f>
        <v/>
      </c>
      <c r="V1136" s="7" t="n">
        <f aca="true">IF(U1136="تاخیر",TODAY()-AD1136,IF(AND(U1136="بسته",AH1136&lt;&gt;"",AD1136&lt;&gt;"",AH1136&gt;AD1136),AH1136-AD1136,0))</f>
        <v>0</v>
      </c>
      <c r="W1136" s="7" t="str">
        <f aca="false">IF(L1136="","",VALUE(LEFT(L1136,FIND("/",L1136)-1)))</f>
        <v/>
      </c>
      <c r="X1136" s="7" t="str">
        <f aca="false">IF(L1136="","",VALUE(MID(L1136,FIND("/",L1136)+1,FIND("/",L1136,FIND("/",L1136)+1)-FIND("/",L1136)-1)))</f>
        <v/>
      </c>
      <c r="Y1136" s="7" t="str">
        <f aca="false">IF(L1136="","",VALUE(MID(L1136,FIND("/",L1136,FIND("/",L1136)+1)+1,LEN(L1136)-FIND("/",L1136,FIND("/",L1136)+1))))</f>
        <v/>
      </c>
      <c r="Z1136" s="7" t="str">
        <f aca="false">IF(OR(L1136="",W1136=""),"",IFERROR(INDEX('لیست‌ها'!$Q$3:$Q$53,MATCH(W1136,'لیست‌ها'!$P$3:$P$53,0))+IF(X1136&lt;=6,(X1136-1)*31+Y1136,IF(X1136&lt;=11,186+(X1136-7)*30+Y1136,336+Y1136))-1,""))</f>
        <v/>
      </c>
      <c r="AA1136" s="7" t="str">
        <f aca="false">IF(H1136="","",VALUE(LEFT(H1136,FIND("/",H1136)-1)))</f>
        <v/>
      </c>
      <c r="AB1136" s="7" t="str">
        <f aca="false">IF(H1136="","",VALUE(MID(H1136,FIND("/",H1136)+1,FIND("/",H1136,FIND("/",H1136)+1)-FIND("/",H1136)-1)))</f>
        <v/>
      </c>
      <c r="AC1136" s="7" t="str">
        <f aca="false">IF(H1136="","",VALUE(MID(H1136,FIND("/",H1136,FIND("/",H1136)+1)+1,LEN(H1136)-FIND("/",H1136,FIND("/",H1136)+1))))</f>
        <v/>
      </c>
      <c r="AD1136" s="7" t="str">
        <f aca="false">IF(OR(H1136="",AA1136=""),"",IFERROR(INDEX('لیست‌ها'!$Q$3:$Q$53,MATCH(AA1136,'لیست‌ها'!$P$3:$P$53,0))+IF(AB1136&lt;=6,(AB1136-1)*31+AC1136,IF(AB1136&lt;=11,186+(AB1136-7)*30+AC1136,336+AC1136))-1,""))</f>
        <v/>
      </c>
      <c r="AE1136" s="7" t="str">
        <f aca="false">IF(P1136="","",VALUE(LEFT(P1136,FIND("/",P1136)-1)))</f>
        <v/>
      </c>
      <c r="AF1136" s="7" t="str">
        <f aca="false">IF(P1136="","",VALUE(MID(P1136,FIND("/",P1136)+1,FIND("/",P1136,FIND("/",P1136)+1)-FIND("/",P1136)-1)))</f>
        <v/>
      </c>
      <c r="AG1136" s="7" t="str">
        <f aca="false">IF(P1136="","",VALUE(MID(P1136,FIND("/",P1136,FIND("/",P1136)+1)+1,LEN(P1136)-FIND("/",P1136,FIND("/",P1136)+1))))</f>
        <v/>
      </c>
      <c r="AH1136" s="7" t="str">
        <f aca="false">IF(OR(P1136="",AE1136=""),"",IFERROR(INDEX('لیست‌ها'!$Q$3:$Q$53,MATCH(AE1136,'لیست‌ها'!$P$3:$P$53,0))+IF(AF1136&lt;=6,(AF1136-1)*31+AG1136,IF(AF1136&lt;=11,186+(AF1136-7)*30+AG1136,336+AG1136))-1,""))</f>
        <v/>
      </c>
      <c r="AI1136" s="7" t="str">
        <f aca="false">IF(W1136="","",W1136&amp;"-"&amp;TEXT(X1136,"00"))</f>
        <v/>
      </c>
      <c r="AJ1136" s="7" t="str">
        <f aca="false">IF(W1136="","",W1136*12+X1136)</f>
        <v/>
      </c>
      <c r="AK1136" s="7" t="str">
        <f aca="false">IF(U1136="تاخیر",V1136+ROW()/100000,"")</f>
        <v/>
      </c>
    </row>
    <row r="1137" customFormat="false" ht="15" hidden="false" customHeight="false" outlineLevel="0" collapsed="false">
      <c r="A1137" s="7" t="str">
        <f aca="false">IF(B1137="","",ROW()-3)</f>
        <v/>
      </c>
      <c r="B1137" s="8"/>
      <c r="C1137" s="8"/>
      <c r="D1137" s="8"/>
      <c r="E1137" s="9"/>
      <c r="F1137" s="9"/>
      <c r="G1137" s="8"/>
      <c r="H1137" s="8"/>
      <c r="I1137" s="8"/>
      <c r="J1137" s="9"/>
      <c r="K1137" s="8"/>
      <c r="L1137" s="8"/>
      <c r="M1137" s="8"/>
      <c r="N1137" s="8"/>
      <c r="O1137" s="8"/>
      <c r="P1137" s="8"/>
      <c r="Q1137" s="8"/>
      <c r="R1137" s="9"/>
      <c r="S1137" s="8"/>
      <c r="T1137" s="9"/>
      <c r="U1137" s="10" t="str">
        <f aca="true">IF(B1137="","",IF(OR(P1137&lt;&gt;"",I1137="می‌باشد"),"بسته",IF(AND(L1137&lt;&gt;"",W1137=""),"خطای فرمت تاریخ ایجاد",IF(AND(H1137&lt;&gt;"",AA1137=""),"خطای فرمت مهلت",IF(AND(H1137&lt;&gt;"",AD1137&lt;&gt;"",TODAY()&gt;AD1137),"تاخیر",IF(L1137&lt;&gt;"","در حال انجام",""))))))</f>
        <v/>
      </c>
      <c r="V1137" s="7" t="n">
        <f aca="true">IF(U1137="تاخیر",TODAY()-AD1137,IF(AND(U1137="بسته",AH1137&lt;&gt;"",AD1137&lt;&gt;"",AH1137&gt;AD1137),AH1137-AD1137,0))</f>
        <v>0</v>
      </c>
      <c r="W1137" s="7" t="str">
        <f aca="false">IF(L1137="","",VALUE(LEFT(L1137,FIND("/",L1137)-1)))</f>
        <v/>
      </c>
      <c r="X1137" s="7" t="str">
        <f aca="false">IF(L1137="","",VALUE(MID(L1137,FIND("/",L1137)+1,FIND("/",L1137,FIND("/",L1137)+1)-FIND("/",L1137)-1)))</f>
        <v/>
      </c>
      <c r="Y1137" s="7" t="str">
        <f aca="false">IF(L1137="","",VALUE(MID(L1137,FIND("/",L1137,FIND("/",L1137)+1)+1,LEN(L1137)-FIND("/",L1137,FIND("/",L1137)+1))))</f>
        <v/>
      </c>
      <c r="Z1137" s="7" t="str">
        <f aca="false">IF(OR(L1137="",W1137=""),"",IFERROR(INDEX('لیست‌ها'!$Q$3:$Q$53,MATCH(W1137,'لیست‌ها'!$P$3:$P$53,0))+IF(X1137&lt;=6,(X1137-1)*31+Y1137,IF(X1137&lt;=11,186+(X1137-7)*30+Y1137,336+Y1137))-1,""))</f>
        <v/>
      </c>
      <c r="AA1137" s="7" t="str">
        <f aca="false">IF(H1137="","",VALUE(LEFT(H1137,FIND("/",H1137)-1)))</f>
        <v/>
      </c>
      <c r="AB1137" s="7" t="str">
        <f aca="false">IF(H1137="","",VALUE(MID(H1137,FIND("/",H1137)+1,FIND("/",H1137,FIND("/",H1137)+1)-FIND("/",H1137)-1)))</f>
        <v/>
      </c>
      <c r="AC1137" s="7" t="str">
        <f aca="false">IF(H1137="","",VALUE(MID(H1137,FIND("/",H1137,FIND("/",H1137)+1)+1,LEN(H1137)-FIND("/",H1137,FIND("/",H1137)+1))))</f>
        <v/>
      </c>
      <c r="AD1137" s="7" t="str">
        <f aca="false">IF(OR(H1137="",AA1137=""),"",IFERROR(INDEX('لیست‌ها'!$Q$3:$Q$53,MATCH(AA1137,'لیست‌ها'!$P$3:$P$53,0))+IF(AB1137&lt;=6,(AB1137-1)*31+AC1137,IF(AB1137&lt;=11,186+(AB1137-7)*30+AC1137,336+AC1137))-1,""))</f>
        <v/>
      </c>
      <c r="AE1137" s="7" t="str">
        <f aca="false">IF(P1137="","",VALUE(LEFT(P1137,FIND("/",P1137)-1)))</f>
        <v/>
      </c>
      <c r="AF1137" s="7" t="str">
        <f aca="false">IF(P1137="","",VALUE(MID(P1137,FIND("/",P1137)+1,FIND("/",P1137,FIND("/",P1137)+1)-FIND("/",P1137)-1)))</f>
        <v/>
      </c>
      <c r="AG1137" s="7" t="str">
        <f aca="false">IF(P1137="","",VALUE(MID(P1137,FIND("/",P1137,FIND("/",P1137)+1)+1,LEN(P1137)-FIND("/",P1137,FIND("/",P1137)+1))))</f>
        <v/>
      </c>
      <c r="AH1137" s="7" t="str">
        <f aca="false">IF(OR(P1137="",AE1137=""),"",IFERROR(INDEX('لیست‌ها'!$Q$3:$Q$53,MATCH(AE1137,'لیست‌ها'!$P$3:$P$53,0))+IF(AF1137&lt;=6,(AF1137-1)*31+AG1137,IF(AF1137&lt;=11,186+(AF1137-7)*30+AG1137,336+AG1137))-1,""))</f>
        <v/>
      </c>
      <c r="AI1137" s="7" t="str">
        <f aca="false">IF(W1137="","",W1137&amp;"-"&amp;TEXT(X1137,"00"))</f>
        <v/>
      </c>
      <c r="AJ1137" s="7" t="str">
        <f aca="false">IF(W1137="","",W1137*12+X1137)</f>
        <v/>
      </c>
      <c r="AK1137" s="7" t="str">
        <f aca="false">IF(U1137="تاخیر",V1137+ROW()/100000,"")</f>
        <v/>
      </c>
    </row>
    <row r="1138" customFormat="false" ht="15" hidden="false" customHeight="false" outlineLevel="0" collapsed="false">
      <c r="A1138" s="7" t="str">
        <f aca="false">IF(B1138="","",ROW()-3)</f>
        <v/>
      </c>
      <c r="B1138" s="8"/>
      <c r="C1138" s="8"/>
      <c r="D1138" s="8"/>
      <c r="E1138" s="9"/>
      <c r="F1138" s="9"/>
      <c r="G1138" s="8"/>
      <c r="H1138" s="8"/>
      <c r="I1138" s="8"/>
      <c r="J1138" s="9"/>
      <c r="K1138" s="8"/>
      <c r="L1138" s="8"/>
      <c r="M1138" s="8"/>
      <c r="N1138" s="8"/>
      <c r="O1138" s="8"/>
      <c r="P1138" s="8"/>
      <c r="Q1138" s="8"/>
      <c r="R1138" s="9"/>
      <c r="S1138" s="8"/>
      <c r="T1138" s="9"/>
      <c r="U1138" s="10" t="str">
        <f aca="true">IF(B1138="","",IF(OR(P1138&lt;&gt;"",I1138="می‌باشد"),"بسته",IF(AND(L1138&lt;&gt;"",W1138=""),"خطای فرمت تاریخ ایجاد",IF(AND(H1138&lt;&gt;"",AA1138=""),"خطای فرمت مهلت",IF(AND(H1138&lt;&gt;"",AD1138&lt;&gt;"",TODAY()&gt;AD1138),"تاخیر",IF(L1138&lt;&gt;"","در حال انجام",""))))))</f>
        <v/>
      </c>
      <c r="V1138" s="7" t="n">
        <f aca="true">IF(U1138="تاخیر",TODAY()-AD1138,IF(AND(U1138="بسته",AH1138&lt;&gt;"",AD1138&lt;&gt;"",AH1138&gt;AD1138),AH1138-AD1138,0))</f>
        <v>0</v>
      </c>
      <c r="W1138" s="7" t="str">
        <f aca="false">IF(L1138="","",VALUE(LEFT(L1138,FIND("/",L1138)-1)))</f>
        <v/>
      </c>
      <c r="X1138" s="7" t="str">
        <f aca="false">IF(L1138="","",VALUE(MID(L1138,FIND("/",L1138)+1,FIND("/",L1138,FIND("/",L1138)+1)-FIND("/",L1138)-1)))</f>
        <v/>
      </c>
      <c r="Y1138" s="7" t="str">
        <f aca="false">IF(L1138="","",VALUE(MID(L1138,FIND("/",L1138,FIND("/",L1138)+1)+1,LEN(L1138)-FIND("/",L1138,FIND("/",L1138)+1))))</f>
        <v/>
      </c>
      <c r="Z1138" s="7" t="str">
        <f aca="false">IF(OR(L1138="",W1138=""),"",IFERROR(INDEX('لیست‌ها'!$Q$3:$Q$53,MATCH(W1138,'لیست‌ها'!$P$3:$P$53,0))+IF(X1138&lt;=6,(X1138-1)*31+Y1138,IF(X1138&lt;=11,186+(X1138-7)*30+Y1138,336+Y1138))-1,""))</f>
        <v/>
      </c>
      <c r="AA1138" s="7" t="str">
        <f aca="false">IF(H1138="","",VALUE(LEFT(H1138,FIND("/",H1138)-1)))</f>
        <v/>
      </c>
      <c r="AB1138" s="7" t="str">
        <f aca="false">IF(H1138="","",VALUE(MID(H1138,FIND("/",H1138)+1,FIND("/",H1138,FIND("/",H1138)+1)-FIND("/",H1138)-1)))</f>
        <v/>
      </c>
      <c r="AC1138" s="7" t="str">
        <f aca="false">IF(H1138="","",VALUE(MID(H1138,FIND("/",H1138,FIND("/",H1138)+1)+1,LEN(H1138)-FIND("/",H1138,FIND("/",H1138)+1))))</f>
        <v/>
      </c>
      <c r="AD1138" s="7" t="str">
        <f aca="false">IF(OR(H1138="",AA1138=""),"",IFERROR(INDEX('لیست‌ها'!$Q$3:$Q$53,MATCH(AA1138,'لیست‌ها'!$P$3:$P$53,0))+IF(AB1138&lt;=6,(AB1138-1)*31+AC1138,IF(AB1138&lt;=11,186+(AB1138-7)*30+AC1138,336+AC1138))-1,""))</f>
        <v/>
      </c>
      <c r="AE1138" s="7" t="str">
        <f aca="false">IF(P1138="","",VALUE(LEFT(P1138,FIND("/",P1138)-1)))</f>
        <v/>
      </c>
      <c r="AF1138" s="7" t="str">
        <f aca="false">IF(P1138="","",VALUE(MID(P1138,FIND("/",P1138)+1,FIND("/",P1138,FIND("/",P1138)+1)-FIND("/",P1138)-1)))</f>
        <v/>
      </c>
      <c r="AG1138" s="7" t="str">
        <f aca="false">IF(P1138="","",VALUE(MID(P1138,FIND("/",P1138,FIND("/",P1138)+1)+1,LEN(P1138)-FIND("/",P1138,FIND("/",P1138)+1))))</f>
        <v/>
      </c>
      <c r="AH1138" s="7" t="str">
        <f aca="false">IF(OR(P1138="",AE1138=""),"",IFERROR(INDEX('لیست‌ها'!$Q$3:$Q$53,MATCH(AE1138,'لیست‌ها'!$P$3:$P$53,0))+IF(AF1138&lt;=6,(AF1138-1)*31+AG1138,IF(AF1138&lt;=11,186+(AF1138-7)*30+AG1138,336+AG1138))-1,""))</f>
        <v/>
      </c>
      <c r="AI1138" s="7" t="str">
        <f aca="false">IF(W1138="","",W1138&amp;"-"&amp;TEXT(X1138,"00"))</f>
        <v/>
      </c>
      <c r="AJ1138" s="7" t="str">
        <f aca="false">IF(W1138="","",W1138*12+X1138)</f>
        <v/>
      </c>
      <c r="AK1138" s="7" t="str">
        <f aca="false">IF(U1138="تاخیر",V1138+ROW()/100000,"")</f>
        <v/>
      </c>
    </row>
    <row r="1139" customFormat="false" ht="15" hidden="false" customHeight="false" outlineLevel="0" collapsed="false">
      <c r="A1139" s="7" t="str">
        <f aca="false">IF(B1139="","",ROW()-3)</f>
        <v/>
      </c>
      <c r="B1139" s="8"/>
      <c r="C1139" s="8"/>
      <c r="D1139" s="8"/>
      <c r="E1139" s="9"/>
      <c r="F1139" s="9"/>
      <c r="G1139" s="8"/>
      <c r="H1139" s="8"/>
      <c r="I1139" s="8"/>
      <c r="J1139" s="9"/>
      <c r="K1139" s="8"/>
      <c r="L1139" s="8"/>
      <c r="M1139" s="8"/>
      <c r="N1139" s="8"/>
      <c r="O1139" s="8"/>
      <c r="P1139" s="8"/>
      <c r="Q1139" s="8"/>
      <c r="R1139" s="9"/>
      <c r="S1139" s="8"/>
      <c r="T1139" s="9"/>
      <c r="U1139" s="10" t="str">
        <f aca="true">IF(B1139="","",IF(OR(P1139&lt;&gt;"",I1139="می‌باشد"),"بسته",IF(AND(L1139&lt;&gt;"",W1139=""),"خطای فرمت تاریخ ایجاد",IF(AND(H1139&lt;&gt;"",AA1139=""),"خطای فرمت مهلت",IF(AND(H1139&lt;&gt;"",AD1139&lt;&gt;"",TODAY()&gt;AD1139),"تاخیر",IF(L1139&lt;&gt;"","در حال انجام",""))))))</f>
        <v/>
      </c>
      <c r="V1139" s="7" t="n">
        <f aca="true">IF(U1139="تاخیر",TODAY()-AD1139,IF(AND(U1139="بسته",AH1139&lt;&gt;"",AD1139&lt;&gt;"",AH1139&gt;AD1139),AH1139-AD1139,0))</f>
        <v>0</v>
      </c>
      <c r="W1139" s="7" t="str">
        <f aca="false">IF(L1139="","",VALUE(LEFT(L1139,FIND("/",L1139)-1)))</f>
        <v/>
      </c>
      <c r="X1139" s="7" t="str">
        <f aca="false">IF(L1139="","",VALUE(MID(L1139,FIND("/",L1139)+1,FIND("/",L1139,FIND("/",L1139)+1)-FIND("/",L1139)-1)))</f>
        <v/>
      </c>
      <c r="Y1139" s="7" t="str">
        <f aca="false">IF(L1139="","",VALUE(MID(L1139,FIND("/",L1139,FIND("/",L1139)+1)+1,LEN(L1139)-FIND("/",L1139,FIND("/",L1139)+1))))</f>
        <v/>
      </c>
      <c r="Z1139" s="7" t="str">
        <f aca="false">IF(OR(L1139="",W1139=""),"",IFERROR(INDEX('لیست‌ها'!$Q$3:$Q$53,MATCH(W1139,'لیست‌ها'!$P$3:$P$53,0))+IF(X1139&lt;=6,(X1139-1)*31+Y1139,IF(X1139&lt;=11,186+(X1139-7)*30+Y1139,336+Y1139))-1,""))</f>
        <v/>
      </c>
      <c r="AA1139" s="7" t="str">
        <f aca="false">IF(H1139="","",VALUE(LEFT(H1139,FIND("/",H1139)-1)))</f>
        <v/>
      </c>
      <c r="AB1139" s="7" t="str">
        <f aca="false">IF(H1139="","",VALUE(MID(H1139,FIND("/",H1139)+1,FIND("/",H1139,FIND("/",H1139)+1)-FIND("/",H1139)-1)))</f>
        <v/>
      </c>
      <c r="AC1139" s="7" t="str">
        <f aca="false">IF(H1139="","",VALUE(MID(H1139,FIND("/",H1139,FIND("/",H1139)+1)+1,LEN(H1139)-FIND("/",H1139,FIND("/",H1139)+1))))</f>
        <v/>
      </c>
      <c r="AD1139" s="7" t="str">
        <f aca="false">IF(OR(H1139="",AA1139=""),"",IFERROR(INDEX('لیست‌ها'!$Q$3:$Q$53,MATCH(AA1139,'لیست‌ها'!$P$3:$P$53,0))+IF(AB1139&lt;=6,(AB1139-1)*31+AC1139,IF(AB1139&lt;=11,186+(AB1139-7)*30+AC1139,336+AC1139))-1,""))</f>
        <v/>
      </c>
      <c r="AE1139" s="7" t="str">
        <f aca="false">IF(P1139="","",VALUE(LEFT(P1139,FIND("/",P1139)-1)))</f>
        <v/>
      </c>
      <c r="AF1139" s="7" t="str">
        <f aca="false">IF(P1139="","",VALUE(MID(P1139,FIND("/",P1139)+1,FIND("/",P1139,FIND("/",P1139)+1)-FIND("/",P1139)-1)))</f>
        <v/>
      </c>
      <c r="AG1139" s="7" t="str">
        <f aca="false">IF(P1139="","",VALUE(MID(P1139,FIND("/",P1139,FIND("/",P1139)+1)+1,LEN(P1139)-FIND("/",P1139,FIND("/",P1139)+1))))</f>
        <v/>
      </c>
      <c r="AH1139" s="7" t="str">
        <f aca="false">IF(OR(P1139="",AE1139=""),"",IFERROR(INDEX('لیست‌ها'!$Q$3:$Q$53,MATCH(AE1139,'لیست‌ها'!$P$3:$P$53,0))+IF(AF1139&lt;=6,(AF1139-1)*31+AG1139,IF(AF1139&lt;=11,186+(AF1139-7)*30+AG1139,336+AG1139))-1,""))</f>
        <v/>
      </c>
      <c r="AI1139" s="7" t="str">
        <f aca="false">IF(W1139="","",W1139&amp;"-"&amp;TEXT(X1139,"00"))</f>
        <v/>
      </c>
      <c r="AJ1139" s="7" t="str">
        <f aca="false">IF(W1139="","",W1139*12+X1139)</f>
        <v/>
      </c>
      <c r="AK1139" s="7" t="str">
        <f aca="false">IF(U1139="تاخیر",V1139+ROW()/100000,"")</f>
        <v/>
      </c>
    </row>
    <row r="1140" customFormat="false" ht="15" hidden="false" customHeight="false" outlineLevel="0" collapsed="false">
      <c r="A1140" s="7" t="str">
        <f aca="false">IF(B1140="","",ROW()-3)</f>
        <v/>
      </c>
      <c r="B1140" s="8"/>
      <c r="C1140" s="8"/>
      <c r="D1140" s="8"/>
      <c r="E1140" s="9"/>
      <c r="F1140" s="9"/>
      <c r="G1140" s="8"/>
      <c r="H1140" s="8"/>
      <c r="I1140" s="8"/>
      <c r="J1140" s="9"/>
      <c r="K1140" s="8"/>
      <c r="L1140" s="8"/>
      <c r="M1140" s="8"/>
      <c r="N1140" s="8"/>
      <c r="O1140" s="8"/>
      <c r="P1140" s="8"/>
      <c r="Q1140" s="8"/>
      <c r="R1140" s="9"/>
      <c r="S1140" s="8"/>
      <c r="T1140" s="9"/>
      <c r="U1140" s="10" t="str">
        <f aca="true">IF(B1140="","",IF(OR(P1140&lt;&gt;"",I1140="می‌باشد"),"بسته",IF(AND(L1140&lt;&gt;"",W1140=""),"خطای فرمت تاریخ ایجاد",IF(AND(H1140&lt;&gt;"",AA1140=""),"خطای فرمت مهلت",IF(AND(H1140&lt;&gt;"",AD1140&lt;&gt;"",TODAY()&gt;AD1140),"تاخیر",IF(L1140&lt;&gt;"","در حال انجام",""))))))</f>
        <v/>
      </c>
      <c r="V1140" s="7" t="n">
        <f aca="true">IF(U1140="تاخیر",TODAY()-AD1140,IF(AND(U1140="بسته",AH1140&lt;&gt;"",AD1140&lt;&gt;"",AH1140&gt;AD1140),AH1140-AD1140,0))</f>
        <v>0</v>
      </c>
      <c r="W1140" s="7" t="str">
        <f aca="false">IF(L1140="","",VALUE(LEFT(L1140,FIND("/",L1140)-1)))</f>
        <v/>
      </c>
      <c r="X1140" s="7" t="str">
        <f aca="false">IF(L1140="","",VALUE(MID(L1140,FIND("/",L1140)+1,FIND("/",L1140,FIND("/",L1140)+1)-FIND("/",L1140)-1)))</f>
        <v/>
      </c>
      <c r="Y1140" s="7" t="str">
        <f aca="false">IF(L1140="","",VALUE(MID(L1140,FIND("/",L1140,FIND("/",L1140)+1)+1,LEN(L1140)-FIND("/",L1140,FIND("/",L1140)+1))))</f>
        <v/>
      </c>
      <c r="Z1140" s="7" t="str">
        <f aca="false">IF(OR(L1140="",W1140=""),"",IFERROR(INDEX('لیست‌ها'!$Q$3:$Q$53,MATCH(W1140,'لیست‌ها'!$P$3:$P$53,0))+IF(X1140&lt;=6,(X1140-1)*31+Y1140,IF(X1140&lt;=11,186+(X1140-7)*30+Y1140,336+Y1140))-1,""))</f>
        <v/>
      </c>
      <c r="AA1140" s="7" t="str">
        <f aca="false">IF(H1140="","",VALUE(LEFT(H1140,FIND("/",H1140)-1)))</f>
        <v/>
      </c>
      <c r="AB1140" s="7" t="str">
        <f aca="false">IF(H1140="","",VALUE(MID(H1140,FIND("/",H1140)+1,FIND("/",H1140,FIND("/",H1140)+1)-FIND("/",H1140)-1)))</f>
        <v/>
      </c>
      <c r="AC1140" s="7" t="str">
        <f aca="false">IF(H1140="","",VALUE(MID(H1140,FIND("/",H1140,FIND("/",H1140)+1)+1,LEN(H1140)-FIND("/",H1140,FIND("/",H1140)+1))))</f>
        <v/>
      </c>
      <c r="AD1140" s="7" t="str">
        <f aca="false">IF(OR(H1140="",AA1140=""),"",IFERROR(INDEX('لیست‌ها'!$Q$3:$Q$53,MATCH(AA1140,'لیست‌ها'!$P$3:$P$53,0))+IF(AB1140&lt;=6,(AB1140-1)*31+AC1140,IF(AB1140&lt;=11,186+(AB1140-7)*30+AC1140,336+AC1140))-1,""))</f>
        <v/>
      </c>
      <c r="AE1140" s="7" t="str">
        <f aca="false">IF(P1140="","",VALUE(LEFT(P1140,FIND("/",P1140)-1)))</f>
        <v/>
      </c>
      <c r="AF1140" s="7" t="str">
        <f aca="false">IF(P1140="","",VALUE(MID(P1140,FIND("/",P1140)+1,FIND("/",P1140,FIND("/",P1140)+1)-FIND("/",P1140)-1)))</f>
        <v/>
      </c>
      <c r="AG1140" s="7" t="str">
        <f aca="false">IF(P1140="","",VALUE(MID(P1140,FIND("/",P1140,FIND("/",P1140)+1)+1,LEN(P1140)-FIND("/",P1140,FIND("/",P1140)+1))))</f>
        <v/>
      </c>
      <c r="AH1140" s="7" t="str">
        <f aca="false">IF(OR(P1140="",AE1140=""),"",IFERROR(INDEX('لیست‌ها'!$Q$3:$Q$53,MATCH(AE1140,'لیست‌ها'!$P$3:$P$53,0))+IF(AF1140&lt;=6,(AF1140-1)*31+AG1140,IF(AF1140&lt;=11,186+(AF1140-7)*30+AG1140,336+AG1140))-1,""))</f>
        <v/>
      </c>
      <c r="AI1140" s="7" t="str">
        <f aca="false">IF(W1140="","",W1140&amp;"-"&amp;TEXT(X1140,"00"))</f>
        <v/>
      </c>
      <c r="AJ1140" s="7" t="str">
        <f aca="false">IF(W1140="","",W1140*12+X1140)</f>
        <v/>
      </c>
      <c r="AK1140" s="7" t="str">
        <f aca="false">IF(U1140="تاخیر",V1140+ROW()/100000,"")</f>
        <v/>
      </c>
    </row>
    <row r="1141" customFormat="false" ht="15" hidden="false" customHeight="false" outlineLevel="0" collapsed="false">
      <c r="A1141" s="7" t="str">
        <f aca="false">IF(B1141="","",ROW()-3)</f>
        <v/>
      </c>
      <c r="B1141" s="8"/>
      <c r="C1141" s="8"/>
      <c r="D1141" s="8"/>
      <c r="E1141" s="9"/>
      <c r="F1141" s="9"/>
      <c r="G1141" s="8"/>
      <c r="H1141" s="8"/>
      <c r="I1141" s="8"/>
      <c r="J1141" s="9"/>
      <c r="K1141" s="8"/>
      <c r="L1141" s="8"/>
      <c r="M1141" s="8"/>
      <c r="N1141" s="8"/>
      <c r="O1141" s="8"/>
      <c r="P1141" s="8"/>
      <c r="Q1141" s="8"/>
      <c r="R1141" s="9"/>
      <c r="S1141" s="8"/>
      <c r="T1141" s="9"/>
      <c r="U1141" s="10" t="str">
        <f aca="true">IF(B1141="","",IF(OR(P1141&lt;&gt;"",I1141="می‌باشد"),"بسته",IF(AND(L1141&lt;&gt;"",W1141=""),"خطای فرمت تاریخ ایجاد",IF(AND(H1141&lt;&gt;"",AA1141=""),"خطای فرمت مهلت",IF(AND(H1141&lt;&gt;"",AD1141&lt;&gt;"",TODAY()&gt;AD1141),"تاخیر",IF(L1141&lt;&gt;"","در حال انجام",""))))))</f>
        <v/>
      </c>
      <c r="V1141" s="7" t="n">
        <f aca="true">IF(U1141="تاخیر",TODAY()-AD1141,IF(AND(U1141="بسته",AH1141&lt;&gt;"",AD1141&lt;&gt;"",AH1141&gt;AD1141),AH1141-AD1141,0))</f>
        <v>0</v>
      </c>
      <c r="W1141" s="7" t="str">
        <f aca="false">IF(L1141="","",VALUE(LEFT(L1141,FIND("/",L1141)-1)))</f>
        <v/>
      </c>
      <c r="X1141" s="7" t="str">
        <f aca="false">IF(L1141="","",VALUE(MID(L1141,FIND("/",L1141)+1,FIND("/",L1141,FIND("/",L1141)+1)-FIND("/",L1141)-1)))</f>
        <v/>
      </c>
      <c r="Y1141" s="7" t="str">
        <f aca="false">IF(L1141="","",VALUE(MID(L1141,FIND("/",L1141,FIND("/",L1141)+1)+1,LEN(L1141)-FIND("/",L1141,FIND("/",L1141)+1))))</f>
        <v/>
      </c>
      <c r="Z1141" s="7" t="str">
        <f aca="false">IF(OR(L1141="",W1141=""),"",IFERROR(INDEX('لیست‌ها'!$Q$3:$Q$53,MATCH(W1141,'لیست‌ها'!$P$3:$P$53,0))+IF(X1141&lt;=6,(X1141-1)*31+Y1141,IF(X1141&lt;=11,186+(X1141-7)*30+Y1141,336+Y1141))-1,""))</f>
        <v/>
      </c>
      <c r="AA1141" s="7" t="str">
        <f aca="false">IF(H1141="","",VALUE(LEFT(H1141,FIND("/",H1141)-1)))</f>
        <v/>
      </c>
      <c r="AB1141" s="7" t="str">
        <f aca="false">IF(H1141="","",VALUE(MID(H1141,FIND("/",H1141)+1,FIND("/",H1141,FIND("/",H1141)+1)-FIND("/",H1141)-1)))</f>
        <v/>
      </c>
      <c r="AC1141" s="7" t="str">
        <f aca="false">IF(H1141="","",VALUE(MID(H1141,FIND("/",H1141,FIND("/",H1141)+1)+1,LEN(H1141)-FIND("/",H1141,FIND("/",H1141)+1))))</f>
        <v/>
      </c>
      <c r="AD1141" s="7" t="str">
        <f aca="false">IF(OR(H1141="",AA1141=""),"",IFERROR(INDEX('لیست‌ها'!$Q$3:$Q$53,MATCH(AA1141,'لیست‌ها'!$P$3:$P$53,0))+IF(AB1141&lt;=6,(AB1141-1)*31+AC1141,IF(AB1141&lt;=11,186+(AB1141-7)*30+AC1141,336+AC1141))-1,""))</f>
        <v/>
      </c>
      <c r="AE1141" s="7" t="str">
        <f aca="false">IF(P1141="","",VALUE(LEFT(P1141,FIND("/",P1141)-1)))</f>
        <v/>
      </c>
      <c r="AF1141" s="7" t="str">
        <f aca="false">IF(P1141="","",VALUE(MID(P1141,FIND("/",P1141)+1,FIND("/",P1141,FIND("/",P1141)+1)-FIND("/",P1141)-1)))</f>
        <v/>
      </c>
      <c r="AG1141" s="7" t="str">
        <f aca="false">IF(P1141="","",VALUE(MID(P1141,FIND("/",P1141,FIND("/",P1141)+1)+1,LEN(P1141)-FIND("/",P1141,FIND("/",P1141)+1))))</f>
        <v/>
      </c>
      <c r="AH1141" s="7" t="str">
        <f aca="false">IF(OR(P1141="",AE1141=""),"",IFERROR(INDEX('لیست‌ها'!$Q$3:$Q$53,MATCH(AE1141,'لیست‌ها'!$P$3:$P$53,0))+IF(AF1141&lt;=6,(AF1141-1)*31+AG1141,IF(AF1141&lt;=11,186+(AF1141-7)*30+AG1141,336+AG1141))-1,""))</f>
        <v/>
      </c>
      <c r="AI1141" s="7" t="str">
        <f aca="false">IF(W1141="","",W1141&amp;"-"&amp;TEXT(X1141,"00"))</f>
        <v/>
      </c>
      <c r="AJ1141" s="7" t="str">
        <f aca="false">IF(W1141="","",W1141*12+X1141)</f>
        <v/>
      </c>
      <c r="AK1141" s="7" t="str">
        <f aca="false">IF(U1141="تاخیر",V1141+ROW()/100000,"")</f>
        <v/>
      </c>
    </row>
    <row r="1142" customFormat="false" ht="15" hidden="false" customHeight="false" outlineLevel="0" collapsed="false">
      <c r="A1142" s="7" t="str">
        <f aca="false">IF(B1142="","",ROW()-3)</f>
        <v/>
      </c>
      <c r="B1142" s="8"/>
      <c r="C1142" s="8"/>
      <c r="D1142" s="8"/>
      <c r="E1142" s="9"/>
      <c r="F1142" s="9"/>
      <c r="G1142" s="8"/>
      <c r="H1142" s="8"/>
      <c r="I1142" s="8"/>
      <c r="J1142" s="9"/>
      <c r="K1142" s="8"/>
      <c r="L1142" s="8"/>
      <c r="M1142" s="8"/>
      <c r="N1142" s="8"/>
      <c r="O1142" s="8"/>
      <c r="P1142" s="8"/>
      <c r="Q1142" s="8"/>
      <c r="R1142" s="9"/>
      <c r="S1142" s="8"/>
      <c r="T1142" s="9"/>
      <c r="U1142" s="10" t="str">
        <f aca="true">IF(B1142="","",IF(OR(P1142&lt;&gt;"",I1142="می‌باشد"),"بسته",IF(AND(L1142&lt;&gt;"",W1142=""),"خطای فرمت تاریخ ایجاد",IF(AND(H1142&lt;&gt;"",AA1142=""),"خطای فرمت مهلت",IF(AND(H1142&lt;&gt;"",AD1142&lt;&gt;"",TODAY()&gt;AD1142),"تاخیر",IF(L1142&lt;&gt;"","در حال انجام",""))))))</f>
        <v/>
      </c>
      <c r="V1142" s="7" t="n">
        <f aca="true">IF(U1142="تاخیر",TODAY()-AD1142,IF(AND(U1142="بسته",AH1142&lt;&gt;"",AD1142&lt;&gt;"",AH1142&gt;AD1142),AH1142-AD1142,0))</f>
        <v>0</v>
      </c>
      <c r="W1142" s="7" t="str">
        <f aca="false">IF(L1142="","",VALUE(LEFT(L1142,FIND("/",L1142)-1)))</f>
        <v/>
      </c>
      <c r="X1142" s="7" t="str">
        <f aca="false">IF(L1142="","",VALUE(MID(L1142,FIND("/",L1142)+1,FIND("/",L1142,FIND("/",L1142)+1)-FIND("/",L1142)-1)))</f>
        <v/>
      </c>
      <c r="Y1142" s="7" t="str">
        <f aca="false">IF(L1142="","",VALUE(MID(L1142,FIND("/",L1142,FIND("/",L1142)+1)+1,LEN(L1142)-FIND("/",L1142,FIND("/",L1142)+1))))</f>
        <v/>
      </c>
      <c r="Z1142" s="7" t="str">
        <f aca="false">IF(OR(L1142="",W1142=""),"",IFERROR(INDEX('لیست‌ها'!$Q$3:$Q$53,MATCH(W1142,'لیست‌ها'!$P$3:$P$53,0))+IF(X1142&lt;=6,(X1142-1)*31+Y1142,IF(X1142&lt;=11,186+(X1142-7)*30+Y1142,336+Y1142))-1,""))</f>
        <v/>
      </c>
      <c r="AA1142" s="7" t="str">
        <f aca="false">IF(H1142="","",VALUE(LEFT(H1142,FIND("/",H1142)-1)))</f>
        <v/>
      </c>
      <c r="AB1142" s="7" t="str">
        <f aca="false">IF(H1142="","",VALUE(MID(H1142,FIND("/",H1142)+1,FIND("/",H1142,FIND("/",H1142)+1)-FIND("/",H1142)-1)))</f>
        <v/>
      </c>
      <c r="AC1142" s="7" t="str">
        <f aca="false">IF(H1142="","",VALUE(MID(H1142,FIND("/",H1142,FIND("/",H1142)+1)+1,LEN(H1142)-FIND("/",H1142,FIND("/",H1142)+1))))</f>
        <v/>
      </c>
      <c r="AD1142" s="7" t="str">
        <f aca="false">IF(OR(H1142="",AA1142=""),"",IFERROR(INDEX('لیست‌ها'!$Q$3:$Q$53,MATCH(AA1142,'لیست‌ها'!$P$3:$P$53,0))+IF(AB1142&lt;=6,(AB1142-1)*31+AC1142,IF(AB1142&lt;=11,186+(AB1142-7)*30+AC1142,336+AC1142))-1,""))</f>
        <v/>
      </c>
      <c r="AE1142" s="7" t="str">
        <f aca="false">IF(P1142="","",VALUE(LEFT(P1142,FIND("/",P1142)-1)))</f>
        <v/>
      </c>
      <c r="AF1142" s="7" t="str">
        <f aca="false">IF(P1142="","",VALUE(MID(P1142,FIND("/",P1142)+1,FIND("/",P1142,FIND("/",P1142)+1)-FIND("/",P1142)-1)))</f>
        <v/>
      </c>
      <c r="AG1142" s="7" t="str">
        <f aca="false">IF(P1142="","",VALUE(MID(P1142,FIND("/",P1142,FIND("/",P1142)+1)+1,LEN(P1142)-FIND("/",P1142,FIND("/",P1142)+1))))</f>
        <v/>
      </c>
      <c r="AH1142" s="7" t="str">
        <f aca="false">IF(OR(P1142="",AE1142=""),"",IFERROR(INDEX('لیست‌ها'!$Q$3:$Q$53,MATCH(AE1142,'لیست‌ها'!$P$3:$P$53,0))+IF(AF1142&lt;=6,(AF1142-1)*31+AG1142,IF(AF1142&lt;=11,186+(AF1142-7)*30+AG1142,336+AG1142))-1,""))</f>
        <v/>
      </c>
      <c r="AI1142" s="7" t="str">
        <f aca="false">IF(W1142="","",W1142&amp;"-"&amp;TEXT(X1142,"00"))</f>
        <v/>
      </c>
      <c r="AJ1142" s="7" t="str">
        <f aca="false">IF(W1142="","",W1142*12+X1142)</f>
        <v/>
      </c>
      <c r="AK1142" s="7" t="str">
        <f aca="false">IF(U1142="تاخیر",V1142+ROW()/100000,"")</f>
        <v/>
      </c>
    </row>
    <row r="1143" customFormat="false" ht="15" hidden="false" customHeight="false" outlineLevel="0" collapsed="false">
      <c r="A1143" s="7" t="str">
        <f aca="false">IF(B1143="","",ROW()-3)</f>
        <v/>
      </c>
      <c r="B1143" s="8"/>
      <c r="C1143" s="8"/>
      <c r="D1143" s="8"/>
      <c r="E1143" s="9"/>
      <c r="F1143" s="9"/>
      <c r="G1143" s="8"/>
      <c r="H1143" s="8"/>
      <c r="I1143" s="8"/>
      <c r="J1143" s="9"/>
      <c r="K1143" s="8"/>
      <c r="L1143" s="8"/>
      <c r="M1143" s="8"/>
      <c r="N1143" s="8"/>
      <c r="O1143" s="8"/>
      <c r="P1143" s="8"/>
      <c r="Q1143" s="8"/>
      <c r="R1143" s="9"/>
      <c r="S1143" s="8"/>
      <c r="T1143" s="9"/>
      <c r="U1143" s="10" t="str">
        <f aca="true">IF(B1143="","",IF(OR(P1143&lt;&gt;"",I1143="می‌باشد"),"بسته",IF(AND(L1143&lt;&gt;"",W1143=""),"خطای فرمت تاریخ ایجاد",IF(AND(H1143&lt;&gt;"",AA1143=""),"خطای فرمت مهلت",IF(AND(H1143&lt;&gt;"",AD1143&lt;&gt;"",TODAY()&gt;AD1143),"تاخیر",IF(L1143&lt;&gt;"","در حال انجام",""))))))</f>
        <v/>
      </c>
      <c r="V1143" s="7" t="n">
        <f aca="true">IF(U1143="تاخیر",TODAY()-AD1143,IF(AND(U1143="بسته",AH1143&lt;&gt;"",AD1143&lt;&gt;"",AH1143&gt;AD1143),AH1143-AD1143,0))</f>
        <v>0</v>
      </c>
      <c r="W1143" s="7" t="str">
        <f aca="false">IF(L1143="","",VALUE(LEFT(L1143,FIND("/",L1143)-1)))</f>
        <v/>
      </c>
      <c r="X1143" s="7" t="str">
        <f aca="false">IF(L1143="","",VALUE(MID(L1143,FIND("/",L1143)+1,FIND("/",L1143,FIND("/",L1143)+1)-FIND("/",L1143)-1)))</f>
        <v/>
      </c>
      <c r="Y1143" s="7" t="str">
        <f aca="false">IF(L1143="","",VALUE(MID(L1143,FIND("/",L1143,FIND("/",L1143)+1)+1,LEN(L1143)-FIND("/",L1143,FIND("/",L1143)+1))))</f>
        <v/>
      </c>
      <c r="Z1143" s="7" t="str">
        <f aca="false">IF(OR(L1143="",W1143=""),"",IFERROR(INDEX('لیست‌ها'!$Q$3:$Q$53,MATCH(W1143,'لیست‌ها'!$P$3:$P$53,0))+IF(X1143&lt;=6,(X1143-1)*31+Y1143,IF(X1143&lt;=11,186+(X1143-7)*30+Y1143,336+Y1143))-1,""))</f>
        <v/>
      </c>
      <c r="AA1143" s="7" t="str">
        <f aca="false">IF(H1143="","",VALUE(LEFT(H1143,FIND("/",H1143)-1)))</f>
        <v/>
      </c>
      <c r="AB1143" s="7" t="str">
        <f aca="false">IF(H1143="","",VALUE(MID(H1143,FIND("/",H1143)+1,FIND("/",H1143,FIND("/",H1143)+1)-FIND("/",H1143)-1)))</f>
        <v/>
      </c>
      <c r="AC1143" s="7" t="str">
        <f aca="false">IF(H1143="","",VALUE(MID(H1143,FIND("/",H1143,FIND("/",H1143)+1)+1,LEN(H1143)-FIND("/",H1143,FIND("/",H1143)+1))))</f>
        <v/>
      </c>
      <c r="AD1143" s="7" t="str">
        <f aca="false">IF(OR(H1143="",AA1143=""),"",IFERROR(INDEX('لیست‌ها'!$Q$3:$Q$53,MATCH(AA1143,'لیست‌ها'!$P$3:$P$53,0))+IF(AB1143&lt;=6,(AB1143-1)*31+AC1143,IF(AB1143&lt;=11,186+(AB1143-7)*30+AC1143,336+AC1143))-1,""))</f>
        <v/>
      </c>
      <c r="AE1143" s="7" t="str">
        <f aca="false">IF(P1143="","",VALUE(LEFT(P1143,FIND("/",P1143)-1)))</f>
        <v/>
      </c>
      <c r="AF1143" s="7" t="str">
        <f aca="false">IF(P1143="","",VALUE(MID(P1143,FIND("/",P1143)+1,FIND("/",P1143,FIND("/",P1143)+1)-FIND("/",P1143)-1)))</f>
        <v/>
      </c>
      <c r="AG1143" s="7" t="str">
        <f aca="false">IF(P1143="","",VALUE(MID(P1143,FIND("/",P1143,FIND("/",P1143)+1)+1,LEN(P1143)-FIND("/",P1143,FIND("/",P1143)+1))))</f>
        <v/>
      </c>
      <c r="AH1143" s="7" t="str">
        <f aca="false">IF(OR(P1143="",AE1143=""),"",IFERROR(INDEX('لیست‌ها'!$Q$3:$Q$53,MATCH(AE1143,'لیست‌ها'!$P$3:$P$53,0))+IF(AF1143&lt;=6,(AF1143-1)*31+AG1143,IF(AF1143&lt;=11,186+(AF1143-7)*30+AG1143,336+AG1143))-1,""))</f>
        <v/>
      </c>
      <c r="AI1143" s="7" t="str">
        <f aca="false">IF(W1143="","",W1143&amp;"-"&amp;TEXT(X1143,"00"))</f>
        <v/>
      </c>
      <c r="AJ1143" s="7" t="str">
        <f aca="false">IF(W1143="","",W1143*12+X1143)</f>
        <v/>
      </c>
      <c r="AK1143" s="7" t="str">
        <f aca="false">IF(U1143="تاخیر",V1143+ROW()/100000,"")</f>
        <v/>
      </c>
    </row>
    <row r="1144" customFormat="false" ht="15" hidden="false" customHeight="false" outlineLevel="0" collapsed="false">
      <c r="A1144" s="7" t="str">
        <f aca="false">IF(B1144="","",ROW()-3)</f>
        <v/>
      </c>
      <c r="B1144" s="8"/>
      <c r="C1144" s="8"/>
      <c r="D1144" s="8"/>
      <c r="E1144" s="9"/>
      <c r="F1144" s="9"/>
      <c r="G1144" s="8"/>
      <c r="H1144" s="8"/>
      <c r="I1144" s="8"/>
      <c r="J1144" s="9"/>
      <c r="K1144" s="8"/>
      <c r="L1144" s="8"/>
      <c r="M1144" s="8"/>
      <c r="N1144" s="8"/>
      <c r="O1144" s="8"/>
      <c r="P1144" s="8"/>
      <c r="Q1144" s="8"/>
      <c r="R1144" s="9"/>
      <c r="S1144" s="8"/>
      <c r="T1144" s="9"/>
      <c r="U1144" s="10" t="str">
        <f aca="true">IF(B1144="","",IF(OR(P1144&lt;&gt;"",I1144="می‌باشد"),"بسته",IF(AND(L1144&lt;&gt;"",W1144=""),"خطای فرمت تاریخ ایجاد",IF(AND(H1144&lt;&gt;"",AA1144=""),"خطای فرمت مهلت",IF(AND(H1144&lt;&gt;"",AD1144&lt;&gt;"",TODAY()&gt;AD1144),"تاخیر",IF(L1144&lt;&gt;"","در حال انجام",""))))))</f>
        <v/>
      </c>
      <c r="V1144" s="7" t="n">
        <f aca="true">IF(U1144="تاخیر",TODAY()-AD1144,IF(AND(U1144="بسته",AH1144&lt;&gt;"",AD1144&lt;&gt;"",AH1144&gt;AD1144),AH1144-AD1144,0))</f>
        <v>0</v>
      </c>
      <c r="W1144" s="7" t="str">
        <f aca="false">IF(L1144="","",VALUE(LEFT(L1144,FIND("/",L1144)-1)))</f>
        <v/>
      </c>
      <c r="X1144" s="7" t="str">
        <f aca="false">IF(L1144="","",VALUE(MID(L1144,FIND("/",L1144)+1,FIND("/",L1144,FIND("/",L1144)+1)-FIND("/",L1144)-1)))</f>
        <v/>
      </c>
      <c r="Y1144" s="7" t="str">
        <f aca="false">IF(L1144="","",VALUE(MID(L1144,FIND("/",L1144,FIND("/",L1144)+1)+1,LEN(L1144)-FIND("/",L1144,FIND("/",L1144)+1))))</f>
        <v/>
      </c>
      <c r="Z1144" s="7" t="str">
        <f aca="false">IF(OR(L1144="",W1144=""),"",IFERROR(INDEX('لیست‌ها'!$Q$3:$Q$53,MATCH(W1144,'لیست‌ها'!$P$3:$P$53,0))+IF(X1144&lt;=6,(X1144-1)*31+Y1144,IF(X1144&lt;=11,186+(X1144-7)*30+Y1144,336+Y1144))-1,""))</f>
        <v/>
      </c>
      <c r="AA1144" s="7" t="str">
        <f aca="false">IF(H1144="","",VALUE(LEFT(H1144,FIND("/",H1144)-1)))</f>
        <v/>
      </c>
      <c r="AB1144" s="7" t="str">
        <f aca="false">IF(H1144="","",VALUE(MID(H1144,FIND("/",H1144)+1,FIND("/",H1144,FIND("/",H1144)+1)-FIND("/",H1144)-1)))</f>
        <v/>
      </c>
      <c r="AC1144" s="7" t="str">
        <f aca="false">IF(H1144="","",VALUE(MID(H1144,FIND("/",H1144,FIND("/",H1144)+1)+1,LEN(H1144)-FIND("/",H1144,FIND("/",H1144)+1))))</f>
        <v/>
      </c>
      <c r="AD1144" s="7" t="str">
        <f aca="false">IF(OR(H1144="",AA1144=""),"",IFERROR(INDEX('لیست‌ها'!$Q$3:$Q$53,MATCH(AA1144,'لیست‌ها'!$P$3:$P$53,0))+IF(AB1144&lt;=6,(AB1144-1)*31+AC1144,IF(AB1144&lt;=11,186+(AB1144-7)*30+AC1144,336+AC1144))-1,""))</f>
        <v/>
      </c>
      <c r="AE1144" s="7" t="str">
        <f aca="false">IF(P1144="","",VALUE(LEFT(P1144,FIND("/",P1144)-1)))</f>
        <v/>
      </c>
      <c r="AF1144" s="7" t="str">
        <f aca="false">IF(P1144="","",VALUE(MID(P1144,FIND("/",P1144)+1,FIND("/",P1144,FIND("/",P1144)+1)-FIND("/",P1144)-1)))</f>
        <v/>
      </c>
      <c r="AG1144" s="7" t="str">
        <f aca="false">IF(P1144="","",VALUE(MID(P1144,FIND("/",P1144,FIND("/",P1144)+1)+1,LEN(P1144)-FIND("/",P1144,FIND("/",P1144)+1))))</f>
        <v/>
      </c>
      <c r="AH1144" s="7" t="str">
        <f aca="false">IF(OR(P1144="",AE1144=""),"",IFERROR(INDEX('لیست‌ها'!$Q$3:$Q$53,MATCH(AE1144,'لیست‌ها'!$P$3:$P$53,0))+IF(AF1144&lt;=6,(AF1144-1)*31+AG1144,IF(AF1144&lt;=11,186+(AF1144-7)*30+AG1144,336+AG1144))-1,""))</f>
        <v/>
      </c>
      <c r="AI1144" s="7" t="str">
        <f aca="false">IF(W1144="","",W1144&amp;"-"&amp;TEXT(X1144,"00"))</f>
        <v/>
      </c>
      <c r="AJ1144" s="7" t="str">
        <f aca="false">IF(W1144="","",W1144*12+X1144)</f>
        <v/>
      </c>
      <c r="AK1144" s="7" t="str">
        <f aca="false">IF(U1144="تاخیر",V1144+ROW()/100000,"")</f>
        <v/>
      </c>
    </row>
    <row r="1145" customFormat="false" ht="15" hidden="false" customHeight="false" outlineLevel="0" collapsed="false">
      <c r="A1145" s="7" t="str">
        <f aca="false">IF(B1145="","",ROW()-3)</f>
        <v/>
      </c>
      <c r="B1145" s="8"/>
      <c r="C1145" s="8"/>
      <c r="D1145" s="8"/>
      <c r="E1145" s="9"/>
      <c r="F1145" s="9"/>
      <c r="G1145" s="8"/>
      <c r="H1145" s="8"/>
      <c r="I1145" s="8"/>
      <c r="J1145" s="9"/>
      <c r="K1145" s="8"/>
      <c r="L1145" s="8"/>
      <c r="M1145" s="8"/>
      <c r="N1145" s="8"/>
      <c r="O1145" s="8"/>
      <c r="P1145" s="8"/>
      <c r="Q1145" s="8"/>
      <c r="R1145" s="9"/>
      <c r="S1145" s="8"/>
      <c r="T1145" s="9"/>
      <c r="U1145" s="10" t="str">
        <f aca="true">IF(B1145="","",IF(OR(P1145&lt;&gt;"",I1145="می‌باشد"),"بسته",IF(AND(L1145&lt;&gt;"",W1145=""),"خطای فرمت تاریخ ایجاد",IF(AND(H1145&lt;&gt;"",AA1145=""),"خطای فرمت مهلت",IF(AND(H1145&lt;&gt;"",AD1145&lt;&gt;"",TODAY()&gt;AD1145),"تاخیر",IF(L1145&lt;&gt;"","در حال انجام",""))))))</f>
        <v/>
      </c>
      <c r="V1145" s="7" t="n">
        <f aca="true">IF(U1145="تاخیر",TODAY()-AD1145,IF(AND(U1145="بسته",AH1145&lt;&gt;"",AD1145&lt;&gt;"",AH1145&gt;AD1145),AH1145-AD1145,0))</f>
        <v>0</v>
      </c>
      <c r="W1145" s="7" t="str">
        <f aca="false">IF(L1145="","",VALUE(LEFT(L1145,FIND("/",L1145)-1)))</f>
        <v/>
      </c>
      <c r="X1145" s="7" t="str">
        <f aca="false">IF(L1145="","",VALUE(MID(L1145,FIND("/",L1145)+1,FIND("/",L1145,FIND("/",L1145)+1)-FIND("/",L1145)-1)))</f>
        <v/>
      </c>
      <c r="Y1145" s="7" t="str">
        <f aca="false">IF(L1145="","",VALUE(MID(L1145,FIND("/",L1145,FIND("/",L1145)+1)+1,LEN(L1145)-FIND("/",L1145,FIND("/",L1145)+1))))</f>
        <v/>
      </c>
      <c r="Z1145" s="7" t="str">
        <f aca="false">IF(OR(L1145="",W1145=""),"",IFERROR(INDEX('لیست‌ها'!$Q$3:$Q$53,MATCH(W1145,'لیست‌ها'!$P$3:$P$53,0))+IF(X1145&lt;=6,(X1145-1)*31+Y1145,IF(X1145&lt;=11,186+(X1145-7)*30+Y1145,336+Y1145))-1,""))</f>
        <v/>
      </c>
      <c r="AA1145" s="7" t="str">
        <f aca="false">IF(H1145="","",VALUE(LEFT(H1145,FIND("/",H1145)-1)))</f>
        <v/>
      </c>
      <c r="AB1145" s="7" t="str">
        <f aca="false">IF(H1145="","",VALUE(MID(H1145,FIND("/",H1145)+1,FIND("/",H1145,FIND("/",H1145)+1)-FIND("/",H1145)-1)))</f>
        <v/>
      </c>
      <c r="AC1145" s="7" t="str">
        <f aca="false">IF(H1145="","",VALUE(MID(H1145,FIND("/",H1145,FIND("/",H1145)+1)+1,LEN(H1145)-FIND("/",H1145,FIND("/",H1145)+1))))</f>
        <v/>
      </c>
      <c r="AD1145" s="7" t="str">
        <f aca="false">IF(OR(H1145="",AA1145=""),"",IFERROR(INDEX('لیست‌ها'!$Q$3:$Q$53,MATCH(AA1145,'لیست‌ها'!$P$3:$P$53,0))+IF(AB1145&lt;=6,(AB1145-1)*31+AC1145,IF(AB1145&lt;=11,186+(AB1145-7)*30+AC1145,336+AC1145))-1,""))</f>
        <v/>
      </c>
      <c r="AE1145" s="7" t="str">
        <f aca="false">IF(P1145="","",VALUE(LEFT(P1145,FIND("/",P1145)-1)))</f>
        <v/>
      </c>
      <c r="AF1145" s="7" t="str">
        <f aca="false">IF(P1145="","",VALUE(MID(P1145,FIND("/",P1145)+1,FIND("/",P1145,FIND("/",P1145)+1)-FIND("/",P1145)-1)))</f>
        <v/>
      </c>
      <c r="AG1145" s="7" t="str">
        <f aca="false">IF(P1145="","",VALUE(MID(P1145,FIND("/",P1145,FIND("/",P1145)+1)+1,LEN(P1145)-FIND("/",P1145,FIND("/",P1145)+1))))</f>
        <v/>
      </c>
      <c r="AH1145" s="7" t="str">
        <f aca="false">IF(OR(P1145="",AE1145=""),"",IFERROR(INDEX('لیست‌ها'!$Q$3:$Q$53,MATCH(AE1145,'لیست‌ها'!$P$3:$P$53,0))+IF(AF1145&lt;=6,(AF1145-1)*31+AG1145,IF(AF1145&lt;=11,186+(AF1145-7)*30+AG1145,336+AG1145))-1,""))</f>
        <v/>
      </c>
      <c r="AI1145" s="7" t="str">
        <f aca="false">IF(W1145="","",W1145&amp;"-"&amp;TEXT(X1145,"00"))</f>
        <v/>
      </c>
      <c r="AJ1145" s="7" t="str">
        <f aca="false">IF(W1145="","",W1145*12+X1145)</f>
        <v/>
      </c>
      <c r="AK1145" s="7" t="str">
        <f aca="false">IF(U1145="تاخیر",V1145+ROW()/100000,"")</f>
        <v/>
      </c>
    </row>
    <row r="1146" customFormat="false" ht="15" hidden="false" customHeight="false" outlineLevel="0" collapsed="false">
      <c r="A1146" s="7" t="str">
        <f aca="false">IF(B1146="","",ROW()-3)</f>
        <v/>
      </c>
      <c r="B1146" s="8"/>
      <c r="C1146" s="8"/>
      <c r="D1146" s="8"/>
      <c r="E1146" s="9"/>
      <c r="F1146" s="9"/>
      <c r="G1146" s="8"/>
      <c r="H1146" s="8"/>
      <c r="I1146" s="8"/>
      <c r="J1146" s="9"/>
      <c r="K1146" s="8"/>
      <c r="L1146" s="8"/>
      <c r="M1146" s="8"/>
      <c r="N1146" s="8"/>
      <c r="O1146" s="8"/>
      <c r="P1146" s="8"/>
      <c r="Q1146" s="8"/>
      <c r="R1146" s="9"/>
      <c r="S1146" s="8"/>
      <c r="T1146" s="9"/>
      <c r="U1146" s="10" t="str">
        <f aca="true">IF(B1146="","",IF(OR(P1146&lt;&gt;"",I1146="می‌باشد"),"بسته",IF(AND(L1146&lt;&gt;"",W1146=""),"خطای فرمت تاریخ ایجاد",IF(AND(H1146&lt;&gt;"",AA1146=""),"خطای فرمت مهلت",IF(AND(H1146&lt;&gt;"",AD1146&lt;&gt;"",TODAY()&gt;AD1146),"تاخیر",IF(L1146&lt;&gt;"","در حال انجام",""))))))</f>
        <v/>
      </c>
      <c r="V1146" s="7" t="n">
        <f aca="true">IF(U1146="تاخیر",TODAY()-AD1146,IF(AND(U1146="بسته",AH1146&lt;&gt;"",AD1146&lt;&gt;"",AH1146&gt;AD1146),AH1146-AD1146,0))</f>
        <v>0</v>
      </c>
      <c r="W1146" s="7" t="str">
        <f aca="false">IF(L1146="","",VALUE(LEFT(L1146,FIND("/",L1146)-1)))</f>
        <v/>
      </c>
      <c r="X1146" s="7" t="str">
        <f aca="false">IF(L1146="","",VALUE(MID(L1146,FIND("/",L1146)+1,FIND("/",L1146,FIND("/",L1146)+1)-FIND("/",L1146)-1)))</f>
        <v/>
      </c>
      <c r="Y1146" s="7" t="str">
        <f aca="false">IF(L1146="","",VALUE(MID(L1146,FIND("/",L1146,FIND("/",L1146)+1)+1,LEN(L1146)-FIND("/",L1146,FIND("/",L1146)+1))))</f>
        <v/>
      </c>
      <c r="Z1146" s="7" t="str">
        <f aca="false">IF(OR(L1146="",W1146=""),"",IFERROR(INDEX('لیست‌ها'!$Q$3:$Q$53,MATCH(W1146,'لیست‌ها'!$P$3:$P$53,0))+IF(X1146&lt;=6,(X1146-1)*31+Y1146,IF(X1146&lt;=11,186+(X1146-7)*30+Y1146,336+Y1146))-1,""))</f>
        <v/>
      </c>
      <c r="AA1146" s="7" t="str">
        <f aca="false">IF(H1146="","",VALUE(LEFT(H1146,FIND("/",H1146)-1)))</f>
        <v/>
      </c>
      <c r="AB1146" s="7" t="str">
        <f aca="false">IF(H1146="","",VALUE(MID(H1146,FIND("/",H1146)+1,FIND("/",H1146,FIND("/",H1146)+1)-FIND("/",H1146)-1)))</f>
        <v/>
      </c>
      <c r="AC1146" s="7" t="str">
        <f aca="false">IF(H1146="","",VALUE(MID(H1146,FIND("/",H1146,FIND("/",H1146)+1)+1,LEN(H1146)-FIND("/",H1146,FIND("/",H1146)+1))))</f>
        <v/>
      </c>
      <c r="AD1146" s="7" t="str">
        <f aca="false">IF(OR(H1146="",AA1146=""),"",IFERROR(INDEX('لیست‌ها'!$Q$3:$Q$53,MATCH(AA1146,'لیست‌ها'!$P$3:$P$53,0))+IF(AB1146&lt;=6,(AB1146-1)*31+AC1146,IF(AB1146&lt;=11,186+(AB1146-7)*30+AC1146,336+AC1146))-1,""))</f>
        <v/>
      </c>
      <c r="AE1146" s="7" t="str">
        <f aca="false">IF(P1146="","",VALUE(LEFT(P1146,FIND("/",P1146)-1)))</f>
        <v/>
      </c>
      <c r="AF1146" s="7" t="str">
        <f aca="false">IF(P1146="","",VALUE(MID(P1146,FIND("/",P1146)+1,FIND("/",P1146,FIND("/",P1146)+1)-FIND("/",P1146)-1)))</f>
        <v/>
      </c>
      <c r="AG1146" s="7" t="str">
        <f aca="false">IF(P1146="","",VALUE(MID(P1146,FIND("/",P1146,FIND("/",P1146)+1)+1,LEN(P1146)-FIND("/",P1146,FIND("/",P1146)+1))))</f>
        <v/>
      </c>
      <c r="AH1146" s="7" t="str">
        <f aca="false">IF(OR(P1146="",AE1146=""),"",IFERROR(INDEX('لیست‌ها'!$Q$3:$Q$53,MATCH(AE1146,'لیست‌ها'!$P$3:$P$53,0))+IF(AF1146&lt;=6,(AF1146-1)*31+AG1146,IF(AF1146&lt;=11,186+(AF1146-7)*30+AG1146,336+AG1146))-1,""))</f>
        <v/>
      </c>
      <c r="AI1146" s="7" t="str">
        <f aca="false">IF(W1146="","",W1146&amp;"-"&amp;TEXT(X1146,"00"))</f>
        <v/>
      </c>
      <c r="AJ1146" s="7" t="str">
        <f aca="false">IF(W1146="","",W1146*12+X1146)</f>
        <v/>
      </c>
      <c r="AK1146" s="7" t="str">
        <f aca="false">IF(U1146="تاخیر",V1146+ROW()/100000,"")</f>
        <v/>
      </c>
    </row>
    <row r="1147" customFormat="false" ht="15" hidden="false" customHeight="false" outlineLevel="0" collapsed="false">
      <c r="A1147" s="7" t="str">
        <f aca="false">IF(B1147="","",ROW()-3)</f>
        <v/>
      </c>
      <c r="B1147" s="8"/>
      <c r="C1147" s="8"/>
      <c r="D1147" s="8"/>
      <c r="E1147" s="9"/>
      <c r="F1147" s="9"/>
      <c r="G1147" s="8"/>
      <c r="H1147" s="8"/>
      <c r="I1147" s="8"/>
      <c r="J1147" s="9"/>
      <c r="K1147" s="8"/>
      <c r="L1147" s="8"/>
      <c r="M1147" s="8"/>
      <c r="N1147" s="8"/>
      <c r="O1147" s="8"/>
      <c r="P1147" s="8"/>
      <c r="Q1147" s="8"/>
      <c r="R1147" s="9"/>
      <c r="S1147" s="8"/>
      <c r="T1147" s="9"/>
      <c r="U1147" s="10" t="str">
        <f aca="true">IF(B1147="","",IF(OR(P1147&lt;&gt;"",I1147="می‌باشد"),"بسته",IF(AND(L1147&lt;&gt;"",W1147=""),"خطای فرمت تاریخ ایجاد",IF(AND(H1147&lt;&gt;"",AA1147=""),"خطای فرمت مهلت",IF(AND(H1147&lt;&gt;"",AD1147&lt;&gt;"",TODAY()&gt;AD1147),"تاخیر",IF(L1147&lt;&gt;"","در حال انجام",""))))))</f>
        <v/>
      </c>
      <c r="V1147" s="7" t="n">
        <f aca="true">IF(U1147="تاخیر",TODAY()-AD1147,IF(AND(U1147="بسته",AH1147&lt;&gt;"",AD1147&lt;&gt;"",AH1147&gt;AD1147),AH1147-AD1147,0))</f>
        <v>0</v>
      </c>
      <c r="W1147" s="7" t="str">
        <f aca="false">IF(L1147="","",VALUE(LEFT(L1147,FIND("/",L1147)-1)))</f>
        <v/>
      </c>
      <c r="X1147" s="7" t="str">
        <f aca="false">IF(L1147="","",VALUE(MID(L1147,FIND("/",L1147)+1,FIND("/",L1147,FIND("/",L1147)+1)-FIND("/",L1147)-1)))</f>
        <v/>
      </c>
      <c r="Y1147" s="7" t="str">
        <f aca="false">IF(L1147="","",VALUE(MID(L1147,FIND("/",L1147,FIND("/",L1147)+1)+1,LEN(L1147)-FIND("/",L1147,FIND("/",L1147)+1))))</f>
        <v/>
      </c>
      <c r="Z1147" s="7" t="str">
        <f aca="false">IF(OR(L1147="",W1147=""),"",IFERROR(INDEX('لیست‌ها'!$Q$3:$Q$53,MATCH(W1147,'لیست‌ها'!$P$3:$P$53,0))+IF(X1147&lt;=6,(X1147-1)*31+Y1147,IF(X1147&lt;=11,186+(X1147-7)*30+Y1147,336+Y1147))-1,""))</f>
        <v/>
      </c>
      <c r="AA1147" s="7" t="str">
        <f aca="false">IF(H1147="","",VALUE(LEFT(H1147,FIND("/",H1147)-1)))</f>
        <v/>
      </c>
      <c r="AB1147" s="7" t="str">
        <f aca="false">IF(H1147="","",VALUE(MID(H1147,FIND("/",H1147)+1,FIND("/",H1147,FIND("/",H1147)+1)-FIND("/",H1147)-1)))</f>
        <v/>
      </c>
      <c r="AC1147" s="7" t="str">
        <f aca="false">IF(H1147="","",VALUE(MID(H1147,FIND("/",H1147,FIND("/",H1147)+1)+1,LEN(H1147)-FIND("/",H1147,FIND("/",H1147)+1))))</f>
        <v/>
      </c>
      <c r="AD1147" s="7" t="str">
        <f aca="false">IF(OR(H1147="",AA1147=""),"",IFERROR(INDEX('لیست‌ها'!$Q$3:$Q$53,MATCH(AA1147,'لیست‌ها'!$P$3:$P$53,0))+IF(AB1147&lt;=6,(AB1147-1)*31+AC1147,IF(AB1147&lt;=11,186+(AB1147-7)*30+AC1147,336+AC1147))-1,""))</f>
        <v/>
      </c>
      <c r="AE1147" s="7" t="str">
        <f aca="false">IF(P1147="","",VALUE(LEFT(P1147,FIND("/",P1147)-1)))</f>
        <v/>
      </c>
      <c r="AF1147" s="7" t="str">
        <f aca="false">IF(P1147="","",VALUE(MID(P1147,FIND("/",P1147)+1,FIND("/",P1147,FIND("/",P1147)+1)-FIND("/",P1147)-1)))</f>
        <v/>
      </c>
      <c r="AG1147" s="7" t="str">
        <f aca="false">IF(P1147="","",VALUE(MID(P1147,FIND("/",P1147,FIND("/",P1147)+1)+1,LEN(P1147)-FIND("/",P1147,FIND("/",P1147)+1))))</f>
        <v/>
      </c>
      <c r="AH1147" s="7" t="str">
        <f aca="false">IF(OR(P1147="",AE1147=""),"",IFERROR(INDEX('لیست‌ها'!$Q$3:$Q$53,MATCH(AE1147,'لیست‌ها'!$P$3:$P$53,0))+IF(AF1147&lt;=6,(AF1147-1)*31+AG1147,IF(AF1147&lt;=11,186+(AF1147-7)*30+AG1147,336+AG1147))-1,""))</f>
        <v/>
      </c>
      <c r="AI1147" s="7" t="str">
        <f aca="false">IF(W1147="","",W1147&amp;"-"&amp;TEXT(X1147,"00"))</f>
        <v/>
      </c>
      <c r="AJ1147" s="7" t="str">
        <f aca="false">IF(W1147="","",W1147*12+X1147)</f>
        <v/>
      </c>
      <c r="AK1147" s="7" t="str">
        <f aca="false">IF(U1147="تاخیر",V1147+ROW()/100000,"")</f>
        <v/>
      </c>
    </row>
    <row r="1148" customFormat="false" ht="15" hidden="false" customHeight="false" outlineLevel="0" collapsed="false">
      <c r="A1148" s="7" t="str">
        <f aca="false">IF(B1148="","",ROW()-3)</f>
        <v/>
      </c>
      <c r="B1148" s="8"/>
      <c r="C1148" s="8"/>
      <c r="D1148" s="8"/>
      <c r="E1148" s="9"/>
      <c r="F1148" s="9"/>
      <c r="G1148" s="8"/>
      <c r="H1148" s="8"/>
      <c r="I1148" s="8"/>
      <c r="J1148" s="9"/>
      <c r="K1148" s="8"/>
      <c r="L1148" s="8"/>
      <c r="M1148" s="8"/>
      <c r="N1148" s="8"/>
      <c r="O1148" s="8"/>
      <c r="P1148" s="8"/>
      <c r="Q1148" s="8"/>
      <c r="R1148" s="9"/>
      <c r="S1148" s="8"/>
      <c r="T1148" s="9"/>
      <c r="U1148" s="10" t="str">
        <f aca="true">IF(B1148="","",IF(OR(P1148&lt;&gt;"",I1148="می‌باشد"),"بسته",IF(AND(L1148&lt;&gt;"",W1148=""),"خطای فرمت تاریخ ایجاد",IF(AND(H1148&lt;&gt;"",AA1148=""),"خطای فرمت مهلت",IF(AND(H1148&lt;&gt;"",AD1148&lt;&gt;"",TODAY()&gt;AD1148),"تاخیر",IF(L1148&lt;&gt;"","در حال انجام",""))))))</f>
        <v/>
      </c>
      <c r="V1148" s="7" t="n">
        <f aca="true">IF(U1148="تاخیر",TODAY()-AD1148,IF(AND(U1148="بسته",AH1148&lt;&gt;"",AD1148&lt;&gt;"",AH1148&gt;AD1148),AH1148-AD1148,0))</f>
        <v>0</v>
      </c>
      <c r="W1148" s="7" t="str">
        <f aca="false">IF(L1148="","",VALUE(LEFT(L1148,FIND("/",L1148)-1)))</f>
        <v/>
      </c>
      <c r="X1148" s="7" t="str">
        <f aca="false">IF(L1148="","",VALUE(MID(L1148,FIND("/",L1148)+1,FIND("/",L1148,FIND("/",L1148)+1)-FIND("/",L1148)-1)))</f>
        <v/>
      </c>
      <c r="Y1148" s="7" t="str">
        <f aca="false">IF(L1148="","",VALUE(MID(L1148,FIND("/",L1148,FIND("/",L1148)+1)+1,LEN(L1148)-FIND("/",L1148,FIND("/",L1148)+1))))</f>
        <v/>
      </c>
      <c r="Z1148" s="7" t="str">
        <f aca="false">IF(OR(L1148="",W1148=""),"",IFERROR(INDEX('لیست‌ها'!$Q$3:$Q$53,MATCH(W1148,'لیست‌ها'!$P$3:$P$53,0))+IF(X1148&lt;=6,(X1148-1)*31+Y1148,IF(X1148&lt;=11,186+(X1148-7)*30+Y1148,336+Y1148))-1,""))</f>
        <v/>
      </c>
      <c r="AA1148" s="7" t="str">
        <f aca="false">IF(H1148="","",VALUE(LEFT(H1148,FIND("/",H1148)-1)))</f>
        <v/>
      </c>
      <c r="AB1148" s="7" t="str">
        <f aca="false">IF(H1148="","",VALUE(MID(H1148,FIND("/",H1148)+1,FIND("/",H1148,FIND("/",H1148)+1)-FIND("/",H1148)-1)))</f>
        <v/>
      </c>
      <c r="AC1148" s="7" t="str">
        <f aca="false">IF(H1148="","",VALUE(MID(H1148,FIND("/",H1148,FIND("/",H1148)+1)+1,LEN(H1148)-FIND("/",H1148,FIND("/",H1148)+1))))</f>
        <v/>
      </c>
      <c r="AD1148" s="7" t="str">
        <f aca="false">IF(OR(H1148="",AA1148=""),"",IFERROR(INDEX('لیست‌ها'!$Q$3:$Q$53,MATCH(AA1148,'لیست‌ها'!$P$3:$P$53,0))+IF(AB1148&lt;=6,(AB1148-1)*31+AC1148,IF(AB1148&lt;=11,186+(AB1148-7)*30+AC1148,336+AC1148))-1,""))</f>
        <v/>
      </c>
      <c r="AE1148" s="7" t="str">
        <f aca="false">IF(P1148="","",VALUE(LEFT(P1148,FIND("/",P1148)-1)))</f>
        <v/>
      </c>
      <c r="AF1148" s="7" t="str">
        <f aca="false">IF(P1148="","",VALUE(MID(P1148,FIND("/",P1148)+1,FIND("/",P1148,FIND("/",P1148)+1)-FIND("/",P1148)-1)))</f>
        <v/>
      </c>
      <c r="AG1148" s="7" t="str">
        <f aca="false">IF(P1148="","",VALUE(MID(P1148,FIND("/",P1148,FIND("/",P1148)+1)+1,LEN(P1148)-FIND("/",P1148,FIND("/",P1148)+1))))</f>
        <v/>
      </c>
      <c r="AH1148" s="7" t="str">
        <f aca="false">IF(OR(P1148="",AE1148=""),"",IFERROR(INDEX('لیست‌ها'!$Q$3:$Q$53,MATCH(AE1148,'لیست‌ها'!$P$3:$P$53,0))+IF(AF1148&lt;=6,(AF1148-1)*31+AG1148,IF(AF1148&lt;=11,186+(AF1148-7)*30+AG1148,336+AG1148))-1,""))</f>
        <v/>
      </c>
      <c r="AI1148" s="7" t="str">
        <f aca="false">IF(W1148="","",W1148&amp;"-"&amp;TEXT(X1148,"00"))</f>
        <v/>
      </c>
      <c r="AJ1148" s="7" t="str">
        <f aca="false">IF(W1148="","",W1148*12+X1148)</f>
        <v/>
      </c>
      <c r="AK1148" s="7" t="str">
        <f aca="false">IF(U1148="تاخیر",V1148+ROW()/100000,"")</f>
        <v/>
      </c>
    </row>
    <row r="1149" customFormat="false" ht="15" hidden="false" customHeight="false" outlineLevel="0" collapsed="false">
      <c r="A1149" s="7" t="str">
        <f aca="false">IF(B1149="","",ROW()-3)</f>
        <v/>
      </c>
      <c r="B1149" s="8"/>
      <c r="C1149" s="8"/>
      <c r="D1149" s="8"/>
      <c r="E1149" s="9"/>
      <c r="F1149" s="9"/>
      <c r="G1149" s="8"/>
      <c r="H1149" s="8"/>
      <c r="I1149" s="8"/>
      <c r="J1149" s="9"/>
      <c r="K1149" s="8"/>
      <c r="L1149" s="8"/>
      <c r="M1149" s="8"/>
      <c r="N1149" s="8"/>
      <c r="O1149" s="8"/>
      <c r="P1149" s="8"/>
      <c r="Q1149" s="8"/>
      <c r="R1149" s="9"/>
      <c r="S1149" s="8"/>
      <c r="T1149" s="9"/>
      <c r="U1149" s="10" t="str">
        <f aca="true">IF(B1149="","",IF(OR(P1149&lt;&gt;"",I1149="می‌باشد"),"بسته",IF(AND(L1149&lt;&gt;"",W1149=""),"خطای فرمت تاریخ ایجاد",IF(AND(H1149&lt;&gt;"",AA1149=""),"خطای فرمت مهلت",IF(AND(H1149&lt;&gt;"",AD1149&lt;&gt;"",TODAY()&gt;AD1149),"تاخیر",IF(L1149&lt;&gt;"","در حال انجام",""))))))</f>
        <v/>
      </c>
      <c r="V1149" s="7" t="n">
        <f aca="true">IF(U1149="تاخیر",TODAY()-AD1149,IF(AND(U1149="بسته",AH1149&lt;&gt;"",AD1149&lt;&gt;"",AH1149&gt;AD1149),AH1149-AD1149,0))</f>
        <v>0</v>
      </c>
      <c r="W1149" s="7" t="str">
        <f aca="false">IF(L1149="","",VALUE(LEFT(L1149,FIND("/",L1149)-1)))</f>
        <v/>
      </c>
      <c r="X1149" s="7" t="str">
        <f aca="false">IF(L1149="","",VALUE(MID(L1149,FIND("/",L1149)+1,FIND("/",L1149,FIND("/",L1149)+1)-FIND("/",L1149)-1)))</f>
        <v/>
      </c>
      <c r="Y1149" s="7" t="str">
        <f aca="false">IF(L1149="","",VALUE(MID(L1149,FIND("/",L1149,FIND("/",L1149)+1)+1,LEN(L1149)-FIND("/",L1149,FIND("/",L1149)+1))))</f>
        <v/>
      </c>
      <c r="Z1149" s="7" t="str">
        <f aca="false">IF(OR(L1149="",W1149=""),"",IFERROR(INDEX('لیست‌ها'!$Q$3:$Q$53,MATCH(W1149,'لیست‌ها'!$P$3:$P$53,0))+IF(X1149&lt;=6,(X1149-1)*31+Y1149,IF(X1149&lt;=11,186+(X1149-7)*30+Y1149,336+Y1149))-1,""))</f>
        <v/>
      </c>
      <c r="AA1149" s="7" t="str">
        <f aca="false">IF(H1149="","",VALUE(LEFT(H1149,FIND("/",H1149)-1)))</f>
        <v/>
      </c>
      <c r="AB1149" s="7" t="str">
        <f aca="false">IF(H1149="","",VALUE(MID(H1149,FIND("/",H1149)+1,FIND("/",H1149,FIND("/",H1149)+1)-FIND("/",H1149)-1)))</f>
        <v/>
      </c>
      <c r="AC1149" s="7" t="str">
        <f aca="false">IF(H1149="","",VALUE(MID(H1149,FIND("/",H1149,FIND("/",H1149)+1)+1,LEN(H1149)-FIND("/",H1149,FIND("/",H1149)+1))))</f>
        <v/>
      </c>
      <c r="AD1149" s="7" t="str">
        <f aca="false">IF(OR(H1149="",AA1149=""),"",IFERROR(INDEX('لیست‌ها'!$Q$3:$Q$53,MATCH(AA1149,'لیست‌ها'!$P$3:$P$53,0))+IF(AB1149&lt;=6,(AB1149-1)*31+AC1149,IF(AB1149&lt;=11,186+(AB1149-7)*30+AC1149,336+AC1149))-1,""))</f>
        <v/>
      </c>
      <c r="AE1149" s="7" t="str">
        <f aca="false">IF(P1149="","",VALUE(LEFT(P1149,FIND("/",P1149)-1)))</f>
        <v/>
      </c>
      <c r="AF1149" s="7" t="str">
        <f aca="false">IF(P1149="","",VALUE(MID(P1149,FIND("/",P1149)+1,FIND("/",P1149,FIND("/",P1149)+1)-FIND("/",P1149)-1)))</f>
        <v/>
      </c>
      <c r="AG1149" s="7" t="str">
        <f aca="false">IF(P1149="","",VALUE(MID(P1149,FIND("/",P1149,FIND("/",P1149)+1)+1,LEN(P1149)-FIND("/",P1149,FIND("/",P1149)+1))))</f>
        <v/>
      </c>
      <c r="AH1149" s="7" t="str">
        <f aca="false">IF(OR(P1149="",AE1149=""),"",IFERROR(INDEX('لیست‌ها'!$Q$3:$Q$53,MATCH(AE1149,'لیست‌ها'!$P$3:$P$53,0))+IF(AF1149&lt;=6,(AF1149-1)*31+AG1149,IF(AF1149&lt;=11,186+(AF1149-7)*30+AG1149,336+AG1149))-1,""))</f>
        <v/>
      </c>
      <c r="AI1149" s="7" t="str">
        <f aca="false">IF(W1149="","",W1149&amp;"-"&amp;TEXT(X1149,"00"))</f>
        <v/>
      </c>
      <c r="AJ1149" s="7" t="str">
        <f aca="false">IF(W1149="","",W1149*12+X1149)</f>
        <v/>
      </c>
      <c r="AK1149" s="7" t="str">
        <f aca="false">IF(U1149="تاخیر",V1149+ROW()/100000,"")</f>
        <v/>
      </c>
    </row>
    <row r="1150" customFormat="false" ht="15" hidden="false" customHeight="false" outlineLevel="0" collapsed="false">
      <c r="A1150" s="7" t="str">
        <f aca="false">IF(B1150="","",ROW()-3)</f>
        <v/>
      </c>
      <c r="B1150" s="8"/>
      <c r="C1150" s="8"/>
      <c r="D1150" s="8"/>
      <c r="E1150" s="9"/>
      <c r="F1150" s="9"/>
      <c r="G1150" s="8"/>
      <c r="H1150" s="8"/>
      <c r="I1150" s="8"/>
      <c r="J1150" s="9"/>
      <c r="K1150" s="8"/>
      <c r="L1150" s="8"/>
      <c r="M1150" s="8"/>
      <c r="N1150" s="8"/>
      <c r="O1150" s="8"/>
      <c r="P1150" s="8"/>
      <c r="Q1150" s="8"/>
      <c r="R1150" s="9"/>
      <c r="S1150" s="8"/>
      <c r="T1150" s="9"/>
      <c r="U1150" s="10" t="str">
        <f aca="true">IF(B1150="","",IF(OR(P1150&lt;&gt;"",I1150="می‌باشد"),"بسته",IF(AND(L1150&lt;&gt;"",W1150=""),"خطای فرمت تاریخ ایجاد",IF(AND(H1150&lt;&gt;"",AA1150=""),"خطای فرمت مهلت",IF(AND(H1150&lt;&gt;"",AD1150&lt;&gt;"",TODAY()&gt;AD1150),"تاخیر",IF(L1150&lt;&gt;"","در حال انجام",""))))))</f>
        <v/>
      </c>
      <c r="V1150" s="7" t="n">
        <f aca="true">IF(U1150="تاخیر",TODAY()-AD1150,IF(AND(U1150="بسته",AH1150&lt;&gt;"",AD1150&lt;&gt;"",AH1150&gt;AD1150),AH1150-AD1150,0))</f>
        <v>0</v>
      </c>
      <c r="W1150" s="7" t="str">
        <f aca="false">IF(L1150="","",VALUE(LEFT(L1150,FIND("/",L1150)-1)))</f>
        <v/>
      </c>
      <c r="X1150" s="7" t="str">
        <f aca="false">IF(L1150="","",VALUE(MID(L1150,FIND("/",L1150)+1,FIND("/",L1150,FIND("/",L1150)+1)-FIND("/",L1150)-1)))</f>
        <v/>
      </c>
      <c r="Y1150" s="7" t="str">
        <f aca="false">IF(L1150="","",VALUE(MID(L1150,FIND("/",L1150,FIND("/",L1150)+1)+1,LEN(L1150)-FIND("/",L1150,FIND("/",L1150)+1))))</f>
        <v/>
      </c>
      <c r="Z1150" s="7" t="str">
        <f aca="false">IF(OR(L1150="",W1150=""),"",IFERROR(INDEX('لیست‌ها'!$Q$3:$Q$53,MATCH(W1150,'لیست‌ها'!$P$3:$P$53,0))+IF(X1150&lt;=6,(X1150-1)*31+Y1150,IF(X1150&lt;=11,186+(X1150-7)*30+Y1150,336+Y1150))-1,""))</f>
        <v/>
      </c>
      <c r="AA1150" s="7" t="str">
        <f aca="false">IF(H1150="","",VALUE(LEFT(H1150,FIND("/",H1150)-1)))</f>
        <v/>
      </c>
      <c r="AB1150" s="7" t="str">
        <f aca="false">IF(H1150="","",VALUE(MID(H1150,FIND("/",H1150)+1,FIND("/",H1150,FIND("/",H1150)+1)-FIND("/",H1150)-1)))</f>
        <v/>
      </c>
      <c r="AC1150" s="7" t="str">
        <f aca="false">IF(H1150="","",VALUE(MID(H1150,FIND("/",H1150,FIND("/",H1150)+1)+1,LEN(H1150)-FIND("/",H1150,FIND("/",H1150)+1))))</f>
        <v/>
      </c>
      <c r="AD1150" s="7" t="str">
        <f aca="false">IF(OR(H1150="",AA1150=""),"",IFERROR(INDEX('لیست‌ها'!$Q$3:$Q$53,MATCH(AA1150,'لیست‌ها'!$P$3:$P$53,0))+IF(AB1150&lt;=6,(AB1150-1)*31+AC1150,IF(AB1150&lt;=11,186+(AB1150-7)*30+AC1150,336+AC1150))-1,""))</f>
        <v/>
      </c>
      <c r="AE1150" s="7" t="str">
        <f aca="false">IF(P1150="","",VALUE(LEFT(P1150,FIND("/",P1150)-1)))</f>
        <v/>
      </c>
      <c r="AF1150" s="7" t="str">
        <f aca="false">IF(P1150="","",VALUE(MID(P1150,FIND("/",P1150)+1,FIND("/",P1150,FIND("/",P1150)+1)-FIND("/",P1150)-1)))</f>
        <v/>
      </c>
      <c r="AG1150" s="7" t="str">
        <f aca="false">IF(P1150="","",VALUE(MID(P1150,FIND("/",P1150,FIND("/",P1150)+1)+1,LEN(P1150)-FIND("/",P1150,FIND("/",P1150)+1))))</f>
        <v/>
      </c>
      <c r="AH1150" s="7" t="str">
        <f aca="false">IF(OR(P1150="",AE1150=""),"",IFERROR(INDEX('لیست‌ها'!$Q$3:$Q$53,MATCH(AE1150,'لیست‌ها'!$P$3:$P$53,0))+IF(AF1150&lt;=6,(AF1150-1)*31+AG1150,IF(AF1150&lt;=11,186+(AF1150-7)*30+AG1150,336+AG1150))-1,""))</f>
        <v/>
      </c>
      <c r="AI1150" s="7" t="str">
        <f aca="false">IF(W1150="","",W1150&amp;"-"&amp;TEXT(X1150,"00"))</f>
        <v/>
      </c>
      <c r="AJ1150" s="7" t="str">
        <f aca="false">IF(W1150="","",W1150*12+X1150)</f>
        <v/>
      </c>
      <c r="AK1150" s="7" t="str">
        <f aca="false">IF(U1150="تاخیر",V1150+ROW()/100000,"")</f>
        <v/>
      </c>
    </row>
    <row r="1151" customFormat="false" ht="15" hidden="false" customHeight="false" outlineLevel="0" collapsed="false">
      <c r="A1151" s="7" t="str">
        <f aca="false">IF(B1151="","",ROW()-3)</f>
        <v/>
      </c>
      <c r="B1151" s="8"/>
      <c r="C1151" s="8"/>
      <c r="D1151" s="8"/>
      <c r="E1151" s="9"/>
      <c r="F1151" s="9"/>
      <c r="G1151" s="8"/>
      <c r="H1151" s="8"/>
      <c r="I1151" s="8"/>
      <c r="J1151" s="9"/>
      <c r="K1151" s="8"/>
      <c r="L1151" s="8"/>
      <c r="M1151" s="8"/>
      <c r="N1151" s="8"/>
      <c r="O1151" s="8"/>
      <c r="P1151" s="8"/>
      <c r="Q1151" s="8"/>
      <c r="R1151" s="9"/>
      <c r="S1151" s="8"/>
      <c r="T1151" s="9"/>
      <c r="U1151" s="10" t="str">
        <f aca="true">IF(B1151="","",IF(OR(P1151&lt;&gt;"",I1151="می‌باشد"),"بسته",IF(AND(L1151&lt;&gt;"",W1151=""),"خطای فرمت تاریخ ایجاد",IF(AND(H1151&lt;&gt;"",AA1151=""),"خطای فرمت مهلت",IF(AND(H1151&lt;&gt;"",AD1151&lt;&gt;"",TODAY()&gt;AD1151),"تاخیر",IF(L1151&lt;&gt;"","در حال انجام",""))))))</f>
        <v/>
      </c>
      <c r="V1151" s="7" t="n">
        <f aca="true">IF(U1151="تاخیر",TODAY()-AD1151,IF(AND(U1151="بسته",AH1151&lt;&gt;"",AD1151&lt;&gt;"",AH1151&gt;AD1151),AH1151-AD1151,0))</f>
        <v>0</v>
      </c>
      <c r="W1151" s="7" t="str">
        <f aca="false">IF(L1151="","",VALUE(LEFT(L1151,FIND("/",L1151)-1)))</f>
        <v/>
      </c>
      <c r="X1151" s="7" t="str">
        <f aca="false">IF(L1151="","",VALUE(MID(L1151,FIND("/",L1151)+1,FIND("/",L1151,FIND("/",L1151)+1)-FIND("/",L1151)-1)))</f>
        <v/>
      </c>
      <c r="Y1151" s="7" t="str">
        <f aca="false">IF(L1151="","",VALUE(MID(L1151,FIND("/",L1151,FIND("/",L1151)+1)+1,LEN(L1151)-FIND("/",L1151,FIND("/",L1151)+1))))</f>
        <v/>
      </c>
      <c r="Z1151" s="7" t="str">
        <f aca="false">IF(OR(L1151="",W1151=""),"",IFERROR(INDEX('لیست‌ها'!$Q$3:$Q$53,MATCH(W1151,'لیست‌ها'!$P$3:$P$53,0))+IF(X1151&lt;=6,(X1151-1)*31+Y1151,IF(X1151&lt;=11,186+(X1151-7)*30+Y1151,336+Y1151))-1,""))</f>
        <v/>
      </c>
      <c r="AA1151" s="7" t="str">
        <f aca="false">IF(H1151="","",VALUE(LEFT(H1151,FIND("/",H1151)-1)))</f>
        <v/>
      </c>
      <c r="AB1151" s="7" t="str">
        <f aca="false">IF(H1151="","",VALUE(MID(H1151,FIND("/",H1151)+1,FIND("/",H1151,FIND("/",H1151)+1)-FIND("/",H1151)-1)))</f>
        <v/>
      </c>
      <c r="AC1151" s="7" t="str">
        <f aca="false">IF(H1151="","",VALUE(MID(H1151,FIND("/",H1151,FIND("/",H1151)+1)+1,LEN(H1151)-FIND("/",H1151,FIND("/",H1151)+1))))</f>
        <v/>
      </c>
      <c r="AD1151" s="7" t="str">
        <f aca="false">IF(OR(H1151="",AA1151=""),"",IFERROR(INDEX('لیست‌ها'!$Q$3:$Q$53,MATCH(AA1151,'لیست‌ها'!$P$3:$P$53,0))+IF(AB1151&lt;=6,(AB1151-1)*31+AC1151,IF(AB1151&lt;=11,186+(AB1151-7)*30+AC1151,336+AC1151))-1,""))</f>
        <v/>
      </c>
      <c r="AE1151" s="7" t="str">
        <f aca="false">IF(P1151="","",VALUE(LEFT(P1151,FIND("/",P1151)-1)))</f>
        <v/>
      </c>
      <c r="AF1151" s="7" t="str">
        <f aca="false">IF(P1151="","",VALUE(MID(P1151,FIND("/",P1151)+1,FIND("/",P1151,FIND("/",P1151)+1)-FIND("/",P1151)-1)))</f>
        <v/>
      </c>
      <c r="AG1151" s="7" t="str">
        <f aca="false">IF(P1151="","",VALUE(MID(P1151,FIND("/",P1151,FIND("/",P1151)+1)+1,LEN(P1151)-FIND("/",P1151,FIND("/",P1151)+1))))</f>
        <v/>
      </c>
      <c r="AH1151" s="7" t="str">
        <f aca="false">IF(OR(P1151="",AE1151=""),"",IFERROR(INDEX('لیست‌ها'!$Q$3:$Q$53,MATCH(AE1151,'لیست‌ها'!$P$3:$P$53,0))+IF(AF1151&lt;=6,(AF1151-1)*31+AG1151,IF(AF1151&lt;=11,186+(AF1151-7)*30+AG1151,336+AG1151))-1,""))</f>
        <v/>
      </c>
      <c r="AI1151" s="7" t="str">
        <f aca="false">IF(W1151="","",W1151&amp;"-"&amp;TEXT(X1151,"00"))</f>
        <v/>
      </c>
      <c r="AJ1151" s="7" t="str">
        <f aca="false">IF(W1151="","",W1151*12+X1151)</f>
        <v/>
      </c>
      <c r="AK1151" s="7" t="str">
        <f aca="false">IF(U1151="تاخیر",V1151+ROW()/100000,"")</f>
        <v/>
      </c>
    </row>
    <row r="1152" customFormat="false" ht="15" hidden="false" customHeight="false" outlineLevel="0" collapsed="false">
      <c r="A1152" s="7" t="str">
        <f aca="false">IF(B1152="","",ROW()-3)</f>
        <v/>
      </c>
      <c r="B1152" s="8"/>
      <c r="C1152" s="8"/>
      <c r="D1152" s="8"/>
      <c r="E1152" s="9"/>
      <c r="F1152" s="9"/>
      <c r="G1152" s="8"/>
      <c r="H1152" s="8"/>
      <c r="I1152" s="8"/>
      <c r="J1152" s="9"/>
      <c r="K1152" s="8"/>
      <c r="L1152" s="8"/>
      <c r="M1152" s="8"/>
      <c r="N1152" s="8"/>
      <c r="O1152" s="8"/>
      <c r="P1152" s="8"/>
      <c r="Q1152" s="8"/>
      <c r="R1152" s="9"/>
      <c r="S1152" s="8"/>
      <c r="T1152" s="9"/>
      <c r="U1152" s="10" t="str">
        <f aca="true">IF(B1152="","",IF(OR(P1152&lt;&gt;"",I1152="می‌باشد"),"بسته",IF(AND(L1152&lt;&gt;"",W1152=""),"خطای فرمت تاریخ ایجاد",IF(AND(H1152&lt;&gt;"",AA1152=""),"خطای فرمت مهلت",IF(AND(H1152&lt;&gt;"",AD1152&lt;&gt;"",TODAY()&gt;AD1152),"تاخیر",IF(L1152&lt;&gt;"","در حال انجام",""))))))</f>
        <v/>
      </c>
      <c r="V1152" s="7" t="n">
        <f aca="true">IF(U1152="تاخیر",TODAY()-AD1152,IF(AND(U1152="بسته",AH1152&lt;&gt;"",AD1152&lt;&gt;"",AH1152&gt;AD1152),AH1152-AD1152,0))</f>
        <v>0</v>
      </c>
      <c r="W1152" s="7" t="str">
        <f aca="false">IF(L1152="","",VALUE(LEFT(L1152,FIND("/",L1152)-1)))</f>
        <v/>
      </c>
      <c r="X1152" s="7" t="str">
        <f aca="false">IF(L1152="","",VALUE(MID(L1152,FIND("/",L1152)+1,FIND("/",L1152,FIND("/",L1152)+1)-FIND("/",L1152)-1)))</f>
        <v/>
      </c>
      <c r="Y1152" s="7" t="str">
        <f aca="false">IF(L1152="","",VALUE(MID(L1152,FIND("/",L1152,FIND("/",L1152)+1)+1,LEN(L1152)-FIND("/",L1152,FIND("/",L1152)+1))))</f>
        <v/>
      </c>
      <c r="Z1152" s="7" t="str">
        <f aca="false">IF(OR(L1152="",W1152=""),"",IFERROR(INDEX('لیست‌ها'!$Q$3:$Q$53,MATCH(W1152,'لیست‌ها'!$P$3:$P$53,0))+IF(X1152&lt;=6,(X1152-1)*31+Y1152,IF(X1152&lt;=11,186+(X1152-7)*30+Y1152,336+Y1152))-1,""))</f>
        <v/>
      </c>
      <c r="AA1152" s="7" t="str">
        <f aca="false">IF(H1152="","",VALUE(LEFT(H1152,FIND("/",H1152)-1)))</f>
        <v/>
      </c>
      <c r="AB1152" s="7" t="str">
        <f aca="false">IF(H1152="","",VALUE(MID(H1152,FIND("/",H1152)+1,FIND("/",H1152,FIND("/",H1152)+1)-FIND("/",H1152)-1)))</f>
        <v/>
      </c>
      <c r="AC1152" s="7" t="str">
        <f aca="false">IF(H1152="","",VALUE(MID(H1152,FIND("/",H1152,FIND("/",H1152)+1)+1,LEN(H1152)-FIND("/",H1152,FIND("/",H1152)+1))))</f>
        <v/>
      </c>
      <c r="AD1152" s="7" t="str">
        <f aca="false">IF(OR(H1152="",AA1152=""),"",IFERROR(INDEX('لیست‌ها'!$Q$3:$Q$53,MATCH(AA1152,'لیست‌ها'!$P$3:$P$53,0))+IF(AB1152&lt;=6,(AB1152-1)*31+AC1152,IF(AB1152&lt;=11,186+(AB1152-7)*30+AC1152,336+AC1152))-1,""))</f>
        <v/>
      </c>
      <c r="AE1152" s="7" t="str">
        <f aca="false">IF(P1152="","",VALUE(LEFT(P1152,FIND("/",P1152)-1)))</f>
        <v/>
      </c>
      <c r="AF1152" s="7" t="str">
        <f aca="false">IF(P1152="","",VALUE(MID(P1152,FIND("/",P1152)+1,FIND("/",P1152,FIND("/",P1152)+1)-FIND("/",P1152)-1)))</f>
        <v/>
      </c>
      <c r="AG1152" s="7" t="str">
        <f aca="false">IF(P1152="","",VALUE(MID(P1152,FIND("/",P1152,FIND("/",P1152)+1)+1,LEN(P1152)-FIND("/",P1152,FIND("/",P1152)+1))))</f>
        <v/>
      </c>
      <c r="AH1152" s="7" t="str">
        <f aca="false">IF(OR(P1152="",AE1152=""),"",IFERROR(INDEX('لیست‌ها'!$Q$3:$Q$53,MATCH(AE1152,'لیست‌ها'!$P$3:$P$53,0))+IF(AF1152&lt;=6,(AF1152-1)*31+AG1152,IF(AF1152&lt;=11,186+(AF1152-7)*30+AG1152,336+AG1152))-1,""))</f>
        <v/>
      </c>
      <c r="AI1152" s="7" t="str">
        <f aca="false">IF(W1152="","",W1152&amp;"-"&amp;TEXT(X1152,"00"))</f>
        <v/>
      </c>
      <c r="AJ1152" s="7" t="str">
        <f aca="false">IF(W1152="","",W1152*12+X1152)</f>
        <v/>
      </c>
      <c r="AK1152" s="7" t="str">
        <f aca="false">IF(U1152="تاخیر",V1152+ROW()/100000,"")</f>
        <v/>
      </c>
    </row>
    <row r="1153" customFormat="false" ht="15" hidden="false" customHeight="false" outlineLevel="0" collapsed="false">
      <c r="A1153" s="7" t="str">
        <f aca="false">IF(B1153="","",ROW()-3)</f>
        <v/>
      </c>
      <c r="B1153" s="8"/>
      <c r="C1153" s="8"/>
      <c r="D1153" s="8"/>
      <c r="E1153" s="9"/>
      <c r="F1153" s="9"/>
      <c r="G1153" s="8"/>
      <c r="H1153" s="8"/>
      <c r="I1153" s="8"/>
      <c r="J1153" s="9"/>
      <c r="K1153" s="8"/>
      <c r="L1153" s="8"/>
      <c r="M1153" s="8"/>
      <c r="N1153" s="8"/>
      <c r="O1153" s="8"/>
      <c r="P1153" s="8"/>
      <c r="Q1153" s="8"/>
      <c r="R1153" s="9"/>
      <c r="S1153" s="8"/>
      <c r="T1153" s="9"/>
      <c r="U1153" s="10" t="str">
        <f aca="true">IF(B1153="","",IF(OR(P1153&lt;&gt;"",I1153="می‌باشد"),"بسته",IF(AND(L1153&lt;&gt;"",W1153=""),"خطای فرمت تاریخ ایجاد",IF(AND(H1153&lt;&gt;"",AA1153=""),"خطای فرمت مهلت",IF(AND(H1153&lt;&gt;"",AD1153&lt;&gt;"",TODAY()&gt;AD1153),"تاخیر",IF(L1153&lt;&gt;"","در حال انجام",""))))))</f>
        <v/>
      </c>
      <c r="V1153" s="7" t="n">
        <f aca="true">IF(U1153="تاخیر",TODAY()-AD1153,IF(AND(U1153="بسته",AH1153&lt;&gt;"",AD1153&lt;&gt;"",AH1153&gt;AD1153),AH1153-AD1153,0))</f>
        <v>0</v>
      </c>
      <c r="W1153" s="7" t="str">
        <f aca="false">IF(L1153="","",VALUE(LEFT(L1153,FIND("/",L1153)-1)))</f>
        <v/>
      </c>
      <c r="X1153" s="7" t="str">
        <f aca="false">IF(L1153="","",VALUE(MID(L1153,FIND("/",L1153)+1,FIND("/",L1153,FIND("/",L1153)+1)-FIND("/",L1153)-1)))</f>
        <v/>
      </c>
      <c r="Y1153" s="7" t="str">
        <f aca="false">IF(L1153="","",VALUE(MID(L1153,FIND("/",L1153,FIND("/",L1153)+1)+1,LEN(L1153)-FIND("/",L1153,FIND("/",L1153)+1))))</f>
        <v/>
      </c>
      <c r="Z1153" s="7" t="str">
        <f aca="false">IF(OR(L1153="",W1153=""),"",IFERROR(INDEX('لیست‌ها'!$Q$3:$Q$53,MATCH(W1153,'لیست‌ها'!$P$3:$P$53,0))+IF(X1153&lt;=6,(X1153-1)*31+Y1153,IF(X1153&lt;=11,186+(X1153-7)*30+Y1153,336+Y1153))-1,""))</f>
        <v/>
      </c>
      <c r="AA1153" s="7" t="str">
        <f aca="false">IF(H1153="","",VALUE(LEFT(H1153,FIND("/",H1153)-1)))</f>
        <v/>
      </c>
      <c r="AB1153" s="7" t="str">
        <f aca="false">IF(H1153="","",VALUE(MID(H1153,FIND("/",H1153)+1,FIND("/",H1153,FIND("/",H1153)+1)-FIND("/",H1153)-1)))</f>
        <v/>
      </c>
      <c r="AC1153" s="7" t="str">
        <f aca="false">IF(H1153="","",VALUE(MID(H1153,FIND("/",H1153,FIND("/",H1153)+1)+1,LEN(H1153)-FIND("/",H1153,FIND("/",H1153)+1))))</f>
        <v/>
      </c>
      <c r="AD1153" s="7" t="str">
        <f aca="false">IF(OR(H1153="",AA1153=""),"",IFERROR(INDEX('لیست‌ها'!$Q$3:$Q$53,MATCH(AA1153,'لیست‌ها'!$P$3:$P$53,0))+IF(AB1153&lt;=6,(AB1153-1)*31+AC1153,IF(AB1153&lt;=11,186+(AB1153-7)*30+AC1153,336+AC1153))-1,""))</f>
        <v/>
      </c>
      <c r="AE1153" s="7" t="str">
        <f aca="false">IF(P1153="","",VALUE(LEFT(P1153,FIND("/",P1153)-1)))</f>
        <v/>
      </c>
      <c r="AF1153" s="7" t="str">
        <f aca="false">IF(P1153="","",VALUE(MID(P1153,FIND("/",P1153)+1,FIND("/",P1153,FIND("/",P1153)+1)-FIND("/",P1153)-1)))</f>
        <v/>
      </c>
      <c r="AG1153" s="7" t="str">
        <f aca="false">IF(P1153="","",VALUE(MID(P1153,FIND("/",P1153,FIND("/",P1153)+1)+1,LEN(P1153)-FIND("/",P1153,FIND("/",P1153)+1))))</f>
        <v/>
      </c>
      <c r="AH1153" s="7" t="str">
        <f aca="false">IF(OR(P1153="",AE1153=""),"",IFERROR(INDEX('لیست‌ها'!$Q$3:$Q$53,MATCH(AE1153,'لیست‌ها'!$P$3:$P$53,0))+IF(AF1153&lt;=6,(AF1153-1)*31+AG1153,IF(AF1153&lt;=11,186+(AF1153-7)*30+AG1153,336+AG1153))-1,""))</f>
        <v/>
      </c>
      <c r="AI1153" s="7" t="str">
        <f aca="false">IF(W1153="","",W1153&amp;"-"&amp;TEXT(X1153,"00"))</f>
        <v/>
      </c>
      <c r="AJ1153" s="7" t="str">
        <f aca="false">IF(W1153="","",W1153*12+X1153)</f>
        <v/>
      </c>
      <c r="AK1153" s="7" t="str">
        <f aca="false">IF(U1153="تاخیر",V1153+ROW()/100000,"")</f>
        <v/>
      </c>
    </row>
    <row r="1154" customFormat="false" ht="15" hidden="false" customHeight="false" outlineLevel="0" collapsed="false">
      <c r="A1154" s="7" t="str">
        <f aca="false">IF(B1154="","",ROW()-3)</f>
        <v/>
      </c>
      <c r="B1154" s="8"/>
      <c r="C1154" s="8"/>
      <c r="D1154" s="8"/>
      <c r="E1154" s="9"/>
      <c r="F1154" s="9"/>
      <c r="G1154" s="8"/>
      <c r="H1154" s="8"/>
      <c r="I1154" s="8"/>
      <c r="J1154" s="9"/>
      <c r="K1154" s="8"/>
      <c r="L1154" s="8"/>
      <c r="M1154" s="8"/>
      <c r="N1154" s="8"/>
      <c r="O1154" s="8"/>
      <c r="P1154" s="8"/>
      <c r="Q1154" s="8"/>
      <c r="R1154" s="9"/>
      <c r="S1154" s="8"/>
      <c r="T1154" s="9"/>
      <c r="U1154" s="10" t="str">
        <f aca="true">IF(B1154="","",IF(OR(P1154&lt;&gt;"",I1154="می‌باشد"),"بسته",IF(AND(L1154&lt;&gt;"",W1154=""),"خطای فرمت تاریخ ایجاد",IF(AND(H1154&lt;&gt;"",AA1154=""),"خطای فرمت مهلت",IF(AND(H1154&lt;&gt;"",AD1154&lt;&gt;"",TODAY()&gt;AD1154),"تاخیر",IF(L1154&lt;&gt;"","در حال انجام",""))))))</f>
        <v/>
      </c>
      <c r="V1154" s="7" t="n">
        <f aca="true">IF(U1154="تاخیر",TODAY()-AD1154,IF(AND(U1154="بسته",AH1154&lt;&gt;"",AD1154&lt;&gt;"",AH1154&gt;AD1154),AH1154-AD1154,0))</f>
        <v>0</v>
      </c>
      <c r="W1154" s="7" t="str">
        <f aca="false">IF(L1154="","",VALUE(LEFT(L1154,FIND("/",L1154)-1)))</f>
        <v/>
      </c>
      <c r="X1154" s="7" t="str">
        <f aca="false">IF(L1154="","",VALUE(MID(L1154,FIND("/",L1154)+1,FIND("/",L1154,FIND("/",L1154)+1)-FIND("/",L1154)-1)))</f>
        <v/>
      </c>
      <c r="Y1154" s="7" t="str">
        <f aca="false">IF(L1154="","",VALUE(MID(L1154,FIND("/",L1154,FIND("/",L1154)+1)+1,LEN(L1154)-FIND("/",L1154,FIND("/",L1154)+1))))</f>
        <v/>
      </c>
      <c r="Z1154" s="7" t="str">
        <f aca="false">IF(OR(L1154="",W1154=""),"",IFERROR(INDEX('لیست‌ها'!$Q$3:$Q$53,MATCH(W1154,'لیست‌ها'!$P$3:$P$53,0))+IF(X1154&lt;=6,(X1154-1)*31+Y1154,IF(X1154&lt;=11,186+(X1154-7)*30+Y1154,336+Y1154))-1,""))</f>
        <v/>
      </c>
      <c r="AA1154" s="7" t="str">
        <f aca="false">IF(H1154="","",VALUE(LEFT(H1154,FIND("/",H1154)-1)))</f>
        <v/>
      </c>
      <c r="AB1154" s="7" t="str">
        <f aca="false">IF(H1154="","",VALUE(MID(H1154,FIND("/",H1154)+1,FIND("/",H1154,FIND("/",H1154)+1)-FIND("/",H1154)-1)))</f>
        <v/>
      </c>
      <c r="AC1154" s="7" t="str">
        <f aca="false">IF(H1154="","",VALUE(MID(H1154,FIND("/",H1154,FIND("/",H1154)+1)+1,LEN(H1154)-FIND("/",H1154,FIND("/",H1154)+1))))</f>
        <v/>
      </c>
      <c r="AD1154" s="7" t="str">
        <f aca="false">IF(OR(H1154="",AA1154=""),"",IFERROR(INDEX('لیست‌ها'!$Q$3:$Q$53,MATCH(AA1154,'لیست‌ها'!$P$3:$P$53,0))+IF(AB1154&lt;=6,(AB1154-1)*31+AC1154,IF(AB1154&lt;=11,186+(AB1154-7)*30+AC1154,336+AC1154))-1,""))</f>
        <v/>
      </c>
      <c r="AE1154" s="7" t="str">
        <f aca="false">IF(P1154="","",VALUE(LEFT(P1154,FIND("/",P1154)-1)))</f>
        <v/>
      </c>
      <c r="AF1154" s="7" t="str">
        <f aca="false">IF(P1154="","",VALUE(MID(P1154,FIND("/",P1154)+1,FIND("/",P1154,FIND("/",P1154)+1)-FIND("/",P1154)-1)))</f>
        <v/>
      </c>
      <c r="AG1154" s="7" t="str">
        <f aca="false">IF(P1154="","",VALUE(MID(P1154,FIND("/",P1154,FIND("/",P1154)+1)+1,LEN(P1154)-FIND("/",P1154,FIND("/",P1154)+1))))</f>
        <v/>
      </c>
      <c r="AH1154" s="7" t="str">
        <f aca="false">IF(OR(P1154="",AE1154=""),"",IFERROR(INDEX('لیست‌ها'!$Q$3:$Q$53,MATCH(AE1154,'لیست‌ها'!$P$3:$P$53,0))+IF(AF1154&lt;=6,(AF1154-1)*31+AG1154,IF(AF1154&lt;=11,186+(AF1154-7)*30+AG1154,336+AG1154))-1,""))</f>
        <v/>
      </c>
      <c r="AI1154" s="7" t="str">
        <f aca="false">IF(W1154="","",W1154&amp;"-"&amp;TEXT(X1154,"00"))</f>
        <v/>
      </c>
      <c r="AJ1154" s="7" t="str">
        <f aca="false">IF(W1154="","",W1154*12+X1154)</f>
        <v/>
      </c>
      <c r="AK1154" s="7" t="str">
        <f aca="false">IF(U1154="تاخیر",V1154+ROW()/100000,"")</f>
        <v/>
      </c>
    </row>
    <row r="1155" customFormat="false" ht="15" hidden="false" customHeight="false" outlineLevel="0" collapsed="false">
      <c r="A1155" s="7" t="str">
        <f aca="false">IF(B1155="","",ROW()-3)</f>
        <v/>
      </c>
      <c r="B1155" s="8"/>
      <c r="C1155" s="8"/>
      <c r="D1155" s="8"/>
      <c r="E1155" s="9"/>
      <c r="F1155" s="9"/>
      <c r="G1155" s="8"/>
      <c r="H1155" s="8"/>
      <c r="I1155" s="8"/>
      <c r="J1155" s="9"/>
      <c r="K1155" s="8"/>
      <c r="L1155" s="8"/>
      <c r="M1155" s="8"/>
      <c r="N1155" s="8"/>
      <c r="O1155" s="8"/>
      <c r="P1155" s="8"/>
      <c r="Q1155" s="8"/>
      <c r="R1155" s="9"/>
      <c r="S1155" s="8"/>
      <c r="T1155" s="9"/>
      <c r="U1155" s="10" t="str">
        <f aca="true">IF(B1155="","",IF(OR(P1155&lt;&gt;"",I1155="می‌باشد"),"بسته",IF(AND(L1155&lt;&gt;"",W1155=""),"خطای فرمت تاریخ ایجاد",IF(AND(H1155&lt;&gt;"",AA1155=""),"خطای فرمت مهلت",IF(AND(H1155&lt;&gt;"",AD1155&lt;&gt;"",TODAY()&gt;AD1155),"تاخیر",IF(L1155&lt;&gt;"","در حال انجام",""))))))</f>
        <v/>
      </c>
      <c r="V1155" s="7" t="n">
        <f aca="true">IF(U1155="تاخیر",TODAY()-AD1155,IF(AND(U1155="بسته",AH1155&lt;&gt;"",AD1155&lt;&gt;"",AH1155&gt;AD1155),AH1155-AD1155,0))</f>
        <v>0</v>
      </c>
      <c r="W1155" s="7" t="str">
        <f aca="false">IF(L1155="","",VALUE(LEFT(L1155,FIND("/",L1155)-1)))</f>
        <v/>
      </c>
      <c r="X1155" s="7" t="str">
        <f aca="false">IF(L1155="","",VALUE(MID(L1155,FIND("/",L1155)+1,FIND("/",L1155,FIND("/",L1155)+1)-FIND("/",L1155)-1)))</f>
        <v/>
      </c>
      <c r="Y1155" s="7" t="str">
        <f aca="false">IF(L1155="","",VALUE(MID(L1155,FIND("/",L1155,FIND("/",L1155)+1)+1,LEN(L1155)-FIND("/",L1155,FIND("/",L1155)+1))))</f>
        <v/>
      </c>
      <c r="Z1155" s="7" t="str">
        <f aca="false">IF(OR(L1155="",W1155=""),"",IFERROR(INDEX('لیست‌ها'!$Q$3:$Q$53,MATCH(W1155,'لیست‌ها'!$P$3:$P$53,0))+IF(X1155&lt;=6,(X1155-1)*31+Y1155,IF(X1155&lt;=11,186+(X1155-7)*30+Y1155,336+Y1155))-1,""))</f>
        <v/>
      </c>
      <c r="AA1155" s="7" t="str">
        <f aca="false">IF(H1155="","",VALUE(LEFT(H1155,FIND("/",H1155)-1)))</f>
        <v/>
      </c>
      <c r="AB1155" s="7" t="str">
        <f aca="false">IF(H1155="","",VALUE(MID(H1155,FIND("/",H1155)+1,FIND("/",H1155,FIND("/",H1155)+1)-FIND("/",H1155)-1)))</f>
        <v/>
      </c>
      <c r="AC1155" s="7" t="str">
        <f aca="false">IF(H1155="","",VALUE(MID(H1155,FIND("/",H1155,FIND("/",H1155)+1)+1,LEN(H1155)-FIND("/",H1155,FIND("/",H1155)+1))))</f>
        <v/>
      </c>
      <c r="AD1155" s="7" t="str">
        <f aca="false">IF(OR(H1155="",AA1155=""),"",IFERROR(INDEX('لیست‌ها'!$Q$3:$Q$53,MATCH(AA1155,'لیست‌ها'!$P$3:$P$53,0))+IF(AB1155&lt;=6,(AB1155-1)*31+AC1155,IF(AB1155&lt;=11,186+(AB1155-7)*30+AC1155,336+AC1155))-1,""))</f>
        <v/>
      </c>
      <c r="AE1155" s="7" t="str">
        <f aca="false">IF(P1155="","",VALUE(LEFT(P1155,FIND("/",P1155)-1)))</f>
        <v/>
      </c>
      <c r="AF1155" s="7" t="str">
        <f aca="false">IF(P1155="","",VALUE(MID(P1155,FIND("/",P1155)+1,FIND("/",P1155,FIND("/",P1155)+1)-FIND("/",P1155)-1)))</f>
        <v/>
      </c>
      <c r="AG1155" s="7" t="str">
        <f aca="false">IF(P1155="","",VALUE(MID(P1155,FIND("/",P1155,FIND("/",P1155)+1)+1,LEN(P1155)-FIND("/",P1155,FIND("/",P1155)+1))))</f>
        <v/>
      </c>
      <c r="AH1155" s="7" t="str">
        <f aca="false">IF(OR(P1155="",AE1155=""),"",IFERROR(INDEX('لیست‌ها'!$Q$3:$Q$53,MATCH(AE1155,'لیست‌ها'!$P$3:$P$53,0))+IF(AF1155&lt;=6,(AF1155-1)*31+AG1155,IF(AF1155&lt;=11,186+(AF1155-7)*30+AG1155,336+AG1155))-1,""))</f>
        <v/>
      </c>
      <c r="AI1155" s="7" t="str">
        <f aca="false">IF(W1155="","",W1155&amp;"-"&amp;TEXT(X1155,"00"))</f>
        <v/>
      </c>
      <c r="AJ1155" s="7" t="str">
        <f aca="false">IF(W1155="","",W1155*12+X1155)</f>
        <v/>
      </c>
      <c r="AK1155" s="7" t="str">
        <f aca="false">IF(U1155="تاخیر",V1155+ROW()/100000,"")</f>
        <v/>
      </c>
    </row>
    <row r="1156" customFormat="false" ht="15" hidden="false" customHeight="false" outlineLevel="0" collapsed="false">
      <c r="A1156" s="7" t="str">
        <f aca="false">IF(B1156="","",ROW()-3)</f>
        <v/>
      </c>
      <c r="B1156" s="8"/>
      <c r="C1156" s="8"/>
      <c r="D1156" s="8"/>
      <c r="E1156" s="9"/>
      <c r="F1156" s="9"/>
      <c r="G1156" s="8"/>
      <c r="H1156" s="8"/>
      <c r="I1156" s="8"/>
      <c r="J1156" s="9"/>
      <c r="K1156" s="8"/>
      <c r="L1156" s="8"/>
      <c r="M1156" s="8"/>
      <c r="N1156" s="8"/>
      <c r="O1156" s="8"/>
      <c r="P1156" s="8"/>
      <c r="Q1156" s="8"/>
      <c r="R1156" s="9"/>
      <c r="S1156" s="8"/>
      <c r="T1156" s="9"/>
      <c r="U1156" s="10" t="str">
        <f aca="true">IF(B1156="","",IF(OR(P1156&lt;&gt;"",I1156="می‌باشد"),"بسته",IF(AND(L1156&lt;&gt;"",W1156=""),"خطای فرمت تاریخ ایجاد",IF(AND(H1156&lt;&gt;"",AA1156=""),"خطای فرمت مهلت",IF(AND(H1156&lt;&gt;"",AD1156&lt;&gt;"",TODAY()&gt;AD1156),"تاخیر",IF(L1156&lt;&gt;"","در حال انجام",""))))))</f>
        <v/>
      </c>
      <c r="V1156" s="7" t="n">
        <f aca="true">IF(U1156="تاخیر",TODAY()-AD1156,IF(AND(U1156="بسته",AH1156&lt;&gt;"",AD1156&lt;&gt;"",AH1156&gt;AD1156),AH1156-AD1156,0))</f>
        <v>0</v>
      </c>
      <c r="W1156" s="7" t="str">
        <f aca="false">IF(L1156="","",VALUE(LEFT(L1156,FIND("/",L1156)-1)))</f>
        <v/>
      </c>
      <c r="X1156" s="7" t="str">
        <f aca="false">IF(L1156="","",VALUE(MID(L1156,FIND("/",L1156)+1,FIND("/",L1156,FIND("/",L1156)+1)-FIND("/",L1156)-1)))</f>
        <v/>
      </c>
      <c r="Y1156" s="7" t="str">
        <f aca="false">IF(L1156="","",VALUE(MID(L1156,FIND("/",L1156,FIND("/",L1156)+1)+1,LEN(L1156)-FIND("/",L1156,FIND("/",L1156)+1))))</f>
        <v/>
      </c>
      <c r="Z1156" s="7" t="str">
        <f aca="false">IF(OR(L1156="",W1156=""),"",IFERROR(INDEX('لیست‌ها'!$Q$3:$Q$53,MATCH(W1156,'لیست‌ها'!$P$3:$P$53,0))+IF(X1156&lt;=6,(X1156-1)*31+Y1156,IF(X1156&lt;=11,186+(X1156-7)*30+Y1156,336+Y1156))-1,""))</f>
        <v/>
      </c>
      <c r="AA1156" s="7" t="str">
        <f aca="false">IF(H1156="","",VALUE(LEFT(H1156,FIND("/",H1156)-1)))</f>
        <v/>
      </c>
      <c r="AB1156" s="7" t="str">
        <f aca="false">IF(H1156="","",VALUE(MID(H1156,FIND("/",H1156)+1,FIND("/",H1156,FIND("/",H1156)+1)-FIND("/",H1156)-1)))</f>
        <v/>
      </c>
      <c r="AC1156" s="7" t="str">
        <f aca="false">IF(H1156="","",VALUE(MID(H1156,FIND("/",H1156,FIND("/",H1156)+1)+1,LEN(H1156)-FIND("/",H1156,FIND("/",H1156)+1))))</f>
        <v/>
      </c>
      <c r="AD1156" s="7" t="str">
        <f aca="false">IF(OR(H1156="",AA1156=""),"",IFERROR(INDEX('لیست‌ها'!$Q$3:$Q$53,MATCH(AA1156,'لیست‌ها'!$P$3:$P$53,0))+IF(AB1156&lt;=6,(AB1156-1)*31+AC1156,IF(AB1156&lt;=11,186+(AB1156-7)*30+AC1156,336+AC1156))-1,""))</f>
        <v/>
      </c>
      <c r="AE1156" s="7" t="str">
        <f aca="false">IF(P1156="","",VALUE(LEFT(P1156,FIND("/",P1156)-1)))</f>
        <v/>
      </c>
      <c r="AF1156" s="7" t="str">
        <f aca="false">IF(P1156="","",VALUE(MID(P1156,FIND("/",P1156)+1,FIND("/",P1156,FIND("/",P1156)+1)-FIND("/",P1156)-1)))</f>
        <v/>
      </c>
      <c r="AG1156" s="7" t="str">
        <f aca="false">IF(P1156="","",VALUE(MID(P1156,FIND("/",P1156,FIND("/",P1156)+1)+1,LEN(P1156)-FIND("/",P1156,FIND("/",P1156)+1))))</f>
        <v/>
      </c>
      <c r="AH1156" s="7" t="str">
        <f aca="false">IF(OR(P1156="",AE1156=""),"",IFERROR(INDEX('لیست‌ها'!$Q$3:$Q$53,MATCH(AE1156,'لیست‌ها'!$P$3:$P$53,0))+IF(AF1156&lt;=6,(AF1156-1)*31+AG1156,IF(AF1156&lt;=11,186+(AF1156-7)*30+AG1156,336+AG1156))-1,""))</f>
        <v/>
      </c>
      <c r="AI1156" s="7" t="str">
        <f aca="false">IF(W1156="","",W1156&amp;"-"&amp;TEXT(X1156,"00"))</f>
        <v/>
      </c>
      <c r="AJ1156" s="7" t="str">
        <f aca="false">IF(W1156="","",W1156*12+X1156)</f>
        <v/>
      </c>
      <c r="AK1156" s="7" t="str">
        <f aca="false">IF(U1156="تاخیر",V1156+ROW()/100000,"")</f>
        <v/>
      </c>
    </row>
    <row r="1157" customFormat="false" ht="15" hidden="false" customHeight="false" outlineLevel="0" collapsed="false">
      <c r="A1157" s="7" t="str">
        <f aca="false">IF(B1157="","",ROW()-3)</f>
        <v/>
      </c>
      <c r="B1157" s="8"/>
      <c r="C1157" s="8"/>
      <c r="D1157" s="8"/>
      <c r="E1157" s="9"/>
      <c r="F1157" s="9"/>
      <c r="G1157" s="8"/>
      <c r="H1157" s="8"/>
      <c r="I1157" s="8"/>
      <c r="J1157" s="9"/>
      <c r="K1157" s="8"/>
      <c r="L1157" s="8"/>
      <c r="M1157" s="8"/>
      <c r="N1157" s="8"/>
      <c r="O1157" s="8"/>
      <c r="P1157" s="8"/>
      <c r="Q1157" s="8"/>
      <c r="R1157" s="9"/>
      <c r="S1157" s="8"/>
      <c r="T1157" s="9"/>
      <c r="U1157" s="10" t="str">
        <f aca="true">IF(B1157="","",IF(OR(P1157&lt;&gt;"",I1157="می‌باشد"),"بسته",IF(AND(L1157&lt;&gt;"",W1157=""),"خطای فرمت تاریخ ایجاد",IF(AND(H1157&lt;&gt;"",AA1157=""),"خطای فرمت مهلت",IF(AND(H1157&lt;&gt;"",AD1157&lt;&gt;"",TODAY()&gt;AD1157),"تاخیر",IF(L1157&lt;&gt;"","در حال انجام",""))))))</f>
        <v/>
      </c>
      <c r="V1157" s="7" t="n">
        <f aca="true">IF(U1157="تاخیر",TODAY()-AD1157,IF(AND(U1157="بسته",AH1157&lt;&gt;"",AD1157&lt;&gt;"",AH1157&gt;AD1157),AH1157-AD1157,0))</f>
        <v>0</v>
      </c>
      <c r="W1157" s="7" t="str">
        <f aca="false">IF(L1157="","",VALUE(LEFT(L1157,FIND("/",L1157)-1)))</f>
        <v/>
      </c>
      <c r="X1157" s="7" t="str">
        <f aca="false">IF(L1157="","",VALUE(MID(L1157,FIND("/",L1157)+1,FIND("/",L1157,FIND("/",L1157)+1)-FIND("/",L1157)-1)))</f>
        <v/>
      </c>
      <c r="Y1157" s="7" t="str">
        <f aca="false">IF(L1157="","",VALUE(MID(L1157,FIND("/",L1157,FIND("/",L1157)+1)+1,LEN(L1157)-FIND("/",L1157,FIND("/",L1157)+1))))</f>
        <v/>
      </c>
      <c r="Z1157" s="7" t="str">
        <f aca="false">IF(OR(L1157="",W1157=""),"",IFERROR(INDEX('لیست‌ها'!$Q$3:$Q$53,MATCH(W1157,'لیست‌ها'!$P$3:$P$53,0))+IF(X1157&lt;=6,(X1157-1)*31+Y1157,IF(X1157&lt;=11,186+(X1157-7)*30+Y1157,336+Y1157))-1,""))</f>
        <v/>
      </c>
      <c r="AA1157" s="7" t="str">
        <f aca="false">IF(H1157="","",VALUE(LEFT(H1157,FIND("/",H1157)-1)))</f>
        <v/>
      </c>
      <c r="AB1157" s="7" t="str">
        <f aca="false">IF(H1157="","",VALUE(MID(H1157,FIND("/",H1157)+1,FIND("/",H1157,FIND("/",H1157)+1)-FIND("/",H1157)-1)))</f>
        <v/>
      </c>
      <c r="AC1157" s="7" t="str">
        <f aca="false">IF(H1157="","",VALUE(MID(H1157,FIND("/",H1157,FIND("/",H1157)+1)+1,LEN(H1157)-FIND("/",H1157,FIND("/",H1157)+1))))</f>
        <v/>
      </c>
      <c r="AD1157" s="7" t="str">
        <f aca="false">IF(OR(H1157="",AA1157=""),"",IFERROR(INDEX('لیست‌ها'!$Q$3:$Q$53,MATCH(AA1157,'لیست‌ها'!$P$3:$P$53,0))+IF(AB1157&lt;=6,(AB1157-1)*31+AC1157,IF(AB1157&lt;=11,186+(AB1157-7)*30+AC1157,336+AC1157))-1,""))</f>
        <v/>
      </c>
      <c r="AE1157" s="7" t="str">
        <f aca="false">IF(P1157="","",VALUE(LEFT(P1157,FIND("/",P1157)-1)))</f>
        <v/>
      </c>
      <c r="AF1157" s="7" t="str">
        <f aca="false">IF(P1157="","",VALUE(MID(P1157,FIND("/",P1157)+1,FIND("/",P1157,FIND("/",P1157)+1)-FIND("/",P1157)-1)))</f>
        <v/>
      </c>
      <c r="AG1157" s="7" t="str">
        <f aca="false">IF(P1157="","",VALUE(MID(P1157,FIND("/",P1157,FIND("/",P1157)+1)+1,LEN(P1157)-FIND("/",P1157,FIND("/",P1157)+1))))</f>
        <v/>
      </c>
      <c r="AH1157" s="7" t="str">
        <f aca="false">IF(OR(P1157="",AE1157=""),"",IFERROR(INDEX('لیست‌ها'!$Q$3:$Q$53,MATCH(AE1157,'لیست‌ها'!$P$3:$P$53,0))+IF(AF1157&lt;=6,(AF1157-1)*31+AG1157,IF(AF1157&lt;=11,186+(AF1157-7)*30+AG1157,336+AG1157))-1,""))</f>
        <v/>
      </c>
      <c r="AI1157" s="7" t="str">
        <f aca="false">IF(W1157="","",W1157&amp;"-"&amp;TEXT(X1157,"00"))</f>
        <v/>
      </c>
      <c r="AJ1157" s="7" t="str">
        <f aca="false">IF(W1157="","",W1157*12+X1157)</f>
        <v/>
      </c>
      <c r="AK1157" s="7" t="str">
        <f aca="false">IF(U1157="تاخیر",V1157+ROW()/100000,"")</f>
        <v/>
      </c>
    </row>
    <row r="1158" customFormat="false" ht="15" hidden="false" customHeight="false" outlineLevel="0" collapsed="false">
      <c r="A1158" s="7" t="str">
        <f aca="false">IF(B1158="","",ROW()-3)</f>
        <v/>
      </c>
      <c r="B1158" s="8"/>
      <c r="C1158" s="8"/>
      <c r="D1158" s="8"/>
      <c r="E1158" s="9"/>
      <c r="F1158" s="9"/>
      <c r="G1158" s="8"/>
      <c r="H1158" s="8"/>
      <c r="I1158" s="8"/>
      <c r="J1158" s="9"/>
      <c r="K1158" s="8"/>
      <c r="L1158" s="8"/>
      <c r="M1158" s="8"/>
      <c r="N1158" s="8"/>
      <c r="O1158" s="8"/>
      <c r="P1158" s="8"/>
      <c r="Q1158" s="8"/>
      <c r="R1158" s="9"/>
      <c r="S1158" s="8"/>
      <c r="T1158" s="9"/>
      <c r="U1158" s="10" t="str">
        <f aca="true">IF(B1158="","",IF(OR(P1158&lt;&gt;"",I1158="می‌باشد"),"بسته",IF(AND(L1158&lt;&gt;"",W1158=""),"خطای فرمت تاریخ ایجاد",IF(AND(H1158&lt;&gt;"",AA1158=""),"خطای فرمت مهلت",IF(AND(H1158&lt;&gt;"",AD1158&lt;&gt;"",TODAY()&gt;AD1158),"تاخیر",IF(L1158&lt;&gt;"","در حال انجام",""))))))</f>
        <v/>
      </c>
      <c r="V1158" s="7" t="n">
        <f aca="true">IF(U1158="تاخیر",TODAY()-AD1158,IF(AND(U1158="بسته",AH1158&lt;&gt;"",AD1158&lt;&gt;"",AH1158&gt;AD1158),AH1158-AD1158,0))</f>
        <v>0</v>
      </c>
      <c r="W1158" s="7" t="str">
        <f aca="false">IF(L1158="","",VALUE(LEFT(L1158,FIND("/",L1158)-1)))</f>
        <v/>
      </c>
      <c r="X1158" s="7" t="str">
        <f aca="false">IF(L1158="","",VALUE(MID(L1158,FIND("/",L1158)+1,FIND("/",L1158,FIND("/",L1158)+1)-FIND("/",L1158)-1)))</f>
        <v/>
      </c>
      <c r="Y1158" s="7" t="str">
        <f aca="false">IF(L1158="","",VALUE(MID(L1158,FIND("/",L1158,FIND("/",L1158)+1)+1,LEN(L1158)-FIND("/",L1158,FIND("/",L1158)+1))))</f>
        <v/>
      </c>
      <c r="Z1158" s="7" t="str">
        <f aca="false">IF(OR(L1158="",W1158=""),"",IFERROR(INDEX('لیست‌ها'!$Q$3:$Q$53,MATCH(W1158,'لیست‌ها'!$P$3:$P$53,0))+IF(X1158&lt;=6,(X1158-1)*31+Y1158,IF(X1158&lt;=11,186+(X1158-7)*30+Y1158,336+Y1158))-1,""))</f>
        <v/>
      </c>
      <c r="AA1158" s="7" t="str">
        <f aca="false">IF(H1158="","",VALUE(LEFT(H1158,FIND("/",H1158)-1)))</f>
        <v/>
      </c>
      <c r="AB1158" s="7" t="str">
        <f aca="false">IF(H1158="","",VALUE(MID(H1158,FIND("/",H1158)+1,FIND("/",H1158,FIND("/",H1158)+1)-FIND("/",H1158)-1)))</f>
        <v/>
      </c>
      <c r="AC1158" s="7" t="str">
        <f aca="false">IF(H1158="","",VALUE(MID(H1158,FIND("/",H1158,FIND("/",H1158)+1)+1,LEN(H1158)-FIND("/",H1158,FIND("/",H1158)+1))))</f>
        <v/>
      </c>
      <c r="AD1158" s="7" t="str">
        <f aca="false">IF(OR(H1158="",AA1158=""),"",IFERROR(INDEX('لیست‌ها'!$Q$3:$Q$53,MATCH(AA1158,'لیست‌ها'!$P$3:$P$53,0))+IF(AB1158&lt;=6,(AB1158-1)*31+AC1158,IF(AB1158&lt;=11,186+(AB1158-7)*30+AC1158,336+AC1158))-1,""))</f>
        <v/>
      </c>
      <c r="AE1158" s="7" t="str">
        <f aca="false">IF(P1158="","",VALUE(LEFT(P1158,FIND("/",P1158)-1)))</f>
        <v/>
      </c>
      <c r="AF1158" s="7" t="str">
        <f aca="false">IF(P1158="","",VALUE(MID(P1158,FIND("/",P1158)+1,FIND("/",P1158,FIND("/",P1158)+1)-FIND("/",P1158)-1)))</f>
        <v/>
      </c>
      <c r="AG1158" s="7" t="str">
        <f aca="false">IF(P1158="","",VALUE(MID(P1158,FIND("/",P1158,FIND("/",P1158)+1)+1,LEN(P1158)-FIND("/",P1158,FIND("/",P1158)+1))))</f>
        <v/>
      </c>
      <c r="AH1158" s="7" t="str">
        <f aca="false">IF(OR(P1158="",AE1158=""),"",IFERROR(INDEX('لیست‌ها'!$Q$3:$Q$53,MATCH(AE1158,'لیست‌ها'!$P$3:$P$53,0))+IF(AF1158&lt;=6,(AF1158-1)*31+AG1158,IF(AF1158&lt;=11,186+(AF1158-7)*30+AG1158,336+AG1158))-1,""))</f>
        <v/>
      </c>
      <c r="AI1158" s="7" t="str">
        <f aca="false">IF(W1158="","",W1158&amp;"-"&amp;TEXT(X1158,"00"))</f>
        <v/>
      </c>
      <c r="AJ1158" s="7" t="str">
        <f aca="false">IF(W1158="","",W1158*12+X1158)</f>
        <v/>
      </c>
      <c r="AK1158" s="7" t="str">
        <f aca="false">IF(U1158="تاخیر",V1158+ROW()/100000,"")</f>
        <v/>
      </c>
    </row>
    <row r="1159" customFormat="false" ht="15" hidden="false" customHeight="false" outlineLevel="0" collapsed="false">
      <c r="A1159" s="7" t="str">
        <f aca="false">IF(B1159="","",ROW()-3)</f>
        <v/>
      </c>
      <c r="B1159" s="8"/>
      <c r="C1159" s="8"/>
      <c r="D1159" s="8"/>
      <c r="E1159" s="9"/>
      <c r="F1159" s="9"/>
      <c r="G1159" s="8"/>
      <c r="H1159" s="8"/>
      <c r="I1159" s="8"/>
      <c r="J1159" s="9"/>
      <c r="K1159" s="8"/>
      <c r="L1159" s="8"/>
      <c r="M1159" s="8"/>
      <c r="N1159" s="8"/>
      <c r="O1159" s="8"/>
      <c r="P1159" s="8"/>
      <c r="Q1159" s="8"/>
      <c r="R1159" s="9"/>
      <c r="S1159" s="8"/>
      <c r="T1159" s="9"/>
      <c r="U1159" s="10" t="str">
        <f aca="true">IF(B1159="","",IF(OR(P1159&lt;&gt;"",I1159="می‌باشد"),"بسته",IF(AND(L1159&lt;&gt;"",W1159=""),"خطای فرمت تاریخ ایجاد",IF(AND(H1159&lt;&gt;"",AA1159=""),"خطای فرمت مهلت",IF(AND(H1159&lt;&gt;"",AD1159&lt;&gt;"",TODAY()&gt;AD1159),"تاخیر",IF(L1159&lt;&gt;"","در حال انجام",""))))))</f>
        <v/>
      </c>
      <c r="V1159" s="7" t="n">
        <f aca="true">IF(U1159="تاخیر",TODAY()-AD1159,IF(AND(U1159="بسته",AH1159&lt;&gt;"",AD1159&lt;&gt;"",AH1159&gt;AD1159),AH1159-AD1159,0))</f>
        <v>0</v>
      </c>
      <c r="W1159" s="7" t="str">
        <f aca="false">IF(L1159="","",VALUE(LEFT(L1159,FIND("/",L1159)-1)))</f>
        <v/>
      </c>
      <c r="X1159" s="7" t="str">
        <f aca="false">IF(L1159="","",VALUE(MID(L1159,FIND("/",L1159)+1,FIND("/",L1159,FIND("/",L1159)+1)-FIND("/",L1159)-1)))</f>
        <v/>
      </c>
      <c r="Y1159" s="7" t="str">
        <f aca="false">IF(L1159="","",VALUE(MID(L1159,FIND("/",L1159,FIND("/",L1159)+1)+1,LEN(L1159)-FIND("/",L1159,FIND("/",L1159)+1))))</f>
        <v/>
      </c>
      <c r="Z1159" s="7" t="str">
        <f aca="false">IF(OR(L1159="",W1159=""),"",IFERROR(INDEX('لیست‌ها'!$Q$3:$Q$53,MATCH(W1159,'لیست‌ها'!$P$3:$P$53,0))+IF(X1159&lt;=6,(X1159-1)*31+Y1159,IF(X1159&lt;=11,186+(X1159-7)*30+Y1159,336+Y1159))-1,""))</f>
        <v/>
      </c>
      <c r="AA1159" s="7" t="str">
        <f aca="false">IF(H1159="","",VALUE(LEFT(H1159,FIND("/",H1159)-1)))</f>
        <v/>
      </c>
      <c r="AB1159" s="7" t="str">
        <f aca="false">IF(H1159="","",VALUE(MID(H1159,FIND("/",H1159)+1,FIND("/",H1159,FIND("/",H1159)+1)-FIND("/",H1159)-1)))</f>
        <v/>
      </c>
      <c r="AC1159" s="7" t="str">
        <f aca="false">IF(H1159="","",VALUE(MID(H1159,FIND("/",H1159,FIND("/",H1159)+1)+1,LEN(H1159)-FIND("/",H1159,FIND("/",H1159)+1))))</f>
        <v/>
      </c>
      <c r="AD1159" s="7" t="str">
        <f aca="false">IF(OR(H1159="",AA1159=""),"",IFERROR(INDEX('لیست‌ها'!$Q$3:$Q$53,MATCH(AA1159,'لیست‌ها'!$P$3:$P$53,0))+IF(AB1159&lt;=6,(AB1159-1)*31+AC1159,IF(AB1159&lt;=11,186+(AB1159-7)*30+AC1159,336+AC1159))-1,""))</f>
        <v/>
      </c>
      <c r="AE1159" s="7" t="str">
        <f aca="false">IF(P1159="","",VALUE(LEFT(P1159,FIND("/",P1159)-1)))</f>
        <v/>
      </c>
      <c r="AF1159" s="7" t="str">
        <f aca="false">IF(P1159="","",VALUE(MID(P1159,FIND("/",P1159)+1,FIND("/",P1159,FIND("/",P1159)+1)-FIND("/",P1159)-1)))</f>
        <v/>
      </c>
      <c r="AG1159" s="7" t="str">
        <f aca="false">IF(P1159="","",VALUE(MID(P1159,FIND("/",P1159,FIND("/",P1159)+1)+1,LEN(P1159)-FIND("/",P1159,FIND("/",P1159)+1))))</f>
        <v/>
      </c>
      <c r="AH1159" s="7" t="str">
        <f aca="false">IF(OR(P1159="",AE1159=""),"",IFERROR(INDEX('لیست‌ها'!$Q$3:$Q$53,MATCH(AE1159,'لیست‌ها'!$P$3:$P$53,0))+IF(AF1159&lt;=6,(AF1159-1)*31+AG1159,IF(AF1159&lt;=11,186+(AF1159-7)*30+AG1159,336+AG1159))-1,""))</f>
        <v/>
      </c>
      <c r="AI1159" s="7" t="str">
        <f aca="false">IF(W1159="","",W1159&amp;"-"&amp;TEXT(X1159,"00"))</f>
        <v/>
      </c>
      <c r="AJ1159" s="7" t="str">
        <f aca="false">IF(W1159="","",W1159*12+X1159)</f>
        <v/>
      </c>
      <c r="AK1159" s="7" t="str">
        <f aca="false">IF(U1159="تاخیر",V1159+ROW()/100000,"")</f>
        <v/>
      </c>
    </row>
    <row r="1160" customFormat="false" ht="15" hidden="false" customHeight="false" outlineLevel="0" collapsed="false">
      <c r="A1160" s="7" t="str">
        <f aca="false">IF(B1160="","",ROW()-3)</f>
        <v/>
      </c>
      <c r="B1160" s="8"/>
      <c r="C1160" s="8"/>
      <c r="D1160" s="8"/>
      <c r="E1160" s="9"/>
      <c r="F1160" s="9"/>
      <c r="G1160" s="8"/>
      <c r="H1160" s="8"/>
      <c r="I1160" s="8"/>
      <c r="J1160" s="9"/>
      <c r="K1160" s="8"/>
      <c r="L1160" s="8"/>
      <c r="M1160" s="8"/>
      <c r="N1160" s="8"/>
      <c r="O1160" s="8"/>
      <c r="P1160" s="8"/>
      <c r="Q1160" s="8"/>
      <c r="R1160" s="9"/>
      <c r="S1160" s="8"/>
      <c r="T1160" s="9"/>
      <c r="U1160" s="10" t="str">
        <f aca="true">IF(B1160="","",IF(OR(P1160&lt;&gt;"",I1160="می‌باشد"),"بسته",IF(AND(L1160&lt;&gt;"",W1160=""),"خطای فرمت تاریخ ایجاد",IF(AND(H1160&lt;&gt;"",AA1160=""),"خطای فرمت مهلت",IF(AND(H1160&lt;&gt;"",AD1160&lt;&gt;"",TODAY()&gt;AD1160),"تاخیر",IF(L1160&lt;&gt;"","در حال انجام",""))))))</f>
        <v/>
      </c>
      <c r="V1160" s="7" t="n">
        <f aca="true">IF(U1160="تاخیر",TODAY()-AD1160,IF(AND(U1160="بسته",AH1160&lt;&gt;"",AD1160&lt;&gt;"",AH1160&gt;AD1160),AH1160-AD1160,0))</f>
        <v>0</v>
      </c>
      <c r="W1160" s="7" t="str">
        <f aca="false">IF(L1160="","",VALUE(LEFT(L1160,FIND("/",L1160)-1)))</f>
        <v/>
      </c>
      <c r="X1160" s="7" t="str">
        <f aca="false">IF(L1160="","",VALUE(MID(L1160,FIND("/",L1160)+1,FIND("/",L1160,FIND("/",L1160)+1)-FIND("/",L1160)-1)))</f>
        <v/>
      </c>
      <c r="Y1160" s="7" t="str">
        <f aca="false">IF(L1160="","",VALUE(MID(L1160,FIND("/",L1160,FIND("/",L1160)+1)+1,LEN(L1160)-FIND("/",L1160,FIND("/",L1160)+1))))</f>
        <v/>
      </c>
      <c r="Z1160" s="7" t="str">
        <f aca="false">IF(OR(L1160="",W1160=""),"",IFERROR(INDEX('لیست‌ها'!$Q$3:$Q$53,MATCH(W1160,'لیست‌ها'!$P$3:$P$53,0))+IF(X1160&lt;=6,(X1160-1)*31+Y1160,IF(X1160&lt;=11,186+(X1160-7)*30+Y1160,336+Y1160))-1,""))</f>
        <v/>
      </c>
      <c r="AA1160" s="7" t="str">
        <f aca="false">IF(H1160="","",VALUE(LEFT(H1160,FIND("/",H1160)-1)))</f>
        <v/>
      </c>
      <c r="AB1160" s="7" t="str">
        <f aca="false">IF(H1160="","",VALUE(MID(H1160,FIND("/",H1160)+1,FIND("/",H1160,FIND("/",H1160)+1)-FIND("/",H1160)-1)))</f>
        <v/>
      </c>
      <c r="AC1160" s="7" t="str">
        <f aca="false">IF(H1160="","",VALUE(MID(H1160,FIND("/",H1160,FIND("/",H1160)+1)+1,LEN(H1160)-FIND("/",H1160,FIND("/",H1160)+1))))</f>
        <v/>
      </c>
      <c r="AD1160" s="7" t="str">
        <f aca="false">IF(OR(H1160="",AA1160=""),"",IFERROR(INDEX('لیست‌ها'!$Q$3:$Q$53,MATCH(AA1160,'لیست‌ها'!$P$3:$P$53,0))+IF(AB1160&lt;=6,(AB1160-1)*31+AC1160,IF(AB1160&lt;=11,186+(AB1160-7)*30+AC1160,336+AC1160))-1,""))</f>
        <v/>
      </c>
      <c r="AE1160" s="7" t="str">
        <f aca="false">IF(P1160="","",VALUE(LEFT(P1160,FIND("/",P1160)-1)))</f>
        <v/>
      </c>
      <c r="AF1160" s="7" t="str">
        <f aca="false">IF(P1160="","",VALUE(MID(P1160,FIND("/",P1160)+1,FIND("/",P1160,FIND("/",P1160)+1)-FIND("/",P1160)-1)))</f>
        <v/>
      </c>
      <c r="AG1160" s="7" t="str">
        <f aca="false">IF(P1160="","",VALUE(MID(P1160,FIND("/",P1160,FIND("/",P1160)+1)+1,LEN(P1160)-FIND("/",P1160,FIND("/",P1160)+1))))</f>
        <v/>
      </c>
      <c r="AH1160" s="7" t="str">
        <f aca="false">IF(OR(P1160="",AE1160=""),"",IFERROR(INDEX('لیست‌ها'!$Q$3:$Q$53,MATCH(AE1160,'لیست‌ها'!$P$3:$P$53,0))+IF(AF1160&lt;=6,(AF1160-1)*31+AG1160,IF(AF1160&lt;=11,186+(AF1160-7)*30+AG1160,336+AG1160))-1,""))</f>
        <v/>
      </c>
      <c r="AI1160" s="7" t="str">
        <f aca="false">IF(W1160="","",W1160&amp;"-"&amp;TEXT(X1160,"00"))</f>
        <v/>
      </c>
      <c r="AJ1160" s="7" t="str">
        <f aca="false">IF(W1160="","",W1160*12+X1160)</f>
        <v/>
      </c>
      <c r="AK1160" s="7" t="str">
        <f aca="false">IF(U1160="تاخیر",V1160+ROW()/100000,"")</f>
        <v/>
      </c>
    </row>
    <row r="1161" customFormat="false" ht="15" hidden="false" customHeight="false" outlineLevel="0" collapsed="false">
      <c r="A1161" s="7" t="str">
        <f aca="false">IF(B1161="","",ROW()-3)</f>
        <v/>
      </c>
      <c r="B1161" s="8"/>
      <c r="C1161" s="8"/>
      <c r="D1161" s="8"/>
      <c r="E1161" s="9"/>
      <c r="F1161" s="9"/>
      <c r="G1161" s="8"/>
      <c r="H1161" s="8"/>
      <c r="I1161" s="8"/>
      <c r="J1161" s="9"/>
      <c r="K1161" s="8"/>
      <c r="L1161" s="8"/>
      <c r="M1161" s="8"/>
      <c r="N1161" s="8"/>
      <c r="O1161" s="8"/>
      <c r="P1161" s="8"/>
      <c r="Q1161" s="8"/>
      <c r="R1161" s="9"/>
      <c r="S1161" s="8"/>
      <c r="T1161" s="9"/>
      <c r="U1161" s="10" t="str">
        <f aca="true">IF(B1161="","",IF(OR(P1161&lt;&gt;"",I1161="می‌باشد"),"بسته",IF(AND(L1161&lt;&gt;"",W1161=""),"خطای فرمت تاریخ ایجاد",IF(AND(H1161&lt;&gt;"",AA1161=""),"خطای فرمت مهلت",IF(AND(H1161&lt;&gt;"",AD1161&lt;&gt;"",TODAY()&gt;AD1161),"تاخیر",IF(L1161&lt;&gt;"","در حال انجام",""))))))</f>
        <v/>
      </c>
      <c r="V1161" s="7" t="n">
        <f aca="true">IF(U1161="تاخیر",TODAY()-AD1161,IF(AND(U1161="بسته",AH1161&lt;&gt;"",AD1161&lt;&gt;"",AH1161&gt;AD1161),AH1161-AD1161,0))</f>
        <v>0</v>
      </c>
      <c r="W1161" s="7" t="str">
        <f aca="false">IF(L1161="","",VALUE(LEFT(L1161,FIND("/",L1161)-1)))</f>
        <v/>
      </c>
      <c r="X1161" s="7" t="str">
        <f aca="false">IF(L1161="","",VALUE(MID(L1161,FIND("/",L1161)+1,FIND("/",L1161,FIND("/",L1161)+1)-FIND("/",L1161)-1)))</f>
        <v/>
      </c>
      <c r="Y1161" s="7" t="str">
        <f aca="false">IF(L1161="","",VALUE(MID(L1161,FIND("/",L1161,FIND("/",L1161)+1)+1,LEN(L1161)-FIND("/",L1161,FIND("/",L1161)+1))))</f>
        <v/>
      </c>
      <c r="Z1161" s="7" t="str">
        <f aca="false">IF(OR(L1161="",W1161=""),"",IFERROR(INDEX('لیست‌ها'!$Q$3:$Q$53,MATCH(W1161,'لیست‌ها'!$P$3:$P$53,0))+IF(X1161&lt;=6,(X1161-1)*31+Y1161,IF(X1161&lt;=11,186+(X1161-7)*30+Y1161,336+Y1161))-1,""))</f>
        <v/>
      </c>
      <c r="AA1161" s="7" t="str">
        <f aca="false">IF(H1161="","",VALUE(LEFT(H1161,FIND("/",H1161)-1)))</f>
        <v/>
      </c>
      <c r="AB1161" s="7" t="str">
        <f aca="false">IF(H1161="","",VALUE(MID(H1161,FIND("/",H1161)+1,FIND("/",H1161,FIND("/",H1161)+1)-FIND("/",H1161)-1)))</f>
        <v/>
      </c>
      <c r="AC1161" s="7" t="str">
        <f aca="false">IF(H1161="","",VALUE(MID(H1161,FIND("/",H1161,FIND("/",H1161)+1)+1,LEN(H1161)-FIND("/",H1161,FIND("/",H1161)+1))))</f>
        <v/>
      </c>
      <c r="AD1161" s="7" t="str">
        <f aca="false">IF(OR(H1161="",AA1161=""),"",IFERROR(INDEX('لیست‌ها'!$Q$3:$Q$53,MATCH(AA1161,'لیست‌ها'!$P$3:$P$53,0))+IF(AB1161&lt;=6,(AB1161-1)*31+AC1161,IF(AB1161&lt;=11,186+(AB1161-7)*30+AC1161,336+AC1161))-1,""))</f>
        <v/>
      </c>
      <c r="AE1161" s="7" t="str">
        <f aca="false">IF(P1161="","",VALUE(LEFT(P1161,FIND("/",P1161)-1)))</f>
        <v/>
      </c>
      <c r="AF1161" s="7" t="str">
        <f aca="false">IF(P1161="","",VALUE(MID(P1161,FIND("/",P1161)+1,FIND("/",P1161,FIND("/",P1161)+1)-FIND("/",P1161)-1)))</f>
        <v/>
      </c>
      <c r="AG1161" s="7" t="str">
        <f aca="false">IF(P1161="","",VALUE(MID(P1161,FIND("/",P1161,FIND("/",P1161)+1)+1,LEN(P1161)-FIND("/",P1161,FIND("/",P1161)+1))))</f>
        <v/>
      </c>
      <c r="AH1161" s="7" t="str">
        <f aca="false">IF(OR(P1161="",AE1161=""),"",IFERROR(INDEX('لیست‌ها'!$Q$3:$Q$53,MATCH(AE1161,'لیست‌ها'!$P$3:$P$53,0))+IF(AF1161&lt;=6,(AF1161-1)*31+AG1161,IF(AF1161&lt;=11,186+(AF1161-7)*30+AG1161,336+AG1161))-1,""))</f>
        <v/>
      </c>
      <c r="AI1161" s="7" t="str">
        <f aca="false">IF(W1161="","",W1161&amp;"-"&amp;TEXT(X1161,"00"))</f>
        <v/>
      </c>
      <c r="AJ1161" s="7" t="str">
        <f aca="false">IF(W1161="","",W1161*12+X1161)</f>
        <v/>
      </c>
      <c r="AK1161" s="7" t="str">
        <f aca="false">IF(U1161="تاخیر",V1161+ROW()/100000,"")</f>
        <v/>
      </c>
    </row>
    <row r="1162" customFormat="false" ht="15" hidden="false" customHeight="false" outlineLevel="0" collapsed="false">
      <c r="A1162" s="7" t="str">
        <f aca="false">IF(B1162="","",ROW()-3)</f>
        <v/>
      </c>
      <c r="B1162" s="8"/>
      <c r="C1162" s="8"/>
      <c r="D1162" s="8"/>
      <c r="E1162" s="9"/>
      <c r="F1162" s="9"/>
      <c r="G1162" s="8"/>
      <c r="H1162" s="8"/>
      <c r="I1162" s="8"/>
      <c r="J1162" s="9"/>
      <c r="K1162" s="8"/>
      <c r="L1162" s="8"/>
      <c r="M1162" s="8"/>
      <c r="N1162" s="8"/>
      <c r="O1162" s="8"/>
      <c r="P1162" s="8"/>
      <c r="Q1162" s="8"/>
      <c r="R1162" s="9"/>
      <c r="S1162" s="8"/>
      <c r="T1162" s="9"/>
      <c r="U1162" s="10" t="str">
        <f aca="true">IF(B1162="","",IF(OR(P1162&lt;&gt;"",I1162="می‌باشد"),"بسته",IF(AND(L1162&lt;&gt;"",W1162=""),"خطای فرمت تاریخ ایجاد",IF(AND(H1162&lt;&gt;"",AA1162=""),"خطای فرمت مهلت",IF(AND(H1162&lt;&gt;"",AD1162&lt;&gt;"",TODAY()&gt;AD1162),"تاخیر",IF(L1162&lt;&gt;"","در حال انجام",""))))))</f>
        <v/>
      </c>
      <c r="V1162" s="7" t="n">
        <f aca="true">IF(U1162="تاخیر",TODAY()-AD1162,IF(AND(U1162="بسته",AH1162&lt;&gt;"",AD1162&lt;&gt;"",AH1162&gt;AD1162),AH1162-AD1162,0))</f>
        <v>0</v>
      </c>
      <c r="W1162" s="7" t="str">
        <f aca="false">IF(L1162="","",VALUE(LEFT(L1162,FIND("/",L1162)-1)))</f>
        <v/>
      </c>
      <c r="X1162" s="7" t="str">
        <f aca="false">IF(L1162="","",VALUE(MID(L1162,FIND("/",L1162)+1,FIND("/",L1162,FIND("/",L1162)+1)-FIND("/",L1162)-1)))</f>
        <v/>
      </c>
      <c r="Y1162" s="7" t="str">
        <f aca="false">IF(L1162="","",VALUE(MID(L1162,FIND("/",L1162,FIND("/",L1162)+1)+1,LEN(L1162)-FIND("/",L1162,FIND("/",L1162)+1))))</f>
        <v/>
      </c>
      <c r="Z1162" s="7" t="str">
        <f aca="false">IF(OR(L1162="",W1162=""),"",IFERROR(INDEX('لیست‌ها'!$Q$3:$Q$53,MATCH(W1162,'لیست‌ها'!$P$3:$P$53,0))+IF(X1162&lt;=6,(X1162-1)*31+Y1162,IF(X1162&lt;=11,186+(X1162-7)*30+Y1162,336+Y1162))-1,""))</f>
        <v/>
      </c>
      <c r="AA1162" s="7" t="str">
        <f aca="false">IF(H1162="","",VALUE(LEFT(H1162,FIND("/",H1162)-1)))</f>
        <v/>
      </c>
      <c r="AB1162" s="7" t="str">
        <f aca="false">IF(H1162="","",VALUE(MID(H1162,FIND("/",H1162)+1,FIND("/",H1162,FIND("/",H1162)+1)-FIND("/",H1162)-1)))</f>
        <v/>
      </c>
      <c r="AC1162" s="7" t="str">
        <f aca="false">IF(H1162="","",VALUE(MID(H1162,FIND("/",H1162,FIND("/",H1162)+1)+1,LEN(H1162)-FIND("/",H1162,FIND("/",H1162)+1))))</f>
        <v/>
      </c>
      <c r="AD1162" s="7" t="str">
        <f aca="false">IF(OR(H1162="",AA1162=""),"",IFERROR(INDEX('لیست‌ها'!$Q$3:$Q$53,MATCH(AA1162,'لیست‌ها'!$P$3:$P$53,0))+IF(AB1162&lt;=6,(AB1162-1)*31+AC1162,IF(AB1162&lt;=11,186+(AB1162-7)*30+AC1162,336+AC1162))-1,""))</f>
        <v/>
      </c>
      <c r="AE1162" s="7" t="str">
        <f aca="false">IF(P1162="","",VALUE(LEFT(P1162,FIND("/",P1162)-1)))</f>
        <v/>
      </c>
      <c r="AF1162" s="7" t="str">
        <f aca="false">IF(P1162="","",VALUE(MID(P1162,FIND("/",P1162)+1,FIND("/",P1162,FIND("/",P1162)+1)-FIND("/",P1162)-1)))</f>
        <v/>
      </c>
      <c r="AG1162" s="7" t="str">
        <f aca="false">IF(P1162="","",VALUE(MID(P1162,FIND("/",P1162,FIND("/",P1162)+1)+1,LEN(P1162)-FIND("/",P1162,FIND("/",P1162)+1))))</f>
        <v/>
      </c>
      <c r="AH1162" s="7" t="str">
        <f aca="false">IF(OR(P1162="",AE1162=""),"",IFERROR(INDEX('لیست‌ها'!$Q$3:$Q$53,MATCH(AE1162,'لیست‌ها'!$P$3:$P$53,0))+IF(AF1162&lt;=6,(AF1162-1)*31+AG1162,IF(AF1162&lt;=11,186+(AF1162-7)*30+AG1162,336+AG1162))-1,""))</f>
        <v/>
      </c>
      <c r="AI1162" s="7" t="str">
        <f aca="false">IF(W1162="","",W1162&amp;"-"&amp;TEXT(X1162,"00"))</f>
        <v/>
      </c>
      <c r="AJ1162" s="7" t="str">
        <f aca="false">IF(W1162="","",W1162*12+X1162)</f>
        <v/>
      </c>
      <c r="AK1162" s="7" t="str">
        <f aca="false">IF(U1162="تاخیر",V1162+ROW()/100000,"")</f>
        <v/>
      </c>
    </row>
    <row r="1163" customFormat="false" ht="15" hidden="false" customHeight="false" outlineLevel="0" collapsed="false">
      <c r="A1163" s="7" t="str">
        <f aca="false">IF(B1163="","",ROW()-3)</f>
        <v/>
      </c>
      <c r="B1163" s="8"/>
      <c r="C1163" s="8"/>
      <c r="D1163" s="8"/>
      <c r="E1163" s="9"/>
      <c r="F1163" s="9"/>
      <c r="G1163" s="8"/>
      <c r="H1163" s="8"/>
      <c r="I1163" s="8"/>
      <c r="J1163" s="9"/>
      <c r="K1163" s="8"/>
      <c r="L1163" s="8"/>
      <c r="M1163" s="8"/>
      <c r="N1163" s="8"/>
      <c r="O1163" s="8"/>
      <c r="P1163" s="8"/>
      <c r="Q1163" s="8"/>
      <c r="R1163" s="9"/>
      <c r="S1163" s="8"/>
      <c r="T1163" s="9"/>
      <c r="U1163" s="10" t="str">
        <f aca="true">IF(B1163="","",IF(OR(P1163&lt;&gt;"",I1163="می‌باشد"),"بسته",IF(AND(L1163&lt;&gt;"",W1163=""),"خطای فرمت تاریخ ایجاد",IF(AND(H1163&lt;&gt;"",AA1163=""),"خطای فرمت مهلت",IF(AND(H1163&lt;&gt;"",AD1163&lt;&gt;"",TODAY()&gt;AD1163),"تاخیر",IF(L1163&lt;&gt;"","در حال انجام",""))))))</f>
        <v/>
      </c>
      <c r="V1163" s="7" t="n">
        <f aca="true">IF(U1163="تاخیر",TODAY()-AD1163,IF(AND(U1163="بسته",AH1163&lt;&gt;"",AD1163&lt;&gt;"",AH1163&gt;AD1163),AH1163-AD1163,0))</f>
        <v>0</v>
      </c>
      <c r="W1163" s="7" t="str">
        <f aca="false">IF(L1163="","",VALUE(LEFT(L1163,FIND("/",L1163)-1)))</f>
        <v/>
      </c>
      <c r="X1163" s="7" t="str">
        <f aca="false">IF(L1163="","",VALUE(MID(L1163,FIND("/",L1163)+1,FIND("/",L1163,FIND("/",L1163)+1)-FIND("/",L1163)-1)))</f>
        <v/>
      </c>
      <c r="Y1163" s="7" t="str">
        <f aca="false">IF(L1163="","",VALUE(MID(L1163,FIND("/",L1163,FIND("/",L1163)+1)+1,LEN(L1163)-FIND("/",L1163,FIND("/",L1163)+1))))</f>
        <v/>
      </c>
      <c r="Z1163" s="7" t="str">
        <f aca="false">IF(OR(L1163="",W1163=""),"",IFERROR(INDEX('لیست‌ها'!$Q$3:$Q$53,MATCH(W1163,'لیست‌ها'!$P$3:$P$53,0))+IF(X1163&lt;=6,(X1163-1)*31+Y1163,IF(X1163&lt;=11,186+(X1163-7)*30+Y1163,336+Y1163))-1,""))</f>
        <v/>
      </c>
      <c r="AA1163" s="7" t="str">
        <f aca="false">IF(H1163="","",VALUE(LEFT(H1163,FIND("/",H1163)-1)))</f>
        <v/>
      </c>
      <c r="AB1163" s="7" t="str">
        <f aca="false">IF(H1163="","",VALUE(MID(H1163,FIND("/",H1163)+1,FIND("/",H1163,FIND("/",H1163)+1)-FIND("/",H1163)-1)))</f>
        <v/>
      </c>
      <c r="AC1163" s="7" t="str">
        <f aca="false">IF(H1163="","",VALUE(MID(H1163,FIND("/",H1163,FIND("/",H1163)+1)+1,LEN(H1163)-FIND("/",H1163,FIND("/",H1163)+1))))</f>
        <v/>
      </c>
      <c r="AD1163" s="7" t="str">
        <f aca="false">IF(OR(H1163="",AA1163=""),"",IFERROR(INDEX('لیست‌ها'!$Q$3:$Q$53,MATCH(AA1163,'لیست‌ها'!$P$3:$P$53,0))+IF(AB1163&lt;=6,(AB1163-1)*31+AC1163,IF(AB1163&lt;=11,186+(AB1163-7)*30+AC1163,336+AC1163))-1,""))</f>
        <v/>
      </c>
      <c r="AE1163" s="7" t="str">
        <f aca="false">IF(P1163="","",VALUE(LEFT(P1163,FIND("/",P1163)-1)))</f>
        <v/>
      </c>
      <c r="AF1163" s="7" t="str">
        <f aca="false">IF(P1163="","",VALUE(MID(P1163,FIND("/",P1163)+1,FIND("/",P1163,FIND("/",P1163)+1)-FIND("/",P1163)-1)))</f>
        <v/>
      </c>
      <c r="AG1163" s="7" t="str">
        <f aca="false">IF(P1163="","",VALUE(MID(P1163,FIND("/",P1163,FIND("/",P1163)+1)+1,LEN(P1163)-FIND("/",P1163,FIND("/",P1163)+1))))</f>
        <v/>
      </c>
      <c r="AH1163" s="7" t="str">
        <f aca="false">IF(OR(P1163="",AE1163=""),"",IFERROR(INDEX('لیست‌ها'!$Q$3:$Q$53,MATCH(AE1163,'لیست‌ها'!$P$3:$P$53,0))+IF(AF1163&lt;=6,(AF1163-1)*31+AG1163,IF(AF1163&lt;=11,186+(AF1163-7)*30+AG1163,336+AG1163))-1,""))</f>
        <v/>
      </c>
      <c r="AI1163" s="7" t="str">
        <f aca="false">IF(W1163="","",W1163&amp;"-"&amp;TEXT(X1163,"00"))</f>
        <v/>
      </c>
      <c r="AJ1163" s="7" t="str">
        <f aca="false">IF(W1163="","",W1163*12+X1163)</f>
        <v/>
      </c>
      <c r="AK1163" s="7" t="str">
        <f aca="false">IF(U1163="تاخیر",V1163+ROW()/100000,"")</f>
        <v/>
      </c>
    </row>
    <row r="1164" customFormat="false" ht="15" hidden="false" customHeight="false" outlineLevel="0" collapsed="false">
      <c r="A1164" s="7" t="str">
        <f aca="false">IF(B1164="","",ROW()-3)</f>
        <v/>
      </c>
      <c r="B1164" s="8"/>
      <c r="C1164" s="8"/>
      <c r="D1164" s="8"/>
      <c r="E1164" s="9"/>
      <c r="F1164" s="9"/>
      <c r="G1164" s="8"/>
      <c r="H1164" s="8"/>
      <c r="I1164" s="8"/>
      <c r="J1164" s="9"/>
      <c r="K1164" s="8"/>
      <c r="L1164" s="8"/>
      <c r="M1164" s="8"/>
      <c r="N1164" s="8"/>
      <c r="O1164" s="8"/>
      <c r="P1164" s="8"/>
      <c r="Q1164" s="8"/>
      <c r="R1164" s="9"/>
      <c r="S1164" s="8"/>
      <c r="T1164" s="9"/>
      <c r="U1164" s="10" t="str">
        <f aca="true">IF(B1164="","",IF(OR(P1164&lt;&gt;"",I1164="می‌باشد"),"بسته",IF(AND(L1164&lt;&gt;"",W1164=""),"خطای فرمت تاریخ ایجاد",IF(AND(H1164&lt;&gt;"",AA1164=""),"خطای فرمت مهلت",IF(AND(H1164&lt;&gt;"",AD1164&lt;&gt;"",TODAY()&gt;AD1164),"تاخیر",IF(L1164&lt;&gt;"","در حال انجام",""))))))</f>
        <v/>
      </c>
      <c r="V1164" s="7" t="n">
        <f aca="true">IF(U1164="تاخیر",TODAY()-AD1164,IF(AND(U1164="بسته",AH1164&lt;&gt;"",AD1164&lt;&gt;"",AH1164&gt;AD1164),AH1164-AD1164,0))</f>
        <v>0</v>
      </c>
      <c r="W1164" s="7" t="str">
        <f aca="false">IF(L1164="","",VALUE(LEFT(L1164,FIND("/",L1164)-1)))</f>
        <v/>
      </c>
      <c r="X1164" s="7" t="str">
        <f aca="false">IF(L1164="","",VALUE(MID(L1164,FIND("/",L1164)+1,FIND("/",L1164,FIND("/",L1164)+1)-FIND("/",L1164)-1)))</f>
        <v/>
      </c>
      <c r="Y1164" s="7" t="str">
        <f aca="false">IF(L1164="","",VALUE(MID(L1164,FIND("/",L1164,FIND("/",L1164)+1)+1,LEN(L1164)-FIND("/",L1164,FIND("/",L1164)+1))))</f>
        <v/>
      </c>
      <c r="Z1164" s="7" t="str">
        <f aca="false">IF(OR(L1164="",W1164=""),"",IFERROR(INDEX('لیست‌ها'!$Q$3:$Q$53,MATCH(W1164,'لیست‌ها'!$P$3:$P$53,0))+IF(X1164&lt;=6,(X1164-1)*31+Y1164,IF(X1164&lt;=11,186+(X1164-7)*30+Y1164,336+Y1164))-1,""))</f>
        <v/>
      </c>
      <c r="AA1164" s="7" t="str">
        <f aca="false">IF(H1164="","",VALUE(LEFT(H1164,FIND("/",H1164)-1)))</f>
        <v/>
      </c>
      <c r="AB1164" s="7" t="str">
        <f aca="false">IF(H1164="","",VALUE(MID(H1164,FIND("/",H1164)+1,FIND("/",H1164,FIND("/",H1164)+1)-FIND("/",H1164)-1)))</f>
        <v/>
      </c>
      <c r="AC1164" s="7" t="str">
        <f aca="false">IF(H1164="","",VALUE(MID(H1164,FIND("/",H1164,FIND("/",H1164)+1)+1,LEN(H1164)-FIND("/",H1164,FIND("/",H1164)+1))))</f>
        <v/>
      </c>
      <c r="AD1164" s="7" t="str">
        <f aca="false">IF(OR(H1164="",AA1164=""),"",IFERROR(INDEX('لیست‌ها'!$Q$3:$Q$53,MATCH(AA1164,'لیست‌ها'!$P$3:$P$53,0))+IF(AB1164&lt;=6,(AB1164-1)*31+AC1164,IF(AB1164&lt;=11,186+(AB1164-7)*30+AC1164,336+AC1164))-1,""))</f>
        <v/>
      </c>
      <c r="AE1164" s="7" t="str">
        <f aca="false">IF(P1164="","",VALUE(LEFT(P1164,FIND("/",P1164)-1)))</f>
        <v/>
      </c>
      <c r="AF1164" s="7" t="str">
        <f aca="false">IF(P1164="","",VALUE(MID(P1164,FIND("/",P1164)+1,FIND("/",P1164,FIND("/",P1164)+1)-FIND("/",P1164)-1)))</f>
        <v/>
      </c>
      <c r="AG1164" s="7" t="str">
        <f aca="false">IF(P1164="","",VALUE(MID(P1164,FIND("/",P1164,FIND("/",P1164)+1)+1,LEN(P1164)-FIND("/",P1164,FIND("/",P1164)+1))))</f>
        <v/>
      </c>
      <c r="AH1164" s="7" t="str">
        <f aca="false">IF(OR(P1164="",AE1164=""),"",IFERROR(INDEX('لیست‌ها'!$Q$3:$Q$53,MATCH(AE1164,'لیست‌ها'!$P$3:$P$53,0))+IF(AF1164&lt;=6,(AF1164-1)*31+AG1164,IF(AF1164&lt;=11,186+(AF1164-7)*30+AG1164,336+AG1164))-1,""))</f>
        <v/>
      </c>
      <c r="AI1164" s="7" t="str">
        <f aca="false">IF(W1164="","",W1164&amp;"-"&amp;TEXT(X1164,"00"))</f>
        <v/>
      </c>
      <c r="AJ1164" s="7" t="str">
        <f aca="false">IF(W1164="","",W1164*12+X1164)</f>
        <v/>
      </c>
      <c r="AK1164" s="7" t="str">
        <f aca="false">IF(U1164="تاخیر",V1164+ROW()/100000,"")</f>
        <v/>
      </c>
    </row>
    <row r="1165" customFormat="false" ht="15" hidden="false" customHeight="false" outlineLevel="0" collapsed="false">
      <c r="A1165" s="7" t="str">
        <f aca="false">IF(B1165="","",ROW()-3)</f>
        <v/>
      </c>
      <c r="B1165" s="8"/>
      <c r="C1165" s="8"/>
      <c r="D1165" s="8"/>
      <c r="E1165" s="9"/>
      <c r="F1165" s="9"/>
      <c r="G1165" s="8"/>
      <c r="H1165" s="8"/>
      <c r="I1165" s="8"/>
      <c r="J1165" s="9"/>
      <c r="K1165" s="8"/>
      <c r="L1165" s="8"/>
      <c r="M1165" s="8"/>
      <c r="N1165" s="8"/>
      <c r="O1165" s="8"/>
      <c r="P1165" s="8"/>
      <c r="Q1165" s="8"/>
      <c r="R1165" s="9"/>
      <c r="S1165" s="8"/>
      <c r="T1165" s="9"/>
      <c r="U1165" s="10" t="str">
        <f aca="true">IF(B1165="","",IF(OR(P1165&lt;&gt;"",I1165="می‌باشد"),"بسته",IF(AND(L1165&lt;&gt;"",W1165=""),"خطای فرمت تاریخ ایجاد",IF(AND(H1165&lt;&gt;"",AA1165=""),"خطای فرمت مهلت",IF(AND(H1165&lt;&gt;"",AD1165&lt;&gt;"",TODAY()&gt;AD1165),"تاخیر",IF(L1165&lt;&gt;"","در حال انجام",""))))))</f>
        <v/>
      </c>
      <c r="V1165" s="7" t="n">
        <f aca="true">IF(U1165="تاخیر",TODAY()-AD1165,IF(AND(U1165="بسته",AH1165&lt;&gt;"",AD1165&lt;&gt;"",AH1165&gt;AD1165),AH1165-AD1165,0))</f>
        <v>0</v>
      </c>
      <c r="W1165" s="7" t="str">
        <f aca="false">IF(L1165="","",VALUE(LEFT(L1165,FIND("/",L1165)-1)))</f>
        <v/>
      </c>
      <c r="X1165" s="7" t="str">
        <f aca="false">IF(L1165="","",VALUE(MID(L1165,FIND("/",L1165)+1,FIND("/",L1165,FIND("/",L1165)+1)-FIND("/",L1165)-1)))</f>
        <v/>
      </c>
      <c r="Y1165" s="7" t="str">
        <f aca="false">IF(L1165="","",VALUE(MID(L1165,FIND("/",L1165,FIND("/",L1165)+1)+1,LEN(L1165)-FIND("/",L1165,FIND("/",L1165)+1))))</f>
        <v/>
      </c>
      <c r="Z1165" s="7" t="str">
        <f aca="false">IF(OR(L1165="",W1165=""),"",IFERROR(INDEX('لیست‌ها'!$Q$3:$Q$53,MATCH(W1165,'لیست‌ها'!$P$3:$P$53,0))+IF(X1165&lt;=6,(X1165-1)*31+Y1165,IF(X1165&lt;=11,186+(X1165-7)*30+Y1165,336+Y1165))-1,""))</f>
        <v/>
      </c>
      <c r="AA1165" s="7" t="str">
        <f aca="false">IF(H1165="","",VALUE(LEFT(H1165,FIND("/",H1165)-1)))</f>
        <v/>
      </c>
      <c r="AB1165" s="7" t="str">
        <f aca="false">IF(H1165="","",VALUE(MID(H1165,FIND("/",H1165)+1,FIND("/",H1165,FIND("/",H1165)+1)-FIND("/",H1165)-1)))</f>
        <v/>
      </c>
      <c r="AC1165" s="7" t="str">
        <f aca="false">IF(H1165="","",VALUE(MID(H1165,FIND("/",H1165,FIND("/",H1165)+1)+1,LEN(H1165)-FIND("/",H1165,FIND("/",H1165)+1))))</f>
        <v/>
      </c>
      <c r="AD1165" s="7" t="str">
        <f aca="false">IF(OR(H1165="",AA1165=""),"",IFERROR(INDEX('لیست‌ها'!$Q$3:$Q$53,MATCH(AA1165,'لیست‌ها'!$P$3:$P$53,0))+IF(AB1165&lt;=6,(AB1165-1)*31+AC1165,IF(AB1165&lt;=11,186+(AB1165-7)*30+AC1165,336+AC1165))-1,""))</f>
        <v/>
      </c>
      <c r="AE1165" s="7" t="str">
        <f aca="false">IF(P1165="","",VALUE(LEFT(P1165,FIND("/",P1165)-1)))</f>
        <v/>
      </c>
      <c r="AF1165" s="7" t="str">
        <f aca="false">IF(P1165="","",VALUE(MID(P1165,FIND("/",P1165)+1,FIND("/",P1165,FIND("/",P1165)+1)-FIND("/",P1165)-1)))</f>
        <v/>
      </c>
      <c r="AG1165" s="7" t="str">
        <f aca="false">IF(P1165="","",VALUE(MID(P1165,FIND("/",P1165,FIND("/",P1165)+1)+1,LEN(P1165)-FIND("/",P1165,FIND("/",P1165)+1))))</f>
        <v/>
      </c>
      <c r="AH1165" s="7" t="str">
        <f aca="false">IF(OR(P1165="",AE1165=""),"",IFERROR(INDEX('لیست‌ها'!$Q$3:$Q$53,MATCH(AE1165,'لیست‌ها'!$P$3:$P$53,0))+IF(AF1165&lt;=6,(AF1165-1)*31+AG1165,IF(AF1165&lt;=11,186+(AF1165-7)*30+AG1165,336+AG1165))-1,""))</f>
        <v/>
      </c>
      <c r="AI1165" s="7" t="str">
        <f aca="false">IF(W1165="","",W1165&amp;"-"&amp;TEXT(X1165,"00"))</f>
        <v/>
      </c>
      <c r="AJ1165" s="7" t="str">
        <f aca="false">IF(W1165="","",W1165*12+X1165)</f>
        <v/>
      </c>
      <c r="AK1165" s="7" t="str">
        <f aca="false">IF(U1165="تاخیر",V1165+ROW()/100000,"")</f>
        <v/>
      </c>
    </row>
    <row r="1166" customFormat="false" ht="15" hidden="false" customHeight="false" outlineLevel="0" collapsed="false">
      <c r="A1166" s="7" t="str">
        <f aca="false">IF(B1166="","",ROW()-3)</f>
        <v/>
      </c>
      <c r="B1166" s="8"/>
      <c r="C1166" s="8"/>
      <c r="D1166" s="8"/>
      <c r="E1166" s="9"/>
      <c r="F1166" s="9"/>
      <c r="G1166" s="8"/>
      <c r="H1166" s="8"/>
      <c r="I1166" s="8"/>
      <c r="J1166" s="9"/>
      <c r="K1166" s="8"/>
      <c r="L1166" s="8"/>
      <c r="M1166" s="8"/>
      <c r="N1166" s="8"/>
      <c r="O1166" s="8"/>
      <c r="P1166" s="8"/>
      <c r="Q1166" s="8"/>
      <c r="R1166" s="9"/>
      <c r="S1166" s="8"/>
      <c r="T1166" s="9"/>
      <c r="U1166" s="10" t="str">
        <f aca="true">IF(B1166="","",IF(OR(P1166&lt;&gt;"",I1166="می‌باشد"),"بسته",IF(AND(L1166&lt;&gt;"",W1166=""),"خطای فرمت تاریخ ایجاد",IF(AND(H1166&lt;&gt;"",AA1166=""),"خطای فرمت مهلت",IF(AND(H1166&lt;&gt;"",AD1166&lt;&gt;"",TODAY()&gt;AD1166),"تاخیر",IF(L1166&lt;&gt;"","در حال انجام",""))))))</f>
        <v/>
      </c>
      <c r="V1166" s="7" t="n">
        <f aca="true">IF(U1166="تاخیر",TODAY()-AD1166,IF(AND(U1166="بسته",AH1166&lt;&gt;"",AD1166&lt;&gt;"",AH1166&gt;AD1166),AH1166-AD1166,0))</f>
        <v>0</v>
      </c>
      <c r="W1166" s="7" t="str">
        <f aca="false">IF(L1166="","",VALUE(LEFT(L1166,FIND("/",L1166)-1)))</f>
        <v/>
      </c>
      <c r="X1166" s="7" t="str">
        <f aca="false">IF(L1166="","",VALUE(MID(L1166,FIND("/",L1166)+1,FIND("/",L1166,FIND("/",L1166)+1)-FIND("/",L1166)-1)))</f>
        <v/>
      </c>
      <c r="Y1166" s="7" t="str">
        <f aca="false">IF(L1166="","",VALUE(MID(L1166,FIND("/",L1166,FIND("/",L1166)+1)+1,LEN(L1166)-FIND("/",L1166,FIND("/",L1166)+1))))</f>
        <v/>
      </c>
      <c r="Z1166" s="7" t="str">
        <f aca="false">IF(OR(L1166="",W1166=""),"",IFERROR(INDEX('لیست‌ها'!$Q$3:$Q$53,MATCH(W1166,'لیست‌ها'!$P$3:$P$53,0))+IF(X1166&lt;=6,(X1166-1)*31+Y1166,IF(X1166&lt;=11,186+(X1166-7)*30+Y1166,336+Y1166))-1,""))</f>
        <v/>
      </c>
      <c r="AA1166" s="7" t="str">
        <f aca="false">IF(H1166="","",VALUE(LEFT(H1166,FIND("/",H1166)-1)))</f>
        <v/>
      </c>
      <c r="AB1166" s="7" t="str">
        <f aca="false">IF(H1166="","",VALUE(MID(H1166,FIND("/",H1166)+1,FIND("/",H1166,FIND("/",H1166)+1)-FIND("/",H1166)-1)))</f>
        <v/>
      </c>
      <c r="AC1166" s="7" t="str">
        <f aca="false">IF(H1166="","",VALUE(MID(H1166,FIND("/",H1166,FIND("/",H1166)+1)+1,LEN(H1166)-FIND("/",H1166,FIND("/",H1166)+1))))</f>
        <v/>
      </c>
      <c r="AD1166" s="7" t="str">
        <f aca="false">IF(OR(H1166="",AA1166=""),"",IFERROR(INDEX('لیست‌ها'!$Q$3:$Q$53,MATCH(AA1166,'لیست‌ها'!$P$3:$P$53,0))+IF(AB1166&lt;=6,(AB1166-1)*31+AC1166,IF(AB1166&lt;=11,186+(AB1166-7)*30+AC1166,336+AC1166))-1,""))</f>
        <v/>
      </c>
      <c r="AE1166" s="7" t="str">
        <f aca="false">IF(P1166="","",VALUE(LEFT(P1166,FIND("/",P1166)-1)))</f>
        <v/>
      </c>
      <c r="AF1166" s="7" t="str">
        <f aca="false">IF(P1166="","",VALUE(MID(P1166,FIND("/",P1166)+1,FIND("/",P1166,FIND("/",P1166)+1)-FIND("/",P1166)-1)))</f>
        <v/>
      </c>
      <c r="AG1166" s="7" t="str">
        <f aca="false">IF(P1166="","",VALUE(MID(P1166,FIND("/",P1166,FIND("/",P1166)+1)+1,LEN(P1166)-FIND("/",P1166,FIND("/",P1166)+1))))</f>
        <v/>
      </c>
      <c r="AH1166" s="7" t="str">
        <f aca="false">IF(OR(P1166="",AE1166=""),"",IFERROR(INDEX('لیست‌ها'!$Q$3:$Q$53,MATCH(AE1166,'لیست‌ها'!$P$3:$P$53,0))+IF(AF1166&lt;=6,(AF1166-1)*31+AG1166,IF(AF1166&lt;=11,186+(AF1166-7)*30+AG1166,336+AG1166))-1,""))</f>
        <v/>
      </c>
      <c r="AI1166" s="7" t="str">
        <f aca="false">IF(W1166="","",W1166&amp;"-"&amp;TEXT(X1166,"00"))</f>
        <v/>
      </c>
      <c r="AJ1166" s="7" t="str">
        <f aca="false">IF(W1166="","",W1166*12+X1166)</f>
        <v/>
      </c>
      <c r="AK1166" s="7" t="str">
        <f aca="false">IF(U1166="تاخیر",V1166+ROW()/100000,"")</f>
        <v/>
      </c>
    </row>
    <row r="1167" customFormat="false" ht="15" hidden="false" customHeight="false" outlineLevel="0" collapsed="false">
      <c r="A1167" s="7" t="str">
        <f aca="false">IF(B1167="","",ROW()-3)</f>
        <v/>
      </c>
      <c r="B1167" s="8"/>
      <c r="C1167" s="8"/>
      <c r="D1167" s="8"/>
      <c r="E1167" s="9"/>
      <c r="F1167" s="9"/>
      <c r="G1167" s="8"/>
      <c r="H1167" s="8"/>
      <c r="I1167" s="8"/>
      <c r="J1167" s="9"/>
      <c r="K1167" s="8"/>
      <c r="L1167" s="8"/>
      <c r="M1167" s="8"/>
      <c r="N1167" s="8"/>
      <c r="O1167" s="8"/>
      <c r="P1167" s="8"/>
      <c r="Q1167" s="8"/>
      <c r="R1167" s="9"/>
      <c r="S1167" s="8"/>
      <c r="T1167" s="9"/>
      <c r="U1167" s="10" t="str">
        <f aca="true">IF(B1167="","",IF(OR(P1167&lt;&gt;"",I1167="می‌باشد"),"بسته",IF(AND(L1167&lt;&gt;"",W1167=""),"خطای فرمت تاریخ ایجاد",IF(AND(H1167&lt;&gt;"",AA1167=""),"خطای فرمت مهلت",IF(AND(H1167&lt;&gt;"",AD1167&lt;&gt;"",TODAY()&gt;AD1167),"تاخیر",IF(L1167&lt;&gt;"","در حال انجام",""))))))</f>
        <v/>
      </c>
      <c r="V1167" s="7" t="n">
        <f aca="true">IF(U1167="تاخیر",TODAY()-AD1167,IF(AND(U1167="بسته",AH1167&lt;&gt;"",AD1167&lt;&gt;"",AH1167&gt;AD1167),AH1167-AD1167,0))</f>
        <v>0</v>
      </c>
      <c r="W1167" s="7" t="str">
        <f aca="false">IF(L1167="","",VALUE(LEFT(L1167,FIND("/",L1167)-1)))</f>
        <v/>
      </c>
      <c r="X1167" s="7" t="str">
        <f aca="false">IF(L1167="","",VALUE(MID(L1167,FIND("/",L1167)+1,FIND("/",L1167,FIND("/",L1167)+1)-FIND("/",L1167)-1)))</f>
        <v/>
      </c>
      <c r="Y1167" s="7" t="str">
        <f aca="false">IF(L1167="","",VALUE(MID(L1167,FIND("/",L1167,FIND("/",L1167)+1)+1,LEN(L1167)-FIND("/",L1167,FIND("/",L1167)+1))))</f>
        <v/>
      </c>
      <c r="Z1167" s="7" t="str">
        <f aca="false">IF(OR(L1167="",W1167=""),"",IFERROR(INDEX('لیست‌ها'!$Q$3:$Q$53,MATCH(W1167,'لیست‌ها'!$P$3:$P$53,0))+IF(X1167&lt;=6,(X1167-1)*31+Y1167,IF(X1167&lt;=11,186+(X1167-7)*30+Y1167,336+Y1167))-1,""))</f>
        <v/>
      </c>
      <c r="AA1167" s="7" t="str">
        <f aca="false">IF(H1167="","",VALUE(LEFT(H1167,FIND("/",H1167)-1)))</f>
        <v/>
      </c>
      <c r="AB1167" s="7" t="str">
        <f aca="false">IF(H1167="","",VALUE(MID(H1167,FIND("/",H1167)+1,FIND("/",H1167,FIND("/",H1167)+1)-FIND("/",H1167)-1)))</f>
        <v/>
      </c>
      <c r="AC1167" s="7" t="str">
        <f aca="false">IF(H1167="","",VALUE(MID(H1167,FIND("/",H1167,FIND("/",H1167)+1)+1,LEN(H1167)-FIND("/",H1167,FIND("/",H1167)+1))))</f>
        <v/>
      </c>
      <c r="AD1167" s="7" t="str">
        <f aca="false">IF(OR(H1167="",AA1167=""),"",IFERROR(INDEX('لیست‌ها'!$Q$3:$Q$53,MATCH(AA1167,'لیست‌ها'!$P$3:$P$53,0))+IF(AB1167&lt;=6,(AB1167-1)*31+AC1167,IF(AB1167&lt;=11,186+(AB1167-7)*30+AC1167,336+AC1167))-1,""))</f>
        <v/>
      </c>
      <c r="AE1167" s="7" t="str">
        <f aca="false">IF(P1167="","",VALUE(LEFT(P1167,FIND("/",P1167)-1)))</f>
        <v/>
      </c>
      <c r="AF1167" s="7" t="str">
        <f aca="false">IF(P1167="","",VALUE(MID(P1167,FIND("/",P1167)+1,FIND("/",P1167,FIND("/",P1167)+1)-FIND("/",P1167)-1)))</f>
        <v/>
      </c>
      <c r="AG1167" s="7" t="str">
        <f aca="false">IF(P1167="","",VALUE(MID(P1167,FIND("/",P1167,FIND("/",P1167)+1)+1,LEN(P1167)-FIND("/",P1167,FIND("/",P1167)+1))))</f>
        <v/>
      </c>
      <c r="AH1167" s="7" t="str">
        <f aca="false">IF(OR(P1167="",AE1167=""),"",IFERROR(INDEX('لیست‌ها'!$Q$3:$Q$53,MATCH(AE1167,'لیست‌ها'!$P$3:$P$53,0))+IF(AF1167&lt;=6,(AF1167-1)*31+AG1167,IF(AF1167&lt;=11,186+(AF1167-7)*30+AG1167,336+AG1167))-1,""))</f>
        <v/>
      </c>
      <c r="AI1167" s="7" t="str">
        <f aca="false">IF(W1167="","",W1167&amp;"-"&amp;TEXT(X1167,"00"))</f>
        <v/>
      </c>
      <c r="AJ1167" s="7" t="str">
        <f aca="false">IF(W1167="","",W1167*12+X1167)</f>
        <v/>
      </c>
      <c r="AK1167" s="7" t="str">
        <f aca="false">IF(U1167="تاخیر",V1167+ROW()/100000,"")</f>
        <v/>
      </c>
    </row>
    <row r="1168" customFormat="false" ht="15" hidden="false" customHeight="false" outlineLevel="0" collapsed="false">
      <c r="A1168" s="7" t="str">
        <f aca="false">IF(B1168="","",ROW()-3)</f>
        <v/>
      </c>
      <c r="B1168" s="8"/>
      <c r="C1168" s="8"/>
      <c r="D1168" s="8"/>
      <c r="E1168" s="9"/>
      <c r="F1168" s="9"/>
      <c r="G1168" s="8"/>
      <c r="H1168" s="8"/>
      <c r="I1168" s="8"/>
      <c r="J1168" s="9"/>
      <c r="K1168" s="8"/>
      <c r="L1168" s="8"/>
      <c r="M1168" s="8"/>
      <c r="N1168" s="8"/>
      <c r="O1168" s="8"/>
      <c r="P1168" s="8"/>
      <c r="Q1168" s="8"/>
      <c r="R1168" s="9"/>
      <c r="S1168" s="8"/>
      <c r="T1168" s="9"/>
      <c r="U1168" s="10" t="str">
        <f aca="true">IF(B1168="","",IF(OR(P1168&lt;&gt;"",I1168="می‌باشد"),"بسته",IF(AND(L1168&lt;&gt;"",W1168=""),"خطای فرمت تاریخ ایجاد",IF(AND(H1168&lt;&gt;"",AA1168=""),"خطای فرمت مهلت",IF(AND(H1168&lt;&gt;"",AD1168&lt;&gt;"",TODAY()&gt;AD1168),"تاخیر",IF(L1168&lt;&gt;"","در حال انجام",""))))))</f>
        <v/>
      </c>
      <c r="V1168" s="7" t="n">
        <f aca="true">IF(U1168="تاخیر",TODAY()-AD1168,IF(AND(U1168="بسته",AH1168&lt;&gt;"",AD1168&lt;&gt;"",AH1168&gt;AD1168),AH1168-AD1168,0))</f>
        <v>0</v>
      </c>
      <c r="W1168" s="7" t="str">
        <f aca="false">IF(L1168="","",VALUE(LEFT(L1168,FIND("/",L1168)-1)))</f>
        <v/>
      </c>
      <c r="X1168" s="7" t="str">
        <f aca="false">IF(L1168="","",VALUE(MID(L1168,FIND("/",L1168)+1,FIND("/",L1168,FIND("/",L1168)+1)-FIND("/",L1168)-1)))</f>
        <v/>
      </c>
      <c r="Y1168" s="7" t="str">
        <f aca="false">IF(L1168="","",VALUE(MID(L1168,FIND("/",L1168,FIND("/",L1168)+1)+1,LEN(L1168)-FIND("/",L1168,FIND("/",L1168)+1))))</f>
        <v/>
      </c>
      <c r="Z1168" s="7" t="str">
        <f aca="false">IF(OR(L1168="",W1168=""),"",IFERROR(INDEX('لیست‌ها'!$Q$3:$Q$53,MATCH(W1168,'لیست‌ها'!$P$3:$P$53,0))+IF(X1168&lt;=6,(X1168-1)*31+Y1168,IF(X1168&lt;=11,186+(X1168-7)*30+Y1168,336+Y1168))-1,""))</f>
        <v/>
      </c>
      <c r="AA1168" s="7" t="str">
        <f aca="false">IF(H1168="","",VALUE(LEFT(H1168,FIND("/",H1168)-1)))</f>
        <v/>
      </c>
      <c r="AB1168" s="7" t="str">
        <f aca="false">IF(H1168="","",VALUE(MID(H1168,FIND("/",H1168)+1,FIND("/",H1168,FIND("/",H1168)+1)-FIND("/",H1168)-1)))</f>
        <v/>
      </c>
      <c r="AC1168" s="7" t="str">
        <f aca="false">IF(H1168="","",VALUE(MID(H1168,FIND("/",H1168,FIND("/",H1168)+1)+1,LEN(H1168)-FIND("/",H1168,FIND("/",H1168)+1))))</f>
        <v/>
      </c>
      <c r="AD1168" s="7" t="str">
        <f aca="false">IF(OR(H1168="",AA1168=""),"",IFERROR(INDEX('لیست‌ها'!$Q$3:$Q$53,MATCH(AA1168,'لیست‌ها'!$P$3:$P$53,0))+IF(AB1168&lt;=6,(AB1168-1)*31+AC1168,IF(AB1168&lt;=11,186+(AB1168-7)*30+AC1168,336+AC1168))-1,""))</f>
        <v/>
      </c>
      <c r="AE1168" s="7" t="str">
        <f aca="false">IF(P1168="","",VALUE(LEFT(P1168,FIND("/",P1168)-1)))</f>
        <v/>
      </c>
      <c r="AF1168" s="7" t="str">
        <f aca="false">IF(P1168="","",VALUE(MID(P1168,FIND("/",P1168)+1,FIND("/",P1168,FIND("/",P1168)+1)-FIND("/",P1168)-1)))</f>
        <v/>
      </c>
      <c r="AG1168" s="7" t="str">
        <f aca="false">IF(P1168="","",VALUE(MID(P1168,FIND("/",P1168,FIND("/",P1168)+1)+1,LEN(P1168)-FIND("/",P1168,FIND("/",P1168)+1))))</f>
        <v/>
      </c>
      <c r="AH1168" s="7" t="str">
        <f aca="false">IF(OR(P1168="",AE1168=""),"",IFERROR(INDEX('لیست‌ها'!$Q$3:$Q$53,MATCH(AE1168,'لیست‌ها'!$P$3:$P$53,0))+IF(AF1168&lt;=6,(AF1168-1)*31+AG1168,IF(AF1168&lt;=11,186+(AF1168-7)*30+AG1168,336+AG1168))-1,""))</f>
        <v/>
      </c>
      <c r="AI1168" s="7" t="str">
        <f aca="false">IF(W1168="","",W1168&amp;"-"&amp;TEXT(X1168,"00"))</f>
        <v/>
      </c>
      <c r="AJ1168" s="7" t="str">
        <f aca="false">IF(W1168="","",W1168*12+X1168)</f>
        <v/>
      </c>
      <c r="AK1168" s="7" t="str">
        <f aca="false">IF(U1168="تاخیر",V1168+ROW()/100000,"")</f>
        <v/>
      </c>
    </row>
    <row r="1169" customFormat="false" ht="15" hidden="false" customHeight="false" outlineLevel="0" collapsed="false">
      <c r="A1169" s="7" t="str">
        <f aca="false">IF(B1169="","",ROW()-3)</f>
        <v/>
      </c>
      <c r="B1169" s="8"/>
      <c r="C1169" s="8"/>
      <c r="D1169" s="8"/>
      <c r="E1169" s="9"/>
      <c r="F1169" s="9"/>
      <c r="G1169" s="8"/>
      <c r="H1169" s="8"/>
      <c r="I1169" s="8"/>
      <c r="J1169" s="9"/>
      <c r="K1169" s="8"/>
      <c r="L1169" s="8"/>
      <c r="M1169" s="8"/>
      <c r="N1169" s="8"/>
      <c r="O1169" s="8"/>
      <c r="P1169" s="8"/>
      <c r="Q1169" s="8"/>
      <c r="R1169" s="9"/>
      <c r="S1169" s="8"/>
      <c r="T1169" s="9"/>
      <c r="U1169" s="10" t="str">
        <f aca="true">IF(B1169="","",IF(OR(P1169&lt;&gt;"",I1169="می‌باشد"),"بسته",IF(AND(L1169&lt;&gt;"",W1169=""),"خطای فرمت تاریخ ایجاد",IF(AND(H1169&lt;&gt;"",AA1169=""),"خطای فرمت مهلت",IF(AND(H1169&lt;&gt;"",AD1169&lt;&gt;"",TODAY()&gt;AD1169),"تاخیر",IF(L1169&lt;&gt;"","در حال انجام",""))))))</f>
        <v/>
      </c>
      <c r="V1169" s="7" t="n">
        <f aca="true">IF(U1169="تاخیر",TODAY()-AD1169,IF(AND(U1169="بسته",AH1169&lt;&gt;"",AD1169&lt;&gt;"",AH1169&gt;AD1169),AH1169-AD1169,0))</f>
        <v>0</v>
      </c>
      <c r="W1169" s="7" t="str">
        <f aca="false">IF(L1169="","",VALUE(LEFT(L1169,FIND("/",L1169)-1)))</f>
        <v/>
      </c>
      <c r="X1169" s="7" t="str">
        <f aca="false">IF(L1169="","",VALUE(MID(L1169,FIND("/",L1169)+1,FIND("/",L1169,FIND("/",L1169)+1)-FIND("/",L1169)-1)))</f>
        <v/>
      </c>
      <c r="Y1169" s="7" t="str">
        <f aca="false">IF(L1169="","",VALUE(MID(L1169,FIND("/",L1169,FIND("/",L1169)+1)+1,LEN(L1169)-FIND("/",L1169,FIND("/",L1169)+1))))</f>
        <v/>
      </c>
      <c r="Z1169" s="7" t="str">
        <f aca="false">IF(OR(L1169="",W1169=""),"",IFERROR(INDEX('لیست‌ها'!$Q$3:$Q$53,MATCH(W1169,'لیست‌ها'!$P$3:$P$53,0))+IF(X1169&lt;=6,(X1169-1)*31+Y1169,IF(X1169&lt;=11,186+(X1169-7)*30+Y1169,336+Y1169))-1,""))</f>
        <v/>
      </c>
      <c r="AA1169" s="7" t="str">
        <f aca="false">IF(H1169="","",VALUE(LEFT(H1169,FIND("/",H1169)-1)))</f>
        <v/>
      </c>
      <c r="AB1169" s="7" t="str">
        <f aca="false">IF(H1169="","",VALUE(MID(H1169,FIND("/",H1169)+1,FIND("/",H1169,FIND("/",H1169)+1)-FIND("/",H1169)-1)))</f>
        <v/>
      </c>
      <c r="AC1169" s="7" t="str">
        <f aca="false">IF(H1169="","",VALUE(MID(H1169,FIND("/",H1169,FIND("/",H1169)+1)+1,LEN(H1169)-FIND("/",H1169,FIND("/",H1169)+1))))</f>
        <v/>
      </c>
      <c r="AD1169" s="7" t="str">
        <f aca="false">IF(OR(H1169="",AA1169=""),"",IFERROR(INDEX('لیست‌ها'!$Q$3:$Q$53,MATCH(AA1169,'لیست‌ها'!$P$3:$P$53,0))+IF(AB1169&lt;=6,(AB1169-1)*31+AC1169,IF(AB1169&lt;=11,186+(AB1169-7)*30+AC1169,336+AC1169))-1,""))</f>
        <v/>
      </c>
      <c r="AE1169" s="7" t="str">
        <f aca="false">IF(P1169="","",VALUE(LEFT(P1169,FIND("/",P1169)-1)))</f>
        <v/>
      </c>
      <c r="AF1169" s="7" t="str">
        <f aca="false">IF(P1169="","",VALUE(MID(P1169,FIND("/",P1169)+1,FIND("/",P1169,FIND("/",P1169)+1)-FIND("/",P1169)-1)))</f>
        <v/>
      </c>
      <c r="AG1169" s="7" t="str">
        <f aca="false">IF(P1169="","",VALUE(MID(P1169,FIND("/",P1169,FIND("/",P1169)+1)+1,LEN(P1169)-FIND("/",P1169,FIND("/",P1169)+1))))</f>
        <v/>
      </c>
      <c r="AH1169" s="7" t="str">
        <f aca="false">IF(OR(P1169="",AE1169=""),"",IFERROR(INDEX('لیست‌ها'!$Q$3:$Q$53,MATCH(AE1169,'لیست‌ها'!$P$3:$P$53,0))+IF(AF1169&lt;=6,(AF1169-1)*31+AG1169,IF(AF1169&lt;=11,186+(AF1169-7)*30+AG1169,336+AG1169))-1,""))</f>
        <v/>
      </c>
      <c r="AI1169" s="7" t="str">
        <f aca="false">IF(W1169="","",W1169&amp;"-"&amp;TEXT(X1169,"00"))</f>
        <v/>
      </c>
      <c r="AJ1169" s="7" t="str">
        <f aca="false">IF(W1169="","",W1169*12+X1169)</f>
        <v/>
      </c>
      <c r="AK1169" s="7" t="str">
        <f aca="false">IF(U1169="تاخیر",V1169+ROW()/100000,"")</f>
        <v/>
      </c>
    </row>
    <row r="1170" customFormat="false" ht="15" hidden="false" customHeight="false" outlineLevel="0" collapsed="false">
      <c r="A1170" s="7" t="str">
        <f aca="false">IF(B1170="","",ROW()-3)</f>
        <v/>
      </c>
      <c r="B1170" s="8"/>
      <c r="C1170" s="8"/>
      <c r="D1170" s="8"/>
      <c r="E1170" s="9"/>
      <c r="F1170" s="9"/>
      <c r="G1170" s="8"/>
      <c r="H1170" s="8"/>
      <c r="I1170" s="8"/>
      <c r="J1170" s="9"/>
      <c r="K1170" s="8"/>
      <c r="L1170" s="8"/>
      <c r="M1170" s="8"/>
      <c r="N1170" s="8"/>
      <c r="O1170" s="8"/>
      <c r="P1170" s="8"/>
      <c r="Q1170" s="8"/>
      <c r="R1170" s="9"/>
      <c r="S1170" s="8"/>
      <c r="T1170" s="9"/>
      <c r="U1170" s="10" t="str">
        <f aca="true">IF(B1170="","",IF(OR(P1170&lt;&gt;"",I1170="می‌باشد"),"بسته",IF(AND(L1170&lt;&gt;"",W1170=""),"خطای فرمت تاریخ ایجاد",IF(AND(H1170&lt;&gt;"",AA1170=""),"خطای فرمت مهلت",IF(AND(H1170&lt;&gt;"",AD1170&lt;&gt;"",TODAY()&gt;AD1170),"تاخیر",IF(L1170&lt;&gt;"","در حال انجام",""))))))</f>
        <v/>
      </c>
      <c r="V1170" s="7" t="n">
        <f aca="true">IF(U1170="تاخیر",TODAY()-AD1170,IF(AND(U1170="بسته",AH1170&lt;&gt;"",AD1170&lt;&gt;"",AH1170&gt;AD1170),AH1170-AD1170,0))</f>
        <v>0</v>
      </c>
      <c r="W1170" s="7" t="str">
        <f aca="false">IF(L1170="","",VALUE(LEFT(L1170,FIND("/",L1170)-1)))</f>
        <v/>
      </c>
      <c r="X1170" s="7" t="str">
        <f aca="false">IF(L1170="","",VALUE(MID(L1170,FIND("/",L1170)+1,FIND("/",L1170,FIND("/",L1170)+1)-FIND("/",L1170)-1)))</f>
        <v/>
      </c>
      <c r="Y1170" s="7" t="str">
        <f aca="false">IF(L1170="","",VALUE(MID(L1170,FIND("/",L1170,FIND("/",L1170)+1)+1,LEN(L1170)-FIND("/",L1170,FIND("/",L1170)+1))))</f>
        <v/>
      </c>
      <c r="Z1170" s="7" t="str">
        <f aca="false">IF(OR(L1170="",W1170=""),"",IFERROR(INDEX('لیست‌ها'!$Q$3:$Q$53,MATCH(W1170,'لیست‌ها'!$P$3:$P$53,0))+IF(X1170&lt;=6,(X1170-1)*31+Y1170,IF(X1170&lt;=11,186+(X1170-7)*30+Y1170,336+Y1170))-1,""))</f>
        <v/>
      </c>
      <c r="AA1170" s="7" t="str">
        <f aca="false">IF(H1170="","",VALUE(LEFT(H1170,FIND("/",H1170)-1)))</f>
        <v/>
      </c>
      <c r="AB1170" s="7" t="str">
        <f aca="false">IF(H1170="","",VALUE(MID(H1170,FIND("/",H1170)+1,FIND("/",H1170,FIND("/",H1170)+1)-FIND("/",H1170)-1)))</f>
        <v/>
      </c>
      <c r="AC1170" s="7" t="str">
        <f aca="false">IF(H1170="","",VALUE(MID(H1170,FIND("/",H1170,FIND("/",H1170)+1)+1,LEN(H1170)-FIND("/",H1170,FIND("/",H1170)+1))))</f>
        <v/>
      </c>
      <c r="AD1170" s="7" t="str">
        <f aca="false">IF(OR(H1170="",AA1170=""),"",IFERROR(INDEX('لیست‌ها'!$Q$3:$Q$53,MATCH(AA1170,'لیست‌ها'!$P$3:$P$53,0))+IF(AB1170&lt;=6,(AB1170-1)*31+AC1170,IF(AB1170&lt;=11,186+(AB1170-7)*30+AC1170,336+AC1170))-1,""))</f>
        <v/>
      </c>
      <c r="AE1170" s="7" t="str">
        <f aca="false">IF(P1170="","",VALUE(LEFT(P1170,FIND("/",P1170)-1)))</f>
        <v/>
      </c>
      <c r="AF1170" s="7" t="str">
        <f aca="false">IF(P1170="","",VALUE(MID(P1170,FIND("/",P1170)+1,FIND("/",P1170,FIND("/",P1170)+1)-FIND("/",P1170)-1)))</f>
        <v/>
      </c>
      <c r="AG1170" s="7" t="str">
        <f aca="false">IF(P1170="","",VALUE(MID(P1170,FIND("/",P1170,FIND("/",P1170)+1)+1,LEN(P1170)-FIND("/",P1170,FIND("/",P1170)+1))))</f>
        <v/>
      </c>
      <c r="AH1170" s="7" t="str">
        <f aca="false">IF(OR(P1170="",AE1170=""),"",IFERROR(INDEX('لیست‌ها'!$Q$3:$Q$53,MATCH(AE1170,'لیست‌ها'!$P$3:$P$53,0))+IF(AF1170&lt;=6,(AF1170-1)*31+AG1170,IF(AF1170&lt;=11,186+(AF1170-7)*30+AG1170,336+AG1170))-1,""))</f>
        <v/>
      </c>
      <c r="AI1170" s="7" t="str">
        <f aca="false">IF(W1170="","",W1170&amp;"-"&amp;TEXT(X1170,"00"))</f>
        <v/>
      </c>
      <c r="AJ1170" s="7" t="str">
        <f aca="false">IF(W1170="","",W1170*12+X1170)</f>
        <v/>
      </c>
      <c r="AK1170" s="7" t="str">
        <f aca="false">IF(U1170="تاخیر",V1170+ROW()/100000,"")</f>
        <v/>
      </c>
    </row>
    <row r="1171" customFormat="false" ht="15" hidden="false" customHeight="false" outlineLevel="0" collapsed="false">
      <c r="A1171" s="7" t="str">
        <f aca="false">IF(B1171="","",ROW()-3)</f>
        <v/>
      </c>
      <c r="B1171" s="8"/>
      <c r="C1171" s="8"/>
      <c r="D1171" s="8"/>
      <c r="E1171" s="9"/>
      <c r="F1171" s="9"/>
      <c r="G1171" s="8"/>
      <c r="H1171" s="8"/>
      <c r="I1171" s="8"/>
      <c r="J1171" s="9"/>
      <c r="K1171" s="8"/>
      <c r="L1171" s="8"/>
      <c r="M1171" s="8"/>
      <c r="N1171" s="8"/>
      <c r="O1171" s="8"/>
      <c r="P1171" s="8"/>
      <c r="Q1171" s="8"/>
      <c r="R1171" s="9"/>
      <c r="S1171" s="8"/>
      <c r="T1171" s="9"/>
      <c r="U1171" s="10" t="str">
        <f aca="true">IF(B1171="","",IF(OR(P1171&lt;&gt;"",I1171="می‌باشد"),"بسته",IF(AND(L1171&lt;&gt;"",W1171=""),"خطای فرمت تاریخ ایجاد",IF(AND(H1171&lt;&gt;"",AA1171=""),"خطای فرمت مهلت",IF(AND(H1171&lt;&gt;"",AD1171&lt;&gt;"",TODAY()&gt;AD1171),"تاخیر",IF(L1171&lt;&gt;"","در حال انجام",""))))))</f>
        <v/>
      </c>
      <c r="V1171" s="7" t="n">
        <f aca="true">IF(U1171="تاخیر",TODAY()-AD1171,IF(AND(U1171="بسته",AH1171&lt;&gt;"",AD1171&lt;&gt;"",AH1171&gt;AD1171),AH1171-AD1171,0))</f>
        <v>0</v>
      </c>
      <c r="W1171" s="7" t="str">
        <f aca="false">IF(L1171="","",VALUE(LEFT(L1171,FIND("/",L1171)-1)))</f>
        <v/>
      </c>
      <c r="X1171" s="7" t="str">
        <f aca="false">IF(L1171="","",VALUE(MID(L1171,FIND("/",L1171)+1,FIND("/",L1171,FIND("/",L1171)+1)-FIND("/",L1171)-1)))</f>
        <v/>
      </c>
      <c r="Y1171" s="7" t="str">
        <f aca="false">IF(L1171="","",VALUE(MID(L1171,FIND("/",L1171,FIND("/",L1171)+1)+1,LEN(L1171)-FIND("/",L1171,FIND("/",L1171)+1))))</f>
        <v/>
      </c>
      <c r="Z1171" s="7" t="str">
        <f aca="false">IF(OR(L1171="",W1171=""),"",IFERROR(INDEX('لیست‌ها'!$Q$3:$Q$53,MATCH(W1171,'لیست‌ها'!$P$3:$P$53,0))+IF(X1171&lt;=6,(X1171-1)*31+Y1171,IF(X1171&lt;=11,186+(X1171-7)*30+Y1171,336+Y1171))-1,""))</f>
        <v/>
      </c>
      <c r="AA1171" s="7" t="str">
        <f aca="false">IF(H1171="","",VALUE(LEFT(H1171,FIND("/",H1171)-1)))</f>
        <v/>
      </c>
      <c r="AB1171" s="7" t="str">
        <f aca="false">IF(H1171="","",VALUE(MID(H1171,FIND("/",H1171)+1,FIND("/",H1171,FIND("/",H1171)+1)-FIND("/",H1171)-1)))</f>
        <v/>
      </c>
      <c r="AC1171" s="7" t="str">
        <f aca="false">IF(H1171="","",VALUE(MID(H1171,FIND("/",H1171,FIND("/",H1171)+1)+1,LEN(H1171)-FIND("/",H1171,FIND("/",H1171)+1))))</f>
        <v/>
      </c>
      <c r="AD1171" s="7" t="str">
        <f aca="false">IF(OR(H1171="",AA1171=""),"",IFERROR(INDEX('لیست‌ها'!$Q$3:$Q$53,MATCH(AA1171,'لیست‌ها'!$P$3:$P$53,0))+IF(AB1171&lt;=6,(AB1171-1)*31+AC1171,IF(AB1171&lt;=11,186+(AB1171-7)*30+AC1171,336+AC1171))-1,""))</f>
        <v/>
      </c>
      <c r="AE1171" s="7" t="str">
        <f aca="false">IF(P1171="","",VALUE(LEFT(P1171,FIND("/",P1171)-1)))</f>
        <v/>
      </c>
      <c r="AF1171" s="7" t="str">
        <f aca="false">IF(P1171="","",VALUE(MID(P1171,FIND("/",P1171)+1,FIND("/",P1171,FIND("/",P1171)+1)-FIND("/",P1171)-1)))</f>
        <v/>
      </c>
      <c r="AG1171" s="7" t="str">
        <f aca="false">IF(P1171="","",VALUE(MID(P1171,FIND("/",P1171,FIND("/",P1171)+1)+1,LEN(P1171)-FIND("/",P1171,FIND("/",P1171)+1))))</f>
        <v/>
      </c>
      <c r="AH1171" s="7" t="str">
        <f aca="false">IF(OR(P1171="",AE1171=""),"",IFERROR(INDEX('لیست‌ها'!$Q$3:$Q$53,MATCH(AE1171,'لیست‌ها'!$P$3:$P$53,0))+IF(AF1171&lt;=6,(AF1171-1)*31+AG1171,IF(AF1171&lt;=11,186+(AF1171-7)*30+AG1171,336+AG1171))-1,""))</f>
        <v/>
      </c>
      <c r="AI1171" s="7" t="str">
        <f aca="false">IF(W1171="","",W1171&amp;"-"&amp;TEXT(X1171,"00"))</f>
        <v/>
      </c>
      <c r="AJ1171" s="7" t="str">
        <f aca="false">IF(W1171="","",W1171*12+X1171)</f>
        <v/>
      </c>
      <c r="AK1171" s="7" t="str">
        <f aca="false">IF(U1171="تاخیر",V1171+ROW()/100000,"")</f>
        <v/>
      </c>
    </row>
    <row r="1172" customFormat="false" ht="15" hidden="false" customHeight="false" outlineLevel="0" collapsed="false">
      <c r="A1172" s="7" t="str">
        <f aca="false">IF(B1172="","",ROW()-3)</f>
        <v/>
      </c>
      <c r="B1172" s="8"/>
      <c r="C1172" s="8"/>
      <c r="D1172" s="8"/>
      <c r="E1172" s="9"/>
      <c r="F1172" s="9"/>
      <c r="G1172" s="8"/>
      <c r="H1172" s="8"/>
      <c r="I1172" s="8"/>
      <c r="J1172" s="9"/>
      <c r="K1172" s="8"/>
      <c r="L1172" s="8"/>
      <c r="M1172" s="8"/>
      <c r="N1172" s="8"/>
      <c r="O1172" s="8"/>
      <c r="P1172" s="8"/>
      <c r="Q1172" s="8"/>
      <c r="R1172" s="9"/>
      <c r="S1172" s="8"/>
      <c r="T1172" s="9"/>
      <c r="U1172" s="10" t="str">
        <f aca="true">IF(B1172="","",IF(OR(P1172&lt;&gt;"",I1172="می‌باشد"),"بسته",IF(AND(L1172&lt;&gt;"",W1172=""),"خطای فرمت تاریخ ایجاد",IF(AND(H1172&lt;&gt;"",AA1172=""),"خطای فرمت مهلت",IF(AND(H1172&lt;&gt;"",AD1172&lt;&gt;"",TODAY()&gt;AD1172),"تاخیر",IF(L1172&lt;&gt;"","در حال انجام",""))))))</f>
        <v/>
      </c>
      <c r="V1172" s="7" t="n">
        <f aca="true">IF(U1172="تاخیر",TODAY()-AD1172,IF(AND(U1172="بسته",AH1172&lt;&gt;"",AD1172&lt;&gt;"",AH1172&gt;AD1172),AH1172-AD1172,0))</f>
        <v>0</v>
      </c>
      <c r="W1172" s="7" t="str">
        <f aca="false">IF(L1172="","",VALUE(LEFT(L1172,FIND("/",L1172)-1)))</f>
        <v/>
      </c>
      <c r="X1172" s="7" t="str">
        <f aca="false">IF(L1172="","",VALUE(MID(L1172,FIND("/",L1172)+1,FIND("/",L1172,FIND("/",L1172)+1)-FIND("/",L1172)-1)))</f>
        <v/>
      </c>
      <c r="Y1172" s="7" t="str">
        <f aca="false">IF(L1172="","",VALUE(MID(L1172,FIND("/",L1172,FIND("/",L1172)+1)+1,LEN(L1172)-FIND("/",L1172,FIND("/",L1172)+1))))</f>
        <v/>
      </c>
      <c r="Z1172" s="7" t="str">
        <f aca="false">IF(OR(L1172="",W1172=""),"",IFERROR(INDEX('لیست‌ها'!$Q$3:$Q$53,MATCH(W1172,'لیست‌ها'!$P$3:$P$53,0))+IF(X1172&lt;=6,(X1172-1)*31+Y1172,IF(X1172&lt;=11,186+(X1172-7)*30+Y1172,336+Y1172))-1,""))</f>
        <v/>
      </c>
      <c r="AA1172" s="7" t="str">
        <f aca="false">IF(H1172="","",VALUE(LEFT(H1172,FIND("/",H1172)-1)))</f>
        <v/>
      </c>
      <c r="AB1172" s="7" t="str">
        <f aca="false">IF(H1172="","",VALUE(MID(H1172,FIND("/",H1172)+1,FIND("/",H1172,FIND("/",H1172)+1)-FIND("/",H1172)-1)))</f>
        <v/>
      </c>
      <c r="AC1172" s="7" t="str">
        <f aca="false">IF(H1172="","",VALUE(MID(H1172,FIND("/",H1172,FIND("/",H1172)+1)+1,LEN(H1172)-FIND("/",H1172,FIND("/",H1172)+1))))</f>
        <v/>
      </c>
      <c r="AD1172" s="7" t="str">
        <f aca="false">IF(OR(H1172="",AA1172=""),"",IFERROR(INDEX('لیست‌ها'!$Q$3:$Q$53,MATCH(AA1172,'لیست‌ها'!$P$3:$P$53,0))+IF(AB1172&lt;=6,(AB1172-1)*31+AC1172,IF(AB1172&lt;=11,186+(AB1172-7)*30+AC1172,336+AC1172))-1,""))</f>
        <v/>
      </c>
      <c r="AE1172" s="7" t="str">
        <f aca="false">IF(P1172="","",VALUE(LEFT(P1172,FIND("/",P1172)-1)))</f>
        <v/>
      </c>
      <c r="AF1172" s="7" t="str">
        <f aca="false">IF(P1172="","",VALUE(MID(P1172,FIND("/",P1172)+1,FIND("/",P1172,FIND("/",P1172)+1)-FIND("/",P1172)-1)))</f>
        <v/>
      </c>
      <c r="AG1172" s="7" t="str">
        <f aca="false">IF(P1172="","",VALUE(MID(P1172,FIND("/",P1172,FIND("/",P1172)+1)+1,LEN(P1172)-FIND("/",P1172,FIND("/",P1172)+1))))</f>
        <v/>
      </c>
      <c r="AH1172" s="7" t="str">
        <f aca="false">IF(OR(P1172="",AE1172=""),"",IFERROR(INDEX('لیست‌ها'!$Q$3:$Q$53,MATCH(AE1172,'لیست‌ها'!$P$3:$P$53,0))+IF(AF1172&lt;=6,(AF1172-1)*31+AG1172,IF(AF1172&lt;=11,186+(AF1172-7)*30+AG1172,336+AG1172))-1,""))</f>
        <v/>
      </c>
      <c r="AI1172" s="7" t="str">
        <f aca="false">IF(W1172="","",W1172&amp;"-"&amp;TEXT(X1172,"00"))</f>
        <v/>
      </c>
      <c r="AJ1172" s="7" t="str">
        <f aca="false">IF(W1172="","",W1172*12+X1172)</f>
        <v/>
      </c>
      <c r="AK1172" s="7" t="str">
        <f aca="false">IF(U1172="تاخیر",V1172+ROW()/100000,"")</f>
        <v/>
      </c>
    </row>
    <row r="1173" customFormat="false" ht="15" hidden="false" customHeight="false" outlineLevel="0" collapsed="false">
      <c r="A1173" s="7" t="str">
        <f aca="false">IF(B1173="","",ROW()-3)</f>
        <v/>
      </c>
      <c r="B1173" s="8"/>
      <c r="C1173" s="8"/>
      <c r="D1173" s="8"/>
      <c r="E1173" s="9"/>
      <c r="F1173" s="9"/>
      <c r="G1173" s="8"/>
      <c r="H1173" s="8"/>
      <c r="I1173" s="8"/>
      <c r="J1173" s="9"/>
      <c r="K1173" s="8"/>
      <c r="L1173" s="8"/>
      <c r="M1173" s="8"/>
      <c r="N1173" s="8"/>
      <c r="O1173" s="8"/>
      <c r="P1173" s="8"/>
      <c r="Q1173" s="8"/>
      <c r="R1173" s="9"/>
      <c r="S1173" s="8"/>
      <c r="T1173" s="9"/>
      <c r="U1173" s="10" t="str">
        <f aca="true">IF(B1173="","",IF(OR(P1173&lt;&gt;"",I1173="می‌باشد"),"بسته",IF(AND(L1173&lt;&gt;"",W1173=""),"خطای فرمت تاریخ ایجاد",IF(AND(H1173&lt;&gt;"",AA1173=""),"خطای فرمت مهلت",IF(AND(H1173&lt;&gt;"",AD1173&lt;&gt;"",TODAY()&gt;AD1173),"تاخیر",IF(L1173&lt;&gt;"","در حال انجام",""))))))</f>
        <v/>
      </c>
      <c r="V1173" s="7" t="n">
        <f aca="true">IF(U1173="تاخیر",TODAY()-AD1173,IF(AND(U1173="بسته",AH1173&lt;&gt;"",AD1173&lt;&gt;"",AH1173&gt;AD1173),AH1173-AD1173,0))</f>
        <v>0</v>
      </c>
      <c r="W1173" s="7" t="str">
        <f aca="false">IF(L1173="","",VALUE(LEFT(L1173,FIND("/",L1173)-1)))</f>
        <v/>
      </c>
      <c r="X1173" s="7" t="str">
        <f aca="false">IF(L1173="","",VALUE(MID(L1173,FIND("/",L1173)+1,FIND("/",L1173,FIND("/",L1173)+1)-FIND("/",L1173)-1)))</f>
        <v/>
      </c>
      <c r="Y1173" s="7" t="str">
        <f aca="false">IF(L1173="","",VALUE(MID(L1173,FIND("/",L1173,FIND("/",L1173)+1)+1,LEN(L1173)-FIND("/",L1173,FIND("/",L1173)+1))))</f>
        <v/>
      </c>
      <c r="Z1173" s="7" t="str">
        <f aca="false">IF(OR(L1173="",W1173=""),"",IFERROR(INDEX('لیست‌ها'!$Q$3:$Q$53,MATCH(W1173,'لیست‌ها'!$P$3:$P$53,0))+IF(X1173&lt;=6,(X1173-1)*31+Y1173,IF(X1173&lt;=11,186+(X1173-7)*30+Y1173,336+Y1173))-1,""))</f>
        <v/>
      </c>
      <c r="AA1173" s="7" t="str">
        <f aca="false">IF(H1173="","",VALUE(LEFT(H1173,FIND("/",H1173)-1)))</f>
        <v/>
      </c>
      <c r="AB1173" s="7" t="str">
        <f aca="false">IF(H1173="","",VALUE(MID(H1173,FIND("/",H1173)+1,FIND("/",H1173,FIND("/",H1173)+1)-FIND("/",H1173)-1)))</f>
        <v/>
      </c>
      <c r="AC1173" s="7" t="str">
        <f aca="false">IF(H1173="","",VALUE(MID(H1173,FIND("/",H1173,FIND("/",H1173)+1)+1,LEN(H1173)-FIND("/",H1173,FIND("/",H1173)+1))))</f>
        <v/>
      </c>
      <c r="AD1173" s="7" t="str">
        <f aca="false">IF(OR(H1173="",AA1173=""),"",IFERROR(INDEX('لیست‌ها'!$Q$3:$Q$53,MATCH(AA1173,'لیست‌ها'!$P$3:$P$53,0))+IF(AB1173&lt;=6,(AB1173-1)*31+AC1173,IF(AB1173&lt;=11,186+(AB1173-7)*30+AC1173,336+AC1173))-1,""))</f>
        <v/>
      </c>
      <c r="AE1173" s="7" t="str">
        <f aca="false">IF(P1173="","",VALUE(LEFT(P1173,FIND("/",P1173)-1)))</f>
        <v/>
      </c>
      <c r="AF1173" s="7" t="str">
        <f aca="false">IF(P1173="","",VALUE(MID(P1173,FIND("/",P1173)+1,FIND("/",P1173,FIND("/",P1173)+1)-FIND("/",P1173)-1)))</f>
        <v/>
      </c>
      <c r="AG1173" s="7" t="str">
        <f aca="false">IF(P1173="","",VALUE(MID(P1173,FIND("/",P1173,FIND("/",P1173)+1)+1,LEN(P1173)-FIND("/",P1173,FIND("/",P1173)+1))))</f>
        <v/>
      </c>
      <c r="AH1173" s="7" t="str">
        <f aca="false">IF(OR(P1173="",AE1173=""),"",IFERROR(INDEX('لیست‌ها'!$Q$3:$Q$53,MATCH(AE1173,'لیست‌ها'!$P$3:$P$53,0))+IF(AF1173&lt;=6,(AF1173-1)*31+AG1173,IF(AF1173&lt;=11,186+(AF1173-7)*30+AG1173,336+AG1173))-1,""))</f>
        <v/>
      </c>
      <c r="AI1173" s="7" t="str">
        <f aca="false">IF(W1173="","",W1173&amp;"-"&amp;TEXT(X1173,"00"))</f>
        <v/>
      </c>
      <c r="AJ1173" s="7" t="str">
        <f aca="false">IF(W1173="","",W1173*12+X1173)</f>
        <v/>
      </c>
      <c r="AK1173" s="7" t="str">
        <f aca="false">IF(U1173="تاخیر",V1173+ROW()/100000,"")</f>
        <v/>
      </c>
    </row>
    <row r="1174" customFormat="false" ht="15" hidden="false" customHeight="false" outlineLevel="0" collapsed="false">
      <c r="A1174" s="7" t="str">
        <f aca="false">IF(B1174="","",ROW()-3)</f>
        <v/>
      </c>
      <c r="B1174" s="8"/>
      <c r="C1174" s="8"/>
      <c r="D1174" s="8"/>
      <c r="E1174" s="9"/>
      <c r="F1174" s="9"/>
      <c r="G1174" s="8"/>
      <c r="H1174" s="8"/>
      <c r="I1174" s="8"/>
      <c r="J1174" s="9"/>
      <c r="K1174" s="8"/>
      <c r="L1174" s="8"/>
      <c r="M1174" s="8"/>
      <c r="N1174" s="8"/>
      <c r="O1174" s="8"/>
      <c r="P1174" s="8"/>
      <c r="Q1174" s="8"/>
      <c r="R1174" s="9"/>
      <c r="S1174" s="8"/>
      <c r="T1174" s="9"/>
      <c r="U1174" s="10" t="str">
        <f aca="true">IF(B1174="","",IF(OR(P1174&lt;&gt;"",I1174="می‌باشد"),"بسته",IF(AND(L1174&lt;&gt;"",W1174=""),"خطای فرمت تاریخ ایجاد",IF(AND(H1174&lt;&gt;"",AA1174=""),"خطای فرمت مهلت",IF(AND(H1174&lt;&gt;"",AD1174&lt;&gt;"",TODAY()&gt;AD1174),"تاخیر",IF(L1174&lt;&gt;"","در حال انجام",""))))))</f>
        <v/>
      </c>
      <c r="V1174" s="7" t="n">
        <f aca="true">IF(U1174="تاخیر",TODAY()-AD1174,IF(AND(U1174="بسته",AH1174&lt;&gt;"",AD1174&lt;&gt;"",AH1174&gt;AD1174),AH1174-AD1174,0))</f>
        <v>0</v>
      </c>
      <c r="W1174" s="7" t="str">
        <f aca="false">IF(L1174="","",VALUE(LEFT(L1174,FIND("/",L1174)-1)))</f>
        <v/>
      </c>
      <c r="X1174" s="7" t="str">
        <f aca="false">IF(L1174="","",VALUE(MID(L1174,FIND("/",L1174)+1,FIND("/",L1174,FIND("/",L1174)+1)-FIND("/",L1174)-1)))</f>
        <v/>
      </c>
      <c r="Y1174" s="7" t="str">
        <f aca="false">IF(L1174="","",VALUE(MID(L1174,FIND("/",L1174,FIND("/",L1174)+1)+1,LEN(L1174)-FIND("/",L1174,FIND("/",L1174)+1))))</f>
        <v/>
      </c>
      <c r="Z1174" s="7" t="str">
        <f aca="false">IF(OR(L1174="",W1174=""),"",IFERROR(INDEX('لیست‌ها'!$Q$3:$Q$53,MATCH(W1174,'لیست‌ها'!$P$3:$P$53,0))+IF(X1174&lt;=6,(X1174-1)*31+Y1174,IF(X1174&lt;=11,186+(X1174-7)*30+Y1174,336+Y1174))-1,""))</f>
        <v/>
      </c>
      <c r="AA1174" s="7" t="str">
        <f aca="false">IF(H1174="","",VALUE(LEFT(H1174,FIND("/",H1174)-1)))</f>
        <v/>
      </c>
      <c r="AB1174" s="7" t="str">
        <f aca="false">IF(H1174="","",VALUE(MID(H1174,FIND("/",H1174)+1,FIND("/",H1174,FIND("/",H1174)+1)-FIND("/",H1174)-1)))</f>
        <v/>
      </c>
      <c r="AC1174" s="7" t="str">
        <f aca="false">IF(H1174="","",VALUE(MID(H1174,FIND("/",H1174,FIND("/",H1174)+1)+1,LEN(H1174)-FIND("/",H1174,FIND("/",H1174)+1))))</f>
        <v/>
      </c>
      <c r="AD1174" s="7" t="str">
        <f aca="false">IF(OR(H1174="",AA1174=""),"",IFERROR(INDEX('لیست‌ها'!$Q$3:$Q$53,MATCH(AA1174,'لیست‌ها'!$P$3:$P$53,0))+IF(AB1174&lt;=6,(AB1174-1)*31+AC1174,IF(AB1174&lt;=11,186+(AB1174-7)*30+AC1174,336+AC1174))-1,""))</f>
        <v/>
      </c>
      <c r="AE1174" s="7" t="str">
        <f aca="false">IF(P1174="","",VALUE(LEFT(P1174,FIND("/",P1174)-1)))</f>
        <v/>
      </c>
      <c r="AF1174" s="7" t="str">
        <f aca="false">IF(P1174="","",VALUE(MID(P1174,FIND("/",P1174)+1,FIND("/",P1174,FIND("/",P1174)+1)-FIND("/",P1174)-1)))</f>
        <v/>
      </c>
      <c r="AG1174" s="7" t="str">
        <f aca="false">IF(P1174="","",VALUE(MID(P1174,FIND("/",P1174,FIND("/",P1174)+1)+1,LEN(P1174)-FIND("/",P1174,FIND("/",P1174)+1))))</f>
        <v/>
      </c>
      <c r="AH1174" s="7" t="str">
        <f aca="false">IF(OR(P1174="",AE1174=""),"",IFERROR(INDEX('لیست‌ها'!$Q$3:$Q$53,MATCH(AE1174,'لیست‌ها'!$P$3:$P$53,0))+IF(AF1174&lt;=6,(AF1174-1)*31+AG1174,IF(AF1174&lt;=11,186+(AF1174-7)*30+AG1174,336+AG1174))-1,""))</f>
        <v/>
      </c>
      <c r="AI1174" s="7" t="str">
        <f aca="false">IF(W1174="","",W1174&amp;"-"&amp;TEXT(X1174,"00"))</f>
        <v/>
      </c>
      <c r="AJ1174" s="7" t="str">
        <f aca="false">IF(W1174="","",W1174*12+X1174)</f>
        <v/>
      </c>
      <c r="AK1174" s="7" t="str">
        <f aca="false">IF(U1174="تاخیر",V1174+ROW()/100000,"")</f>
        <v/>
      </c>
    </row>
    <row r="1175" customFormat="false" ht="15" hidden="false" customHeight="false" outlineLevel="0" collapsed="false">
      <c r="A1175" s="7" t="str">
        <f aca="false">IF(B1175="","",ROW()-3)</f>
        <v/>
      </c>
      <c r="B1175" s="8"/>
      <c r="C1175" s="8"/>
      <c r="D1175" s="8"/>
      <c r="E1175" s="9"/>
      <c r="F1175" s="9"/>
      <c r="G1175" s="8"/>
      <c r="H1175" s="8"/>
      <c r="I1175" s="8"/>
      <c r="J1175" s="9"/>
      <c r="K1175" s="8"/>
      <c r="L1175" s="8"/>
      <c r="M1175" s="8"/>
      <c r="N1175" s="8"/>
      <c r="O1175" s="8"/>
      <c r="P1175" s="8"/>
      <c r="Q1175" s="8"/>
      <c r="R1175" s="9"/>
      <c r="S1175" s="8"/>
      <c r="T1175" s="9"/>
      <c r="U1175" s="10" t="str">
        <f aca="true">IF(B1175="","",IF(OR(P1175&lt;&gt;"",I1175="می‌باشد"),"بسته",IF(AND(L1175&lt;&gt;"",W1175=""),"خطای فرمت تاریخ ایجاد",IF(AND(H1175&lt;&gt;"",AA1175=""),"خطای فرمت مهلت",IF(AND(H1175&lt;&gt;"",AD1175&lt;&gt;"",TODAY()&gt;AD1175),"تاخیر",IF(L1175&lt;&gt;"","در حال انجام",""))))))</f>
        <v/>
      </c>
      <c r="V1175" s="7" t="n">
        <f aca="true">IF(U1175="تاخیر",TODAY()-AD1175,IF(AND(U1175="بسته",AH1175&lt;&gt;"",AD1175&lt;&gt;"",AH1175&gt;AD1175),AH1175-AD1175,0))</f>
        <v>0</v>
      </c>
      <c r="W1175" s="7" t="str">
        <f aca="false">IF(L1175="","",VALUE(LEFT(L1175,FIND("/",L1175)-1)))</f>
        <v/>
      </c>
      <c r="X1175" s="7" t="str">
        <f aca="false">IF(L1175="","",VALUE(MID(L1175,FIND("/",L1175)+1,FIND("/",L1175,FIND("/",L1175)+1)-FIND("/",L1175)-1)))</f>
        <v/>
      </c>
      <c r="Y1175" s="7" t="str">
        <f aca="false">IF(L1175="","",VALUE(MID(L1175,FIND("/",L1175,FIND("/",L1175)+1)+1,LEN(L1175)-FIND("/",L1175,FIND("/",L1175)+1))))</f>
        <v/>
      </c>
      <c r="Z1175" s="7" t="str">
        <f aca="false">IF(OR(L1175="",W1175=""),"",IFERROR(INDEX('لیست‌ها'!$Q$3:$Q$53,MATCH(W1175,'لیست‌ها'!$P$3:$P$53,0))+IF(X1175&lt;=6,(X1175-1)*31+Y1175,IF(X1175&lt;=11,186+(X1175-7)*30+Y1175,336+Y1175))-1,""))</f>
        <v/>
      </c>
      <c r="AA1175" s="7" t="str">
        <f aca="false">IF(H1175="","",VALUE(LEFT(H1175,FIND("/",H1175)-1)))</f>
        <v/>
      </c>
      <c r="AB1175" s="7" t="str">
        <f aca="false">IF(H1175="","",VALUE(MID(H1175,FIND("/",H1175)+1,FIND("/",H1175,FIND("/",H1175)+1)-FIND("/",H1175)-1)))</f>
        <v/>
      </c>
      <c r="AC1175" s="7" t="str">
        <f aca="false">IF(H1175="","",VALUE(MID(H1175,FIND("/",H1175,FIND("/",H1175)+1)+1,LEN(H1175)-FIND("/",H1175,FIND("/",H1175)+1))))</f>
        <v/>
      </c>
      <c r="AD1175" s="7" t="str">
        <f aca="false">IF(OR(H1175="",AA1175=""),"",IFERROR(INDEX('لیست‌ها'!$Q$3:$Q$53,MATCH(AA1175,'لیست‌ها'!$P$3:$P$53,0))+IF(AB1175&lt;=6,(AB1175-1)*31+AC1175,IF(AB1175&lt;=11,186+(AB1175-7)*30+AC1175,336+AC1175))-1,""))</f>
        <v/>
      </c>
      <c r="AE1175" s="7" t="str">
        <f aca="false">IF(P1175="","",VALUE(LEFT(P1175,FIND("/",P1175)-1)))</f>
        <v/>
      </c>
      <c r="AF1175" s="7" t="str">
        <f aca="false">IF(P1175="","",VALUE(MID(P1175,FIND("/",P1175)+1,FIND("/",P1175,FIND("/",P1175)+1)-FIND("/",P1175)-1)))</f>
        <v/>
      </c>
      <c r="AG1175" s="7" t="str">
        <f aca="false">IF(P1175="","",VALUE(MID(P1175,FIND("/",P1175,FIND("/",P1175)+1)+1,LEN(P1175)-FIND("/",P1175,FIND("/",P1175)+1))))</f>
        <v/>
      </c>
      <c r="AH1175" s="7" t="str">
        <f aca="false">IF(OR(P1175="",AE1175=""),"",IFERROR(INDEX('لیست‌ها'!$Q$3:$Q$53,MATCH(AE1175,'لیست‌ها'!$P$3:$P$53,0))+IF(AF1175&lt;=6,(AF1175-1)*31+AG1175,IF(AF1175&lt;=11,186+(AF1175-7)*30+AG1175,336+AG1175))-1,""))</f>
        <v/>
      </c>
      <c r="AI1175" s="7" t="str">
        <f aca="false">IF(W1175="","",W1175&amp;"-"&amp;TEXT(X1175,"00"))</f>
        <v/>
      </c>
      <c r="AJ1175" s="7" t="str">
        <f aca="false">IF(W1175="","",W1175*12+X1175)</f>
        <v/>
      </c>
      <c r="AK1175" s="7" t="str">
        <f aca="false">IF(U1175="تاخیر",V1175+ROW()/100000,"")</f>
        <v/>
      </c>
    </row>
    <row r="1176" customFormat="false" ht="15" hidden="false" customHeight="false" outlineLevel="0" collapsed="false">
      <c r="A1176" s="7" t="str">
        <f aca="false">IF(B1176="","",ROW()-3)</f>
        <v/>
      </c>
      <c r="B1176" s="8"/>
      <c r="C1176" s="8"/>
      <c r="D1176" s="8"/>
      <c r="E1176" s="9"/>
      <c r="F1176" s="9"/>
      <c r="G1176" s="8"/>
      <c r="H1176" s="8"/>
      <c r="I1176" s="8"/>
      <c r="J1176" s="9"/>
      <c r="K1176" s="8"/>
      <c r="L1176" s="8"/>
      <c r="M1176" s="8"/>
      <c r="N1176" s="8"/>
      <c r="O1176" s="8"/>
      <c r="P1176" s="8"/>
      <c r="Q1176" s="8"/>
      <c r="R1176" s="9"/>
      <c r="S1176" s="8"/>
      <c r="T1176" s="9"/>
      <c r="U1176" s="10" t="str">
        <f aca="true">IF(B1176="","",IF(OR(P1176&lt;&gt;"",I1176="می‌باشد"),"بسته",IF(AND(L1176&lt;&gt;"",W1176=""),"خطای فرمت تاریخ ایجاد",IF(AND(H1176&lt;&gt;"",AA1176=""),"خطای فرمت مهلت",IF(AND(H1176&lt;&gt;"",AD1176&lt;&gt;"",TODAY()&gt;AD1176),"تاخیر",IF(L1176&lt;&gt;"","در حال انجام",""))))))</f>
        <v/>
      </c>
      <c r="V1176" s="7" t="n">
        <f aca="true">IF(U1176="تاخیر",TODAY()-AD1176,IF(AND(U1176="بسته",AH1176&lt;&gt;"",AD1176&lt;&gt;"",AH1176&gt;AD1176),AH1176-AD1176,0))</f>
        <v>0</v>
      </c>
      <c r="W1176" s="7" t="str">
        <f aca="false">IF(L1176="","",VALUE(LEFT(L1176,FIND("/",L1176)-1)))</f>
        <v/>
      </c>
      <c r="X1176" s="7" t="str">
        <f aca="false">IF(L1176="","",VALUE(MID(L1176,FIND("/",L1176)+1,FIND("/",L1176,FIND("/",L1176)+1)-FIND("/",L1176)-1)))</f>
        <v/>
      </c>
      <c r="Y1176" s="7" t="str">
        <f aca="false">IF(L1176="","",VALUE(MID(L1176,FIND("/",L1176,FIND("/",L1176)+1)+1,LEN(L1176)-FIND("/",L1176,FIND("/",L1176)+1))))</f>
        <v/>
      </c>
      <c r="Z1176" s="7" t="str">
        <f aca="false">IF(OR(L1176="",W1176=""),"",IFERROR(INDEX('لیست‌ها'!$Q$3:$Q$53,MATCH(W1176,'لیست‌ها'!$P$3:$P$53,0))+IF(X1176&lt;=6,(X1176-1)*31+Y1176,IF(X1176&lt;=11,186+(X1176-7)*30+Y1176,336+Y1176))-1,""))</f>
        <v/>
      </c>
      <c r="AA1176" s="7" t="str">
        <f aca="false">IF(H1176="","",VALUE(LEFT(H1176,FIND("/",H1176)-1)))</f>
        <v/>
      </c>
      <c r="AB1176" s="7" t="str">
        <f aca="false">IF(H1176="","",VALUE(MID(H1176,FIND("/",H1176)+1,FIND("/",H1176,FIND("/",H1176)+1)-FIND("/",H1176)-1)))</f>
        <v/>
      </c>
      <c r="AC1176" s="7" t="str">
        <f aca="false">IF(H1176="","",VALUE(MID(H1176,FIND("/",H1176,FIND("/",H1176)+1)+1,LEN(H1176)-FIND("/",H1176,FIND("/",H1176)+1))))</f>
        <v/>
      </c>
      <c r="AD1176" s="7" t="str">
        <f aca="false">IF(OR(H1176="",AA1176=""),"",IFERROR(INDEX('لیست‌ها'!$Q$3:$Q$53,MATCH(AA1176,'لیست‌ها'!$P$3:$P$53,0))+IF(AB1176&lt;=6,(AB1176-1)*31+AC1176,IF(AB1176&lt;=11,186+(AB1176-7)*30+AC1176,336+AC1176))-1,""))</f>
        <v/>
      </c>
      <c r="AE1176" s="7" t="str">
        <f aca="false">IF(P1176="","",VALUE(LEFT(P1176,FIND("/",P1176)-1)))</f>
        <v/>
      </c>
      <c r="AF1176" s="7" t="str">
        <f aca="false">IF(P1176="","",VALUE(MID(P1176,FIND("/",P1176)+1,FIND("/",P1176,FIND("/",P1176)+1)-FIND("/",P1176)-1)))</f>
        <v/>
      </c>
      <c r="AG1176" s="7" t="str">
        <f aca="false">IF(P1176="","",VALUE(MID(P1176,FIND("/",P1176,FIND("/",P1176)+1)+1,LEN(P1176)-FIND("/",P1176,FIND("/",P1176)+1))))</f>
        <v/>
      </c>
      <c r="AH1176" s="7" t="str">
        <f aca="false">IF(OR(P1176="",AE1176=""),"",IFERROR(INDEX('لیست‌ها'!$Q$3:$Q$53,MATCH(AE1176,'لیست‌ها'!$P$3:$P$53,0))+IF(AF1176&lt;=6,(AF1176-1)*31+AG1176,IF(AF1176&lt;=11,186+(AF1176-7)*30+AG1176,336+AG1176))-1,""))</f>
        <v/>
      </c>
      <c r="AI1176" s="7" t="str">
        <f aca="false">IF(W1176="","",W1176&amp;"-"&amp;TEXT(X1176,"00"))</f>
        <v/>
      </c>
      <c r="AJ1176" s="7" t="str">
        <f aca="false">IF(W1176="","",W1176*12+X1176)</f>
        <v/>
      </c>
      <c r="AK1176" s="7" t="str">
        <f aca="false">IF(U1176="تاخیر",V1176+ROW()/100000,"")</f>
        <v/>
      </c>
    </row>
    <row r="1177" customFormat="false" ht="15" hidden="false" customHeight="false" outlineLevel="0" collapsed="false">
      <c r="A1177" s="7" t="str">
        <f aca="false">IF(B1177="","",ROW()-3)</f>
        <v/>
      </c>
      <c r="B1177" s="8"/>
      <c r="C1177" s="8"/>
      <c r="D1177" s="8"/>
      <c r="E1177" s="9"/>
      <c r="F1177" s="9"/>
      <c r="G1177" s="8"/>
      <c r="H1177" s="8"/>
      <c r="I1177" s="8"/>
      <c r="J1177" s="9"/>
      <c r="K1177" s="8"/>
      <c r="L1177" s="8"/>
      <c r="M1177" s="8"/>
      <c r="N1177" s="8"/>
      <c r="O1177" s="8"/>
      <c r="P1177" s="8"/>
      <c r="Q1177" s="8"/>
      <c r="R1177" s="9"/>
      <c r="S1177" s="8"/>
      <c r="T1177" s="9"/>
      <c r="U1177" s="10" t="str">
        <f aca="true">IF(B1177="","",IF(OR(P1177&lt;&gt;"",I1177="می‌باشد"),"بسته",IF(AND(L1177&lt;&gt;"",W1177=""),"خطای فرمت تاریخ ایجاد",IF(AND(H1177&lt;&gt;"",AA1177=""),"خطای فرمت مهلت",IF(AND(H1177&lt;&gt;"",AD1177&lt;&gt;"",TODAY()&gt;AD1177),"تاخیر",IF(L1177&lt;&gt;"","در حال انجام",""))))))</f>
        <v/>
      </c>
      <c r="V1177" s="7" t="n">
        <f aca="true">IF(U1177="تاخیر",TODAY()-AD1177,IF(AND(U1177="بسته",AH1177&lt;&gt;"",AD1177&lt;&gt;"",AH1177&gt;AD1177),AH1177-AD1177,0))</f>
        <v>0</v>
      </c>
      <c r="W1177" s="7" t="str">
        <f aca="false">IF(L1177="","",VALUE(LEFT(L1177,FIND("/",L1177)-1)))</f>
        <v/>
      </c>
      <c r="X1177" s="7" t="str">
        <f aca="false">IF(L1177="","",VALUE(MID(L1177,FIND("/",L1177)+1,FIND("/",L1177,FIND("/",L1177)+1)-FIND("/",L1177)-1)))</f>
        <v/>
      </c>
      <c r="Y1177" s="7" t="str">
        <f aca="false">IF(L1177="","",VALUE(MID(L1177,FIND("/",L1177,FIND("/",L1177)+1)+1,LEN(L1177)-FIND("/",L1177,FIND("/",L1177)+1))))</f>
        <v/>
      </c>
      <c r="Z1177" s="7" t="str">
        <f aca="false">IF(OR(L1177="",W1177=""),"",IFERROR(INDEX('لیست‌ها'!$Q$3:$Q$53,MATCH(W1177,'لیست‌ها'!$P$3:$P$53,0))+IF(X1177&lt;=6,(X1177-1)*31+Y1177,IF(X1177&lt;=11,186+(X1177-7)*30+Y1177,336+Y1177))-1,""))</f>
        <v/>
      </c>
      <c r="AA1177" s="7" t="str">
        <f aca="false">IF(H1177="","",VALUE(LEFT(H1177,FIND("/",H1177)-1)))</f>
        <v/>
      </c>
      <c r="AB1177" s="7" t="str">
        <f aca="false">IF(H1177="","",VALUE(MID(H1177,FIND("/",H1177)+1,FIND("/",H1177,FIND("/",H1177)+1)-FIND("/",H1177)-1)))</f>
        <v/>
      </c>
      <c r="AC1177" s="7" t="str">
        <f aca="false">IF(H1177="","",VALUE(MID(H1177,FIND("/",H1177,FIND("/",H1177)+1)+1,LEN(H1177)-FIND("/",H1177,FIND("/",H1177)+1))))</f>
        <v/>
      </c>
      <c r="AD1177" s="7" t="str">
        <f aca="false">IF(OR(H1177="",AA1177=""),"",IFERROR(INDEX('لیست‌ها'!$Q$3:$Q$53,MATCH(AA1177,'لیست‌ها'!$P$3:$P$53,0))+IF(AB1177&lt;=6,(AB1177-1)*31+AC1177,IF(AB1177&lt;=11,186+(AB1177-7)*30+AC1177,336+AC1177))-1,""))</f>
        <v/>
      </c>
      <c r="AE1177" s="7" t="str">
        <f aca="false">IF(P1177="","",VALUE(LEFT(P1177,FIND("/",P1177)-1)))</f>
        <v/>
      </c>
      <c r="AF1177" s="7" t="str">
        <f aca="false">IF(P1177="","",VALUE(MID(P1177,FIND("/",P1177)+1,FIND("/",P1177,FIND("/",P1177)+1)-FIND("/",P1177)-1)))</f>
        <v/>
      </c>
      <c r="AG1177" s="7" t="str">
        <f aca="false">IF(P1177="","",VALUE(MID(P1177,FIND("/",P1177,FIND("/",P1177)+1)+1,LEN(P1177)-FIND("/",P1177,FIND("/",P1177)+1))))</f>
        <v/>
      </c>
      <c r="AH1177" s="7" t="str">
        <f aca="false">IF(OR(P1177="",AE1177=""),"",IFERROR(INDEX('لیست‌ها'!$Q$3:$Q$53,MATCH(AE1177,'لیست‌ها'!$P$3:$P$53,0))+IF(AF1177&lt;=6,(AF1177-1)*31+AG1177,IF(AF1177&lt;=11,186+(AF1177-7)*30+AG1177,336+AG1177))-1,""))</f>
        <v/>
      </c>
      <c r="AI1177" s="7" t="str">
        <f aca="false">IF(W1177="","",W1177&amp;"-"&amp;TEXT(X1177,"00"))</f>
        <v/>
      </c>
      <c r="AJ1177" s="7" t="str">
        <f aca="false">IF(W1177="","",W1177*12+X1177)</f>
        <v/>
      </c>
      <c r="AK1177" s="7" t="str">
        <f aca="false">IF(U1177="تاخیر",V1177+ROW()/100000,"")</f>
        <v/>
      </c>
    </row>
    <row r="1178" customFormat="false" ht="15" hidden="false" customHeight="false" outlineLevel="0" collapsed="false">
      <c r="A1178" s="7" t="str">
        <f aca="false">IF(B1178="","",ROW()-3)</f>
        <v/>
      </c>
      <c r="B1178" s="8"/>
      <c r="C1178" s="8"/>
      <c r="D1178" s="8"/>
      <c r="E1178" s="9"/>
      <c r="F1178" s="9"/>
      <c r="G1178" s="8"/>
      <c r="H1178" s="8"/>
      <c r="I1178" s="8"/>
      <c r="J1178" s="9"/>
      <c r="K1178" s="8"/>
      <c r="L1178" s="8"/>
      <c r="M1178" s="8"/>
      <c r="N1178" s="8"/>
      <c r="O1178" s="8"/>
      <c r="P1178" s="8"/>
      <c r="Q1178" s="8"/>
      <c r="R1178" s="9"/>
      <c r="S1178" s="8"/>
      <c r="T1178" s="9"/>
      <c r="U1178" s="10" t="str">
        <f aca="true">IF(B1178="","",IF(OR(P1178&lt;&gt;"",I1178="می‌باشد"),"بسته",IF(AND(L1178&lt;&gt;"",W1178=""),"خطای فرمت تاریخ ایجاد",IF(AND(H1178&lt;&gt;"",AA1178=""),"خطای فرمت مهلت",IF(AND(H1178&lt;&gt;"",AD1178&lt;&gt;"",TODAY()&gt;AD1178),"تاخیر",IF(L1178&lt;&gt;"","در حال انجام",""))))))</f>
        <v/>
      </c>
      <c r="V1178" s="7" t="n">
        <f aca="true">IF(U1178="تاخیر",TODAY()-AD1178,IF(AND(U1178="بسته",AH1178&lt;&gt;"",AD1178&lt;&gt;"",AH1178&gt;AD1178),AH1178-AD1178,0))</f>
        <v>0</v>
      </c>
      <c r="W1178" s="7" t="str">
        <f aca="false">IF(L1178="","",VALUE(LEFT(L1178,FIND("/",L1178)-1)))</f>
        <v/>
      </c>
      <c r="X1178" s="7" t="str">
        <f aca="false">IF(L1178="","",VALUE(MID(L1178,FIND("/",L1178)+1,FIND("/",L1178,FIND("/",L1178)+1)-FIND("/",L1178)-1)))</f>
        <v/>
      </c>
      <c r="Y1178" s="7" t="str">
        <f aca="false">IF(L1178="","",VALUE(MID(L1178,FIND("/",L1178,FIND("/",L1178)+1)+1,LEN(L1178)-FIND("/",L1178,FIND("/",L1178)+1))))</f>
        <v/>
      </c>
      <c r="Z1178" s="7" t="str">
        <f aca="false">IF(OR(L1178="",W1178=""),"",IFERROR(INDEX('لیست‌ها'!$Q$3:$Q$53,MATCH(W1178,'لیست‌ها'!$P$3:$P$53,0))+IF(X1178&lt;=6,(X1178-1)*31+Y1178,IF(X1178&lt;=11,186+(X1178-7)*30+Y1178,336+Y1178))-1,""))</f>
        <v/>
      </c>
      <c r="AA1178" s="7" t="str">
        <f aca="false">IF(H1178="","",VALUE(LEFT(H1178,FIND("/",H1178)-1)))</f>
        <v/>
      </c>
      <c r="AB1178" s="7" t="str">
        <f aca="false">IF(H1178="","",VALUE(MID(H1178,FIND("/",H1178)+1,FIND("/",H1178,FIND("/",H1178)+1)-FIND("/",H1178)-1)))</f>
        <v/>
      </c>
      <c r="AC1178" s="7" t="str">
        <f aca="false">IF(H1178="","",VALUE(MID(H1178,FIND("/",H1178,FIND("/",H1178)+1)+1,LEN(H1178)-FIND("/",H1178,FIND("/",H1178)+1))))</f>
        <v/>
      </c>
      <c r="AD1178" s="7" t="str">
        <f aca="false">IF(OR(H1178="",AA1178=""),"",IFERROR(INDEX('لیست‌ها'!$Q$3:$Q$53,MATCH(AA1178,'لیست‌ها'!$P$3:$P$53,0))+IF(AB1178&lt;=6,(AB1178-1)*31+AC1178,IF(AB1178&lt;=11,186+(AB1178-7)*30+AC1178,336+AC1178))-1,""))</f>
        <v/>
      </c>
      <c r="AE1178" s="7" t="str">
        <f aca="false">IF(P1178="","",VALUE(LEFT(P1178,FIND("/",P1178)-1)))</f>
        <v/>
      </c>
      <c r="AF1178" s="7" t="str">
        <f aca="false">IF(P1178="","",VALUE(MID(P1178,FIND("/",P1178)+1,FIND("/",P1178,FIND("/",P1178)+1)-FIND("/",P1178)-1)))</f>
        <v/>
      </c>
      <c r="AG1178" s="7" t="str">
        <f aca="false">IF(P1178="","",VALUE(MID(P1178,FIND("/",P1178,FIND("/",P1178)+1)+1,LEN(P1178)-FIND("/",P1178,FIND("/",P1178)+1))))</f>
        <v/>
      </c>
      <c r="AH1178" s="7" t="str">
        <f aca="false">IF(OR(P1178="",AE1178=""),"",IFERROR(INDEX('لیست‌ها'!$Q$3:$Q$53,MATCH(AE1178,'لیست‌ها'!$P$3:$P$53,0))+IF(AF1178&lt;=6,(AF1178-1)*31+AG1178,IF(AF1178&lt;=11,186+(AF1178-7)*30+AG1178,336+AG1178))-1,""))</f>
        <v/>
      </c>
      <c r="AI1178" s="7" t="str">
        <f aca="false">IF(W1178="","",W1178&amp;"-"&amp;TEXT(X1178,"00"))</f>
        <v/>
      </c>
      <c r="AJ1178" s="7" t="str">
        <f aca="false">IF(W1178="","",W1178*12+X1178)</f>
        <v/>
      </c>
      <c r="AK1178" s="7" t="str">
        <f aca="false">IF(U1178="تاخیر",V1178+ROW()/100000,"")</f>
        <v/>
      </c>
    </row>
    <row r="1179" customFormat="false" ht="15" hidden="false" customHeight="false" outlineLevel="0" collapsed="false">
      <c r="A1179" s="7" t="str">
        <f aca="false">IF(B1179="","",ROW()-3)</f>
        <v/>
      </c>
      <c r="B1179" s="8"/>
      <c r="C1179" s="8"/>
      <c r="D1179" s="8"/>
      <c r="E1179" s="9"/>
      <c r="F1179" s="9"/>
      <c r="G1179" s="8"/>
      <c r="H1179" s="8"/>
      <c r="I1179" s="8"/>
      <c r="J1179" s="9"/>
      <c r="K1179" s="8"/>
      <c r="L1179" s="8"/>
      <c r="M1179" s="8"/>
      <c r="N1179" s="8"/>
      <c r="O1179" s="8"/>
      <c r="P1179" s="8"/>
      <c r="Q1179" s="8"/>
      <c r="R1179" s="9"/>
      <c r="S1179" s="8"/>
      <c r="T1179" s="9"/>
      <c r="U1179" s="10" t="str">
        <f aca="true">IF(B1179="","",IF(OR(P1179&lt;&gt;"",I1179="می‌باشد"),"بسته",IF(AND(L1179&lt;&gt;"",W1179=""),"خطای فرمت تاریخ ایجاد",IF(AND(H1179&lt;&gt;"",AA1179=""),"خطای فرمت مهلت",IF(AND(H1179&lt;&gt;"",AD1179&lt;&gt;"",TODAY()&gt;AD1179),"تاخیر",IF(L1179&lt;&gt;"","در حال انجام",""))))))</f>
        <v/>
      </c>
      <c r="V1179" s="7" t="n">
        <f aca="true">IF(U1179="تاخیر",TODAY()-AD1179,IF(AND(U1179="بسته",AH1179&lt;&gt;"",AD1179&lt;&gt;"",AH1179&gt;AD1179),AH1179-AD1179,0))</f>
        <v>0</v>
      </c>
      <c r="W1179" s="7" t="str">
        <f aca="false">IF(L1179="","",VALUE(LEFT(L1179,FIND("/",L1179)-1)))</f>
        <v/>
      </c>
      <c r="X1179" s="7" t="str">
        <f aca="false">IF(L1179="","",VALUE(MID(L1179,FIND("/",L1179)+1,FIND("/",L1179,FIND("/",L1179)+1)-FIND("/",L1179)-1)))</f>
        <v/>
      </c>
      <c r="Y1179" s="7" t="str">
        <f aca="false">IF(L1179="","",VALUE(MID(L1179,FIND("/",L1179,FIND("/",L1179)+1)+1,LEN(L1179)-FIND("/",L1179,FIND("/",L1179)+1))))</f>
        <v/>
      </c>
      <c r="Z1179" s="7" t="str">
        <f aca="false">IF(OR(L1179="",W1179=""),"",IFERROR(INDEX('لیست‌ها'!$Q$3:$Q$53,MATCH(W1179,'لیست‌ها'!$P$3:$P$53,0))+IF(X1179&lt;=6,(X1179-1)*31+Y1179,IF(X1179&lt;=11,186+(X1179-7)*30+Y1179,336+Y1179))-1,""))</f>
        <v/>
      </c>
      <c r="AA1179" s="7" t="str">
        <f aca="false">IF(H1179="","",VALUE(LEFT(H1179,FIND("/",H1179)-1)))</f>
        <v/>
      </c>
      <c r="AB1179" s="7" t="str">
        <f aca="false">IF(H1179="","",VALUE(MID(H1179,FIND("/",H1179)+1,FIND("/",H1179,FIND("/",H1179)+1)-FIND("/",H1179)-1)))</f>
        <v/>
      </c>
      <c r="AC1179" s="7" t="str">
        <f aca="false">IF(H1179="","",VALUE(MID(H1179,FIND("/",H1179,FIND("/",H1179)+1)+1,LEN(H1179)-FIND("/",H1179,FIND("/",H1179)+1))))</f>
        <v/>
      </c>
      <c r="AD1179" s="7" t="str">
        <f aca="false">IF(OR(H1179="",AA1179=""),"",IFERROR(INDEX('لیست‌ها'!$Q$3:$Q$53,MATCH(AA1179,'لیست‌ها'!$P$3:$P$53,0))+IF(AB1179&lt;=6,(AB1179-1)*31+AC1179,IF(AB1179&lt;=11,186+(AB1179-7)*30+AC1179,336+AC1179))-1,""))</f>
        <v/>
      </c>
      <c r="AE1179" s="7" t="str">
        <f aca="false">IF(P1179="","",VALUE(LEFT(P1179,FIND("/",P1179)-1)))</f>
        <v/>
      </c>
      <c r="AF1179" s="7" t="str">
        <f aca="false">IF(P1179="","",VALUE(MID(P1179,FIND("/",P1179)+1,FIND("/",P1179,FIND("/",P1179)+1)-FIND("/",P1179)-1)))</f>
        <v/>
      </c>
      <c r="AG1179" s="7" t="str">
        <f aca="false">IF(P1179="","",VALUE(MID(P1179,FIND("/",P1179,FIND("/",P1179)+1)+1,LEN(P1179)-FIND("/",P1179,FIND("/",P1179)+1))))</f>
        <v/>
      </c>
      <c r="AH1179" s="7" t="str">
        <f aca="false">IF(OR(P1179="",AE1179=""),"",IFERROR(INDEX('لیست‌ها'!$Q$3:$Q$53,MATCH(AE1179,'لیست‌ها'!$P$3:$P$53,0))+IF(AF1179&lt;=6,(AF1179-1)*31+AG1179,IF(AF1179&lt;=11,186+(AF1179-7)*30+AG1179,336+AG1179))-1,""))</f>
        <v/>
      </c>
      <c r="AI1179" s="7" t="str">
        <f aca="false">IF(W1179="","",W1179&amp;"-"&amp;TEXT(X1179,"00"))</f>
        <v/>
      </c>
      <c r="AJ1179" s="7" t="str">
        <f aca="false">IF(W1179="","",W1179*12+X1179)</f>
        <v/>
      </c>
      <c r="AK1179" s="7" t="str">
        <f aca="false">IF(U1179="تاخیر",V1179+ROW()/100000,"")</f>
        <v/>
      </c>
    </row>
    <row r="1180" customFormat="false" ht="15" hidden="false" customHeight="false" outlineLevel="0" collapsed="false">
      <c r="A1180" s="7" t="str">
        <f aca="false">IF(B1180="","",ROW()-3)</f>
        <v/>
      </c>
      <c r="B1180" s="8"/>
      <c r="C1180" s="8"/>
      <c r="D1180" s="8"/>
      <c r="E1180" s="9"/>
      <c r="F1180" s="9"/>
      <c r="G1180" s="8"/>
      <c r="H1180" s="8"/>
      <c r="I1180" s="8"/>
      <c r="J1180" s="9"/>
      <c r="K1180" s="8"/>
      <c r="L1180" s="8"/>
      <c r="M1180" s="8"/>
      <c r="N1180" s="8"/>
      <c r="O1180" s="8"/>
      <c r="P1180" s="8"/>
      <c r="Q1180" s="8"/>
      <c r="R1180" s="9"/>
      <c r="S1180" s="8"/>
      <c r="T1180" s="9"/>
      <c r="U1180" s="10" t="str">
        <f aca="true">IF(B1180="","",IF(OR(P1180&lt;&gt;"",I1180="می‌باشد"),"بسته",IF(AND(L1180&lt;&gt;"",W1180=""),"خطای فرمت تاریخ ایجاد",IF(AND(H1180&lt;&gt;"",AA1180=""),"خطای فرمت مهلت",IF(AND(H1180&lt;&gt;"",AD1180&lt;&gt;"",TODAY()&gt;AD1180),"تاخیر",IF(L1180&lt;&gt;"","در حال انجام",""))))))</f>
        <v/>
      </c>
      <c r="V1180" s="7" t="n">
        <f aca="true">IF(U1180="تاخیر",TODAY()-AD1180,IF(AND(U1180="بسته",AH1180&lt;&gt;"",AD1180&lt;&gt;"",AH1180&gt;AD1180),AH1180-AD1180,0))</f>
        <v>0</v>
      </c>
      <c r="W1180" s="7" t="str">
        <f aca="false">IF(L1180="","",VALUE(LEFT(L1180,FIND("/",L1180)-1)))</f>
        <v/>
      </c>
      <c r="X1180" s="7" t="str">
        <f aca="false">IF(L1180="","",VALUE(MID(L1180,FIND("/",L1180)+1,FIND("/",L1180,FIND("/",L1180)+1)-FIND("/",L1180)-1)))</f>
        <v/>
      </c>
      <c r="Y1180" s="7" t="str">
        <f aca="false">IF(L1180="","",VALUE(MID(L1180,FIND("/",L1180,FIND("/",L1180)+1)+1,LEN(L1180)-FIND("/",L1180,FIND("/",L1180)+1))))</f>
        <v/>
      </c>
      <c r="Z1180" s="7" t="str">
        <f aca="false">IF(OR(L1180="",W1180=""),"",IFERROR(INDEX('لیست‌ها'!$Q$3:$Q$53,MATCH(W1180,'لیست‌ها'!$P$3:$P$53,0))+IF(X1180&lt;=6,(X1180-1)*31+Y1180,IF(X1180&lt;=11,186+(X1180-7)*30+Y1180,336+Y1180))-1,""))</f>
        <v/>
      </c>
      <c r="AA1180" s="7" t="str">
        <f aca="false">IF(H1180="","",VALUE(LEFT(H1180,FIND("/",H1180)-1)))</f>
        <v/>
      </c>
      <c r="AB1180" s="7" t="str">
        <f aca="false">IF(H1180="","",VALUE(MID(H1180,FIND("/",H1180)+1,FIND("/",H1180,FIND("/",H1180)+1)-FIND("/",H1180)-1)))</f>
        <v/>
      </c>
      <c r="AC1180" s="7" t="str">
        <f aca="false">IF(H1180="","",VALUE(MID(H1180,FIND("/",H1180,FIND("/",H1180)+1)+1,LEN(H1180)-FIND("/",H1180,FIND("/",H1180)+1))))</f>
        <v/>
      </c>
      <c r="AD1180" s="7" t="str">
        <f aca="false">IF(OR(H1180="",AA1180=""),"",IFERROR(INDEX('لیست‌ها'!$Q$3:$Q$53,MATCH(AA1180,'لیست‌ها'!$P$3:$P$53,0))+IF(AB1180&lt;=6,(AB1180-1)*31+AC1180,IF(AB1180&lt;=11,186+(AB1180-7)*30+AC1180,336+AC1180))-1,""))</f>
        <v/>
      </c>
      <c r="AE1180" s="7" t="str">
        <f aca="false">IF(P1180="","",VALUE(LEFT(P1180,FIND("/",P1180)-1)))</f>
        <v/>
      </c>
      <c r="AF1180" s="7" t="str">
        <f aca="false">IF(P1180="","",VALUE(MID(P1180,FIND("/",P1180)+1,FIND("/",P1180,FIND("/",P1180)+1)-FIND("/",P1180)-1)))</f>
        <v/>
      </c>
      <c r="AG1180" s="7" t="str">
        <f aca="false">IF(P1180="","",VALUE(MID(P1180,FIND("/",P1180,FIND("/",P1180)+1)+1,LEN(P1180)-FIND("/",P1180,FIND("/",P1180)+1))))</f>
        <v/>
      </c>
      <c r="AH1180" s="7" t="str">
        <f aca="false">IF(OR(P1180="",AE1180=""),"",IFERROR(INDEX('لیست‌ها'!$Q$3:$Q$53,MATCH(AE1180,'لیست‌ها'!$P$3:$P$53,0))+IF(AF1180&lt;=6,(AF1180-1)*31+AG1180,IF(AF1180&lt;=11,186+(AF1180-7)*30+AG1180,336+AG1180))-1,""))</f>
        <v/>
      </c>
      <c r="AI1180" s="7" t="str">
        <f aca="false">IF(W1180="","",W1180&amp;"-"&amp;TEXT(X1180,"00"))</f>
        <v/>
      </c>
      <c r="AJ1180" s="7" t="str">
        <f aca="false">IF(W1180="","",W1180*12+X1180)</f>
        <v/>
      </c>
      <c r="AK1180" s="7" t="str">
        <f aca="false">IF(U1180="تاخیر",V1180+ROW()/100000,"")</f>
        <v/>
      </c>
    </row>
    <row r="1181" customFormat="false" ht="15" hidden="false" customHeight="false" outlineLevel="0" collapsed="false">
      <c r="A1181" s="7" t="str">
        <f aca="false">IF(B1181="","",ROW()-3)</f>
        <v/>
      </c>
      <c r="B1181" s="8"/>
      <c r="C1181" s="8"/>
      <c r="D1181" s="8"/>
      <c r="E1181" s="9"/>
      <c r="F1181" s="9"/>
      <c r="G1181" s="8"/>
      <c r="H1181" s="8"/>
      <c r="I1181" s="8"/>
      <c r="J1181" s="9"/>
      <c r="K1181" s="8"/>
      <c r="L1181" s="8"/>
      <c r="M1181" s="8"/>
      <c r="N1181" s="8"/>
      <c r="O1181" s="8"/>
      <c r="P1181" s="8"/>
      <c r="Q1181" s="8"/>
      <c r="R1181" s="9"/>
      <c r="S1181" s="8"/>
      <c r="T1181" s="9"/>
      <c r="U1181" s="10" t="str">
        <f aca="true">IF(B1181="","",IF(OR(P1181&lt;&gt;"",I1181="می‌باشد"),"بسته",IF(AND(L1181&lt;&gt;"",W1181=""),"خطای فرمت تاریخ ایجاد",IF(AND(H1181&lt;&gt;"",AA1181=""),"خطای فرمت مهلت",IF(AND(H1181&lt;&gt;"",AD1181&lt;&gt;"",TODAY()&gt;AD1181),"تاخیر",IF(L1181&lt;&gt;"","در حال انجام",""))))))</f>
        <v/>
      </c>
      <c r="V1181" s="7" t="n">
        <f aca="true">IF(U1181="تاخیر",TODAY()-AD1181,IF(AND(U1181="بسته",AH1181&lt;&gt;"",AD1181&lt;&gt;"",AH1181&gt;AD1181),AH1181-AD1181,0))</f>
        <v>0</v>
      </c>
      <c r="W1181" s="7" t="str">
        <f aca="false">IF(L1181="","",VALUE(LEFT(L1181,FIND("/",L1181)-1)))</f>
        <v/>
      </c>
      <c r="X1181" s="7" t="str">
        <f aca="false">IF(L1181="","",VALUE(MID(L1181,FIND("/",L1181)+1,FIND("/",L1181,FIND("/",L1181)+1)-FIND("/",L1181)-1)))</f>
        <v/>
      </c>
      <c r="Y1181" s="7" t="str">
        <f aca="false">IF(L1181="","",VALUE(MID(L1181,FIND("/",L1181,FIND("/",L1181)+1)+1,LEN(L1181)-FIND("/",L1181,FIND("/",L1181)+1))))</f>
        <v/>
      </c>
      <c r="Z1181" s="7" t="str">
        <f aca="false">IF(OR(L1181="",W1181=""),"",IFERROR(INDEX('لیست‌ها'!$Q$3:$Q$53,MATCH(W1181,'لیست‌ها'!$P$3:$P$53,0))+IF(X1181&lt;=6,(X1181-1)*31+Y1181,IF(X1181&lt;=11,186+(X1181-7)*30+Y1181,336+Y1181))-1,""))</f>
        <v/>
      </c>
      <c r="AA1181" s="7" t="str">
        <f aca="false">IF(H1181="","",VALUE(LEFT(H1181,FIND("/",H1181)-1)))</f>
        <v/>
      </c>
      <c r="AB1181" s="7" t="str">
        <f aca="false">IF(H1181="","",VALUE(MID(H1181,FIND("/",H1181)+1,FIND("/",H1181,FIND("/",H1181)+1)-FIND("/",H1181)-1)))</f>
        <v/>
      </c>
      <c r="AC1181" s="7" t="str">
        <f aca="false">IF(H1181="","",VALUE(MID(H1181,FIND("/",H1181,FIND("/",H1181)+1)+1,LEN(H1181)-FIND("/",H1181,FIND("/",H1181)+1))))</f>
        <v/>
      </c>
      <c r="AD1181" s="7" t="str">
        <f aca="false">IF(OR(H1181="",AA1181=""),"",IFERROR(INDEX('لیست‌ها'!$Q$3:$Q$53,MATCH(AA1181,'لیست‌ها'!$P$3:$P$53,0))+IF(AB1181&lt;=6,(AB1181-1)*31+AC1181,IF(AB1181&lt;=11,186+(AB1181-7)*30+AC1181,336+AC1181))-1,""))</f>
        <v/>
      </c>
      <c r="AE1181" s="7" t="str">
        <f aca="false">IF(P1181="","",VALUE(LEFT(P1181,FIND("/",P1181)-1)))</f>
        <v/>
      </c>
      <c r="AF1181" s="7" t="str">
        <f aca="false">IF(P1181="","",VALUE(MID(P1181,FIND("/",P1181)+1,FIND("/",P1181,FIND("/",P1181)+1)-FIND("/",P1181)-1)))</f>
        <v/>
      </c>
      <c r="AG1181" s="7" t="str">
        <f aca="false">IF(P1181="","",VALUE(MID(P1181,FIND("/",P1181,FIND("/",P1181)+1)+1,LEN(P1181)-FIND("/",P1181,FIND("/",P1181)+1))))</f>
        <v/>
      </c>
      <c r="AH1181" s="7" t="str">
        <f aca="false">IF(OR(P1181="",AE1181=""),"",IFERROR(INDEX('لیست‌ها'!$Q$3:$Q$53,MATCH(AE1181,'لیست‌ها'!$P$3:$P$53,0))+IF(AF1181&lt;=6,(AF1181-1)*31+AG1181,IF(AF1181&lt;=11,186+(AF1181-7)*30+AG1181,336+AG1181))-1,""))</f>
        <v/>
      </c>
      <c r="AI1181" s="7" t="str">
        <f aca="false">IF(W1181="","",W1181&amp;"-"&amp;TEXT(X1181,"00"))</f>
        <v/>
      </c>
      <c r="AJ1181" s="7" t="str">
        <f aca="false">IF(W1181="","",W1181*12+X1181)</f>
        <v/>
      </c>
      <c r="AK1181" s="7" t="str">
        <f aca="false">IF(U1181="تاخیر",V1181+ROW()/100000,"")</f>
        <v/>
      </c>
    </row>
    <row r="1182" customFormat="false" ht="15" hidden="false" customHeight="false" outlineLevel="0" collapsed="false">
      <c r="A1182" s="7" t="str">
        <f aca="false">IF(B1182="","",ROW()-3)</f>
        <v/>
      </c>
      <c r="B1182" s="8"/>
      <c r="C1182" s="8"/>
      <c r="D1182" s="8"/>
      <c r="E1182" s="9"/>
      <c r="F1182" s="9"/>
      <c r="G1182" s="8"/>
      <c r="H1182" s="8"/>
      <c r="I1182" s="8"/>
      <c r="J1182" s="9"/>
      <c r="K1182" s="8"/>
      <c r="L1182" s="8"/>
      <c r="M1182" s="8"/>
      <c r="N1182" s="8"/>
      <c r="O1182" s="8"/>
      <c r="P1182" s="8"/>
      <c r="Q1182" s="8"/>
      <c r="R1182" s="9"/>
      <c r="S1182" s="8"/>
      <c r="T1182" s="9"/>
      <c r="U1182" s="10" t="str">
        <f aca="true">IF(B1182="","",IF(OR(P1182&lt;&gt;"",I1182="می‌باشد"),"بسته",IF(AND(L1182&lt;&gt;"",W1182=""),"خطای فرمت تاریخ ایجاد",IF(AND(H1182&lt;&gt;"",AA1182=""),"خطای فرمت مهلت",IF(AND(H1182&lt;&gt;"",AD1182&lt;&gt;"",TODAY()&gt;AD1182),"تاخیر",IF(L1182&lt;&gt;"","در حال انجام",""))))))</f>
        <v/>
      </c>
      <c r="V1182" s="7" t="n">
        <f aca="true">IF(U1182="تاخیر",TODAY()-AD1182,IF(AND(U1182="بسته",AH1182&lt;&gt;"",AD1182&lt;&gt;"",AH1182&gt;AD1182),AH1182-AD1182,0))</f>
        <v>0</v>
      </c>
      <c r="W1182" s="7" t="str">
        <f aca="false">IF(L1182="","",VALUE(LEFT(L1182,FIND("/",L1182)-1)))</f>
        <v/>
      </c>
      <c r="X1182" s="7" t="str">
        <f aca="false">IF(L1182="","",VALUE(MID(L1182,FIND("/",L1182)+1,FIND("/",L1182,FIND("/",L1182)+1)-FIND("/",L1182)-1)))</f>
        <v/>
      </c>
      <c r="Y1182" s="7" t="str">
        <f aca="false">IF(L1182="","",VALUE(MID(L1182,FIND("/",L1182,FIND("/",L1182)+1)+1,LEN(L1182)-FIND("/",L1182,FIND("/",L1182)+1))))</f>
        <v/>
      </c>
      <c r="Z1182" s="7" t="str">
        <f aca="false">IF(OR(L1182="",W1182=""),"",IFERROR(INDEX('لیست‌ها'!$Q$3:$Q$53,MATCH(W1182,'لیست‌ها'!$P$3:$P$53,0))+IF(X1182&lt;=6,(X1182-1)*31+Y1182,IF(X1182&lt;=11,186+(X1182-7)*30+Y1182,336+Y1182))-1,""))</f>
        <v/>
      </c>
      <c r="AA1182" s="7" t="str">
        <f aca="false">IF(H1182="","",VALUE(LEFT(H1182,FIND("/",H1182)-1)))</f>
        <v/>
      </c>
      <c r="AB1182" s="7" t="str">
        <f aca="false">IF(H1182="","",VALUE(MID(H1182,FIND("/",H1182)+1,FIND("/",H1182,FIND("/",H1182)+1)-FIND("/",H1182)-1)))</f>
        <v/>
      </c>
      <c r="AC1182" s="7" t="str">
        <f aca="false">IF(H1182="","",VALUE(MID(H1182,FIND("/",H1182,FIND("/",H1182)+1)+1,LEN(H1182)-FIND("/",H1182,FIND("/",H1182)+1))))</f>
        <v/>
      </c>
      <c r="AD1182" s="7" t="str">
        <f aca="false">IF(OR(H1182="",AA1182=""),"",IFERROR(INDEX('لیست‌ها'!$Q$3:$Q$53,MATCH(AA1182,'لیست‌ها'!$P$3:$P$53,0))+IF(AB1182&lt;=6,(AB1182-1)*31+AC1182,IF(AB1182&lt;=11,186+(AB1182-7)*30+AC1182,336+AC1182))-1,""))</f>
        <v/>
      </c>
      <c r="AE1182" s="7" t="str">
        <f aca="false">IF(P1182="","",VALUE(LEFT(P1182,FIND("/",P1182)-1)))</f>
        <v/>
      </c>
      <c r="AF1182" s="7" t="str">
        <f aca="false">IF(P1182="","",VALUE(MID(P1182,FIND("/",P1182)+1,FIND("/",P1182,FIND("/",P1182)+1)-FIND("/",P1182)-1)))</f>
        <v/>
      </c>
      <c r="AG1182" s="7" t="str">
        <f aca="false">IF(P1182="","",VALUE(MID(P1182,FIND("/",P1182,FIND("/",P1182)+1)+1,LEN(P1182)-FIND("/",P1182,FIND("/",P1182)+1))))</f>
        <v/>
      </c>
      <c r="AH1182" s="7" t="str">
        <f aca="false">IF(OR(P1182="",AE1182=""),"",IFERROR(INDEX('لیست‌ها'!$Q$3:$Q$53,MATCH(AE1182,'لیست‌ها'!$P$3:$P$53,0))+IF(AF1182&lt;=6,(AF1182-1)*31+AG1182,IF(AF1182&lt;=11,186+(AF1182-7)*30+AG1182,336+AG1182))-1,""))</f>
        <v/>
      </c>
      <c r="AI1182" s="7" t="str">
        <f aca="false">IF(W1182="","",W1182&amp;"-"&amp;TEXT(X1182,"00"))</f>
        <v/>
      </c>
      <c r="AJ1182" s="7" t="str">
        <f aca="false">IF(W1182="","",W1182*12+X1182)</f>
        <v/>
      </c>
      <c r="AK1182" s="7" t="str">
        <f aca="false">IF(U1182="تاخیر",V1182+ROW()/100000,"")</f>
        <v/>
      </c>
    </row>
    <row r="1183" customFormat="false" ht="15" hidden="false" customHeight="false" outlineLevel="0" collapsed="false">
      <c r="A1183" s="7" t="str">
        <f aca="false">IF(B1183="","",ROW()-3)</f>
        <v/>
      </c>
      <c r="B1183" s="8"/>
      <c r="C1183" s="8"/>
      <c r="D1183" s="8"/>
      <c r="E1183" s="9"/>
      <c r="F1183" s="9"/>
      <c r="G1183" s="8"/>
      <c r="H1183" s="8"/>
      <c r="I1183" s="8"/>
      <c r="J1183" s="9"/>
      <c r="K1183" s="8"/>
      <c r="L1183" s="8"/>
      <c r="M1183" s="8"/>
      <c r="N1183" s="8"/>
      <c r="O1183" s="8"/>
      <c r="P1183" s="8"/>
      <c r="Q1183" s="8"/>
      <c r="R1183" s="9"/>
      <c r="S1183" s="8"/>
      <c r="T1183" s="9"/>
      <c r="U1183" s="10" t="str">
        <f aca="true">IF(B1183="","",IF(OR(P1183&lt;&gt;"",I1183="می‌باشد"),"بسته",IF(AND(L1183&lt;&gt;"",W1183=""),"خطای فرمت تاریخ ایجاد",IF(AND(H1183&lt;&gt;"",AA1183=""),"خطای فرمت مهلت",IF(AND(H1183&lt;&gt;"",AD1183&lt;&gt;"",TODAY()&gt;AD1183),"تاخیر",IF(L1183&lt;&gt;"","در حال انجام",""))))))</f>
        <v/>
      </c>
      <c r="V1183" s="7" t="n">
        <f aca="true">IF(U1183="تاخیر",TODAY()-AD1183,IF(AND(U1183="بسته",AH1183&lt;&gt;"",AD1183&lt;&gt;"",AH1183&gt;AD1183),AH1183-AD1183,0))</f>
        <v>0</v>
      </c>
      <c r="W1183" s="7" t="str">
        <f aca="false">IF(L1183="","",VALUE(LEFT(L1183,FIND("/",L1183)-1)))</f>
        <v/>
      </c>
      <c r="X1183" s="7" t="str">
        <f aca="false">IF(L1183="","",VALUE(MID(L1183,FIND("/",L1183)+1,FIND("/",L1183,FIND("/",L1183)+1)-FIND("/",L1183)-1)))</f>
        <v/>
      </c>
      <c r="Y1183" s="7" t="str">
        <f aca="false">IF(L1183="","",VALUE(MID(L1183,FIND("/",L1183,FIND("/",L1183)+1)+1,LEN(L1183)-FIND("/",L1183,FIND("/",L1183)+1))))</f>
        <v/>
      </c>
      <c r="Z1183" s="7" t="str">
        <f aca="false">IF(OR(L1183="",W1183=""),"",IFERROR(INDEX('لیست‌ها'!$Q$3:$Q$53,MATCH(W1183,'لیست‌ها'!$P$3:$P$53,0))+IF(X1183&lt;=6,(X1183-1)*31+Y1183,IF(X1183&lt;=11,186+(X1183-7)*30+Y1183,336+Y1183))-1,""))</f>
        <v/>
      </c>
      <c r="AA1183" s="7" t="str">
        <f aca="false">IF(H1183="","",VALUE(LEFT(H1183,FIND("/",H1183)-1)))</f>
        <v/>
      </c>
      <c r="AB1183" s="7" t="str">
        <f aca="false">IF(H1183="","",VALUE(MID(H1183,FIND("/",H1183)+1,FIND("/",H1183,FIND("/",H1183)+1)-FIND("/",H1183)-1)))</f>
        <v/>
      </c>
      <c r="AC1183" s="7" t="str">
        <f aca="false">IF(H1183="","",VALUE(MID(H1183,FIND("/",H1183,FIND("/",H1183)+1)+1,LEN(H1183)-FIND("/",H1183,FIND("/",H1183)+1))))</f>
        <v/>
      </c>
      <c r="AD1183" s="7" t="str">
        <f aca="false">IF(OR(H1183="",AA1183=""),"",IFERROR(INDEX('لیست‌ها'!$Q$3:$Q$53,MATCH(AA1183,'لیست‌ها'!$P$3:$P$53,0))+IF(AB1183&lt;=6,(AB1183-1)*31+AC1183,IF(AB1183&lt;=11,186+(AB1183-7)*30+AC1183,336+AC1183))-1,""))</f>
        <v/>
      </c>
      <c r="AE1183" s="7" t="str">
        <f aca="false">IF(P1183="","",VALUE(LEFT(P1183,FIND("/",P1183)-1)))</f>
        <v/>
      </c>
      <c r="AF1183" s="7" t="str">
        <f aca="false">IF(P1183="","",VALUE(MID(P1183,FIND("/",P1183)+1,FIND("/",P1183,FIND("/",P1183)+1)-FIND("/",P1183)-1)))</f>
        <v/>
      </c>
      <c r="AG1183" s="7" t="str">
        <f aca="false">IF(P1183="","",VALUE(MID(P1183,FIND("/",P1183,FIND("/",P1183)+1)+1,LEN(P1183)-FIND("/",P1183,FIND("/",P1183)+1))))</f>
        <v/>
      </c>
      <c r="AH1183" s="7" t="str">
        <f aca="false">IF(OR(P1183="",AE1183=""),"",IFERROR(INDEX('لیست‌ها'!$Q$3:$Q$53,MATCH(AE1183,'لیست‌ها'!$P$3:$P$53,0))+IF(AF1183&lt;=6,(AF1183-1)*31+AG1183,IF(AF1183&lt;=11,186+(AF1183-7)*30+AG1183,336+AG1183))-1,""))</f>
        <v/>
      </c>
      <c r="AI1183" s="7" t="str">
        <f aca="false">IF(W1183="","",W1183&amp;"-"&amp;TEXT(X1183,"00"))</f>
        <v/>
      </c>
      <c r="AJ1183" s="7" t="str">
        <f aca="false">IF(W1183="","",W1183*12+X1183)</f>
        <v/>
      </c>
      <c r="AK1183" s="7" t="str">
        <f aca="false">IF(U1183="تاخیر",V1183+ROW()/100000,"")</f>
        <v/>
      </c>
    </row>
    <row r="1184" customFormat="false" ht="15" hidden="false" customHeight="false" outlineLevel="0" collapsed="false">
      <c r="A1184" s="7" t="str">
        <f aca="false">IF(B1184="","",ROW()-3)</f>
        <v/>
      </c>
      <c r="B1184" s="8"/>
      <c r="C1184" s="8"/>
      <c r="D1184" s="8"/>
      <c r="E1184" s="9"/>
      <c r="F1184" s="9"/>
      <c r="G1184" s="8"/>
      <c r="H1184" s="8"/>
      <c r="I1184" s="8"/>
      <c r="J1184" s="9"/>
      <c r="K1184" s="8"/>
      <c r="L1184" s="8"/>
      <c r="M1184" s="8"/>
      <c r="N1184" s="8"/>
      <c r="O1184" s="8"/>
      <c r="P1184" s="8"/>
      <c r="Q1184" s="8"/>
      <c r="R1184" s="9"/>
      <c r="S1184" s="8"/>
      <c r="T1184" s="9"/>
      <c r="U1184" s="10" t="str">
        <f aca="true">IF(B1184="","",IF(OR(P1184&lt;&gt;"",I1184="می‌باشد"),"بسته",IF(AND(L1184&lt;&gt;"",W1184=""),"خطای فرمت تاریخ ایجاد",IF(AND(H1184&lt;&gt;"",AA1184=""),"خطای فرمت مهلت",IF(AND(H1184&lt;&gt;"",AD1184&lt;&gt;"",TODAY()&gt;AD1184),"تاخیر",IF(L1184&lt;&gt;"","در حال انجام",""))))))</f>
        <v/>
      </c>
      <c r="V1184" s="7" t="n">
        <f aca="true">IF(U1184="تاخیر",TODAY()-AD1184,IF(AND(U1184="بسته",AH1184&lt;&gt;"",AD1184&lt;&gt;"",AH1184&gt;AD1184),AH1184-AD1184,0))</f>
        <v>0</v>
      </c>
      <c r="W1184" s="7" t="str">
        <f aca="false">IF(L1184="","",VALUE(LEFT(L1184,FIND("/",L1184)-1)))</f>
        <v/>
      </c>
      <c r="X1184" s="7" t="str">
        <f aca="false">IF(L1184="","",VALUE(MID(L1184,FIND("/",L1184)+1,FIND("/",L1184,FIND("/",L1184)+1)-FIND("/",L1184)-1)))</f>
        <v/>
      </c>
      <c r="Y1184" s="7" t="str">
        <f aca="false">IF(L1184="","",VALUE(MID(L1184,FIND("/",L1184,FIND("/",L1184)+1)+1,LEN(L1184)-FIND("/",L1184,FIND("/",L1184)+1))))</f>
        <v/>
      </c>
      <c r="Z1184" s="7" t="str">
        <f aca="false">IF(OR(L1184="",W1184=""),"",IFERROR(INDEX('لیست‌ها'!$Q$3:$Q$53,MATCH(W1184,'لیست‌ها'!$P$3:$P$53,0))+IF(X1184&lt;=6,(X1184-1)*31+Y1184,IF(X1184&lt;=11,186+(X1184-7)*30+Y1184,336+Y1184))-1,""))</f>
        <v/>
      </c>
      <c r="AA1184" s="7" t="str">
        <f aca="false">IF(H1184="","",VALUE(LEFT(H1184,FIND("/",H1184)-1)))</f>
        <v/>
      </c>
      <c r="AB1184" s="7" t="str">
        <f aca="false">IF(H1184="","",VALUE(MID(H1184,FIND("/",H1184)+1,FIND("/",H1184,FIND("/",H1184)+1)-FIND("/",H1184)-1)))</f>
        <v/>
      </c>
      <c r="AC1184" s="7" t="str">
        <f aca="false">IF(H1184="","",VALUE(MID(H1184,FIND("/",H1184,FIND("/",H1184)+1)+1,LEN(H1184)-FIND("/",H1184,FIND("/",H1184)+1))))</f>
        <v/>
      </c>
      <c r="AD1184" s="7" t="str">
        <f aca="false">IF(OR(H1184="",AA1184=""),"",IFERROR(INDEX('لیست‌ها'!$Q$3:$Q$53,MATCH(AA1184,'لیست‌ها'!$P$3:$P$53,0))+IF(AB1184&lt;=6,(AB1184-1)*31+AC1184,IF(AB1184&lt;=11,186+(AB1184-7)*30+AC1184,336+AC1184))-1,""))</f>
        <v/>
      </c>
      <c r="AE1184" s="7" t="str">
        <f aca="false">IF(P1184="","",VALUE(LEFT(P1184,FIND("/",P1184)-1)))</f>
        <v/>
      </c>
      <c r="AF1184" s="7" t="str">
        <f aca="false">IF(P1184="","",VALUE(MID(P1184,FIND("/",P1184)+1,FIND("/",P1184,FIND("/",P1184)+1)-FIND("/",P1184)-1)))</f>
        <v/>
      </c>
      <c r="AG1184" s="7" t="str">
        <f aca="false">IF(P1184="","",VALUE(MID(P1184,FIND("/",P1184,FIND("/",P1184)+1)+1,LEN(P1184)-FIND("/",P1184,FIND("/",P1184)+1))))</f>
        <v/>
      </c>
      <c r="AH1184" s="7" t="str">
        <f aca="false">IF(OR(P1184="",AE1184=""),"",IFERROR(INDEX('لیست‌ها'!$Q$3:$Q$53,MATCH(AE1184,'لیست‌ها'!$P$3:$P$53,0))+IF(AF1184&lt;=6,(AF1184-1)*31+AG1184,IF(AF1184&lt;=11,186+(AF1184-7)*30+AG1184,336+AG1184))-1,""))</f>
        <v/>
      </c>
      <c r="AI1184" s="7" t="str">
        <f aca="false">IF(W1184="","",W1184&amp;"-"&amp;TEXT(X1184,"00"))</f>
        <v/>
      </c>
      <c r="AJ1184" s="7" t="str">
        <f aca="false">IF(W1184="","",W1184*12+X1184)</f>
        <v/>
      </c>
      <c r="AK1184" s="7" t="str">
        <f aca="false">IF(U1184="تاخیر",V1184+ROW()/100000,"")</f>
        <v/>
      </c>
    </row>
    <row r="1185" customFormat="false" ht="15" hidden="false" customHeight="false" outlineLevel="0" collapsed="false">
      <c r="A1185" s="7" t="str">
        <f aca="false">IF(B1185="","",ROW()-3)</f>
        <v/>
      </c>
      <c r="B1185" s="8"/>
      <c r="C1185" s="8"/>
      <c r="D1185" s="8"/>
      <c r="E1185" s="9"/>
      <c r="F1185" s="9"/>
      <c r="G1185" s="8"/>
      <c r="H1185" s="8"/>
      <c r="I1185" s="8"/>
      <c r="J1185" s="9"/>
      <c r="K1185" s="8"/>
      <c r="L1185" s="8"/>
      <c r="M1185" s="8"/>
      <c r="N1185" s="8"/>
      <c r="O1185" s="8"/>
      <c r="P1185" s="8"/>
      <c r="Q1185" s="8"/>
      <c r="R1185" s="9"/>
      <c r="S1185" s="8"/>
      <c r="T1185" s="9"/>
      <c r="U1185" s="10" t="str">
        <f aca="true">IF(B1185="","",IF(OR(P1185&lt;&gt;"",I1185="می‌باشد"),"بسته",IF(AND(L1185&lt;&gt;"",W1185=""),"خطای فرمت تاریخ ایجاد",IF(AND(H1185&lt;&gt;"",AA1185=""),"خطای فرمت مهلت",IF(AND(H1185&lt;&gt;"",AD1185&lt;&gt;"",TODAY()&gt;AD1185),"تاخیر",IF(L1185&lt;&gt;"","در حال انجام",""))))))</f>
        <v/>
      </c>
      <c r="V1185" s="7" t="n">
        <f aca="true">IF(U1185="تاخیر",TODAY()-AD1185,IF(AND(U1185="بسته",AH1185&lt;&gt;"",AD1185&lt;&gt;"",AH1185&gt;AD1185),AH1185-AD1185,0))</f>
        <v>0</v>
      </c>
      <c r="W1185" s="7" t="str">
        <f aca="false">IF(L1185="","",VALUE(LEFT(L1185,FIND("/",L1185)-1)))</f>
        <v/>
      </c>
      <c r="X1185" s="7" t="str">
        <f aca="false">IF(L1185="","",VALUE(MID(L1185,FIND("/",L1185)+1,FIND("/",L1185,FIND("/",L1185)+1)-FIND("/",L1185)-1)))</f>
        <v/>
      </c>
      <c r="Y1185" s="7" t="str">
        <f aca="false">IF(L1185="","",VALUE(MID(L1185,FIND("/",L1185,FIND("/",L1185)+1)+1,LEN(L1185)-FIND("/",L1185,FIND("/",L1185)+1))))</f>
        <v/>
      </c>
      <c r="Z1185" s="7" t="str">
        <f aca="false">IF(OR(L1185="",W1185=""),"",IFERROR(INDEX('لیست‌ها'!$Q$3:$Q$53,MATCH(W1185,'لیست‌ها'!$P$3:$P$53,0))+IF(X1185&lt;=6,(X1185-1)*31+Y1185,IF(X1185&lt;=11,186+(X1185-7)*30+Y1185,336+Y1185))-1,""))</f>
        <v/>
      </c>
      <c r="AA1185" s="7" t="str">
        <f aca="false">IF(H1185="","",VALUE(LEFT(H1185,FIND("/",H1185)-1)))</f>
        <v/>
      </c>
      <c r="AB1185" s="7" t="str">
        <f aca="false">IF(H1185="","",VALUE(MID(H1185,FIND("/",H1185)+1,FIND("/",H1185,FIND("/",H1185)+1)-FIND("/",H1185)-1)))</f>
        <v/>
      </c>
      <c r="AC1185" s="7" t="str">
        <f aca="false">IF(H1185="","",VALUE(MID(H1185,FIND("/",H1185,FIND("/",H1185)+1)+1,LEN(H1185)-FIND("/",H1185,FIND("/",H1185)+1))))</f>
        <v/>
      </c>
      <c r="AD1185" s="7" t="str">
        <f aca="false">IF(OR(H1185="",AA1185=""),"",IFERROR(INDEX('لیست‌ها'!$Q$3:$Q$53,MATCH(AA1185,'لیست‌ها'!$P$3:$P$53,0))+IF(AB1185&lt;=6,(AB1185-1)*31+AC1185,IF(AB1185&lt;=11,186+(AB1185-7)*30+AC1185,336+AC1185))-1,""))</f>
        <v/>
      </c>
      <c r="AE1185" s="7" t="str">
        <f aca="false">IF(P1185="","",VALUE(LEFT(P1185,FIND("/",P1185)-1)))</f>
        <v/>
      </c>
      <c r="AF1185" s="7" t="str">
        <f aca="false">IF(P1185="","",VALUE(MID(P1185,FIND("/",P1185)+1,FIND("/",P1185,FIND("/",P1185)+1)-FIND("/",P1185)-1)))</f>
        <v/>
      </c>
      <c r="AG1185" s="7" t="str">
        <f aca="false">IF(P1185="","",VALUE(MID(P1185,FIND("/",P1185,FIND("/",P1185)+1)+1,LEN(P1185)-FIND("/",P1185,FIND("/",P1185)+1))))</f>
        <v/>
      </c>
      <c r="AH1185" s="7" t="str">
        <f aca="false">IF(OR(P1185="",AE1185=""),"",IFERROR(INDEX('لیست‌ها'!$Q$3:$Q$53,MATCH(AE1185,'لیست‌ها'!$P$3:$P$53,0))+IF(AF1185&lt;=6,(AF1185-1)*31+AG1185,IF(AF1185&lt;=11,186+(AF1185-7)*30+AG1185,336+AG1185))-1,""))</f>
        <v/>
      </c>
      <c r="AI1185" s="7" t="str">
        <f aca="false">IF(W1185="","",W1185&amp;"-"&amp;TEXT(X1185,"00"))</f>
        <v/>
      </c>
      <c r="AJ1185" s="7" t="str">
        <f aca="false">IF(W1185="","",W1185*12+X1185)</f>
        <v/>
      </c>
      <c r="AK1185" s="7" t="str">
        <f aca="false">IF(U1185="تاخیر",V1185+ROW()/100000,"")</f>
        <v/>
      </c>
    </row>
    <row r="1186" customFormat="false" ht="15" hidden="false" customHeight="false" outlineLevel="0" collapsed="false">
      <c r="A1186" s="7" t="str">
        <f aca="false">IF(B1186="","",ROW()-3)</f>
        <v/>
      </c>
      <c r="B1186" s="8"/>
      <c r="C1186" s="8"/>
      <c r="D1186" s="8"/>
      <c r="E1186" s="9"/>
      <c r="F1186" s="9"/>
      <c r="G1186" s="8"/>
      <c r="H1186" s="8"/>
      <c r="I1186" s="8"/>
      <c r="J1186" s="9"/>
      <c r="K1186" s="8"/>
      <c r="L1186" s="8"/>
      <c r="M1186" s="8"/>
      <c r="N1186" s="8"/>
      <c r="O1186" s="8"/>
      <c r="P1186" s="8"/>
      <c r="Q1186" s="8"/>
      <c r="R1186" s="9"/>
      <c r="S1186" s="8"/>
      <c r="T1186" s="9"/>
      <c r="U1186" s="10" t="str">
        <f aca="true">IF(B1186="","",IF(OR(P1186&lt;&gt;"",I1186="می‌باشد"),"بسته",IF(AND(L1186&lt;&gt;"",W1186=""),"خطای فرمت تاریخ ایجاد",IF(AND(H1186&lt;&gt;"",AA1186=""),"خطای فرمت مهلت",IF(AND(H1186&lt;&gt;"",AD1186&lt;&gt;"",TODAY()&gt;AD1186),"تاخیر",IF(L1186&lt;&gt;"","در حال انجام",""))))))</f>
        <v/>
      </c>
      <c r="V1186" s="7" t="n">
        <f aca="true">IF(U1186="تاخیر",TODAY()-AD1186,IF(AND(U1186="بسته",AH1186&lt;&gt;"",AD1186&lt;&gt;"",AH1186&gt;AD1186),AH1186-AD1186,0))</f>
        <v>0</v>
      </c>
      <c r="W1186" s="7" t="str">
        <f aca="false">IF(L1186="","",VALUE(LEFT(L1186,FIND("/",L1186)-1)))</f>
        <v/>
      </c>
      <c r="X1186" s="7" t="str">
        <f aca="false">IF(L1186="","",VALUE(MID(L1186,FIND("/",L1186)+1,FIND("/",L1186,FIND("/",L1186)+1)-FIND("/",L1186)-1)))</f>
        <v/>
      </c>
      <c r="Y1186" s="7" t="str">
        <f aca="false">IF(L1186="","",VALUE(MID(L1186,FIND("/",L1186,FIND("/",L1186)+1)+1,LEN(L1186)-FIND("/",L1186,FIND("/",L1186)+1))))</f>
        <v/>
      </c>
      <c r="Z1186" s="7" t="str">
        <f aca="false">IF(OR(L1186="",W1186=""),"",IFERROR(INDEX('لیست‌ها'!$Q$3:$Q$53,MATCH(W1186,'لیست‌ها'!$P$3:$P$53,0))+IF(X1186&lt;=6,(X1186-1)*31+Y1186,IF(X1186&lt;=11,186+(X1186-7)*30+Y1186,336+Y1186))-1,""))</f>
        <v/>
      </c>
      <c r="AA1186" s="7" t="str">
        <f aca="false">IF(H1186="","",VALUE(LEFT(H1186,FIND("/",H1186)-1)))</f>
        <v/>
      </c>
      <c r="AB1186" s="7" t="str">
        <f aca="false">IF(H1186="","",VALUE(MID(H1186,FIND("/",H1186)+1,FIND("/",H1186,FIND("/",H1186)+1)-FIND("/",H1186)-1)))</f>
        <v/>
      </c>
      <c r="AC1186" s="7" t="str">
        <f aca="false">IF(H1186="","",VALUE(MID(H1186,FIND("/",H1186,FIND("/",H1186)+1)+1,LEN(H1186)-FIND("/",H1186,FIND("/",H1186)+1))))</f>
        <v/>
      </c>
      <c r="AD1186" s="7" t="str">
        <f aca="false">IF(OR(H1186="",AA1186=""),"",IFERROR(INDEX('لیست‌ها'!$Q$3:$Q$53,MATCH(AA1186,'لیست‌ها'!$P$3:$P$53,0))+IF(AB1186&lt;=6,(AB1186-1)*31+AC1186,IF(AB1186&lt;=11,186+(AB1186-7)*30+AC1186,336+AC1186))-1,""))</f>
        <v/>
      </c>
      <c r="AE1186" s="7" t="str">
        <f aca="false">IF(P1186="","",VALUE(LEFT(P1186,FIND("/",P1186)-1)))</f>
        <v/>
      </c>
      <c r="AF1186" s="7" t="str">
        <f aca="false">IF(P1186="","",VALUE(MID(P1186,FIND("/",P1186)+1,FIND("/",P1186,FIND("/",P1186)+1)-FIND("/",P1186)-1)))</f>
        <v/>
      </c>
      <c r="AG1186" s="7" t="str">
        <f aca="false">IF(P1186="","",VALUE(MID(P1186,FIND("/",P1186,FIND("/",P1186)+1)+1,LEN(P1186)-FIND("/",P1186,FIND("/",P1186)+1))))</f>
        <v/>
      </c>
      <c r="AH1186" s="7" t="str">
        <f aca="false">IF(OR(P1186="",AE1186=""),"",IFERROR(INDEX('لیست‌ها'!$Q$3:$Q$53,MATCH(AE1186,'لیست‌ها'!$P$3:$P$53,0))+IF(AF1186&lt;=6,(AF1186-1)*31+AG1186,IF(AF1186&lt;=11,186+(AF1186-7)*30+AG1186,336+AG1186))-1,""))</f>
        <v/>
      </c>
      <c r="AI1186" s="7" t="str">
        <f aca="false">IF(W1186="","",W1186&amp;"-"&amp;TEXT(X1186,"00"))</f>
        <v/>
      </c>
      <c r="AJ1186" s="7" t="str">
        <f aca="false">IF(W1186="","",W1186*12+X1186)</f>
        <v/>
      </c>
      <c r="AK1186" s="7" t="str">
        <f aca="false">IF(U1186="تاخیر",V1186+ROW()/100000,"")</f>
        <v/>
      </c>
    </row>
    <row r="1187" customFormat="false" ht="15" hidden="false" customHeight="false" outlineLevel="0" collapsed="false">
      <c r="A1187" s="7" t="str">
        <f aca="false">IF(B1187="","",ROW()-3)</f>
        <v/>
      </c>
      <c r="B1187" s="8"/>
      <c r="C1187" s="8"/>
      <c r="D1187" s="8"/>
      <c r="E1187" s="9"/>
      <c r="F1187" s="9"/>
      <c r="G1187" s="8"/>
      <c r="H1187" s="8"/>
      <c r="I1187" s="8"/>
      <c r="J1187" s="9"/>
      <c r="K1187" s="8"/>
      <c r="L1187" s="8"/>
      <c r="M1187" s="8"/>
      <c r="N1187" s="8"/>
      <c r="O1187" s="8"/>
      <c r="P1187" s="8"/>
      <c r="Q1187" s="8"/>
      <c r="R1187" s="9"/>
      <c r="S1187" s="8"/>
      <c r="T1187" s="9"/>
      <c r="U1187" s="10" t="str">
        <f aca="true">IF(B1187="","",IF(OR(P1187&lt;&gt;"",I1187="می‌باشد"),"بسته",IF(AND(L1187&lt;&gt;"",W1187=""),"خطای فرمت تاریخ ایجاد",IF(AND(H1187&lt;&gt;"",AA1187=""),"خطای فرمت مهلت",IF(AND(H1187&lt;&gt;"",AD1187&lt;&gt;"",TODAY()&gt;AD1187),"تاخیر",IF(L1187&lt;&gt;"","در حال انجام",""))))))</f>
        <v/>
      </c>
      <c r="V1187" s="7" t="n">
        <f aca="true">IF(U1187="تاخیر",TODAY()-AD1187,IF(AND(U1187="بسته",AH1187&lt;&gt;"",AD1187&lt;&gt;"",AH1187&gt;AD1187),AH1187-AD1187,0))</f>
        <v>0</v>
      </c>
      <c r="W1187" s="7" t="str">
        <f aca="false">IF(L1187="","",VALUE(LEFT(L1187,FIND("/",L1187)-1)))</f>
        <v/>
      </c>
      <c r="X1187" s="7" t="str">
        <f aca="false">IF(L1187="","",VALUE(MID(L1187,FIND("/",L1187)+1,FIND("/",L1187,FIND("/",L1187)+1)-FIND("/",L1187)-1)))</f>
        <v/>
      </c>
      <c r="Y1187" s="7" t="str">
        <f aca="false">IF(L1187="","",VALUE(MID(L1187,FIND("/",L1187,FIND("/",L1187)+1)+1,LEN(L1187)-FIND("/",L1187,FIND("/",L1187)+1))))</f>
        <v/>
      </c>
      <c r="Z1187" s="7" t="str">
        <f aca="false">IF(OR(L1187="",W1187=""),"",IFERROR(INDEX('لیست‌ها'!$Q$3:$Q$53,MATCH(W1187,'لیست‌ها'!$P$3:$P$53,0))+IF(X1187&lt;=6,(X1187-1)*31+Y1187,IF(X1187&lt;=11,186+(X1187-7)*30+Y1187,336+Y1187))-1,""))</f>
        <v/>
      </c>
      <c r="AA1187" s="7" t="str">
        <f aca="false">IF(H1187="","",VALUE(LEFT(H1187,FIND("/",H1187)-1)))</f>
        <v/>
      </c>
      <c r="AB1187" s="7" t="str">
        <f aca="false">IF(H1187="","",VALUE(MID(H1187,FIND("/",H1187)+1,FIND("/",H1187,FIND("/",H1187)+1)-FIND("/",H1187)-1)))</f>
        <v/>
      </c>
      <c r="AC1187" s="7" t="str">
        <f aca="false">IF(H1187="","",VALUE(MID(H1187,FIND("/",H1187,FIND("/",H1187)+1)+1,LEN(H1187)-FIND("/",H1187,FIND("/",H1187)+1))))</f>
        <v/>
      </c>
      <c r="AD1187" s="7" t="str">
        <f aca="false">IF(OR(H1187="",AA1187=""),"",IFERROR(INDEX('لیست‌ها'!$Q$3:$Q$53,MATCH(AA1187,'لیست‌ها'!$P$3:$P$53,0))+IF(AB1187&lt;=6,(AB1187-1)*31+AC1187,IF(AB1187&lt;=11,186+(AB1187-7)*30+AC1187,336+AC1187))-1,""))</f>
        <v/>
      </c>
      <c r="AE1187" s="7" t="str">
        <f aca="false">IF(P1187="","",VALUE(LEFT(P1187,FIND("/",P1187)-1)))</f>
        <v/>
      </c>
      <c r="AF1187" s="7" t="str">
        <f aca="false">IF(P1187="","",VALUE(MID(P1187,FIND("/",P1187)+1,FIND("/",P1187,FIND("/",P1187)+1)-FIND("/",P1187)-1)))</f>
        <v/>
      </c>
      <c r="AG1187" s="7" t="str">
        <f aca="false">IF(P1187="","",VALUE(MID(P1187,FIND("/",P1187,FIND("/",P1187)+1)+1,LEN(P1187)-FIND("/",P1187,FIND("/",P1187)+1))))</f>
        <v/>
      </c>
      <c r="AH1187" s="7" t="str">
        <f aca="false">IF(OR(P1187="",AE1187=""),"",IFERROR(INDEX('لیست‌ها'!$Q$3:$Q$53,MATCH(AE1187,'لیست‌ها'!$P$3:$P$53,0))+IF(AF1187&lt;=6,(AF1187-1)*31+AG1187,IF(AF1187&lt;=11,186+(AF1187-7)*30+AG1187,336+AG1187))-1,""))</f>
        <v/>
      </c>
      <c r="AI1187" s="7" t="str">
        <f aca="false">IF(W1187="","",W1187&amp;"-"&amp;TEXT(X1187,"00"))</f>
        <v/>
      </c>
      <c r="AJ1187" s="7" t="str">
        <f aca="false">IF(W1187="","",W1187*12+X1187)</f>
        <v/>
      </c>
      <c r="AK1187" s="7" t="str">
        <f aca="false">IF(U1187="تاخیر",V1187+ROW()/100000,"")</f>
        <v/>
      </c>
    </row>
    <row r="1188" customFormat="false" ht="15" hidden="false" customHeight="false" outlineLevel="0" collapsed="false">
      <c r="A1188" s="7" t="str">
        <f aca="false">IF(B1188="","",ROW()-3)</f>
        <v/>
      </c>
      <c r="B1188" s="8"/>
      <c r="C1188" s="8"/>
      <c r="D1188" s="8"/>
      <c r="E1188" s="9"/>
      <c r="F1188" s="9"/>
      <c r="G1188" s="8"/>
      <c r="H1188" s="8"/>
      <c r="I1188" s="8"/>
      <c r="J1188" s="9"/>
      <c r="K1188" s="8"/>
      <c r="L1188" s="8"/>
      <c r="M1188" s="8"/>
      <c r="N1188" s="8"/>
      <c r="O1188" s="8"/>
      <c r="P1188" s="8"/>
      <c r="Q1188" s="8"/>
      <c r="R1188" s="9"/>
      <c r="S1188" s="8"/>
      <c r="T1188" s="9"/>
      <c r="U1188" s="10" t="str">
        <f aca="true">IF(B1188="","",IF(OR(P1188&lt;&gt;"",I1188="می‌باشد"),"بسته",IF(AND(L1188&lt;&gt;"",W1188=""),"خطای فرمت تاریخ ایجاد",IF(AND(H1188&lt;&gt;"",AA1188=""),"خطای فرمت مهلت",IF(AND(H1188&lt;&gt;"",AD1188&lt;&gt;"",TODAY()&gt;AD1188),"تاخیر",IF(L1188&lt;&gt;"","در حال انجام",""))))))</f>
        <v/>
      </c>
      <c r="V1188" s="7" t="n">
        <f aca="true">IF(U1188="تاخیر",TODAY()-AD1188,IF(AND(U1188="بسته",AH1188&lt;&gt;"",AD1188&lt;&gt;"",AH1188&gt;AD1188),AH1188-AD1188,0))</f>
        <v>0</v>
      </c>
      <c r="W1188" s="7" t="str">
        <f aca="false">IF(L1188="","",VALUE(LEFT(L1188,FIND("/",L1188)-1)))</f>
        <v/>
      </c>
      <c r="X1188" s="7" t="str">
        <f aca="false">IF(L1188="","",VALUE(MID(L1188,FIND("/",L1188)+1,FIND("/",L1188,FIND("/",L1188)+1)-FIND("/",L1188)-1)))</f>
        <v/>
      </c>
      <c r="Y1188" s="7" t="str">
        <f aca="false">IF(L1188="","",VALUE(MID(L1188,FIND("/",L1188,FIND("/",L1188)+1)+1,LEN(L1188)-FIND("/",L1188,FIND("/",L1188)+1))))</f>
        <v/>
      </c>
      <c r="Z1188" s="7" t="str">
        <f aca="false">IF(OR(L1188="",W1188=""),"",IFERROR(INDEX('لیست‌ها'!$Q$3:$Q$53,MATCH(W1188,'لیست‌ها'!$P$3:$P$53,0))+IF(X1188&lt;=6,(X1188-1)*31+Y1188,IF(X1188&lt;=11,186+(X1188-7)*30+Y1188,336+Y1188))-1,""))</f>
        <v/>
      </c>
      <c r="AA1188" s="7" t="str">
        <f aca="false">IF(H1188="","",VALUE(LEFT(H1188,FIND("/",H1188)-1)))</f>
        <v/>
      </c>
      <c r="AB1188" s="7" t="str">
        <f aca="false">IF(H1188="","",VALUE(MID(H1188,FIND("/",H1188)+1,FIND("/",H1188,FIND("/",H1188)+1)-FIND("/",H1188)-1)))</f>
        <v/>
      </c>
      <c r="AC1188" s="7" t="str">
        <f aca="false">IF(H1188="","",VALUE(MID(H1188,FIND("/",H1188,FIND("/",H1188)+1)+1,LEN(H1188)-FIND("/",H1188,FIND("/",H1188)+1))))</f>
        <v/>
      </c>
      <c r="AD1188" s="7" t="str">
        <f aca="false">IF(OR(H1188="",AA1188=""),"",IFERROR(INDEX('لیست‌ها'!$Q$3:$Q$53,MATCH(AA1188,'لیست‌ها'!$P$3:$P$53,0))+IF(AB1188&lt;=6,(AB1188-1)*31+AC1188,IF(AB1188&lt;=11,186+(AB1188-7)*30+AC1188,336+AC1188))-1,""))</f>
        <v/>
      </c>
      <c r="AE1188" s="7" t="str">
        <f aca="false">IF(P1188="","",VALUE(LEFT(P1188,FIND("/",P1188)-1)))</f>
        <v/>
      </c>
      <c r="AF1188" s="7" t="str">
        <f aca="false">IF(P1188="","",VALUE(MID(P1188,FIND("/",P1188)+1,FIND("/",P1188,FIND("/",P1188)+1)-FIND("/",P1188)-1)))</f>
        <v/>
      </c>
      <c r="AG1188" s="7" t="str">
        <f aca="false">IF(P1188="","",VALUE(MID(P1188,FIND("/",P1188,FIND("/",P1188)+1)+1,LEN(P1188)-FIND("/",P1188,FIND("/",P1188)+1))))</f>
        <v/>
      </c>
      <c r="AH1188" s="7" t="str">
        <f aca="false">IF(OR(P1188="",AE1188=""),"",IFERROR(INDEX('لیست‌ها'!$Q$3:$Q$53,MATCH(AE1188,'لیست‌ها'!$P$3:$P$53,0))+IF(AF1188&lt;=6,(AF1188-1)*31+AG1188,IF(AF1188&lt;=11,186+(AF1188-7)*30+AG1188,336+AG1188))-1,""))</f>
        <v/>
      </c>
      <c r="AI1188" s="7" t="str">
        <f aca="false">IF(W1188="","",W1188&amp;"-"&amp;TEXT(X1188,"00"))</f>
        <v/>
      </c>
      <c r="AJ1188" s="7" t="str">
        <f aca="false">IF(W1188="","",W1188*12+X1188)</f>
        <v/>
      </c>
      <c r="AK1188" s="7" t="str">
        <f aca="false">IF(U1188="تاخیر",V1188+ROW()/100000,"")</f>
        <v/>
      </c>
    </row>
    <row r="1189" customFormat="false" ht="15" hidden="false" customHeight="false" outlineLevel="0" collapsed="false">
      <c r="A1189" s="7" t="str">
        <f aca="false">IF(B1189="","",ROW()-3)</f>
        <v/>
      </c>
      <c r="B1189" s="8"/>
      <c r="C1189" s="8"/>
      <c r="D1189" s="8"/>
      <c r="E1189" s="9"/>
      <c r="F1189" s="9"/>
      <c r="G1189" s="8"/>
      <c r="H1189" s="8"/>
      <c r="I1189" s="8"/>
      <c r="J1189" s="9"/>
      <c r="K1189" s="8"/>
      <c r="L1189" s="8"/>
      <c r="M1189" s="8"/>
      <c r="N1189" s="8"/>
      <c r="O1189" s="8"/>
      <c r="P1189" s="8"/>
      <c r="Q1189" s="8"/>
      <c r="R1189" s="9"/>
      <c r="S1189" s="8"/>
      <c r="T1189" s="9"/>
      <c r="U1189" s="10" t="str">
        <f aca="true">IF(B1189="","",IF(OR(P1189&lt;&gt;"",I1189="می‌باشد"),"بسته",IF(AND(L1189&lt;&gt;"",W1189=""),"خطای فرمت تاریخ ایجاد",IF(AND(H1189&lt;&gt;"",AA1189=""),"خطای فرمت مهلت",IF(AND(H1189&lt;&gt;"",AD1189&lt;&gt;"",TODAY()&gt;AD1189),"تاخیر",IF(L1189&lt;&gt;"","در حال انجام",""))))))</f>
        <v/>
      </c>
      <c r="V1189" s="7" t="n">
        <f aca="true">IF(U1189="تاخیر",TODAY()-AD1189,IF(AND(U1189="بسته",AH1189&lt;&gt;"",AD1189&lt;&gt;"",AH1189&gt;AD1189),AH1189-AD1189,0))</f>
        <v>0</v>
      </c>
      <c r="W1189" s="7" t="str">
        <f aca="false">IF(L1189="","",VALUE(LEFT(L1189,FIND("/",L1189)-1)))</f>
        <v/>
      </c>
      <c r="X1189" s="7" t="str">
        <f aca="false">IF(L1189="","",VALUE(MID(L1189,FIND("/",L1189)+1,FIND("/",L1189,FIND("/",L1189)+1)-FIND("/",L1189)-1)))</f>
        <v/>
      </c>
      <c r="Y1189" s="7" t="str">
        <f aca="false">IF(L1189="","",VALUE(MID(L1189,FIND("/",L1189,FIND("/",L1189)+1)+1,LEN(L1189)-FIND("/",L1189,FIND("/",L1189)+1))))</f>
        <v/>
      </c>
      <c r="Z1189" s="7" t="str">
        <f aca="false">IF(OR(L1189="",W1189=""),"",IFERROR(INDEX('لیست‌ها'!$Q$3:$Q$53,MATCH(W1189,'لیست‌ها'!$P$3:$P$53,0))+IF(X1189&lt;=6,(X1189-1)*31+Y1189,IF(X1189&lt;=11,186+(X1189-7)*30+Y1189,336+Y1189))-1,""))</f>
        <v/>
      </c>
      <c r="AA1189" s="7" t="str">
        <f aca="false">IF(H1189="","",VALUE(LEFT(H1189,FIND("/",H1189)-1)))</f>
        <v/>
      </c>
      <c r="AB1189" s="7" t="str">
        <f aca="false">IF(H1189="","",VALUE(MID(H1189,FIND("/",H1189)+1,FIND("/",H1189,FIND("/",H1189)+1)-FIND("/",H1189)-1)))</f>
        <v/>
      </c>
      <c r="AC1189" s="7" t="str">
        <f aca="false">IF(H1189="","",VALUE(MID(H1189,FIND("/",H1189,FIND("/",H1189)+1)+1,LEN(H1189)-FIND("/",H1189,FIND("/",H1189)+1))))</f>
        <v/>
      </c>
      <c r="AD1189" s="7" t="str">
        <f aca="false">IF(OR(H1189="",AA1189=""),"",IFERROR(INDEX('لیست‌ها'!$Q$3:$Q$53,MATCH(AA1189,'لیست‌ها'!$P$3:$P$53,0))+IF(AB1189&lt;=6,(AB1189-1)*31+AC1189,IF(AB1189&lt;=11,186+(AB1189-7)*30+AC1189,336+AC1189))-1,""))</f>
        <v/>
      </c>
      <c r="AE1189" s="7" t="str">
        <f aca="false">IF(P1189="","",VALUE(LEFT(P1189,FIND("/",P1189)-1)))</f>
        <v/>
      </c>
      <c r="AF1189" s="7" t="str">
        <f aca="false">IF(P1189="","",VALUE(MID(P1189,FIND("/",P1189)+1,FIND("/",P1189,FIND("/",P1189)+1)-FIND("/",P1189)-1)))</f>
        <v/>
      </c>
      <c r="AG1189" s="7" t="str">
        <f aca="false">IF(P1189="","",VALUE(MID(P1189,FIND("/",P1189,FIND("/",P1189)+1)+1,LEN(P1189)-FIND("/",P1189,FIND("/",P1189)+1))))</f>
        <v/>
      </c>
      <c r="AH1189" s="7" t="str">
        <f aca="false">IF(OR(P1189="",AE1189=""),"",IFERROR(INDEX('لیست‌ها'!$Q$3:$Q$53,MATCH(AE1189,'لیست‌ها'!$P$3:$P$53,0))+IF(AF1189&lt;=6,(AF1189-1)*31+AG1189,IF(AF1189&lt;=11,186+(AF1189-7)*30+AG1189,336+AG1189))-1,""))</f>
        <v/>
      </c>
      <c r="AI1189" s="7" t="str">
        <f aca="false">IF(W1189="","",W1189&amp;"-"&amp;TEXT(X1189,"00"))</f>
        <v/>
      </c>
      <c r="AJ1189" s="7" t="str">
        <f aca="false">IF(W1189="","",W1189*12+X1189)</f>
        <v/>
      </c>
      <c r="AK1189" s="7" t="str">
        <f aca="false">IF(U1189="تاخیر",V1189+ROW()/100000,"")</f>
        <v/>
      </c>
    </row>
    <row r="1190" customFormat="false" ht="15" hidden="false" customHeight="false" outlineLevel="0" collapsed="false">
      <c r="A1190" s="7" t="str">
        <f aca="false">IF(B1190="","",ROW()-3)</f>
        <v/>
      </c>
      <c r="B1190" s="8"/>
      <c r="C1190" s="8"/>
      <c r="D1190" s="8"/>
      <c r="E1190" s="9"/>
      <c r="F1190" s="9"/>
      <c r="G1190" s="8"/>
      <c r="H1190" s="8"/>
      <c r="I1190" s="8"/>
      <c r="J1190" s="9"/>
      <c r="K1190" s="8"/>
      <c r="L1190" s="8"/>
      <c r="M1190" s="8"/>
      <c r="N1190" s="8"/>
      <c r="O1190" s="8"/>
      <c r="P1190" s="8"/>
      <c r="Q1190" s="8"/>
      <c r="R1190" s="9"/>
      <c r="S1190" s="8"/>
      <c r="T1190" s="9"/>
      <c r="U1190" s="10" t="str">
        <f aca="true">IF(B1190="","",IF(OR(P1190&lt;&gt;"",I1190="می‌باشد"),"بسته",IF(AND(L1190&lt;&gt;"",W1190=""),"خطای فرمت تاریخ ایجاد",IF(AND(H1190&lt;&gt;"",AA1190=""),"خطای فرمت مهلت",IF(AND(H1190&lt;&gt;"",AD1190&lt;&gt;"",TODAY()&gt;AD1190),"تاخیر",IF(L1190&lt;&gt;"","در حال انجام",""))))))</f>
        <v/>
      </c>
      <c r="V1190" s="7" t="n">
        <f aca="true">IF(U1190="تاخیر",TODAY()-AD1190,IF(AND(U1190="بسته",AH1190&lt;&gt;"",AD1190&lt;&gt;"",AH1190&gt;AD1190),AH1190-AD1190,0))</f>
        <v>0</v>
      </c>
      <c r="W1190" s="7" t="str">
        <f aca="false">IF(L1190="","",VALUE(LEFT(L1190,FIND("/",L1190)-1)))</f>
        <v/>
      </c>
      <c r="X1190" s="7" t="str">
        <f aca="false">IF(L1190="","",VALUE(MID(L1190,FIND("/",L1190)+1,FIND("/",L1190,FIND("/",L1190)+1)-FIND("/",L1190)-1)))</f>
        <v/>
      </c>
      <c r="Y1190" s="7" t="str">
        <f aca="false">IF(L1190="","",VALUE(MID(L1190,FIND("/",L1190,FIND("/",L1190)+1)+1,LEN(L1190)-FIND("/",L1190,FIND("/",L1190)+1))))</f>
        <v/>
      </c>
      <c r="Z1190" s="7" t="str">
        <f aca="false">IF(OR(L1190="",W1190=""),"",IFERROR(INDEX('لیست‌ها'!$Q$3:$Q$53,MATCH(W1190,'لیست‌ها'!$P$3:$P$53,0))+IF(X1190&lt;=6,(X1190-1)*31+Y1190,IF(X1190&lt;=11,186+(X1190-7)*30+Y1190,336+Y1190))-1,""))</f>
        <v/>
      </c>
      <c r="AA1190" s="7" t="str">
        <f aca="false">IF(H1190="","",VALUE(LEFT(H1190,FIND("/",H1190)-1)))</f>
        <v/>
      </c>
      <c r="AB1190" s="7" t="str">
        <f aca="false">IF(H1190="","",VALUE(MID(H1190,FIND("/",H1190)+1,FIND("/",H1190,FIND("/",H1190)+1)-FIND("/",H1190)-1)))</f>
        <v/>
      </c>
      <c r="AC1190" s="7" t="str">
        <f aca="false">IF(H1190="","",VALUE(MID(H1190,FIND("/",H1190,FIND("/",H1190)+1)+1,LEN(H1190)-FIND("/",H1190,FIND("/",H1190)+1))))</f>
        <v/>
      </c>
      <c r="AD1190" s="7" t="str">
        <f aca="false">IF(OR(H1190="",AA1190=""),"",IFERROR(INDEX('لیست‌ها'!$Q$3:$Q$53,MATCH(AA1190,'لیست‌ها'!$P$3:$P$53,0))+IF(AB1190&lt;=6,(AB1190-1)*31+AC1190,IF(AB1190&lt;=11,186+(AB1190-7)*30+AC1190,336+AC1190))-1,""))</f>
        <v/>
      </c>
      <c r="AE1190" s="7" t="str">
        <f aca="false">IF(P1190="","",VALUE(LEFT(P1190,FIND("/",P1190)-1)))</f>
        <v/>
      </c>
      <c r="AF1190" s="7" t="str">
        <f aca="false">IF(P1190="","",VALUE(MID(P1190,FIND("/",P1190)+1,FIND("/",P1190,FIND("/",P1190)+1)-FIND("/",P1190)-1)))</f>
        <v/>
      </c>
      <c r="AG1190" s="7" t="str">
        <f aca="false">IF(P1190="","",VALUE(MID(P1190,FIND("/",P1190,FIND("/",P1190)+1)+1,LEN(P1190)-FIND("/",P1190,FIND("/",P1190)+1))))</f>
        <v/>
      </c>
      <c r="AH1190" s="7" t="str">
        <f aca="false">IF(OR(P1190="",AE1190=""),"",IFERROR(INDEX('لیست‌ها'!$Q$3:$Q$53,MATCH(AE1190,'لیست‌ها'!$P$3:$P$53,0))+IF(AF1190&lt;=6,(AF1190-1)*31+AG1190,IF(AF1190&lt;=11,186+(AF1190-7)*30+AG1190,336+AG1190))-1,""))</f>
        <v/>
      </c>
      <c r="AI1190" s="7" t="str">
        <f aca="false">IF(W1190="","",W1190&amp;"-"&amp;TEXT(X1190,"00"))</f>
        <v/>
      </c>
      <c r="AJ1190" s="7" t="str">
        <f aca="false">IF(W1190="","",W1190*12+X1190)</f>
        <v/>
      </c>
      <c r="AK1190" s="7" t="str">
        <f aca="false">IF(U1190="تاخیر",V1190+ROW()/100000,"")</f>
        <v/>
      </c>
    </row>
    <row r="1191" customFormat="false" ht="15" hidden="false" customHeight="false" outlineLevel="0" collapsed="false">
      <c r="A1191" s="7" t="str">
        <f aca="false">IF(B1191="","",ROW()-3)</f>
        <v/>
      </c>
      <c r="B1191" s="8"/>
      <c r="C1191" s="8"/>
      <c r="D1191" s="8"/>
      <c r="E1191" s="9"/>
      <c r="F1191" s="9"/>
      <c r="G1191" s="8"/>
      <c r="H1191" s="8"/>
      <c r="I1191" s="8"/>
      <c r="J1191" s="9"/>
      <c r="K1191" s="8"/>
      <c r="L1191" s="8"/>
      <c r="M1191" s="8"/>
      <c r="N1191" s="8"/>
      <c r="O1191" s="8"/>
      <c r="P1191" s="8"/>
      <c r="Q1191" s="8"/>
      <c r="R1191" s="9"/>
      <c r="S1191" s="8"/>
      <c r="T1191" s="9"/>
      <c r="U1191" s="10" t="str">
        <f aca="true">IF(B1191="","",IF(OR(P1191&lt;&gt;"",I1191="می‌باشد"),"بسته",IF(AND(L1191&lt;&gt;"",W1191=""),"خطای فرمت تاریخ ایجاد",IF(AND(H1191&lt;&gt;"",AA1191=""),"خطای فرمت مهلت",IF(AND(H1191&lt;&gt;"",AD1191&lt;&gt;"",TODAY()&gt;AD1191),"تاخیر",IF(L1191&lt;&gt;"","در حال انجام",""))))))</f>
        <v/>
      </c>
      <c r="V1191" s="7" t="n">
        <f aca="true">IF(U1191="تاخیر",TODAY()-AD1191,IF(AND(U1191="بسته",AH1191&lt;&gt;"",AD1191&lt;&gt;"",AH1191&gt;AD1191),AH1191-AD1191,0))</f>
        <v>0</v>
      </c>
      <c r="W1191" s="7" t="str">
        <f aca="false">IF(L1191="","",VALUE(LEFT(L1191,FIND("/",L1191)-1)))</f>
        <v/>
      </c>
      <c r="X1191" s="7" t="str">
        <f aca="false">IF(L1191="","",VALUE(MID(L1191,FIND("/",L1191)+1,FIND("/",L1191,FIND("/",L1191)+1)-FIND("/",L1191)-1)))</f>
        <v/>
      </c>
      <c r="Y1191" s="7" t="str">
        <f aca="false">IF(L1191="","",VALUE(MID(L1191,FIND("/",L1191,FIND("/",L1191)+1)+1,LEN(L1191)-FIND("/",L1191,FIND("/",L1191)+1))))</f>
        <v/>
      </c>
      <c r="Z1191" s="7" t="str">
        <f aca="false">IF(OR(L1191="",W1191=""),"",IFERROR(INDEX('لیست‌ها'!$Q$3:$Q$53,MATCH(W1191,'لیست‌ها'!$P$3:$P$53,0))+IF(X1191&lt;=6,(X1191-1)*31+Y1191,IF(X1191&lt;=11,186+(X1191-7)*30+Y1191,336+Y1191))-1,""))</f>
        <v/>
      </c>
      <c r="AA1191" s="7" t="str">
        <f aca="false">IF(H1191="","",VALUE(LEFT(H1191,FIND("/",H1191)-1)))</f>
        <v/>
      </c>
      <c r="AB1191" s="7" t="str">
        <f aca="false">IF(H1191="","",VALUE(MID(H1191,FIND("/",H1191)+1,FIND("/",H1191,FIND("/",H1191)+1)-FIND("/",H1191)-1)))</f>
        <v/>
      </c>
      <c r="AC1191" s="7" t="str">
        <f aca="false">IF(H1191="","",VALUE(MID(H1191,FIND("/",H1191,FIND("/",H1191)+1)+1,LEN(H1191)-FIND("/",H1191,FIND("/",H1191)+1))))</f>
        <v/>
      </c>
      <c r="AD1191" s="7" t="str">
        <f aca="false">IF(OR(H1191="",AA1191=""),"",IFERROR(INDEX('لیست‌ها'!$Q$3:$Q$53,MATCH(AA1191,'لیست‌ها'!$P$3:$P$53,0))+IF(AB1191&lt;=6,(AB1191-1)*31+AC1191,IF(AB1191&lt;=11,186+(AB1191-7)*30+AC1191,336+AC1191))-1,""))</f>
        <v/>
      </c>
      <c r="AE1191" s="7" t="str">
        <f aca="false">IF(P1191="","",VALUE(LEFT(P1191,FIND("/",P1191)-1)))</f>
        <v/>
      </c>
      <c r="AF1191" s="7" t="str">
        <f aca="false">IF(P1191="","",VALUE(MID(P1191,FIND("/",P1191)+1,FIND("/",P1191,FIND("/",P1191)+1)-FIND("/",P1191)-1)))</f>
        <v/>
      </c>
      <c r="AG1191" s="7" t="str">
        <f aca="false">IF(P1191="","",VALUE(MID(P1191,FIND("/",P1191,FIND("/",P1191)+1)+1,LEN(P1191)-FIND("/",P1191,FIND("/",P1191)+1))))</f>
        <v/>
      </c>
      <c r="AH1191" s="7" t="str">
        <f aca="false">IF(OR(P1191="",AE1191=""),"",IFERROR(INDEX('لیست‌ها'!$Q$3:$Q$53,MATCH(AE1191,'لیست‌ها'!$P$3:$P$53,0))+IF(AF1191&lt;=6,(AF1191-1)*31+AG1191,IF(AF1191&lt;=11,186+(AF1191-7)*30+AG1191,336+AG1191))-1,""))</f>
        <v/>
      </c>
      <c r="AI1191" s="7" t="str">
        <f aca="false">IF(W1191="","",W1191&amp;"-"&amp;TEXT(X1191,"00"))</f>
        <v/>
      </c>
      <c r="AJ1191" s="7" t="str">
        <f aca="false">IF(W1191="","",W1191*12+X1191)</f>
        <v/>
      </c>
      <c r="AK1191" s="7" t="str">
        <f aca="false">IF(U1191="تاخیر",V1191+ROW()/100000,"")</f>
        <v/>
      </c>
    </row>
    <row r="1192" customFormat="false" ht="15" hidden="false" customHeight="false" outlineLevel="0" collapsed="false">
      <c r="A1192" s="7" t="str">
        <f aca="false">IF(B1192="","",ROW()-3)</f>
        <v/>
      </c>
      <c r="B1192" s="8"/>
      <c r="C1192" s="8"/>
      <c r="D1192" s="8"/>
      <c r="E1192" s="9"/>
      <c r="F1192" s="9"/>
      <c r="G1192" s="8"/>
      <c r="H1192" s="8"/>
      <c r="I1192" s="8"/>
      <c r="J1192" s="9"/>
      <c r="K1192" s="8"/>
      <c r="L1192" s="8"/>
      <c r="M1192" s="8"/>
      <c r="N1192" s="8"/>
      <c r="O1192" s="8"/>
      <c r="P1192" s="8"/>
      <c r="Q1192" s="8"/>
      <c r="R1192" s="9"/>
      <c r="S1192" s="8"/>
      <c r="T1192" s="9"/>
      <c r="U1192" s="10" t="str">
        <f aca="true">IF(B1192="","",IF(OR(P1192&lt;&gt;"",I1192="می‌باشد"),"بسته",IF(AND(L1192&lt;&gt;"",W1192=""),"خطای فرمت تاریخ ایجاد",IF(AND(H1192&lt;&gt;"",AA1192=""),"خطای فرمت مهلت",IF(AND(H1192&lt;&gt;"",AD1192&lt;&gt;"",TODAY()&gt;AD1192),"تاخیر",IF(L1192&lt;&gt;"","در حال انجام",""))))))</f>
        <v/>
      </c>
      <c r="V1192" s="7" t="n">
        <f aca="true">IF(U1192="تاخیر",TODAY()-AD1192,IF(AND(U1192="بسته",AH1192&lt;&gt;"",AD1192&lt;&gt;"",AH1192&gt;AD1192),AH1192-AD1192,0))</f>
        <v>0</v>
      </c>
      <c r="W1192" s="7" t="str">
        <f aca="false">IF(L1192="","",VALUE(LEFT(L1192,FIND("/",L1192)-1)))</f>
        <v/>
      </c>
      <c r="X1192" s="7" t="str">
        <f aca="false">IF(L1192="","",VALUE(MID(L1192,FIND("/",L1192)+1,FIND("/",L1192,FIND("/",L1192)+1)-FIND("/",L1192)-1)))</f>
        <v/>
      </c>
      <c r="Y1192" s="7" t="str">
        <f aca="false">IF(L1192="","",VALUE(MID(L1192,FIND("/",L1192,FIND("/",L1192)+1)+1,LEN(L1192)-FIND("/",L1192,FIND("/",L1192)+1))))</f>
        <v/>
      </c>
      <c r="Z1192" s="7" t="str">
        <f aca="false">IF(OR(L1192="",W1192=""),"",IFERROR(INDEX('لیست‌ها'!$Q$3:$Q$53,MATCH(W1192,'لیست‌ها'!$P$3:$P$53,0))+IF(X1192&lt;=6,(X1192-1)*31+Y1192,IF(X1192&lt;=11,186+(X1192-7)*30+Y1192,336+Y1192))-1,""))</f>
        <v/>
      </c>
      <c r="AA1192" s="7" t="str">
        <f aca="false">IF(H1192="","",VALUE(LEFT(H1192,FIND("/",H1192)-1)))</f>
        <v/>
      </c>
      <c r="AB1192" s="7" t="str">
        <f aca="false">IF(H1192="","",VALUE(MID(H1192,FIND("/",H1192)+1,FIND("/",H1192,FIND("/",H1192)+1)-FIND("/",H1192)-1)))</f>
        <v/>
      </c>
      <c r="AC1192" s="7" t="str">
        <f aca="false">IF(H1192="","",VALUE(MID(H1192,FIND("/",H1192,FIND("/",H1192)+1)+1,LEN(H1192)-FIND("/",H1192,FIND("/",H1192)+1))))</f>
        <v/>
      </c>
      <c r="AD1192" s="7" t="str">
        <f aca="false">IF(OR(H1192="",AA1192=""),"",IFERROR(INDEX('لیست‌ها'!$Q$3:$Q$53,MATCH(AA1192,'لیست‌ها'!$P$3:$P$53,0))+IF(AB1192&lt;=6,(AB1192-1)*31+AC1192,IF(AB1192&lt;=11,186+(AB1192-7)*30+AC1192,336+AC1192))-1,""))</f>
        <v/>
      </c>
      <c r="AE1192" s="7" t="str">
        <f aca="false">IF(P1192="","",VALUE(LEFT(P1192,FIND("/",P1192)-1)))</f>
        <v/>
      </c>
      <c r="AF1192" s="7" t="str">
        <f aca="false">IF(P1192="","",VALUE(MID(P1192,FIND("/",P1192)+1,FIND("/",P1192,FIND("/",P1192)+1)-FIND("/",P1192)-1)))</f>
        <v/>
      </c>
      <c r="AG1192" s="7" t="str">
        <f aca="false">IF(P1192="","",VALUE(MID(P1192,FIND("/",P1192,FIND("/",P1192)+1)+1,LEN(P1192)-FIND("/",P1192,FIND("/",P1192)+1))))</f>
        <v/>
      </c>
      <c r="AH1192" s="7" t="str">
        <f aca="false">IF(OR(P1192="",AE1192=""),"",IFERROR(INDEX('لیست‌ها'!$Q$3:$Q$53,MATCH(AE1192,'لیست‌ها'!$P$3:$P$53,0))+IF(AF1192&lt;=6,(AF1192-1)*31+AG1192,IF(AF1192&lt;=11,186+(AF1192-7)*30+AG1192,336+AG1192))-1,""))</f>
        <v/>
      </c>
      <c r="AI1192" s="7" t="str">
        <f aca="false">IF(W1192="","",W1192&amp;"-"&amp;TEXT(X1192,"00"))</f>
        <v/>
      </c>
      <c r="AJ1192" s="7" t="str">
        <f aca="false">IF(W1192="","",W1192*12+X1192)</f>
        <v/>
      </c>
      <c r="AK1192" s="7" t="str">
        <f aca="false">IF(U1192="تاخیر",V1192+ROW()/100000,"")</f>
        <v/>
      </c>
    </row>
    <row r="1193" customFormat="false" ht="15" hidden="false" customHeight="false" outlineLevel="0" collapsed="false">
      <c r="A1193" s="7" t="str">
        <f aca="false">IF(B1193="","",ROW()-3)</f>
        <v/>
      </c>
      <c r="B1193" s="8"/>
      <c r="C1193" s="8"/>
      <c r="D1193" s="8"/>
      <c r="E1193" s="9"/>
      <c r="F1193" s="9"/>
      <c r="G1193" s="8"/>
      <c r="H1193" s="8"/>
      <c r="I1193" s="8"/>
      <c r="J1193" s="9"/>
      <c r="K1193" s="8"/>
      <c r="L1193" s="8"/>
      <c r="M1193" s="8"/>
      <c r="N1193" s="8"/>
      <c r="O1193" s="8"/>
      <c r="P1193" s="8"/>
      <c r="Q1193" s="8"/>
      <c r="R1193" s="9"/>
      <c r="S1193" s="8"/>
      <c r="T1193" s="9"/>
      <c r="U1193" s="10" t="str">
        <f aca="true">IF(B1193="","",IF(OR(P1193&lt;&gt;"",I1193="می‌باشد"),"بسته",IF(AND(L1193&lt;&gt;"",W1193=""),"خطای فرمت تاریخ ایجاد",IF(AND(H1193&lt;&gt;"",AA1193=""),"خطای فرمت مهلت",IF(AND(H1193&lt;&gt;"",AD1193&lt;&gt;"",TODAY()&gt;AD1193),"تاخیر",IF(L1193&lt;&gt;"","در حال انجام",""))))))</f>
        <v/>
      </c>
      <c r="V1193" s="7" t="n">
        <f aca="true">IF(U1193="تاخیر",TODAY()-AD1193,IF(AND(U1193="بسته",AH1193&lt;&gt;"",AD1193&lt;&gt;"",AH1193&gt;AD1193),AH1193-AD1193,0))</f>
        <v>0</v>
      </c>
      <c r="W1193" s="7" t="str">
        <f aca="false">IF(L1193="","",VALUE(LEFT(L1193,FIND("/",L1193)-1)))</f>
        <v/>
      </c>
      <c r="X1193" s="7" t="str">
        <f aca="false">IF(L1193="","",VALUE(MID(L1193,FIND("/",L1193)+1,FIND("/",L1193,FIND("/",L1193)+1)-FIND("/",L1193)-1)))</f>
        <v/>
      </c>
      <c r="Y1193" s="7" t="str">
        <f aca="false">IF(L1193="","",VALUE(MID(L1193,FIND("/",L1193,FIND("/",L1193)+1)+1,LEN(L1193)-FIND("/",L1193,FIND("/",L1193)+1))))</f>
        <v/>
      </c>
      <c r="Z1193" s="7" t="str">
        <f aca="false">IF(OR(L1193="",W1193=""),"",IFERROR(INDEX('لیست‌ها'!$Q$3:$Q$53,MATCH(W1193,'لیست‌ها'!$P$3:$P$53,0))+IF(X1193&lt;=6,(X1193-1)*31+Y1193,IF(X1193&lt;=11,186+(X1193-7)*30+Y1193,336+Y1193))-1,""))</f>
        <v/>
      </c>
      <c r="AA1193" s="7" t="str">
        <f aca="false">IF(H1193="","",VALUE(LEFT(H1193,FIND("/",H1193)-1)))</f>
        <v/>
      </c>
      <c r="AB1193" s="7" t="str">
        <f aca="false">IF(H1193="","",VALUE(MID(H1193,FIND("/",H1193)+1,FIND("/",H1193,FIND("/",H1193)+1)-FIND("/",H1193)-1)))</f>
        <v/>
      </c>
      <c r="AC1193" s="7" t="str">
        <f aca="false">IF(H1193="","",VALUE(MID(H1193,FIND("/",H1193,FIND("/",H1193)+1)+1,LEN(H1193)-FIND("/",H1193,FIND("/",H1193)+1))))</f>
        <v/>
      </c>
      <c r="AD1193" s="7" t="str">
        <f aca="false">IF(OR(H1193="",AA1193=""),"",IFERROR(INDEX('لیست‌ها'!$Q$3:$Q$53,MATCH(AA1193,'لیست‌ها'!$P$3:$P$53,0))+IF(AB1193&lt;=6,(AB1193-1)*31+AC1193,IF(AB1193&lt;=11,186+(AB1193-7)*30+AC1193,336+AC1193))-1,""))</f>
        <v/>
      </c>
      <c r="AE1193" s="7" t="str">
        <f aca="false">IF(P1193="","",VALUE(LEFT(P1193,FIND("/",P1193)-1)))</f>
        <v/>
      </c>
      <c r="AF1193" s="7" t="str">
        <f aca="false">IF(P1193="","",VALUE(MID(P1193,FIND("/",P1193)+1,FIND("/",P1193,FIND("/",P1193)+1)-FIND("/",P1193)-1)))</f>
        <v/>
      </c>
      <c r="AG1193" s="7" t="str">
        <f aca="false">IF(P1193="","",VALUE(MID(P1193,FIND("/",P1193,FIND("/",P1193)+1)+1,LEN(P1193)-FIND("/",P1193,FIND("/",P1193)+1))))</f>
        <v/>
      </c>
      <c r="AH1193" s="7" t="str">
        <f aca="false">IF(OR(P1193="",AE1193=""),"",IFERROR(INDEX('لیست‌ها'!$Q$3:$Q$53,MATCH(AE1193,'لیست‌ها'!$P$3:$P$53,0))+IF(AF1193&lt;=6,(AF1193-1)*31+AG1193,IF(AF1193&lt;=11,186+(AF1193-7)*30+AG1193,336+AG1193))-1,""))</f>
        <v/>
      </c>
      <c r="AI1193" s="7" t="str">
        <f aca="false">IF(W1193="","",W1193&amp;"-"&amp;TEXT(X1193,"00"))</f>
        <v/>
      </c>
      <c r="AJ1193" s="7" t="str">
        <f aca="false">IF(W1193="","",W1193*12+X1193)</f>
        <v/>
      </c>
      <c r="AK1193" s="7" t="str">
        <f aca="false">IF(U1193="تاخیر",V1193+ROW()/100000,"")</f>
        <v/>
      </c>
    </row>
    <row r="1194" customFormat="false" ht="15" hidden="false" customHeight="false" outlineLevel="0" collapsed="false">
      <c r="A1194" s="7" t="str">
        <f aca="false">IF(B1194="","",ROW()-3)</f>
        <v/>
      </c>
      <c r="B1194" s="8"/>
      <c r="C1194" s="8"/>
      <c r="D1194" s="8"/>
      <c r="E1194" s="9"/>
      <c r="F1194" s="9"/>
      <c r="G1194" s="8"/>
      <c r="H1194" s="8"/>
      <c r="I1194" s="8"/>
      <c r="J1194" s="9"/>
      <c r="K1194" s="8"/>
      <c r="L1194" s="8"/>
      <c r="M1194" s="8"/>
      <c r="N1194" s="8"/>
      <c r="O1194" s="8"/>
      <c r="P1194" s="8"/>
      <c r="Q1194" s="8"/>
      <c r="R1194" s="9"/>
      <c r="S1194" s="8"/>
      <c r="T1194" s="9"/>
      <c r="U1194" s="10" t="str">
        <f aca="true">IF(B1194="","",IF(OR(P1194&lt;&gt;"",I1194="می‌باشد"),"بسته",IF(AND(L1194&lt;&gt;"",W1194=""),"خطای فرمت تاریخ ایجاد",IF(AND(H1194&lt;&gt;"",AA1194=""),"خطای فرمت مهلت",IF(AND(H1194&lt;&gt;"",AD1194&lt;&gt;"",TODAY()&gt;AD1194),"تاخیر",IF(L1194&lt;&gt;"","در حال انجام",""))))))</f>
        <v/>
      </c>
      <c r="V1194" s="7" t="n">
        <f aca="true">IF(U1194="تاخیر",TODAY()-AD1194,IF(AND(U1194="بسته",AH1194&lt;&gt;"",AD1194&lt;&gt;"",AH1194&gt;AD1194),AH1194-AD1194,0))</f>
        <v>0</v>
      </c>
      <c r="W1194" s="7" t="str">
        <f aca="false">IF(L1194="","",VALUE(LEFT(L1194,FIND("/",L1194)-1)))</f>
        <v/>
      </c>
      <c r="X1194" s="7" t="str">
        <f aca="false">IF(L1194="","",VALUE(MID(L1194,FIND("/",L1194)+1,FIND("/",L1194,FIND("/",L1194)+1)-FIND("/",L1194)-1)))</f>
        <v/>
      </c>
      <c r="Y1194" s="7" t="str">
        <f aca="false">IF(L1194="","",VALUE(MID(L1194,FIND("/",L1194,FIND("/",L1194)+1)+1,LEN(L1194)-FIND("/",L1194,FIND("/",L1194)+1))))</f>
        <v/>
      </c>
      <c r="Z1194" s="7" t="str">
        <f aca="false">IF(OR(L1194="",W1194=""),"",IFERROR(INDEX('لیست‌ها'!$Q$3:$Q$53,MATCH(W1194,'لیست‌ها'!$P$3:$P$53,0))+IF(X1194&lt;=6,(X1194-1)*31+Y1194,IF(X1194&lt;=11,186+(X1194-7)*30+Y1194,336+Y1194))-1,""))</f>
        <v/>
      </c>
      <c r="AA1194" s="7" t="str">
        <f aca="false">IF(H1194="","",VALUE(LEFT(H1194,FIND("/",H1194)-1)))</f>
        <v/>
      </c>
      <c r="AB1194" s="7" t="str">
        <f aca="false">IF(H1194="","",VALUE(MID(H1194,FIND("/",H1194)+1,FIND("/",H1194,FIND("/",H1194)+1)-FIND("/",H1194)-1)))</f>
        <v/>
      </c>
      <c r="AC1194" s="7" t="str">
        <f aca="false">IF(H1194="","",VALUE(MID(H1194,FIND("/",H1194,FIND("/",H1194)+1)+1,LEN(H1194)-FIND("/",H1194,FIND("/",H1194)+1))))</f>
        <v/>
      </c>
      <c r="AD1194" s="7" t="str">
        <f aca="false">IF(OR(H1194="",AA1194=""),"",IFERROR(INDEX('لیست‌ها'!$Q$3:$Q$53,MATCH(AA1194,'لیست‌ها'!$P$3:$P$53,0))+IF(AB1194&lt;=6,(AB1194-1)*31+AC1194,IF(AB1194&lt;=11,186+(AB1194-7)*30+AC1194,336+AC1194))-1,""))</f>
        <v/>
      </c>
      <c r="AE1194" s="7" t="str">
        <f aca="false">IF(P1194="","",VALUE(LEFT(P1194,FIND("/",P1194)-1)))</f>
        <v/>
      </c>
      <c r="AF1194" s="7" t="str">
        <f aca="false">IF(P1194="","",VALUE(MID(P1194,FIND("/",P1194)+1,FIND("/",P1194,FIND("/",P1194)+1)-FIND("/",P1194)-1)))</f>
        <v/>
      </c>
      <c r="AG1194" s="7" t="str">
        <f aca="false">IF(P1194="","",VALUE(MID(P1194,FIND("/",P1194,FIND("/",P1194)+1)+1,LEN(P1194)-FIND("/",P1194,FIND("/",P1194)+1))))</f>
        <v/>
      </c>
      <c r="AH1194" s="7" t="str">
        <f aca="false">IF(OR(P1194="",AE1194=""),"",IFERROR(INDEX('لیست‌ها'!$Q$3:$Q$53,MATCH(AE1194,'لیست‌ها'!$P$3:$P$53,0))+IF(AF1194&lt;=6,(AF1194-1)*31+AG1194,IF(AF1194&lt;=11,186+(AF1194-7)*30+AG1194,336+AG1194))-1,""))</f>
        <v/>
      </c>
      <c r="AI1194" s="7" t="str">
        <f aca="false">IF(W1194="","",W1194&amp;"-"&amp;TEXT(X1194,"00"))</f>
        <v/>
      </c>
      <c r="AJ1194" s="7" t="str">
        <f aca="false">IF(W1194="","",W1194*12+X1194)</f>
        <v/>
      </c>
      <c r="AK1194" s="7" t="str">
        <f aca="false">IF(U1194="تاخیر",V1194+ROW()/100000,"")</f>
        <v/>
      </c>
    </row>
    <row r="1195" customFormat="false" ht="15" hidden="false" customHeight="false" outlineLevel="0" collapsed="false">
      <c r="A1195" s="7" t="str">
        <f aca="false">IF(B1195="","",ROW()-3)</f>
        <v/>
      </c>
      <c r="B1195" s="8"/>
      <c r="C1195" s="8"/>
      <c r="D1195" s="8"/>
      <c r="E1195" s="9"/>
      <c r="F1195" s="9"/>
      <c r="G1195" s="8"/>
      <c r="H1195" s="8"/>
      <c r="I1195" s="8"/>
      <c r="J1195" s="9"/>
      <c r="K1195" s="8"/>
      <c r="L1195" s="8"/>
      <c r="M1195" s="8"/>
      <c r="N1195" s="8"/>
      <c r="O1195" s="8"/>
      <c r="P1195" s="8"/>
      <c r="Q1195" s="8"/>
      <c r="R1195" s="9"/>
      <c r="S1195" s="8"/>
      <c r="T1195" s="9"/>
      <c r="U1195" s="10" t="str">
        <f aca="true">IF(B1195="","",IF(OR(P1195&lt;&gt;"",I1195="می‌باشد"),"بسته",IF(AND(L1195&lt;&gt;"",W1195=""),"خطای فرمت تاریخ ایجاد",IF(AND(H1195&lt;&gt;"",AA1195=""),"خطای فرمت مهلت",IF(AND(H1195&lt;&gt;"",AD1195&lt;&gt;"",TODAY()&gt;AD1195),"تاخیر",IF(L1195&lt;&gt;"","در حال انجام",""))))))</f>
        <v/>
      </c>
      <c r="V1195" s="7" t="n">
        <f aca="true">IF(U1195="تاخیر",TODAY()-AD1195,IF(AND(U1195="بسته",AH1195&lt;&gt;"",AD1195&lt;&gt;"",AH1195&gt;AD1195),AH1195-AD1195,0))</f>
        <v>0</v>
      </c>
      <c r="W1195" s="7" t="str">
        <f aca="false">IF(L1195="","",VALUE(LEFT(L1195,FIND("/",L1195)-1)))</f>
        <v/>
      </c>
      <c r="X1195" s="7" t="str">
        <f aca="false">IF(L1195="","",VALUE(MID(L1195,FIND("/",L1195)+1,FIND("/",L1195,FIND("/",L1195)+1)-FIND("/",L1195)-1)))</f>
        <v/>
      </c>
      <c r="Y1195" s="7" t="str">
        <f aca="false">IF(L1195="","",VALUE(MID(L1195,FIND("/",L1195,FIND("/",L1195)+1)+1,LEN(L1195)-FIND("/",L1195,FIND("/",L1195)+1))))</f>
        <v/>
      </c>
      <c r="Z1195" s="7" t="str">
        <f aca="false">IF(OR(L1195="",W1195=""),"",IFERROR(INDEX('لیست‌ها'!$Q$3:$Q$53,MATCH(W1195,'لیست‌ها'!$P$3:$P$53,0))+IF(X1195&lt;=6,(X1195-1)*31+Y1195,IF(X1195&lt;=11,186+(X1195-7)*30+Y1195,336+Y1195))-1,""))</f>
        <v/>
      </c>
      <c r="AA1195" s="7" t="str">
        <f aca="false">IF(H1195="","",VALUE(LEFT(H1195,FIND("/",H1195)-1)))</f>
        <v/>
      </c>
      <c r="AB1195" s="7" t="str">
        <f aca="false">IF(H1195="","",VALUE(MID(H1195,FIND("/",H1195)+1,FIND("/",H1195,FIND("/",H1195)+1)-FIND("/",H1195)-1)))</f>
        <v/>
      </c>
      <c r="AC1195" s="7" t="str">
        <f aca="false">IF(H1195="","",VALUE(MID(H1195,FIND("/",H1195,FIND("/",H1195)+1)+1,LEN(H1195)-FIND("/",H1195,FIND("/",H1195)+1))))</f>
        <v/>
      </c>
      <c r="AD1195" s="7" t="str">
        <f aca="false">IF(OR(H1195="",AA1195=""),"",IFERROR(INDEX('لیست‌ها'!$Q$3:$Q$53,MATCH(AA1195,'لیست‌ها'!$P$3:$P$53,0))+IF(AB1195&lt;=6,(AB1195-1)*31+AC1195,IF(AB1195&lt;=11,186+(AB1195-7)*30+AC1195,336+AC1195))-1,""))</f>
        <v/>
      </c>
      <c r="AE1195" s="7" t="str">
        <f aca="false">IF(P1195="","",VALUE(LEFT(P1195,FIND("/",P1195)-1)))</f>
        <v/>
      </c>
      <c r="AF1195" s="7" t="str">
        <f aca="false">IF(P1195="","",VALUE(MID(P1195,FIND("/",P1195)+1,FIND("/",P1195,FIND("/",P1195)+1)-FIND("/",P1195)-1)))</f>
        <v/>
      </c>
      <c r="AG1195" s="7" t="str">
        <f aca="false">IF(P1195="","",VALUE(MID(P1195,FIND("/",P1195,FIND("/",P1195)+1)+1,LEN(P1195)-FIND("/",P1195,FIND("/",P1195)+1))))</f>
        <v/>
      </c>
      <c r="AH1195" s="7" t="str">
        <f aca="false">IF(OR(P1195="",AE1195=""),"",IFERROR(INDEX('لیست‌ها'!$Q$3:$Q$53,MATCH(AE1195,'لیست‌ها'!$P$3:$P$53,0))+IF(AF1195&lt;=6,(AF1195-1)*31+AG1195,IF(AF1195&lt;=11,186+(AF1195-7)*30+AG1195,336+AG1195))-1,""))</f>
        <v/>
      </c>
      <c r="AI1195" s="7" t="str">
        <f aca="false">IF(W1195="","",W1195&amp;"-"&amp;TEXT(X1195,"00"))</f>
        <v/>
      </c>
      <c r="AJ1195" s="7" t="str">
        <f aca="false">IF(W1195="","",W1195*12+X1195)</f>
        <v/>
      </c>
      <c r="AK1195" s="7" t="str">
        <f aca="false">IF(U1195="تاخیر",V1195+ROW()/100000,"")</f>
        <v/>
      </c>
    </row>
    <row r="1196" customFormat="false" ht="15" hidden="false" customHeight="false" outlineLevel="0" collapsed="false">
      <c r="A1196" s="7" t="str">
        <f aca="false">IF(B1196="","",ROW()-3)</f>
        <v/>
      </c>
      <c r="B1196" s="8"/>
      <c r="C1196" s="8"/>
      <c r="D1196" s="8"/>
      <c r="E1196" s="9"/>
      <c r="F1196" s="9"/>
      <c r="G1196" s="8"/>
      <c r="H1196" s="8"/>
      <c r="I1196" s="8"/>
      <c r="J1196" s="9"/>
      <c r="K1196" s="8"/>
      <c r="L1196" s="8"/>
      <c r="M1196" s="8"/>
      <c r="N1196" s="8"/>
      <c r="O1196" s="8"/>
      <c r="P1196" s="8"/>
      <c r="Q1196" s="8"/>
      <c r="R1196" s="9"/>
      <c r="S1196" s="8"/>
      <c r="T1196" s="9"/>
      <c r="U1196" s="10" t="str">
        <f aca="true">IF(B1196="","",IF(OR(P1196&lt;&gt;"",I1196="می‌باشد"),"بسته",IF(AND(L1196&lt;&gt;"",W1196=""),"خطای فرمت تاریخ ایجاد",IF(AND(H1196&lt;&gt;"",AA1196=""),"خطای فرمت مهلت",IF(AND(H1196&lt;&gt;"",AD1196&lt;&gt;"",TODAY()&gt;AD1196),"تاخیر",IF(L1196&lt;&gt;"","در حال انجام",""))))))</f>
        <v/>
      </c>
      <c r="V1196" s="7" t="n">
        <f aca="true">IF(U1196="تاخیر",TODAY()-AD1196,IF(AND(U1196="بسته",AH1196&lt;&gt;"",AD1196&lt;&gt;"",AH1196&gt;AD1196),AH1196-AD1196,0))</f>
        <v>0</v>
      </c>
      <c r="W1196" s="7" t="str">
        <f aca="false">IF(L1196="","",VALUE(LEFT(L1196,FIND("/",L1196)-1)))</f>
        <v/>
      </c>
      <c r="X1196" s="7" t="str">
        <f aca="false">IF(L1196="","",VALUE(MID(L1196,FIND("/",L1196)+1,FIND("/",L1196,FIND("/",L1196)+1)-FIND("/",L1196)-1)))</f>
        <v/>
      </c>
      <c r="Y1196" s="7" t="str">
        <f aca="false">IF(L1196="","",VALUE(MID(L1196,FIND("/",L1196,FIND("/",L1196)+1)+1,LEN(L1196)-FIND("/",L1196,FIND("/",L1196)+1))))</f>
        <v/>
      </c>
      <c r="Z1196" s="7" t="str">
        <f aca="false">IF(OR(L1196="",W1196=""),"",IFERROR(INDEX('لیست‌ها'!$Q$3:$Q$53,MATCH(W1196,'لیست‌ها'!$P$3:$P$53,0))+IF(X1196&lt;=6,(X1196-1)*31+Y1196,IF(X1196&lt;=11,186+(X1196-7)*30+Y1196,336+Y1196))-1,""))</f>
        <v/>
      </c>
      <c r="AA1196" s="7" t="str">
        <f aca="false">IF(H1196="","",VALUE(LEFT(H1196,FIND("/",H1196)-1)))</f>
        <v/>
      </c>
      <c r="AB1196" s="7" t="str">
        <f aca="false">IF(H1196="","",VALUE(MID(H1196,FIND("/",H1196)+1,FIND("/",H1196,FIND("/",H1196)+1)-FIND("/",H1196)-1)))</f>
        <v/>
      </c>
      <c r="AC1196" s="7" t="str">
        <f aca="false">IF(H1196="","",VALUE(MID(H1196,FIND("/",H1196,FIND("/",H1196)+1)+1,LEN(H1196)-FIND("/",H1196,FIND("/",H1196)+1))))</f>
        <v/>
      </c>
      <c r="AD1196" s="7" t="str">
        <f aca="false">IF(OR(H1196="",AA1196=""),"",IFERROR(INDEX('لیست‌ها'!$Q$3:$Q$53,MATCH(AA1196,'لیست‌ها'!$P$3:$P$53,0))+IF(AB1196&lt;=6,(AB1196-1)*31+AC1196,IF(AB1196&lt;=11,186+(AB1196-7)*30+AC1196,336+AC1196))-1,""))</f>
        <v/>
      </c>
      <c r="AE1196" s="7" t="str">
        <f aca="false">IF(P1196="","",VALUE(LEFT(P1196,FIND("/",P1196)-1)))</f>
        <v/>
      </c>
      <c r="AF1196" s="7" t="str">
        <f aca="false">IF(P1196="","",VALUE(MID(P1196,FIND("/",P1196)+1,FIND("/",P1196,FIND("/",P1196)+1)-FIND("/",P1196)-1)))</f>
        <v/>
      </c>
      <c r="AG1196" s="7" t="str">
        <f aca="false">IF(P1196="","",VALUE(MID(P1196,FIND("/",P1196,FIND("/",P1196)+1)+1,LEN(P1196)-FIND("/",P1196,FIND("/",P1196)+1))))</f>
        <v/>
      </c>
      <c r="AH1196" s="7" t="str">
        <f aca="false">IF(OR(P1196="",AE1196=""),"",IFERROR(INDEX('لیست‌ها'!$Q$3:$Q$53,MATCH(AE1196,'لیست‌ها'!$P$3:$P$53,0))+IF(AF1196&lt;=6,(AF1196-1)*31+AG1196,IF(AF1196&lt;=11,186+(AF1196-7)*30+AG1196,336+AG1196))-1,""))</f>
        <v/>
      </c>
      <c r="AI1196" s="7" t="str">
        <f aca="false">IF(W1196="","",W1196&amp;"-"&amp;TEXT(X1196,"00"))</f>
        <v/>
      </c>
      <c r="AJ1196" s="7" t="str">
        <f aca="false">IF(W1196="","",W1196*12+X1196)</f>
        <v/>
      </c>
      <c r="AK1196" s="7" t="str">
        <f aca="false">IF(U1196="تاخیر",V1196+ROW()/100000,"")</f>
        <v/>
      </c>
    </row>
    <row r="1197" customFormat="false" ht="15" hidden="false" customHeight="false" outlineLevel="0" collapsed="false">
      <c r="A1197" s="7" t="str">
        <f aca="false">IF(B1197="","",ROW()-3)</f>
        <v/>
      </c>
      <c r="B1197" s="8"/>
      <c r="C1197" s="8"/>
      <c r="D1197" s="8"/>
      <c r="E1197" s="9"/>
      <c r="F1197" s="9"/>
      <c r="G1197" s="8"/>
      <c r="H1197" s="8"/>
      <c r="I1197" s="8"/>
      <c r="J1197" s="9"/>
      <c r="K1197" s="8"/>
      <c r="L1197" s="8"/>
      <c r="M1197" s="8"/>
      <c r="N1197" s="8"/>
      <c r="O1197" s="8"/>
      <c r="P1197" s="8"/>
      <c r="Q1197" s="8"/>
      <c r="R1197" s="9"/>
      <c r="S1197" s="8"/>
      <c r="T1197" s="9"/>
      <c r="U1197" s="10" t="str">
        <f aca="true">IF(B1197="","",IF(OR(P1197&lt;&gt;"",I1197="می‌باشد"),"بسته",IF(AND(L1197&lt;&gt;"",W1197=""),"خطای فرمت تاریخ ایجاد",IF(AND(H1197&lt;&gt;"",AA1197=""),"خطای فرمت مهلت",IF(AND(H1197&lt;&gt;"",AD1197&lt;&gt;"",TODAY()&gt;AD1197),"تاخیر",IF(L1197&lt;&gt;"","در حال انجام",""))))))</f>
        <v/>
      </c>
      <c r="V1197" s="7" t="n">
        <f aca="true">IF(U1197="تاخیر",TODAY()-AD1197,IF(AND(U1197="بسته",AH1197&lt;&gt;"",AD1197&lt;&gt;"",AH1197&gt;AD1197),AH1197-AD1197,0))</f>
        <v>0</v>
      </c>
      <c r="W1197" s="7" t="str">
        <f aca="false">IF(L1197="","",VALUE(LEFT(L1197,FIND("/",L1197)-1)))</f>
        <v/>
      </c>
      <c r="X1197" s="7" t="str">
        <f aca="false">IF(L1197="","",VALUE(MID(L1197,FIND("/",L1197)+1,FIND("/",L1197,FIND("/",L1197)+1)-FIND("/",L1197)-1)))</f>
        <v/>
      </c>
      <c r="Y1197" s="7" t="str">
        <f aca="false">IF(L1197="","",VALUE(MID(L1197,FIND("/",L1197,FIND("/",L1197)+1)+1,LEN(L1197)-FIND("/",L1197,FIND("/",L1197)+1))))</f>
        <v/>
      </c>
      <c r="Z1197" s="7" t="str">
        <f aca="false">IF(OR(L1197="",W1197=""),"",IFERROR(INDEX('لیست‌ها'!$Q$3:$Q$53,MATCH(W1197,'لیست‌ها'!$P$3:$P$53,0))+IF(X1197&lt;=6,(X1197-1)*31+Y1197,IF(X1197&lt;=11,186+(X1197-7)*30+Y1197,336+Y1197))-1,""))</f>
        <v/>
      </c>
      <c r="AA1197" s="7" t="str">
        <f aca="false">IF(H1197="","",VALUE(LEFT(H1197,FIND("/",H1197)-1)))</f>
        <v/>
      </c>
      <c r="AB1197" s="7" t="str">
        <f aca="false">IF(H1197="","",VALUE(MID(H1197,FIND("/",H1197)+1,FIND("/",H1197,FIND("/",H1197)+1)-FIND("/",H1197)-1)))</f>
        <v/>
      </c>
      <c r="AC1197" s="7" t="str">
        <f aca="false">IF(H1197="","",VALUE(MID(H1197,FIND("/",H1197,FIND("/",H1197)+1)+1,LEN(H1197)-FIND("/",H1197,FIND("/",H1197)+1))))</f>
        <v/>
      </c>
      <c r="AD1197" s="7" t="str">
        <f aca="false">IF(OR(H1197="",AA1197=""),"",IFERROR(INDEX('لیست‌ها'!$Q$3:$Q$53,MATCH(AA1197,'لیست‌ها'!$P$3:$P$53,0))+IF(AB1197&lt;=6,(AB1197-1)*31+AC1197,IF(AB1197&lt;=11,186+(AB1197-7)*30+AC1197,336+AC1197))-1,""))</f>
        <v/>
      </c>
      <c r="AE1197" s="7" t="str">
        <f aca="false">IF(P1197="","",VALUE(LEFT(P1197,FIND("/",P1197)-1)))</f>
        <v/>
      </c>
      <c r="AF1197" s="7" t="str">
        <f aca="false">IF(P1197="","",VALUE(MID(P1197,FIND("/",P1197)+1,FIND("/",P1197,FIND("/",P1197)+1)-FIND("/",P1197)-1)))</f>
        <v/>
      </c>
      <c r="AG1197" s="7" t="str">
        <f aca="false">IF(P1197="","",VALUE(MID(P1197,FIND("/",P1197,FIND("/",P1197)+1)+1,LEN(P1197)-FIND("/",P1197,FIND("/",P1197)+1))))</f>
        <v/>
      </c>
      <c r="AH1197" s="7" t="str">
        <f aca="false">IF(OR(P1197="",AE1197=""),"",IFERROR(INDEX('لیست‌ها'!$Q$3:$Q$53,MATCH(AE1197,'لیست‌ها'!$P$3:$P$53,0))+IF(AF1197&lt;=6,(AF1197-1)*31+AG1197,IF(AF1197&lt;=11,186+(AF1197-7)*30+AG1197,336+AG1197))-1,""))</f>
        <v/>
      </c>
      <c r="AI1197" s="7" t="str">
        <f aca="false">IF(W1197="","",W1197&amp;"-"&amp;TEXT(X1197,"00"))</f>
        <v/>
      </c>
      <c r="AJ1197" s="7" t="str">
        <f aca="false">IF(W1197="","",W1197*12+X1197)</f>
        <v/>
      </c>
      <c r="AK1197" s="7" t="str">
        <f aca="false">IF(U1197="تاخیر",V1197+ROW()/100000,"")</f>
        <v/>
      </c>
    </row>
    <row r="1198" customFormat="false" ht="15" hidden="false" customHeight="false" outlineLevel="0" collapsed="false">
      <c r="A1198" s="7" t="str">
        <f aca="false">IF(B1198="","",ROW()-3)</f>
        <v/>
      </c>
      <c r="B1198" s="8"/>
      <c r="C1198" s="8"/>
      <c r="D1198" s="8"/>
      <c r="E1198" s="9"/>
      <c r="F1198" s="9"/>
      <c r="G1198" s="8"/>
      <c r="H1198" s="8"/>
      <c r="I1198" s="8"/>
      <c r="J1198" s="9"/>
      <c r="K1198" s="8"/>
      <c r="L1198" s="8"/>
      <c r="M1198" s="8"/>
      <c r="N1198" s="8"/>
      <c r="O1198" s="8"/>
      <c r="P1198" s="8"/>
      <c r="Q1198" s="8"/>
      <c r="R1198" s="9"/>
      <c r="S1198" s="8"/>
      <c r="T1198" s="9"/>
      <c r="U1198" s="10" t="str">
        <f aca="true">IF(B1198="","",IF(OR(P1198&lt;&gt;"",I1198="می‌باشد"),"بسته",IF(AND(L1198&lt;&gt;"",W1198=""),"خطای فرمت تاریخ ایجاد",IF(AND(H1198&lt;&gt;"",AA1198=""),"خطای فرمت مهلت",IF(AND(H1198&lt;&gt;"",AD1198&lt;&gt;"",TODAY()&gt;AD1198),"تاخیر",IF(L1198&lt;&gt;"","در حال انجام",""))))))</f>
        <v/>
      </c>
      <c r="V1198" s="7" t="n">
        <f aca="true">IF(U1198="تاخیر",TODAY()-AD1198,IF(AND(U1198="بسته",AH1198&lt;&gt;"",AD1198&lt;&gt;"",AH1198&gt;AD1198),AH1198-AD1198,0))</f>
        <v>0</v>
      </c>
      <c r="W1198" s="7" t="str">
        <f aca="false">IF(L1198="","",VALUE(LEFT(L1198,FIND("/",L1198)-1)))</f>
        <v/>
      </c>
      <c r="X1198" s="7" t="str">
        <f aca="false">IF(L1198="","",VALUE(MID(L1198,FIND("/",L1198)+1,FIND("/",L1198,FIND("/",L1198)+1)-FIND("/",L1198)-1)))</f>
        <v/>
      </c>
      <c r="Y1198" s="7" t="str">
        <f aca="false">IF(L1198="","",VALUE(MID(L1198,FIND("/",L1198,FIND("/",L1198)+1)+1,LEN(L1198)-FIND("/",L1198,FIND("/",L1198)+1))))</f>
        <v/>
      </c>
      <c r="Z1198" s="7" t="str">
        <f aca="false">IF(OR(L1198="",W1198=""),"",IFERROR(INDEX('لیست‌ها'!$Q$3:$Q$53,MATCH(W1198,'لیست‌ها'!$P$3:$P$53,0))+IF(X1198&lt;=6,(X1198-1)*31+Y1198,IF(X1198&lt;=11,186+(X1198-7)*30+Y1198,336+Y1198))-1,""))</f>
        <v/>
      </c>
      <c r="AA1198" s="7" t="str">
        <f aca="false">IF(H1198="","",VALUE(LEFT(H1198,FIND("/",H1198)-1)))</f>
        <v/>
      </c>
      <c r="AB1198" s="7" t="str">
        <f aca="false">IF(H1198="","",VALUE(MID(H1198,FIND("/",H1198)+1,FIND("/",H1198,FIND("/",H1198)+1)-FIND("/",H1198)-1)))</f>
        <v/>
      </c>
      <c r="AC1198" s="7" t="str">
        <f aca="false">IF(H1198="","",VALUE(MID(H1198,FIND("/",H1198,FIND("/",H1198)+1)+1,LEN(H1198)-FIND("/",H1198,FIND("/",H1198)+1))))</f>
        <v/>
      </c>
      <c r="AD1198" s="7" t="str">
        <f aca="false">IF(OR(H1198="",AA1198=""),"",IFERROR(INDEX('لیست‌ها'!$Q$3:$Q$53,MATCH(AA1198,'لیست‌ها'!$P$3:$P$53,0))+IF(AB1198&lt;=6,(AB1198-1)*31+AC1198,IF(AB1198&lt;=11,186+(AB1198-7)*30+AC1198,336+AC1198))-1,""))</f>
        <v/>
      </c>
      <c r="AE1198" s="7" t="str">
        <f aca="false">IF(P1198="","",VALUE(LEFT(P1198,FIND("/",P1198)-1)))</f>
        <v/>
      </c>
      <c r="AF1198" s="7" t="str">
        <f aca="false">IF(P1198="","",VALUE(MID(P1198,FIND("/",P1198)+1,FIND("/",P1198,FIND("/",P1198)+1)-FIND("/",P1198)-1)))</f>
        <v/>
      </c>
      <c r="AG1198" s="7" t="str">
        <f aca="false">IF(P1198="","",VALUE(MID(P1198,FIND("/",P1198,FIND("/",P1198)+1)+1,LEN(P1198)-FIND("/",P1198,FIND("/",P1198)+1))))</f>
        <v/>
      </c>
      <c r="AH1198" s="7" t="str">
        <f aca="false">IF(OR(P1198="",AE1198=""),"",IFERROR(INDEX('لیست‌ها'!$Q$3:$Q$53,MATCH(AE1198,'لیست‌ها'!$P$3:$P$53,0))+IF(AF1198&lt;=6,(AF1198-1)*31+AG1198,IF(AF1198&lt;=11,186+(AF1198-7)*30+AG1198,336+AG1198))-1,""))</f>
        <v/>
      </c>
      <c r="AI1198" s="7" t="str">
        <f aca="false">IF(W1198="","",W1198&amp;"-"&amp;TEXT(X1198,"00"))</f>
        <v/>
      </c>
      <c r="AJ1198" s="7" t="str">
        <f aca="false">IF(W1198="","",W1198*12+X1198)</f>
        <v/>
      </c>
      <c r="AK1198" s="7" t="str">
        <f aca="false">IF(U1198="تاخیر",V1198+ROW()/100000,"")</f>
        <v/>
      </c>
    </row>
    <row r="1199" customFormat="false" ht="15" hidden="false" customHeight="false" outlineLevel="0" collapsed="false">
      <c r="A1199" s="7" t="str">
        <f aca="false">IF(B1199="","",ROW()-3)</f>
        <v/>
      </c>
      <c r="B1199" s="8"/>
      <c r="C1199" s="8"/>
      <c r="D1199" s="8"/>
      <c r="E1199" s="9"/>
      <c r="F1199" s="9"/>
      <c r="G1199" s="8"/>
      <c r="H1199" s="8"/>
      <c r="I1199" s="8"/>
      <c r="J1199" s="9"/>
      <c r="K1199" s="8"/>
      <c r="L1199" s="8"/>
      <c r="M1199" s="8"/>
      <c r="N1199" s="8"/>
      <c r="O1199" s="8"/>
      <c r="P1199" s="8"/>
      <c r="Q1199" s="8"/>
      <c r="R1199" s="9"/>
      <c r="S1199" s="8"/>
      <c r="T1199" s="9"/>
      <c r="U1199" s="10" t="str">
        <f aca="true">IF(B1199="","",IF(OR(P1199&lt;&gt;"",I1199="می‌باشد"),"بسته",IF(AND(L1199&lt;&gt;"",W1199=""),"خطای فرمت تاریخ ایجاد",IF(AND(H1199&lt;&gt;"",AA1199=""),"خطای فرمت مهلت",IF(AND(H1199&lt;&gt;"",AD1199&lt;&gt;"",TODAY()&gt;AD1199),"تاخیر",IF(L1199&lt;&gt;"","در حال انجام",""))))))</f>
        <v/>
      </c>
      <c r="V1199" s="7" t="n">
        <f aca="true">IF(U1199="تاخیر",TODAY()-AD1199,IF(AND(U1199="بسته",AH1199&lt;&gt;"",AD1199&lt;&gt;"",AH1199&gt;AD1199),AH1199-AD1199,0))</f>
        <v>0</v>
      </c>
      <c r="W1199" s="7" t="str">
        <f aca="false">IF(L1199="","",VALUE(LEFT(L1199,FIND("/",L1199)-1)))</f>
        <v/>
      </c>
      <c r="X1199" s="7" t="str">
        <f aca="false">IF(L1199="","",VALUE(MID(L1199,FIND("/",L1199)+1,FIND("/",L1199,FIND("/",L1199)+1)-FIND("/",L1199)-1)))</f>
        <v/>
      </c>
      <c r="Y1199" s="7" t="str">
        <f aca="false">IF(L1199="","",VALUE(MID(L1199,FIND("/",L1199,FIND("/",L1199)+1)+1,LEN(L1199)-FIND("/",L1199,FIND("/",L1199)+1))))</f>
        <v/>
      </c>
      <c r="Z1199" s="7" t="str">
        <f aca="false">IF(OR(L1199="",W1199=""),"",IFERROR(INDEX('لیست‌ها'!$Q$3:$Q$53,MATCH(W1199,'لیست‌ها'!$P$3:$P$53,0))+IF(X1199&lt;=6,(X1199-1)*31+Y1199,IF(X1199&lt;=11,186+(X1199-7)*30+Y1199,336+Y1199))-1,""))</f>
        <v/>
      </c>
      <c r="AA1199" s="7" t="str">
        <f aca="false">IF(H1199="","",VALUE(LEFT(H1199,FIND("/",H1199)-1)))</f>
        <v/>
      </c>
      <c r="AB1199" s="7" t="str">
        <f aca="false">IF(H1199="","",VALUE(MID(H1199,FIND("/",H1199)+1,FIND("/",H1199,FIND("/",H1199)+1)-FIND("/",H1199)-1)))</f>
        <v/>
      </c>
      <c r="AC1199" s="7" t="str">
        <f aca="false">IF(H1199="","",VALUE(MID(H1199,FIND("/",H1199,FIND("/",H1199)+1)+1,LEN(H1199)-FIND("/",H1199,FIND("/",H1199)+1))))</f>
        <v/>
      </c>
      <c r="AD1199" s="7" t="str">
        <f aca="false">IF(OR(H1199="",AA1199=""),"",IFERROR(INDEX('لیست‌ها'!$Q$3:$Q$53,MATCH(AA1199,'لیست‌ها'!$P$3:$P$53,0))+IF(AB1199&lt;=6,(AB1199-1)*31+AC1199,IF(AB1199&lt;=11,186+(AB1199-7)*30+AC1199,336+AC1199))-1,""))</f>
        <v/>
      </c>
      <c r="AE1199" s="7" t="str">
        <f aca="false">IF(P1199="","",VALUE(LEFT(P1199,FIND("/",P1199)-1)))</f>
        <v/>
      </c>
      <c r="AF1199" s="7" t="str">
        <f aca="false">IF(P1199="","",VALUE(MID(P1199,FIND("/",P1199)+1,FIND("/",P1199,FIND("/",P1199)+1)-FIND("/",P1199)-1)))</f>
        <v/>
      </c>
      <c r="AG1199" s="7" t="str">
        <f aca="false">IF(P1199="","",VALUE(MID(P1199,FIND("/",P1199,FIND("/",P1199)+1)+1,LEN(P1199)-FIND("/",P1199,FIND("/",P1199)+1))))</f>
        <v/>
      </c>
      <c r="AH1199" s="7" t="str">
        <f aca="false">IF(OR(P1199="",AE1199=""),"",IFERROR(INDEX('لیست‌ها'!$Q$3:$Q$53,MATCH(AE1199,'لیست‌ها'!$P$3:$P$53,0))+IF(AF1199&lt;=6,(AF1199-1)*31+AG1199,IF(AF1199&lt;=11,186+(AF1199-7)*30+AG1199,336+AG1199))-1,""))</f>
        <v/>
      </c>
      <c r="AI1199" s="7" t="str">
        <f aca="false">IF(W1199="","",W1199&amp;"-"&amp;TEXT(X1199,"00"))</f>
        <v/>
      </c>
      <c r="AJ1199" s="7" t="str">
        <f aca="false">IF(W1199="","",W1199*12+X1199)</f>
        <v/>
      </c>
      <c r="AK1199" s="7" t="str">
        <f aca="false">IF(U1199="تاخیر",V1199+ROW()/100000,"")</f>
        <v/>
      </c>
    </row>
    <row r="1200" customFormat="false" ht="15" hidden="false" customHeight="false" outlineLevel="0" collapsed="false">
      <c r="A1200" s="7" t="str">
        <f aca="false">IF(B1200="","",ROW()-3)</f>
        <v/>
      </c>
      <c r="B1200" s="8"/>
      <c r="C1200" s="8"/>
      <c r="D1200" s="8"/>
      <c r="E1200" s="9"/>
      <c r="F1200" s="9"/>
      <c r="G1200" s="8"/>
      <c r="H1200" s="8"/>
      <c r="I1200" s="8"/>
      <c r="J1200" s="9"/>
      <c r="K1200" s="8"/>
      <c r="L1200" s="8"/>
      <c r="M1200" s="8"/>
      <c r="N1200" s="8"/>
      <c r="O1200" s="8"/>
      <c r="P1200" s="8"/>
      <c r="Q1200" s="8"/>
      <c r="R1200" s="9"/>
      <c r="S1200" s="8"/>
      <c r="T1200" s="9"/>
      <c r="U1200" s="10" t="str">
        <f aca="true">IF(B1200="","",IF(OR(P1200&lt;&gt;"",I1200="می‌باشد"),"بسته",IF(AND(L1200&lt;&gt;"",W1200=""),"خطای فرمت تاریخ ایجاد",IF(AND(H1200&lt;&gt;"",AA1200=""),"خطای فرمت مهلت",IF(AND(H1200&lt;&gt;"",AD1200&lt;&gt;"",TODAY()&gt;AD1200),"تاخیر",IF(L1200&lt;&gt;"","در حال انجام",""))))))</f>
        <v/>
      </c>
      <c r="V1200" s="7" t="n">
        <f aca="true">IF(U1200="تاخیر",TODAY()-AD1200,IF(AND(U1200="بسته",AH1200&lt;&gt;"",AD1200&lt;&gt;"",AH1200&gt;AD1200),AH1200-AD1200,0))</f>
        <v>0</v>
      </c>
      <c r="W1200" s="7" t="str">
        <f aca="false">IF(L1200="","",VALUE(LEFT(L1200,FIND("/",L1200)-1)))</f>
        <v/>
      </c>
      <c r="X1200" s="7" t="str">
        <f aca="false">IF(L1200="","",VALUE(MID(L1200,FIND("/",L1200)+1,FIND("/",L1200,FIND("/",L1200)+1)-FIND("/",L1200)-1)))</f>
        <v/>
      </c>
      <c r="Y1200" s="7" t="str">
        <f aca="false">IF(L1200="","",VALUE(MID(L1200,FIND("/",L1200,FIND("/",L1200)+1)+1,LEN(L1200)-FIND("/",L1200,FIND("/",L1200)+1))))</f>
        <v/>
      </c>
      <c r="Z1200" s="7" t="str">
        <f aca="false">IF(OR(L1200="",W1200=""),"",IFERROR(INDEX('لیست‌ها'!$Q$3:$Q$53,MATCH(W1200,'لیست‌ها'!$P$3:$P$53,0))+IF(X1200&lt;=6,(X1200-1)*31+Y1200,IF(X1200&lt;=11,186+(X1200-7)*30+Y1200,336+Y1200))-1,""))</f>
        <v/>
      </c>
      <c r="AA1200" s="7" t="str">
        <f aca="false">IF(H1200="","",VALUE(LEFT(H1200,FIND("/",H1200)-1)))</f>
        <v/>
      </c>
      <c r="AB1200" s="7" t="str">
        <f aca="false">IF(H1200="","",VALUE(MID(H1200,FIND("/",H1200)+1,FIND("/",H1200,FIND("/",H1200)+1)-FIND("/",H1200)-1)))</f>
        <v/>
      </c>
      <c r="AC1200" s="7" t="str">
        <f aca="false">IF(H1200="","",VALUE(MID(H1200,FIND("/",H1200,FIND("/",H1200)+1)+1,LEN(H1200)-FIND("/",H1200,FIND("/",H1200)+1))))</f>
        <v/>
      </c>
      <c r="AD1200" s="7" t="str">
        <f aca="false">IF(OR(H1200="",AA1200=""),"",IFERROR(INDEX('لیست‌ها'!$Q$3:$Q$53,MATCH(AA1200,'لیست‌ها'!$P$3:$P$53,0))+IF(AB1200&lt;=6,(AB1200-1)*31+AC1200,IF(AB1200&lt;=11,186+(AB1200-7)*30+AC1200,336+AC1200))-1,""))</f>
        <v/>
      </c>
      <c r="AE1200" s="7" t="str">
        <f aca="false">IF(P1200="","",VALUE(LEFT(P1200,FIND("/",P1200)-1)))</f>
        <v/>
      </c>
      <c r="AF1200" s="7" t="str">
        <f aca="false">IF(P1200="","",VALUE(MID(P1200,FIND("/",P1200)+1,FIND("/",P1200,FIND("/",P1200)+1)-FIND("/",P1200)-1)))</f>
        <v/>
      </c>
      <c r="AG1200" s="7" t="str">
        <f aca="false">IF(P1200="","",VALUE(MID(P1200,FIND("/",P1200,FIND("/",P1200)+1)+1,LEN(P1200)-FIND("/",P1200,FIND("/",P1200)+1))))</f>
        <v/>
      </c>
      <c r="AH1200" s="7" t="str">
        <f aca="false">IF(OR(P1200="",AE1200=""),"",IFERROR(INDEX('لیست‌ها'!$Q$3:$Q$53,MATCH(AE1200,'لیست‌ها'!$P$3:$P$53,0))+IF(AF1200&lt;=6,(AF1200-1)*31+AG1200,IF(AF1200&lt;=11,186+(AF1200-7)*30+AG1200,336+AG1200))-1,""))</f>
        <v/>
      </c>
      <c r="AI1200" s="7" t="str">
        <f aca="false">IF(W1200="","",W1200&amp;"-"&amp;TEXT(X1200,"00"))</f>
        <v/>
      </c>
      <c r="AJ1200" s="7" t="str">
        <f aca="false">IF(W1200="","",W1200*12+X1200)</f>
        <v/>
      </c>
      <c r="AK1200" s="7" t="str">
        <f aca="false">IF(U1200="تاخیر",V1200+ROW()/100000,"")</f>
        <v/>
      </c>
    </row>
    <row r="1201" customFormat="false" ht="15" hidden="false" customHeight="false" outlineLevel="0" collapsed="false">
      <c r="A1201" s="7" t="str">
        <f aca="false">IF(B1201="","",ROW()-3)</f>
        <v/>
      </c>
      <c r="B1201" s="8"/>
      <c r="C1201" s="8"/>
      <c r="D1201" s="8"/>
      <c r="E1201" s="9"/>
      <c r="F1201" s="9"/>
      <c r="G1201" s="8"/>
      <c r="H1201" s="8"/>
      <c r="I1201" s="8"/>
      <c r="J1201" s="9"/>
      <c r="K1201" s="8"/>
      <c r="L1201" s="8"/>
      <c r="M1201" s="8"/>
      <c r="N1201" s="8"/>
      <c r="O1201" s="8"/>
      <c r="P1201" s="8"/>
      <c r="Q1201" s="8"/>
      <c r="R1201" s="9"/>
      <c r="S1201" s="8"/>
      <c r="T1201" s="9"/>
      <c r="U1201" s="10" t="str">
        <f aca="true">IF(B1201="","",IF(OR(P1201&lt;&gt;"",I1201="می‌باشد"),"بسته",IF(AND(L1201&lt;&gt;"",W1201=""),"خطای فرمت تاریخ ایجاد",IF(AND(H1201&lt;&gt;"",AA1201=""),"خطای فرمت مهلت",IF(AND(H1201&lt;&gt;"",AD1201&lt;&gt;"",TODAY()&gt;AD1201),"تاخیر",IF(L1201&lt;&gt;"","در حال انجام",""))))))</f>
        <v/>
      </c>
      <c r="V1201" s="7" t="n">
        <f aca="true">IF(U1201="تاخیر",TODAY()-AD1201,IF(AND(U1201="بسته",AH1201&lt;&gt;"",AD1201&lt;&gt;"",AH1201&gt;AD1201),AH1201-AD1201,0))</f>
        <v>0</v>
      </c>
      <c r="W1201" s="7" t="str">
        <f aca="false">IF(L1201="","",VALUE(LEFT(L1201,FIND("/",L1201)-1)))</f>
        <v/>
      </c>
      <c r="X1201" s="7" t="str">
        <f aca="false">IF(L1201="","",VALUE(MID(L1201,FIND("/",L1201)+1,FIND("/",L1201,FIND("/",L1201)+1)-FIND("/",L1201)-1)))</f>
        <v/>
      </c>
      <c r="Y1201" s="7" t="str">
        <f aca="false">IF(L1201="","",VALUE(MID(L1201,FIND("/",L1201,FIND("/",L1201)+1)+1,LEN(L1201)-FIND("/",L1201,FIND("/",L1201)+1))))</f>
        <v/>
      </c>
      <c r="Z1201" s="7" t="str">
        <f aca="false">IF(OR(L1201="",W1201=""),"",IFERROR(INDEX('لیست‌ها'!$Q$3:$Q$53,MATCH(W1201,'لیست‌ها'!$P$3:$P$53,0))+IF(X1201&lt;=6,(X1201-1)*31+Y1201,IF(X1201&lt;=11,186+(X1201-7)*30+Y1201,336+Y1201))-1,""))</f>
        <v/>
      </c>
      <c r="AA1201" s="7" t="str">
        <f aca="false">IF(H1201="","",VALUE(LEFT(H1201,FIND("/",H1201)-1)))</f>
        <v/>
      </c>
      <c r="AB1201" s="7" t="str">
        <f aca="false">IF(H1201="","",VALUE(MID(H1201,FIND("/",H1201)+1,FIND("/",H1201,FIND("/",H1201)+1)-FIND("/",H1201)-1)))</f>
        <v/>
      </c>
      <c r="AC1201" s="7" t="str">
        <f aca="false">IF(H1201="","",VALUE(MID(H1201,FIND("/",H1201,FIND("/",H1201)+1)+1,LEN(H1201)-FIND("/",H1201,FIND("/",H1201)+1))))</f>
        <v/>
      </c>
      <c r="AD1201" s="7" t="str">
        <f aca="false">IF(OR(H1201="",AA1201=""),"",IFERROR(INDEX('لیست‌ها'!$Q$3:$Q$53,MATCH(AA1201,'لیست‌ها'!$P$3:$P$53,0))+IF(AB1201&lt;=6,(AB1201-1)*31+AC1201,IF(AB1201&lt;=11,186+(AB1201-7)*30+AC1201,336+AC1201))-1,""))</f>
        <v/>
      </c>
      <c r="AE1201" s="7" t="str">
        <f aca="false">IF(P1201="","",VALUE(LEFT(P1201,FIND("/",P1201)-1)))</f>
        <v/>
      </c>
      <c r="AF1201" s="7" t="str">
        <f aca="false">IF(P1201="","",VALUE(MID(P1201,FIND("/",P1201)+1,FIND("/",P1201,FIND("/",P1201)+1)-FIND("/",P1201)-1)))</f>
        <v/>
      </c>
      <c r="AG1201" s="7" t="str">
        <f aca="false">IF(P1201="","",VALUE(MID(P1201,FIND("/",P1201,FIND("/",P1201)+1)+1,LEN(P1201)-FIND("/",P1201,FIND("/",P1201)+1))))</f>
        <v/>
      </c>
      <c r="AH1201" s="7" t="str">
        <f aca="false">IF(OR(P1201="",AE1201=""),"",IFERROR(INDEX('لیست‌ها'!$Q$3:$Q$53,MATCH(AE1201,'لیست‌ها'!$P$3:$P$53,0))+IF(AF1201&lt;=6,(AF1201-1)*31+AG1201,IF(AF1201&lt;=11,186+(AF1201-7)*30+AG1201,336+AG1201))-1,""))</f>
        <v/>
      </c>
      <c r="AI1201" s="7" t="str">
        <f aca="false">IF(W1201="","",W1201&amp;"-"&amp;TEXT(X1201,"00"))</f>
        <v/>
      </c>
      <c r="AJ1201" s="7" t="str">
        <f aca="false">IF(W1201="","",W1201*12+X1201)</f>
        <v/>
      </c>
      <c r="AK1201" s="7" t="str">
        <f aca="false">IF(U1201="تاخیر",V1201+ROW()/100000,"")</f>
        <v/>
      </c>
    </row>
    <row r="1202" customFormat="false" ht="15" hidden="false" customHeight="false" outlineLevel="0" collapsed="false">
      <c r="A1202" s="7" t="str">
        <f aca="false">IF(B1202="","",ROW()-3)</f>
        <v/>
      </c>
      <c r="B1202" s="8"/>
      <c r="C1202" s="8"/>
      <c r="D1202" s="8"/>
      <c r="E1202" s="9"/>
      <c r="F1202" s="9"/>
      <c r="G1202" s="8"/>
      <c r="H1202" s="8"/>
      <c r="I1202" s="8"/>
      <c r="J1202" s="9"/>
      <c r="K1202" s="8"/>
      <c r="L1202" s="8"/>
      <c r="M1202" s="8"/>
      <c r="N1202" s="8"/>
      <c r="O1202" s="8"/>
      <c r="P1202" s="8"/>
      <c r="Q1202" s="8"/>
      <c r="R1202" s="9"/>
      <c r="S1202" s="8"/>
      <c r="T1202" s="9"/>
      <c r="U1202" s="10" t="str">
        <f aca="true">IF(B1202="","",IF(OR(P1202&lt;&gt;"",I1202="می‌باشد"),"بسته",IF(AND(L1202&lt;&gt;"",W1202=""),"خطای فرمت تاریخ ایجاد",IF(AND(H1202&lt;&gt;"",AA1202=""),"خطای فرمت مهلت",IF(AND(H1202&lt;&gt;"",AD1202&lt;&gt;"",TODAY()&gt;AD1202),"تاخیر",IF(L1202&lt;&gt;"","در حال انجام",""))))))</f>
        <v/>
      </c>
      <c r="V1202" s="7" t="n">
        <f aca="true">IF(U1202="تاخیر",TODAY()-AD1202,IF(AND(U1202="بسته",AH1202&lt;&gt;"",AD1202&lt;&gt;"",AH1202&gt;AD1202),AH1202-AD1202,0))</f>
        <v>0</v>
      </c>
      <c r="W1202" s="7" t="str">
        <f aca="false">IF(L1202="","",VALUE(LEFT(L1202,FIND("/",L1202)-1)))</f>
        <v/>
      </c>
      <c r="X1202" s="7" t="str">
        <f aca="false">IF(L1202="","",VALUE(MID(L1202,FIND("/",L1202)+1,FIND("/",L1202,FIND("/",L1202)+1)-FIND("/",L1202)-1)))</f>
        <v/>
      </c>
      <c r="Y1202" s="7" t="str">
        <f aca="false">IF(L1202="","",VALUE(MID(L1202,FIND("/",L1202,FIND("/",L1202)+1)+1,LEN(L1202)-FIND("/",L1202,FIND("/",L1202)+1))))</f>
        <v/>
      </c>
      <c r="Z1202" s="7" t="str">
        <f aca="false">IF(OR(L1202="",W1202=""),"",IFERROR(INDEX('لیست‌ها'!$Q$3:$Q$53,MATCH(W1202,'لیست‌ها'!$P$3:$P$53,0))+IF(X1202&lt;=6,(X1202-1)*31+Y1202,IF(X1202&lt;=11,186+(X1202-7)*30+Y1202,336+Y1202))-1,""))</f>
        <v/>
      </c>
      <c r="AA1202" s="7" t="str">
        <f aca="false">IF(H1202="","",VALUE(LEFT(H1202,FIND("/",H1202)-1)))</f>
        <v/>
      </c>
      <c r="AB1202" s="7" t="str">
        <f aca="false">IF(H1202="","",VALUE(MID(H1202,FIND("/",H1202)+1,FIND("/",H1202,FIND("/",H1202)+1)-FIND("/",H1202)-1)))</f>
        <v/>
      </c>
      <c r="AC1202" s="7" t="str">
        <f aca="false">IF(H1202="","",VALUE(MID(H1202,FIND("/",H1202,FIND("/",H1202)+1)+1,LEN(H1202)-FIND("/",H1202,FIND("/",H1202)+1))))</f>
        <v/>
      </c>
      <c r="AD1202" s="7" t="str">
        <f aca="false">IF(OR(H1202="",AA1202=""),"",IFERROR(INDEX('لیست‌ها'!$Q$3:$Q$53,MATCH(AA1202,'لیست‌ها'!$P$3:$P$53,0))+IF(AB1202&lt;=6,(AB1202-1)*31+AC1202,IF(AB1202&lt;=11,186+(AB1202-7)*30+AC1202,336+AC1202))-1,""))</f>
        <v/>
      </c>
      <c r="AE1202" s="7" t="str">
        <f aca="false">IF(P1202="","",VALUE(LEFT(P1202,FIND("/",P1202)-1)))</f>
        <v/>
      </c>
      <c r="AF1202" s="7" t="str">
        <f aca="false">IF(P1202="","",VALUE(MID(P1202,FIND("/",P1202)+1,FIND("/",P1202,FIND("/",P1202)+1)-FIND("/",P1202)-1)))</f>
        <v/>
      </c>
      <c r="AG1202" s="7" t="str">
        <f aca="false">IF(P1202="","",VALUE(MID(P1202,FIND("/",P1202,FIND("/",P1202)+1)+1,LEN(P1202)-FIND("/",P1202,FIND("/",P1202)+1))))</f>
        <v/>
      </c>
      <c r="AH1202" s="7" t="str">
        <f aca="false">IF(OR(P1202="",AE1202=""),"",IFERROR(INDEX('لیست‌ها'!$Q$3:$Q$53,MATCH(AE1202,'لیست‌ها'!$P$3:$P$53,0))+IF(AF1202&lt;=6,(AF1202-1)*31+AG1202,IF(AF1202&lt;=11,186+(AF1202-7)*30+AG1202,336+AG1202))-1,""))</f>
        <v/>
      </c>
      <c r="AI1202" s="7" t="str">
        <f aca="false">IF(W1202="","",W1202&amp;"-"&amp;TEXT(X1202,"00"))</f>
        <v/>
      </c>
      <c r="AJ1202" s="7" t="str">
        <f aca="false">IF(W1202="","",W1202*12+X1202)</f>
        <v/>
      </c>
      <c r="AK1202" s="7" t="str">
        <f aca="false">IF(U1202="تاخیر",V1202+ROW()/100000,"")</f>
        <v/>
      </c>
    </row>
    <row r="1203" customFormat="false" ht="15" hidden="false" customHeight="false" outlineLevel="0" collapsed="false">
      <c r="A1203" s="7" t="str">
        <f aca="false">IF(B1203="","",ROW()-3)</f>
        <v/>
      </c>
      <c r="B1203" s="8"/>
      <c r="C1203" s="8"/>
      <c r="D1203" s="8"/>
      <c r="E1203" s="9"/>
      <c r="F1203" s="9"/>
      <c r="G1203" s="8"/>
      <c r="H1203" s="8"/>
      <c r="I1203" s="8"/>
      <c r="J1203" s="9"/>
      <c r="K1203" s="8"/>
      <c r="L1203" s="8"/>
      <c r="M1203" s="8"/>
      <c r="N1203" s="8"/>
      <c r="O1203" s="8"/>
      <c r="P1203" s="8"/>
      <c r="Q1203" s="8"/>
      <c r="R1203" s="9"/>
      <c r="S1203" s="8"/>
      <c r="T1203" s="9"/>
      <c r="U1203" s="10" t="str">
        <f aca="true">IF(B1203="","",IF(OR(P1203&lt;&gt;"",I1203="می‌باشد"),"بسته",IF(AND(L1203&lt;&gt;"",W1203=""),"خطای فرمت تاریخ ایجاد",IF(AND(H1203&lt;&gt;"",AA1203=""),"خطای فرمت مهلت",IF(AND(H1203&lt;&gt;"",AD1203&lt;&gt;"",TODAY()&gt;AD1203),"تاخیر",IF(L1203&lt;&gt;"","در حال انجام",""))))))</f>
        <v/>
      </c>
      <c r="V1203" s="7" t="n">
        <f aca="true">IF(U1203="تاخیر",TODAY()-AD1203,IF(AND(U1203="بسته",AH1203&lt;&gt;"",AD1203&lt;&gt;"",AH1203&gt;AD1203),AH1203-AD1203,0))</f>
        <v>0</v>
      </c>
      <c r="W1203" s="7" t="str">
        <f aca="false">IF(L1203="","",VALUE(LEFT(L1203,FIND("/",L1203)-1)))</f>
        <v/>
      </c>
      <c r="X1203" s="7" t="str">
        <f aca="false">IF(L1203="","",VALUE(MID(L1203,FIND("/",L1203)+1,FIND("/",L1203,FIND("/",L1203)+1)-FIND("/",L1203)-1)))</f>
        <v/>
      </c>
      <c r="Y1203" s="7" t="str">
        <f aca="false">IF(L1203="","",VALUE(MID(L1203,FIND("/",L1203,FIND("/",L1203)+1)+1,LEN(L1203)-FIND("/",L1203,FIND("/",L1203)+1))))</f>
        <v/>
      </c>
      <c r="Z1203" s="7" t="str">
        <f aca="false">IF(OR(L1203="",W1203=""),"",IFERROR(INDEX('لیست‌ها'!$Q$3:$Q$53,MATCH(W1203,'لیست‌ها'!$P$3:$P$53,0))+IF(X1203&lt;=6,(X1203-1)*31+Y1203,IF(X1203&lt;=11,186+(X1203-7)*30+Y1203,336+Y1203))-1,""))</f>
        <v/>
      </c>
      <c r="AA1203" s="7" t="str">
        <f aca="false">IF(H1203="","",VALUE(LEFT(H1203,FIND("/",H1203)-1)))</f>
        <v/>
      </c>
      <c r="AB1203" s="7" t="str">
        <f aca="false">IF(H1203="","",VALUE(MID(H1203,FIND("/",H1203)+1,FIND("/",H1203,FIND("/",H1203)+1)-FIND("/",H1203)-1)))</f>
        <v/>
      </c>
      <c r="AC1203" s="7" t="str">
        <f aca="false">IF(H1203="","",VALUE(MID(H1203,FIND("/",H1203,FIND("/",H1203)+1)+1,LEN(H1203)-FIND("/",H1203,FIND("/",H1203)+1))))</f>
        <v/>
      </c>
      <c r="AD1203" s="7" t="str">
        <f aca="false">IF(OR(H1203="",AA1203=""),"",IFERROR(INDEX('لیست‌ها'!$Q$3:$Q$53,MATCH(AA1203,'لیست‌ها'!$P$3:$P$53,0))+IF(AB1203&lt;=6,(AB1203-1)*31+AC1203,IF(AB1203&lt;=11,186+(AB1203-7)*30+AC1203,336+AC1203))-1,""))</f>
        <v/>
      </c>
      <c r="AE1203" s="7" t="str">
        <f aca="false">IF(P1203="","",VALUE(LEFT(P1203,FIND("/",P1203)-1)))</f>
        <v/>
      </c>
      <c r="AF1203" s="7" t="str">
        <f aca="false">IF(P1203="","",VALUE(MID(P1203,FIND("/",P1203)+1,FIND("/",P1203,FIND("/",P1203)+1)-FIND("/",P1203)-1)))</f>
        <v/>
      </c>
      <c r="AG1203" s="7" t="str">
        <f aca="false">IF(P1203="","",VALUE(MID(P1203,FIND("/",P1203,FIND("/",P1203)+1)+1,LEN(P1203)-FIND("/",P1203,FIND("/",P1203)+1))))</f>
        <v/>
      </c>
      <c r="AH1203" s="7" t="str">
        <f aca="false">IF(OR(P1203="",AE1203=""),"",IFERROR(INDEX('لیست‌ها'!$Q$3:$Q$53,MATCH(AE1203,'لیست‌ها'!$P$3:$P$53,0))+IF(AF1203&lt;=6,(AF1203-1)*31+AG1203,IF(AF1203&lt;=11,186+(AF1203-7)*30+AG1203,336+AG1203))-1,""))</f>
        <v/>
      </c>
      <c r="AI1203" s="7" t="str">
        <f aca="false">IF(W1203="","",W1203&amp;"-"&amp;TEXT(X1203,"00"))</f>
        <v/>
      </c>
      <c r="AJ1203" s="7" t="str">
        <f aca="false">IF(W1203="","",W1203*12+X1203)</f>
        <v/>
      </c>
      <c r="AK1203" s="7" t="str">
        <f aca="false">IF(U1203="تاخیر",V1203+ROW()/100000,"")</f>
        <v/>
      </c>
    </row>
  </sheetData>
  <mergeCells count="1">
    <mergeCell ref="A1:V1"/>
  </mergeCells>
  <conditionalFormatting sqref="U4:U1203">
    <cfRule type="cellIs" priority="2" operator="equal" aboveAverage="0" equalAverage="0" bottom="0" percent="0" rank="0" text="" dxfId="0">
      <formula>"بسته"</formula>
    </cfRule>
    <cfRule type="cellIs" priority="3" operator="equal" aboveAverage="0" equalAverage="0" bottom="0" percent="0" rank="0" text="" dxfId="1">
      <formula>"تاخیر"</formula>
    </cfRule>
    <cfRule type="cellIs" priority="4" operator="equal" aboveAverage="0" equalAverage="0" bottom="0" percent="0" rank="0" text="" dxfId="2">
      <formula>"در حال انجام"</formula>
    </cfRule>
    <cfRule type="expression" priority="5" aboveAverage="0" equalAverage="0" bottom="0" percent="0" rank="0" text="" dxfId="1">
      <formula>LEFT(U4,7)="خطای فرمت"</formula>
    </cfRule>
  </conditionalFormatting>
  <conditionalFormatting sqref="D4:D1203">
    <cfRule type="expression" priority="6" aboveAverage="0" equalAverage="0" bottom="0" percent="0" rank="0" text="" dxfId="3">
      <formula>AND($C4="اقدام اصلاحی",$D4="")</formula>
    </cfRule>
  </conditionalFormatting>
  <dataValidations count="9">
    <dataValidation allowBlank="true" errorStyle="stop" operator="between" showDropDown="false" showErrorMessage="false" showInputMessage="false" sqref="C4:C1203" type="list">
      <formula1>'لیست‌ها'!$B$3:$B$4</formula1>
      <formula2>0</formula2>
    </dataValidation>
    <dataValidation allowBlank="true" errorStyle="stop" operator="between" showDropDown="false" showErrorMessage="false" showInputMessage="false" sqref="D4:D1203" type="list">
      <formula1>'لیست‌ها'!$D$3:$D$17</formula1>
      <formula2>0</formula2>
    </dataValidation>
    <dataValidation allowBlank="true" errorStyle="stop" operator="between" showDropDown="false" showErrorMessage="false" showInputMessage="false" sqref="G4:G1203" type="list">
      <formula1>'لیست‌ها'!$H$3:$H$18</formula1>
      <formula2>0</formula2>
    </dataValidation>
    <dataValidation allowBlank="true" errorStyle="stop" operator="between" showDropDown="false" showErrorMessage="false" showInputMessage="false" sqref="I4:I1203" type="list">
      <formula1>'لیست‌ها'!$J$3:$J$5</formula1>
      <formula2>0</formula2>
    </dataValidation>
    <dataValidation allowBlank="true" errorStyle="stop" operator="between" showDropDown="false" showErrorMessage="false" showInputMessage="false" sqref="O4:O1203" type="list">
      <formula1>'لیست‌ها'!$F$3:$F$20</formula1>
      <formula2>0</formula2>
    </dataValidation>
    <dataValidation allowBlank="true" errorStyle="stop" operator="between" showDropDown="false" showErrorMessage="false" showInputMessage="false" sqref="M4:M1203" type="list">
      <formula1>'لیست‌ها'!$L$3:$L$14</formula1>
      <formula2>0</formula2>
    </dataValidation>
    <dataValidation allowBlank="true" error="تاریخ باید به فرمت شمسی سال/ماه/روز باشد" errorStyle="stop" errorTitle="فرمت نامعتبر" operator="between" prompt="فرمت سال/ماه/روز — مثال: 1404/07/04" promptTitle="تاریخ شمسی" showDropDown="false" showErrorMessage="true" showInputMessage="true" sqref="H4:H1203" type="custom">
      <formula1>AND(ISNUMBER(FIND("/",H4)),LEN(H4)-LEN(SUBSTITUTE(H4,"/",""))=2)</formula1>
      <formula2>0</formula2>
    </dataValidation>
    <dataValidation allowBlank="true" error="تاریخ باید به فرمت شمسی سال/ماه/روز باشد" errorStyle="stop" errorTitle="فرمت نامعتبر" operator="between" prompt="فرمت سال/ماه/روز — مثال: 1404/07/04" promptTitle="تاریخ شمسی" showDropDown="false" showErrorMessage="true" showInputMessage="true" sqref="L4:L1203" type="custom">
      <formula1>AND(ISNUMBER(FIND("/",L4)),LEN(L4)-LEN(SUBSTITUTE(L4,"/",""))=2)</formula1>
      <formula2>0</formula2>
    </dataValidation>
    <dataValidation allowBlank="true" error="تاریخ باید به فرمت شمسی سال/ماه/روز باشد" errorStyle="stop" errorTitle="فرمت نامعتبر" operator="between" prompt="فرمت سال/ماه/روز — مثال: 1404/07/04" promptTitle="تاریخ شمسی" showDropDown="false" showErrorMessage="true" showInputMessage="true" sqref="P4:P1203" type="custom">
      <formula1>AND(ISNUMBER(FIND("/",P4)),LEN(P4)-LEN(SUBSTITUTE(P4,"/",""))=2)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1:T5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4" min="4" style="0" width="26"/>
    <col collapsed="false" customWidth="true" hidden="false" outlineLevel="0" max="6" min="6" style="0" width="26"/>
    <col collapsed="false" customWidth="true" hidden="false" outlineLevel="0" max="8" min="8" style="0" width="26"/>
    <col collapsed="false" customWidth="true" hidden="false" outlineLevel="0" max="10" min="10" style="0" width="26"/>
    <col collapsed="false" customWidth="true" hidden="false" outlineLevel="0" max="12" min="12" style="0" width="26"/>
    <col collapsed="false" customWidth="true" hidden="true" outlineLevel="0" max="17" min="16" style="0" width="13"/>
    <col collapsed="false" customWidth="true" hidden="true" outlineLevel="0" max="20" min="19" style="0" width="13"/>
  </cols>
  <sheetData>
    <row r="1" customFormat="false" ht="15" hidden="false" customHeight="false" outlineLevel="0" collapsed="false">
      <c r="P1" s="12" t="s">
        <v>564</v>
      </c>
    </row>
    <row r="2" customFormat="false" ht="15" hidden="false" customHeight="false" outlineLevel="0" collapsed="false">
      <c r="B2" s="13" t="s">
        <v>18</v>
      </c>
      <c r="D2" s="13" t="s">
        <v>19</v>
      </c>
      <c r="F2" s="13" t="s">
        <v>565</v>
      </c>
      <c r="H2" s="13" t="s">
        <v>22</v>
      </c>
      <c r="J2" s="13" t="s">
        <v>7</v>
      </c>
      <c r="L2" s="13" t="s">
        <v>27</v>
      </c>
      <c r="P2" s="12" t="s">
        <v>566</v>
      </c>
      <c r="Q2" s="12" t="s">
        <v>567</v>
      </c>
      <c r="S2" s="12" t="s">
        <v>568</v>
      </c>
      <c r="T2" s="12" t="s">
        <v>569</v>
      </c>
    </row>
    <row r="3" customFormat="false" ht="15" hidden="false" customHeight="false" outlineLevel="0" collapsed="false">
      <c r="B3" s="14" t="s">
        <v>38</v>
      </c>
      <c r="D3" s="14" t="s">
        <v>47</v>
      </c>
      <c r="F3" s="14" t="s">
        <v>570</v>
      </c>
      <c r="H3" s="14" t="s">
        <v>52</v>
      </c>
      <c r="J3" s="14" t="s">
        <v>54</v>
      </c>
      <c r="L3" s="14" t="s">
        <v>56</v>
      </c>
      <c r="P3" s="0" t="n">
        <v>1385</v>
      </c>
      <c r="Q3" s="15" t="n">
        <v>38797</v>
      </c>
      <c r="S3" s="12" t="n">
        <f aca="true">INDEX('لیست‌ها'!$P$3:$P$53,MATCH(TODAY(),'لیست‌ها'!$Q$3:$Q$53,1))</f>
        <v>1405</v>
      </c>
      <c r="T3" s="12" t="n">
        <f aca="true">IF((TODAY()-INDEX('لیست‌ها'!$Q$3:$Q$53,MATCH(TODAY(),'لیست‌ها'!$Q$3:$Q$53,1))+1)&lt;=31,1,IF((TODAY()-INDEX('لیست‌ها'!$Q$3:$Q$53,MATCH(TODAY(),'لیست‌ها'!$Q$3:$Q$53,1))+1)&lt;=62,2,IF((TODAY()-INDEX('لیست‌ها'!$Q$3:$Q$53,MATCH(TODAY(),'لیست‌ها'!$Q$3:$Q$53,1))+1)&lt;=93,3,IF((TODAY()-INDEX('لیست‌ها'!$Q$3:$Q$53,MATCH(TODAY(),'لیست‌ها'!$Q$3:$Q$53,1))+1)&lt;=124,4,IF((TODAY()-INDEX('لیست‌ها'!$Q$3:$Q$53,MATCH(TODAY(),'لیست‌ها'!$Q$3:$Q$53,1))+1)&lt;=155,5,IF((TODAY()-INDEX('لیست‌ها'!$Q$3:$Q$53,MATCH(TODAY(),'لیست‌ها'!$Q$3:$Q$53,1))+1)&lt;=186,6,IF((TODAY()-INDEX('لیست‌ها'!$Q$3:$Q$53,MATCH(TODAY(),'لیست‌ها'!$Q$3:$Q$53,1))+1)&lt;=216,7,IF((TODAY()-INDEX('لیست‌ها'!$Q$3:$Q$53,MATCH(TODAY(),'لیست‌ها'!$Q$3:$Q$53,1))+1)&lt;=246,8,IF((TODAY()-INDEX('لیست‌ها'!$Q$3:$Q$53,MATCH(TODAY(),'لیست‌ها'!$Q$3:$Q$53,1))+1)&lt;=276,9,IF((TODAY()-INDEX('لیست‌ها'!$Q$3:$Q$53,MATCH(TODAY(),'لیست‌ها'!$Q$3:$Q$53,1))+1)&lt;=306,10,IF((TODAY()-INDEX('لیست‌ها'!$Q$3:$Q$53,MATCH(TODAY(),'لیست‌ها'!$Q$3:$Q$53,1))+1)&lt;=336,11,12)))))))))))</f>
        <v>7</v>
      </c>
    </row>
    <row r="4" customFormat="false" ht="15" hidden="false" customHeight="false" outlineLevel="0" collapsed="false">
      <c r="B4" s="14" t="s">
        <v>46</v>
      </c>
      <c r="D4" s="14" t="s">
        <v>571</v>
      </c>
      <c r="F4" s="14" t="s">
        <v>572</v>
      </c>
      <c r="H4" s="14" t="s">
        <v>309</v>
      </c>
      <c r="J4" s="14" t="s">
        <v>573</v>
      </c>
      <c r="L4" s="14" t="s">
        <v>44</v>
      </c>
      <c r="P4" s="0" t="n">
        <v>1386</v>
      </c>
      <c r="Q4" s="15" t="n">
        <v>39162</v>
      </c>
    </row>
    <row r="5" customFormat="false" ht="15" hidden="false" customHeight="false" outlineLevel="0" collapsed="false">
      <c r="D5" s="14" t="s">
        <v>339</v>
      </c>
      <c r="F5" s="14" t="s">
        <v>574</v>
      </c>
      <c r="H5" s="14" t="s">
        <v>144</v>
      </c>
      <c r="J5" s="14" t="s">
        <v>575</v>
      </c>
      <c r="L5" s="14" t="s">
        <v>110</v>
      </c>
      <c r="P5" s="0" t="n">
        <v>1387</v>
      </c>
      <c r="Q5" s="15" t="n">
        <v>39527</v>
      </c>
    </row>
    <row r="6" customFormat="false" ht="15" hidden="false" customHeight="false" outlineLevel="0" collapsed="false">
      <c r="D6" s="14" t="s">
        <v>128</v>
      </c>
      <c r="F6" s="14" t="s">
        <v>144</v>
      </c>
      <c r="H6" s="14" t="s">
        <v>92</v>
      </c>
      <c r="L6" s="14" t="s">
        <v>71</v>
      </c>
      <c r="P6" s="0" t="n">
        <v>1388</v>
      </c>
      <c r="Q6" s="15" t="n">
        <v>39893</v>
      </c>
    </row>
    <row r="7" customFormat="false" ht="15" hidden="false" customHeight="false" outlineLevel="0" collapsed="false">
      <c r="D7" s="14" t="s">
        <v>576</v>
      </c>
      <c r="F7" s="14" t="s">
        <v>42</v>
      </c>
      <c r="H7" s="14" t="s">
        <v>381</v>
      </c>
      <c r="L7" s="14" t="s">
        <v>371</v>
      </c>
      <c r="P7" s="0" t="n">
        <v>1389</v>
      </c>
      <c r="Q7" s="15" t="n">
        <v>40258</v>
      </c>
    </row>
    <row r="8" customFormat="false" ht="15" hidden="false" customHeight="false" outlineLevel="0" collapsed="false">
      <c r="D8" s="14" t="s">
        <v>577</v>
      </c>
      <c r="F8" s="14" t="s">
        <v>578</v>
      </c>
      <c r="H8" s="14" t="s">
        <v>579</v>
      </c>
      <c r="L8" s="14" t="s">
        <v>580</v>
      </c>
      <c r="P8" s="0" t="n">
        <v>1390</v>
      </c>
      <c r="Q8" s="15" t="n">
        <v>40623</v>
      </c>
    </row>
    <row r="9" customFormat="false" ht="15" hidden="false" customHeight="false" outlineLevel="0" collapsed="false">
      <c r="D9" s="14" t="s">
        <v>581</v>
      </c>
      <c r="F9" s="14" t="s">
        <v>582</v>
      </c>
      <c r="H9" s="14" t="s">
        <v>42</v>
      </c>
      <c r="L9" s="14" t="s">
        <v>276</v>
      </c>
      <c r="P9" s="0" t="n">
        <v>1391</v>
      </c>
      <c r="Q9" s="15" t="n">
        <v>40988</v>
      </c>
    </row>
    <row r="10" customFormat="false" ht="15" hidden="false" customHeight="false" outlineLevel="0" collapsed="false">
      <c r="D10" s="14" t="s">
        <v>89</v>
      </c>
      <c r="F10" s="14" t="s">
        <v>583</v>
      </c>
      <c r="H10" s="14" t="s">
        <v>394</v>
      </c>
      <c r="L10" s="14" t="s">
        <v>540</v>
      </c>
      <c r="P10" s="0" t="n">
        <v>1392</v>
      </c>
      <c r="Q10" s="15" t="n">
        <v>41354</v>
      </c>
    </row>
    <row r="11" customFormat="false" ht="15" hidden="false" customHeight="false" outlineLevel="0" collapsed="false">
      <c r="D11" s="14" t="s">
        <v>306</v>
      </c>
      <c r="F11" s="14" t="s">
        <v>584</v>
      </c>
      <c r="H11" s="14" t="s">
        <v>138</v>
      </c>
      <c r="L11" s="14" t="s">
        <v>585</v>
      </c>
      <c r="P11" s="0" t="n">
        <v>1393</v>
      </c>
      <c r="Q11" s="15" t="n">
        <v>41719</v>
      </c>
    </row>
    <row r="12" customFormat="false" ht="15" hidden="false" customHeight="false" outlineLevel="0" collapsed="false">
      <c r="D12" s="14" t="s">
        <v>586</v>
      </c>
      <c r="F12" s="14" t="s">
        <v>587</v>
      </c>
      <c r="H12" s="14" t="s">
        <v>368</v>
      </c>
      <c r="L12" s="14" t="s">
        <v>588</v>
      </c>
      <c r="P12" s="0" t="n">
        <v>1394</v>
      </c>
      <c r="Q12" s="15" t="n">
        <v>42084</v>
      </c>
    </row>
    <row r="13" customFormat="false" ht="15" hidden="false" customHeight="false" outlineLevel="0" collapsed="false">
      <c r="D13" s="14" t="s">
        <v>589</v>
      </c>
      <c r="F13" s="14" t="s">
        <v>590</v>
      </c>
      <c r="H13" s="14" t="s">
        <v>459</v>
      </c>
      <c r="L13" s="14" t="s">
        <v>24</v>
      </c>
      <c r="P13" s="0" t="n">
        <v>1395</v>
      </c>
      <c r="Q13" s="15" t="n">
        <v>42449</v>
      </c>
    </row>
    <row r="14" customFormat="false" ht="15" hidden="false" customHeight="false" outlineLevel="0" collapsed="false">
      <c r="D14" s="14" t="s">
        <v>591</v>
      </c>
      <c r="F14" s="14" t="s">
        <v>394</v>
      </c>
      <c r="H14" s="14" t="s">
        <v>456</v>
      </c>
      <c r="L14" s="14" t="s">
        <v>592</v>
      </c>
      <c r="P14" s="0" t="n">
        <v>1396</v>
      </c>
      <c r="Q14" s="15" t="n">
        <v>42815</v>
      </c>
    </row>
    <row r="15" customFormat="false" ht="15" hidden="false" customHeight="false" outlineLevel="0" collapsed="false">
      <c r="D15" s="14" t="s">
        <v>593</v>
      </c>
      <c r="F15" s="14" t="s">
        <v>594</v>
      </c>
      <c r="H15" s="14" t="s">
        <v>131</v>
      </c>
      <c r="P15" s="0" t="n">
        <v>1397</v>
      </c>
      <c r="Q15" s="15" t="n">
        <v>43180</v>
      </c>
    </row>
    <row r="16" customFormat="false" ht="15" hidden="false" customHeight="false" outlineLevel="0" collapsed="false">
      <c r="D16" s="14" t="s">
        <v>595</v>
      </c>
      <c r="F16" s="14" t="s">
        <v>131</v>
      </c>
      <c r="H16" s="14" t="s">
        <v>596</v>
      </c>
      <c r="P16" s="0" t="n">
        <v>1398</v>
      </c>
      <c r="Q16" s="15" t="n">
        <v>43545</v>
      </c>
    </row>
    <row r="17" customFormat="false" ht="15" hidden="false" customHeight="false" outlineLevel="0" collapsed="false">
      <c r="D17" s="14" t="s">
        <v>39</v>
      </c>
      <c r="F17" s="14" t="s">
        <v>597</v>
      </c>
      <c r="H17" s="14" t="s">
        <v>598</v>
      </c>
      <c r="P17" s="0" t="n">
        <v>1399</v>
      </c>
      <c r="Q17" s="15" t="n">
        <v>43910</v>
      </c>
    </row>
    <row r="18" customFormat="false" ht="15" hidden="false" customHeight="false" outlineLevel="0" collapsed="false">
      <c r="F18" s="14" t="s">
        <v>599</v>
      </c>
      <c r="H18" s="14" t="s">
        <v>600</v>
      </c>
      <c r="P18" s="0" t="n">
        <v>1400</v>
      </c>
      <c r="Q18" s="15" t="n">
        <v>44276</v>
      </c>
    </row>
    <row r="19" customFormat="false" ht="15" hidden="false" customHeight="false" outlineLevel="0" collapsed="false">
      <c r="F19" s="14" t="s">
        <v>601</v>
      </c>
      <c r="P19" s="0" t="n">
        <v>1401</v>
      </c>
      <c r="Q19" s="15" t="n">
        <v>44641</v>
      </c>
    </row>
    <row r="20" customFormat="false" ht="15" hidden="false" customHeight="false" outlineLevel="0" collapsed="false">
      <c r="F20" s="14" t="s">
        <v>602</v>
      </c>
      <c r="P20" s="0" t="n">
        <v>1402</v>
      </c>
      <c r="Q20" s="15" t="n">
        <v>45006</v>
      </c>
    </row>
    <row r="21" customFormat="false" ht="15" hidden="false" customHeight="false" outlineLevel="0" collapsed="false">
      <c r="P21" s="0" t="n">
        <v>1403</v>
      </c>
      <c r="Q21" s="15" t="n">
        <v>45371</v>
      </c>
    </row>
    <row r="22" customFormat="false" ht="15" hidden="false" customHeight="false" outlineLevel="0" collapsed="false">
      <c r="P22" s="0" t="n">
        <v>1404</v>
      </c>
      <c r="Q22" s="15" t="n">
        <v>45737</v>
      </c>
    </row>
    <row r="23" customFormat="false" ht="15" hidden="false" customHeight="false" outlineLevel="0" collapsed="false">
      <c r="P23" s="0" t="n">
        <v>1405</v>
      </c>
      <c r="Q23" s="15" t="n">
        <v>46102</v>
      </c>
    </row>
    <row r="24" customFormat="false" ht="15" hidden="false" customHeight="false" outlineLevel="0" collapsed="false">
      <c r="P24" s="0" t="n">
        <v>1406</v>
      </c>
      <c r="Q24" s="15" t="n">
        <v>46467</v>
      </c>
    </row>
    <row r="25" customFormat="false" ht="15" hidden="false" customHeight="false" outlineLevel="0" collapsed="false">
      <c r="P25" s="0" t="n">
        <v>1407</v>
      </c>
      <c r="Q25" s="15" t="n">
        <v>46832</v>
      </c>
    </row>
    <row r="26" customFormat="false" ht="15" hidden="false" customHeight="false" outlineLevel="0" collapsed="false">
      <c r="P26" s="0" t="n">
        <v>1408</v>
      </c>
      <c r="Q26" s="15" t="n">
        <v>47197</v>
      </c>
    </row>
    <row r="27" customFormat="false" ht="15" hidden="false" customHeight="false" outlineLevel="0" collapsed="false">
      <c r="P27" s="0" t="n">
        <v>1409</v>
      </c>
      <c r="Q27" s="15" t="n">
        <v>47563</v>
      </c>
    </row>
    <row r="28" customFormat="false" ht="15" hidden="false" customHeight="false" outlineLevel="0" collapsed="false">
      <c r="P28" s="0" t="n">
        <v>1410</v>
      </c>
      <c r="Q28" s="15" t="n">
        <v>47928</v>
      </c>
    </row>
    <row r="29" customFormat="false" ht="15" hidden="false" customHeight="false" outlineLevel="0" collapsed="false">
      <c r="P29" s="0" t="n">
        <v>1411</v>
      </c>
      <c r="Q29" s="15" t="n">
        <v>48293</v>
      </c>
    </row>
    <row r="30" customFormat="false" ht="15" hidden="false" customHeight="false" outlineLevel="0" collapsed="false">
      <c r="P30" s="0" t="n">
        <v>1412</v>
      </c>
      <c r="Q30" s="15" t="n">
        <v>48658</v>
      </c>
    </row>
    <row r="31" customFormat="false" ht="15" hidden="false" customHeight="false" outlineLevel="0" collapsed="false">
      <c r="P31" s="0" t="n">
        <v>1413</v>
      </c>
      <c r="Q31" s="15" t="n">
        <v>49024</v>
      </c>
    </row>
    <row r="32" customFormat="false" ht="15" hidden="false" customHeight="false" outlineLevel="0" collapsed="false">
      <c r="P32" s="0" t="n">
        <v>1414</v>
      </c>
      <c r="Q32" s="15" t="n">
        <v>49389</v>
      </c>
    </row>
    <row r="33" customFormat="false" ht="15" hidden="false" customHeight="false" outlineLevel="0" collapsed="false">
      <c r="P33" s="0" t="n">
        <v>1415</v>
      </c>
      <c r="Q33" s="15" t="n">
        <v>49754</v>
      </c>
    </row>
    <row r="34" customFormat="false" ht="15" hidden="false" customHeight="false" outlineLevel="0" collapsed="false">
      <c r="P34" s="0" t="n">
        <v>1416</v>
      </c>
      <c r="Q34" s="15" t="n">
        <v>50119</v>
      </c>
    </row>
    <row r="35" customFormat="false" ht="15" hidden="false" customHeight="false" outlineLevel="0" collapsed="false">
      <c r="P35" s="0" t="n">
        <v>1417</v>
      </c>
      <c r="Q35" s="15" t="n">
        <v>50485</v>
      </c>
    </row>
    <row r="36" customFormat="false" ht="15" hidden="false" customHeight="false" outlineLevel="0" collapsed="false">
      <c r="P36" s="0" t="n">
        <v>1418</v>
      </c>
      <c r="Q36" s="15" t="n">
        <v>50850</v>
      </c>
    </row>
    <row r="37" customFormat="false" ht="15" hidden="false" customHeight="false" outlineLevel="0" collapsed="false">
      <c r="P37" s="0" t="n">
        <v>1419</v>
      </c>
      <c r="Q37" s="15" t="n">
        <v>51215</v>
      </c>
    </row>
    <row r="38" customFormat="false" ht="15" hidden="false" customHeight="false" outlineLevel="0" collapsed="false">
      <c r="P38" s="0" t="n">
        <v>1420</v>
      </c>
      <c r="Q38" s="15" t="n">
        <v>51580</v>
      </c>
    </row>
    <row r="39" customFormat="false" ht="15" hidden="false" customHeight="false" outlineLevel="0" collapsed="false">
      <c r="P39" s="0" t="n">
        <v>1421</v>
      </c>
      <c r="Q39" s="15" t="n">
        <v>51946</v>
      </c>
    </row>
    <row r="40" customFormat="false" ht="15" hidden="false" customHeight="false" outlineLevel="0" collapsed="false">
      <c r="P40" s="0" t="n">
        <v>1422</v>
      </c>
      <c r="Q40" s="15" t="n">
        <v>52311</v>
      </c>
    </row>
    <row r="41" customFormat="false" ht="15" hidden="false" customHeight="false" outlineLevel="0" collapsed="false">
      <c r="P41" s="0" t="n">
        <v>1423</v>
      </c>
      <c r="Q41" s="15" t="n">
        <v>52676</v>
      </c>
    </row>
    <row r="42" customFormat="false" ht="15" hidden="false" customHeight="false" outlineLevel="0" collapsed="false">
      <c r="P42" s="0" t="n">
        <v>1424</v>
      </c>
      <c r="Q42" s="15" t="n">
        <v>53041</v>
      </c>
    </row>
    <row r="43" customFormat="false" ht="15" hidden="false" customHeight="false" outlineLevel="0" collapsed="false">
      <c r="P43" s="0" t="n">
        <v>1425</v>
      </c>
      <c r="Q43" s="15" t="n">
        <v>53407</v>
      </c>
    </row>
    <row r="44" customFormat="false" ht="15" hidden="false" customHeight="false" outlineLevel="0" collapsed="false">
      <c r="P44" s="0" t="n">
        <v>1426</v>
      </c>
      <c r="Q44" s="15" t="n">
        <v>53772</v>
      </c>
    </row>
    <row r="45" customFormat="false" ht="15" hidden="false" customHeight="false" outlineLevel="0" collapsed="false">
      <c r="P45" s="0" t="n">
        <v>1427</v>
      </c>
      <c r="Q45" s="15" t="n">
        <v>54137</v>
      </c>
    </row>
    <row r="46" customFormat="false" ht="15" hidden="false" customHeight="false" outlineLevel="0" collapsed="false">
      <c r="P46" s="0" t="n">
        <v>1428</v>
      </c>
      <c r="Q46" s="15" t="n">
        <v>54502</v>
      </c>
    </row>
    <row r="47" customFormat="false" ht="15" hidden="false" customHeight="false" outlineLevel="0" collapsed="false">
      <c r="P47" s="0" t="n">
        <v>1429</v>
      </c>
      <c r="Q47" s="15" t="n">
        <v>54868</v>
      </c>
    </row>
    <row r="48" customFormat="false" ht="15" hidden="false" customHeight="false" outlineLevel="0" collapsed="false">
      <c r="P48" s="0" t="n">
        <v>1430</v>
      </c>
      <c r="Q48" s="15" t="n">
        <v>55233</v>
      </c>
    </row>
    <row r="49" customFormat="false" ht="15" hidden="false" customHeight="false" outlineLevel="0" collapsed="false">
      <c r="P49" s="0" t="n">
        <v>1431</v>
      </c>
      <c r="Q49" s="15" t="n">
        <v>55598</v>
      </c>
    </row>
    <row r="50" customFormat="false" ht="15" hidden="false" customHeight="false" outlineLevel="0" collapsed="false">
      <c r="P50" s="0" t="n">
        <v>1432</v>
      </c>
      <c r="Q50" s="15" t="n">
        <v>55963</v>
      </c>
    </row>
    <row r="51" customFormat="false" ht="15" hidden="false" customHeight="false" outlineLevel="0" collapsed="false">
      <c r="P51" s="0" t="n">
        <v>1433</v>
      </c>
      <c r="Q51" s="15" t="n">
        <v>56329</v>
      </c>
    </row>
    <row r="52" customFormat="false" ht="15" hidden="false" customHeight="false" outlineLevel="0" collapsed="false">
      <c r="P52" s="0" t="n">
        <v>1434</v>
      </c>
      <c r="Q52" s="15" t="n">
        <v>56694</v>
      </c>
    </row>
    <row r="53" customFormat="false" ht="15" hidden="false" customHeight="false" outlineLevel="0" collapsed="false">
      <c r="P53" s="0" t="n">
        <v>1435</v>
      </c>
      <c r="Q53" s="15" t="n">
        <v>57059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true"/>
  </sheetPr>
  <dimension ref="A1:K92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3"/>
  </cols>
  <sheetData>
    <row r="1" customFormat="false" ht="27.75" hidden="false" customHeight="true" outlineLevel="0" collapsed="false">
      <c r="A1" s="16" t="s">
        <v>603</v>
      </c>
      <c r="B1" s="16"/>
      <c r="C1" s="16"/>
      <c r="D1" s="16"/>
      <c r="E1" s="16"/>
      <c r="F1" s="16"/>
      <c r="G1" s="16"/>
      <c r="H1" s="16"/>
      <c r="I1" s="16"/>
      <c r="J1" s="16"/>
    </row>
    <row r="4" customFormat="false" ht="30" hidden="false" customHeight="true" outlineLevel="0" collapsed="false">
      <c r="B4" s="17" t="s">
        <v>604</v>
      </c>
      <c r="C4" s="17"/>
      <c r="D4" s="18" t="s">
        <v>605</v>
      </c>
      <c r="E4" s="18"/>
      <c r="F4" s="19" t="s">
        <v>606</v>
      </c>
      <c r="G4" s="19"/>
      <c r="H4" s="20" t="s">
        <v>607</v>
      </c>
      <c r="I4" s="20"/>
      <c r="J4" s="21" t="s">
        <v>608</v>
      </c>
      <c r="K4" s="21"/>
    </row>
    <row r="5" customFormat="false" ht="15" hidden="false" customHeight="false" outlineLevel="0" collapsed="false">
      <c r="B5" s="22" t="n">
        <f aca="false">COUNTIF('ورودی اقدامات'!$B$4:$B$1203,"&lt;&gt;")</f>
        <v>246</v>
      </c>
      <c r="C5" s="22"/>
      <c r="D5" s="23" t="n">
        <f aca="false">COUNTIF('ورودی اقدامات'!$U$4:$U$1203,"در حال انجام")</f>
        <v>65</v>
      </c>
      <c r="E5" s="23"/>
      <c r="F5" s="24" t="n">
        <f aca="false">COUNTIF('ورودی اقدامات'!$U$4:$U$1203,"تاخیر")</f>
        <v>54</v>
      </c>
      <c r="G5" s="24"/>
      <c r="H5" s="25" t="n">
        <f aca="false">COUNTIF('ورودی اقدامات'!$U$4:$U$1203,"بسته")</f>
        <v>127</v>
      </c>
      <c r="I5" s="25"/>
      <c r="J5" s="26" t="str">
        <f aca="false">IFERROR(COUNTIFS('ورودی اقدامات'!$U$4:$U$1203,"بسته",'ورودی اقدامات'!$P$4:$P$1203,"&lt;&gt;",'ورودی اقدامات'!$V$4:$V$1203,0)/COUNTIFS('ورودی اقدامات'!$U$4:$U$1203,"بسته",'ورودی اقدامات'!$P$4:$P$1203,"&lt;&gt;"),"—")</f>
        <v>—</v>
      </c>
      <c r="K5" s="26"/>
    </row>
    <row r="6" customFormat="false" ht="15" hidden="false" customHeight="false" outlineLevel="0" collapsed="false">
      <c r="B6" s="22"/>
      <c r="C6" s="22"/>
      <c r="D6" s="23"/>
      <c r="E6" s="23"/>
      <c r="F6" s="24"/>
      <c r="G6" s="24"/>
      <c r="H6" s="25"/>
      <c r="I6" s="25"/>
      <c r="J6" s="26"/>
      <c r="K6" s="26"/>
    </row>
    <row r="7" customFormat="false" ht="24" hidden="false" customHeight="true" outlineLevel="0" collapsed="false">
      <c r="B7" s="27" t="s">
        <v>609</v>
      </c>
      <c r="C7" s="27"/>
      <c r="D7" s="27"/>
      <c r="E7" s="27"/>
      <c r="F7" s="27"/>
      <c r="G7" s="27"/>
      <c r="H7" s="27"/>
      <c r="I7" s="27"/>
      <c r="J7" s="27"/>
    </row>
    <row r="9" customFormat="false" ht="21.75" hidden="false" customHeight="true" outlineLevel="0" collapsed="false">
      <c r="B9" s="28" t="str">
        <f aca="false">"از مجموع "&amp;TEXT(COUNTIF('ورودی اقدامات'!$B$4:$B$1203,"&lt;&gt;"),"#,##0")&amp;" اقدام ثبت‌شده، "&amp;TEXT(COUNTIF('ورودی اقدامات'!$U$4:$U$1203,"بسته"),"#,##0")&amp;" مورد ("&amp;TEXT(IFERROR(COUNTIF('ورودی اقدامات'!$U$4:$U$1203,"بسته")/COUNTIF('ورودی اقدامات'!$B$4:$B$1203,"&lt;&gt;"),0),"0%")&amp;") بسته شده و "&amp;TEXT(COUNTIF('ورودی اقدامات'!$U$4:$U$1203,"تاخیر"),"#,##0")&amp;" مورد ("&amp;TEXT(IFERROR(COUNTIF('ورودی اقدامات'!$U$4:$U$1203,"تاخیر")/COUNTIF('ورودی اقدامات'!$B$4:$B$1203,"&lt;&gt;"),0),"0%")&amp;") با تاخیر مواجه هستند. "&amp;TEXT(COUNTIF('ورودی اقدامات'!$U$4:$U$1203,"در حال انجام"),"#,##0")&amp;" مورد در حال انجام (بدون تاخیر) است. اثربخشی "&amp;TEXT(IFERROR(COUNTIF('ورودی اقدامات'!$I$4:$I$1203,"می‌باشد")/COUNTIF('ورودی اقدامات'!$I$4:$I$1203,"&lt;&gt;"),0),"0%")&amp;" از اقدامات بسته‌شده تایید شده است."</f>
        <v>از مجموع 246 اقدام ثبت‌شده، 127 مورد (52%) بسته شده و 54 مورد (22%) با تاخیر مواجه هستند. 65 مورد در حال انجام (بدون تاخیر) است. اثربخشی 100% از اقدامات بسته‌شده تایید شده است.</v>
      </c>
      <c r="C9" s="28"/>
      <c r="D9" s="28"/>
      <c r="E9" s="28"/>
      <c r="F9" s="28"/>
      <c r="G9" s="28"/>
      <c r="H9" s="28"/>
      <c r="I9" s="28"/>
      <c r="J9" s="28"/>
    </row>
    <row r="10" customFormat="false" ht="21.75" hidden="false" customHeight="true" outlineLevel="0" collapsed="false">
      <c r="B10" s="28"/>
      <c r="C10" s="28"/>
      <c r="D10" s="28"/>
      <c r="E10" s="28"/>
      <c r="F10" s="28"/>
      <c r="G10" s="28"/>
      <c r="H10" s="28"/>
      <c r="I10" s="28"/>
      <c r="J10" s="28"/>
    </row>
    <row r="12" customFormat="false" ht="15" hidden="false" customHeight="false" outlineLevel="0" collapsed="false">
      <c r="B12" s="29" t="s">
        <v>35</v>
      </c>
      <c r="E12" s="29" t="s">
        <v>610</v>
      </c>
      <c r="H12" s="29" t="s">
        <v>611</v>
      </c>
    </row>
    <row r="13" customFormat="false" ht="15" hidden="false" customHeight="false" outlineLevel="0" collapsed="false">
      <c r="B13" s="30" t="s">
        <v>612</v>
      </c>
      <c r="C13" s="30" t="s">
        <v>613</v>
      </c>
      <c r="E13" s="30" t="s">
        <v>18</v>
      </c>
      <c r="F13" s="30" t="s">
        <v>613</v>
      </c>
      <c r="H13" s="30" t="s">
        <v>565</v>
      </c>
      <c r="I13" s="30" t="s">
        <v>613</v>
      </c>
    </row>
    <row r="14" customFormat="false" ht="15" hidden="false" customHeight="false" outlineLevel="0" collapsed="false">
      <c r="B14" s="14" t="s">
        <v>605</v>
      </c>
      <c r="C14" s="31" t="n">
        <f aca="false">COUNTIF('ورودی اقدامات'!$U$4:$U$1203,B14)</f>
        <v>65</v>
      </c>
      <c r="E14" s="14" t="s">
        <v>38</v>
      </c>
      <c r="F14" s="31" t="n">
        <f aca="false">COUNTIF('ورودی اقدامات'!$C$4:$C$1203,E14)</f>
        <v>237</v>
      </c>
      <c r="H14" s="14" t="str">
        <f aca="false">'لیست‌ها'!F3</f>
        <v>بازرگانی</v>
      </c>
      <c r="I14" s="31" t="n">
        <f aca="false">COUNTIF('ورودی اقدامات'!$O$4:$O$1203,H14)</f>
        <v>0</v>
      </c>
    </row>
    <row r="15" customFormat="false" ht="15" hidden="false" customHeight="false" outlineLevel="0" collapsed="false">
      <c r="B15" s="14" t="s">
        <v>614</v>
      </c>
      <c r="C15" s="31" t="n">
        <f aca="false">COUNTIF('ورودی اقدامات'!$U$4:$U$1203,B15)</f>
        <v>54</v>
      </c>
      <c r="E15" s="14" t="s">
        <v>46</v>
      </c>
      <c r="F15" s="31" t="n">
        <f aca="false">COUNTIF('ورودی اقدامات'!$C$4:$C$1203,E15)</f>
        <v>9</v>
      </c>
      <c r="H15" s="14" t="str">
        <f aca="false">'لیست‌ها'!F4</f>
        <v>تدارکات</v>
      </c>
      <c r="I15" s="31" t="n">
        <f aca="false">COUNTIF('ورودی اقدامات'!$O$4:$O$1203,H15)</f>
        <v>0</v>
      </c>
    </row>
    <row r="16" customFormat="false" ht="15" hidden="false" customHeight="false" outlineLevel="0" collapsed="false">
      <c r="B16" s="14" t="s">
        <v>615</v>
      </c>
      <c r="C16" s="31" t="n">
        <f aca="false">COUNTIF('ورودی اقدامات'!$U$4:$U$1203,B16)</f>
        <v>127</v>
      </c>
      <c r="H16" s="14" t="str">
        <f aca="false">'لیست‌ها'!F5</f>
        <v>طراحی و مهندسی</v>
      </c>
      <c r="I16" s="31" t="n">
        <f aca="false">COUNTIF('ورودی اقدامات'!$O$4:$O$1203,H16)</f>
        <v>0</v>
      </c>
    </row>
    <row r="17" customFormat="false" ht="15" hidden="false" customHeight="false" outlineLevel="0" collapsed="false">
      <c r="H17" s="14" t="str">
        <f aca="false">'لیست‌ها'!F6</f>
        <v>تولید</v>
      </c>
      <c r="I17" s="31" t="n">
        <f aca="false">COUNTIF('ورودی اقدامات'!$O$4:$O$1203,H17)</f>
        <v>0</v>
      </c>
    </row>
    <row r="18" customFormat="false" ht="15" hidden="false" customHeight="false" outlineLevel="0" collapsed="false">
      <c r="H18" s="14" t="str">
        <f aca="false">'لیست‌ها'!F7</f>
        <v>برنامه‌ریزی</v>
      </c>
      <c r="I18" s="31" t="n">
        <f aca="false">COUNTIF('ورودی اقدامات'!$O$4:$O$1203,H18)</f>
        <v>0</v>
      </c>
    </row>
    <row r="19" customFormat="false" ht="15" hidden="false" customHeight="false" outlineLevel="0" collapsed="false">
      <c r="H19" s="14" t="str">
        <f aca="false">'لیست‌ها'!F8</f>
        <v>مدیریت</v>
      </c>
      <c r="I19" s="31" t="n">
        <f aca="false">COUNTIF('ورودی اقدامات'!$O$4:$O$1203,H19)</f>
        <v>0</v>
      </c>
    </row>
    <row r="20" customFormat="false" ht="15" hidden="false" customHeight="false" outlineLevel="0" collapsed="false">
      <c r="H20" s="14" t="str">
        <f aca="false">'لیست‌ها'!F9</f>
        <v>کیفیت</v>
      </c>
      <c r="I20" s="31" t="n">
        <f aca="false">COUNTIF('ورودی اقدامات'!$O$4:$O$1203,H20)</f>
        <v>0</v>
      </c>
    </row>
    <row r="21" customFormat="false" ht="15" hidden="false" customHeight="false" outlineLevel="0" collapsed="false">
      <c r="H21" s="14" t="str">
        <f aca="false">'لیست‌ها'!F10</f>
        <v>تضمین کیفیت</v>
      </c>
      <c r="I21" s="31" t="n">
        <f aca="false">COUNTIF('ورودی اقدامات'!$O$4:$O$1203,H21)</f>
        <v>0</v>
      </c>
    </row>
    <row r="22" customFormat="false" ht="15" hidden="false" customHeight="false" outlineLevel="0" collapsed="false">
      <c r="H22" s="14" t="str">
        <f aca="false">'لیست‌ها'!F11</f>
        <v>مهندسی کیفیت</v>
      </c>
      <c r="I22" s="31" t="n">
        <f aca="false">COUNTIF('ورودی اقدامات'!$O$4:$O$1203,H22)</f>
        <v>0</v>
      </c>
    </row>
    <row r="23" customFormat="false" ht="15" hidden="false" customHeight="false" outlineLevel="0" collapsed="false">
      <c r="H23" s="14" t="str">
        <f aca="false">'لیست‌ها'!F12</f>
        <v>پروژه‌ها</v>
      </c>
      <c r="I23" s="31" t="n">
        <f aca="false">COUNTIF('ورودی اقدامات'!$O$4:$O$1203,H23)</f>
        <v>0</v>
      </c>
    </row>
    <row r="24" customFormat="false" ht="15" hidden="false" customHeight="false" outlineLevel="0" collapsed="false">
      <c r="H24" s="14" t="str">
        <f aca="false">'لیست‌ها'!F13</f>
        <v>IT</v>
      </c>
      <c r="I24" s="31" t="n">
        <f aca="false">COUNTIF('ورودی اقدامات'!$O$4:$O$1203,H24)</f>
        <v>0</v>
      </c>
    </row>
    <row r="25" customFormat="false" ht="15" hidden="false" customHeight="false" outlineLevel="0" collapsed="false">
      <c r="H25" s="14" t="str">
        <f aca="false">'لیست‌ها'!F14</f>
        <v>نگهداری و تعمیرات</v>
      </c>
      <c r="I25" s="31" t="n">
        <f aca="false">COUNTIF('ورودی اقدامات'!$O$4:$O$1203,H25)</f>
        <v>0</v>
      </c>
    </row>
    <row r="26" customFormat="false" ht="15" hidden="false" customHeight="false" outlineLevel="0" collapsed="false">
      <c r="H26" s="14" t="str">
        <f aca="false">'لیست‌ها'!F15</f>
        <v>اداری</v>
      </c>
      <c r="I26" s="31" t="n">
        <f aca="false">COUNTIF('ورودی اقدامات'!$O$4:$O$1203,H26)</f>
        <v>0</v>
      </c>
    </row>
    <row r="27" customFormat="false" ht="15" hidden="false" customHeight="false" outlineLevel="0" collapsed="false">
      <c r="H27" s="14" t="str">
        <f aca="false">'لیست‌ها'!F16</f>
        <v>فروش</v>
      </c>
      <c r="I27" s="31" t="n">
        <f aca="false">COUNTIF('ورودی اقدامات'!$O$4:$O$1203,H27)</f>
        <v>0</v>
      </c>
    </row>
    <row r="28" customFormat="false" ht="15" hidden="false" customHeight="false" outlineLevel="0" collapsed="false">
      <c r="H28" s="14" t="str">
        <f aca="false">'لیست‌ها'!F17</f>
        <v>مالی</v>
      </c>
      <c r="I28" s="31" t="n">
        <f aca="false">COUNTIF('ورودی اقدامات'!$O$4:$O$1203,H28)</f>
        <v>0</v>
      </c>
    </row>
    <row r="29" customFormat="false" ht="15" hidden="false" customHeight="false" outlineLevel="0" collapsed="false">
      <c r="H29" s="14" t="str">
        <f aca="false">'لیست‌ها'!F18</f>
        <v>ایمنی</v>
      </c>
      <c r="I29" s="31" t="n">
        <f aca="false">COUNTIF('ورودی اقدامات'!$O$4:$O$1203,H29)</f>
        <v>0</v>
      </c>
    </row>
    <row r="30" customFormat="false" ht="15" hidden="false" customHeight="false" outlineLevel="0" collapsed="false">
      <c r="H30" s="14" t="str">
        <f aca="false">'لیست‌ها'!F19</f>
        <v>آزمایشگاه</v>
      </c>
      <c r="I30" s="31" t="n">
        <f aca="false">COUNTIF('ورودی اقدامات'!$O$4:$O$1203,H30)</f>
        <v>0</v>
      </c>
    </row>
    <row r="31" customFormat="false" ht="15" hidden="false" customHeight="false" outlineLevel="0" collapsed="false">
      <c r="H31" s="14" t="str">
        <f aca="false">'لیست‌ها'!F20</f>
        <v>آموزش</v>
      </c>
      <c r="I31" s="31" t="n">
        <f aca="false">COUNTIF('ورودی اقدامات'!$O$4:$O$1203,H31)</f>
        <v>0</v>
      </c>
    </row>
    <row r="34" customFormat="false" ht="15" hidden="false" customHeight="false" outlineLevel="0" collapsed="false">
      <c r="B34" s="29" t="s">
        <v>616</v>
      </c>
      <c r="E34" s="29" t="s">
        <v>617</v>
      </c>
    </row>
    <row r="35" customFormat="false" ht="15" hidden="false" customHeight="false" outlineLevel="0" collapsed="false">
      <c r="B35" s="30" t="s">
        <v>618</v>
      </c>
      <c r="C35" s="30" t="s">
        <v>613</v>
      </c>
      <c r="E35" s="30" t="s">
        <v>619</v>
      </c>
      <c r="F35" s="30" t="s">
        <v>613</v>
      </c>
    </row>
    <row r="36" customFormat="false" ht="15" hidden="false" customHeight="false" outlineLevel="0" collapsed="false">
      <c r="B36" s="14" t="s">
        <v>47</v>
      </c>
      <c r="C36" s="31" t="n">
        <f aca="false">COUNTIF('ورودی اقدامات'!$D$4:$D$1203,B36)</f>
        <v>154</v>
      </c>
      <c r="E36" s="31" t="str">
        <f aca="false">INT((((IF(MAX('ورودی اقدامات'!$AJ$4:$AJ$1203)=0,('لیست‌ها'!$S$3*12+'لیست‌ها'!$T$3),MAX('ورودی اقدامات'!$AJ$4:$AJ$1203)))+(-11))-1)/12)&amp;"-"&amp;TEXT(MOD(((IF(MAX('ورودی اقدامات'!$AJ$4:$AJ$1203)=0,('لیست‌ها'!$S$3*12+'لیست‌ها'!$T$3),MAX('ورودی اقدامات'!$AJ$4:$AJ$1203)))+(-11))-1,12)+1,"00")</f>
        <v>1404-08</v>
      </c>
      <c r="F36" s="31" t="n">
        <f aca="false">COUNTIF('ورودی اقدامات'!$AI$4:$AI$1203,E36)</f>
        <v>0</v>
      </c>
    </row>
    <row r="37" customFormat="false" ht="15" hidden="false" customHeight="false" outlineLevel="0" collapsed="false">
      <c r="B37" s="14" t="s">
        <v>571</v>
      </c>
      <c r="C37" s="31" t="n">
        <f aca="false">COUNTIF('ورودی اقدامات'!$D$4:$D$1203,B37)</f>
        <v>0</v>
      </c>
      <c r="E37" s="31" t="str">
        <f aca="false">INT((((IF(MAX('ورودی اقدامات'!$AJ$4:$AJ$1203)=0,('لیست‌ها'!$S$3*12+'لیست‌ها'!$T$3),MAX('ورودی اقدامات'!$AJ$4:$AJ$1203)))+(-10))-1)/12)&amp;"-"&amp;TEXT(MOD(((IF(MAX('ورودی اقدامات'!$AJ$4:$AJ$1203)=0,('لیست‌ها'!$S$3*12+'لیست‌ها'!$T$3),MAX('ورودی اقدامات'!$AJ$4:$AJ$1203)))+(-10))-1,12)+1,"00")</f>
        <v>1404-09</v>
      </c>
      <c r="F37" s="31" t="n">
        <f aca="false">COUNTIF('ورودی اقدامات'!$AI$4:$AI$1203,E37)</f>
        <v>0</v>
      </c>
    </row>
    <row r="38" customFormat="false" ht="15" hidden="false" customHeight="false" outlineLevel="0" collapsed="false">
      <c r="B38" s="14" t="s">
        <v>339</v>
      </c>
      <c r="C38" s="31" t="n">
        <f aca="false">COUNTIF('ورودی اقدامات'!$D$4:$D$1203,B38)</f>
        <v>27</v>
      </c>
      <c r="E38" s="31" t="str">
        <f aca="false">INT((((IF(MAX('ورودی اقدامات'!$AJ$4:$AJ$1203)=0,('لیست‌ها'!$S$3*12+'لیست‌ها'!$T$3),MAX('ورودی اقدامات'!$AJ$4:$AJ$1203)))+(-9))-1)/12)&amp;"-"&amp;TEXT(MOD(((IF(MAX('ورودی اقدامات'!$AJ$4:$AJ$1203)=0,('لیست‌ها'!$S$3*12+'لیست‌ها'!$T$3),MAX('ورودی اقدامات'!$AJ$4:$AJ$1203)))+(-9))-1,12)+1,"00")</f>
        <v>1404-10</v>
      </c>
      <c r="F38" s="31" t="n">
        <f aca="false">COUNTIF('ورودی اقدامات'!$AI$4:$AI$1203,E38)</f>
        <v>0</v>
      </c>
    </row>
    <row r="39" customFormat="false" ht="15" hidden="false" customHeight="false" outlineLevel="0" collapsed="false">
      <c r="B39" s="14" t="s">
        <v>128</v>
      </c>
      <c r="C39" s="31" t="n">
        <f aca="false">COUNTIF('ورودی اقدامات'!$D$4:$D$1203,B39)</f>
        <v>2</v>
      </c>
      <c r="E39" s="31" t="str">
        <f aca="false">INT((((IF(MAX('ورودی اقدامات'!$AJ$4:$AJ$1203)=0,('لیست‌ها'!$S$3*12+'لیست‌ها'!$T$3),MAX('ورودی اقدامات'!$AJ$4:$AJ$1203)))+(-8))-1)/12)&amp;"-"&amp;TEXT(MOD(((IF(MAX('ورودی اقدامات'!$AJ$4:$AJ$1203)=0,('لیست‌ها'!$S$3*12+'لیست‌ها'!$T$3),MAX('ورودی اقدامات'!$AJ$4:$AJ$1203)))+(-8))-1,12)+1,"00")</f>
        <v>1404-11</v>
      </c>
      <c r="F39" s="31" t="n">
        <f aca="false">COUNTIF('ورودی اقدامات'!$AI$4:$AI$1203,E39)</f>
        <v>0</v>
      </c>
    </row>
    <row r="40" customFormat="false" ht="15" hidden="false" customHeight="false" outlineLevel="0" collapsed="false">
      <c r="B40" s="14" t="s">
        <v>576</v>
      </c>
      <c r="C40" s="31" t="n">
        <f aca="false">COUNTIF('ورودی اقدامات'!$D$4:$D$1203,B40)</f>
        <v>0</v>
      </c>
      <c r="E40" s="31" t="str">
        <f aca="false">INT((((IF(MAX('ورودی اقدامات'!$AJ$4:$AJ$1203)=0,('لیست‌ها'!$S$3*12+'لیست‌ها'!$T$3),MAX('ورودی اقدامات'!$AJ$4:$AJ$1203)))+(-7))-1)/12)&amp;"-"&amp;TEXT(MOD(((IF(MAX('ورودی اقدامات'!$AJ$4:$AJ$1203)=0,('لیست‌ها'!$S$3*12+'لیست‌ها'!$T$3),MAX('ورودی اقدامات'!$AJ$4:$AJ$1203)))+(-7))-1,12)+1,"00")</f>
        <v>1404-12</v>
      </c>
      <c r="F40" s="31" t="n">
        <f aca="false">COUNTIF('ورودی اقدامات'!$AI$4:$AI$1203,E40)</f>
        <v>0</v>
      </c>
    </row>
    <row r="41" customFormat="false" ht="15" hidden="false" customHeight="false" outlineLevel="0" collapsed="false">
      <c r="B41" s="14" t="s">
        <v>577</v>
      </c>
      <c r="C41" s="31" t="n">
        <f aca="false">COUNTIF('ورودی اقدامات'!$D$4:$D$1203,B41)</f>
        <v>0</v>
      </c>
      <c r="E41" s="31" t="str">
        <f aca="false">INT((((IF(MAX('ورودی اقدامات'!$AJ$4:$AJ$1203)=0,('لیست‌ها'!$S$3*12+'لیست‌ها'!$T$3),MAX('ورودی اقدامات'!$AJ$4:$AJ$1203)))+(-6))-1)/12)&amp;"-"&amp;TEXT(MOD(((IF(MAX('ورودی اقدامات'!$AJ$4:$AJ$1203)=0,('لیست‌ها'!$S$3*12+'لیست‌ها'!$T$3),MAX('ورودی اقدامات'!$AJ$4:$AJ$1203)))+(-6))-1,12)+1,"00")</f>
        <v>1405-01</v>
      </c>
      <c r="F41" s="31" t="n">
        <f aca="false">COUNTIF('ورودی اقدامات'!$AI$4:$AI$1203,E41)</f>
        <v>11</v>
      </c>
    </row>
    <row r="42" customFormat="false" ht="15" hidden="false" customHeight="false" outlineLevel="0" collapsed="false">
      <c r="B42" s="14" t="s">
        <v>581</v>
      </c>
      <c r="C42" s="31" t="n">
        <f aca="false">COUNTIF('ورودی اقدامات'!$D$4:$D$1203,B42)</f>
        <v>0</v>
      </c>
      <c r="E42" s="31" t="str">
        <f aca="false">INT((((IF(MAX('ورودی اقدامات'!$AJ$4:$AJ$1203)=0,('لیست‌ها'!$S$3*12+'لیست‌ها'!$T$3),MAX('ورودی اقدامات'!$AJ$4:$AJ$1203)))+(-5))-1)/12)&amp;"-"&amp;TEXT(MOD(((IF(MAX('ورودی اقدامات'!$AJ$4:$AJ$1203)=0,('لیست‌ها'!$S$3*12+'لیست‌ها'!$T$3),MAX('ورودی اقدامات'!$AJ$4:$AJ$1203)))+(-5))-1,12)+1,"00")</f>
        <v>1405-02</v>
      </c>
      <c r="F42" s="31" t="n">
        <f aca="false">COUNTIF('ورودی اقدامات'!$AI$4:$AI$1203,E42)</f>
        <v>39</v>
      </c>
    </row>
    <row r="43" customFormat="false" ht="15" hidden="false" customHeight="false" outlineLevel="0" collapsed="false">
      <c r="B43" s="14" t="s">
        <v>89</v>
      </c>
      <c r="C43" s="31" t="n">
        <f aca="false">COUNTIF('ورودی اقدامات'!$D$4:$D$1203,B43)</f>
        <v>29</v>
      </c>
      <c r="E43" s="31" t="str">
        <f aca="false">INT((((IF(MAX('ورودی اقدامات'!$AJ$4:$AJ$1203)=0,('لیست‌ها'!$S$3*12+'لیست‌ها'!$T$3),MAX('ورودی اقدامات'!$AJ$4:$AJ$1203)))+(-4))-1)/12)&amp;"-"&amp;TEXT(MOD(((IF(MAX('ورودی اقدامات'!$AJ$4:$AJ$1203)=0,('لیست‌ها'!$S$3*12+'لیست‌ها'!$T$3),MAX('ورودی اقدامات'!$AJ$4:$AJ$1203)))+(-4))-1,12)+1,"00")</f>
        <v>1405-03</v>
      </c>
      <c r="F43" s="31" t="n">
        <f aca="false">COUNTIF('ورودی اقدامات'!$AI$4:$AI$1203,E43)</f>
        <v>41</v>
      </c>
    </row>
    <row r="44" customFormat="false" ht="15" hidden="false" customHeight="false" outlineLevel="0" collapsed="false">
      <c r="B44" s="14" t="s">
        <v>306</v>
      </c>
      <c r="C44" s="31" t="n">
        <f aca="false">COUNTIF('ورودی اقدامات'!$D$4:$D$1203,B44)</f>
        <v>9</v>
      </c>
      <c r="E44" s="31" t="str">
        <f aca="false">INT((((IF(MAX('ورودی اقدامات'!$AJ$4:$AJ$1203)=0,('لیست‌ها'!$S$3*12+'لیست‌ها'!$T$3),MAX('ورودی اقدامات'!$AJ$4:$AJ$1203)))+(-3))-1)/12)&amp;"-"&amp;TEXT(MOD(((IF(MAX('ورودی اقدامات'!$AJ$4:$AJ$1203)=0,('لیست‌ها'!$S$3*12+'لیست‌ها'!$T$3),MAX('ورودی اقدامات'!$AJ$4:$AJ$1203)))+(-3))-1,12)+1,"00")</f>
        <v>1405-04</v>
      </c>
      <c r="F44" s="31" t="n">
        <f aca="false">COUNTIF('ورودی اقدامات'!$AI$4:$AI$1203,E44)</f>
        <v>32</v>
      </c>
    </row>
    <row r="45" customFormat="false" ht="15" hidden="false" customHeight="false" outlineLevel="0" collapsed="false">
      <c r="B45" s="14" t="s">
        <v>586</v>
      </c>
      <c r="C45" s="31" t="n">
        <f aca="false">COUNTIF('ورودی اقدامات'!$D$4:$D$1203,B45)</f>
        <v>0</v>
      </c>
      <c r="E45" s="31" t="str">
        <f aca="false">INT((((IF(MAX('ورودی اقدامات'!$AJ$4:$AJ$1203)=0,('لیست‌ها'!$S$3*12+'لیست‌ها'!$T$3),MAX('ورودی اقدامات'!$AJ$4:$AJ$1203)))+(-2))-1)/12)&amp;"-"&amp;TEXT(MOD(((IF(MAX('ورودی اقدامات'!$AJ$4:$AJ$1203)=0,('لیست‌ها'!$S$3*12+'لیست‌ها'!$T$3),MAX('ورودی اقدامات'!$AJ$4:$AJ$1203)))+(-2))-1,12)+1,"00")</f>
        <v>1405-05</v>
      </c>
      <c r="F45" s="31" t="n">
        <f aca="false">COUNTIF('ورودی اقدامات'!$AI$4:$AI$1203,E45)</f>
        <v>75</v>
      </c>
    </row>
    <row r="46" customFormat="false" ht="15" hidden="false" customHeight="false" outlineLevel="0" collapsed="false">
      <c r="B46" s="14" t="s">
        <v>589</v>
      </c>
      <c r="C46" s="31" t="n">
        <f aca="false">COUNTIF('ورودی اقدامات'!$D$4:$D$1203,B46)</f>
        <v>0</v>
      </c>
      <c r="E46" s="31" t="str">
        <f aca="false">INT((((IF(MAX('ورودی اقدامات'!$AJ$4:$AJ$1203)=0,('لیست‌ها'!$S$3*12+'لیست‌ها'!$T$3),MAX('ورودی اقدامات'!$AJ$4:$AJ$1203)))+(-1))-1)/12)&amp;"-"&amp;TEXT(MOD(((IF(MAX('ورودی اقدامات'!$AJ$4:$AJ$1203)=0,('لیست‌ها'!$S$3*12+'لیست‌ها'!$T$3),MAX('ورودی اقدامات'!$AJ$4:$AJ$1203)))+(-1))-1,12)+1,"00")</f>
        <v>1405-06</v>
      </c>
      <c r="F46" s="31" t="n">
        <f aca="false">COUNTIF('ورودی اقدامات'!$AI$4:$AI$1203,E46)</f>
        <v>40</v>
      </c>
    </row>
    <row r="47" customFormat="false" ht="15" hidden="false" customHeight="false" outlineLevel="0" collapsed="false">
      <c r="B47" s="14" t="s">
        <v>591</v>
      </c>
      <c r="C47" s="31" t="n">
        <f aca="false">COUNTIF('ورودی اقدامات'!$D$4:$D$1203,B47)</f>
        <v>0</v>
      </c>
      <c r="E47" s="31" t="str">
        <f aca="false">INT((((IF(MAX('ورودی اقدامات'!$AJ$4:$AJ$1203)=0,('لیست‌ها'!$S$3*12+'لیست‌ها'!$T$3),MAX('ورودی اقدامات'!$AJ$4:$AJ$1203)))+(0))-1)/12)&amp;"-"&amp;TEXT(MOD(((IF(MAX('ورودی اقدامات'!$AJ$4:$AJ$1203)=0,('لیست‌ها'!$S$3*12+'لیست‌ها'!$T$3),MAX('ورودی اقدامات'!$AJ$4:$AJ$1203)))+(0))-1,12)+1,"00")</f>
        <v>1405-07</v>
      </c>
      <c r="F47" s="31" t="n">
        <f aca="false">COUNTIF('ورودی اقدامات'!$AI$4:$AI$1203,E47)</f>
        <v>8</v>
      </c>
    </row>
    <row r="48" customFormat="false" ht="15" hidden="false" customHeight="false" outlineLevel="0" collapsed="false">
      <c r="B48" s="14" t="s">
        <v>593</v>
      </c>
      <c r="C48" s="31" t="n">
        <f aca="false">COUNTIF('ورودی اقدامات'!$D$4:$D$1203,B48)</f>
        <v>0</v>
      </c>
    </row>
    <row r="49" customFormat="false" ht="15" hidden="false" customHeight="false" outlineLevel="0" collapsed="false">
      <c r="B49" s="14" t="s">
        <v>595</v>
      </c>
      <c r="C49" s="31" t="n">
        <f aca="false">COUNTIF('ورودی اقدامات'!$D$4:$D$1203,B49)</f>
        <v>0</v>
      </c>
    </row>
    <row r="50" customFormat="false" ht="15" hidden="false" customHeight="false" outlineLevel="0" collapsed="false">
      <c r="B50" s="14" t="s">
        <v>39</v>
      </c>
      <c r="C50" s="31" t="n">
        <f aca="false">COUNTIF('ورودی اقدامات'!$D$4:$D$1203,B50)</f>
        <v>25</v>
      </c>
      <c r="E50" s="29" t="s">
        <v>7</v>
      </c>
    </row>
    <row r="51" customFormat="false" ht="15" hidden="false" customHeight="false" outlineLevel="0" collapsed="false">
      <c r="E51" s="30" t="s">
        <v>620</v>
      </c>
      <c r="F51" s="30" t="s">
        <v>613</v>
      </c>
    </row>
    <row r="52" customFormat="false" ht="15" hidden="false" customHeight="false" outlineLevel="0" collapsed="false">
      <c r="E52" s="14" t="s">
        <v>54</v>
      </c>
      <c r="F52" s="31" t="n">
        <f aca="false">COUNTIF('ورودی اقدامات'!$I$4:$I$1203,E52)</f>
        <v>127</v>
      </c>
    </row>
    <row r="53" customFormat="false" ht="15" hidden="false" customHeight="false" outlineLevel="0" collapsed="false">
      <c r="B53" s="29" t="s">
        <v>22</v>
      </c>
      <c r="E53" s="14" t="s">
        <v>573</v>
      </c>
      <c r="F53" s="31" t="n">
        <f aca="false">COUNTIF('ورودی اقدامات'!$I$4:$I$1203,E53)</f>
        <v>0</v>
      </c>
    </row>
    <row r="54" customFormat="false" ht="15" hidden="false" customHeight="false" outlineLevel="0" collapsed="false">
      <c r="B54" s="30" t="s">
        <v>621</v>
      </c>
      <c r="C54" s="30" t="s">
        <v>613</v>
      </c>
      <c r="E54" s="14" t="s">
        <v>575</v>
      </c>
      <c r="F54" s="31" t="n">
        <f aca="false">COUNTIF('ورودی اقدامات'!$I$4:$I$1203,E54)</f>
        <v>0</v>
      </c>
    </row>
    <row r="55" customFormat="false" ht="15" hidden="false" customHeight="false" outlineLevel="0" collapsed="false">
      <c r="B55" s="14" t="s">
        <v>52</v>
      </c>
      <c r="C55" s="31" t="n">
        <f aca="false">COUNTIF('ورودی اقدامات'!$G$4:$G$1203,B55)</f>
        <v>131</v>
      </c>
    </row>
    <row r="56" customFormat="false" ht="15" hidden="false" customHeight="false" outlineLevel="0" collapsed="false">
      <c r="B56" s="14" t="s">
        <v>309</v>
      </c>
      <c r="C56" s="31" t="n">
        <f aca="false">COUNTIF('ورودی اقدامات'!$G$4:$G$1203,B56)</f>
        <v>36</v>
      </c>
    </row>
    <row r="57" customFormat="false" ht="15" hidden="false" customHeight="false" outlineLevel="0" collapsed="false">
      <c r="B57" s="14" t="s">
        <v>144</v>
      </c>
      <c r="C57" s="31" t="n">
        <f aca="false">COUNTIF('ورودی اقدامات'!$G$4:$G$1203,B57)</f>
        <v>10</v>
      </c>
    </row>
    <row r="58" customFormat="false" ht="15" hidden="false" customHeight="false" outlineLevel="0" collapsed="false">
      <c r="B58" s="14" t="s">
        <v>92</v>
      </c>
      <c r="C58" s="31" t="n">
        <f aca="false">COUNTIF('ورودی اقدامات'!$G$4:$G$1203,B58)</f>
        <v>25</v>
      </c>
    </row>
    <row r="59" customFormat="false" ht="15" hidden="false" customHeight="false" outlineLevel="0" collapsed="false">
      <c r="B59" s="14" t="s">
        <v>381</v>
      </c>
      <c r="C59" s="31" t="n">
        <f aca="false">COUNTIF('ورودی اقدامات'!$G$4:$G$1203,B59)</f>
        <v>2</v>
      </c>
    </row>
    <row r="60" customFormat="false" ht="15" hidden="false" customHeight="false" outlineLevel="0" collapsed="false">
      <c r="B60" s="14" t="s">
        <v>579</v>
      </c>
      <c r="C60" s="31" t="n">
        <f aca="false">COUNTIF('ورودی اقدامات'!$G$4:$G$1203,B60)</f>
        <v>0</v>
      </c>
    </row>
    <row r="61" customFormat="false" ht="15" hidden="false" customHeight="false" outlineLevel="0" collapsed="false">
      <c r="B61" s="14" t="s">
        <v>42</v>
      </c>
      <c r="C61" s="31" t="n">
        <f aca="false">COUNTIF('ورودی اقدامات'!$G$4:$G$1203,B61)</f>
        <v>30</v>
      </c>
    </row>
    <row r="62" customFormat="false" ht="15" hidden="false" customHeight="false" outlineLevel="0" collapsed="false">
      <c r="B62" s="14" t="s">
        <v>394</v>
      </c>
      <c r="C62" s="31" t="n">
        <f aca="false">COUNTIF('ورودی اقدامات'!$G$4:$G$1203,B62)</f>
        <v>2</v>
      </c>
    </row>
    <row r="63" customFormat="false" ht="15" hidden="false" customHeight="false" outlineLevel="0" collapsed="false">
      <c r="B63" s="14" t="s">
        <v>138</v>
      </c>
      <c r="C63" s="31" t="n">
        <f aca="false">COUNTIF('ورودی اقدامات'!$G$4:$G$1203,B63)</f>
        <v>3</v>
      </c>
    </row>
    <row r="64" customFormat="false" ht="15" hidden="false" customHeight="false" outlineLevel="0" collapsed="false">
      <c r="B64" s="14" t="s">
        <v>368</v>
      </c>
      <c r="C64" s="31" t="n">
        <f aca="false">COUNTIF('ورودی اقدامات'!$G$4:$G$1203,B64)</f>
        <v>3</v>
      </c>
    </row>
    <row r="65" customFormat="false" ht="15" hidden="false" customHeight="false" outlineLevel="0" collapsed="false">
      <c r="B65" s="14" t="s">
        <v>459</v>
      </c>
      <c r="C65" s="31" t="n">
        <f aca="false">COUNTIF('ورودی اقدامات'!$G$4:$G$1203,B65)</f>
        <v>1</v>
      </c>
    </row>
    <row r="66" customFormat="false" ht="15" hidden="false" customHeight="false" outlineLevel="0" collapsed="false">
      <c r="B66" s="14" t="s">
        <v>456</v>
      </c>
      <c r="C66" s="31" t="n">
        <f aca="false">COUNTIF('ورودی اقدامات'!$G$4:$G$1203,B66)</f>
        <v>1</v>
      </c>
    </row>
    <row r="67" customFormat="false" ht="15" hidden="false" customHeight="false" outlineLevel="0" collapsed="false">
      <c r="B67" s="14" t="s">
        <v>131</v>
      </c>
      <c r="C67" s="31" t="n">
        <f aca="false">COUNTIF('ورودی اقدامات'!$G$4:$G$1203,B67)</f>
        <v>2</v>
      </c>
    </row>
    <row r="68" customFormat="false" ht="15" hidden="false" customHeight="false" outlineLevel="0" collapsed="false">
      <c r="B68" s="14" t="s">
        <v>596</v>
      </c>
      <c r="C68" s="31" t="n">
        <f aca="false">COUNTIF('ورودی اقدامات'!$G$4:$G$1203,B68)</f>
        <v>0</v>
      </c>
    </row>
    <row r="69" customFormat="false" ht="15" hidden="false" customHeight="false" outlineLevel="0" collapsed="false">
      <c r="B69" s="14" t="s">
        <v>598</v>
      </c>
      <c r="C69" s="31" t="n">
        <f aca="false">COUNTIF('ورودی اقدامات'!$G$4:$G$1203,B69)</f>
        <v>0</v>
      </c>
    </row>
    <row r="70" customFormat="false" ht="15" hidden="false" customHeight="false" outlineLevel="0" collapsed="false">
      <c r="B70" s="14" t="s">
        <v>600</v>
      </c>
      <c r="C70" s="31" t="n">
        <f aca="false">COUNTIF('ورودی اقدامات'!$G$4:$G$1203,B70)</f>
        <v>0</v>
      </c>
    </row>
    <row r="73" customFormat="false" ht="15" hidden="false" customHeight="false" outlineLevel="0" collapsed="false">
      <c r="B73" s="29" t="s">
        <v>622</v>
      </c>
    </row>
    <row r="74" customFormat="false" ht="15" hidden="false" customHeight="false" outlineLevel="0" collapsed="false">
      <c r="B74" s="30" t="s">
        <v>623</v>
      </c>
      <c r="C74" s="30" t="s">
        <v>613</v>
      </c>
    </row>
    <row r="75" customFormat="false" ht="15" hidden="false" customHeight="false" outlineLevel="0" collapsed="false">
      <c r="B75" s="14" t="s">
        <v>624</v>
      </c>
      <c r="C75" s="31" t="n">
        <f aca="false">COUNTIFS('ورودی اقدامات'!$U$4:$U$1203,"تاخیر",'ورودی اقدامات'!$V$4:$V$1203,"&gt;="&amp;1,'ورودی اقدامات'!$V$4:$V$1203,"&lt;="&amp;30)</f>
        <v>31</v>
      </c>
    </row>
    <row r="76" customFormat="false" ht="15" hidden="false" customHeight="false" outlineLevel="0" collapsed="false">
      <c r="B76" s="14" t="s">
        <v>625</v>
      </c>
      <c r="C76" s="31" t="n">
        <f aca="false">COUNTIFS('ورودی اقدامات'!$U$4:$U$1203,"تاخیر",'ورودی اقدامات'!$V$4:$V$1203,"&gt;="&amp;31,'ورودی اقدامات'!$V$4:$V$1203,"&lt;="&amp;60)</f>
        <v>9</v>
      </c>
    </row>
    <row r="77" customFormat="false" ht="15" hidden="false" customHeight="false" outlineLevel="0" collapsed="false">
      <c r="B77" s="14" t="s">
        <v>626</v>
      </c>
      <c r="C77" s="31" t="n">
        <f aca="false">COUNTIFS('ورودی اقدامات'!$U$4:$U$1203,"تاخیر",'ورودی اقدامات'!$V$4:$V$1203,"&gt;="&amp;61,'ورودی اقدامات'!$V$4:$V$1203,"&lt;="&amp;90)</f>
        <v>6</v>
      </c>
    </row>
    <row r="78" customFormat="false" ht="15" hidden="false" customHeight="false" outlineLevel="0" collapsed="false">
      <c r="B78" s="14" t="s">
        <v>627</v>
      </c>
      <c r="C78" s="31" t="n">
        <f aca="false">COUNTIFS('ورودی اقدامات'!$U$4:$U$1203,"تاخیر",'ورودی اقدامات'!$V$4:$V$1203,"&gt;="&amp;91)</f>
        <v>8</v>
      </c>
    </row>
    <row r="81" customFormat="false" ht="15" hidden="false" customHeight="false" outlineLevel="0" collapsed="false">
      <c r="B81" s="32" t="s">
        <v>628</v>
      </c>
    </row>
    <row r="82" customFormat="false" ht="15" hidden="false" customHeight="false" outlineLevel="0" collapsed="false">
      <c r="B82" s="33" t="s">
        <v>17</v>
      </c>
      <c r="C82" s="33" t="s">
        <v>565</v>
      </c>
      <c r="D82" s="33" t="s">
        <v>629</v>
      </c>
      <c r="E82" s="33" t="s">
        <v>630</v>
      </c>
      <c r="F82" s="33" t="s">
        <v>36</v>
      </c>
    </row>
    <row r="83" customFormat="false" ht="15" hidden="false" customHeight="false" outlineLevel="0" collapsed="false">
      <c r="B83" s="14" t="str">
        <f aca="false">IF(IFERROR(LARGE('ورودی اقدامات'!$AK$4:$AK$1203,1),"")="","",INDEX('ورودی اقدامات'!$B$4:$B$1203,IFERROR(MATCH(IFERROR(LARGE('ورودی اقدامات'!$AK$4:$AK$1203,1),""),'ورودی اقدامات'!$AK$4:$AK$1203,0),"")))</f>
        <v>des\05\24</v>
      </c>
      <c r="C83" s="34" t="str">
        <f aca="false">IF(IFERROR(LARGE('ورودی اقدامات'!$AK$4:$AK$1203,1),"")="","",IF(INDEX('ورودی اقدامات'!$O$4:$O$1203,IFERROR(MATCH(IFERROR(LARGE('ورودی اقدامات'!$AK$4:$AK$1203,1),""),'ورودی اقدامات'!$AK$4:$AK$1203,0),""))="","-",INDEX('ورودی اقدامات'!$O$4:$O$1203,IFERROR(MATCH(IFERROR(LARGE('ورودی اقدامات'!$AK$4:$AK$1203,1),""),'ورودی اقدامات'!$AK$4:$AK$1203,0),""))))</f>
        <v>-</v>
      </c>
      <c r="D83" s="34" t="str">
        <f aca="false">IF(IFERROR(LARGE('ورودی اقدامات'!$AK$4:$AK$1203,1),"")="","",IF(INDEX('ورودی اقدامات'!$G$4:$G$1203,IFERROR(MATCH(IFERROR(LARGE('ورودی اقدامات'!$AK$4:$AK$1203,1),""),'ورودی اقدامات'!$AK$4:$AK$1203,0),""))="","-",INDEX('ورودی اقدامات'!$G$4:$G$1203,IFERROR(MATCH(IFERROR(LARGE('ورودی اقدامات'!$AK$4:$AK$1203,1),""),'ورودی اقدامات'!$AK$4:$AK$1203,0),""))))</f>
        <v>مهندسی</v>
      </c>
      <c r="E83" s="31" t="str">
        <f aca="false">IF(IFERROR(LARGE('ورودی اقدامات'!$AK$4:$AK$1203,1),"")="","",INDEX('ورودی اقدامات'!$H$4:$H$1203,IFERROR(MATCH(IFERROR(LARGE('ورودی اقدامات'!$AK$4:$AK$1203,1),""),'ورودی اقدامات'!$AK$4:$AK$1203,0),"")))</f>
        <v>1405/1/31</v>
      </c>
      <c r="F83" s="31" t="n">
        <f aca="false">IF(IFERROR(LARGE('ورودی اقدامات'!$AK$4:$AK$1203,1),"")="","",INDEX('ورودی اقدامات'!$V$4:$V$1203,IFERROR(MATCH(IFERROR(LARGE('ورودی اقدامات'!$AK$4:$AK$1203,1),""),'ورودی اقدامات'!$AK$4:$AK$1203,0),"")))</f>
        <v>163</v>
      </c>
    </row>
    <row r="84" customFormat="false" ht="15" hidden="false" customHeight="false" outlineLevel="0" collapsed="false">
      <c r="B84" s="14" t="str">
        <f aca="false">IF(IFERROR(LARGE('ورودی اقدامات'!$AK$4:$AK$1203,2),"")="","",INDEX('ورودی اقدامات'!$B$4:$B$1203,IFERROR(MATCH(IFERROR(LARGE('ورودی اقدامات'!$AK$4:$AK$1203,2),""),'ورودی اقدامات'!$AK$4:$AK$1203,0),"")))</f>
        <v>SALE\05\8</v>
      </c>
      <c r="C84" s="34" t="str">
        <f aca="false">IF(IFERROR(LARGE('ورودی اقدامات'!$AK$4:$AK$1203,2),"")="","",IF(INDEX('ورودی اقدامات'!$O$4:$O$1203,IFERROR(MATCH(IFERROR(LARGE('ورودی اقدامات'!$AK$4:$AK$1203,2),""),'ورودی اقدامات'!$AK$4:$AK$1203,0),""))="","-",INDEX('ورودی اقدامات'!$O$4:$O$1203,IFERROR(MATCH(IFERROR(LARGE('ورودی اقدامات'!$AK$4:$AK$1203,2),""),'ورودی اقدامات'!$AK$4:$AK$1203,0),""))))</f>
        <v>-</v>
      </c>
      <c r="D84" s="34" t="str">
        <f aca="false">IF(IFERROR(LARGE('ورودی اقدامات'!$AK$4:$AK$1203,2),"")="","",IF(INDEX('ورودی اقدامات'!$G$4:$G$1203,IFERROR(MATCH(IFERROR(LARGE('ورودی اقدامات'!$AK$4:$AK$1203,2),""),'ورودی اقدامات'!$AK$4:$AK$1203,0),""))="","-",INDEX('ورودی اقدامات'!$G$4:$G$1203,IFERROR(MATCH(IFERROR(LARGE('ورودی اقدامات'!$AK$4:$AK$1203,2),""),'ورودی اقدامات'!$AK$4:$AK$1203,0),""))))</f>
        <v>بازرسی آزمون</v>
      </c>
      <c r="E84" s="31" t="str">
        <f aca="false">IF(IFERROR(LARGE('ورودی اقدامات'!$AK$4:$AK$1203,2),"")="","",INDEX('ورودی اقدامات'!$H$4:$H$1203,IFERROR(MATCH(IFERROR(LARGE('ورودی اقدامات'!$AK$4:$AK$1203,2),""),'ورودی اقدامات'!$AK$4:$AK$1203,0),"")))</f>
        <v>1405/2/15</v>
      </c>
      <c r="F84" s="31" t="n">
        <f aca="false">IF(IFERROR(LARGE('ورودی اقدامات'!$AK$4:$AK$1203,2),"")="","",INDEX('ورودی اقدامات'!$V$4:$V$1203,IFERROR(MATCH(IFERROR(LARGE('ورودی اقدامات'!$AK$4:$AK$1203,2),""),'ورودی اقدامات'!$AK$4:$AK$1203,0),"")))</f>
        <v>148</v>
      </c>
    </row>
    <row r="85" customFormat="false" ht="15" hidden="false" customHeight="false" outlineLevel="0" collapsed="false">
      <c r="B85" s="14" t="str">
        <f aca="false">IF(IFERROR(LARGE('ورودی اقدامات'!$AK$4:$AK$1203,3),"")="","",INDEX('ورودی اقدامات'!$B$4:$B$1203,IFERROR(MATCH(IFERROR(LARGE('ورودی اقدامات'!$AK$4:$AK$1203,3),""),'ورودی اقدامات'!$AK$4:$AK$1203,0),"")))</f>
        <v>des\05\20</v>
      </c>
      <c r="C85" s="34" t="str">
        <f aca="false">IF(IFERROR(LARGE('ورودی اقدامات'!$AK$4:$AK$1203,3),"")="","",IF(INDEX('ورودی اقدامات'!$O$4:$O$1203,IFERROR(MATCH(IFERROR(LARGE('ورودی اقدامات'!$AK$4:$AK$1203,3),""),'ورودی اقدامات'!$AK$4:$AK$1203,0),""))="","-",INDEX('ورودی اقدامات'!$O$4:$O$1203,IFERROR(MATCH(IFERROR(LARGE('ورودی اقدامات'!$AK$4:$AK$1203,3),""),'ورودی اقدامات'!$AK$4:$AK$1203,0),""))))</f>
        <v>-</v>
      </c>
      <c r="D85" s="34" t="str">
        <f aca="false">IF(IFERROR(LARGE('ورودی اقدامات'!$AK$4:$AK$1203,3),"")="","",IF(INDEX('ورودی اقدامات'!$G$4:$G$1203,IFERROR(MATCH(IFERROR(LARGE('ورودی اقدامات'!$AK$4:$AK$1203,3),""),'ورودی اقدامات'!$AK$4:$AK$1203,0),""))="","-",INDEX('ورودی اقدامات'!$G$4:$G$1203,IFERROR(MATCH(IFERROR(LARGE('ورودی اقدامات'!$AK$4:$AK$1203,3),""),'ورودی اقدامات'!$AK$4:$AK$1203,0),""))))</f>
        <v>مهندسی</v>
      </c>
      <c r="E85" s="31" t="str">
        <f aca="false">IF(IFERROR(LARGE('ورودی اقدامات'!$AK$4:$AK$1203,3),"")="","",INDEX('ورودی اقدامات'!$H$4:$H$1203,IFERROR(MATCH(IFERROR(LARGE('ورودی اقدامات'!$AK$4:$AK$1203,3),""),'ورودی اقدامات'!$AK$4:$AK$1203,0),"")))</f>
        <v>1405/2/31</v>
      </c>
      <c r="F85" s="31" t="n">
        <f aca="false">IF(IFERROR(LARGE('ورودی اقدامات'!$AK$4:$AK$1203,3),"")="","",INDEX('ورودی اقدامات'!$V$4:$V$1203,IFERROR(MATCH(IFERROR(LARGE('ورودی اقدامات'!$AK$4:$AK$1203,3),""),'ورودی اقدامات'!$AK$4:$AK$1203,0),"")))</f>
        <v>132</v>
      </c>
    </row>
    <row r="86" customFormat="false" ht="15" hidden="false" customHeight="false" outlineLevel="0" collapsed="false">
      <c r="B86" s="14" t="str">
        <f aca="false">IF(IFERROR(LARGE('ورودی اقدامات'!$AK$4:$AK$1203,4),"")="","",INDEX('ورودی اقدامات'!$B$4:$B$1203,IFERROR(MATCH(IFERROR(LARGE('ورودی اقدامات'!$AK$4:$AK$1203,4),""),'ورودی اقدامات'!$AK$4:$AK$1203,0),"")))</f>
        <v>des\05\21</v>
      </c>
      <c r="C86" s="34" t="str">
        <f aca="false">IF(IFERROR(LARGE('ورودی اقدامات'!$AK$4:$AK$1203,4),"")="","",IF(INDEX('ورودی اقدامات'!$O$4:$O$1203,IFERROR(MATCH(IFERROR(LARGE('ورودی اقدامات'!$AK$4:$AK$1203,4),""),'ورودی اقدامات'!$AK$4:$AK$1203,0),""))="","-",INDEX('ورودی اقدامات'!$O$4:$O$1203,IFERROR(MATCH(IFERROR(LARGE('ورودی اقدامات'!$AK$4:$AK$1203,4),""),'ورودی اقدامات'!$AK$4:$AK$1203,0),""))))</f>
        <v>-</v>
      </c>
      <c r="D86" s="34" t="str">
        <f aca="false">IF(IFERROR(LARGE('ورودی اقدامات'!$AK$4:$AK$1203,4),"")="","",IF(INDEX('ورودی اقدامات'!$G$4:$G$1203,IFERROR(MATCH(IFERROR(LARGE('ورودی اقدامات'!$AK$4:$AK$1203,4),""),'ورودی اقدامات'!$AK$4:$AK$1203,0),""))="","-",INDEX('ورودی اقدامات'!$G$4:$G$1203,IFERROR(MATCH(IFERROR(LARGE('ورودی اقدامات'!$AK$4:$AK$1203,4),""),'ورودی اقدامات'!$AK$4:$AK$1203,0),""))))</f>
        <v>مهندسی</v>
      </c>
      <c r="E86" s="31" t="str">
        <f aca="false">IF(IFERROR(LARGE('ورودی اقدامات'!$AK$4:$AK$1203,4),"")="","",INDEX('ورودی اقدامات'!$H$4:$H$1203,IFERROR(MATCH(IFERROR(LARGE('ورودی اقدامات'!$AK$4:$AK$1203,4),""),'ورودی اقدامات'!$AK$4:$AK$1203,0),"")))</f>
        <v>1405/2/31</v>
      </c>
      <c r="F86" s="31" t="n">
        <f aca="false">IF(IFERROR(LARGE('ورودی اقدامات'!$AK$4:$AK$1203,4),"")="","",INDEX('ورودی اقدامات'!$V$4:$V$1203,IFERROR(MATCH(IFERROR(LARGE('ورودی اقدامات'!$AK$4:$AK$1203,4),""),'ورودی اقدامات'!$AK$4:$AK$1203,0),"")))</f>
        <v>132</v>
      </c>
    </row>
    <row r="87" customFormat="false" ht="15" hidden="false" customHeight="false" outlineLevel="0" collapsed="false">
      <c r="B87" s="14" t="str">
        <f aca="false">IF(IFERROR(LARGE('ورودی اقدامات'!$AK$4:$AK$1203,5),"")="","",INDEX('ورودی اقدامات'!$B$4:$B$1203,IFERROR(MATCH(IFERROR(LARGE('ورودی اقدامات'!$AK$4:$AK$1203,5),""),'ورودی اقدامات'!$AK$4:$AK$1203,0),"")))</f>
        <v>des\05\22</v>
      </c>
      <c r="C87" s="34" t="str">
        <f aca="false">IF(IFERROR(LARGE('ورودی اقدامات'!$AK$4:$AK$1203,5),"")="","",IF(INDEX('ورودی اقدامات'!$O$4:$O$1203,IFERROR(MATCH(IFERROR(LARGE('ورودی اقدامات'!$AK$4:$AK$1203,5),""),'ورودی اقدامات'!$AK$4:$AK$1203,0),""))="","-",INDEX('ورودی اقدامات'!$O$4:$O$1203,IFERROR(MATCH(IFERROR(LARGE('ورودی اقدامات'!$AK$4:$AK$1203,5),""),'ورودی اقدامات'!$AK$4:$AK$1203,0),""))))</f>
        <v>-</v>
      </c>
      <c r="D87" s="34" t="str">
        <f aca="false">IF(IFERROR(LARGE('ورودی اقدامات'!$AK$4:$AK$1203,5),"")="","",IF(INDEX('ورودی اقدامات'!$G$4:$G$1203,IFERROR(MATCH(IFERROR(LARGE('ورودی اقدامات'!$AK$4:$AK$1203,5),""),'ورودی اقدامات'!$AK$4:$AK$1203,0),""))="","-",INDEX('ورودی اقدامات'!$G$4:$G$1203,IFERROR(MATCH(IFERROR(LARGE('ورودی اقدامات'!$AK$4:$AK$1203,5),""),'ورودی اقدامات'!$AK$4:$AK$1203,0),""))))</f>
        <v>مهندسی</v>
      </c>
      <c r="E87" s="31" t="str">
        <f aca="false">IF(IFERROR(LARGE('ورودی اقدامات'!$AK$4:$AK$1203,5),"")="","",INDEX('ورودی اقدامات'!$H$4:$H$1203,IFERROR(MATCH(IFERROR(LARGE('ورودی اقدامات'!$AK$4:$AK$1203,5),""),'ورودی اقدامات'!$AK$4:$AK$1203,0),"")))</f>
        <v>1405/2/31</v>
      </c>
      <c r="F87" s="31" t="n">
        <f aca="false">IF(IFERROR(LARGE('ورودی اقدامات'!$AK$4:$AK$1203,5),"")="","",INDEX('ورودی اقدامات'!$V$4:$V$1203,IFERROR(MATCH(IFERROR(LARGE('ورودی اقدامات'!$AK$4:$AK$1203,5),""),'ورودی اقدامات'!$AK$4:$AK$1203,0),"")))</f>
        <v>132</v>
      </c>
    </row>
    <row r="88" customFormat="false" ht="15" hidden="false" customHeight="false" outlineLevel="0" collapsed="false">
      <c r="B88" s="14" t="str">
        <f aca="false">IF(IFERROR(LARGE('ورودی اقدامات'!$AK$4:$AK$1203,6),"")="","",INDEX('ورودی اقدامات'!$B$4:$B$1203,IFERROR(MATCH(IFERROR(LARGE('ورودی اقدامات'!$AK$4:$AK$1203,6),""),'ورودی اقدامات'!$AK$4:$AK$1203,0),"")))</f>
        <v>des\05\23</v>
      </c>
      <c r="C88" s="34" t="str">
        <f aca="false">IF(IFERROR(LARGE('ورودی اقدامات'!$AK$4:$AK$1203,6),"")="","",IF(INDEX('ورودی اقدامات'!$O$4:$O$1203,IFERROR(MATCH(IFERROR(LARGE('ورودی اقدامات'!$AK$4:$AK$1203,6),""),'ورودی اقدامات'!$AK$4:$AK$1203,0),""))="","-",INDEX('ورودی اقدامات'!$O$4:$O$1203,IFERROR(MATCH(IFERROR(LARGE('ورودی اقدامات'!$AK$4:$AK$1203,6),""),'ورودی اقدامات'!$AK$4:$AK$1203,0),""))))</f>
        <v>-</v>
      </c>
      <c r="D88" s="34" t="str">
        <f aca="false">IF(IFERROR(LARGE('ورودی اقدامات'!$AK$4:$AK$1203,6),"")="","",IF(INDEX('ورودی اقدامات'!$G$4:$G$1203,IFERROR(MATCH(IFERROR(LARGE('ورودی اقدامات'!$AK$4:$AK$1203,6),""),'ورودی اقدامات'!$AK$4:$AK$1203,0),""))="","-",INDEX('ورودی اقدامات'!$G$4:$G$1203,IFERROR(MATCH(IFERROR(LARGE('ورودی اقدامات'!$AK$4:$AK$1203,6),""),'ورودی اقدامات'!$AK$4:$AK$1203,0),""))))</f>
        <v>مهندسی</v>
      </c>
      <c r="E88" s="31" t="str">
        <f aca="false">IF(IFERROR(LARGE('ورودی اقدامات'!$AK$4:$AK$1203,6),"")="","",INDEX('ورودی اقدامات'!$H$4:$H$1203,IFERROR(MATCH(IFERROR(LARGE('ورودی اقدامات'!$AK$4:$AK$1203,6),""),'ورودی اقدامات'!$AK$4:$AK$1203,0),"")))</f>
        <v>1405/2/31</v>
      </c>
      <c r="F88" s="31" t="n">
        <f aca="false">IF(IFERROR(LARGE('ورودی اقدامات'!$AK$4:$AK$1203,6),"")="","",INDEX('ورودی اقدامات'!$V$4:$V$1203,IFERROR(MATCH(IFERROR(LARGE('ورودی اقدامات'!$AK$4:$AK$1203,6),""),'ورودی اقدامات'!$AK$4:$AK$1203,0),"")))</f>
        <v>132</v>
      </c>
    </row>
    <row r="89" customFormat="false" ht="15" hidden="false" customHeight="false" outlineLevel="0" collapsed="false">
      <c r="B89" s="14" t="str">
        <f aca="false">IF(IFERROR(LARGE('ورودی اقدامات'!$AK$4:$AK$1203,7),"")="","",INDEX('ورودی اقدامات'!$B$4:$B$1203,IFERROR(MATCH(IFERROR(LARGE('ورودی اقدامات'!$AK$4:$AK$1203,7),""),'ورودی اقدامات'!$AK$4:$AK$1203,0),"")))</f>
        <v>PL\05\68</v>
      </c>
      <c r="C89" s="34" t="str">
        <f aca="false">IF(IFERROR(LARGE('ورودی اقدامات'!$AK$4:$AK$1203,7),"")="","",IF(INDEX('ورودی اقدامات'!$O$4:$O$1203,IFERROR(MATCH(IFERROR(LARGE('ورودی اقدامات'!$AK$4:$AK$1203,7),""),'ورودی اقدامات'!$AK$4:$AK$1203,0),""))="","-",INDEX('ورودی اقدامات'!$O$4:$O$1203,IFERROR(MATCH(IFERROR(LARGE('ورودی اقدامات'!$AK$4:$AK$1203,7),""),'ورودی اقدامات'!$AK$4:$AK$1203,0),""))))</f>
        <v>-</v>
      </c>
      <c r="D89" s="34" t="str">
        <f aca="false">IF(IFERROR(LARGE('ورودی اقدامات'!$AK$4:$AK$1203,7),"")="","",IF(INDEX('ورودی اقدامات'!$G$4:$G$1203,IFERROR(MATCH(IFERROR(LARGE('ورودی اقدامات'!$AK$4:$AK$1203,7),""),'ورودی اقدامات'!$AK$4:$AK$1203,0),""))="","-",INDEX('ورودی اقدامات'!$G$4:$G$1203,IFERROR(MATCH(IFERROR(LARGE('ورودی اقدامات'!$AK$4:$AK$1203,7),""),'ورودی اقدامات'!$AK$4:$AK$1203,0),""))))</f>
        <v>برنامه‌ریزی</v>
      </c>
      <c r="E89" s="31" t="str">
        <f aca="false">IF(IFERROR(LARGE('ورودی اقدامات'!$AK$4:$AK$1203,7),"")="","",INDEX('ورودی اقدامات'!$H$4:$H$1203,IFERROR(MATCH(IFERROR(LARGE('ورودی اقدامات'!$AK$4:$AK$1203,7),""),'ورودی اقدامات'!$AK$4:$AK$1203,0),"")))</f>
        <v>1405/4/10</v>
      </c>
      <c r="F89" s="31" t="n">
        <f aca="false">IF(IFERROR(LARGE('ورودی اقدامات'!$AK$4:$AK$1203,7),"")="","",INDEX('ورودی اقدامات'!$V$4:$V$1203,IFERROR(MATCH(IFERROR(LARGE('ورودی اقدامات'!$AK$4:$AK$1203,7),""),'ورودی اقدامات'!$AK$4:$AK$1203,0),"")))</f>
        <v>91</v>
      </c>
    </row>
    <row r="90" customFormat="false" ht="15" hidden="false" customHeight="false" outlineLevel="0" collapsed="false">
      <c r="B90" s="14" t="str">
        <f aca="false">IF(IFERROR(LARGE('ورودی اقدامات'!$AK$4:$AK$1203,8),"")="","",INDEX('ورودی اقدامات'!$B$4:$B$1203,IFERROR(MATCH(IFERROR(LARGE('ورودی اقدامات'!$AK$4:$AK$1203,8),""),'ورودی اقدامات'!$AK$4:$AK$1203,0),"")))</f>
        <v>PL\05\70</v>
      </c>
      <c r="C90" s="34" t="str">
        <f aca="false">IF(IFERROR(LARGE('ورودی اقدامات'!$AK$4:$AK$1203,8),"")="","",IF(INDEX('ورودی اقدامات'!$O$4:$O$1203,IFERROR(MATCH(IFERROR(LARGE('ورودی اقدامات'!$AK$4:$AK$1203,8),""),'ورودی اقدامات'!$AK$4:$AK$1203,0),""))="","-",INDEX('ورودی اقدامات'!$O$4:$O$1203,IFERROR(MATCH(IFERROR(LARGE('ورودی اقدامات'!$AK$4:$AK$1203,8),""),'ورودی اقدامات'!$AK$4:$AK$1203,0),""))))</f>
        <v>-</v>
      </c>
      <c r="D90" s="34" t="str">
        <f aca="false">IF(IFERROR(LARGE('ورودی اقدامات'!$AK$4:$AK$1203,8),"")="","",IF(INDEX('ورودی اقدامات'!$G$4:$G$1203,IFERROR(MATCH(IFERROR(LARGE('ورودی اقدامات'!$AK$4:$AK$1203,8),""),'ورودی اقدامات'!$AK$4:$AK$1203,0),""))="","-",INDEX('ورودی اقدامات'!$G$4:$G$1203,IFERROR(MATCH(IFERROR(LARGE('ورودی اقدامات'!$AK$4:$AK$1203,8),""),'ورودی اقدامات'!$AK$4:$AK$1203,0),""))))</f>
        <v>برنامه‌ریزی</v>
      </c>
      <c r="E90" s="31" t="str">
        <f aca="false">IF(IFERROR(LARGE('ورودی اقدامات'!$AK$4:$AK$1203,8),"")="","",INDEX('ورودی اقدامات'!$H$4:$H$1203,IFERROR(MATCH(IFERROR(LARGE('ورودی اقدامات'!$AK$4:$AK$1203,8),""),'ورودی اقدامات'!$AK$4:$AK$1203,0),"")))</f>
        <v>1405/4/10</v>
      </c>
      <c r="F90" s="31" t="n">
        <f aca="false">IF(IFERROR(LARGE('ورودی اقدامات'!$AK$4:$AK$1203,8),"")="","",INDEX('ورودی اقدامات'!$V$4:$V$1203,IFERROR(MATCH(IFERROR(LARGE('ورودی اقدامات'!$AK$4:$AK$1203,8),""),'ورودی اقدامات'!$AK$4:$AK$1203,0),"")))</f>
        <v>91</v>
      </c>
    </row>
    <row r="91" customFormat="false" ht="15" hidden="false" customHeight="false" outlineLevel="0" collapsed="false">
      <c r="B91" s="14" t="str">
        <f aca="false">IF(IFERROR(LARGE('ورودی اقدامات'!$AK$4:$AK$1203,9),"")="","",INDEX('ورودی اقدامات'!$B$4:$B$1203,IFERROR(MATCH(IFERROR(LARGE('ورودی اقدامات'!$AK$4:$AK$1203,9),""),'ورودی اقدامات'!$AK$4:$AK$1203,0),"")))</f>
        <v>SALE\05\96</v>
      </c>
      <c r="C91" s="34" t="str">
        <f aca="false">IF(IFERROR(LARGE('ورودی اقدامات'!$AK$4:$AK$1203,9),"")="","",IF(INDEX('ورودی اقدامات'!$O$4:$O$1203,IFERROR(MATCH(IFERROR(LARGE('ورودی اقدامات'!$AK$4:$AK$1203,9),""),'ورودی اقدامات'!$AK$4:$AK$1203,0),""))="","-",INDEX('ورودی اقدامات'!$O$4:$O$1203,IFERROR(MATCH(IFERROR(LARGE('ورودی اقدامات'!$AK$4:$AK$1203,9),""),'ورودی اقدامات'!$AK$4:$AK$1203,0),""))))</f>
        <v>-</v>
      </c>
      <c r="D91" s="34" t="str">
        <f aca="false">IF(IFERROR(LARGE('ورودی اقدامات'!$AK$4:$AK$1203,9),"")="","",IF(INDEX('ورودی اقدامات'!$G$4:$G$1203,IFERROR(MATCH(IFERROR(LARGE('ورودی اقدامات'!$AK$4:$AK$1203,9),""),'ورودی اقدامات'!$AK$4:$AK$1203,0),""))="","-",INDEX('ورودی اقدامات'!$G$4:$G$1203,IFERROR(MATCH(IFERROR(LARGE('ورودی اقدامات'!$AK$4:$AK$1203,9),""),'ورودی اقدامات'!$AK$4:$AK$1203,0),""))))</f>
        <v>بازرسی آزمون</v>
      </c>
      <c r="E91" s="31" t="str">
        <f aca="false">IF(IFERROR(LARGE('ورودی اقدامات'!$AK$4:$AK$1203,9),"")="","",INDEX('ورودی اقدامات'!$H$4:$H$1203,IFERROR(MATCH(IFERROR(LARGE('ورودی اقدامات'!$AK$4:$AK$1203,9),""),'ورودی اقدامات'!$AK$4:$AK$1203,0),"")))</f>
        <v>1405/4/31</v>
      </c>
      <c r="F91" s="31" t="n">
        <f aca="false">IF(IFERROR(LARGE('ورودی اقدامات'!$AK$4:$AK$1203,9),"")="","",INDEX('ورودی اقدامات'!$V$4:$V$1203,IFERROR(MATCH(IFERROR(LARGE('ورودی اقدامات'!$AK$4:$AK$1203,9),""),'ورودی اقدامات'!$AK$4:$AK$1203,0),"")))</f>
        <v>70</v>
      </c>
    </row>
    <row r="92" customFormat="false" ht="15" hidden="false" customHeight="false" outlineLevel="0" collapsed="false">
      <c r="B92" s="14" t="str">
        <f aca="false">IF(IFERROR(LARGE('ورودی اقدامات'!$AK$4:$AK$1203,10),"")="","",INDEX('ورودی اقدامات'!$B$4:$B$1203,IFERROR(MATCH(IFERROR(LARGE('ورودی اقدامات'!$AK$4:$AK$1203,10),""),'ورودی اقدامات'!$AK$4:$AK$1203,0),"")))</f>
        <v>SALE\05\102</v>
      </c>
      <c r="C92" s="34" t="str">
        <f aca="false">IF(IFERROR(LARGE('ورودی اقدامات'!$AK$4:$AK$1203,10),"")="","",IF(INDEX('ورودی اقدامات'!$O$4:$O$1203,IFERROR(MATCH(IFERROR(LARGE('ورودی اقدامات'!$AK$4:$AK$1203,10),""),'ورودی اقدامات'!$AK$4:$AK$1203,0),""))="","-",INDEX('ورودی اقدامات'!$O$4:$O$1203,IFERROR(MATCH(IFERROR(LARGE('ورودی اقدامات'!$AK$4:$AK$1203,10),""),'ورودی اقدامات'!$AK$4:$AK$1203,0),""))))</f>
        <v>-</v>
      </c>
      <c r="D92" s="34" t="str">
        <f aca="false">IF(IFERROR(LARGE('ورودی اقدامات'!$AK$4:$AK$1203,10),"")="","",IF(INDEX('ورودی اقدامات'!$G$4:$G$1203,IFERROR(MATCH(IFERROR(LARGE('ورودی اقدامات'!$AK$4:$AK$1203,10),""),'ورودی اقدامات'!$AK$4:$AK$1203,0),""))="","-",INDEX('ورودی اقدامات'!$G$4:$G$1203,IFERROR(MATCH(IFERROR(LARGE('ورودی اقدامات'!$AK$4:$AK$1203,10),""),'ورودی اقدامات'!$AK$4:$AK$1203,0),""))))</f>
        <v>بازرسی آزمون</v>
      </c>
      <c r="E92" s="31" t="str">
        <f aca="false">IF(IFERROR(LARGE('ورودی اقدامات'!$AK$4:$AK$1203,10),"")="","",INDEX('ورودی اقدامات'!$H$4:$H$1203,IFERROR(MATCH(IFERROR(LARGE('ورودی اقدامات'!$AK$4:$AK$1203,10),""),'ورودی اقدامات'!$AK$4:$AK$1203,0),"")))</f>
        <v>1405/4/31</v>
      </c>
      <c r="F92" s="31" t="n">
        <f aca="false">IF(IFERROR(LARGE('ورودی اقدامات'!$AK$4:$AK$1203,10),"")="","",INDEX('ورودی اقدامات'!$V$4:$V$1203,IFERROR(MATCH(IFERROR(LARGE('ورودی اقدامات'!$AK$4:$AK$1203,10),""),'ورودی اقدامات'!$AK$4:$AK$1203,0),"")))</f>
        <v>70</v>
      </c>
    </row>
  </sheetData>
  <mergeCells count="13">
    <mergeCell ref="A1:J1"/>
    <mergeCell ref="B4:C4"/>
    <mergeCell ref="D4:E4"/>
    <mergeCell ref="F4:G4"/>
    <mergeCell ref="H4:I4"/>
    <mergeCell ref="J4:K4"/>
    <mergeCell ref="B5:C6"/>
    <mergeCell ref="D5:E6"/>
    <mergeCell ref="F5:G6"/>
    <mergeCell ref="H5:I6"/>
    <mergeCell ref="J5:K6"/>
    <mergeCell ref="B7:J7"/>
    <mergeCell ref="B9:J10"/>
  </mergeCells>
  <conditionalFormatting sqref="F83:F92">
    <cfRule type="cellIs" priority="2" operator="greaterThan" aboveAverage="0" equalAverage="0" bottom="0" percent="0" rank="0" text="" dxfId="1">
      <formula>90</formula>
    </cfRule>
    <cfRule type="cellIs" priority="3" operator="between" aboveAverage="0" equalAverage="0" bottom="0" percent="0" rank="0" text="" dxfId="2">
      <formula>31</formula>
      <formula>90</formula>
    </cfRule>
  </conditionalFormatting>
  <printOptions headings="false" gridLines="false" gridLinesSet="true" horizontalCentered="false" verticalCentered="false"/>
  <pageMargins left="0.3" right="0.3" top="0.4" bottom="0.4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&amp;Cداشبورد مدیریتی اقدامات اصلاحی / پیشگیرانه</oddHeader>
    <oddFooter>&amp;C&amp;P از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2026-09-30T09:19:51Z</dcterms:created>
  <dc:creator>openpyxl</dc:creator>
  <dc:description/>
  <dc:language>en-US</dc:language>
  <cp:lastModifiedBy/>
  <dcterms:modified xsi:type="dcterms:W3CDTF">2026-09-30T09:20:04Z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
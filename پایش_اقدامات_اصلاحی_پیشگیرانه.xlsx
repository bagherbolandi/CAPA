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QMS\03-Monitoring\4- CAPA\3-Follow-up and effectiveness of actions\1405\"/>
    </mc:Choice>
  </mc:AlternateContent>
  <xr:revisionPtr revIDLastSave="0" documentId="13_ncr:1_{D79FE2BE-889B-4327-84A9-AC0DC65FA584}" xr6:coauthVersionLast="47" xr6:coauthVersionMax="47" xr10:uidLastSave="{00000000-0000-0000-0000-000000000000}"/>
  <bookViews>
    <workbookView xWindow="0" yWindow="0" windowWidth="14175" windowHeight="15600" tabRatio="500" firstSheet="1" activeTab="3" xr2:uid="{00000000-000D-0000-FFFF-FFFF00000000}"/>
  </bookViews>
  <sheets>
    <sheet name="راهنما" sheetId="1" r:id="rId1"/>
    <sheet name="ورودی اقدامات" sheetId="2" r:id="rId2"/>
    <sheet name="لیست‌ها" sheetId="3" r:id="rId3"/>
    <sheet name="داشبورد" sheetId="4" r:id="rId4"/>
  </sheets>
  <definedNames>
    <definedName name="_xlnm.Print_Area" localSheetId="3">داشبورد!$A$1:$M$94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4" i="2" l="1"/>
  <c r="U14" i="2" s="1"/>
  <c r="T22" i="2"/>
  <c r="U22" i="2" s="1"/>
  <c r="T38" i="2"/>
  <c r="U38" i="2" s="1"/>
  <c r="T46" i="2"/>
  <c r="U46" i="2" s="1"/>
  <c r="T54" i="2"/>
  <c r="U54" i="2" s="1"/>
  <c r="T62" i="2"/>
  <c r="U62" i="2" s="1"/>
  <c r="T70" i="2"/>
  <c r="U70" i="2" s="1"/>
  <c r="T78" i="2"/>
  <c r="U78" i="2" s="1"/>
  <c r="T86" i="2"/>
  <c r="U86" i="2" s="1"/>
  <c r="T94" i="2"/>
  <c r="T102" i="2"/>
  <c r="T110" i="2"/>
  <c r="T118" i="2"/>
  <c r="T126" i="2"/>
  <c r="T134" i="2"/>
  <c r="T142" i="2"/>
  <c r="T150" i="2"/>
  <c r="T158" i="2"/>
  <c r="T166" i="2"/>
  <c r="T174" i="2"/>
  <c r="T182" i="2"/>
  <c r="T190" i="2"/>
  <c r="T198" i="2"/>
  <c r="T206" i="2"/>
  <c r="T222" i="2"/>
  <c r="T230" i="2"/>
  <c r="T238" i="2"/>
  <c r="T254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AJ282" i="2" s="1"/>
  <c r="T283" i="2"/>
  <c r="T284" i="2"/>
  <c r="AJ284" i="2" s="1"/>
  <c r="T285" i="2"/>
  <c r="AJ285" i="2" s="1"/>
  <c r="T286" i="2"/>
  <c r="T287" i="2"/>
  <c r="T288" i="2"/>
  <c r="T289" i="2"/>
  <c r="T290" i="2"/>
  <c r="T291" i="2"/>
  <c r="AJ291" i="2" s="1"/>
  <c r="T292" i="2"/>
  <c r="T293" i="2"/>
  <c r="AJ293" i="2" s="1"/>
  <c r="T294" i="2"/>
  <c r="T295" i="2"/>
  <c r="T296" i="2"/>
  <c r="T297" i="2"/>
  <c r="T298" i="2"/>
  <c r="T299" i="2"/>
  <c r="T300" i="2"/>
  <c r="AJ300" i="2" s="1"/>
  <c r="T301" i="2"/>
  <c r="T302" i="2"/>
  <c r="T303" i="2"/>
  <c r="T304" i="2"/>
  <c r="T305" i="2"/>
  <c r="T306" i="2"/>
  <c r="T307" i="2"/>
  <c r="T308" i="2"/>
  <c r="AJ308" i="2" s="1"/>
  <c r="T309" i="2"/>
  <c r="AJ309" i="2" s="1"/>
  <c r="T310" i="2"/>
  <c r="T311" i="2"/>
  <c r="T312" i="2"/>
  <c r="T313" i="2"/>
  <c r="T314" i="2"/>
  <c r="AJ314" i="2" s="1"/>
  <c r="T315" i="2"/>
  <c r="AJ315" i="2" s="1"/>
  <c r="T316" i="2"/>
  <c r="AJ316" i="2" s="1"/>
  <c r="T317" i="2"/>
  <c r="AJ317" i="2" s="1"/>
  <c r="T318" i="2"/>
  <c r="T319" i="2"/>
  <c r="T320" i="2"/>
  <c r="T321" i="2"/>
  <c r="T322" i="2"/>
  <c r="AJ322" i="2" s="1"/>
  <c r="T323" i="2"/>
  <c r="AJ323" i="2" s="1"/>
  <c r="T324" i="2"/>
  <c r="AJ324" i="2" s="1"/>
  <c r="T325" i="2"/>
  <c r="AJ325" i="2" s="1"/>
  <c r="T326" i="2"/>
  <c r="T327" i="2"/>
  <c r="T328" i="2"/>
  <c r="T329" i="2"/>
  <c r="T330" i="2"/>
  <c r="AJ330" i="2" s="1"/>
  <c r="T331" i="2"/>
  <c r="AJ331" i="2" s="1"/>
  <c r="T332" i="2"/>
  <c r="AJ332" i="2" s="1"/>
  <c r="T333" i="2"/>
  <c r="AJ333" i="2" s="1"/>
  <c r="T334" i="2"/>
  <c r="T335" i="2"/>
  <c r="T336" i="2"/>
  <c r="T337" i="2"/>
  <c r="T338" i="2"/>
  <c r="AJ338" i="2" s="1"/>
  <c r="T339" i="2"/>
  <c r="AJ339" i="2" s="1"/>
  <c r="T340" i="2"/>
  <c r="AJ340" i="2" s="1"/>
  <c r="T341" i="2"/>
  <c r="AJ341" i="2" s="1"/>
  <c r="T342" i="2"/>
  <c r="U342" i="2" s="1"/>
  <c r="T343" i="2"/>
  <c r="T344" i="2"/>
  <c r="T345" i="2"/>
  <c r="T346" i="2"/>
  <c r="T347" i="2"/>
  <c r="AJ347" i="2" s="1"/>
  <c r="T348" i="2"/>
  <c r="AJ348" i="2" s="1"/>
  <c r="T349" i="2"/>
  <c r="AJ349" i="2" s="1"/>
  <c r="T350" i="2"/>
  <c r="T351" i="2"/>
  <c r="T352" i="2"/>
  <c r="T353" i="2"/>
  <c r="T354" i="2"/>
  <c r="AJ354" i="2" s="1"/>
  <c r="T355" i="2"/>
  <c r="T356" i="2"/>
  <c r="T357" i="2"/>
  <c r="AJ357" i="2" s="1"/>
  <c r="T358" i="2"/>
  <c r="U358" i="2" s="1"/>
  <c r="T359" i="2"/>
  <c r="T360" i="2"/>
  <c r="T361" i="2"/>
  <c r="T362" i="2"/>
  <c r="T363" i="2"/>
  <c r="T364" i="2"/>
  <c r="T365" i="2"/>
  <c r="AJ365" i="2" s="1"/>
  <c r="T366" i="2"/>
  <c r="T367" i="2"/>
  <c r="T368" i="2"/>
  <c r="T369" i="2"/>
  <c r="T370" i="2"/>
  <c r="T371" i="2"/>
  <c r="T372" i="2"/>
  <c r="AJ372" i="2" s="1"/>
  <c r="T373" i="2"/>
  <c r="T374" i="2"/>
  <c r="T375" i="2"/>
  <c r="T376" i="2"/>
  <c r="T377" i="2"/>
  <c r="T378" i="2"/>
  <c r="T379" i="2"/>
  <c r="T380" i="2"/>
  <c r="AJ380" i="2" s="1"/>
  <c r="T381" i="2"/>
  <c r="AJ381" i="2" s="1"/>
  <c r="T382" i="2"/>
  <c r="T383" i="2"/>
  <c r="T384" i="2"/>
  <c r="T385" i="2"/>
  <c r="T386" i="2"/>
  <c r="AJ386" i="2" s="1"/>
  <c r="T387" i="2"/>
  <c r="T388" i="2"/>
  <c r="AJ388" i="2" s="1"/>
  <c r="T389" i="2"/>
  <c r="AJ389" i="2" s="1"/>
  <c r="T390" i="2"/>
  <c r="T391" i="2"/>
  <c r="T392" i="2"/>
  <c r="T393" i="2"/>
  <c r="T394" i="2"/>
  <c r="AJ394" i="2" s="1"/>
  <c r="T395" i="2"/>
  <c r="T396" i="2"/>
  <c r="AJ396" i="2" s="1"/>
  <c r="T397" i="2"/>
  <c r="AJ397" i="2" s="1"/>
  <c r="T398" i="2"/>
  <c r="T399" i="2"/>
  <c r="T400" i="2"/>
  <c r="T401" i="2"/>
  <c r="T402" i="2"/>
  <c r="AJ402" i="2" s="1"/>
  <c r="T403" i="2"/>
  <c r="T404" i="2"/>
  <c r="AJ404" i="2" s="1"/>
  <c r="T405" i="2"/>
  <c r="T406" i="2"/>
  <c r="T407" i="2"/>
  <c r="T408" i="2"/>
  <c r="T409" i="2"/>
  <c r="T410" i="2"/>
  <c r="AJ410" i="2" s="1"/>
  <c r="T411" i="2"/>
  <c r="T412" i="2"/>
  <c r="AJ412" i="2" s="1"/>
  <c r="T413" i="2"/>
  <c r="T414" i="2"/>
  <c r="T415" i="2"/>
  <c r="T416" i="2"/>
  <c r="T417" i="2"/>
  <c r="T418" i="2"/>
  <c r="AJ418" i="2" s="1"/>
  <c r="T419" i="2"/>
  <c r="T420" i="2"/>
  <c r="AJ420" i="2" s="1"/>
  <c r="T421" i="2"/>
  <c r="AJ421" i="2" s="1"/>
  <c r="T422" i="2"/>
  <c r="T423" i="2"/>
  <c r="T424" i="2"/>
  <c r="T425" i="2"/>
  <c r="T426" i="2"/>
  <c r="AJ426" i="2" s="1"/>
  <c r="T427" i="2"/>
  <c r="T428" i="2"/>
  <c r="AJ428" i="2" s="1"/>
  <c r="T429" i="2"/>
  <c r="T430" i="2"/>
  <c r="T431" i="2"/>
  <c r="T432" i="2"/>
  <c r="T433" i="2"/>
  <c r="T434" i="2"/>
  <c r="AJ434" i="2" s="1"/>
  <c r="T435" i="2"/>
  <c r="T436" i="2"/>
  <c r="AJ436" i="2" s="1"/>
  <c r="T437" i="2"/>
  <c r="T438" i="2"/>
  <c r="T439" i="2"/>
  <c r="T440" i="2"/>
  <c r="T441" i="2"/>
  <c r="T442" i="2"/>
  <c r="AJ442" i="2" s="1"/>
  <c r="T443" i="2"/>
  <c r="T444" i="2"/>
  <c r="AJ444" i="2" s="1"/>
  <c r="T445" i="2"/>
  <c r="T446" i="2"/>
  <c r="T447" i="2"/>
  <c r="T448" i="2"/>
  <c r="T449" i="2"/>
  <c r="T450" i="2"/>
  <c r="AJ450" i="2" s="1"/>
  <c r="T451" i="2"/>
  <c r="T452" i="2"/>
  <c r="AJ452" i="2" s="1"/>
  <c r="T453" i="2"/>
  <c r="T454" i="2"/>
  <c r="T455" i="2"/>
  <c r="T456" i="2"/>
  <c r="T457" i="2"/>
  <c r="T458" i="2"/>
  <c r="AJ458" i="2" s="1"/>
  <c r="T459" i="2"/>
  <c r="T460" i="2"/>
  <c r="AJ460" i="2" s="1"/>
  <c r="T461" i="2"/>
  <c r="T462" i="2"/>
  <c r="T463" i="2"/>
  <c r="T464" i="2"/>
  <c r="T465" i="2"/>
  <c r="T466" i="2"/>
  <c r="AJ466" i="2" s="1"/>
  <c r="T467" i="2"/>
  <c r="T468" i="2"/>
  <c r="AJ468" i="2" s="1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AJ500" i="2" s="1"/>
  <c r="T501" i="2"/>
  <c r="AJ501" i="2" s="1"/>
  <c r="T502" i="2"/>
  <c r="T503" i="2"/>
  <c r="T504" i="2"/>
  <c r="T505" i="2"/>
  <c r="T506" i="2"/>
  <c r="T507" i="2"/>
  <c r="T508" i="2"/>
  <c r="AJ508" i="2" s="1"/>
  <c r="T509" i="2"/>
  <c r="AJ509" i="2" s="1"/>
  <c r="T510" i="2"/>
  <c r="T511" i="2"/>
  <c r="T512" i="2"/>
  <c r="T513" i="2"/>
  <c r="T514" i="2"/>
  <c r="AJ514" i="2" s="1"/>
  <c r="T515" i="2"/>
  <c r="AJ515" i="2" s="1"/>
  <c r="T516" i="2"/>
  <c r="AJ516" i="2" s="1"/>
  <c r="T517" i="2"/>
  <c r="AJ517" i="2" s="1"/>
  <c r="T518" i="2"/>
  <c r="T519" i="2"/>
  <c r="T520" i="2"/>
  <c r="T521" i="2"/>
  <c r="T522" i="2"/>
  <c r="AJ522" i="2" s="1"/>
  <c r="T523" i="2"/>
  <c r="T524" i="2"/>
  <c r="AJ524" i="2" s="1"/>
  <c r="T525" i="2"/>
  <c r="AJ525" i="2" s="1"/>
  <c r="T526" i="2"/>
  <c r="T527" i="2"/>
  <c r="T528" i="2"/>
  <c r="T529" i="2"/>
  <c r="T530" i="2"/>
  <c r="AJ530" i="2" s="1"/>
  <c r="T531" i="2"/>
  <c r="T532" i="2"/>
  <c r="AJ532" i="2" s="1"/>
  <c r="T533" i="2"/>
  <c r="AJ533" i="2" s="1"/>
  <c r="T534" i="2"/>
  <c r="U534" i="2" s="1"/>
  <c r="T535" i="2"/>
  <c r="T536" i="2"/>
  <c r="T537" i="2"/>
  <c r="T538" i="2"/>
  <c r="AJ538" i="2" s="1"/>
  <c r="T4" i="2"/>
  <c r="T3" i="3"/>
  <c r="S3" i="3"/>
  <c r="AF803" i="2"/>
  <c r="AE803" i="2"/>
  <c r="AD803" i="2"/>
  <c r="AG803" i="2" s="1"/>
  <c r="AB803" i="2"/>
  <c r="AA803" i="2"/>
  <c r="Z803" i="2"/>
  <c r="AC803" i="2" s="1"/>
  <c r="X803" i="2"/>
  <c r="W803" i="2"/>
  <c r="V803" i="2"/>
  <c r="AI803" i="2" s="1"/>
  <c r="T803" i="2"/>
  <c r="AJ803" i="2" s="1"/>
  <c r="A803" i="2"/>
  <c r="AF802" i="2"/>
  <c r="AE802" i="2"/>
  <c r="AD802" i="2"/>
  <c r="AG802" i="2" s="1"/>
  <c r="AB802" i="2"/>
  <c r="AA802" i="2"/>
  <c r="Z802" i="2"/>
  <c r="AC802" i="2" s="1"/>
  <c r="X802" i="2"/>
  <c r="W802" i="2"/>
  <c r="V802" i="2"/>
  <c r="Y802" i="2" s="1"/>
  <c r="T802" i="2"/>
  <c r="A802" i="2"/>
  <c r="AF801" i="2"/>
  <c r="AE801" i="2"/>
  <c r="AD801" i="2"/>
  <c r="AG801" i="2" s="1"/>
  <c r="AB801" i="2"/>
  <c r="AA801" i="2"/>
  <c r="Z801" i="2"/>
  <c r="AC801" i="2" s="1"/>
  <c r="X801" i="2"/>
  <c r="W801" i="2"/>
  <c r="V801" i="2"/>
  <c r="AI801" i="2" s="1"/>
  <c r="T801" i="2"/>
  <c r="AJ801" i="2" s="1"/>
  <c r="A801" i="2"/>
  <c r="AF800" i="2"/>
  <c r="AE800" i="2"/>
  <c r="AD800" i="2"/>
  <c r="AG800" i="2" s="1"/>
  <c r="AB800" i="2"/>
  <c r="AA800" i="2"/>
  <c r="Z800" i="2"/>
  <c r="AC800" i="2" s="1"/>
  <c r="X800" i="2"/>
  <c r="W800" i="2"/>
  <c r="V800" i="2"/>
  <c r="AI800" i="2" s="1"/>
  <c r="T800" i="2"/>
  <c r="AJ800" i="2" s="1"/>
  <c r="A800" i="2"/>
  <c r="AF799" i="2"/>
  <c r="AE799" i="2"/>
  <c r="AD799" i="2"/>
  <c r="AG799" i="2" s="1"/>
  <c r="AB799" i="2"/>
  <c r="AA799" i="2"/>
  <c r="Z799" i="2"/>
  <c r="AC799" i="2" s="1"/>
  <c r="X799" i="2"/>
  <c r="W799" i="2"/>
  <c r="V799" i="2"/>
  <c r="AI799" i="2" s="1"/>
  <c r="T799" i="2"/>
  <c r="AJ799" i="2" s="1"/>
  <c r="A799" i="2"/>
  <c r="AF798" i="2"/>
  <c r="AE798" i="2"/>
  <c r="AD798" i="2"/>
  <c r="AG798" i="2" s="1"/>
  <c r="AB798" i="2"/>
  <c r="AA798" i="2"/>
  <c r="Z798" i="2"/>
  <c r="AC798" i="2" s="1"/>
  <c r="X798" i="2"/>
  <c r="W798" i="2"/>
  <c r="V798" i="2"/>
  <c r="T798" i="2"/>
  <c r="A798" i="2"/>
  <c r="AF797" i="2"/>
  <c r="AE797" i="2"/>
  <c r="AD797" i="2"/>
  <c r="AG797" i="2" s="1"/>
  <c r="AB797" i="2"/>
  <c r="AA797" i="2"/>
  <c r="Z797" i="2"/>
  <c r="AC797" i="2" s="1"/>
  <c r="X797" i="2"/>
  <c r="W797" i="2"/>
  <c r="V797" i="2"/>
  <c r="AI797" i="2" s="1"/>
  <c r="T797" i="2"/>
  <c r="AJ797" i="2" s="1"/>
  <c r="A797" i="2"/>
  <c r="AF796" i="2"/>
  <c r="AE796" i="2"/>
  <c r="AD796" i="2"/>
  <c r="AG796" i="2" s="1"/>
  <c r="AB796" i="2"/>
  <c r="AA796" i="2"/>
  <c r="Z796" i="2"/>
  <c r="AC796" i="2" s="1"/>
  <c r="X796" i="2"/>
  <c r="W796" i="2"/>
  <c r="V796" i="2"/>
  <c r="AI796" i="2" s="1"/>
  <c r="T796" i="2"/>
  <c r="AJ796" i="2" s="1"/>
  <c r="A796" i="2"/>
  <c r="AF795" i="2"/>
  <c r="AE795" i="2"/>
  <c r="AD795" i="2"/>
  <c r="AG795" i="2" s="1"/>
  <c r="AC795" i="2"/>
  <c r="AB795" i="2"/>
  <c r="AA795" i="2"/>
  <c r="Z795" i="2"/>
  <c r="X795" i="2"/>
  <c r="W795" i="2"/>
  <c r="V795" i="2"/>
  <c r="T795" i="2"/>
  <c r="AJ795" i="2" s="1"/>
  <c r="A795" i="2"/>
  <c r="AF794" i="2"/>
  <c r="AE794" i="2"/>
  <c r="AD794" i="2"/>
  <c r="AG794" i="2" s="1"/>
  <c r="AB794" i="2"/>
  <c r="AA794" i="2"/>
  <c r="Z794" i="2"/>
  <c r="AC794" i="2" s="1"/>
  <c r="X794" i="2"/>
  <c r="W794" i="2"/>
  <c r="V794" i="2"/>
  <c r="Y794" i="2" s="1"/>
  <c r="T794" i="2"/>
  <c r="A794" i="2"/>
  <c r="AF793" i="2"/>
  <c r="AE793" i="2"/>
  <c r="AD793" i="2"/>
  <c r="AG793" i="2" s="1"/>
  <c r="AB793" i="2"/>
  <c r="AA793" i="2"/>
  <c r="Z793" i="2"/>
  <c r="AC793" i="2" s="1"/>
  <c r="X793" i="2"/>
  <c r="W793" i="2"/>
  <c r="V793" i="2"/>
  <c r="AI793" i="2" s="1"/>
  <c r="T793" i="2"/>
  <c r="AJ793" i="2" s="1"/>
  <c r="A793" i="2"/>
  <c r="AF792" i="2"/>
  <c r="AE792" i="2"/>
  <c r="AD792" i="2"/>
  <c r="AG792" i="2" s="1"/>
  <c r="AB792" i="2"/>
  <c r="AA792" i="2"/>
  <c r="Z792" i="2"/>
  <c r="AC792" i="2" s="1"/>
  <c r="X792" i="2"/>
  <c r="W792" i="2"/>
  <c r="V792" i="2"/>
  <c r="AI792" i="2" s="1"/>
  <c r="T792" i="2"/>
  <c r="AJ792" i="2" s="1"/>
  <c r="A792" i="2"/>
  <c r="AF791" i="2"/>
  <c r="AE791" i="2"/>
  <c r="AD791" i="2"/>
  <c r="AG791" i="2" s="1"/>
  <c r="AB791" i="2"/>
  <c r="AA791" i="2"/>
  <c r="Z791" i="2"/>
  <c r="AC791" i="2" s="1"/>
  <c r="X791" i="2"/>
  <c r="W791" i="2"/>
  <c r="V791" i="2"/>
  <c r="AI791" i="2" s="1"/>
  <c r="T791" i="2"/>
  <c r="AJ791" i="2" s="1"/>
  <c r="A791" i="2"/>
  <c r="AF790" i="2"/>
  <c r="AE790" i="2"/>
  <c r="AD790" i="2"/>
  <c r="AG790" i="2" s="1"/>
  <c r="AB790" i="2"/>
  <c r="AA790" i="2"/>
  <c r="Z790" i="2"/>
  <c r="AC790" i="2" s="1"/>
  <c r="X790" i="2"/>
  <c r="W790" i="2"/>
  <c r="V790" i="2"/>
  <c r="Y790" i="2" s="1"/>
  <c r="T790" i="2"/>
  <c r="A790" i="2"/>
  <c r="AF789" i="2"/>
  <c r="AE789" i="2"/>
  <c r="AD789" i="2"/>
  <c r="AG789" i="2" s="1"/>
  <c r="AB789" i="2"/>
  <c r="AA789" i="2"/>
  <c r="Z789" i="2"/>
  <c r="AC789" i="2" s="1"/>
  <c r="X789" i="2"/>
  <c r="W789" i="2"/>
  <c r="V789" i="2"/>
  <c r="AI789" i="2" s="1"/>
  <c r="T789" i="2"/>
  <c r="AJ789" i="2" s="1"/>
  <c r="A789" i="2"/>
  <c r="AF788" i="2"/>
  <c r="AE788" i="2"/>
  <c r="AD788" i="2"/>
  <c r="AG788" i="2" s="1"/>
  <c r="AB788" i="2"/>
  <c r="AA788" i="2"/>
  <c r="Z788" i="2"/>
  <c r="AC788" i="2" s="1"/>
  <c r="X788" i="2"/>
  <c r="W788" i="2"/>
  <c r="V788" i="2"/>
  <c r="AI788" i="2" s="1"/>
  <c r="T788" i="2"/>
  <c r="AJ788" i="2" s="1"/>
  <c r="A788" i="2"/>
  <c r="AF787" i="2"/>
  <c r="AE787" i="2"/>
  <c r="AD787" i="2"/>
  <c r="AG787" i="2" s="1"/>
  <c r="AB787" i="2"/>
  <c r="AA787" i="2"/>
  <c r="Z787" i="2"/>
  <c r="AC787" i="2" s="1"/>
  <c r="X787" i="2"/>
  <c r="W787" i="2"/>
  <c r="V787" i="2"/>
  <c r="AI787" i="2" s="1"/>
  <c r="T787" i="2"/>
  <c r="AJ787" i="2" s="1"/>
  <c r="A787" i="2"/>
  <c r="AF786" i="2"/>
  <c r="AE786" i="2"/>
  <c r="AD786" i="2"/>
  <c r="AG786" i="2" s="1"/>
  <c r="AB786" i="2"/>
  <c r="AA786" i="2"/>
  <c r="Z786" i="2"/>
  <c r="AC786" i="2" s="1"/>
  <c r="X786" i="2"/>
  <c r="W786" i="2"/>
  <c r="V786" i="2"/>
  <c r="Y786" i="2" s="1"/>
  <c r="T786" i="2"/>
  <c r="A786" i="2"/>
  <c r="AF785" i="2"/>
  <c r="AE785" i="2"/>
  <c r="AD785" i="2"/>
  <c r="AG785" i="2" s="1"/>
  <c r="AB785" i="2"/>
  <c r="AA785" i="2"/>
  <c r="Z785" i="2"/>
  <c r="AC785" i="2" s="1"/>
  <c r="X785" i="2"/>
  <c r="W785" i="2"/>
  <c r="V785" i="2"/>
  <c r="AI785" i="2" s="1"/>
  <c r="T785" i="2"/>
  <c r="AJ785" i="2" s="1"/>
  <c r="A785" i="2"/>
  <c r="AF784" i="2"/>
  <c r="AE784" i="2"/>
  <c r="AD784" i="2"/>
  <c r="AG784" i="2" s="1"/>
  <c r="AB784" i="2"/>
  <c r="AA784" i="2"/>
  <c r="Z784" i="2"/>
  <c r="AC784" i="2" s="1"/>
  <c r="X784" i="2"/>
  <c r="W784" i="2"/>
  <c r="V784" i="2"/>
  <c r="AH784" i="2" s="1"/>
  <c r="T784" i="2"/>
  <c r="AJ784" i="2" s="1"/>
  <c r="A784" i="2"/>
  <c r="AF783" i="2"/>
  <c r="AE783" i="2"/>
  <c r="AD783" i="2"/>
  <c r="AG783" i="2" s="1"/>
  <c r="AC783" i="2"/>
  <c r="AB783" i="2"/>
  <c r="AA783" i="2"/>
  <c r="Z783" i="2"/>
  <c r="X783" i="2"/>
  <c r="W783" i="2"/>
  <c r="V783" i="2"/>
  <c r="T783" i="2"/>
  <c r="AJ783" i="2" s="1"/>
  <c r="A783" i="2"/>
  <c r="AF782" i="2"/>
  <c r="AE782" i="2"/>
  <c r="AD782" i="2"/>
  <c r="AG782" i="2" s="1"/>
  <c r="AB782" i="2"/>
  <c r="AA782" i="2"/>
  <c r="Z782" i="2"/>
  <c r="AC782" i="2" s="1"/>
  <c r="X782" i="2"/>
  <c r="W782" i="2"/>
  <c r="V782" i="2"/>
  <c r="Y782" i="2" s="1"/>
  <c r="T782" i="2"/>
  <c r="A782" i="2"/>
  <c r="AF781" i="2"/>
  <c r="AE781" i="2"/>
  <c r="AD781" i="2"/>
  <c r="AG781" i="2" s="1"/>
  <c r="AB781" i="2"/>
  <c r="AA781" i="2"/>
  <c r="Z781" i="2"/>
  <c r="AC781" i="2" s="1"/>
  <c r="X781" i="2"/>
  <c r="W781" i="2"/>
  <c r="V781" i="2"/>
  <c r="AI781" i="2" s="1"/>
  <c r="T781" i="2"/>
  <c r="AJ781" i="2" s="1"/>
  <c r="A781" i="2"/>
  <c r="AF780" i="2"/>
  <c r="AE780" i="2"/>
  <c r="AD780" i="2"/>
  <c r="AG780" i="2" s="1"/>
  <c r="AB780" i="2"/>
  <c r="AA780" i="2"/>
  <c r="Z780" i="2"/>
  <c r="AC780" i="2" s="1"/>
  <c r="X780" i="2"/>
  <c r="W780" i="2"/>
  <c r="V780" i="2"/>
  <c r="T780" i="2"/>
  <c r="AJ780" i="2" s="1"/>
  <c r="A780" i="2"/>
  <c r="AF779" i="2"/>
  <c r="AE779" i="2"/>
  <c r="AD779" i="2"/>
  <c r="AG779" i="2" s="1"/>
  <c r="AB779" i="2"/>
  <c r="AA779" i="2"/>
  <c r="Z779" i="2"/>
  <c r="AC779" i="2" s="1"/>
  <c r="X779" i="2"/>
  <c r="W779" i="2"/>
  <c r="V779" i="2"/>
  <c r="AI779" i="2" s="1"/>
  <c r="T779" i="2"/>
  <c r="AJ779" i="2" s="1"/>
  <c r="A779" i="2"/>
  <c r="AF778" i="2"/>
  <c r="AE778" i="2"/>
  <c r="AD778" i="2"/>
  <c r="AG778" i="2" s="1"/>
  <c r="AB778" i="2"/>
  <c r="AA778" i="2"/>
  <c r="Z778" i="2"/>
  <c r="AC778" i="2" s="1"/>
  <c r="X778" i="2"/>
  <c r="W778" i="2"/>
  <c r="V778" i="2"/>
  <c r="Y778" i="2" s="1"/>
  <c r="T778" i="2"/>
  <c r="A778" i="2"/>
  <c r="AF777" i="2"/>
  <c r="AE777" i="2"/>
  <c r="AD777" i="2"/>
  <c r="AG777" i="2" s="1"/>
  <c r="AB777" i="2"/>
  <c r="AA777" i="2"/>
  <c r="Z777" i="2"/>
  <c r="AC777" i="2" s="1"/>
  <c r="X777" i="2"/>
  <c r="W777" i="2"/>
  <c r="V777" i="2"/>
  <c r="AI777" i="2" s="1"/>
  <c r="T777" i="2"/>
  <c r="AJ777" i="2" s="1"/>
  <c r="A777" i="2"/>
  <c r="AF776" i="2"/>
  <c r="AE776" i="2"/>
  <c r="AD776" i="2"/>
  <c r="AG776" i="2" s="1"/>
  <c r="AB776" i="2"/>
  <c r="AA776" i="2"/>
  <c r="Z776" i="2"/>
  <c r="AC776" i="2" s="1"/>
  <c r="X776" i="2"/>
  <c r="W776" i="2"/>
  <c r="V776" i="2"/>
  <c r="AH776" i="2" s="1"/>
  <c r="T776" i="2"/>
  <c r="AJ776" i="2" s="1"/>
  <c r="A776" i="2"/>
  <c r="AF775" i="2"/>
  <c r="AE775" i="2"/>
  <c r="AD775" i="2"/>
  <c r="AG775" i="2" s="1"/>
  <c r="AB775" i="2"/>
  <c r="AA775" i="2"/>
  <c r="Z775" i="2"/>
  <c r="AC775" i="2" s="1"/>
  <c r="X775" i="2"/>
  <c r="W775" i="2"/>
  <c r="V775" i="2"/>
  <c r="AI775" i="2" s="1"/>
  <c r="T775" i="2"/>
  <c r="AJ775" i="2" s="1"/>
  <c r="A775" i="2"/>
  <c r="AF774" i="2"/>
  <c r="AE774" i="2"/>
  <c r="AD774" i="2"/>
  <c r="AG774" i="2" s="1"/>
  <c r="AB774" i="2"/>
  <c r="AA774" i="2"/>
  <c r="Z774" i="2"/>
  <c r="AC774" i="2" s="1"/>
  <c r="X774" i="2"/>
  <c r="W774" i="2"/>
  <c r="V774" i="2"/>
  <c r="Y774" i="2" s="1"/>
  <c r="T774" i="2"/>
  <c r="A774" i="2"/>
  <c r="AF773" i="2"/>
  <c r="AE773" i="2"/>
  <c r="AD773" i="2"/>
  <c r="AG773" i="2" s="1"/>
  <c r="AB773" i="2"/>
  <c r="AA773" i="2"/>
  <c r="Z773" i="2"/>
  <c r="AC773" i="2" s="1"/>
  <c r="X773" i="2"/>
  <c r="W773" i="2"/>
  <c r="V773" i="2"/>
  <c r="T773" i="2"/>
  <c r="AJ773" i="2" s="1"/>
  <c r="A773" i="2"/>
  <c r="AF772" i="2"/>
  <c r="AE772" i="2"/>
  <c r="AD772" i="2"/>
  <c r="AG772" i="2" s="1"/>
  <c r="AB772" i="2"/>
  <c r="AA772" i="2"/>
  <c r="Z772" i="2"/>
  <c r="AC772" i="2" s="1"/>
  <c r="X772" i="2"/>
  <c r="W772" i="2"/>
  <c r="V772" i="2"/>
  <c r="AH772" i="2" s="1"/>
  <c r="T772" i="2"/>
  <c r="AJ772" i="2" s="1"/>
  <c r="A772" i="2"/>
  <c r="AF771" i="2"/>
  <c r="AE771" i="2"/>
  <c r="AD771" i="2"/>
  <c r="AG771" i="2" s="1"/>
  <c r="AB771" i="2"/>
  <c r="AA771" i="2"/>
  <c r="Z771" i="2"/>
  <c r="AC771" i="2" s="1"/>
  <c r="X771" i="2"/>
  <c r="W771" i="2"/>
  <c r="V771" i="2"/>
  <c r="Y771" i="2" s="1"/>
  <c r="T771" i="2"/>
  <c r="AJ771" i="2" s="1"/>
  <c r="A771" i="2"/>
  <c r="AF770" i="2"/>
  <c r="AE770" i="2"/>
  <c r="AD770" i="2"/>
  <c r="AG770" i="2" s="1"/>
  <c r="AB770" i="2"/>
  <c r="AA770" i="2"/>
  <c r="Z770" i="2"/>
  <c r="AC770" i="2" s="1"/>
  <c r="X770" i="2"/>
  <c r="W770" i="2"/>
  <c r="V770" i="2"/>
  <c r="Y770" i="2" s="1"/>
  <c r="T770" i="2"/>
  <c r="A770" i="2"/>
  <c r="AF769" i="2"/>
  <c r="AE769" i="2"/>
  <c r="AD769" i="2"/>
  <c r="AG769" i="2" s="1"/>
  <c r="AB769" i="2"/>
  <c r="AA769" i="2"/>
  <c r="Z769" i="2"/>
  <c r="AC769" i="2" s="1"/>
  <c r="X769" i="2"/>
  <c r="W769" i="2"/>
  <c r="V769" i="2"/>
  <c r="AI769" i="2" s="1"/>
  <c r="T769" i="2"/>
  <c r="AJ769" i="2" s="1"/>
  <c r="A769" i="2"/>
  <c r="AI768" i="2"/>
  <c r="AF768" i="2"/>
  <c r="AE768" i="2"/>
  <c r="AD768" i="2"/>
  <c r="AG768" i="2" s="1"/>
  <c r="AB768" i="2"/>
  <c r="AA768" i="2"/>
  <c r="Z768" i="2"/>
  <c r="AC768" i="2" s="1"/>
  <c r="X768" i="2"/>
  <c r="W768" i="2"/>
  <c r="V768" i="2"/>
  <c r="AH768" i="2" s="1"/>
  <c r="T768" i="2"/>
  <c r="A768" i="2"/>
  <c r="AF767" i="2"/>
  <c r="AE767" i="2"/>
  <c r="AD767" i="2"/>
  <c r="AG767" i="2" s="1"/>
  <c r="AC767" i="2"/>
  <c r="AB767" i="2"/>
  <c r="AA767" i="2"/>
  <c r="Z767" i="2"/>
  <c r="X767" i="2"/>
  <c r="W767" i="2"/>
  <c r="V767" i="2"/>
  <c r="Y767" i="2" s="1"/>
  <c r="T767" i="2"/>
  <c r="AJ767" i="2" s="1"/>
  <c r="A767" i="2"/>
  <c r="AF766" i="2"/>
  <c r="AE766" i="2"/>
  <c r="AD766" i="2"/>
  <c r="AG766" i="2" s="1"/>
  <c r="AB766" i="2"/>
  <c r="AA766" i="2"/>
  <c r="Z766" i="2"/>
  <c r="AC766" i="2" s="1"/>
  <c r="X766" i="2"/>
  <c r="W766" i="2"/>
  <c r="V766" i="2"/>
  <c r="Y766" i="2" s="1"/>
  <c r="T766" i="2"/>
  <c r="A766" i="2"/>
  <c r="AF765" i="2"/>
  <c r="AE765" i="2"/>
  <c r="AD765" i="2"/>
  <c r="AG765" i="2" s="1"/>
  <c r="AB765" i="2"/>
  <c r="AA765" i="2"/>
  <c r="Z765" i="2"/>
  <c r="AC765" i="2" s="1"/>
  <c r="X765" i="2"/>
  <c r="W765" i="2"/>
  <c r="V765" i="2"/>
  <c r="AI765" i="2" s="1"/>
  <c r="T765" i="2"/>
  <c r="A765" i="2"/>
  <c r="AF764" i="2"/>
  <c r="AE764" i="2"/>
  <c r="AD764" i="2"/>
  <c r="AG764" i="2" s="1"/>
  <c r="AB764" i="2"/>
  <c r="AA764" i="2"/>
  <c r="Z764" i="2"/>
  <c r="AC764" i="2" s="1"/>
  <c r="X764" i="2"/>
  <c r="W764" i="2"/>
  <c r="V764" i="2"/>
  <c r="AI764" i="2" s="1"/>
  <c r="T764" i="2"/>
  <c r="A764" i="2"/>
  <c r="AF763" i="2"/>
  <c r="AE763" i="2"/>
  <c r="AD763" i="2"/>
  <c r="AG763" i="2" s="1"/>
  <c r="AB763" i="2"/>
  <c r="AA763" i="2"/>
  <c r="Z763" i="2"/>
  <c r="AC763" i="2" s="1"/>
  <c r="X763" i="2"/>
  <c r="W763" i="2"/>
  <c r="V763" i="2"/>
  <c r="Y763" i="2" s="1"/>
  <c r="T763" i="2"/>
  <c r="A763" i="2"/>
  <c r="AF762" i="2"/>
  <c r="AE762" i="2"/>
  <c r="AD762" i="2"/>
  <c r="AG762" i="2" s="1"/>
  <c r="AB762" i="2"/>
  <c r="AA762" i="2"/>
  <c r="Z762" i="2"/>
  <c r="AC762" i="2" s="1"/>
  <c r="X762" i="2"/>
  <c r="W762" i="2"/>
  <c r="V762" i="2"/>
  <c r="Y762" i="2" s="1"/>
  <c r="T762" i="2"/>
  <c r="A762" i="2"/>
  <c r="AF761" i="2"/>
  <c r="AE761" i="2"/>
  <c r="AD761" i="2"/>
  <c r="AG761" i="2" s="1"/>
  <c r="AB761" i="2"/>
  <c r="AA761" i="2"/>
  <c r="Z761" i="2"/>
  <c r="AC761" i="2" s="1"/>
  <c r="X761" i="2"/>
  <c r="W761" i="2"/>
  <c r="V761" i="2"/>
  <c r="AI761" i="2" s="1"/>
  <c r="T761" i="2"/>
  <c r="AJ761" i="2" s="1"/>
  <c r="A761" i="2"/>
  <c r="AF760" i="2"/>
  <c r="AE760" i="2"/>
  <c r="AD760" i="2"/>
  <c r="AG760" i="2" s="1"/>
  <c r="AB760" i="2"/>
  <c r="AA760" i="2"/>
  <c r="Z760" i="2"/>
  <c r="AC760" i="2" s="1"/>
  <c r="X760" i="2"/>
  <c r="W760" i="2"/>
  <c r="V760" i="2"/>
  <c r="AI760" i="2" s="1"/>
  <c r="T760" i="2"/>
  <c r="AJ760" i="2" s="1"/>
  <c r="A760" i="2"/>
  <c r="AF759" i="2"/>
  <c r="AE759" i="2"/>
  <c r="AD759" i="2"/>
  <c r="AG759" i="2" s="1"/>
  <c r="AB759" i="2"/>
  <c r="AA759" i="2"/>
  <c r="Z759" i="2"/>
  <c r="AC759" i="2" s="1"/>
  <c r="X759" i="2"/>
  <c r="W759" i="2"/>
  <c r="V759" i="2"/>
  <c r="T759" i="2"/>
  <c r="AJ759" i="2" s="1"/>
  <c r="A759" i="2"/>
  <c r="AF758" i="2"/>
  <c r="AE758" i="2"/>
  <c r="AD758" i="2"/>
  <c r="AG758" i="2" s="1"/>
  <c r="AB758" i="2"/>
  <c r="AA758" i="2"/>
  <c r="Z758" i="2"/>
  <c r="AC758" i="2" s="1"/>
  <c r="X758" i="2"/>
  <c r="W758" i="2"/>
  <c r="V758" i="2"/>
  <c r="Y758" i="2" s="1"/>
  <c r="T758" i="2"/>
  <c r="A758" i="2"/>
  <c r="AF757" i="2"/>
  <c r="AE757" i="2"/>
  <c r="AD757" i="2"/>
  <c r="AG757" i="2" s="1"/>
  <c r="AB757" i="2"/>
  <c r="AA757" i="2"/>
  <c r="Z757" i="2"/>
  <c r="AC757" i="2" s="1"/>
  <c r="X757" i="2"/>
  <c r="W757" i="2"/>
  <c r="V757" i="2"/>
  <c r="AI757" i="2" s="1"/>
  <c r="T757" i="2"/>
  <c r="AJ757" i="2" s="1"/>
  <c r="A757" i="2"/>
  <c r="AF756" i="2"/>
  <c r="AE756" i="2"/>
  <c r="AD756" i="2"/>
  <c r="AG756" i="2" s="1"/>
  <c r="AB756" i="2"/>
  <c r="AA756" i="2"/>
  <c r="Z756" i="2"/>
  <c r="AC756" i="2" s="1"/>
  <c r="X756" i="2"/>
  <c r="W756" i="2"/>
  <c r="V756" i="2"/>
  <c r="T756" i="2"/>
  <c r="AJ756" i="2" s="1"/>
  <c r="A756" i="2"/>
  <c r="AF755" i="2"/>
  <c r="AE755" i="2"/>
  <c r="AD755" i="2"/>
  <c r="AG755" i="2" s="1"/>
  <c r="AB755" i="2"/>
  <c r="AA755" i="2"/>
  <c r="Z755" i="2"/>
  <c r="AC755" i="2" s="1"/>
  <c r="X755" i="2"/>
  <c r="W755" i="2"/>
  <c r="V755" i="2"/>
  <c r="Y755" i="2" s="1"/>
  <c r="T755" i="2"/>
  <c r="AJ755" i="2" s="1"/>
  <c r="A755" i="2"/>
  <c r="AI754" i="2"/>
  <c r="AF754" i="2"/>
  <c r="AE754" i="2"/>
  <c r="AD754" i="2"/>
  <c r="AG754" i="2" s="1"/>
  <c r="AB754" i="2"/>
  <c r="AA754" i="2"/>
  <c r="Z754" i="2"/>
  <c r="AC754" i="2" s="1"/>
  <c r="X754" i="2"/>
  <c r="W754" i="2"/>
  <c r="V754" i="2"/>
  <c r="Y754" i="2" s="1"/>
  <c r="T754" i="2"/>
  <c r="A754" i="2"/>
  <c r="AF753" i="2"/>
  <c r="AE753" i="2"/>
  <c r="AD753" i="2"/>
  <c r="AG753" i="2" s="1"/>
  <c r="AB753" i="2"/>
  <c r="AA753" i="2"/>
  <c r="Z753" i="2"/>
  <c r="AC753" i="2" s="1"/>
  <c r="X753" i="2"/>
  <c r="W753" i="2"/>
  <c r="V753" i="2"/>
  <c r="AI753" i="2" s="1"/>
  <c r="T753" i="2"/>
  <c r="AJ753" i="2" s="1"/>
  <c r="A753" i="2"/>
  <c r="AF752" i="2"/>
  <c r="AE752" i="2"/>
  <c r="AD752" i="2"/>
  <c r="AG752" i="2" s="1"/>
  <c r="AB752" i="2"/>
  <c r="AA752" i="2"/>
  <c r="Z752" i="2"/>
  <c r="AC752" i="2" s="1"/>
  <c r="X752" i="2"/>
  <c r="W752" i="2"/>
  <c r="V752" i="2"/>
  <c r="T752" i="2"/>
  <c r="A752" i="2"/>
  <c r="AG751" i="2"/>
  <c r="AF751" i="2"/>
  <c r="AE751" i="2"/>
  <c r="AD751" i="2"/>
  <c r="AB751" i="2"/>
  <c r="AA751" i="2"/>
  <c r="Z751" i="2"/>
  <c r="AC751" i="2" s="1"/>
  <c r="X751" i="2"/>
  <c r="W751" i="2"/>
  <c r="V751" i="2"/>
  <c r="Y751" i="2" s="1"/>
  <c r="T751" i="2"/>
  <c r="AJ751" i="2" s="1"/>
  <c r="A751" i="2"/>
  <c r="AF750" i="2"/>
  <c r="AE750" i="2"/>
  <c r="AD750" i="2"/>
  <c r="AG750" i="2" s="1"/>
  <c r="AB750" i="2"/>
  <c r="AA750" i="2"/>
  <c r="Z750" i="2"/>
  <c r="AC750" i="2" s="1"/>
  <c r="X750" i="2"/>
  <c r="W750" i="2"/>
  <c r="V750" i="2"/>
  <c r="T750" i="2"/>
  <c r="A750" i="2"/>
  <c r="AF749" i="2"/>
  <c r="AE749" i="2"/>
  <c r="AD749" i="2"/>
  <c r="AG749" i="2" s="1"/>
  <c r="AB749" i="2"/>
  <c r="AA749" i="2"/>
  <c r="Z749" i="2"/>
  <c r="AC749" i="2" s="1"/>
  <c r="X749" i="2"/>
  <c r="W749" i="2"/>
  <c r="V749" i="2"/>
  <c r="AI749" i="2" s="1"/>
  <c r="T749" i="2"/>
  <c r="A749" i="2"/>
  <c r="AF748" i="2"/>
  <c r="AE748" i="2"/>
  <c r="AD748" i="2"/>
  <c r="AG748" i="2" s="1"/>
  <c r="AB748" i="2"/>
  <c r="AA748" i="2"/>
  <c r="Z748" i="2"/>
  <c r="AC748" i="2" s="1"/>
  <c r="X748" i="2"/>
  <c r="W748" i="2"/>
  <c r="V748" i="2"/>
  <c r="T748" i="2"/>
  <c r="A748" i="2"/>
  <c r="AF747" i="2"/>
  <c r="AE747" i="2"/>
  <c r="AD747" i="2"/>
  <c r="AG747" i="2" s="1"/>
  <c r="AB747" i="2"/>
  <c r="AA747" i="2"/>
  <c r="Z747" i="2"/>
  <c r="AC747" i="2" s="1"/>
  <c r="X747" i="2"/>
  <c r="W747" i="2"/>
  <c r="V747" i="2"/>
  <c r="Y747" i="2" s="1"/>
  <c r="T747" i="2"/>
  <c r="AJ747" i="2" s="1"/>
  <c r="A747" i="2"/>
  <c r="AF746" i="2"/>
  <c r="AE746" i="2"/>
  <c r="AD746" i="2"/>
  <c r="AG746" i="2" s="1"/>
  <c r="AB746" i="2"/>
  <c r="AA746" i="2"/>
  <c r="Z746" i="2"/>
  <c r="AC746" i="2" s="1"/>
  <c r="X746" i="2"/>
  <c r="W746" i="2"/>
  <c r="V746" i="2"/>
  <c r="Y746" i="2" s="1"/>
  <c r="T746" i="2"/>
  <c r="A746" i="2"/>
  <c r="AF745" i="2"/>
  <c r="AE745" i="2"/>
  <c r="AD745" i="2"/>
  <c r="AG745" i="2" s="1"/>
  <c r="AB745" i="2"/>
  <c r="AA745" i="2"/>
  <c r="Z745" i="2"/>
  <c r="AC745" i="2" s="1"/>
  <c r="X745" i="2"/>
  <c r="W745" i="2"/>
  <c r="V745" i="2"/>
  <c r="AI745" i="2" s="1"/>
  <c r="T745" i="2"/>
  <c r="AJ745" i="2" s="1"/>
  <c r="A745" i="2"/>
  <c r="AF744" i="2"/>
  <c r="AE744" i="2"/>
  <c r="AD744" i="2"/>
  <c r="AG744" i="2" s="1"/>
  <c r="AB744" i="2"/>
  <c r="AA744" i="2"/>
  <c r="Z744" i="2"/>
  <c r="AC744" i="2" s="1"/>
  <c r="X744" i="2"/>
  <c r="W744" i="2"/>
  <c r="V744" i="2"/>
  <c r="AI744" i="2" s="1"/>
  <c r="T744" i="2"/>
  <c r="AJ744" i="2" s="1"/>
  <c r="A744" i="2"/>
  <c r="AF743" i="2"/>
  <c r="AE743" i="2"/>
  <c r="AD743" i="2"/>
  <c r="AG743" i="2" s="1"/>
  <c r="AB743" i="2"/>
  <c r="AA743" i="2"/>
  <c r="Z743" i="2"/>
  <c r="AC743" i="2" s="1"/>
  <c r="X743" i="2"/>
  <c r="W743" i="2"/>
  <c r="V743" i="2"/>
  <c r="T743" i="2"/>
  <c r="AJ743" i="2" s="1"/>
  <c r="A743" i="2"/>
  <c r="AI742" i="2"/>
  <c r="AF742" i="2"/>
  <c r="AE742" i="2"/>
  <c r="AD742" i="2"/>
  <c r="AG742" i="2" s="1"/>
  <c r="AB742" i="2"/>
  <c r="AA742" i="2"/>
  <c r="Z742" i="2"/>
  <c r="AC742" i="2" s="1"/>
  <c r="X742" i="2"/>
  <c r="W742" i="2"/>
  <c r="V742" i="2"/>
  <c r="Y742" i="2" s="1"/>
  <c r="T742" i="2"/>
  <c r="A742" i="2"/>
  <c r="AF741" i="2"/>
  <c r="AE741" i="2"/>
  <c r="AD741" i="2"/>
  <c r="AG741" i="2" s="1"/>
  <c r="AB741" i="2"/>
  <c r="AA741" i="2"/>
  <c r="Z741" i="2"/>
  <c r="AC741" i="2" s="1"/>
  <c r="X741" i="2"/>
  <c r="W741" i="2"/>
  <c r="V741" i="2"/>
  <c r="AI741" i="2" s="1"/>
  <c r="T741" i="2"/>
  <c r="A741" i="2"/>
  <c r="AF740" i="2"/>
  <c r="AE740" i="2"/>
  <c r="AD740" i="2"/>
  <c r="AG740" i="2" s="1"/>
  <c r="AB740" i="2"/>
  <c r="AA740" i="2"/>
  <c r="Z740" i="2"/>
  <c r="AC740" i="2" s="1"/>
  <c r="X740" i="2"/>
  <c r="W740" i="2"/>
  <c r="V740" i="2"/>
  <c r="Y740" i="2" s="1"/>
  <c r="T740" i="2"/>
  <c r="AJ740" i="2" s="1"/>
  <c r="A740" i="2"/>
  <c r="AF739" i="2"/>
  <c r="AE739" i="2"/>
  <c r="AD739" i="2"/>
  <c r="AG739" i="2" s="1"/>
  <c r="AB739" i="2"/>
  <c r="AA739" i="2"/>
  <c r="Z739" i="2"/>
  <c r="AC739" i="2" s="1"/>
  <c r="X739" i="2"/>
  <c r="W739" i="2"/>
  <c r="V739" i="2"/>
  <c r="Y739" i="2" s="1"/>
  <c r="T739" i="2"/>
  <c r="A739" i="2"/>
  <c r="AF738" i="2"/>
  <c r="AE738" i="2"/>
  <c r="AD738" i="2"/>
  <c r="AG738" i="2" s="1"/>
  <c r="AB738" i="2"/>
  <c r="AA738" i="2"/>
  <c r="Z738" i="2"/>
  <c r="AC738" i="2" s="1"/>
  <c r="X738" i="2"/>
  <c r="W738" i="2"/>
  <c r="V738" i="2"/>
  <c r="Y738" i="2" s="1"/>
  <c r="T738" i="2"/>
  <c r="AJ738" i="2" s="1"/>
  <c r="A738" i="2"/>
  <c r="AF737" i="2"/>
  <c r="AE737" i="2"/>
  <c r="AD737" i="2"/>
  <c r="AG737" i="2" s="1"/>
  <c r="AB737" i="2"/>
  <c r="AA737" i="2"/>
  <c r="Z737" i="2"/>
  <c r="AC737" i="2" s="1"/>
  <c r="X737" i="2"/>
  <c r="W737" i="2"/>
  <c r="V737" i="2"/>
  <c r="AI737" i="2" s="1"/>
  <c r="T737" i="2"/>
  <c r="AJ737" i="2" s="1"/>
  <c r="A737" i="2"/>
  <c r="AF736" i="2"/>
  <c r="AE736" i="2"/>
  <c r="AD736" i="2"/>
  <c r="AG736" i="2" s="1"/>
  <c r="AB736" i="2"/>
  <c r="AA736" i="2"/>
  <c r="Z736" i="2"/>
  <c r="AC736" i="2" s="1"/>
  <c r="X736" i="2"/>
  <c r="W736" i="2"/>
  <c r="V736" i="2"/>
  <c r="AH736" i="2" s="1"/>
  <c r="T736" i="2"/>
  <c r="AJ736" i="2" s="1"/>
  <c r="A736" i="2"/>
  <c r="AF735" i="2"/>
  <c r="AE735" i="2"/>
  <c r="AD735" i="2"/>
  <c r="AG735" i="2" s="1"/>
  <c r="AB735" i="2"/>
  <c r="AA735" i="2"/>
  <c r="Z735" i="2"/>
  <c r="AC735" i="2" s="1"/>
  <c r="X735" i="2"/>
  <c r="W735" i="2"/>
  <c r="V735" i="2"/>
  <c r="AI735" i="2" s="1"/>
  <c r="T735" i="2"/>
  <c r="A735" i="2"/>
  <c r="AF734" i="2"/>
  <c r="AE734" i="2"/>
  <c r="AD734" i="2"/>
  <c r="AG734" i="2" s="1"/>
  <c r="AB734" i="2"/>
  <c r="AA734" i="2"/>
  <c r="Z734" i="2"/>
  <c r="AC734" i="2" s="1"/>
  <c r="X734" i="2"/>
  <c r="W734" i="2"/>
  <c r="V734" i="2"/>
  <c r="T734" i="2"/>
  <c r="AJ734" i="2" s="1"/>
  <c r="A734" i="2"/>
  <c r="AF733" i="2"/>
  <c r="AE733" i="2"/>
  <c r="AD733" i="2"/>
  <c r="AG733" i="2" s="1"/>
  <c r="AB733" i="2"/>
  <c r="AA733" i="2"/>
  <c r="Z733" i="2"/>
  <c r="AC733" i="2" s="1"/>
  <c r="X733" i="2"/>
  <c r="W733" i="2"/>
  <c r="V733" i="2"/>
  <c r="T733" i="2"/>
  <c r="AJ733" i="2" s="1"/>
  <c r="A733" i="2"/>
  <c r="AF732" i="2"/>
  <c r="AE732" i="2"/>
  <c r="AD732" i="2"/>
  <c r="AG732" i="2" s="1"/>
  <c r="AB732" i="2"/>
  <c r="AA732" i="2"/>
  <c r="Z732" i="2"/>
  <c r="AC732" i="2" s="1"/>
  <c r="X732" i="2"/>
  <c r="W732" i="2"/>
  <c r="V732" i="2"/>
  <c r="AI732" i="2" s="1"/>
  <c r="T732" i="2"/>
  <c r="AJ732" i="2" s="1"/>
  <c r="A732" i="2"/>
  <c r="AF731" i="2"/>
  <c r="AE731" i="2"/>
  <c r="AD731" i="2"/>
  <c r="AG731" i="2" s="1"/>
  <c r="AB731" i="2"/>
  <c r="AA731" i="2"/>
  <c r="Z731" i="2"/>
  <c r="AC731" i="2" s="1"/>
  <c r="X731" i="2"/>
  <c r="W731" i="2"/>
  <c r="V731" i="2"/>
  <c r="AI731" i="2" s="1"/>
  <c r="T731" i="2"/>
  <c r="A731" i="2"/>
  <c r="AF730" i="2"/>
  <c r="AE730" i="2"/>
  <c r="AD730" i="2"/>
  <c r="AG730" i="2" s="1"/>
  <c r="AB730" i="2"/>
  <c r="AA730" i="2"/>
  <c r="Z730" i="2"/>
  <c r="AC730" i="2" s="1"/>
  <c r="X730" i="2"/>
  <c r="W730" i="2"/>
  <c r="V730" i="2"/>
  <c r="T730" i="2"/>
  <c r="AJ730" i="2" s="1"/>
  <c r="A730" i="2"/>
  <c r="AF729" i="2"/>
  <c r="AE729" i="2"/>
  <c r="AD729" i="2"/>
  <c r="AG729" i="2" s="1"/>
  <c r="AB729" i="2"/>
  <c r="AA729" i="2"/>
  <c r="Z729" i="2"/>
  <c r="AC729" i="2" s="1"/>
  <c r="X729" i="2"/>
  <c r="W729" i="2"/>
  <c r="V729" i="2"/>
  <c r="T729" i="2"/>
  <c r="AJ729" i="2" s="1"/>
  <c r="A729" i="2"/>
  <c r="AF728" i="2"/>
  <c r="AE728" i="2"/>
  <c r="AD728" i="2"/>
  <c r="AG728" i="2" s="1"/>
  <c r="AB728" i="2"/>
  <c r="AA728" i="2"/>
  <c r="Z728" i="2"/>
  <c r="AC728" i="2" s="1"/>
  <c r="X728" i="2"/>
  <c r="W728" i="2"/>
  <c r="V728" i="2"/>
  <c r="AI728" i="2" s="1"/>
  <c r="T728" i="2"/>
  <c r="AJ728" i="2" s="1"/>
  <c r="A728" i="2"/>
  <c r="AF727" i="2"/>
  <c r="AE727" i="2"/>
  <c r="AD727" i="2"/>
  <c r="AG727" i="2" s="1"/>
  <c r="AB727" i="2"/>
  <c r="AA727" i="2"/>
  <c r="Z727" i="2"/>
  <c r="AC727" i="2" s="1"/>
  <c r="X727" i="2"/>
  <c r="W727" i="2"/>
  <c r="V727" i="2"/>
  <c r="AI727" i="2" s="1"/>
  <c r="T727" i="2"/>
  <c r="A727" i="2"/>
  <c r="AF726" i="2"/>
  <c r="AE726" i="2"/>
  <c r="AD726" i="2"/>
  <c r="AG726" i="2" s="1"/>
  <c r="AB726" i="2"/>
  <c r="AA726" i="2"/>
  <c r="Z726" i="2"/>
  <c r="AC726" i="2" s="1"/>
  <c r="X726" i="2"/>
  <c r="W726" i="2"/>
  <c r="V726" i="2"/>
  <c r="T726" i="2"/>
  <c r="AJ726" i="2" s="1"/>
  <c r="A726" i="2"/>
  <c r="AF725" i="2"/>
  <c r="AE725" i="2"/>
  <c r="AD725" i="2"/>
  <c r="AG725" i="2" s="1"/>
  <c r="AB725" i="2"/>
  <c r="AA725" i="2"/>
  <c r="Z725" i="2"/>
  <c r="AC725" i="2" s="1"/>
  <c r="X725" i="2"/>
  <c r="W725" i="2"/>
  <c r="V725" i="2"/>
  <c r="T725" i="2"/>
  <c r="AJ725" i="2" s="1"/>
  <c r="A725" i="2"/>
  <c r="AF724" i="2"/>
  <c r="AE724" i="2"/>
  <c r="AD724" i="2"/>
  <c r="AG724" i="2" s="1"/>
  <c r="AB724" i="2"/>
  <c r="AA724" i="2"/>
  <c r="Z724" i="2"/>
  <c r="AC724" i="2" s="1"/>
  <c r="X724" i="2"/>
  <c r="W724" i="2"/>
  <c r="V724" i="2"/>
  <c r="AI724" i="2" s="1"/>
  <c r="T724" i="2"/>
  <c r="AJ724" i="2" s="1"/>
  <c r="A724" i="2"/>
  <c r="AF723" i="2"/>
  <c r="AE723" i="2"/>
  <c r="AD723" i="2"/>
  <c r="AG723" i="2" s="1"/>
  <c r="AB723" i="2"/>
  <c r="AA723" i="2"/>
  <c r="Z723" i="2"/>
  <c r="AC723" i="2" s="1"/>
  <c r="X723" i="2"/>
  <c r="W723" i="2"/>
  <c r="V723" i="2"/>
  <c r="T723" i="2"/>
  <c r="A723" i="2"/>
  <c r="AF722" i="2"/>
  <c r="AE722" i="2"/>
  <c r="AD722" i="2"/>
  <c r="AG722" i="2" s="1"/>
  <c r="AB722" i="2"/>
  <c r="AA722" i="2"/>
  <c r="Z722" i="2"/>
  <c r="AC722" i="2" s="1"/>
  <c r="X722" i="2"/>
  <c r="W722" i="2"/>
  <c r="V722" i="2"/>
  <c r="T722" i="2"/>
  <c r="AJ722" i="2" s="1"/>
  <c r="A722" i="2"/>
  <c r="AF721" i="2"/>
  <c r="AE721" i="2"/>
  <c r="AD721" i="2"/>
  <c r="AG721" i="2" s="1"/>
  <c r="AB721" i="2"/>
  <c r="AA721" i="2"/>
  <c r="Z721" i="2"/>
  <c r="AC721" i="2" s="1"/>
  <c r="X721" i="2"/>
  <c r="W721" i="2"/>
  <c r="V721" i="2"/>
  <c r="T721" i="2"/>
  <c r="AJ721" i="2" s="1"/>
  <c r="A721" i="2"/>
  <c r="AF720" i="2"/>
  <c r="AE720" i="2"/>
  <c r="AD720" i="2"/>
  <c r="AG720" i="2" s="1"/>
  <c r="AB720" i="2"/>
  <c r="AA720" i="2"/>
  <c r="Z720" i="2"/>
  <c r="AC720" i="2" s="1"/>
  <c r="X720" i="2"/>
  <c r="W720" i="2"/>
  <c r="V720" i="2"/>
  <c r="AI720" i="2" s="1"/>
  <c r="T720" i="2"/>
  <c r="A720" i="2"/>
  <c r="AF719" i="2"/>
  <c r="AE719" i="2"/>
  <c r="AD719" i="2"/>
  <c r="AG719" i="2" s="1"/>
  <c r="AB719" i="2"/>
  <c r="AA719" i="2"/>
  <c r="Z719" i="2"/>
  <c r="AC719" i="2" s="1"/>
  <c r="X719" i="2"/>
  <c r="W719" i="2"/>
  <c r="V719" i="2"/>
  <c r="AI719" i="2" s="1"/>
  <c r="T719" i="2"/>
  <c r="A719" i="2"/>
  <c r="AF718" i="2"/>
  <c r="AE718" i="2"/>
  <c r="AD718" i="2"/>
  <c r="AG718" i="2" s="1"/>
  <c r="AB718" i="2"/>
  <c r="AA718" i="2"/>
  <c r="Z718" i="2"/>
  <c r="AC718" i="2" s="1"/>
  <c r="X718" i="2"/>
  <c r="W718" i="2"/>
  <c r="V718" i="2"/>
  <c r="T718" i="2"/>
  <c r="AJ718" i="2" s="1"/>
  <c r="A718" i="2"/>
  <c r="AF717" i="2"/>
  <c r="AE717" i="2"/>
  <c r="AD717" i="2"/>
  <c r="AG717" i="2" s="1"/>
  <c r="AB717" i="2"/>
  <c r="AA717" i="2"/>
  <c r="Z717" i="2"/>
  <c r="AC717" i="2" s="1"/>
  <c r="X717" i="2"/>
  <c r="W717" i="2"/>
  <c r="V717" i="2"/>
  <c r="T717" i="2"/>
  <c r="AJ717" i="2" s="1"/>
  <c r="A717" i="2"/>
  <c r="AF716" i="2"/>
  <c r="AE716" i="2"/>
  <c r="AD716" i="2"/>
  <c r="AG716" i="2" s="1"/>
  <c r="AB716" i="2"/>
  <c r="AA716" i="2"/>
  <c r="Z716" i="2"/>
  <c r="AC716" i="2" s="1"/>
  <c r="X716" i="2"/>
  <c r="W716" i="2"/>
  <c r="V716" i="2"/>
  <c r="AI716" i="2" s="1"/>
  <c r="T716" i="2"/>
  <c r="A716" i="2"/>
  <c r="AI715" i="2"/>
  <c r="AF715" i="2"/>
  <c r="AE715" i="2"/>
  <c r="AD715" i="2"/>
  <c r="AG715" i="2" s="1"/>
  <c r="AB715" i="2"/>
  <c r="AA715" i="2"/>
  <c r="Z715" i="2"/>
  <c r="AC715" i="2" s="1"/>
  <c r="X715" i="2"/>
  <c r="W715" i="2"/>
  <c r="V715" i="2"/>
  <c r="AH715" i="2" s="1"/>
  <c r="T715" i="2"/>
  <c r="A715" i="2"/>
  <c r="AF714" i="2"/>
  <c r="AE714" i="2"/>
  <c r="AD714" i="2"/>
  <c r="AG714" i="2" s="1"/>
  <c r="AB714" i="2"/>
  <c r="AA714" i="2"/>
  <c r="Z714" i="2"/>
  <c r="AC714" i="2" s="1"/>
  <c r="X714" i="2"/>
  <c r="W714" i="2"/>
  <c r="V714" i="2"/>
  <c r="T714" i="2"/>
  <c r="AJ714" i="2" s="1"/>
  <c r="A714" i="2"/>
  <c r="AF713" i="2"/>
  <c r="AE713" i="2"/>
  <c r="AD713" i="2"/>
  <c r="AG713" i="2" s="1"/>
  <c r="AB713" i="2"/>
  <c r="AA713" i="2"/>
  <c r="Z713" i="2"/>
  <c r="AC713" i="2" s="1"/>
  <c r="X713" i="2"/>
  <c r="W713" i="2"/>
  <c r="V713" i="2"/>
  <c r="T713" i="2"/>
  <c r="AJ713" i="2" s="1"/>
  <c r="A713" i="2"/>
  <c r="AF712" i="2"/>
  <c r="AE712" i="2"/>
  <c r="AD712" i="2"/>
  <c r="AG712" i="2" s="1"/>
  <c r="AB712" i="2"/>
  <c r="AA712" i="2"/>
  <c r="Z712" i="2"/>
  <c r="AC712" i="2" s="1"/>
  <c r="X712" i="2"/>
  <c r="W712" i="2"/>
  <c r="V712" i="2"/>
  <c r="T712" i="2"/>
  <c r="A712" i="2"/>
  <c r="AF711" i="2"/>
  <c r="AE711" i="2"/>
  <c r="AD711" i="2"/>
  <c r="AG711" i="2" s="1"/>
  <c r="AB711" i="2"/>
  <c r="AA711" i="2"/>
  <c r="Z711" i="2"/>
  <c r="AC711" i="2" s="1"/>
  <c r="X711" i="2"/>
  <c r="W711" i="2"/>
  <c r="V711" i="2"/>
  <c r="AI711" i="2" s="1"/>
  <c r="T711" i="2"/>
  <c r="A711" i="2"/>
  <c r="AF710" i="2"/>
  <c r="AE710" i="2"/>
  <c r="AD710" i="2"/>
  <c r="AG710" i="2" s="1"/>
  <c r="AB710" i="2"/>
  <c r="AA710" i="2"/>
  <c r="Z710" i="2"/>
  <c r="AC710" i="2" s="1"/>
  <c r="X710" i="2"/>
  <c r="W710" i="2"/>
  <c r="V710" i="2"/>
  <c r="T710" i="2"/>
  <c r="AJ710" i="2" s="1"/>
  <c r="A710" i="2"/>
  <c r="AF709" i="2"/>
  <c r="AE709" i="2"/>
  <c r="AD709" i="2"/>
  <c r="AG709" i="2" s="1"/>
  <c r="AB709" i="2"/>
  <c r="AA709" i="2"/>
  <c r="Z709" i="2"/>
  <c r="AC709" i="2" s="1"/>
  <c r="X709" i="2"/>
  <c r="W709" i="2"/>
  <c r="V709" i="2"/>
  <c r="T709" i="2"/>
  <c r="AJ709" i="2" s="1"/>
  <c r="A709" i="2"/>
  <c r="AF708" i="2"/>
  <c r="AE708" i="2"/>
  <c r="AD708" i="2"/>
  <c r="AG708" i="2" s="1"/>
  <c r="AB708" i="2"/>
  <c r="AA708" i="2"/>
  <c r="Z708" i="2"/>
  <c r="AC708" i="2" s="1"/>
  <c r="X708" i="2"/>
  <c r="W708" i="2"/>
  <c r="V708" i="2"/>
  <c r="AI708" i="2" s="1"/>
  <c r="T708" i="2"/>
  <c r="A708" i="2"/>
  <c r="AF707" i="2"/>
  <c r="AE707" i="2"/>
  <c r="AD707" i="2"/>
  <c r="AG707" i="2" s="1"/>
  <c r="AB707" i="2"/>
  <c r="AA707" i="2"/>
  <c r="Z707" i="2"/>
  <c r="AC707" i="2" s="1"/>
  <c r="X707" i="2"/>
  <c r="W707" i="2"/>
  <c r="V707" i="2"/>
  <c r="AI707" i="2" s="1"/>
  <c r="T707" i="2"/>
  <c r="A707" i="2"/>
  <c r="AF706" i="2"/>
  <c r="AE706" i="2"/>
  <c r="AD706" i="2"/>
  <c r="AG706" i="2" s="1"/>
  <c r="AB706" i="2"/>
  <c r="AA706" i="2"/>
  <c r="Z706" i="2"/>
  <c r="AC706" i="2" s="1"/>
  <c r="X706" i="2"/>
  <c r="W706" i="2"/>
  <c r="V706" i="2"/>
  <c r="T706" i="2"/>
  <c r="AJ706" i="2" s="1"/>
  <c r="A706" i="2"/>
  <c r="AF705" i="2"/>
  <c r="AE705" i="2"/>
  <c r="AD705" i="2"/>
  <c r="AG705" i="2" s="1"/>
  <c r="AB705" i="2"/>
  <c r="AA705" i="2"/>
  <c r="Z705" i="2"/>
  <c r="AC705" i="2" s="1"/>
  <c r="X705" i="2"/>
  <c r="W705" i="2"/>
  <c r="V705" i="2"/>
  <c r="T705" i="2"/>
  <c r="AJ705" i="2" s="1"/>
  <c r="A705" i="2"/>
  <c r="AF704" i="2"/>
  <c r="AE704" i="2"/>
  <c r="AD704" i="2"/>
  <c r="AG704" i="2" s="1"/>
  <c r="AB704" i="2"/>
  <c r="AA704" i="2"/>
  <c r="Z704" i="2"/>
  <c r="AC704" i="2" s="1"/>
  <c r="X704" i="2"/>
  <c r="W704" i="2"/>
  <c r="V704" i="2"/>
  <c r="AI704" i="2" s="1"/>
  <c r="T704" i="2"/>
  <c r="A704" i="2"/>
  <c r="AI703" i="2"/>
  <c r="AF703" i="2"/>
  <c r="AE703" i="2"/>
  <c r="AD703" i="2"/>
  <c r="AG703" i="2" s="1"/>
  <c r="AB703" i="2"/>
  <c r="AA703" i="2"/>
  <c r="Z703" i="2"/>
  <c r="AC703" i="2" s="1"/>
  <c r="X703" i="2"/>
  <c r="W703" i="2"/>
  <c r="V703" i="2"/>
  <c r="AH703" i="2" s="1"/>
  <c r="T703" i="2"/>
  <c r="A703" i="2"/>
  <c r="AF702" i="2"/>
  <c r="AE702" i="2"/>
  <c r="AD702" i="2"/>
  <c r="AG702" i="2" s="1"/>
  <c r="AB702" i="2"/>
  <c r="AA702" i="2"/>
  <c r="Z702" i="2"/>
  <c r="AC702" i="2" s="1"/>
  <c r="X702" i="2"/>
  <c r="W702" i="2"/>
  <c r="V702" i="2"/>
  <c r="T702" i="2"/>
  <c r="A702" i="2"/>
  <c r="AF701" i="2"/>
  <c r="AE701" i="2"/>
  <c r="AD701" i="2"/>
  <c r="AG701" i="2" s="1"/>
  <c r="AB701" i="2"/>
  <c r="AA701" i="2"/>
  <c r="Z701" i="2"/>
  <c r="AC701" i="2" s="1"/>
  <c r="X701" i="2"/>
  <c r="W701" i="2"/>
  <c r="V701" i="2"/>
  <c r="T701" i="2"/>
  <c r="AJ701" i="2" s="1"/>
  <c r="A701" i="2"/>
  <c r="AF700" i="2"/>
  <c r="AE700" i="2"/>
  <c r="AD700" i="2"/>
  <c r="AG700" i="2" s="1"/>
  <c r="AB700" i="2"/>
  <c r="AA700" i="2"/>
  <c r="Z700" i="2"/>
  <c r="AC700" i="2" s="1"/>
  <c r="X700" i="2"/>
  <c r="W700" i="2"/>
  <c r="V700" i="2"/>
  <c r="AI700" i="2" s="1"/>
  <c r="T700" i="2"/>
  <c r="A700" i="2"/>
  <c r="AF699" i="2"/>
  <c r="AE699" i="2"/>
  <c r="AD699" i="2"/>
  <c r="AG699" i="2" s="1"/>
  <c r="AB699" i="2"/>
  <c r="AA699" i="2"/>
  <c r="Z699" i="2"/>
  <c r="AC699" i="2" s="1"/>
  <c r="X699" i="2"/>
  <c r="W699" i="2"/>
  <c r="V699" i="2"/>
  <c r="AI699" i="2" s="1"/>
  <c r="T699" i="2"/>
  <c r="AJ699" i="2" s="1"/>
  <c r="A699" i="2"/>
  <c r="AF698" i="2"/>
  <c r="AE698" i="2"/>
  <c r="AD698" i="2"/>
  <c r="AG698" i="2" s="1"/>
  <c r="AB698" i="2"/>
  <c r="AA698" i="2"/>
  <c r="Z698" i="2"/>
  <c r="AC698" i="2" s="1"/>
  <c r="X698" i="2"/>
  <c r="W698" i="2"/>
  <c r="V698" i="2"/>
  <c r="AI698" i="2" s="1"/>
  <c r="T698" i="2"/>
  <c r="A698" i="2"/>
  <c r="AF697" i="2"/>
  <c r="AE697" i="2"/>
  <c r="AD697" i="2"/>
  <c r="AG697" i="2" s="1"/>
  <c r="AB697" i="2"/>
  <c r="AA697" i="2"/>
  <c r="Z697" i="2"/>
  <c r="AC697" i="2" s="1"/>
  <c r="X697" i="2"/>
  <c r="W697" i="2"/>
  <c r="V697" i="2"/>
  <c r="T697" i="2"/>
  <c r="AJ697" i="2" s="1"/>
  <c r="A697" i="2"/>
  <c r="AF696" i="2"/>
  <c r="AE696" i="2"/>
  <c r="AD696" i="2"/>
  <c r="AG696" i="2" s="1"/>
  <c r="AB696" i="2"/>
  <c r="AA696" i="2"/>
  <c r="Z696" i="2"/>
  <c r="AC696" i="2" s="1"/>
  <c r="X696" i="2"/>
  <c r="W696" i="2"/>
  <c r="V696" i="2"/>
  <c r="AI696" i="2" s="1"/>
  <c r="T696" i="2"/>
  <c r="A696" i="2"/>
  <c r="AI695" i="2"/>
  <c r="AF695" i="2"/>
  <c r="AE695" i="2"/>
  <c r="AD695" i="2"/>
  <c r="AG695" i="2" s="1"/>
  <c r="AB695" i="2"/>
  <c r="AA695" i="2"/>
  <c r="Z695" i="2"/>
  <c r="AC695" i="2" s="1"/>
  <c r="Y695" i="2"/>
  <c r="X695" i="2"/>
  <c r="W695" i="2"/>
  <c r="V695" i="2"/>
  <c r="AH695" i="2" s="1"/>
  <c r="T695" i="2"/>
  <c r="AJ695" i="2" s="1"/>
  <c r="A695" i="2"/>
  <c r="AF694" i="2"/>
  <c r="AE694" i="2"/>
  <c r="AD694" i="2"/>
  <c r="AG694" i="2" s="1"/>
  <c r="AB694" i="2"/>
  <c r="AA694" i="2"/>
  <c r="Z694" i="2"/>
  <c r="AC694" i="2" s="1"/>
  <c r="X694" i="2"/>
  <c r="W694" i="2"/>
  <c r="V694" i="2"/>
  <c r="T694" i="2"/>
  <c r="A694" i="2"/>
  <c r="AF693" i="2"/>
  <c r="AE693" i="2"/>
  <c r="AD693" i="2"/>
  <c r="AG693" i="2" s="1"/>
  <c r="AB693" i="2"/>
  <c r="AA693" i="2"/>
  <c r="Z693" i="2"/>
  <c r="AC693" i="2" s="1"/>
  <c r="X693" i="2"/>
  <c r="W693" i="2"/>
  <c r="V693" i="2"/>
  <c r="T693" i="2"/>
  <c r="AJ693" i="2" s="1"/>
  <c r="A693" i="2"/>
  <c r="AF692" i="2"/>
  <c r="AE692" i="2"/>
  <c r="AD692" i="2"/>
  <c r="AG692" i="2" s="1"/>
  <c r="AB692" i="2"/>
  <c r="AA692" i="2"/>
  <c r="Z692" i="2"/>
  <c r="AC692" i="2" s="1"/>
  <c r="X692" i="2"/>
  <c r="W692" i="2"/>
  <c r="V692" i="2"/>
  <c r="AI692" i="2" s="1"/>
  <c r="T692" i="2"/>
  <c r="A692" i="2"/>
  <c r="AI691" i="2"/>
  <c r="AF691" i="2"/>
  <c r="AE691" i="2"/>
  <c r="AD691" i="2"/>
  <c r="AG691" i="2" s="1"/>
  <c r="AB691" i="2"/>
  <c r="AA691" i="2"/>
  <c r="Z691" i="2"/>
  <c r="AC691" i="2" s="1"/>
  <c r="Y691" i="2"/>
  <c r="X691" i="2"/>
  <c r="W691" i="2"/>
  <c r="V691" i="2"/>
  <c r="AH691" i="2" s="1"/>
  <c r="T691" i="2"/>
  <c r="AJ691" i="2" s="1"/>
  <c r="A691" i="2"/>
  <c r="AF690" i="2"/>
  <c r="AE690" i="2"/>
  <c r="AD690" i="2"/>
  <c r="AG690" i="2" s="1"/>
  <c r="AB690" i="2"/>
  <c r="AA690" i="2"/>
  <c r="Z690" i="2"/>
  <c r="AC690" i="2" s="1"/>
  <c r="X690" i="2"/>
  <c r="W690" i="2"/>
  <c r="V690" i="2"/>
  <c r="AI690" i="2" s="1"/>
  <c r="T690" i="2"/>
  <c r="A690" i="2"/>
  <c r="AF689" i="2"/>
  <c r="AE689" i="2"/>
  <c r="AD689" i="2"/>
  <c r="AG689" i="2" s="1"/>
  <c r="AB689" i="2"/>
  <c r="AA689" i="2"/>
  <c r="Z689" i="2"/>
  <c r="AC689" i="2" s="1"/>
  <c r="X689" i="2"/>
  <c r="W689" i="2"/>
  <c r="V689" i="2"/>
  <c r="T689" i="2"/>
  <c r="AJ689" i="2" s="1"/>
  <c r="A689" i="2"/>
  <c r="AF688" i="2"/>
  <c r="AE688" i="2"/>
  <c r="AD688" i="2"/>
  <c r="AG688" i="2" s="1"/>
  <c r="AB688" i="2"/>
  <c r="AA688" i="2"/>
  <c r="Z688" i="2"/>
  <c r="AC688" i="2" s="1"/>
  <c r="X688" i="2"/>
  <c r="W688" i="2"/>
  <c r="V688" i="2"/>
  <c r="T688" i="2"/>
  <c r="A688" i="2"/>
  <c r="AF687" i="2"/>
  <c r="AE687" i="2"/>
  <c r="AD687" i="2"/>
  <c r="AG687" i="2" s="1"/>
  <c r="AB687" i="2"/>
  <c r="AA687" i="2"/>
  <c r="Z687" i="2"/>
  <c r="AC687" i="2" s="1"/>
  <c r="X687" i="2"/>
  <c r="W687" i="2"/>
  <c r="V687" i="2"/>
  <c r="AI687" i="2" s="1"/>
  <c r="T687" i="2"/>
  <c r="A687" i="2"/>
  <c r="AF686" i="2"/>
  <c r="AE686" i="2"/>
  <c r="AD686" i="2"/>
  <c r="AG686" i="2" s="1"/>
  <c r="AB686" i="2"/>
  <c r="AA686" i="2"/>
  <c r="Z686" i="2"/>
  <c r="AC686" i="2" s="1"/>
  <c r="X686" i="2"/>
  <c r="W686" i="2"/>
  <c r="V686" i="2"/>
  <c r="T686" i="2"/>
  <c r="AJ686" i="2" s="1"/>
  <c r="A686" i="2"/>
  <c r="AF685" i="2"/>
  <c r="AE685" i="2"/>
  <c r="AD685" i="2"/>
  <c r="AG685" i="2" s="1"/>
  <c r="AB685" i="2"/>
  <c r="AA685" i="2"/>
  <c r="Z685" i="2"/>
  <c r="AC685" i="2" s="1"/>
  <c r="X685" i="2"/>
  <c r="W685" i="2"/>
  <c r="V685" i="2"/>
  <c r="T685" i="2"/>
  <c r="AJ685" i="2" s="1"/>
  <c r="A685" i="2"/>
  <c r="AF684" i="2"/>
  <c r="AE684" i="2"/>
  <c r="AD684" i="2"/>
  <c r="AG684" i="2" s="1"/>
  <c r="AB684" i="2"/>
  <c r="AA684" i="2"/>
  <c r="Z684" i="2"/>
  <c r="AC684" i="2" s="1"/>
  <c r="X684" i="2"/>
  <c r="W684" i="2"/>
  <c r="V684" i="2"/>
  <c r="AI684" i="2" s="1"/>
  <c r="T684" i="2"/>
  <c r="A684" i="2"/>
  <c r="AF683" i="2"/>
  <c r="AE683" i="2"/>
  <c r="AD683" i="2"/>
  <c r="AG683" i="2" s="1"/>
  <c r="AB683" i="2"/>
  <c r="AA683" i="2"/>
  <c r="Z683" i="2"/>
  <c r="AC683" i="2" s="1"/>
  <c r="X683" i="2"/>
  <c r="W683" i="2"/>
  <c r="V683" i="2"/>
  <c r="AI683" i="2" s="1"/>
  <c r="T683" i="2"/>
  <c r="A683" i="2"/>
  <c r="AF682" i="2"/>
  <c r="AE682" i="2"/>
  <c r="AD682" i="2"/>
  <c r="AG682" i="2" s="1"/>
  <c r="AB682" i="2"/>
  <c r="AA682" i="2"/>
  <c r="Z682" i="2"/>
  <c r="AC682" i="2" s="1"/>
  <c r="X682" i="2"/>
  <c r="W682" i="2"/>
  <c r="V682" i="2"/>
  <c r="T682" i="2"/>
  <c r="A682" i="2"/>
  <c r="AF681" i="2"/>
  <c r="AE681" i="2"/>
  <c r="AD681" i="2"/>
  <c r="AG681" i="2" s="1"/>
  <c r="AB681" i="2"/>
  <c r="AA681" i="2"/>
  <c r="Z681" i="2"/>
  <c r="AC681" i="2" s="1"/>
  <c r="X681" i="2"/>
  <c r="W681" i="2"/>
  <c r="V681" i="2"/>
  <c r="T681" i="2"/>
  <c r="A681" i="2"/>
  <c r="AF680" i="2"/>
  <c r="AE680" i="2"/>
  <c r="AD680" i="2"/>
  <c r="AG680" i="2" s="1"/>
  <c r="AB680" i="2"/>
  <c r="AA680" i="2"/>
  <c r="Z680" i="2"/>
  <c r="AC680" i="2" s="1"/>
  <c r="X680" i="2"/>
  <c r="W680" i="2"/>
  <c r="V680" i="2"/>
  <c r="AI680" i="2" s="1"/>
  <c r="T680" i="2"/>
  <c r="AJ680" i="2" s="1"/>
  <c r="A680" i="2"/>
  <c r="AF679" i="2"/>
  <c r="AE679" i="2"/>
  <c r="AD679" i="2"/>
  <c r="AG679" i="2" s="1"/>
  <c r="AB679" i="2"/>
  <c r="AA679" i="2"/>
  <c r="Z679" i="2"/>
  <c r="AC679" i="2" s="1"/>
  <c r="X679" i="2"/>
  <c r="W679" i="2"/>
  <c r="V679" i="2"/>
  <c r="AI679" i="2" s="1"/>
  <c r="T679" i="2"/>
  <c r="AJ679" i="2" s="1"/>
  <c r="A679" i="2"/>
  <c r="AF678" i="2"/>
  <c r="AE678" i="2"/>
  <c r="AD678" i="2"/>
  <c r="AG678" i="2" s="1"/>
  <c r="AB678" i="2"/>
  <c r="AA678" i="2"/>
  <c r="Z678" i="2"/>
  <c r="AC678" i="2" s="1"/>
  <c r="X678" i="2"/>
  <c r="W678" i="2"/>
  <c r="V678" i="2"/>
  <c r="Y678" i="2" s="1"/>
  <c r="T678" i="2"/>
  <c r="A678" i="2"/>
  <c r="AF677" i="2"/>
  <c r="AE677" i="2"/>
  <c r="AD677" i="2"/>
  <c r="AG677" i="2" s="1"/>
  <c r="AB677" i="2"/>
  <c r="AA677" i="2"/>
  <c r="Z677" i="2"/>
  <c r="AC677" i="2" s="1"/>
  <c r="X677" i="2"/>
  <c r="W677" i="2"/>
  <c r="V677" i="2"/>
  <c r="AH677" i="2" s="1"/>
  <c r="T677" i="2"/>
  <c r="A677" i="2"/>
  <c r="AF676" i="2"/>
  <c r="AE676" i="2"/>
  <c r="AD676" i="2"/>
  <c r="AG676" i="2" s="1"/>
  <c r="AB676" i="2"/>
  <c r="AA676" i="2"/>
  <c r="Z676" i="2"/>
  <c r="AC676" i="2" s="1"/>
  <c r="X676" i="2"/>
  <c r="W676" i="2"/>
  <c r="V676" i="2"/>
  <c r="AI676" i="2" s="1"/>
  <c r="T676" i="2"/>
  <c r="AJ676" i="2" s="1"/>
  <c r="A676" i="2"/>
  <c r="AG675" i="2"/>
  <c r="AF675" i="2"/>
  <c r="AE675" i="2"/>
  <c r="AD675" i="2"/>
  <c r="AB675" i="2"/>
  <c r="AA675" i="2"/>
  <c r="Z675" i="2"/>
  <c r="AC675" i="2" s="1"/>
  <c r="X675" i="2"/>
  <c r="W675" i="2"/>
  <c r="V675" i="2"/>
  <c r="T675" i="2"/>
  <c r="A675" i="2"/>
  <c r="AF674" i="2"/>
  <c r="AE674" i="2"/>
  <c r="AD674" i="2"/>
  <c r="AG674" i="2" s="1"/>
  <c r="AB674" i="2"/>
  <c r="AA674" i="2"/>
  <c r="Z674" i="2"/>
  <c r="AC674" i="2" s="1"/>
  <c r="X674" i="2"/>
  <c r="W674" i="2"/>
  <c r="V674" i="2"/>
  <c r="Y674" i="2" s="1"/>
  <c r="T674" i="2"/>
  <c r="A674" i="2"/>
  <c r="AF673" i="2"/>
  <c r="AE673" i="2"/>
  <c r="AD673" i="2"/>
  <c r="AG673" i="2" s="1"/>
  <c r="AB673" i="2"/>
  <c r="AA673" i="2"/>
  <c r="Z673" i="2"/>
  <c r="AC673" i="2" s="1"/>
  <c r="X673" i="2"/>
  <c r="W673" i="2"/>
  <c r="V673" i="2"/>
  <c r="AI673" i="2" s="1"/>
  <c r="T673" i="2"/>
  <c r="A673" i="2"/>
  <c r="AF672" i="2"/>
  <c r="AE672" i="2"/>
  <c r="AD672" i="2"/>
  <c r="AG672" i="2" s="1"/>
  <c r="AB672" i="2"/>
  <c r="AA672" i="2"/>
  <c r="Z672" i="2"/>
  <c r="AC672" i="2" s="1"/>
  <c r="X672" i="2"/>
  <c r="W672" i="2"/>
  <c r="V672" i="2"/>
  <c r="AI672" i="2" s="1"/>
  <c r="T672" i="2"/>
  <c r="A672" i="2"/>
  <c r="AF671" i="2"/>
  <c r="AE671" i="2"/>
  <c r="AD671" i="2"/>
  <c r="AG671" i="2" s="1"/>
  <c r="AB671" i="2"/>
  <c r="AA671" i="2"/>
  <c r="Z671" i="2"/>
  <c r="AC671" i="2" s="1"/>
  <c r="X671" i="2"/>
  <c r="W671" i="2"/>
  <c r="V671" i="2"/>
  <c r="AH671" i="2" s="1"/>
  <c r="T671" i="2"/>
  <c r="AJ671" i="2" s="1"/>
  <c r="A671" i="2"/>
  <c r="AF670" i="2"/>
  <c r="AE670" i="2"/>
  <c r="AD670" i="2"/>
  <c r="AG670" i="2" s="1"/>
  <c r="AB670" i="2"/>
  <c r="AA670" i="2"/>
  <c r="Z670" i="2"/>
  <c r="AC670" i="2" s="1"/>
  <c r="X670" i="2"/>
  <c r="W670" i="2"/>
  <c r="V670" i="2"/>
  <c r="AI670" i="2" s="1"/>
  <c r="T670" i="2"/>
  <c r="AJ670" i="2" s="1"/>
  <c r="A670" i="2"/>
  <c r="AG669" i="2"/>
  <c r="AF669" i="2"/>
  <c r="AE669" i="2"/>
  <c r="AD669" i="2"/>
  <c r="AB669" i="2"/>
  <c r="AA669" i="2"/>
  <c r="Z669" i="2"/>
  <c r="AC669" i="2" s="1"/>
  <c r="X669" i="2"/>
  <c r="W669" i="2"/>
  <c r="V669" i="2"/>
  <c r="AI669" i="2" s="1"/>
  <c r="T669" i="2"/>
  <c r="AJ669" i="2" s="1"/>
  <c r="A669" i="2"/>
  <c r="AF668" i="2"/>
  <c r="AE668" i="2"/>
  <c r="AD668" i="2"/>
  <c r="AG668" i="2" s="1"/>
  <c r="AC668" i="2"/>
  <c r="AB668" i="2"/>
  <c r="AA668" i="2"/>
  <c r="Z668" i="2"/>
  <c r="X668" i="2"/>
  <c r="W668" i="2"/>
  <c r="V668" i="2"/>
  <c r="T668" i="2"/>
  <c r="A668" i="2"/>
  <c r="AF667" i="2"/>
  <c r="AE667" i="2"/>
  <c r="AD667" i="2"/>
  <c r="AG667" i="2" s="1"/>
  <c r="AB667" i="2"/>
  <c r="AA667" i="2"/>
  <c r="Z667" i="2"/>
  <c r="AC667" i="2" s="1"/>
  <c r="X667" i="2"/>
  <c r="W667" i="2"/>
  <c r="V667" i="2"/>
  <c r="T667" i="2"/>
  <c r="AJ667" i="2" s="1"/>
  <c r="A667" i="2"/>
  <c r="AF666" i="2"/>
  <c r="AE666" i="2"/>
  <c r="AD666" i="2"/>
  <c r="AG666" i="2" s="1"/>
  <c r="AB666" i="2"/>
  <c r="AA666" i="2"/>
  <c r="Z666" i="2"/>
  <c r="AC666" i="2" s="1"/>
  <c r="X666" i="2"/>
  <c r="W666" i="2"/>
  <c r="V666" i="2"/>
  <c r="AI666" i="2" s="1"/>
  <c r="T666" i="2"/>
  <c r="AJ666" i="2" s="1"/>
  <c r="A666" i="2"/>
  <c r="AF665" i="2"/>
  <c r="AE665" i="2"/>
  <c r="AD665" i="2"/>
  <c r="AG665" i="2" s="1"/>
  <c r="AB665" i="2"/>
  <c r="AA665" i="2"/>
  <c r="Z665" i="2"/>
  <c r="AC665" i="2" s="1"/>
  <c r="X665" i="2"/>
  <c r="W665" i="2"/>
  <c r="V665" i="2"/>
  <c r="AI665" i="2" s="1"/>
  <c r="T665" i="2"/>
  <c r="A665" i="2"/>
  <c r="AF664" i="2"/>
  <c r="AE664" i="2"/>
  <c r="AD664" i="2"/>
  <c r="AG664" i="2" s="1"/>
  <c r="AB664" i="2"/>
  <c r="AA664" i="2"/>
  <c r="Z664" i="2"/>
  <c r="AC664" i="2" s="1"/>
  <c r="X664" i="2"/>
  <c r="W664" i="2"/>
  <c r="V664" i="2"/>
  <c r="AI664" i="2" s="1"/>
  <c r="T664" i="2"/>
  <c r="A664" i="2"/>
  <c r="AF663" i="2"/>
  <c r="AE663" i="2"/>
  <c r="AD663" i="2"/>
  <c r="AG663" i="2" s="1"/>
  <c r="AC663" i="2"/>
  <c r="AB663" i="2"/>
  <c r="AA663" i="2"/>
  <c r="Z663" i="2"/>
  <c r="X663" i="2"/>
  <c r="W663" i="2"/>
  <c r="V663" i="2"/>
  <c r="T663" i="2"/>
  <c r="AJ663" i="2" s="1"/>
  <c r="A663" i="2"/>
  <c r="AF662" i="2"/>
  <c r="AE662" i="2"/>
  <c r="AD662" i="2"/>
  <c r="AG662" i="2" s="1"/>
  <c r="AB662" i="2"/>
  <c r="AA662" i="2"/>
  <c r="Z662" i="2"/>
  <c r="AC662" i="2" s="1"/>
  <c r="X662" i="2"/>
  <c r="W662" i="2"/>
  <c r="V662" i="2"/>
  <c r="AI662" i="2" s="1"/>
  <c r="T662" i="2"/>
  <c r="A662" i="2"/>
  <c r="AF661" i="2"/>
  <c r="AE661" i="2"/>
  <c r="AD661" i="2"/>
  <c r="AG661" i="2" s="1"/>
  <c r="AB661" i="2"/>
  <c r="AA661" i="2"/>
  <c r="Z661" i="2"/>
  <c r="AC661" i="2" s="1"/>
  <c r="X661" i="2"/>
  <c r="W661" i="2"/>
  <c r="V661" i="2"/>
  <c r="T661" i="2"/>
  <c r="A661" i="2"/>
  <c r="AF660" i="2"/>
  <c r="AE660" i="2"/>
  <c r="AD660" i="2"/>
  <c r="AG660" i="2" s="1"/>
  <c r="AB660" i="2"/>
  <c r="AA660" i="2"/>
  <c r="Z660" i="2"/>
  <c r="AC660" i="2" s="1"/>
  <c r="X660" i="2"/>
  <c r="W660" i="2"/>
  <c r="V660" i="2"/>
  <c r="AI660" i="2" s="1"/>
  <c r="T660" i="2"/>
  <c r="A660" i="2"/>
  <c r="AF659" i="2"/>
  <c r="AE659" i="2"/>
  <c r="AD659" i="2"/>
  <c r="AG659" i="2" s="1"/>
  <c r="AB659" i="2"/>
  <c r="AA659" i="2"/>
  <c r="Z659" i="2"/>
  <c r="AC659" i="2" s="1"/>
  <c r="X659" i="2"/>
  <c r="W659" i="2"/>
  <c r="V659" i="2"/>
  <c r="AH659" i="2" s="1"/>
  <c r="T659" i="2"/>
  <c r="AJ659" i="2" s="1"/>
  <c r="A659" i="2"/>
  <c r="AF658" i="2"/>
  <c r="AE658" i="2"/>
  <c r="AD658" i="2"/>
  <c r="AG658" i="2" s="1"/>
  <c r="AB658" i="2"/>
  <c r="AA658" i="2"/>
  <c r="Z658" i="2"/>
  <c r="AC658" i="2" s="1"/>
  <c r="X658" i="2"/>
  <c r="W658" i="2"/>
  <c r="V658" i="2"/>
  <c r="T658" i="2"/>
  <c r="A658" i="2"/>
  <c r="AF657" i="2"/>
  <c r="AE657" i="2"/>
  <c r="AD657" i="2"/>
  <c r="AG657" i="2" s="1"/>
  <c r="AB657" i="2"/>
  <c r="AA657" i="2"/>
  <c r="Z657" i="2"/>
  <c r="AC657" i="2" s="1"/>
  <c r="X657" i="2"/>
  <c r="W657" i="2"/>
  <c r="V657" i="2"/>
  <c r="AI657" i="2" s="1"/>
  <c r="T657" i="2"/>
  <c r="A657" i="2"/>
  <c r="AI656" i="2"/>
  <c r="AF656" i="2"/>
  <c r="AE656" i="2"/>
  <c r="AD656" i="2"/>
  <c r="AG656" i="2" s="1"/>
  <c r="AB656" i="2"/>
  <c r="AA656" i="2"/>
  <c r="Z656" i="2"/>
  <c r="AC656" i="2" s="1"/>
  <c r="X656" i="2"/>
  <c r="W656" i="2"/>
  <c r="V656" i="2"/>
  <c r="T656" i="2"/>
  <c r="A656" i="2"/>
  <c r="AF655" i="2"/>
  <c r="AE655" i="2"/>
  <c r="AD655" i="2"/>
  <c r="AG655" i="2" s="1"/>
  <c r="AB655" i="2"/>
  <c r="AA655" i="2"/>
  <c r="Z655" i="2"/>
  <c r="AC655" i="2" s="1"/>
  <c r="X655" i="2"/>
  <c r="W655" i="2"/>
  <c r="V655" i="2"/>
  <c r="AH655" i="2" s="1"/>
  <c r="T655" i="2"/>
  <c r="AJ655" i="2" s="1"/>
  <c r="A655" i="2"/>
  <c r="AF654" i="2"/>
  <c r="AE654" i="2"/>
  <c r="AD654" i="2"/>
  <c r="AG654" i="2" s="1"/>
  <c r="AB654" i="2"/>
  <c r="AA654" i="2"/>
  <c r="Z654" i="2"/>
  <c r="AC654" i="2" s="1"/>
  <c r="X654" i="2"/>
  <c r="W654" i="2"/>
  <c r="V654" i="2"/>
  <c r="AI654" i="2" s="1"/>
  <c r="T654" i="2"/>
  <c r="AJ654" i="2" s="1"/>
  <c r="A654" i="2"/>
  <c r="AG653" i="2"/>
  <c r="AF653" i="2"/>
  <c r="AE653" i="2"/>
  <c r="AD653" i="2"/>
  <c r="AB653" i="2"/>
  <c r="AA653" i="2"/>
  <c r="Z653" i="2"/>
  <c r="AC653" i="2" s="1"/>
  <c r="X653" i="2"/>
  <c r="W653" i="2"/>
  <c r="V653" i="2"/>
  <c r="AI653" i="2" s="1"/>
  <c r="T653" i="2"/>
  <c r="AJ653" i="2" s="1"/>
  <c r="A653" i="2"/>
  <c r="AF652" i="2"/>
  <c r="AE652" i="2"/>
  <c r="AD652" i="2"/>
  <c r="AG652" i="2" s="1"/>
  <c r="AB652" i="2"/>
  <c r="AA652" i="2"/>
  <c r="Z652" i="2"/>
  <c r="AC652" i="2" s="1"/>
  <c r="X652" i="2"/>
  <c r="W652" i="2"/>
  <c r="V652" i="2"/>
  <c r="T652" i="2"/>
  <c r="A652" i="2"/>
  <c r="AF651" i="2"/>
  <c r="AE651" i="2"/>
  <c r="AD651" i="2"/>
  <c r="AG651" i="2" s="1"/>
  <c r="AB651" i="2"/>
  <c r="AA651" i="2"/>
  <c r="Z651" i="2"/>
  <c r="AC651" i="2" s="1"/>
  <c r="X651" i="2"/>
  <c r="W651" i="2"/>
  <c r="V651" i="2"/>
  <c r="T651" i="2"/>
  <c r="AJ651" i="2" s="1"/>
  <c r="A651" i="2"/>
  <c r="AF650" i="2"/>
  <c r="AE650" i="2"/>
  <c r="AD650" i="2"/>
  <c r="AG650" i="2" s="1"/>
  <c r="AB650" i="2"/>
  <c r="AA650" i="2"/>
  <c r="Z650" i="2"/>
  <c r="AC650" i="2" s="1"/>
  <c r="X650" i="2"/>
  <c r="W650" i="2"/>
  <c r="V650" i="2"/>
  <c r="AI650" i="2" s="1"/>
  <c r="T650" i="2"/>
  <c r="AJ650" i="2" s="1"/>
  <c r="A650" i="2"/>
  <c r="AF649" i="2"/>
  <c r="AE649" i="2"/>
  <c r="AD649" i="2"/>
  <c r="AG649" i="2" s="1"/>
  <c r="AB649" i="2"/>
  <c r="AA649" i="2"/>
  <c r="Z649" i="2"/>
  <c r="AC649" i="2" s="1"/>
  <c r="X649" i="2"/>
  <c r="W649" i="2"/>
  <c r="V649" i="2"/>
  <c r="AI649" i="2" s="1"/>
  <c r="T649" i="2"/>
  <c r="AJ649" i="2" s="1"/>
  <c r="A649" i="2"/>
  <c r="AF648" i="2"/>
  <c r="AE648" i="2"/>
  <c r="AD648" i="2"/>
  <c r="AG648" i="2" s="1"/>
  <c r="AB648" i="2"/>
  <c r="AA648" i="2"/>
  <c r="Z648" i="2"/>
  <c r="AC648" i="2" s="1"/>
  <c r="X648" i="2"/>
  <c r="W648" i="2"/>
  <c r="V648" i="2"/>
  <c r="AI648" i="2" s="1"/>
  <c r="T648" i="2"/>
  <c r="A648" i="2"/>
  <c r="AF647" i="2"/>
  <c r="AE647" i="2"/>
  <c r="AD647" i="2"/>
  <c r="AG647" i="2" s="1"/>
  <c r="AB647" i="2"/>
  <c r="AA647" i="2"/>
  <c r="Z647" i="2"/>
  <c r="AC647" i="2" s="1"/>
  <c r="X647" i="2"/>
  <c r="W647" i="2"/>
  <c r="V647" i="2"/>
  <c r="T647" i="2"/>
  <c r="AJ647" i="2" s="1"/>
  <c r="A647" i="2"/>
  <c r="AF646" i="2"/>
  <c r="AE646" i="2"/>
  <c r="AD646" i="2"/>
  <c r="AG646" i="2" s="1"/>
  <c r="AB646" i="2"/>
  <c r="AA646" i="2"/>
  <c r="Z646" i="2"/>
  <c r="AC646" i="2" s="1"/>
  <c r="X646" i="2"/>
  <c r="W646" i="2"/>
  <c r="V646" i="2"/>
  <c r="AI646" i="2" s="1"/>
  <c r="T646" i="2"/>
  <c r="A646" i="2"/>
  <c r="AG645" i="2"/>
  <c r="AF645" i="2"/>
  <c r="AE645" i="2"/>
  <c r="AD645" i="2"/>
  <c r="AB645" i="2"/>
  <c r="AA645" i="2"/>
  <c r="Z645" i="2"/>
  <c r="AC645" i="2" s="1"/>
  <c r="X645" i="2"/>
  <c r="W645" i="2"/>
  <c r="V645" i="2"/>
  <c r="T645" i="2"/>
  <c r="AJ645" i="2" s="1"/>
  <c r="A645" i="2"/>
  <c r="AF644" i="2"/>
  <c r="AE644" i="2"/>
  <c r="AD644" i="2"/>
  <c r="AG644" i="2" s="1"/>
  <c r="AB644" i="2"/>
  <c r="AA644" i="2"/>
  <c r="Z644" i="2"/>
  <c r="AC644" i="2" s="1"/>
  <c r="X644" i="2"/>
  <c r="W644" i="2"/>
  <c r="V644" i="2"/>
  <c r="AH644" i="2" s="1"/>
  <c r="T644" i="2"/>
  <c r="AJ644" i="2" s="1"/>
  <c r="A644" i="2"/>
  <c r="AF643" i="2"/>
  <c r="AE643" i="2"/>
  <c r="AD643" i="2"/>
  <c r="AG643" i="2" s="1"/>
  <c r="AB643" i="2"/>
  <c r="AA643" i="2"/>
  <c r="Z643" i="2"/>
  <c r="AC643" i="2" s="1"/>
  <c r="X643" i="2"/>
  <c r="W643" i="2"/>
  <c r="V643" i="2"/>
  <c r="Y643" i="2" s="1"/>
  <c r="T643" i="2"/>
  <c r="AJ643" i="2" s="1"/>
  <c r="A643" i="2"/>
  <c r="AG642" i="2"/>
  <c r="AF642" i="2"/>
  <c r="AE642" i="2"/>
  <c r="AD642" i="2"/>
  <c r="AB642" i="2"/>
  <c r="AA642" i="2"/>
  <c r="Z642" i="2"/>
  <c r="AC642" i="2" s="1"/>
  <c r="X642" i="2"/>
  <c r="W642" i="2"/>
  <c r="V642" i="2"/>
  <c r="AI642" i="2" s="1"/>
  <c r="T642" i="2"/>
  <c r="A642" i="2"/>
  <c r="AF641" i="2"/>
  <c r="AE641" i="2"/>
  <c r="AD641" i="2"/>
  <c r="AG641" i="2" s="1"/>
  <c r="AB641" i="2"/>
  <c r="AA641" i="2"/>
  <c r="Z641" i="2"/>
  <c r="AC641" i="2" s="1"/>
  <c r="X641" i="2"/>
  <c r="W641" i="2"/>
  <c r="V641" i="2"/>
  <c r="T641" i="2"/>
  <c r="AJ641" i="2" s="1"/>
  <c r="A641" i="2"/>
  <c r="AF640" i="2"/>
  <c r="AE640" i="2"/>
  <c r="AD640" i="2"/>
  <c r="AG640" i="2" s="1"/>
  <c r="AB640" i="2"/>
  <c r="AA640" i="2"/>
  <c r="Z640" i="2"/>
  <c r="AC640" i="2" s="1"/>
  <c r="X640" i="2"/>
  <c r="W640" i="2"/>
  <c r="V640" i="2"/>
  <c r="T640" i="2"/>
  <c r="AJ640" i="2" s="1"/>
  <c r="A640" i="2"/>
  <c r="AF639" i="2"/>
  <c r="AE639" i="2"/>
  <c r="AD639" i="2"/>
  <c r="AG639" i="2" s="1"/>
  <c r="AB639" i="2"/>
  <c r="AA639" i="2"/>
  <c r="Z639" i="2"/>
  <c r="AC639" i="2" s="1"/>
  <c r="X639" i="2"/>
  <c r="W639" i="2"/>
  <c r="V639" i="2"/>
  <c r="Y639" i="2" s="1"/>
  <c r="T639" i="2"/>
  <c r="AJ639" i="2" s="1"/>
  <c r="A639" i="2"/>
  <c r="AF638" i="2"/>
  <c r="AE638" i="2"/>
  <c r="AD638" i="2"/>
  <c r="AG638" i="2" s="1"/>
  <c r="AB638" i="2"/>
  <c r="AA638" i="2"/>
  <c r="Z638" i="2"/>
  <c r="AC638" i="2" s="1"/>
  <c r="X638" i="2"/>
  <c r="W638" i="2"/>
  <c r="V638" i="2"/>
  <c r="AI638" i="2" s="1"/>
  <c r="T638" i="2"/>
  <c r="AJ638" i="2" s="1"/>
  <c r="A638" i="2"/>
  <c r="AF637" i="2"/>
  <c r="AE637" i="2"/>
  <c r="AD637" i="2"/>
  <c r="AG637" i="2" s="1"/>
  <c r="AB637" i="2"/>
  <c r="AA637" i="2"/>
  <c r="Z637" i="2"/>
  <c r="AC637" i="2" s="1"/>
  <c r="X637" i="2"/>
  <c r="W637" i="2"/>
  <c r="V637" i="2"/>
  <c r="AI637" i="2" s="1"/>
  <c r="T637" i="2"/>
  <c r="A637" i="2"/>
  <c r="AF636" i="2"/>
  <c r="AE636" i="2"/>
  <c r="AD636" i="2"/>
  <c r="AG636" i="2" s="1"/>
  <c r="AB636" i="2"/>
  <c r="AA636" i="2"/>
  <c r="Z636" i="2"/>
  <c r="AC636" i="2" s="1"/>
  <c r="Y636" i="2"/>
  <c r="X636" i="2"/>
  <c r="W636" i="2"/>
  <c r="V636" i="2"/>
  <c r="AH636" i="2" s="1"/>
  <c r="T636" i="2"/>
  <c r="AJ636" i="2" s="1"/>
  <c r="A636" i="2"/>
  <c r="AF635" i="2"/>
  <c r="AE635" i="2"/>
  <c r="AD635" i="2"/>
  <c r="AG635" i="2" s="1"/>
  <c r="AB635" i="2"/>
  <c r="AA635" i="2"/>
  <c r="Z635" i="2"/>
  <c r="AC635" i="2" s="1"/>
  <c r="X635" i="2"/>
  <c r="W635" i="2"/>
  <c r="V635" i="2"/>
  <c r="T635" i="2"/>
  <c r="AJ635" i="2" s="1"/>
  <c r="A635" i="2"/>
  <c r="AF634" i="2"/>
  <c r="AE634" i="2"/>
  <c r="AD634" i="2"/>
  <c r="AG634" i="2" s="1"/>
  <c r="AB634" i="2"/>
  <c r="AA634" i="2"/>
  <c r="Z634" i="2"/>
  <c r="AC634" i="2" s="1"/>
  <c r="X634" i="2"/>
  <c r="W634" i="2"/>
  <c r="V634" i="2"/>
  <c r="AI634" i="2" s="1"/>
  <c r="T634" i="2"/>
  <c r="AJ634" i="2" s="1"/>
  <c r="A634" i="2"/>
  <c r="AF633" i="2"/>
  <c r="AE633" i="2"/>
  <c r="AD633" i="2"/>
  <c r="AG633" i="2" s="1"/>
  <c r="AB633" i="2"/>
  <c r="AA633" i="2"/>
  <c r="Z633" i="2"/>
  <c r="AC633" i="2" s="1"/>
  <c r="X633" i="2"/>
  <c r="W633" i="2"/>
  <c r="V633" i="2"/>
  <c r="AI633" i="2" s="1"/>
  <c r="T633" i="2"/>
  <c r="AJ633" i="2" s="1"/>
  <c r="A633" i="2"/>
  <c r="AF632" i="2"/>
  <c r="AE632" i="2"/>
  <c r="AD632" i="2"/>
  <c r="AG632" i="2" s="1"/>
  <c r="AC632" i="2"/>
  <c r="AB632" i="2"/>
  <c r="AA632" i="2"/>
  <c r="Z632" i="2"/>
  <c r="X632" i="2"/>
  <c r="W632" i="2"/>
  <c r="V632" i="2"/>
  <c r="AH632" i="2" s="1"/>
  <c r="T632" i="2"/>
  <c r="AJ632" i="2" s="1"/>
  <c r="A632" i="2"/>
  <c r="AF631" i="2"/>
  <c r="AE631" i="2"/>
  <c r="AD631" i="2"/>
  <c r="AG631" i="2" s="1"/>
  <c r="AB631" i="2"/>
  <c r="AA631" i="2"/>
  <c r="Z631" i="2"/>
  <c r="AC631" i="2" s="1"/>
  <c r="X631" i="2"/>
  <c r="W631" i="2"/>
  <c r="V631" i="2"/>
  <c r="Y631" i="2" s="1"/>
  <c r="T631" i="2"/>
  <c r="AJ631" i="2" s="1"/>
  <c r="A631" i="2"/>
  <c r="AF630" i="2"/>
  <c r="AE630" i="2"/>
  <c r="AD630" i="2"/>
  <c r="AG630" i="2" s="1"/>
  <c r="AB630" i="2"/>
  <c r="AA630" i="2"/>
  <c r="Z630" i="2"/>
  <c r="AC630" i="2" s="1"/>
  <c r="X630" i="2"/>
  <c r="W630" i="2"/>
  <c r="V630" i="2"/>
  <c r="AI630" i="2" s="1"/>
  <c r="T630" i="2"/>
  <c r="AJ630" i="2" s="1"/>
  <c r="A630" i="2"/>
  <c r="AF629" i="2"/>
  <c r="AE629" i="2"/>
  <c r="AD629" i="2"/>
  <c r="AG629" i="2" s="1"/>
  <c r="AB629" i="2"/>
  <c r="AA629" i="2"/>
  <c r="Z629" i="2"/>
  <c r="AC629" i="2" s="1"/>
  <c r="X629" i="2"/>
  <c r="W629" i="2"/>
  <c r="V629" i="2"/>
  <c r="AI629" i="2" s="1"/>
  <c r="T629" i="2"/>
  <c r="AJ629" i="2" s="1"/>
  <c r="A629" i="2"/>
  <c r="AF628" i="2"/>
  <c r="AE628" i="2"/>
  <c r="AD628" i="2"/>
  <c r="AG628" i="2" s="1"/>
  <c r="AB628" i="2"/>
  <c r="AA628" i="2"/>
  <c r="Z628" i="2"/>
  <c r="AC628" i="2" s="1"/>
  <c r="Y628" i="2"/>
  <c r="X628" i="2"/>
  <c r="W628" i="2"/>
  <c r="V628" i="2"/>
  <c r="AH628" i="2" s="1"/>
  <c r="T628" i="2"/>
  <c r="AJ628" i="2" s="1"/>
  <c r="A628" i="2"/>
  <c r="AF627" i="2"/>
  <c r="AE627" i="2"/>
  <c r="AD627" i="2"/>
  <c r="AG627" i="2" s="1"/>
  <c r="AB627" i="2"/>
  <c r="AA627" i="2"/>
  <c r="Z627" i="2"/>
  <c r="AC627" i="2" s="1"/>
  <c r="X627" i="2"/>
  <c r="W627" i="2"/>
  <c r="V627" i="2"/>
  <c r="Y627" i="2" s="1"/>
  <c r="T627" i="2"/>
  <c r="AJ627" i="2" s="1"/>
  <c r="A627" i="2"/>
  <c r="AF626" i="2"/>
  <c r="AE626" i="2"/>
  <c r="AD626" i="2"/>
  <c r="AG626" i="2" s="1"/>
  <c r="AB626" i="2"/>
  <c r="AA626" i="2"/>
  <c r="Z626" i="2"/>
  <c r="AC626" i="2" s="1"/>
  <c r="X626" i="2"/>
  <c r="W626" i="2"/>
  <c r="V626" i="2"/>
  <c r="AI626" i="2" s="1"/>
  <c r="T626" i="2"/>
  <c r="AJ626" i="2" s="1"/>
  <c r="A626" i="2"/>
  <c r="AF625" i="2"/>
  <c r="AE625" i="2"/>
  <c r="AD625" i="2"/>
  <c r="AG625" i="2" s="1"/>
  <c r="AB625" i="2"/>
  <c r="AA625" i="2"/>
  <c r="Z625" i="2"/>
  <c r="AC625" i="2" s="1"/>
  <c r="X625" i="2"/>
  <c r="W625" i="2"/>
  <c r="V625" i="2"/>
  <c r="AH625" i="2" s="1"/>
  <c r="T625" i="2"/>
  <c r="AJ625" i="2" s="1"/>
  <c r="A625" i="2"/>
  <c r="AF624" i="2"/>
  <c r="AE624" i="2"/>
  <c r="AD624" i="2"/>
  <c r="AG624" i="2" s="1"/>
  <c r="AB624" i="2"/>
  <c r="AA624" i="2"/>
  <c r="Z624" i="2"/>
  <c r="AC624" i="2" s="1"/>
  <c r="X624" i="2"/>
  <c r="W624" i="2"/>
  <c r="V624" i="2"/>
  <c r="AH624" i="2" s="1"/>
  <c r="T624" i="2"/>
  <c r="AJ624" i="2" s="1"/>
  <c r="A624" i="2"/>
  <c r="AH623" i="2"/>
  <c r="AF623" i="2"/>
  <c r="AE623" i="2"/>
  <c r="AD623" i="2"/>
  <c r="AG623" i="2" s="1"/>
  <c r="AB623" i="2"/>
  <c r="AA623" i="2"/>
  <c r="Z623" i="2"/>
  <c r="AC623" i="2" s="1"/>
  <c r="X623" i="2"/>
  <c r="W623" i="2"/>
  <c r="V623" i="2"/>
  <c r="Y623" i="2" s="1"/>
  <c r="T623" i="2"/>
  <c r="AJ623" i="2" s="1"/>
  <c r="A623" i="2"/>
  <c r="AF622" i="2"/>
  <c r="AE622" i="2"/>
  <c r="AD622" i="2"/>
  <c r="AG622" i="2" s="1"/>
  <c r="AB622" i="2"/>
  <c r="AA622" i="2"/>
  <c r="Z622" i="2"/>
  <c r="AC622" i="2" s="1"/>
  <c r="X622" i="2"/>
  <c r="W622" i="2"/>
  <c r="V622" i="2"/>
  <c r="AI622" i="2" s="1"/>
  <c r="T622" i="2"/>
  <c r="A622" i="2"/>
  <c r="AF621" i="2"/>
  <c r="AE621" i="2"/>
  <c r="AD621" i="2"/>
  <c r="AG621" i="2" s="1"/>
  <c r="AB621" i="2"/>
  <c r="AA621" i="2"/>
  <c r="Z621" i="2"/>
  <c r="AC621" i="2" s="1"/>
  <c r="X621" i="2"/>
  <c r="W621" i="2"/>
  <c r="V621" i="2"/>
  <c r="AI621" i="2" s="1"/>
  <c r="T621" i="2"/>
  <c r="A621" i="2"/>
  <c r="AF620" i="2"/>
  <c r="AE620" i="2"/>
  <c r="AD620" i="2"/>
  <c r="AG620" i="2" s="1"/>
  <c r="AB620" i="2"/>
  <c r="AA620" i="2"/>
  <c r="Z620" i="2"/>
  <c r="AC620" i="2" s="1"/>
  <c r="X620" i="2"/>
  <c r="W620" i="2"/>
  <c r="V620" i="2"/>
  <c r="T620" i="2"/>
  <c r="A620" i="2"/>
  <c r="AF619" i="2"/>
  <c r="AE619" i="2"/>
  <c r="AD619" i="2"/>
  <c r="AG619" i="2" s="1"/>
  <c r="AB619" i="2"/>
  <c r="AA619" i="2"/>
  <c r="Z619" i="2"/>
  <c r="AC619" i="2" s="1"/>
  <c r="X619" i="2"/>
  <c r="W619" i="2"/>
  <c r="V619" i="2"/>
  <c r="T619" i="2"/>
  <c r="AJ619" i="2" s="1"/>
  <c r="A619" i="2"/>
  <c r="AF618" i="2"/>
  <c r="AE618" i="2"/>
  <c r="AD618" i="2"/>
  <c r="AG618" i="2" s="1"/>
  <c r="AB618" i="2"/>
  <c r="AA618" i="2"/>
  <c r="Z618" i="2"/>
  <c r="AC618" i="2" s="1"/>
  <c r="X618" i="2"/>
  <c r="W618" i="2"/>
  <c r="V618" i="2"/>
  <c r="AI618" i="2" s="1"/>
  <c r="T618" i="2"/>
  <c r="AJ618" i="2" s="1"/>
  <c r="A618" i="2"/>
  <c r="AF617" i="2"/>
  <c r="AE617" i="2"/>
  <c r="AD617" i="2"/>
  <c r="AG617" i="2" s="1"/>
  <c r="AC617" i="2"/>
  <c r="AB617" i="2"/>
  <c r="AA617" i="2"/>
  <c r="Z617" i="2"/>
  <c r="X617" i="2"/>
  <c r="W617" i="2"/>
  <c r="V617" i="2"/>
  <c r="AI617" i="2" s="1"/>
  <c r="T617" i="2"/>
  <c r="AJ617" i="2" s="1"/>
  <c r="A617" i="2"/>
  <c r="AF616" i="2"/>
  <c r="AE616" i="2"/>
  <c r="AD616" i="2"/>
  <c r="AG616" i="2" s="1"/>
  <c r="AB616" i="2"/>
  <c r="AA616" i="2"/>
  <c r="Z616" i="2"/>
  <c r="AC616" i="2" s="1"/>
  <c r="X616" i="2"/>
  <c r="W616" i="2"/>
  <c r="V616" i="2"/>
  <c r="T616" i="2"/>
  <c r="AJ616" i="2" s="1"/>
  <c r="A616" i="2"/>
  <c r="AF615" i="2"/>
  <c r="AE615" i="2"/>
  <c r="AD615" i="2"/>
  <c r="AG615" i="2" s="1"/>
  <c r="AB615" i="2"/>
  <c r="AA615" i="2"/>
  <c r="Z615" i="2"/>
  <c r="AC615" i="2" s="1"/>
  <c r="X615" i="2"/>
  <c r="W615" i="2"/>
  <c r="V615" i="2"/>
  <c r="T615" i="2"/>
  <c r="AJ615" i="2" s="1"/>
  <c r="A615" i="2"/>
  <c r="AF614" i="2"/>
  <c r="AE614" i="2"/>
  <c r="AD614" i="2"/>
  <c r="AG614" i="2" s="1"/>
  <c r="AB614" i="2"/>
  <c r="AA614" i="2"/>
  <c r="Z614" i="2"/>
  <c r="AC614" i="2" s="1"/>
  <c r="X614" i="2"/>
  <c r="W614" i="2"/>
  <c r="V614" i="2"/>
  <c r="T614" i="2"/>
  <c r="AJ614" i="2" s="1"/>
  <c r="A614" i="2"/>
  <c r="AF613" i="2"/>
  <c r="AE613" i="2"/>
  <c r="AD613" i="2"/>
  <c r="AG613" i="2" s="1"/>
  <c r="AB613" i="2"/>
  <c r="AA613" i="2"/>
  <c r="Z613" i="2"/>
  <c r="AC613" i="2" s="1"/>
  <c r="Y613" i="2"/>
  <c r="X613" i="2"/>
  <c r="W613" i="2"/>
  <c r="V613" i="2"/>
  <c r="AI613" i="2" s="1"/>
  <c r="T613" i="2"/>
  <c r="AJ613" i="2" s="1"/>
  <c r="A613" i="2"/>
  <c r="AF612" i="2"/>
  <c r="AE612" i="2"/>
  <c r="AD612" i="2"/>
  <c r="AG612" i="2" s="1"/>
  <c r="AB612" i="2"/>
  <c r="AA612" i="2"/>
  <c r="Z612" i="2"/>
  <c r="AC612" i="2" s="1"/>
  <c r="X612" i="2"/>
  <c r="W612" i="2"/>
  <c r="V612" i="2"/>
  <c r="AH612" i="2" s="1"/>
  <c r="T612" i="2"/>
  <c r="AJ612" i="2" s="1"/>
  <c r="A612" i="2"/>
  <c r="AF611" i="2"/>
  <c r="AE611" i="2"/>
  <c r="AD611" i="2"/>
  <c r="AG611" i="2" s="1"/>
  <c r="AB611" i="2"/>
  <c r="AA611" i="2"/>
  <c r="Z611" i="2"/>
  <c r="AC611" i="2" s="1"/>
  <c r="X611" i="2"/>
  <c r="W611" i="2"/>
  <c r="V611" i="2"/>
  <c r="AH611" i="2" s="1"/>
  <c r="T611" i="2"/>
  <c r="AJ611" i="2" s="1"/>
  <c r="A611" i="2"/>
  <c r="AF610" i="2"/>
  <c r="AE610" i="2"/>
  <c r="AD610" i="2"/>
  <c r="AG610" i="2" s="1"/>
  <c r="AB610" i="2"/>
  <c r="AA610" i="2"/>
  <c r="Z610" i="2"/>
  <c r="AC610" i="2" s="1"/>
  <c r="Y610" i="2"/>
  <c r="X610" i="2"/>
  <c r="W610" i="2"/>
  <c r="V610" i="2"/>
  <c r="AI610" i="2" s="1"/>
  <c r="T610" i="2"/>
  <c r="AJ610" i="2" s="1"/>
  <c r="A610" i="2"/>
  <c r="AF609" i="2"/>
  <c r="AE609" i="2"/>
  <c r="AD609" i="2"/>
  <c r="AG609" i="2" s="1"/>
  <c r="AB609" i="2"/>
  <c r="AA609" i="2"/>
  <c r="Z609" i="2"/>
  <c r="AC609" i="2" s="1"/>
  <c r="X609" i="2"/>
  <c r="W609" i="2"/>
  <c r="V609" i="2"/>
  <c r="AI609" i="2" s="1"/>
  <c r="T609" i="2"/>
  <c r="AJ609" i="2" s="1"/>
  <c r="A609" i="2"/>
  <c r="AF608" i="2"/>
  <c r="AE608" i="2"/>
  <c r="AD608" i="2"/>
  <c r="AG608" i="2" s="1"/>
  <c r="AB608" i="2"/>
  <c r="AA608" i="2"/>
  <c r="Z608" i="2"/>
  <c r="AC608" i="2" s="1"/>
  <c r="X608" i="2"/>
  <c r="W608" i="2"/>
  <c r="V608" i="2"/>
  <c r="T608" i="2"/>
  <c r="AJ608" i="2" s="1"/>
  <c r="A608" i="2"/>
  <c r="AF607" i="2"/>
  <c r="AE607" i="2"/>
  <c r="AD607" i="2"/>
  <c r="AG607" i="2" s="1"/>
  <c r="AB607" i="2"/>
  <c r="AA607" i="2"/>
  <c r="Z607" i="2"/>
  <c r="AC607" i="2" s="1"/>
  <c r="X607" i="2"/>
  <c r="W607" i="2"/>
  <c r="V607" i="2"/>
  <c r="T607" i="2"/>
  <c r="AJ607" i="2" s="1"/>
  <c r="A607" i="2"/>
  <c r="AF606" i="2"/>
  <c r="AE606" i="2"/>
  <c r="AD606" i="2"/>
  <c r="AG606" i="2" s="1"/>
  <c r="AB606" i="2"/>
  <c r="AA606" i="2"/>
  <c r="Z606" i="2"/>
  <c r="AC606" i="2" s="1"/>
  <c r="X606" i="2"/>
  <c r="W606" i="2"/>
  <c r="V606" i="2"/>
  <c r="T606" i="2"/>
  <c r="AJ606" i="2" s="1"/>
  <c r="A606" i="2"/>
  <c r="AF605" i="2"/>
  <c r="AE605" i="2"/>
  <c r="AD605" i="2"/>
  <c r="AG605" i="2" s="1"/>
  <c r="AB605" i="2"/>
  <c r="AA605" i="2"/>
  <c r="Z605" i="2"/>
  <c r="AC605" i="2" s="1"/>
  <c r="X605" i="2"/>
  <c r="W605" i="2"/>
  <c r="V605" i="2"/>
  <c r="T605" i="2"/>
  <c r="AJ605" i="2" s="1"/>
  <c r="A605" i="2"/>
  <c r="AF604" i="2"/>
  <c r="AE604" i="2"/>
  <c r="AD604" i="2"/>
  <c r="AG604" i="2" s="1"/>
  <c r="AB604" i="2"/>
  <c r="AA604" i="2"/>
  <c r="Z604" i="2"/>
  <c r="AC604" i="2" s="1"/>
  <c r="X604" i="2"/>
  <c r="W604" i="2"/>
  <c r="V604" i="2"/>
  <c r="AH604" i="2" s="1"/>
  <c r="T604" i="2"/>
  <c r="AJ604" i="2" s="1"/>
  <c r="A604" i="2"/>
  <c r="AF603" i="2"/>
  <c r="AE603" i="2"/>
  <c r="AD603" i="2"/>
  <c r="AG603" i="2" s="1"/>
  <c r="AC603" i="2"/>
  <c r="AB603" i="2"/>
  <c r="AA603" i="2"/>
  <c r="Z603" i="2"/>
  <c r="X603" i="2"/>
  <c r="W603" i="2"/>
  <c r="V603" i="2"/>
  <c r="AH603" i="2" s="1"/>
  <c r="T603" i="2"/>
  <c r="AJ603" i="2" s="1"/>
  <c r="A603" i="2"/>
  <c r="AF602" i="2"/>
  <c r="AE602" i="2"/>
  <c r="AD602" i="2"/>
  <c r="AG602" i="2" s="1"/>
  <c r="AC602" i="2"/>
  <c r="AB602" i="2"/>
  <c r="AA602" i="2"/>
  <c r="Z602" i="2"/>
  <c r="X602" i="2"/>
  <c r="W602" i="2"/>
  <c r="V602" i="2"/>
  <c r="AH602" i="2" s="1"/>
  <c r="T602" i="2"/>
  <c r="AJ602" i="2" s="1"/>
  <c r="A602" i="2"/>
  <c r="AF601" i="2"/>
  <c r="AE601" i="2"/>
  <c r="AD601" i="2"/>
  <c r="AG601" i="2" s="1"/>
  <c r="AB601" i="2"/>
  <c r="AA601" i="2"/>
  <c r="Z601" i="2"/>
  <c r="AC601" i="2" s="1"/>
  <c r="Y601" i="2"/>
  <c r="X601" i="2"/>
  <c r="W601" i="2"/>
  <c r="V601" i="2"/>
  <c r="AI601" i="2" s="1"/>
  <c r="T601" i="2"/>
  <c r="AJ601" i="2" s="1"/>
  <c r="A601" i="2"/>
  <c r="AF600" i="2"/>
  <c r="AE600" i="2"/>
  <c r="AD600" i="2"/>
  <c r="AG600" i="2" s="1"/>
  <c r="AB600" i="2"/>
  <c r="AA600" i="2"/>
  <c r="Z600" i="2"/>
  <c r="AC600" i="2" s="1"/>
  <c r="X600" i="2"/>
  <c r="W600" i="2"/>
  <c r="V600" i="2"/>
  <c r="AH600" i="2" s="1"/>
  <c r="T600" i="2"/>
  <c r="AJ600" i="2" s="1"/>
  <c r="A600" i="2"/>
  <c r="AF599" i="2"/>
  <c r="AE599" i="2"/>
  <c r="AD599" i="2"/>
  <c r="AG599" i="2" s="1"/>
  <c r="AB599" i="2"/>
  <c r="AA599" i="2"/>
  <c r="Z599" i="2"/>
  <c r="AC599" i="2" s="1"/>
  <c r="X599" i="2"/>
  <c r="W599" i="2"/>
  <c r="V599" i="2"/>
  <c r="AI599" i="2" s="1"/>
  <c r="T599" i="2"/>
  <c r="AJ599" i="2" s="1"/>
  <c r="A599" i="2"/>
  <c r="AH598" i="2"/>
  <c r="AF598" i="2"/>
  <c r="AE598" i="2"/>
  <c r="AD598" i="2"/>
  <c r="AG598" i="2" s="1"/>
  <c r="AB598" i="2"/>
  <c r="AA598" i="2"/>
  <c r="Z598" i="2"/>
  <c r="AC598" i="2" s="1"/>
  <c r="X598" i="2"/>
  <c r="W598" i="2"/>
  <c r="V598" i="2"/>
  <c r="AI598" i="2" s="1"/>
  <c r="T598" i="2"/>
  <c r="AJ598" i="2" s="1"/>
  <c r="A598" i="2"/>
  <c r="AF597" i="2"/>
  <c r="AE597" i="2"/>
  <c r="AD597" i="2"/>
  <c r="AG597" i="2" s="1"/>
  <c r="AB597" i="2"/>
  <c r="AA597" i="2"/>
  <c r="Z597" i="2"/>
  <c r="AC597" i="2" s="1"/>
  <c r="X597" i="2"/>
  <c r="W597" i="2"/>
  <c r="V597" i="2"/>
  <c r="AI597" i="2" s="1"/>
  <c r="T597" i="2"/>
  <c r="AJ597" i="2" s="1"/>
  <c r="A597" i="2"/>
  <c r="AF596" i="2"/>
  <c r="AE596" i="2"/>
  <c r="AD596" i="2"/>
  <c r="AG596" i="2" s="1"/>
  <c r="AB596" i="2"/>
  <c r="AA596" i="2"/>
  <c r="Z596" i="2"/>
  <c r="AC596" i="2" s="1"/>
  <c r="X596" i="2"/>
  <c r="W596" i="2"/>
  <c r="V596" i="2"/>
  <c r="T596" i="2"/>
  <c r="AJ596" i="2" s="1"/>
  <c r="A596" i="2"/>
  <c r="AF595" i="2"/>
  <c r="AE595" i="2"/>
  <c r="AD595" i="2"/>
  <c r="AG595" i="2" s="1"/>
  <c r="AB595" i="2"/>
  <c r="AA595" i="2"/>
  <c r="Z595" i="2"/>
  <c r="AC595" i="2" s="1"/>
  <c r="X595" i="2"/>
  <c r="W595" i="2"/>
  <c r="V595" i="2"/>
  <c r="T595" i="2"/>
  <c r="AJ595" i="2" s="1"/>
  <c r="A595" i="2"/>
  <c r="AF594" i="2"/>
  <c r="AE594" i="2"/>
  <c r="AD594" i="2"/>
  <c r="AG594" i="2" s="1"/>
  <c r="AB594" i="2"/>
  <c r="AA594" i="2"/>
  <c r="Z594" i="2"/>
  <c r="AC594" i="2" s="1"/>
  <c r="X594" i="2"/>
  <c r="W594" i="2"/>
  <c r="V594" i="2"/>
  <c r="T594" i="2"/>
  <c r="AJ594" i="2" s="1"/>
  <c r="A594" i="2"/>
  <c r="AF593" i="2"/>
  <c r="AE593" i="2"/>
  <c r="AD593" i="2"/>
  <c r="AG593" i="2" s="1"/>
  <c r="AB593" i="2"/>
  <c r="AA593" i="2"/>
  <c r="Z593" i="2"/>
  <c r="AC593" i="2" s="1"/>
  <c r="X593" i="2"/>
  <c r="W593" i="2"/>
  <c r="V593" i="2"/>
  <c r="T593" i="2"/>
  <c r="AJ593" i="2" s="1"/>
  <c r="A593" i="2"/>
  <c r="AF592" i="2"/>
  <c r="AE592" i="2"/>
  <c r="AD592" i="2"/>
  <c r="AG592" i="2" s="1"/>
  <c r="AB592" i="2"/>
  <c r="AA592" i="2"/>
  <c r="Z592" i="2"/>
  <c r="AC592" i="2" s="1"/>
  <c r="X592" i="2"/>
  <c r="W592" i="2"/>
  <c r="V592" i="2"/>
  <c r="AH592" i="2" s="1"/>
  <c r="T592" i="2"/>
  <c r="AJ592" i="2" s="1"/>
  <c r="A592" i="2"/>
  <c r="AF591" i="2"/>
  <c r="AE591" i="2"/>
  <c r="AD591" i="2"/>
  <c r="AG591" i="2" s="1"/>
  <c r="AB591" i="2"/>
  <c r="AA591" i="2"/>
  <c r="Z591" i="2"/>
  <c r="AC591" i="2" s="1"/>
  <c r="X591" i="2"/>
  <c r="W591" i="2"/>
  <c r="V591" i="2"/>
  <c r="AI591" i="2" s="1"/>
  <c r="T591" i="2"/>
  <c r="AJ591" i="2" s="1"/>
  <c r="A591" i="2"/>
  <c r="AF590" i="2"/>
  <c r="AE590" i="2"/>
  <c r="AD590" i="2"/>
  <c r="AG590" i="2" s="1"/>
  <c r="AB590" i="2"/>
  <c r="AA590" i="2"/>
  <c r="Z590" i="2"/>
  <c r="AC590" i="2" s="1"/>
  <c r="X590" i="2"/>
  <c r="W590" i="2"/>
  <c r="V590" i="2"/>
  <c r="AI590" i="2" s="1"/>
  <c r="T590" i="2"/>
  <c r="AJ590" i="2" s="1"/>
  <c r="A590" i="2"/>
  <c r="AF589" i="2"/>
  <c r="AE589" i="2"/>
  <c r="AD589" i="2"/>
  <c r="AG589" i="2" s="1"/>
  <c r="AB589" i="2"/>
  <c r="AA589" i="2"/>
  <c r="Z589" i="2"/>
  <c r="AC589" i="2" s="1"/>
  <c r="X589" i="2"/>
  <c r="W589" i="2"/>
  <c r="V589" i="2"/>
  <c r="AI589" i="2" s="1"/>
  <c r="T589" i="2"/>
  <c r="AJ589" i="2" s="1"/>
  <c r="A589" i="2"/>
  <c r="AF588" i="2"/>
  <c r="AE588" i="2"/>
  <c r="AD588" i="2"/>
  <c r="AG588" i="2" s="1"/>
  <c r="AB588" i="2"/>
  <c r="AA588" i="2"/>
  <c r="Z588" i="2"/>
  <c r="AC588" i="2" s="1"/>
  <c r="X588" i="2"/>
  <c r="W588" i="2"/>
  <c r="V588" i="2"/>
  <c r="AH588" i="2" s="1"/>
  <c r="T588" i="2"/>
  <c r="AJ588" i="2" s="1"/>
  <c r="A588" i="2"/>
  <c r="AF587" i="2"/>
  <c r="AE587" i="2"/>
  <c r="AD587" i="2"/>
  <c r="AG587" i="2" s="1"/>
  <c r="AB587" i="2"/>
  <c r="AA587" i="2"/>
  <c r="Z587" i="2"/>
  <c r="AC587" i="2" s="1"/>
  <c r="X587" i="2"/>
  <c r="W587" i="2"/>
  <c r="V587" i="2"/>
  <c r="AI587" i="2" s="1"/>
  <c r="T587" i="2"/>
  <c r="AJ587" i="2" s="1"/>
  <c r="A587" i="2"/>
  <c r="AF586" i="2"/>
  <c r="AE586" i="2"/>
  <c r="AD586" i="2"/>
  <c r="AG586" i="2" s="1"/>
  <c r="AB586" i="2"/>
  <c r="AA586" i="2"/>
  <c r="Z586" i="2"/>
  <c r="AC586" i="2" s="1"/>
  <c r="X586" i="2"/>
  <c r="W586" i="2"/>
  <c r="V586" i="2"/>
  <c r="AI586" i="2" s="1"/>
  <c r="T586" i="2"/>
  <c r="AJ586" i="2" s="1"/>
  <c r="A586" i="2"/>
  <c r="AF585" i="2"/>
  <c r="AE585" i="2"/>
  <c r="AD585" i="2"/>
  <c r="AG585" i="2" s="1"/>
  <c r="AB585" i="2"/>
  <c r="AA585" i="2"/>
  <c r="Z585" i="2"/>
  <c r="AC585" i="2" s="1"/>
  <c r="X585" i="2"/>
  <c r="W585" i="2"/>
  <c r="V585" i="2"/>
  <c r="T585" i="2"/>
  <c r="AJ585" i="2" s="1"/>
  <c r="A585" i="2"/>
  <c r="AF584" i="2"/>
  <c r="AE584" i="2"/>
  <c r="AD584" i="2"/>
  <c r="AG584" i="2" s="1"/>
  <c r="AB584" i="2"/>
  <c r="AA584" i="2"/>
  <c r="Z584" i="2"/>
  <c r="AC584" i="2" s="1"/>
  <c r="X584" i="2"/>
  <c r="W584" i="2"/>
  <c r="V584" i="2"/>
  <c r="T584" i="2"/>
  <c r="AJ584" i="2" s="1"/>
  <c r="A584" i="2"/>
  <c r="AF583" i="2"/>
  <c r="AE583" i="2"/>
  <c r="AD583" i="2"/>
  <c r="AG583" i="2" s="1"/>
  <c r="AB583" i="2"/>
  <c r="AA583" i="2"/>
  <c r="Z583" i="2"/>
  <c r="AC583" i="2" s="1"/>
  <c r="X583" i="2"/>
  <c r="W583" i="2"/>
  <c r="V583" i="2"/>
  <c r="T583" i="2"/>
  <c r="AJ583" i="2" s="1"/>
  <c r="A583" i="2"/>
  <c r="AF582" i="2"/>
  <c r="AE582" i="2"/>
  <c r="AD582" i="2"/>
  <c r="AG582" i="2" s="1"/>
  <c r="AB582" i="2"/>
  <c r="AA582" i="2"/>
  <c r="Z582" i="2"/>
  <c r="AC582" i="2" s="1"/>
  <c r="X582" i="2"/>
  <c r="W582" i="2"/>
  <c r="V582" i="2"/>
  <c r="T582" i="2"/>
  <c r="AJ582" i="2" s="1"/>
  <c r="A582" i="2"/>
  <c r="AF581" i="2"/>
  <c r="AE581" i="2"/>
  <c r="AD581" i="2"/>
  <c r="AG581" i="2" s="1"/>
  <c r="AB581" i="2"/>
  <c r="AA581" i="2"/>
  <c r="Z581" i="2"/>
  <c r="AC581" i="2" s="1"/>
  <c r="X581" i="2"/>
  <c r="W581" i="2"/>
  <c r="V581" i="2"/>
  <c r="AI581" i="2" s="1"/>
  <c r="T581" i="2"/>
  <c r="AJ581" i="2" s="1"/>
  <c r="A581" i="2"/>
  <c r="AF580" i="2"/>
  <c r="AE580" i="2"/>
  <c r="AD580" i="2"/>
  <c r="AG580" i="2" s="1"/>
  <c r="AB580" i="2"/>
  <c r="AA580" i="2"/>
  <c r="Z580" i="2"/>
  <c r="AC580" i="2" s="1"/>
  <c r="X580" i="2"/>
  <c r="W580" i="2"/>
  <c r="V580" i="2"/>
  <c r="AH580" i="2" s="1"/>
  <c r="T580" i="2"/>
  <c r="AJ580" i="2" s="1"/>
  <c r="A580" i="2"/>
  <c r="AF579" i="2"/>
  <c r="AE579" i="2"/>
  <c r="AD579" i="2"/>
  <c r="AG579" i="2" s="1"/>
  <c r="AB579" i="2"/>
  <c r="AA579" i="2"/>
  <c r="Z579" i="2"/>
  <c r="AC579" i="2" s="1"/>
  <c r="X579" i="2"/>
  <c r="W579" i="2"/>
  <c r="V579" i="2"/>
  <c r="AI579" i="2" s="1"/>
  <c r="T579" i="2"/>
  <c r="AJ579" i="2" s="1"/>
  <c r="A579" i="2"/>
  <c r="AF578" i="2"/>
  <c r="AE578" i="2"/>
  <c r="AD578" i="2"/>
  <c r="AG578" i="2" s="1"/>
  <c r="AB578" i="2"/>
  <c r="AA578" i="2"/>
  <c r="Z578" i="2"/>
  <c r="AC578" i="2" s="1"/>
  <c r="X578" i="2"/>
  <c r="W578" i="2"/>
  <c r="V578" i="2"/>
  <c r="AH578" i="2" s="1"/>
  <c r="T578" i="2"/>
  <c r="AJ578" i="2" s="1"/>
  <c r="A578" i="2"/>
  <c r="AF577" i="2"/>
  <c r="AE577" i="2"/>
  <c r="AD577" i="2"/>
  <c r="AG577" i="2" s="1"/>
  <c r="AB577" i="2"/>
  <c r="AA577" i="2"/>
  <c r="Z577" i="2"/>
  <c r="AC577" i="2" s="1"/>
  <c r="X577" i="2"/>
  <c r="W577" i="2"/>
  <c r="V577" i="2"/>
  <c r="AI577" i="2" s="1"/>
  <c r="T577" i="2"/>
  <c r="AJ577" i="2" s="1"/>
  <c r="A577" i="2"/>
  <c r="AF576" i="2"/>
  <c r="AE576" i="2"/>
  <c r="AD576" i="2"/>
  <c r="AG576" i="2" s="1"/>
  <c r="AB576" i="2"/>
  <c r="AA576" i="2"/>
  <c r="Z576" i="2"/>
  <c r="AC576" i="2" s="1"/>
  <c r="X576" i="2"/>
  <c r="W576" i="2"/>
  <c r="V576" i="2"/>
  <c r="AH576" i="2" s="1"/>
  <c r="T576" i="2"/>
  <c r="AJ576" i="2" s="1"/>
  <c r="A576" i="2"/>
  <c r="AF575" i="2"/>
  <c r="AE575" i="2"/>
  <c r="AD575" i="2"/>
  <c r="AG575" i="2" s="1"/>
  <c r="AB575" i="2"/>
  <c r="AA575" i="2"/>
  <c r="Z575" i="2"/>
  <c r="AC575" i="2" s="1"/>
  <c r="X575" i="2"/>
  <c r="W575" i="2"/>
  <c r="V575" i="2"/>
  <c r="AI575" i="2" s="1"/>
  <c r="T575" i="2"/>
  <c r="AJ575" i="2" s="1"/>
  <c r="A575" i="2"/>
  <c r="AF574" i="2"/>
  <c r="AE574" i="2"/>
  <c r="AD574" i="2"/>
  <c r="AG574" i="2" s="1"/>
  <c r="AB574" i="2"/>
  <c r="AA574" i="2"/>
  <c r="Z574" i="2"/>
  <c r="AC574" i="2" s="1"/>
  <c r="X574" i="2"/>
  <c r="W574" i="2"/>
  <c r="V574" i="2"/>
  <c r="AI574" i="2" s="1"/>
  <c r="T574" i="2"/>
  <c r="AJ574" i="2" s="1"/>
  <c r="A574" i="2"/>
  <c r="AF573" i="2"/>
  <c r="AE573" i="2"/>
  <c r="AD573" i="2"/>
  <c r="AG573" i="2" s="1"/>
  <c r="AB573" i="2"/>
  <c r="AA573" i="2"/>
  <c r="Z573" i="2"/>
  <c r="AC573" i="2" s="1"/>
  <c r="X573" i="2"/>
  <c r="W573" i="2"/>
  <c r="V573" i="2"/>
  <c r="AI573" i="2" s="1"/>
  <c r="T573" i="2"/>
  <c r="AJ573" i="2" s="1"/>
  <c r="A573" i="2"/>
  <c r="AF572" i="2"/>
  <c r="AE572" i="2"/>
  <c r="AD572" i="2"/>
  <c r="AG572" i="2" s="1"/>
  <c r="AB572" i="2"/>
  <c r="AA572" i="2"/>
  <c r="Z572" i="2"/>
  <c r="AC572" i="2" s="1"/>
  <c r="X572" i="2"/>
  <c r="W572" i="2"/>
  <c r="V572" i="2"/>
  <c r="AH572" i="2" s="1"/>
  <c r="T572" i="2"/>
  <c r="AJ572" i="2" s="1"/>
  <c r="A572" i="2"/>
  <c r="AF571" i="2"/>
  <c r="AE571" i="2"/>
  <c r="AD571" i="2"/>
  <c r="AG571" i="2" s="1"/>
  <c r="AB571" i="2"/>
  <c r="AA571" i="2"/>
  <c r="Z571" i="2"/>
  <c r="AC571" i="2" s="1"/>
  <c r="X571" i="2"/>
  <c r="W571" i="2"/>
  <c r="V571" i="2"/>
  <c r="AI571" i="2" s="1"/>
  <c r="T571" i="2"/>
  <c r="AJ571" i="2" s="1"/>
  <c r="A571" i="2"/>
  <c r="AF570" i="2"/>
  <c r="AE570" i="2"/>
  <c r="AD570" i="2"/>
  <c r="AG570" i="2" s="1"/>
  <c r="AB570" i="2"/>
  <c r="AA570" i="2"/>
  <c r="Z570" i="2"/>
  <c r="AC570" i="2" s="1"/>
  <c r="X570" i="2"/>
  <c r="W570" i="2"/>
  <c r="V570" i="2"/>
  <c r="AI570" i="2" s="1"/>
  <c r="T570" i="2"/>
  <c r="AJ570" i="2" s="1"/>
  <c r="A570" i="2"/>
  <c r="AF569" i="2"/>
  <c r="AE569" i="2"/>
  <c r="AD569" i="2"/>
  <c r="AG569" i="2" s="1"/>
  <c r="AB569" i="2"/>
  <c r="AA569" i="2"/>
  <c r="Z569" i="2"/>
  <c r="AC569" i="2" s="1"/>
  <c r="X569" i="2"/>
  <c r="W569" i="2"/>
  <c r="V569" i="2"/>
  <c r="AI569" i="2" s="1"/>
  <c r="A569" i="2"/>
  <c r="AF568" i="2"/>
  <c r="AE568" i="2"/>
  <c r="AD568" i="2"/>
  <c r="AG568" i="2" s="1"/>
  <c r="AB568" i="2"/>
  <c r="AA568" i="2"/>
  <c r="Z568" i="2"/>
  <c r="AC568" i="2" s="1"/>
  <c r="X568" i="2"/>
  <c r="W568" i="2"/>
  <c r="V568" i="2"/>
  <c r="AH568" i="2" s="1"/>
  <c r="A568" i="2"/>
  <c r="AH567" i="2"/>
  <c r="AF567" i="2"/>
  <c r="AE567" i="2"/>
  <c r="AD567" i="2"/>
  <c r="AG567" i="2" s="1"/>
  <c r="AB567" i="2"/>
  <c r="AA567" i="2"/>
  <c r="Z567" i="2"/>
  <c r="AC567" i="2" s="1"/>
  <c r="Y567" i="2"/>
  <c r="X567" i="2"/>
  <c r="W567" i="2"/>
  <c r="V567" i="2"/>
  <c r="AI567" i="2" s="1"/>
  <c r="A567" i="2"/>
  <c r="AF566" i="2"/>
  <c r="AE566" i="2"/>
  <c r="AD566" i="2"/>
  <c r="AG566" i="2" s="1"/>
  <c r="AB566" i="2"/>
  <c r="AA566" i="2"/>
  <c r="Z566" i="2"/>
  <c r="AC566" i="2" s="1"/>
  <c r="X566" i="2"/>
  <c r="W566" i="2"/>
  <c r="V566" i="2"/>
  <c r="AI566" i="2" s="1"/>
  <c r="A566" i="2"/>
  <c r="AF565" i="2"/>
  <c r="AE565" i="2"/>
  <c r="AD565" i="2"/>
  <c r="AG565" i="2" s="1"/>
  <c r="AB565" i="2"/>
  <c r="AA565" i="2"/>
  <c r="Z565" i="2"/>
  <c r="AC565" i="2" s="1"/>
  <c r="X565" i="2"/>
  <c r="W565" i="2"/>
  <c r="V565" i="2"/>
  <c r="AI565" i="2" s="1"/>
  <c r="A565" i="2"/>
  <c r="AF564" i="2"/>
  <c r="AE564" i="2"/>
  <c r="AD564" i="2"/>
  <c r="AG564" i="2" s="1"/>
  <c r="AB564" i="2"/>
  <c r="AA564" i="2"/>
  <c r="Z564" i="2"/>
  <c r="AC564" i="2" s="1"/>
  <c r="X564" i="2"/>
  <c r="W564" i="2"/>
  <c r="V564" i="2"/>
  <c r="AH564" i="2" s="1"/>
  <c r="A564" i="2"/>
  <c r="AH563" i="2"/>
  <c r="AF563" i="2"/>
  <c r="AE563" i="2"/>
  <c r="AD563" i="2"/>
  <c r="AG563" i="2" s="1"/>
  <c r="AB563" i="2"/>
  <c r="AA563" i="2"/>
  <c r="Z563" i="2"/>
  <c r="AC563" i="2" s="1"/>
  <c r="Y563" i="2"/>
  <c r="X563" i="2"/>
  <c r="W563" i="2"/>
  <c r="V563" i="2"/>
  <c r="T563" i="2" s="1"/>
  <c r="AJ563" i="2" s="1"/>
  <c r="A563" i="2"/>
  <c r="AF562" i="2"/>
  <c r="AE562" i="2"/>
  <c r="AD562" i="2"/>
  <c r="AG562" i="2" s="1"/>
  <c r="AB562" i="2"/>
  <c r="AA562" i="2"/>
  <c r="Z562" i="2"/>
  <c r="AC562" i="2" s="1"/>
  <c r="X562" i="2"/>
  <c r="W562" i="2"/>
  <c r="V562" i="2"/>
  <c r="T562" i="2" s="1"/>
  <c r="AJ562" i="2" s="1"/>
  <c r="A562" i="2"/>
  <c r="AF561" i="2"/>
  <c r="AE561" i="2"/>
  <c r="AD561" i="2"/>
  <c r="AG561" i="2" s="1"/>
  <c r="AB561" i="2"/>
  <c r="AA561" i="2"/>
  <c r="Z561" i="2"/>
  <c r="AC561" i="2" s="1"/>
  <c r="X561" i="2"/>
  <c r="W561" i="2"/>
  <c r="V561" i="2"/>
  <c r="AI561" i="2" s="1"/>
  <c r="T561" i="2"/>
  <c r="AJ561" i="2" s="1"/>
  <c r="A561" i="2"/>
  <c r="AF560" i="2"/>
  <c r="AE560" i="2"/>
  <c r="AD560" i="2"/>
  <c r="AG560" i="2" s="1"/>
  <c r="AB560" i="2"/>
  <c r="AA560" i="2"/>
  <c r="Z560" i="2"/>
  <c r="AC560" i="2" s="1"/>
  <c r="X560" i="2"/>
  <c r="W560" i="2"/>
  <c r="V560" i="2"/>
  <c r="AH560" i="2" s="1"/>
  <c r="A560" i="2"/>
  <c r="AF559" i="2"/>
  <c r="AE559" i="2"/>
  <c r="AD559" i="2"/>
  <c r="AG559" i="2" s="1"/>
  <c r="AC559" i="2"/>
  <c r="AB559" i="2"/>
  <c r="AA559" i="2"/>
  <c r="Z559" i="2"/>
  <c r="X559" i="2"/>
  <c r="W559" i="2"/>
  <c r="V559" i="2"/>
  <c r="AI559" i="2" s="1"/>
  <c r="A559" i="2"/>
  <c r="AF558" i="2"/>
  <c r="AE558" i="2"/>
  <c r="AD558" i="2"/>
  <c r="AG558" i="2" s="1"/>
  <c r="AB558" i="2"/>
  <c r="AA558" i="2"/>
  <c r="Z558" i="2"/>
  <c r="AC558" i="2" s="1"/>
  <c r="X558" i="2"/>
  <c r="W558" i="2"/>
  <c r="V558" i="2"/>
  <c r="AI558" i="2" s="1"/>
  <c r="A558" i="2"/>
  <c r="AF557" i="2"/>
  <c r="AE557" i="2"/>
  <c r="AD557" i="2"/>
  <c r="AG557" i="2" s="1"/>
  <c r="AB557" i="2"/>
  <c r="AA557" i="2"/>
  <c r="Z557" i="2"/>
  <c r="AC557" i="2" s="1"/>
  <c r="X557" i="2"/>
  <c r="W557" i="2"/>
  <c r="V557" i="2"/>
  <c r="AI557" i="2" s="1"/>
  <c r="A557" i="2"/>
  <c r="AG556" i="2"/>
  <c r="AF556" i="2"/>
  <c r="AE556" i="2"/>
  <c r="AD556" i="2"/>
  <c r="AB556" i="2"/>
  <c r="AA556" i="2"/>
  <c r="Z556" i="2"/>
  <c r="AC556" i="2" s="1"/>
  <c r="X556" i="2"/>
  <c r="W556" i="2"/>
  <c r="V556" i="2"/>
  <c r="AH556" i="2" s="1"/>
  <c r="A556" i="2"/>
  <c r="AF555" i="2"/>
  <c r="AE555" i="2"/>
  <c r="AD555" i="2"/>
  <c r="AG555" i="2" s="1"/>
  <c r="AB555" i="2"/>
  <c r="AA555" i="2"/>
  <c r="Z555" i="2"/>
  <c r="AC555" i="2" s="1"/>
  <c r="X555" i="2"/>
  <c r="W555" i="2"/>
  <c r="V555" i="2"/>
  <c r="AH555" i="2" s="1"/>
  <c r="A555" i="2"/>
  <c r="AF554" i="2"/>
  <c r="AE554" i="2"/>
  <c r="AD554" i="2"/>
  <c r="AG554" i="2" s="1"/>
  <c r="AB554" i="2"/>
  <c r="AA554" i="2"/>
  <c r="Z554" i="2"/>
  <c r="AC554" i="2" s="1"/>
  <c r="X554" i="2"/>
  <c r="W554" i="2"/>
  <c r="V554" i="2"/>
  <c r="T554" i="2" s="1"/>
  <c r="AJ554" i="2" s="1"/>
  <c r="A554" i="2"/>
  <c r="AG553" i="2"/>
  <c r="AF553" i="2"/>
  <c r="AE553" i="2"/>
  <c r="AD553" i="2"/>
  <c r="AB553" i="2"/>
  <c r="AA553" i="2"/>
  <c r="Z553" i="2"/>
  <c r="AC553" i="2" s="1"/>
  <c r="X553" i="2"/>
  <c r="W553" i="2"/>
  <c r="V553" i="2"/>
  <c r="AI553" i="2" s="1"/>
  <c r="A553" i="2"/>
  <c r="AF552" i="2"/>
  <c r="AE552" i="2"/>
  <c r="AD552" i="2"/>
  <c r="AG552" i="2" s="1"/>
  <c r="AB552" i="2"/>
  <c r="AA552" i="2"/>
  <c r="Z552" i="2"/>
  <c r="AC552" i="2" s="1"/>
  <c r="X552" i="2"/>
  <c r="W552" i="2"/>
  <c r="V552" i="2"/>
  <c r="AH552" i="2" s="1"/>
  <c r="A552" i="2"/>
  <c r="AF551" i="2"/>
  <c r="AE551" i="2"/>
  <c r="AD551" i="2"/>
  <c r="AG551" i="2" s="1"/>
  <c r="AB551" i="2"/>
  <c r="AA551" i="2"/>
  <c r="Z551" i="2"/>
  <c r="AC551" i="2" s="1"/>
  <c r="X551" i="2"/>
  <c r="W551" i="2"/>
  <c r="V551" i="2"/>
  <c r="T551" i="2" s="1"/>
  <c r="A551" i="2"/>
  <c r="AF550" i="2"/>
  <c r="AE550" i="2"/>
  <c r="AD550" i="2"/>
  <c r="AG550" i="2" s="1"/>
  <c r="AB550" i="2"/>
  <c r="AA550" i="2"/>
  <c r="Z550" i="2"/>
  <c r="AC550" i="2" s="1"/>
  <c r="X550" i="2"/>
  <c r="W550" i="2"/>
  <c r="V550" i="2"/>
  <c r="T550" i="2" s="1"/>
  <c r="AJ550" i="2" s="1"/>
  <c r="A550" i="2"/>
  <c r="AF549" i="2"/>
  <c r="AE549" i="2"/>
  <c r="AD549" i="2"/>
  <c r="AG549" i="2" s="1"/>
  <c r="AB549" i="2"/>
  <c r="AA549" i="2"/>
  <c r="Z549" i="2"/>
  <c r="AC549" i="2" s="1"/>
  <c r="X549" i="2"/>
  <c r="W549" i="2"/>
  <c r="V549" i="2"/>
  <c r="AI549" i="2" s="1"/>
  <c r="A549" i="2"/>
  <c r="AF548" i="2"/>
  <c r="AE548" i="2"/>
  <c r="AD548" i="2"/>
  <c r="AG548" i="2" s="1"/>
  <c r="AB548" i="2"/>
  <c r="AA548" i="2"/>
  <c r="Z548" i="2"/>
  <c r="AC548" i="2" s="1"/>
  <c r="X548" i="2"/>
  <c r="W548" i="2"/>
  <c r="V548" i="2"/>
  <c r="AH548" i="2" s="1"/>
  <c r="A548" i="2"/>
  <c r="AF547" i="2"/>
  <c r="AE547" i="2"/>
  <c r="AD547" i="2"/>
  <c r="AG547" i="2" s="1"/>
  <c r="AB547" i="2"/>
  <c r="AA547" i="2"/>
  <c r="Z547" i="2"/>
  <c r="AC547" i="2" s="1"/>
  <c r="X547" i="2"/>
  <c r="W547" i="2"/>
  <c r="V547" i="2"/>
  <c r="AH547" i="2" s="1"/>
  <c r="A547" i="2"/>
  <c r="AF546" i="2"/>
  <c r="AE546" i="2"/>
  <c r="AD546" i="2"/>
  <c r="AG546" i="2" s="1"/>
  <c r="AB546" i="2"/>
  <c r="AA546" i="2"/>
  <c r="Z546" i="2"/>
  <c r="AC546" i="2" s="1"/>
  <c r="X546" i="2"/>
  <c r="W546" i="2"/>
  <c r="V546" i="2"/>
  <c r="AH546" i="2" s="1"/>
  <c r="A546" i="2"/>
  <c r="AF545" i="2"/>
  <c r="AE545" i="2"/>
  <c r="AD545" i="2"/>
  <c r="AG545" i="2" s="1"/>
  <c r="AB545" i="2"/>
  <c r="AA545" i="2"/>
  <c r="Z545" i="2"/>
  <c r="AC545" i="2" s="1"/>
  <c r="X545" i="2"/>
  <c r="W545" i="2"/>
  <c r="V545" i="2"/>
  <c r="AH545" i="2" s="1"/>
  <c r="A545" i="2"/>
  <c r="AF544" i="2"/>
  <c r="AE544" i="2"/>
  <c r="AD544" i="2"/>
  <c r="AG544" i="2" s="1"/>
  <c r="AB544" i="2"/>
  <c r="AA544" i="2"/>
  <c r="Z544" i="2"/>
  <c r="AC544" i="2" s="1"/>
  <c r="X544" i="2"/>
  <c r="W544" i="2"/>
  <c r="V544" i="2"/>
  <c r="AH544" i="2" s="1"/>
  <c r="A544" i="2"/>
  <c r="AF543" i="2"/>
  <c r="AE543" i="2"/>
  <c r="AD543" i="2"/>
  <c r="AG543" i="2" s="1"/>
  <c r="AB543" i="2"/>
  <c r="AA543" i="2"/>
  <c r="Z543" i="2"/>
  <c r="AC543" i="2" s="1"/>
  <c r="X543" i="2"/>
  <c r="W543" i="2"/>
  <c r="V543" i="2"/>
  <c r="T543" i="2" s="1"/>
  <c r="AJ543" i="2" s="1"/>
  <c r="A543" i="2"/>
  <c r="AF542" i="2"/>
  <c r="AE542" i="2"/>
  <c r="AD542" i="2"/>
  <c r="AG542" i="2" s="1"/>
  <c r="AB542" i="2"/>
  <c r="AA542" i="2"/>
  <c r="Z542" i="2"/>
  <c r="AC542" i="2" s="1"/>
  <c r="X542" i="2"/>
  <c r="W542" i="2"/>
  <c r="V542" i="2"/>
  <c r="T542" i="2" s="1"/>
  <c r="AJ542" i="2" s="1"/>
  <c r="A542" i="2"/>
  <c r="AF541" i="2"/>
  <c r="AE541" i="2"/>
  <c r="AD541" i="2"/>
  <c r="AG541" i="2" s="1"/>
  <c r="AB541" i="2"/>
  <c r="AA541" i="2"/>
  <c r="Z541" i="2"/>
  <c r="AC541" i="2" s="1"/>
  <c r="X541" i="2"/>
  <c r="W541" i="2"/>
  <c r="V541" i="2"/>
  <c r="AH541" i="2" s="1"/>
  <c r="A541" i="2"/>
  <c r="AF540" i="2"/>
  <c r="AE540" i="2"/>
  <c r="AD540" i="2"/>
  <c r="AG540" i="2" s="1"/>
  <c r="AB540" i="2"/>
  <c r="AA540" i="2"/>
  <c r="Z540" i="2"/>
  <c r="AC540" i="2" s="1"/>
  <c r="X540" i="2"/>
  <c r="W540" i="2"/>
  <c r="V540" i="2"/>
  <c r="AH540" i="2" s="1"/>
  <c r="A540" i="2"/>
  <c r="AF539" i="2"/>
  <c r="AE539" i="2"/>
  <c r="AD539" i="2"/>
  <c r="AG539" i="2" s="1"/>
  <c r="AB539" i="2"/>
  <c r="AA539" i="2"/>
  <c r="Z539" i="2"/>
  <c r="AC539" i="2" s="1"/>
  <c r="X539" i="2"/>
  <c r="W539" i="2"/>
  <c r="V539" i="2"/>
  <c r="T539" i="2" s="1"/>
  <c r="AJ539" i="2" s="1"/>
  <c r="A539" i="2"/>
  <c r="AF538" i="2"/>
  <c r="AE538" i="2"/>
  <c r="AD538" i="2"/>
  <c r="AG538" i="2" s="1"/>
  <c r="AB538" i="2"/>
  <c r="AA538" i="2"/>
  <c r="Z538" i="2"/>
  <c r="X538" i="2"/>
  <c r="W538" i="2"/>
  <c r="V538" i="2"/>
  <c r="AH538" i="2" s="1"/>
  <c r="AF537" i="2"/>
  <c r="AE537" i="2"/>
  <c r="AD537" i="2"/>
  <c r="AG537" i="2" s="1"/>
  <c r="AB537" i="2"/>
  <c r="AA537" i="2"/>
  <c r="Z537" i="2"/>
  <c r="X537" i="2"/>
  <c r="W537" i="2"/>
  <c r="V537" i="2"/>
  <c r="AF536" i="2"/>
  <c r="AE536" i="2"/>
  <c r="AD536" i="2"/>
  <c r="AG536" i="2" s="1"/>
  <c r="AB536" i="2"/>
  <c r="AA536" i="2"/>
  <c r="Z536" i="2"/>
  <c r="X536" i="2"/>
  <c r="W536" i="2"/>
  <c r="V536" i="2"/>
  <c r="Y536" i="2" s="1"/>
  <c r="AJ536" i="2"/>
  <c r="AF535" i="2"/>
  <c r="AE535" i="2"/>
  <c r="AD535" i="2"/>
  <c r="AG535" i="2" s="1"/>
  <c r="AB535" i="2"/>
  <c r="AA535" i="2"/>
  <c r="Z535" i="2"/>
  <c r="AC535" i="2" s="1"/>
  <c r="X535" i="2"/>
  <c r="W535" i="2"/>
  <c r="V535" i="2"/>
  <c r="AI535" i="2" s="1"/>
  <c r="AJ535" i="2"/>
  <c r="AF534" i="2"/>
  <c r="AE534" i="2"/>
  <c r="AD534" i="2"/>
  <c r="AG534" i="2" s="1"/>
  <c r="AB534" i="2"/>
  <c r="AA534" i="2"/>
  <c r="Z534" i="2"/>
  <c r="AC534" i="2" s="1"/>
  <c r="X534" i="2"/>
  <c r="W534" i="2"/>
  <c r="V534" i="2"/>
  <c r="AF533" i="2"/>
  <c r="AE533" i="2"/>
  <c r="AD533" i="2"/>
  <c r="AG533" i="2" s="1"/>
  <c r="AB533" i="2"/>
  <c r="AA533" i="2"/>
  <c r="Z533" i="2"/>
  <c r="X533" i="2"/>
  <c r="W533" i="2"/>
  <c r="V533" i="2"/>
  <c r="AF532" i="2"/>
  <c r="AE532" i="2"/>
  <c r="AD532" i="2"/>
  <c r="AG532" i="2" s="1"/>
  <c r="AB532" i="2"/>
  <c r="AA532" i="2"/>
  <c r="Z532" i="2"/>
  <c r="X532" i="2"/>
  <c r="W532" i="2"/>
  <c r="V532" i="2"/>
  <c r="AH532" i="2" s="1"/>
  <c r="AF531" i="2"/>
  <c r="AE531" i="2"/>
  <c r="AD531" i="2"/>
  <c r="AG531" i="2" s="1"/>
  <c r="AB531" i="2"/>
  <c r="AA531" i="2"/>
  <c r="Z531" i="2"/>
  <c r="X531" i="2"/>
  <c r="W531" i="2"/>
  <c r="V531" i="2"/>
  <c r="AI531" i="2" s="1"/>
  <c r="AF530" i="2"/>
  <c r="AE530" i="2"/>
  <c r="AD530" i="2"/>
  <c r="AG530" i="2" s="1"/>
  <c r="AB530" i="2"/>
  <c r="AA530" i="2"/>
  <c r="Z530" i="2"/>
  <c r="AC530" i="2" s="1"/>
  <c r="X530" i="2"/>
  <c r="W530" i="2"/>
  <c r="V530" i="2"/>
  <c r="AH530" i="2" s="1"/>
  <c r="AF529" i="2"/>
  <c r="AE529" i="2"/>
  <c r="AD529" i="2"/>
  <c r="AG529" i="2" s="1"/>
  <c r="AB529" i="2"/>
  <c r="AA529" i="2"/>
  <c r="Z529" i="2"/>
  <c r="X529" i="2"/>
  <c r="W529" i="2"/>
  <c r="V529" i="2"/>
  <c r="AF528" i="2"/>
  <c r="AE528" i="2"/>
  <c r="AD528" i="2"/>
  <c r="AG528" i="2" s="1"/>
  <c r="AB528" i="2"/>
  <c r="AA528" i="2"/>
  <c r="Z528" i="2"/>
  <c r="X528" i="2"/>
  <c r="W528" i="2"/>
  <c r="V528" i="2"/>
  <c r="AF527" i="2"/>
  <c r="AE527" i="2"/>
  <c r="AD527" i="2"/>
  <c r="AG527" i="2" s="1"/>
  <c r="AB527" i="2"/>
  <c r="AA527" i="2"/>
  <c r="Z527" i="2"/>
  <c r="X527" i="2"/>
  <c r="W527" i="2"/>
  <c r="V527" i="2"/>
  <c r="AI527" i="2" s="1"/>
  <c r="AJ527" i="2"/>
  <c r="AF526" i="2"/>
  <c r="AE526" i="2"/>
  <c r="AD526" i="2"/>
  <c r="AG526" i="2" s="1"/>
  <c r="AB526" i="2"/>
  <c r="AA526" i="2"/>
  <c r="Z526" i="2"/>
  <c r="X526" i="2"/>
  <c r="W526" i="2"/>
  <c r="V526" i="2"/>
  <c r="AF525" i="2"/>
  <c r="AE525" i="2"/>
  <c r="AD525" i="2"/>
  <c r="AG525" i="2" s="1"/>
  <c r="AB525" i="2"/>
  <c r="AA525" i="2"/>
  <c r="Z525" i="2"/>
  <c r="X525" i="2"/>
  <c r="W525" i="2"/>
  <c r="V525" i="2"/>
  <c r="AF524" i="2"/>
  <c r="AE524" i="2"/>
  <c r="AD524" i="2"/>
  <c r="AG524" i="2" s="1"/>
  <c r="AB524" i="2"/>
  <c r="AA524" i="2"/>
  <c r="AC524" i="2" s="1"/>
  <c r="Z524" i="2"/>
  <c r="X524" i="2"/>
  <c r="W524" i="2"/>
  <c r="V524" i="2"/>
  <c r="Y524" i="2" s="1"/>
  <c r="AF523" i="2"/>
  <c r="AE523" i="2"/>
  <c r="AD523" i="2"/>
  <c r="AG523" i="2" s="1"/>
  <c r="AB523" i="2"/>
  <c r="AA523" i="2"/>
  <c r="Z523" i="2"/>
  <c r="AC523" i="2" s="1"/>
  <c r="X523" i="2"/>
  <c r="W523" i="2"/>
  <c r="V523" i="2"/>
  <c r="AI523" i="2" s="1"/>
  <c r="AF522" i="2"/>
  <c r="AE522" i="2"/>
  <c r="AD522" i="2"/>
  <c r="AG522" i="2" s="1"/>
  <c r="AB522" i="2"/>
  <c r="AA522" i="2"/>
  <c r="Z522" i="2"/>
  <c r="AC522" i="2" s="1"/>
  <c r="X522" i="2"/>
  <c r="W522" i="2"/>
  <c r="V522" i="2"/>
  <c r="AF521" i="2"/>
  <c r="AE521" i="2"/>
  <c r="AD521" i="2"/>
  <c r="AG521" i="2" s="1"/>
  <c r="AB521" i="2"/>
  <c r="AA521" i="2"/>
  <c r="Z521" i="2"/>
  <c r="X521" i="2"/>
  <c r="W521" i="2"/>
  <c r="V521" i="2"/>
  <c r="AF520" i="2"/>
  <c r="AE520" i="2"/>
  <c r="AD520" i="2"/>
  <c r="AG520" i="2" s="1"/>
  <c r="AB520" i="2"/>
  <c r="AA520" i="2"/>
  <c r="Z520" i="2"/>
  <c r="X520" i="2"/>
  <c r="W520" i="2"/>
  <c r="V520" i="2"/>
  <c r="AJ520" i="2"/>
  <c r="AF519" i="2"/>
  <c r="AE519" i="2"/>
  <c r="AD519" i="2"/>
  <c r="AG519" i="2" s="1"/>
  <c r="AB519" i="2"/>
  <c r="AA519" i="2"/>
  <c r="Z519" i="2"/>
  <c r="X519" i="2"/>
  <c r="W519" i="2"/>
  <c r="V519" i="2"/>
  <c r="AI519" i="2" s="1"/>
  <c r="AJ519" i="2"/>
  <c r="AF518" i="2"/>
  <c r="AE518" i="2"/>
  <c r="AD518" i="2"/>
  <c r="AG518" i="2" s="1"/>
  <c r="AB518" i="2"/>
  <c r="AA518" i="2"/>
  <c r="Z518" i="2"/>
  <c r="X518" i="2"/>
  <c r="W518" i="2"/>
  <c r="V518" i="2"/>
  <c r="AF517" i="2"/>
  <c r="AE517" i="2"/>
  <c r="AD517" i="2"/>
  <c r="AG517" i="2" s="1"/>
  <c r="AB517" i="2"/>
  <c r="AA517" i="2"/>
  <c r="Z517" i="2"/>
  <c r="X517" i="2"/>
  <c r="W517" i="2"/>
  <c r="V517" i="2"/>
  <c r="AH517" i="2" s="1"/>
  <c r="AF516" i="2"/>
  <c r="AE516" i="2"/>
  <c r="AD516" i="2"/>
  <c r="AG516" i="2" s="1"/>
  <c r="AB516" i="2"/>
  <c r="AA516" i="2"/>
  <c r="Z516" i="2"/>
  <c r="AC516" i="2" s="1"/>
  <c r="X516" i="2"/>
  <c r="W516" i="2"/>
  <c r="V516" i="2"/>
  <c r="AH516" i="2" s="1"/>
  <c r="AF515" i="2"/>
  <c r="AE515" i="2"/>
  <c r="AD515" i="2"/>
  <c r="AG515" i="2" s="1"/>
  <c r="AB515" i="2"/>
  <c r="AA515" i="2"/>
  <c r="Z515" i="2"/>
  <c r="X515" i="2"/>
  <c r="W515" i="2"/>
  <c r="V515" i="2"/>
  <c r="AF514" i="2"/>
  <c r="AE514" i="2"/>
  <c r="AD514" i="2"/>
  <c r="AG514" i="2" s="1"/>
  <c r="AB514" i="2"/>
  <c r="AA514" i="2"/>
  <c r="Z514" i="2"/>
  <c r="AC514" i="2" s="1"/>
  <c r="X514" i="2"/>
  <c r="W514" i="2"/>
  <c r="V514" i="2"/>
  <c r="AF513" i="2"/>
  <c r="AE513" i="2"/>
  <c r="AD513" i="2"/>
  <c r="AG513" i="2" s="1"/>
  <c r="AB513" i="2"/>
  <c r="AA513" i="2"/>
  <c r="Z513" i="2"/>
  <c r="X513" i="2"/>
  <c r="W513" i="2"/>
  <c r="V513" i="2"/>
  <c r="AI513" i="2" s="1"/>
  <c r="AJ513" i="2"/>
  <c r="AF512" i="2"/>
  <c r="AE512" i="2"/>
  <c r="AD512" i="2"/>
  <c r="AG512" i="2" s="1"/>
  <c r="AB512" i="2"/>
  <c r="AA512" i="2"/>
  <c r="Z512" i="2"/>
  <c r="X512" i="2"/>
  <c r="W512" i="2"/>
  <c r="V512" i="2"/>
  <c r="Y512" i="2" s="1"/>
  <c r="AF511" i="2"/>
  <c r="AE511" i="2"/>
  <c r="AD511" i="2"/>
  <c r="AG511" i="2" s="1"/>
  <c r="AB511" i="2"/>
  <c r="AA511" i="2"/>
  <c r="Z511" i="2"/>
  <c r="X511" i="2"/>
  <c r="W511" i="2"/>
  <c r="V511" i="2"/>
  <c r="AJ511" i="2"/>
  <c r="AF510" i="2"/>
  <c r="AE510" i="2"/>
  <c r="AD510" i="2"/>
  <c r="AG510" i="2" s="1"/>
  <c r="AB510" i="2"/>
  <c r="AA510" i="2"/>
  <c r="Z510" i="2"/>
  <c r="X510" i="2"/>
  <c r="W510" i="2"/>
  <c r="V510" i="2"/>
  <c r="AF509" i="2"/>
  <c r="AE509" i="2"/>
  <c r="AD509" i="2"/>
  <c r="AG509" i="2" s="1"/>
  <c r="AB509" i="2"/>
  <c r="AA509" i="2"/>
  <c r="Z509" i="2"/>
  <c r="X509" i="2"/>
  <c r="W509" i="2"/>
  <c r="V509" i="2"/>
  <c r="AH509" i="2" s="1"/>
  <c r="AF508" i="2"/>
  <c r="AE508" i="2"/>
  <c r="AD508" i="2"/>
  <c r="AG508" i="2" s="1"/>
  <c r="AB508" i="2"/>
  <c r="AA508" i="2"/>
  <c r="Z508" i="2"/>
  <c r="X508" i="2"/>
  <c r="W508" i="2"/>
  <c r="Y508" i="2" s="1"/>
  <c r="V508" i="2"/>
  <c r="AF507" i="2"/>
  <c r="AE507" i="2"/>
  <c r="AD507" i="2"/>
  <c r="AG507" i="2" s="1"/>
  <c r="AB507" i="2"/>
  <c r="AA507" i="2"/>
  <c r="Z507" i="2"/>
  <c r="X507" i="2"/>
  <c r="W507" i="2"/>
  <c r="V507" i="2"/>
  <c r="AI507" i="2" s="1"/>
  <c r="AF506" i="2"/>
  <c r="AE506" i="2"/>
  <c r="AD506" i="2"/>
  <c r="AG506" i="2" s="1"/>
  <c r="AB506" i="2"/>
  <c r="AA506" i="2"/>
  <c r="Z506" i="2"/>
  <c r="X506" i="2"/>
  <c r="W506" i="2"/>
  <c r="V506" i="2"/>
  <c r="AH506" i="2" s="1"/>
  <c r="AF505" i="2"/>
  <c r="AE505" i="2"/>
  <c r="AD505" i="2"/>
  <c r="AG505" i="2" s="1"/>
  <c r="AB505" i="2"/>
  <c r="AA505" i="2"/>
  <c r="Z505" i="2"/>
  <c r="X505" i="2"/>
  <c r="W505" i="2"/>
  <c r="V505" i="2"/>
  <c r="AF504" i="2"/>
  <c r="AE504" i="2"/>
  <c r="AD504" i="2"/>
  <c r="AG504" i="2" s="1"/>
  <c r="AB504" i="2"/>
  <c r="AA504" i="2"/>
  <c r="Z504" i="2"/>
  <c r="X504" i="2"/>
  <c r="W504" i="2"/>
  <c r="V504" i="2"/>
  <c r="AH504" i="2" s="1"/>
  <c r="AF503" i="2"/>
  <c r="AE503" i="2"/>
  <c r="AD503" i="2"/>
  <c r="AG503" i="2" s="1"/>
  <c r="AB503" i="2"/>
  <c r="AA503" i="2"/>
  <c r="Z503" i="2"/>
  <c r="AC503" i="2" s="1"/>
  <c r="X503" i="2"/>
  <c r="W503" i="2"/>
  <c r="V503" i="2"/>
  <c r="AJ503" i="2"/>
  <c r="AF502" i="2"/>
  <c r="AE502" i="2"/>
  <c r="AD502" i="2"/>
  <c r="AG502" i="2" s="1"/>
  <c r="AB502" i="2"/>
  <c r="AA502" i="2"/>
  <c r="Z502" i="2"/>
  <c r="X502" i="2"/>
  <c r="W502" i="2"/>
  <c r="V502" i="2"/>
  <c r="AH502" i="2" s="1"/>
  <c r="AF501" i="2"/>
  <c r="AE501" i="2"/>
  <c r="AD501" i="2"/>
  <c r="AG501" i="2" s="1"/>
  <c r="AB501" i="2"/>
  <c r="AA501" i="2"/>
  <c r="Z501" i="2"/>
  <c r="X501" i="2"/>
  <c r="W501" i="2"/>
  <c r="V501" i="2"/>
  <c r="AF500" i="2"/>
  <c r="AE500" i="2"/>
  <c r="AD500" i="2"/>
  <c r="AG500" i="2" s="1"/>
  <c r="AB500" i="2"/>
  <c r="AA500" i="2"/>
  <c r="Z500" i="2"/>
  <c r="X500" i="2"/>
  <c r="W500" i="2"/>
  <c r="V500" i="2"/>
  <c r="AH500" i="2" s="1"/>
  <c r="AF499" i="2"/>
  <c r="AE499" i="2"/>
  <c r="AD499" i="2"/>
  <c r="AG499" i="2" s="1"/>
  <c r="AB499" i="2"/>
  <c r="AA499" i="2"/>
  <c r="Z499" i="2"/>
  <c r="X499" i="2"/>
  <c r="W499" i="2"/>
  <c r="V499" i="2"/>
  <c r="AF498" i="2"/>
  <c r="AE498" i="2"/>
  <c r="AD498" i="2"/>
  <c r="AG498" i="2" s="1"/>
  <c r="AB498" i="2"/>
  <c r="AA498" i="2"/>
  <c r="Z498" i="2"/>
  <c r="X498" i="2"/>
  <c r="W498" i="2"/>
  <c r="V498" i="2"/>
  <c r="AH498" i="2" s="1"/>
  <c r="AF497" i="2"/>
  <c r="AE497" i="2"/>
  <c r="AD497" i="2"/>
  <c r="AG497" i="2" s="1"/>
  <c r="AB497" i="2"/>
  <c r="AA497" i="2"/>
  <c r="Z497" i="2"/>
  <c r="X497" i="2"/>
  <c r="W497" i="2"/>
  <c r="V497" i="2"/>
  <c r="AF496" i="2"/>
  <c r="AE496" i="2"/>
  <c r="AD496" i="2"/>
  <c r="AG496" i="2" s="1"/>
  <c r="AB496" i="2"/>
  <c r="AA496" i="2"/>
  <c r="Z496" i="2"/>
  <c r="X496" i="2"/>
  <c r="W496" i="2"/>
  <c r="V496" i="2"/>
  <c r="AF495" i="2"/>
  <c r="AE495" i="2"/>
  <c r="AD495" i="2"/>
  <c r="AG495" i="2" s="1"/>
  <c r="AB495" i="2"/>
  <c r="AA495" i="2"/>
  <c r="Z495" i="2"/>
  <c r="X495" i="2"/>
  <c r="W495" i="2"/>
  <c r="V495" i="2"/>
  <c r="AI495" i="2" s="1"/>
  <c r="AF494" i="2"/>
  <c r="AE494" i="2"/>
  <c r="AD494" i="2"/>
  <c r="AG494" i="2" s="1"/>
  <c r="AB494" i="2"/>
  <c r="AA494" i="2"/>
  <c r="Z494" i="2"/>
  <c r="X494" i="2"/>
  <c r="W494" i="2"/>
  <c r="V494" i="2"/>
  <c r="AF493" i="2"/>
  <c r="AE493" i="2"/>
  <c r="AD493" i="2"/>
  <c r="AG493" i="2" s="1"/>
  <c r="AB493" i="2"/>
  <c r="AA493" i="2"/>
  <c r="Z493" i="2"/>
  <c r="X493" i="2"/>
  <c r="W493" i="2"/>
  <c r="V493" i="2"/>
  <c r="AF492" i="2"/>
  <c r="AE492" i="2"/>
  <c r="AD492" i="2"/>
  <c r="AG492" i="2" s="1"/>
  <c r="AB492" i="2"/>
  <c r="AA492" i="2"/>
  <c r="Z492" i="2"/>
  <c r="X492" i="2"/>
  <c r="W492" i="2"/>
  <c r="V492" i="2"/>
  <c r="AF491" i="2"/>
  <c r="AE491" i="2"/>
  <c r="AD491" i="2"/>
  <c r="AG491" i="2" s="1"/>
  <c r="AB491" i="2"/>
  <c r="AA491" i="2"/>
  <c r="Z491" i="2"/>
  <c r="X491" i="2"/>
  <c r="W491" i="2"/>
  <c r="V491" i="2"/>
  <c r="AI491" i="2" s="1"/>
  <c r="AF490" i="2"/>
  <c r="AE490" i="2"/>
  <c r="AD490" i="2"/>
  <c r="AG490" i="2" s="1"/>
  <c r="AB490" i="2"/>
  <c r="AA490" i="2"/>
  <c r="Z490" i="2"/>
  <c r="X490" i="2"/>
  <c r="W490" i="2"/>
  <c r="V490" i="2"/>
  <c r="AF489" i="2"/>
  <c r="AE489" i="2"/>
  <c r="AD489" i="2"/>
  <c r="AG489" i="2" s="1"/>
  <c r="AB489" i="2"/>
  <c r="AA489" i="2"/>
  <c r="Z489" i="2"/>
  <c r="X489" i="2"/>
  <c r="W489" i="2"/>
  <c r="V489" i="2"/>
  <c r="AF488" i="2"/>
  <c r="AE488" i="2"/>
  <c r="AD488" i="2"/>
  <c r="AG488" i="2" s="1"/>
  <c r="AB488" i="2"/>
  <c r="AA488" i="2"/>
  <c r="Z488" i="2"/>
  <c r="X488" i="2"/>
  <c r="W488" i="2"/>
  <c r="V488" i="2"/>
  <c r="AF487" i="2"/>
  <c r="AE487" i="2"/>
  <c r="AD487" i="2"/>
  <c r="AG487" i="2" s="1"/>
  <c r="AB487" i="2"/>
  <c r="AA487" i="2"/>
  <c r="Z487" i="2"/>
  <c r="X487" i="2"/>
  <c r="W487" i="2"/>
  <c r="V487" i="2"/>
  <c r="AI487" i="2" s="1"/>
  <c r="AF486" i="2"/>
  <c r="AE486" i="2"/>
  <c r="AD486" i="2"/>
  <c r="AG486" i="2" s="1"/>
  <c r="AB486" i="2"/>
  <c r="AA486" i="2"/>
  <c r="Z486" i="2"/>
  <c r="X486" i="2"/>
  <c r="W486" i="2"/>
  <c r="V486" i="2"/>
  <c r="AF485" i="2"/>
  <c r="AE485" i="2"/>
  <c r="AD485" i="2"/>
  <c r="AG485" i="2" s="1"/>
  <c r="AB485" i="2"/>
  <c r="AA485" i="2"/>
  <c r="Z485" i="2"/>
  <c r="AC485" i="2" s="1"/>
  <c r="X485" i="2"/>
  <c r="W485" i="2"/>
  <c r="V485" i="2"/>
  <c r="AF484" i="2"/>
  <c r="AE484" i="2"/>
  <c r="AD484" i="2"/>
  <c r="AG484" i="2" s="1"/>
  <c r="AB484" i="2"/>
  <c r="AA484" i="2"/>
  <c r="Z484" i="2"/>
  <c r="X484" i="2"/>
  <c r="W484" i="2"/>
  <c r="V484" i="2"/>
  <c r="AI484" i="2" s="1"/>
  <c r="AF483" i="2"/>
  <c r="AE483" i="2"/>
  <c r="AD483" i="2"/>
  <c r="AG483" i="2" s="1"/>
  <c r="AB483" i="2"/>
  <c r="AA483" i="2"/>
  <c r="Z483" i="2"/>
  <c r="AC483" i="2" s="1"/>
  <c r="X483" i="2"/>
  <c r="W483" i="2"/>
  <c r="V483" i="2"/>
  <c r="AF482" i="2"/>
  <c r="AE482" i="2"/>
  <c r="AD482" i="2"/>
  <c r="AG482" i="2" s="1"/>
  <c r="AB482" i="2"/>
  <c r="AA482" i="2"/>
  <c r="Z482" i="2"/>
  <c r="X482" i="2"/>
  <c r="W482" i="2"/>
  <c r="V482" i="2"/>
  <c r="AI482" i="2" s="1"/>
  <c r="AF481" i="2"/>
  <c r="AE481" i="2"/>
  <c r="AD481" i="2"/>
  <c r="AG481" i="2" s="1"/>
  <c r="AB481" i="2"/>
  <c r="AA481" i="2"/>
  <c r="Z481" i="2"/>
  <c r="X481" i="2"/>
  <c r="W481" i="2"/>
  <c r="V481" i="2"/>
  <c r="AF480" i="2"/>
  <c r="AE480" i="2"/>
  <c r="AD480" i="2"/>
  <c r="AG480" i="2" s="1"/>
  <c r="AB480" i="2"/>
  <c r="AA480" i="2"/>
  <c r="Z480" i="2"/>
  <c r="X480" i="2"/>
  <c r="W480" i="2"/>
  <c r="V480" i="2"/>
  <c r="AI480" i="2" s="1"/>
  <c r="AF479" i="2"/>
  <c r="AE479" i="2"/>
  <c r="AD479" i="2"/>
  <c r="AG479" i="2" s="1"/>
  <c r="AB479" i="2"/>
  <c r="AA479" i="2"/>
  <c r="Z479" i="2"/>
  <c r="X479" i="2"/>
  <c r="W479" i="2"/>
  <c r="V479" i="2"/>
  <c r="AF478" i="2"/>
  <c r="AE478" i="2"/>
  <c r="AD478" i="2"/>
  <c r="AG478" i="2" s="1"/>
  <c r="AB478" i="2"/>
  <c r="AA478" i="2"/>
  <c r="Z478" i="2"/>
  <c r="X478" i="2"/>
  <c r="W478" i="2"/>
  <c r="V478" i="2"/>
  <c r="AF477" i="2"/>
  <c r="AE477" i="2"/>
  <c r="AD477" i="2"/>
  <c r="AG477" i="2" s="1"/>
  <c r="AB477" i="2"/>
  <c r="AA477" i="2"/>
  <c r="Z477" i="2"/>
  <c r="X477" i="2"/>
  <c r="W477" i="2"/>
  <c r="V477" i="2"/>
  <c r="AF476" i="2"/>
  <c r="AE476" i="2"/>
  <c r="AD476" i="2"/>
  <c r="AG476" i="2" s="1"/>
  <c r="AB476" i="2"/>
  <c r="AA476" i="2"/>
  <c r="Z476" i="2"/>
  <c r="X476" i="2"/>
  <c r="W476" i="2"/>
  <c r="V476" i="2"/>
  <c r="AF475" i="2"/>
  <c r="AE475" i="2"/>
  <c r="AD475" i="2"/>
  <c r="AG475" i="2" s="1"/>
  <c r="AB475" i="2"/>
  <c r="AA475" i="2"/>
  <c r="Z475" i="2"/>
  <c r="X475" i="2"/>
  <c r="W475" i="2"/>
  <c r="V475" i="2"/>
  <c r="AF474" i="2"/>
  <c r="AE474" i="2"/>
  <c r="AD474" i="2"/>
  <c r="AG474" i="2" s="1"/>
  <c r="AB474" i="2"/>
  <c r="AA474" i="2"/>
  <c r="Z474" i="2"/>
  <c r="X474" i="2"/>
  <c r="W474" i="2"/>
  <c r="V474" i="2"/>
  <c r="AF473" i="2"/>
  <c r="AE473" i="2"/>
  <c r="AD473" i="2"/>
  <c r="AG473" i="2" s="1"/>
  <c r="AB473" i="2"/>
  <c r="AA473" i="2"/>
  <c r="Z473" i="2"/>
  <c r="X473" i="2"/>
  <c r="W473" i="2"/>
  <c r="V473" i="2"/>
  <c r="AF472" i="2"/>
  <c r="AE472" i="2"/>
  <c r="AD472" i="2"/>
  <c r="AG472" i="2" s="1"/>
  <c r="AB472" i="2"/>
  <c r="AA472" i="2"/>
  <c r="Z472" i="2"/>
  <c r="X472" i="2"/>
  <c r="W472" i="2"/>
  <c r="V472" i="2"/>
  <c r="AI472" i="2" s="1"/>
  <c r="AF471" i="2"/>
  <c r="AE471" i="2"/>
  <c r="AD471" i="2"/>
  <c r="AG471" i="2" s="1"/>
  <c r="AB471" i="2"/>
  <c r="AA471" i="2"/>
  <c r="Z471" i="2"/>
  <c r="X471" i="2"/>
  <c r="W471" i="2"/>
  <c r="V471" i="2"/>
  <c r="AI471" i="2" s="1"/>
  <c r="AF470" i="2"/>
  <c r="AE470" i="2"/>
  <c r="AD470" i="2"/>
  <c r="AG470" i="2" s="1"/>
  <c r="AB470" i="2"/>
  <c r="AA470" i="2"/>
  <c r="Z470" i="2"/>
  <c r="X470" i="2"/>
  <c r="W470" i="2"/>
  <c r="V470" i="2"/>
  <c r="AF469" i="2"/>
  <c r="AE469" i="2"/>
  <c r="AD469" i="2"/>
  <c r="AG469" i="2" s="1"/>
  <c r="AB469" i="2"/>
  <c r="AA469" i="2"/>
  <c r="Z469" i="2"/>
  <c r="X469" i="2"/>
  <c r="W469" i="2"/>
  <c r="V469" i="2"/>
  <c r="AF468" i="2"/>
  <c r="AE468" i="2"/>
  <c r="AD468" i="2"/>
  <c r="AG468" i="2" s="1"/>
  <c r="AB468" i="2"/>
  <c r="AA468" i="2"/>
  <c r="Z468" i="2"/>
  <c r="X468" i="2"/>
  <c r="W468" i="2"/>
  <c r="V468" i="2"/>
  <c r="AI468" i="2" s="1"/>
  <c r="AF467" i="2"/>
  <c r="AE467" i="2"/>
  <c r="AD467" i="2"/>
  <c r="AG467" i="2" s="1"/>
  <c r="AB467" i="2"/>
  <c r="AA467" i="2"/>
  <c r="Z467" i="2"/>
  <c r="X467" i="2"/>
  <c r="W467" i="2"/>
  <c r="V467" i="2"/>
  <c r="AI467" i="2" s="1"/>
  <c r="AF466" i="2"/>
  <c r="AE466" i="2"/>
  <c r="AD466" i="2"/>
  <c r="AG466" i="2" s="1"/>
  <c r="AB466" i="2"/>
  <c r="AA466" i="2"/>
  <c r="Z466" i="2"/>
  <c r="X466" i="2"/>
  <c r="W466" i="2"/>
  <c r="V466" i="2"/>
  <c r="AI466" i="2" s="1"/>
  <c r="AF465" i="2"/>
  <c r="AE465" i="2"/>
  <c r="AD465" i="2"/>
  <c r="AG465" i="2" s="1"/>
  <c r="AB465" i="2"/>
  <c r="AA465" i="2"/>
  <c r="Z465" i="2"/>
  <c r="X465" i="2"/>
  <c r="W465" i="2"/>
  <c r="V465" i="2"/>
  <c r="AF464" i="2"/>
  <c r="AE464" i="2"/>
  <c r="AD464" i="2"/>
  <c r="AG464" i="2" s="1"/>
  <c r="AB464" i="2"/>
  <c r="AA464" i="2"/>
  <c r="Z464" i="2"/>
  <c r="AC464" i="2" s="1"/>
  <c r="X464" i="2"/>
  <c r="W464" i="2"/>
  <c r="V464" i="2"/>
  <c r="AF463" i="2"/>
  <c r="AE463" i="2"/>
  <c r="AD463" i="2"/>
  <c r="AG463" i="2" s="1"/>
  <c r="AB463" i="2"/>
  <c r="AA463" i="2"/>
  <c r="Z463" i="2"/>
  <c r="X463" i="2"/>
  <c r="W463" i="2"/>
  <c r="V463" i="2"/>
  <c r="AI463" i="2" s="1"/>
  <c r="AF462" i="2"/>
  <c r="AE462" i="2"/>
  <c r="AD462" i="2"/>
  <c r="AG462" i="2" s="1"/>
  <c r="AB462" i="2"/>
  <c r="AA462" i="2"/>
  <c r="Z462" i="2"/>
  <c r="X462" i="2"/>
  <c r="W462" i="2"/>
  <c r="V462" i="2"/>
  <c r="AF461" i="2"/>
  <c r="AE461" i="2"/>
  <c r="AD461" i="2"/>
  <c r="AG461" i="2" s="1"/>
  <c r="AB461" i="2"/>
  <c r="AA461" i="2"/>
  <c r="Z461" i="2"/>
  <c r="X461" i="2"/>
  <c r="W461" i="2"/>
  <c r="V461" i="2"/>
  <c r="AF460" i="2"/>
  <c r="AE460" i="2"/>
  <c r="AD460" i="2"/>
  <c r="AG460" i="2" s="1"/>
  <c r="AB460" i="2"/>
  <c r="AA460" i="2"/>
  <c r="Z460" i="2"/>
  <c r="X460" i="2"/>
  <c r="W460" i="2"/>
  <c r="V460" i="2"/>
  <c r="AI460" i="2" s="1"/>
  <c r="AF459" i="2"/>
  <c r="AE459" i="2"/>
  <c r="AD459" i="2"/>
  <c r="AG459" i="2" s="1"/>
  <c r="AB459" i="2"/>
  <c r="AA459" i="2"/>
  <c r="Z459" i="2"/>
  <c r="X459" i="2"/>
  <c r="W459" i="2"/>
  <c r="V459" i="2"/>
  <c r="AI459" i="2" s="1"/>
  <c r="AF458" i="2"/>
  <c r="AE458" i="2"/>
  <c r="AD458" i="2"/>
  <c r="AG458" i="2" s="1"/>
  <c r="AB458" i="2"/>
  <c r="AA458" i="2"/>
  <c r="Z458" i="2"/>
  <c r="X458" i="2"/>
  <c r="W458" i="2"/>
  <c r="V458" i="2"/>
  <c r="AI458" i="2" s="1"/>
  <c r="AF457" i="2"/>
  <c r="AE457" i="2"/>
  <c r="AD457" i="2"/>
  <c r="AG457" i="2" s="1"/>
  <c r="AB457" i="2"/>
  <c r="AA457" i="2"/>
  <c r="Z457" i="2"/>
  <c r="X457" i="2"/>
  <c r="W457" i="2"/>
  <c r="V457" i="2"/>
  <c r="AF456" i="2"/>
  <c r="AE456" i="2"/>
  <c r="AD456" i="2"/>
  <c r="AG456" i="2" s="1"/>
  <c r="AB456" i="2"/>
  <c r="AA456" i="2"/>
  <c r="Z456" i="2"/>
  <c r="AC456" i="2" s="1"/>
  <c r="X456" i="2"/>
  <c r="W456" i="2"/>
  <c r="V456" i="2"/>
  <c r="AJ456" i="2"/>
  <c r="AF455" i="2"/>
  <c r="AE455" i="2"/>
  <c r="AD455" i="2"/>
  <c r="AG455" i="2" s="1"/>
  <c r="AB455" i="2"/>
  <c r="AA455" i="2"/>
  <c r="Z455" i="2"/>
  <c r="X455" i="2"/>
  <c r="W455" i="2"/>
  <c r="V455" i="2"/>
  <c r="AI455" i="2" s="1"/>
  <c r="AF454" i="2"/>
  <c r="AE454" i="2"/>
  <c r="AD454" i="2"/>
  <c r="AG454" i="2" s="1"/>
  <c r="AB454" i="2"/>
  <c r="AA454" i="2"/>
  <c r="Z454" i="2"/>
  <c r="X454" i="2"/>
  <c r="W454" i="2"/>
  <c r="V454" i="2"/>
  <c r="AF453" i="2"/>
  <c r="AE453" i="2"/>
  <c r="AD453" i="2"/>
  <c r="AG453" i="2" s="1"/>
  <c r="AB453" i="2"/>
  <c r="AA453" i="2"/>
  <c r="Z453" i="2"/>
  <c r="X453" i="2"/>
  <c r="W453" i="2"/>
  <c r="V453" i="2"/>
  <c r="AF452" i="2"/>
  <c r="AE452" i="2"/>
  <c r="AD452" i="2"/>
  <c r="AG452" i="2" s="1"/>
  <c r="AB452" i="2"/>
  <c r="AA452" i="2"/>
  <c r="Z452" i="2"/>
  <c r="AC452" i="2" s="1"/>
  <c r="X452" i="2"/>
  <c r="W452" i="2"/>
  <c r="V452" i="2"/>
  <c r="AF451" i="2"/>
  <c r="AE451" i="2"/>
  <c r="AD451" i="2"/>
  <c r="AG451" i="2" s="1"/>
  <c r="AB451" i="2"/>
  <c r="AA451" i="2"/>
  <c r="Z451" i="2"/>
  <c r="X451" i="2"/>
  <c r="W451" i="2"/>
  <c r="V451" i="2"/>
  <c r="AF450" i="2"/>
  <c r="AE450" i="2"/>
  <c r="AD450" i="2"/>
  <c r="AG450" i="2" s="1"/>
  <c r="AB450" i="2"/>
  <c r="AA450" i="2"/>
  <c r="Z450" i="2"/>
  <c r="X450" i="2"/>
  <c r="W450" i="2"/>
  <c r="V450" i="2"/>
  <c r="AF449" i="2"/>
  <c r="AE449" i="2"/>
  <c r="AD449" i="2"/>
  <c r="AG449" i="2" s="1"/>
  <c r="AB449" i="2"/>
  <c r="AA449" i="2"/>
  <c r="Z449" i="2"/>
  <c r="AC449" i="2" s="1"/>
  <c r="X449" i="2"/>
  <c r="W449" i="2"/>
  <c r="V449" i="2"/>
  <c r="AF448" i="2"/>
  <c r="AE448" i="2"/>
  <c r="AD448" i="2"/>
  <c r="AG448" i="2" s="1"/>
  <c r="AB448" i="2"/>
  <c r="AA448" i="2"/>
  <c r="Z448" i="2"/>
  <c r="AC448" i="2" s="1"/>
  <c r="X448" i="2"/>
  <c r="W448" i="2"/>
  <c r="V448" i="2"/>
  <c r="AF447" i="2"/>
  <c r="AE447" i="2"/>
  <c r="AD447" i="2"/>
  <c r="AG447" i="2" s="1"/>
  <c r="AB447" i="2"/>
  <c r="AA447" i="2"/>
  <c r="Z447" i="2"/>
  <c r="X447" i="2"/>
  <c r="W447" i="2"/>
  <c r="V447" i="2"/>
  <c r="AF446" i="2"/>
  <c r="AE446" i="2"/>
  <c r="AD446" i="2"/>
  <c r="AG446" i="2" s="1"/>
  <c r="AB446" i="2"/>
  <c r="AA446" i="2"/>
  <c r="Z446" i="2"/>
  <c r="X446" i="2"/>
  <c r="W446" i="2"/>
  <c r="V446" i="2"/>
  <c r="AF445" i="2"/>
  <c r="AE445" i="2"/>
  <c r="AD445" i="2"/>
  <c r="AG445" i="2" s="1"/>
  <c r="AB445" i="2"/>
  <c r="AA445" i="2"/>
  <c r="Z445" i="2"/>
  <c r="AC445" i="2" s="1"/>
  <c r="X445" i="2"/>
  <c r="W445" i="2"/>
  <c r="V445" i="2"/>
  <c r="AF444" i="2"/>
  <c r="AE444" i="2"/>
  <c r="AD444" i="2"/>
  <c r="AG444" i="2" s="1"/>
  <c r="AB444" i="2"/>
  <c r="AA444" i="2"/>
  <c r="Z444" i="2"/>
  <c r="X444" i="2"/>
  <c r="W444" i="2"/>
  <c r="V444" i="2"/>
  <c r="AI444" i="2" s="1"/>
  <c r="AF443" i="2"/>
  <c r="AE443" i="2"/>
  <c r="AD443" i="2"/>
  <c r="AG443" i="2" s="1"/>
  <c r="AB443" i="2"/>
  <c r="AA443" i="2"/>
  <c r="Z443" i="2"/>
  <c r="X443" i="2"/>
  <c r="W443" i="2"/>
  <c r="V443" i="2"/>
  <c r="AF442" i="2"/>
  <c r="AE442" i="2"/>
  <c r="AD442" i="2"/>
  <c r="AG442" i="2" s="1"/>
  <c r="AB442" i="2"/>
  <c r="AA442" i="2"/>
  <c r="Z442" i="2"/>
  <c r="X442" i="2"/>
  <c r="W442" i="2"/>
  <c r="V442" i="2"/>
  <c r="AF441" i="2"/>
  <c r="AE441" i="2"/>
  <c r="AD441" i="2"/>
  <c r="AG441" i="2" s="1"/>
  <c r="AB441" i="2"/>
  <c r="AA441" i="2"/>
  <c r="Z441" i="2"/>
  <c r="AC441" i="2" s="1"/>
  <c r="X441" i="2"/>
  <c r="W441" i="2"/>
  <c r="V441" i="2"/>
  <c r="AF440" i="2"/>
  <c r="AE440" i="2"/>
  <c r="AD440" i="2"/>
  <c r="AG440" i="2" s="1"/>
  <c r="AB440" i="2"/>
  <c r="AA440" i="2"/>
  <c r="Z440" i="2"/>
  <c r="AC440" i="2" s="1"/>
  <c r="X440" i="2"/>
  <c r="W440" i="2"/>
  <c r="V440" i="2"/>
  <c r="AF439" i="2"/>
  <c r="AE439" i="2"/>
  <c r="AD439" i="2"/>
  <c r="AG439" i="2" s="1"/>
  <c r="AB439" i="2"/>
  <c r="AA439" i="2"/>
  <c r="Z439" i="2"/>
  <c r="X439" i="2"/>
  <c r="W439" i="2"/>
  <c r="V439" i="2"/>
  <c r="AF438" i="2"/>
  <c r="AE438" i="2"/>
  <c r="AD438" i="2"/>
  <c r="AG438" i="2" s="1"/>
  <c r="AB438" i="2"/>
  <c r="AA438" i="2"/>
  <c r="Z438" i="2"/>
  <c r="X438" i="2"/>
  <c r="W438" i="2"/>
  <c r="V438" i="2"/>
  <c r="AF437" i="2"/>
  <c r="AE437" i="2"/>
  <c r="AD437" i="2"/>
  <c r="AG437" i="2" s="1"/>
  <c r="AB437" i="2"/>
  <c r="AA437" i="2"/>
  <c r="Z437" i="2"/>
  <c r="AC437" i="2" s="1"/>
  <c r="X437" i="2"/>
  <c r="W437" i="2"/>
  <c r="V437" i="2"/>
  <c r="AF436" i="2"/>
  <c r="AE436" i="2"/>
  <c r="AD436" i="2"/>
  <c r="AG436" i="2" s="1"/>
  <c r="AB436" i="2"/>
  <c r="AA436" i="2"/>
  <c r="Z436" i="2"/>
  <c r="X436" i="2"/>
  <c r="W436" i="2"/>
  <c r="V436" i="2"/>
  <c r="AI436" i="2" s="1"/>
  <c r="AF435" i="2"/>
  <c r="AE435" i="2"/>
  <c r="AD435" i="2"/>
  <c r="AG435" i="2" s="1"/>
  <c r="AB435" i="2"/>
  <c r="AA435" i="2"/>
  <c r="Z435" i="2"/>
  <c r="X435" i="2"/>
  <c r="W435" i="2"/>
  <c r="V435" i="2"/>
  <c r="AI435" i="2" s="1"/>
  <c r="AF434" i="2"/>
  <c r="AE434" i="2"/>
  <c r="AD434" i="2"/>
  <c r="AG434" i="2" s="1"/>
  <c r="AB434" i="2"/>
  <c r="AA434" i="2"/>
  <c r="Z434" i="2"/>
  <c r="X434" i="2"/>
  <c r="W434" i="2"/>
  <c r="V434" i="2"/>
  <c r="AF433" i="2"/>
  <c r="AE433" i="2"/>
  <c r="AD433" i="2"/>
  <c r="AG433" i="2" s="1"/>
  <c r="AB433" i="2"/>
  <c r="AA433" i="2"/>
  <c r="Z433" i="2"/>
  <c r="X433" i="2"/>
  <c r="W433" i="2"/>
  <c r="V433" i="2"/>
  <c r="AF432" i="2"/>
  <c r="AE432" i="2"/>
  <c r="AD432" i="2"/>
  <c r="AG432" i="2" s="1"/>
  <c r="AB432" i="2"/>
  <c r="AA432" i="2"/>
  <c r="Z432" i="2"/>
  <c r="X432" i="2"/>
  <c r="W432" i="2"/>
  <c r="V432" i="2"/>
  <c r="AI432" i="2" s="1"/>
  <c r="AF431" i="2"/>
  <c r="AE431" i="2"/>
  <c r="AD431" i="2"/>
  <c r="AG431" i="2" s="1"/>
  <c r="AB431" i="2"/>
  <c r="AA431" i="2"/>
  <c r="Z431" i="2"/>
  <c r="X431" i="2"/>
  <c r="W431" i="2"/>
  <c r="V431" i="2"/>
  <c r="AF430" i="2"/>
  <c r="AE430" i="2"/>
  <c r="AD430" i="2"/>
  <c r="AG430" i="2" s="1"/>
  <c r="AB430" i="2"/>
  <c r="AA430" i="2"/>
  <c r="Z430" i="2"/>
  <c r="X430" i="2"/>
  <c r="W430" i="2"/>
  <c r="V430" i="2"/>
  <c r="AH430" i="2" s="1"/>
  <c r="AF429" i="2"/>
  <c r="AE429" i="2"/>
  <c r="AD429" i="2"/>
  <c r="AG429" i="2" s="1"/>
  <c r="AB429" i="2"/>
  <c r="AA429" i="2"/>
  <c r="Z429" i="2"/>
  <c r="X429" i="2"/>
  <c r="W429" i="2"/>
  <c r="V429" i="2"/>
  <c r="AF428" i="2"/>
  <c r="AE428" i="2"/>
  <c r="AD428" i="2"/>
  <c r="AG428" i="2" s="1"/>
  <c r="AB428" i="2"/>
  <c r="AA428" i="2"/>
  <c r="Z428" i="2"/>
  <c r="AC428" i="2" s="1"/>
  <c r="X428" i="2"/>
  <c r="W428" i="2"/>
  <c r="V428" i="2"/>
  <c r="AF427" i="2"/>
  <c r="AE427" i="2"/>
  <c r="AD427" i="2"/>
  <c r="AG427" i="2" s="1"/>
  <c r="AB427" i="2"/>
  <c r="AA427" i="2"/>
  <c r="Z427" i="2"/>
  <c r="X427" i="2"/>
  <c r="W427" i="2"/>
  <c r="V427" i="2"/>
  <c r="AF426" i="2"/>
  <c r="AE426" i="2"/>
  <c r="AD426" i="2"/>
  <c r="AG426" i="2" s="1"/>
  <c r="AB426" i="2"/>
  <c r="AA426" i="2"/>
  <c r="Z426" i="2"/>
  <c r="X426" i="2"/>
  <c r="W426" i="2"/>
  <c r="V426" i="2"/>
  <c r="Y426" i="2" s="1"/>
  <c r="AF425" i="2"/>
  <c r="AE425" i="2"/>
  <c r="AD425" i="2"/>
  <c r="AG425" i="2" s="1"/>
  <c r="AB425" i="2"/>
  <c r="AA425" i="2"/>
  <c r="Z425" i="2"/>
  <c r="X425" i="2"/>
  <c r="W425" i="2"/>
  <c r="V425" i="2"/>
  <c r="AF424" i="2"/>
  <c r="AE424" i="2"/>
  <c r="AD424" i="2"/>
  <c r="AG424" i="2" s="1"/>
  <c r="AB424" i="2"/>
  <c r="AA424" i="2"/>
  <c r="Z424" i="2"/>
  <c r="X424" i="2"/>
  <c r="W424" i="2"/>
  <c r="V424" i="2"/>
  <c r="AF423" i="2"/>
  <c r="AE423" i="2"/>
  <c r="AD423" i="2"/>
  <c r="AG423" i="2" s="1"/>
  <c r="AB423" i="2"/>
  <c r="AA423" i="2"/>
  <c r="Z423" i="2"/>
  <c r="X423" i="2"/>
  <c r="W423" i="2"/>
  <c r="V423" i="2"/>
  <c r="AI423" i="2" s="1"/>
  <c r="AF422" i="2"/>
  <c r="AE422" i="2"/>
  <c r="AD422" i="2"/>
  <c r="AG422" i="2" s="1"/>
  <c r="AB422" i="2"/>
  <c r="AA422" i="2"/>
  <c r="Z422" i="2"/>
  <c r="X422" i="2"/>
  <c r="W422" i="2"/>
  <c r="V422" i="2"/>
  <c r="AF421" i="2"/>
  <c r="AE421" i="2"/>
  <c r="AD421" i="2"/>
  <c r="AG421" i="2" s="1"/>
  <c r="AB421" i="2"/>
  <c r="AA421" i="2"/>
  <c r="Z421" i="2"/>
  <c r="X421" i="2"/>
  <c r="W421" i="2"/>
  <c r="V421" i="2"/>
  <c r="AF420" i="2"/>
  <c r="AE420" i="2"/>
  <c r="AD420" i="2"/>
  <c r="AG420" i="2" s="1"/>
  <c r="AB420" i="2"/>
  <c r="AA420" i="2"/>
  <c r="Z420" i="2"/>
  <c r="X420" i="2"/>
  <c r="W420" i="2"/>
  <c r="V420" i="2"/>
  <c r="AF419" i="2"/>
  <c r="AE419" i="2"/>
  <c r="AD419" i="2"/>
  <c r="AG419" i="2" s="1"/>
  <c r="AB419" i="2"/>
  <c r="AA419" i="2"/>
  <c r="Z419" i="2"/>
  <c r="X419" i="2"/>
  <c r="W419" i="2"/>
  <c r="V419" i="2"/>
  <c r="AF418" i="2"/>
  <c r="AE418" i="2"/>
  <c r="AD418" i="2"/>
  <c r="AG418" i="2" s="1"/>
  <c r="AB418" i="2"/>
  <c r="AA418" i="2"/>
  <c r="Z418" i="2"/>
  <c r="X418" i="2"/>
  <c r="W418" i="2"/>
  <c r="V418" i="2"/>
  <c r="AF417" i="2"/>
  <c r="AE417" i="2"/>
  <c r="AD417" i="2"/>
  <c r="AG417" i="2" s="1"/>
  <c r="AB417" i="2"/>
  <c r="AA417" i="2"/>
  <c r="Z417" i="2"/>
  <c r="X417" i="2"/>
  <c r="W417" i="2"/>
  <c r="V417" i="2"/>
  <c r="AF416" i="2"/>
  <c r="AE416" i="2"/>
  <c r="AD416" i="2"/>
  <c r="AG416" i="2" s="1"/>
  <c r="AB416" i="2"/>
  <c r="AA416" i="2"/>
  <c r="Z416" i="2"/>
  <c r="X416" i="2"/>
  <c r="W416" i="2"/>
  <c r="V416" i="2"/>
  <c r="AF415" i="2"/>
  <c r="AE415" i="2"/>
  <c r="AD415" i="2"/>
  <c r="AG415" i="2" s="1"/>
  <c r="AB415" i="2"/>
  <c r="AA415" i="2"/>
  <c r="Z415" i="2"/>
  <c r="X415" i="2"/>
  <c r="W415" i="2"/>
  <c r="V415" i="2"/>
  <c r="AF414" i="2"/>
  <c r="AE414" i="2"/>
  <c r="AD414" i="2"/>
  <c r="AG414" i="2" s="1"/>
  <c r="AB414" i="2"/>
  <c r="AA414" i="2"/>
  <c r="Z414" i="2"/>
  <c r="X414" i="2"/>
  <c r="W414" i="2"/>
  <c r="V414" i="2"/>
  <c r="AI414" i="2" s="1"/>
  <c r="AF413" i="2"/>
  <c r="AE413" i="2"/>
  <c r="AD413" i="2"/>
  <c r="AG413" i="2" s="1"/>
  <c r="AB413" i="2"/>
  <c r="AA413" i="2"/>
  <c r="Z413" i="2"/>
  <c r="X413" i="2"/>
  <c r="W413" i="2"/>
  <c r="V413" i="2"/>
  <c r="AF412" i="2"/>
  <c r="AE412" i="2"/>
  <c r="AD412" i="2"/>
  <c r="AG412" i="2" s="1"/>
  <c r="AB412" i="2"/>
  <c r="AA412" i="2"/>
  <c r="Z412" i="2"/>
  <c r="AC412" i="2" s="1"/>
  <c r="X412" i="2"/>
  <c r="W412" i="2"/>
  <c r="V412" i="2"/>
  <c r="AF411" i="2"/>
  <c r="AE411" i="2"/>
  <c r="AD411" i="2"/>
  <c r="AG411" i="2" s="1"/>
  <c r="AB411" i="2"/>
  <c r="AA411" i="2"/>
  <c r="Z411" i="2"/>
  <c r="X411" i="2"/>
  <c r="W411" i="2"/>
  <c r="V411" i="2"/>
  <c r="AF410" i="2"/>
  <c r="AE410" i="2"/>
  <c r="AD410" i="2"/>
  <c r="AG410" i="2" s="1"/>
  <c r="AB410" i="2"/>
  <c r="AA410" i="2"/>
  <c r="Z410" i="2"/>
  <c r="X410" i="2"/>
  <c r="W410" i="2"/>
  <c r="V410" i="2"/>
  <c r="AF409" i="2"/>
  <c r="AE409" i="2"/>
  <c r="AD409" i="2"/>
  <c r="AG409" i="2" s="1"/>
  <c r="AB409" i="2"/>
  <c r="AA409" i="2"/>
  <c r="Z409" i="2"/>
  <c r="X409" i="2"/>
  <c r="W409" i="2"/>
  <c r="V409" i="2"/>
  <c r="AF408" i="2"/>
  <c r="AE408" i="2"/>
  <c r="AD408" i="2"/>
  <c r="AG408" i="2" s="1"/>
  <c r="AB408" i="2"/>
  <c r="AA408" i="2"/>
  <c r="Z408" i="2"/>
  <c r="X408" i="2"/>
  <c r="W408" i="2"/>
  <c r="V408" i="2"/>
  <c r="AH408" i="2" s="1"/>
  <c r="AJ407" i="2"/>
  <c r="AF407" i="2"/>
  <c r="AE407" i="2"/>
  <c r="AD407" i="2"/>
  <c r="AG407" i="2" s="1"/>
  <c r="AB407" i="2"/>
  <c r="AA407" i="2"/>
  <c r="Z407" i="2"/>
  <c r="X407" i="2"/>
  <c r="W407" i="2"/>
  <c r="V407" i="2"/>
  <c r="AF406" i="2"/>
  <c r="AE406" i="2"/>
  <c r="AD406" i="2"/>
  <c r="AG406" i="2" s="1"/>
  <c r="AB406" i="2"/>
  <c r="AA406" i="2"/>
  <c r="Z406" i="2"/>
  <c r="X406" i="2"/>
  <c r="W406" i="2"/>
  <c r="V406" i="2"/>
  <c r="AI406" i="2" s="1"/>
  <c r="AF405" i="2"/>
  <c r="AE405" i="2"/>
  <c r="AD405" i="2"/>
  <c r="AG405" i="2" s="1"/>
  <c r="AB405" i="2"/>
  <c r="AA405" i="2"/>
  <c r="Z405" i="2"/>
  <c r="X405" i="2"/>
  <c r="W405" i="2"/>
  <c r="V405" i="2"/>
  <c r="AF404" i="2"/>
  <c r="AE404" i="2"/>
  <c r="AD404" i="2"/>
  <c r="AG404" i="2" s="1"/>
  <c r="AB404" i="2"/>
  <c r="AA404" i="2"/>
  <c r="Z404" i="2"/>
  <c r="X404" i="2"/>
  <c r="W404" i="2"/>
  <c r="V404" i="2"/>
  <c r="AF403" i="2"/>
  <c r="AE403" i="2"/>
  <c r="AD403" i="2"/>
  <c r="AG403" i="2" s="1"/>
  <c r="AB403" i="2"/>
  <c r="AA403" i="2"/>
  <c r="Z403" i="2"/>
  <c r="AC403" i="2" s="1"/>
  <c r="X403" i="2"/>
  <c r="W403" i="2"/>
  <c r="V403" i="2"/>
  <c r="AF402" i="2"/>
  <c r="AE402" i="2"/>
  <c r="AD402" i="2"/>
  <c r="AG402" i="2" s="1"/>
  <c r="AB402" i="2"/>
  <c r="AA402" i="2"/>
  <c r="Z402" i="2"/>
  <c r="X402" i="2"/>
  <c r="W402" i="2"/>
  <c r="V402" i="2"/>
  <c r="AI402" i="2" s="1"/>
  <c r="AF401" i="2"/>
  <c r="AE401" i="2"/>
  <c r="AD401" i="2"/>
  <c r="AG401" i="2" s="1"/>
  <c r="AB401" i="2"/>
  <c r="AA401" i="2"/>
  <c r="Z401" i="2"/>
  <c r="X401" i="2"/>
  <c r="W401" i="2"/>
  <c r="V401" i="2"/>
  <c r="AI401" i="2" s="1"/>
  <c r="AF400" i="2"/>
  <c r="AE400" i="2"/>
  <c r="AD400" i="2"/>
  <c r="AG400" i="2" s="1"/>
  <c r="AB400" i="2"/>
  <c r="AA400" i="2"/>
  <c r="Z400" i="2"/>
  <c r="X400" i="2"/>
  <c r="W400" i="2"/>
  <c r="V400" i="2"/>
  <c r="AJ399" i="2"/>
  <c r="AF399" i="2"/>
  <c r="AE399" i="2"/>
  <c r="AD399" i="2"/>
  <c r="AG399" i="2" s="1"/>
  <c r="AB399" i="2"/>
  <c r="AA399" i="2"/>
  <c r="Z399" i="2"/>
  <c r="X399" i="2"/>
  <c r="W399" i="2"/>
  <c r="V399" i="2"/>
  <c r="AF398" i="2"/>
  <c r="AE398" i="2"/>
  <c r="AD398" i="2"/>
  <c r="AG398" i="2" s="1"/>
  <c r="AB398" i="2"/>
  <c r="AA398" i="2"/>
  <c r="Z398" i="2"/>
  <c r="X398" i="2"/>
  <c r="W398" i="2"/>
  <c r="V398" i="2"/>
  <c r="AF397" i="2"/>
  <c r="AE397" i="2"/>
  <c r="AD397" i="2"/>
  <c r="AG397" i="2" s="1"/>
  <c r="AB397" i="2"/>
  <c r="AA397" i="2"/>
  <c r="Z397" i="2"/>
  <c r="X397" i="2"/>
  <c r="W397" i="2"/>
  <c r="V397" i="2"/>
  <c r="AI397" i="2" s="1"/>
  <c r="AF396" i="2"/>
  <c r="AE396" i="2"/>
  <c r="AD396" i="2"/>
  <c r="AG396" i="2" s="1"/>
  <c r="AB396" i="2"/>
  <c r="AA396" i="2"/>
  <c r="Z396" i="2"/>
  <c r="X396" i="2"/>
  <c r="W396" i="2"/>
  <c r="V396" i="2"/>
  <c r="AF395" i="2"/>
  <c r="AE395" i="2"/>
  <c r="AD395" i="2"/>
  <c r="AG395" i="2" s="1"/>
  <c r="AB395" i="2"/>
  <c r="AA395" i="2"/>
  <c r="Z395" i="2"/>
  <c r="X395" i="2"/>
  <c r="W395" i="2"/>
  <c r="V395" i="2"/>
  <c r="AF394" i="2"/>
  <c r="AE394" i="2"/>
  <c r="AD394" i="2"/>
  <c r="AG394" i="2" s="1"/>
  <c r="AB394" i="2"/>
  <c r="AA394" i="2"/>
  <c r="Z394" i="2"/>
  <c r="X394" i="2"/>
  <c r="W394" i="2"/>
  <c r="V394" i="2"/>
  <c r="AI394" i="2" s="1"/>
  <c r="AF393" i="2"/>
  <c r="AE393" i="2"/>
  <c r="AD393" i="2"/>
  <c r="AG393" i="2" s="1"/>
  <c r="AB393" i="2"/>
  <c r="AA393" i="2"/>
  <c r="Z393" i="2"/>
  <c r="X393" i="2"/>
  <c r="W393" i="2"/>
  <c r="V393" i="2"/>
  <c r="AI393" i="2" s="1"/>
  <c r="AF392" i="2"/>
  <c r="AE392" i="2"/>
  <c r="AD392" i="2"/>
  <c r="AG392" i="2" s="1"/>
  <c r="AB392" i="2"/>
  <c r="AA392" i="2"/>
  <c r="Z392" i="2"/>
  <c r="AC392" i="2" s="1"/>
  <c r="X392" i="2"/>
  <c r="W392" i="2"/>
  <c r="V392" i="2"/>
  <c r="AF391" i="2"/>
  <c r="AE391" i="2"/>
  <c r="AD391" i="2"/>
  <c r="AG391" i="2" s="1"/>
  <c r="AB391" i="2"/>
  <c r="AA391" i="2"/>
  <c r="Z391" i="2"/>
  <c r="X391" i="2"/>
  <c r="W391" i="2"/>
  <c r="V391" i="2"/>
  <c r="AJ391" i="2"/>
  <c r="AF390" i="2"/>
  <c r="AE390" i="2"/>
  <c r="AD390" i="2"/>
  <c r="AG390" i="2" s="1"/>
  <c r="AB390" i="2"/>
  <c r="AA390" i="2"/>
  <c r="Z390" i="2"/>
  <c r="X390" i="2"/>
  <c r="W390" i="2"/>
  <c r="V390" i="2"/>
  <c r="Y390" i="2" s="1"/>
  <c r="AF389" i="2"/>
  <c r="AE389" i="2"/>
  <c r="AD389" i="2"/>
  <c r="AG389" i="2" s="1"/>
  <c r="AB389" i="2"/>
  <c r="AA389" i="2"/>
  <c r="Z389" i="2"/>
  <c r="X389" i="2"/>
  <c r="W389" i="2"/>
  <c r="V389" i="2"/>
  <c r="AF388" i="2"/>
  <c r="AE388" i="2"/>
  <c r="AD388" i="2"/>
  <c r="AG388" i="2" s="1"/>
  <c r="AB388" i="2"/>
  <c r="AA388" i="2"/>
  <c r="Z388" i="2"/>
  <c r="X388" i="2"/>
  <c r="W388" i="2"/>
  <c r="V388" i="2"/>
  <c r="AH388" i="2" s="1"/>
  <c r="AF387" i="2"/>
  <c r="AE387" i="2"/>
  <c r="AD387" i="2"/>
  <c r="AG387" i="2" s="1"/>
  <c r="AB387" i="2"/>
  <c r="AA387" i="2"/>
  <c r="Z387" i="2"/>
  <c r="X387" i="2"/>
  <c r="W387" i="2"/>
  <c r="V387" i="2"/>
  <c r="AF386" i="2"/>
  <c r="AE386" i="2"/>
  <c r="AD386" i="2"/>
  <c r="AG386" i="2" s="1"/>
  <c r="AB386" i="2"/>
  <c r="AA386" i="2"/>
  <c r="Z386" i="2"/>
  <c r="X386" i="2"/>
  <c r="W386" i="2"/>
  <c r="V386" i="2"/>
  <c r="AF385" i="2"/>
  <c r="AE385" i="2"/>
  <c r="AD385" i="2"/>
  <c r="AG385" i="2" s="1"/>
  <c r="AB385" i="2"/>
  <c r="AA385" i="2"/>
  <c r="Z385" i="2"/>
  <c r="X385" i="2"/>
  <c r="W385" i="2"/>
  <c r="V385" i="2"/>
  <c r="AF384" i="2"/>
  <c r="AE384" i="2"/>
  <c r="AD384" i="2"/>
  <c r="AG384" i="2" s="1"/>
  <c r="AB384" i="2"/>
  <c r="AA384" i="2"/>
  <c r="Z384" i="2"/>
  <c r="X384" i="2"/>
  <c r="W384" i="2"/>
  <c r="V384" i="2"/>
  <c r="AI384" i="2" s="1"/>
  <c r="AF383" i="2"/>
  <c r="AE383" i="2"/>
  <c r="AD383" i="2"/>
  <c r="AG383" i="2" s="1"/>
  <c r="AB383" i="2"/>
  <c r="AA383" i="2"/>
  <c r="Z383" i="2"/>
  <c r="X383" i="2"/>
  <c r="W383" i="2"/>
  <c r="V383" i="2"/>
  <c r="AJ383" i="2"/>
  <c r="AF382" i="2"/>
  <c r="AE382" i="2"/>
  <c r="AD382" i="2"/>
  <c r="AG382" i="2" s="1"/>
  <c r="AB382" i="2"/>
  <c r="AA382" i="2"/>
  <c r="Z382" i="2"/>
  <c r="X382" i="2"/>
  <c r="W382" i="2"/>
  <c r="V382" i="2"/>
  <c r="AI382" i="2" s="1"/>
  <c r="AF381" i="2"/>
  <c r="AE381" i="2"/>
  <c r="AD381" i="2"/>
  <c r="AG381" i="2" s="1"/>
  <c r="AB381" i="2"/>
  <c r="AA381" i="2"/>
  <c r="Z381" i="2"/>
  <c r="X381" i="2"/>
  <c r="W381" i="2"/>
  <c r="V381" i="2"/>
  <c r="AI381" i="2" s="1"/>
  <c r="AF380" i="2"/>
  <c r="AE380" i="2"/>
  <c r="AD380" i="2"/>
  <c r="AG380" i="2" s="1"/>
  <c r="AB380" i="2"/>
  <c r="AA380" i="2"/>
  <c r="Z380" i="2"/>
  <c r="X380" i="2"/>
  <c r="W380" i="2"/>
  <c r="V380" i="2"/>
  <c r="AF379" i="2"/>
  <c r="AE379" i="2"/>
  <c r="AD379" i="2"/>
  <c r="AG379" i="2" s="1"/>
  <c r="AB379" i="2"/>
  <c r="AA379" i="2"/>
  <c r="Z379" i="2"/>
  <c r="X379" i="2"/>
  <c r="W379" i="2"/>
  <c r="V379" i="2"/>
  <c r="AF378" i="2"/>
  <c r="AE378" i="2"/>
  <c r="AD378" i="2"/>
  <c r="AG378" i="2" s="1"/>
  <c r="AB378" i="2"/>
  <c r="AA378" i="2"/>
  <c r="Z378" i="2"/>
  <c r="X378" i="2"/>
  <c r="W378" i="2"/>
  <c r="V378" i="2"/>
  <c r="AF377" i="2"/>
  <c r="AE377" i="2"/>
  <c r="AD377" i="2"/>
  <c r="AG377" i="2" s="1"/>
  <c r="AB377" i="2"/>
  <c r="AA377" i="2"/>
  <c r="Z377" i="2"/>
  <c r="X377" i="2"/>
  <c r="W377" i="2"/>
  <c r="V377" i="2"/>
  <c r="AF376" i="2"/>
  <c r="AE376" i="2"/>
  <c r="AD376" i="2"/>
  <c r="AG376" i="2" s="1"/>
  <c r="AB376" i="2"/>
  <c r="AA376" i="2"/>
  <c r="Z376" i="2"/>
  <c r="X376" i="2"/>
  <c r="W376" i="2"/>
  <c r="V376" i="2"/>
  <c r="AF375" i="2"/>
  <c r="AE375" i="2"/>
  <c r="AD375" i="2"/>
  <c r="AG375" i="2" s="1"/>
  <c r="AB375" i="2"/>
  <c r="AA375" i="2"/>
  <c r="Z375" i="2"/>
  <c r="X375" i="2"/>
  <c r="W375" i="2"/>
  <c r="V375" i="2"/>
  <c r="AF374" i="2"/>
  <c r="AE374" i="2"/>
  <c r="AD374" i="2"/>
  <c r="AG374" i="2" s="1"/>
  <c r="AB374" i="2"/>
  <c r="AA374" i="2"/>
  <c r="Z374" i="2"/>
  <c r="X374" i="2"/>
  <c r="W374" i="2"/>
  <c r="V374" i="2"/>
  <c r="AH374" i="2" s="1"/>
  <c r="AF373" i="2"/>
  <c r="AE373" i="2"/>
  <c r="AD373" i="2"/>
  <c r="AG373" i="2" s="1"/>
  <c r="AB373" i="2"/>
  <c r="AA373" i="2"/>
  <c r="Z373" i="2"/>
  <c r="X373" i="2"/>
  <c r="W373" i="2"/>
  <c r="V373" i="2"/>
  <c r="AF372" i="2"/>
  <c r="AE372" i="2"/>
  <c r="AD372" i="2"/>
  <c r="AG372" i="2" s="1"/>
  <c r="AB372" i="2"/>
  <c r="AA372" i="2"/>
  <c r="Z372" i="2"/>
  <c r="X372" i="2"/>
  <c r="W372" i="2"/>
  <c r="V372" i="2"/>
  <c r="AF371" i="2"/>
  <c r="AE371" i="2"/>
  <c r="AD371" i="2"/>
  <c r="AG371" i="2" s="1"/>
  <c r="AB371" i="2"/>
  <c r="AA371" i="2"/>
  <c r="Z371" i="2"/>
  <c r="AC371" i="2" s="1"/>
  <c r="X371" i="2"/>
  <c r="W371" i="2"/>
  <c r="V371" i="2"/>
  <c r="AF370" i="2"/>
  <c r="AE370" i="2"/>
  <c r="AD370" i="2"/>
  <c r="AG370" i="2" s="1"/>
  <c r="AB370" i="2"/>
  <c r="AA370" i="2"/>
  <c r="Z370" i="2"/>
  <c r="X370" i="2"/>
  <c r="W370" i="2"/>
  <c r="V370" i="2"/>
  <c r="AH370" i="2" s="1"/>
  <c r="AF369" i="2"/>
  <c r="AE369" i="2"/>
  <c r="AD369" i="2"/>
  <c r="AG369" i="2" s="1"/>
  <c r="AB369" i="2"/>
  <c r="AA369" i="2"/>
  <c r="Z369" i="2"/>
  <c r="AC369" i="2" s="1"/>
  <c r="X369" i="2"/>
  <c r="W369" i="2"/>
  <c r="V369" i="2"/>
  <c r="AF368" i="2"/>
  <c r="AE368" i="2"/>
  <c r="AD368" i="2"/>
  <c r="AG368" i="2" s="1"/>
  <c r="AB368" i="2"/>
  <c r="AA368" i="2"/>
  <c r="Z368" i="2"/>
  <c r="X368" i="2"/>
  <c r="W368" i="2"/>
  <c r="V368" i="2"/>
  <c r="AF367" i="2"/>
  <c r="AE367" i="2"/>
  <c r="AD367" i="2"/>
  <c r="AG367" i="2" s="1"/>
  <c r="AB367" i="2"/>
  <c r="AA367" i="2"/>
  <c r="Z367" i="2"/>
  <c r="X367" i="2"/>
  <c r="W367" i="2"/>
  <c r="V367" i="2"/>
  <c r="AJ367" i="2"/>
  <c r="AF366" i="2"/>
  <c r="AE366" i="2"/>
  <c r="AD366" i="2"/>
  <c r="AG366" i="2" s="1"/>
  <c r="AB366" i="2"/>
  <c r="AA366" i="2"/>
  <c r="Z366" i="2"/>
  <c r="AC366" i="2" s="1"/>
  <c r="X366" i="2"/>
  <c r="W366" i="2"/>
  <c r="V366" i="2"/>
  <c r="AF365" i="2"/>
  <c r="AE365" i="2"/>
  <c r="AD365" i="2"/>
  <c r="AG365" i="2" s="1"/>
  <c r="AB365" i="2"/>
  <c r="AA365" i="2"/>
  <c r="Z365" i="2"/>
  <c r="X365" i="2"/>
  <c r="W365" i="2"/>
  <c r="V365" i="2"/>
  <c r="AH365" i="2" s="1"/>
  <c r="AF364" i="2"/>
  <c r="AE364" i="2"/>
  <c r="AD364" i="2"/>
  <c r="AG364" i="2" s="1"/>
  <c r="AB364" i="2"/>
  <c r="AA364" i="2"/>
  <c r="Z364" i="2"/>
  <c r="X364" i="2"/>
  <c r="W364" i="2"/>
  <c r="V364" i="2"/>
  <c r="AF363" i="2"/>
  <c r="AE363" i="2"/>
  <c r="AD363" i="2"/>
  <c r="AG363" i="2" s="1"/>
  <c r="AB363" i="2"/>
  <c r="AA363" i="2"/>
  <c r="Z363" i="2"/>
  <c r="X363" i="2"/>
  <c r="W363" i="2"/>
  <c r="V363" i="2"/>
  <c r="Y363" i="2" s="1"/>
  <c r="AF362" i="2"/>
  <c r="AE362" i="2"/>
  <c r="AD362" i="2"/>
  <c r="AG362" i="2" s="1"/>
  <c r="AB362" i="2"/>
  <c r="AA362" i="2"/>
  <c r="Z362" i="2"/>
  <c r="X362" i="2"/>
  <c r="W362" i="2"/>
  <c r="V362" i="2"/>
  <c r="AF361" i="2"/>
  <c r="AE361" i="2"/>
  <c r="AD361" i="2"/>
  <c r="AG361" i="2" s="1"/>
  <c r="AB361" i="2"/>
  <c r="AA361" i="2"/>
  <c r="Z361" i="2"/>
  <c r="X361" i="2"/>
  <c r="W361" i="2"/>
  <c r="V361" i="2"/>
  <c r="AF360" i="2"/>
  <c r="AE360" i="2"/>
  <c r="AD360" i="2"/>
  <c r="AG360" i="2" s="1"/>
  <c r="AB360" i="2"/>
  <c r="AA360" i="2"/>
  <c r="Z360" i="2"/>
  <c r="X360" i="2"/>
  <c r="W360" i="2"/>
  <c r="V360" i="2"/>
  <c r="AJ359" i="2"/>
  <c r="AF359" i="2"/>
  <c r="AE359" i="2"/>
  <c r="AD359" i="2"/>
  <c r="AG359" i="2" s="1"/>
  <c r="AB359" i="2"/>
  <c r="AA359" i="2"/>
  <c r="Z359" i="2"/>
  <c r="X359" i="2"/>
  <c r="W359" i="2"/>
  <c r="V359" i="2"/>
  <c r="AI359" i="2" s="1"/>
  <c r="AF358" i="2"/>
  <c r="AE358" i="2"/>
  <c r="AD358" i="2"/>
  <c r="AG358" i="2" s="1"/>
  <c r="AB358" i="2"/>
  <c r="AA358" i="2"/>
  <c r="Z358" i="2"/>
  <c r="AC358" i="2" s="1"/>
  <c r="X358" i="2"/>
  <c r="W358" i="2"/>
  <c r="V358" i="2"/>
  <c r="AF357" i="2"/>
  <c r="AE357" i="2"/>
  <c r="AD357" i="2"/>
  <c r="AG357" i="2" s="1"/>
  <c r="AB357" i="2"/>
  <c r="AA357" i="2"/>
  <c r="Z357" i="2"/>
  <c r="X357" i="2"/>
  <c r="W357" i="2"/>
  <c r="V357" i="2"/>
  <c r="AH357" i="2" s="1"/>
  <c r="AF356" i="2"/>
  <c r="AE356" i="2"/>
  <c r="AD356" i="2"/>
  <c r="AG356" i="2" s="1"/>
  <c r="AB356" i="2"/>
  <c r="AA356" i="2"/>
  <c r="Z356" i="2"/>
  <c r="X356" i="2"/>
  <c r="W356" i="2"/>
  <c r="V356" i="2"/>
  <c r="AF355" i="2"/>
  <c r="AE355" i="2"/>
  <c r="AD355" i="2"/>
  <c r="AG355" i="2" s="1"/>
  <c r="AB355" i="2"/>
  <c r="AA355" i="2"/>
  <c r="Z355" i="2"/>
  <c r="X355" i="2"/>
  <c r="W355" i="2"/>
  <c r="V355" i="2"/>
  <c r="AI355" i="2" s="1"/>
  <c r="AF354" i="2"/>
  <c r="AE354" i="2"/>
  <c r="AD354" i="2"/>
  <c r="AG354" i="2" s="1"/>
  <c r="AB354" i="2"/>
  <c r="AA354" i="2"/>
  <c r="Z354" i="2"/>
  <c r="X354" i="2"/>
  <c r="W354" i="2"/>
  <c r="V354" i="2"/>
  <c r="AF353" i="2"/>
  <c r="AE353" i="2"/>
  <c r="AD353" i="2"/>
  <c r="AG353" i="2" s="1"/>
  <c r="AB353" i="2"/>
  <c r="AA353" i="2"/>
  <c r="Z353" i="2"/>
  <c r="X353" i="2"/>
  <c r="W353" i="2"/>
  <c r="V353" i="2"/>
  <c r="AH353" i="2" s="1"/>
  <c r="AF352" i="2"/>
  <c r="AE352" i="2"/>
  <c r="AD352" i="2"/>
  <c r="AG352" i="2" s="1"/>
  <c r="AB352" i="2"/>
  <c r="AA352" i="2"/>
  <c r="Z352" i="2"/>
  <c r="AC352" i="2" s="1"/>
  <c r="X352" i="2"/>
  <c r="W352" i="2"/>
  <c r="V352" i="2"/>
  <c r="AF351" i="2"/>
  <c r="AE351" i="2"/>
  <c r="AD351" i="2"/>
  <c r="AG351" i="2" s="1"/>
  <c r="AB351" i="2"/>
  <c r="AA351" i="2"/>
  <c r="Z351" i="2"/>
  <c r="X351" i="2"/>
  <c r="W351" i="2"/>
  <c r="V351" i="2"/>
  <c r="AF350" i="2"/>
  <c r="AE350" i="2"/>
  <c r="AD350" i="2"/>
  <c r="AG350" i="2" s="1"/>
  <c r="AB350" i="2"/>
  <c r="AA350" i="2"/>
  <c r="Z350" i="2"/>
  <c r="X350" i="2"/>
  <c r="W350" i="2"/>
  <c r="V350" i="2"/>
  <c r="AF349" i="2"/>
  <c r="AE349" i="2"/>
  <c r="AD349" i="2"/>
  <c r="AG349" i="2" s="1"/>
  <c r="AB349" i="2"/>
  <c r="AA349" i="2"/>
  <c r="Z349" i="2"/>
  <c r="X349" i="2"/>
  <c r="W349" i="2"/>
  <c r="V349" i="2"/>
  <c r="AH349" i="2" s="1"/>
  <c r="AF348" i="2"/>
  <c r="AE348" i="2"/>
  <c r="AD348" i="2"/>
  <c r="AG348" i="2" s="1"/>
  <c r="AB348" i="2"/>
  <c r="AA348" i="2"/>
  <c r="Z348" i="2"/>
  <c r="X348" i="2"/>
  <c r="W348" i="2"/>
  <c r="V348" i="2"/>
  <c r="AF347" i="2"/>
  <c r="AE347" i="2"/>
  <c r="AD347" i="2"/>
  <c r="AG347" i="2" s="1"/>
  <c r="AB347" i="2"/>
  <c r="AA347" i="2"/>
  <c r="Z347" i="2"/>
  <c r="X347" i="2"/>
  <c r="W347" i="2"/>
  <c r="V347" i="2"/>
  <c r="AF346" i="2"/>
  <c r="AE346" i="2"/>
  <c r="AD346" i="2"/>
  <c r="AG346" i="2" s="1"/>
  <c r="AB346" i="2"/>
  <c r="AA346" i="2"/>
  <c r="Z346" i="2"/>
  <c r="X346" i="2"/>
  <c r="W346" i="2"/>
  <c r="V346" i="2"/>
  <c r="Y346" i="2" s="1"/>
  <c r="AF345" i="2"/>
  <c r="AE345" i="2"/>
  <c r="AD345" i="2"/>
  <c r="AG345" i="2" s="1"/>
  <c r="AB345" i="2"/>
  <c r="AA345" i="2"/>
  <c r="Z345" i="2"/>
  <c r="X345" i="2"/>
  <c r="W345" i="2"/>
  <c r="V345" i="2"/>
  <c r="AF344" i="2"/>
  <c r="AE344" i="2"/>
  <c r="AD344" i="2"/>
  <c r="AG344" i="2" s="1"/>
  <c r="AB344" i="2"/>
  <c r="AA344" i="2"/>
  <c r="Z344" i="2"/>
  <c r="X344" i="2"/>
  <c r="W344" i="2"/>
  <c r="V344" i="2"/>
  <c r="AF343" i="2"/>
  <c r="AE343" i="2"/>
  <c r="AD343" i="2"/>
  <c r="AG343" i="2" s="1"/>
  <c r="AB343" i="2"/>
  <c r="AA343" i="2"/>
  <c r="Z343" i="2"/>
  <c r="X343" i="2"/>
  <c r="W343" i="2"/>
  <c r="V343" i="2"/>
  <c r="AJ343" i="2"/>
  <c r="AF342" i="2"/>
  <c r="AE342" i="2"/>
  <c r="AD342" i="2"/>
  <c r="AG342" i="2" s="1"/>
  <c r="AB342" i="2"/>
  <c r="AA342" i="2"/>
  <c r="Z342" i="2"/>
  <c r="AC342" i="2" s="1"/>
  <c r="X342" i="2"/>
  <c r="W342" i="2"/>
  <c r="V342" i="2"/>
  <c r="AF341" i="2"/>
  <c r="AE341" i="2"/>
  <c r="AD341" i="2"/>
  <c r="AG341" i="2" s="1"/>
  <c r="AB341" i="2"/>
  <c r="AA341" i="2"/>
  <c r="Z341" i="2"/>
  <c r="AC341" i="2" s="1"/>
  <c r="X341" i="2"/>
  <c r="W341" i="2"/>
  <c r="V341" i="2"/>
  <c r="AF340" i="2"/>
  <c r="AE340" i="2"/>
  <c r="AD340" i="2"/>
  <c r="AG340" i="2" s="1"/>
  <c r="AB340" i="2"/>
  <c r="AA340" i="2"/>
  <c r="Z340" i="2"/>
  <c r="X340" i="2"/>
  <c r="W340" i="2"/>
  <c r="V340" i="2"/>
  <c r="AF339" i="2"/>
  <c r="AE339" i="2"/>
  <c r="AD339" i="2"/>
  <c r="AG339" i="2" s="1"/>
  <c r="AB339" i="2"/>
  <c r="AA339" i="2"/>
  <c r="Z339" i="2"/>
  <c r="X339" i="2"/>
  <c r="W339" i="2"/>
  <c r="V339" i="2"/>
  <c r="AI339" i="2" s="1"/>
  <c r="AF338" i="2"/>
  <c r="AE338" i="2"/>
  <c r="AD338" i="2"/>
  <c r="AG338" i="2" s="1"/>
  <c r="AB338" i="2"/>
  <c r="AA338" i="2"/>
  <c r="Z338" i="2"/>
  <c r="X338" i="2"/>
  <c r="W338" i="2"/>
  <c r="V338" i="2"/>
  <c r="AF337" i="2"/>
  <c r="AE337" i="2"/>
  <c r="AD337" i="2"/>
  <c r="AG337" i="2" s="1"/>
  <c r="AB337" i="2"/>
  <c r="AA337" i="2"/>
  <c r="Z337" i="2"/>
  <c r="X337" i="2"/>
  <c r="W337" i="2"/>
  <c r="V337" i="2"/>
  <c r="AF336" i="2"/>
  <c r="AE336" i="2"/>
  <c r="AD336" i="2"/>
  <c r="AG336" i="2" s="1"/>
  <c r="AB336" i="2"/>
  <c r="AA336" i="2"/>
  <c r="Z336" i="2"/>
  <c r="X336" i="2"/>
  <c r="W336" i="2"/>
  <c r="V336" i="2"/>
  <c r="AF335" i="2"/>
  <c r="AE335" i="2"/>
  <c r="AD335" i="2"/>
  <c r="AG335" i="2" s="1"/>
  <c r="AB335" i="2"/>
  <c r="AA335" i="2"/>
  <c r="Z335" i="2"/>
  <c r="X335" i="2"/>
  <c r="W335" i="2"/>
  <c r="V335" i="2"/>
  <c r="Y335" i="2" s="1"/>
  <c r="AJ335" i="2"/>
  <c r="AF334" i="2"/>
  <c r="AE334" i="2"/>
  <c r="AD334" i="2"/>
  <c r="AG334" i="2" s="1"/>
  <c r="AB334" i="2"/>
  <c r="AA334" i="2"/>
  <c r="Z334" i="2"/>
  <c r="X334" i="2"/>
  <c r="W334" i="2"/>
  <c r="V334" i="2"/>
  <c r="AF333" i="2"/>
  <c r="AE333" i="2"/>
  <c r="AD333" i="2"/>
  <c r="AG333" i="2" s="1"/>
  <c r="AB333" i="2"/>
  <c r="AA333" i="2"/>
  <c r="Z333" i="2"/>
  <c r="AC333" i="2" s="1"/>
  <c r="X333" i="2"/>
  <c r="W333" i="2"/>
  <c r="V333" i="2"/>
  <c r="AF332" i="2"/>
  <c r="AE332" i="2"/>
  <c r="AD332" i="2"/>
  <c r="AG332" i="2" s="1"/>
  <c r="AB332" i="2"/>
  <c r="AA332" i="2"/>
  <c r="Z332" i="2"/>
  <c r="X332" i="2"/>
  <c r="W332" i="2"/>
  <c r="V332" i="2"/>
  <c r="AF331" i="2"/>
  <c r="AE331" i="2"/>
  <c r="AD331" i="2"/>
  <c r="AG331" i="2" s="1"/>
  <c r="AB331" i="2"/>
  <c r="AA331" i="2"/>
  <c r="Z331" i="2"/>
  <c r="X331" i="2"/>
  <c r="W331" i="2"/>
  <c r="V331" i="2"/>
  <c r="AH331" i="2" s="1"/>
  <c r="AF330" i="2"/>
  <c r="AE330" i="2"/>
  <c r="AD330" i="2"/>
  <c r="AG330" i="2" s="1"/>
  <c r="AB330" i="2"/>
  <c r="AA330" i="2"/>
  <c r="Z330" i="2"/>
  <c r="X330" i="2"/>
  <c r="W330" i="2"/>
  <c r="V330" i="2"/>
  <c r="AF329" i="2"/>
  <c r="AE329" i="2"/>
  <c r="AD329" i="2"/>
  <c r="AG329" i="2" s="1"/>
  <c r="AB329" i="2"/>
  <c r="AA329" i="2"/>
  <c r="Z329" i="2"/>
  <c r="X329" i="2"/>
  <c r="W329" i="2"/>
  <c r="V329" i="2"/>
  <c r="AF328" i="2"/>
  <c r="AE328" i="2"/>
  <c r="AD328" i="2"/>
  <c r="AG328" i="2" s="1"/>
  <c r="AB328" i="2"/>
  <c r="AA328" i="2"/>
  <c r="Z328" i="2"/>
  <c r="X328" i="2"/>
  <c r="W328" i="2"/>
  <c r="V328" i="2"/>
  <c r="AF327" i="2"/>
  <c r="AE327" i="2"/>
  <c r="AD327" i="2"/>
  <c r="AG327" i="2" s="1"/>
  <c r="AB327" i="2"/>
  <c r="AA327" i="2"/>
  <c r="Z327" i="2"/>
  <c r="AC327" i="2" s="1"/>
  <c r="X327" i="2"/>
  <c r="W327" i="2"/>
  <c r="V327" i="2"/>
  <c r="AJ327" i="2"/>
  <c r="AF326" i="2"/>
  <c r="AE326" i="2"/>
  <c r="AD326" i="2"/>
  <c r="AG326" i="2" s="1"/>
  <c r="AB326" i="2"/>
  <c r="AA326" i="2"/>
  <c r="Z326" i="2"/>
  <c r="X326" i="2"/>
  <c r="W326" i="2"/>
  <c r="V326" i="2"/>
  <c r="AF325" i="2"/>
  <c r="AE325" i="2"/>
  <c r="AD325" i="2"/>
  <c r="AG325" i="2" s="1"/>
  <c r="AB325" i="2"/>
  <c r="AA325" i="2"/>
  <c r="Z325" i="2"/>
  <c r="X325" i="2"/>
  <c r="W325" i="2"/>
  <c r="V325" i="2"/>
  <c r="AF324" i="2"/>
  <c r="AE324" i="2"/>
  <c r="AD324" i="2"/>
  <c r="AG324" i="2" s="1"/>
  <c r="AB324" i="2"/>
  <c r="AA324" i="2"/>
  <c r="Z324" i="2"/>
  <c r="X324" i="2"/>
  <c r="W324" i="2"/>
  <c r="V324" i="2"/>
  <c r="AI324" i="2" s="1"/>
  <c r="AF323" i="2"/>
  <c r="AE323" i="2"/>
  <c r="AD323" i="2"/>
  <c r="AG323" i="2" s="1"/>
  <c r="AB323" i="2"/>
  <c r="AA323" i="2"/>
  <c r="Z323" i="2"/>
  <c r="AC323" i="2" s="1"/>
  <c r="X323" i="2"/>
  <c r="W323" i="2"/>
  <c r="V323" i="2"/>
  <c r="AF322" i="2"/>
  <c r="AE322" i="2"/>
  <c r="AD322" i="2"/>
  <c r="AG322" i="2" s="1"/>
  <c r="AB322" i="2"/>
  <c r="AA322" i="2"/>
  <c r="Z322" i="2"/>
  <c r="X322" i="2"/>
  <c r="W322" i="2"/>
  <c r="V322" i="2"/>
  <c r="AF321" i="2"/>
  <c r="AE321" i="2"/>
  <c r="AD321" i="2"/>
  <c r="AG321" i="2" s="1"/>
  <c r="AB321" i="2"/>
  <c r="AA321" i="2"/>
  <c r="Z321" i="2"/>
  <c r="X321" i="2"/>
  <c r="W321" i="2"/>
  <c r="V321" i="2"/>
  <c r="AF320" i="2"/>
  <c r="AE320" i="2"/>
  <c r="AD320" i="2"/>
  <c r="AG320" i="2" s="1"/>
  <c r="AB320" i="2"/>
  <c r="AA320" i="2"/>
  <c r="Z320" i="2"/>
  <c r="X320" i="2"/>
  <c r="W320" i="2"/>
  <c r="V320" i="2"/>
  <c r="AJ320" i="2"/>
  <c r="AF319" i="2"/>
  <c r="AE319" i="2"/>
  <c r="AD319" i="2"/>
  <c r="AG319" i="2" s="1"/>
  <c r="AB319" i="2"/>
  <c r="AA319" i="2"/>
  <c r="Z319" i="2"/>
  <c r="X319" i="2"/>
  <c r="W319" i="2"/>
  <c r="V319" i="2"/>
  <c r="AH319" i="2" s="1"/>
  <c r="AJ319" i="2"/>
  <c r="AF318" i="2"/>
  <c r="AE318" i="2"/>
  <c r="AD318" i="2"/>
  <c r="AG318" i="2" s="1"/>
  <c r="AB318" i="2"/>
  <c r="AA318" i="2"/>
  <c r="Z318" i="2"/>
  <c r="X318" i="2"/>
  <c r="W318" i="2"/>
  <c r="V318" i="2"/>
  <c r="AF317" i="2"/>
  <c r="AE317" i="2"/>
  <c r="AD317" i="2"/>
  <c r="AG317" i="2" s="1"/>
  <c r="AB317" i="2"/>
  <c r="AA317" i="2"/>
  <c r="Z317" i="2"/>
  <c r="X317" i="2"/>
  <c r="W317" i="2"/>
  <c r="V317" i="2"/>
  <c r="AF316" i="2"/>
  <c r="AE316" i="2"/>
  <c r="AD316" i="2"/>
  <c r="AG316" i="2" s="1"/>
  <c r="AB316" i="2"/>
  <c r="AA316" i="2"/>
  <c r="Z316" i="2"/>
  <c r="X316" i="2"/>
  <c r="W316" i="2"/>
  <c r="V316" i="2"/>
  <c r="AF315" i="2"/>
  <c r="AE315" i="2"/>
  <c r="AD315" i="2"/>
  <c r="AG315" i="2" s="1"/>
  <c r="AB315" i="2"/>
  <c r="AA315" i="2"/>
  <c r="Z315" i="2"/>
  <c r="X315" i="2"/>
  <c r="W315" i="2"/>
  <c r="V315" i="2"/>
  <c r="AH315" i="2" s="1"/>
  <c r="AF314" i="2"/>
  <c r="AE314" i="2"/>
  <c r="AD314" i="2"/>
  <c r="AG314" i="2" s="1"/>
  <c r="AB314" i="2"/>
  <c r="AA314" i="2"/>
  <c r="Z314" i="2"/>
  <c r="X314" i="2"/>
  <c r="W314" i="2"/>
  <c r="V314" i="2"/>
  <c r="AF313" i="2"/>
  <c r="AE313" i="2"/>
  <c r="AD313" i="2"/>
  <c r="AG313" i="2" s="1"/>
  <c r="AB313" i="2"/>
  <c r="AA313" i="2"/>
  <c r="Z313" i="2"/>
  <c r="X313" i="2"/>
  <c r="W313" i="2"/>
  <c r="V313" i="2"/>
  <c r="AF312" i="2"/>
  <c r="AE312" i="2"/>
  <c r="AD312" i="2"/>
  <c r="AG312" i="2" s="1"/>
  <c r="AB312" i="2"/>
  <c r="AA312" i="2"/>
  <c r="Z312" i="2"/>
  <c r="AC312" i="2" s="1"/>
  <c r="X312" i="2"/>
  <c r="W312" i="2"/>
  <c r="V312" i="2"/>
  <c r="AF311" i="2"/>
  <c r="AE311" i="2"/>
  <c r="AD311" i="2"/>
  <c r="AG311" i="2" s="1"/>
  <c r="AB311" i="2"/>
  <c r="AA311" i="2"/>
  <c r="Z311" i="2"/>
  <c r="AC311" i="2" s="1"/>
  <c r="X311" i="2"/>
  <c r="W311" i="2"/>
  <c r="V311" i="2"/>
  <c r="AJ311" i="2"/>
  <c r="AF310" i="2"/>
  <c r="AE310" i="2"/>
  <c r="AD310" i="2"/>
  <c r="AG310" i="2" s="1"/>
  <c r="AB310" i="2"/>
  <c r="AA310" i="2"/>
  <c r="Z310" i="2"/>
  <c r="X310" i="2"/>
  <c r="W310" i="2"/>
  <c r="V310" i="2"/>
  <c r="AF309" i="2"/>
  <c r="AE309" i="2"/>
  <c r="AD309" i="2"/>
  <c r="AG309" i="2" s="1"/>
  <c r="AB309" i="2"/>
  <c r="AA309" i="2"/>
  <c r="Z309" i="2"/>
  <c r="X309" i="2"/>
  <c r="W309" i="2"/>
  <c r="V309" i="2"/>
  <c r="AF308" i="2"/>
  <c r="AE308" i="2"/>
  <c r="AD308" i="2"/>
  <c r="AG308" i="2" s="1"/>
  <c r="AB308" i="2"/>
  <c r="AA308" i="2"/>
  <c r="Z308" i="2"/>
  <c r="X308" i="2"/>
  <c r="W308" i="2"/>
  <c r="V308" i="2"/>
  <c r="AF307" i="2"/>
  <c r="AE307" i="2"/>
  <c r="AD307" i="2"/>
  <c r="AG307" i="2" s="1"/>
  <c r="AB307" i="2"/>
  <c r="AA307" i="2"/>
  <c r="Z307" i="2"/>
  <c r="X307" i="2"/>
  <c r="W307" i="2"/>
  <c r="V307" i="2"/>
  <c r="AF306" i="2"/>
  <c r="AE306" i="2"/>
  <c r="AD306" i="2"/>
  <c r="AG306" i="2" s="1"/>
  <c r="AB306" i="2"/>
  <c r="AA306" i="2"/>
  <c r="Z306" i="2"/>
  <c r="AC306" i="2" s="1"/>
  <c r="X306" i="2"/>
  <c r="W306" i="2"/>
  <c r="Y306" i="2" s="1"/>
  <c r="V306" i="2"/>
  <c r="AF305" i="2"/>
  <c r="AE305" i="2"/>
  <c r="AD305" i="2"/>
  <c r="AG305" i="2" s="1"/>
  <c r="AB305" i="2"/>
  <c r="AA305" i="2"/>
  <c r="Z305" i="2"/>
  <c r="X305" i="2"/>
  <c r="W305" i="2"/>
  <c r="V305" i="2"/>
  <c r="AF304" i="2"/>
  <c r="AE304" i="2"/>
  <c r="AD304" i="2"/>
  <c r="AG304" i="2" s="1"/>
  <c r="AB304" i="2"/>
  <c r="AA304" i="2"/>
  <c r="Z304" i="2"/>
  <c r="AC304" i="2" s="1"/>
  <c r="X304" i="2"/>
  <c r="W304" i="2"/>
  <c r="V304" i="2"/>
  <c r="AF303" i="2"/>
  <c r="AE303" i="2"/>
  <c r="AD303" i="2"/>
  <c r="AG303" i="2" s="1"/>
  <c r="AB303" i="2"/>
  <c r="AA303" i="2"/>
  <c r="Z303" i="2"/>
  <c r="X303" i="2"/>
  <c r="W303" i="2"/>
  <c r="V303" i="2"/>
  <c r="AF302" i="2"/>
  <c r="AE302" i="2"/>
  <c r="AD302" i="2"/>
  <c r="AG302" i="2" s="1"/>
  <c r="AB302" i="2"/>
  <c r="AA302" i="2"/>
  <c r="Z302" i="2"/>
  <c r="X302" i="2"/>
  <c r="W302" i="2"/>
  <c r="V302" i="2"/>
  <c r="AI302" i="2" s="1"/>
  <c r="AF301" i="2"/>
  <c r="AE301" i="2"/>
  <c r="AD301" i="2"/>
  <c r="AG301" i="2" s="1"/>
  <c r="AB301" i="2"/>
  <c r="AA301" i="2"/>
  <c r="Z301" i="2"/>
  <c r="AC301" i="2" s="1"/>
  <c r="X301" i="2"/>
  <c r="W301" i="2"/>
  <c r="V301" i="2"/>
  <c r="AF300" i="2"/>
  <c r="AE300" i="2"/>
  <c r="AD300" i="2"/>
  <c r="AG300" i="2" s="1"/>
  <c r="AB300" i="2"/>
  <c r="AA300" i="2"/>
  <c r="Z300" i="2"/>
  <c r="X300" i="2"/>
  <c r="W300" i="2"/>
  <c r="V300" i="2"/>
  <c r="AF299" i="2"/>
  <c r="AE299" i="2"/>
  <c r="AD299" i="2"/>
  <c r="AG299" i="2" s="1"/>
  <c r="AB299" i="2"/>
  <c r="AA299" i="2"/>
  <c r="Z299" i="2"/>
  <c r="X299" i="2"/>
  <c r="W299" i="2"/>
  <c r="V299" i="2"/>
  <c r="AF298" i="2"/>
  <c r="AE298" i="2"/>
  <c r="AD298" i="2"/>
  <c r="AG298" i="2" s="1"/>
  <c r="AB298" i="2"/>
  <c r="AA298" i="2"/>
  <c r="Z298" i="2"/>
  <c r="AC298" i="2" s="1"/>
  <c r="X298" i="2"/>
  <c r="W298" i="2"/>
  <c r="V298" i="2"/>
  <c r="AI298" i="2" s="1"/>
  <c r="AJ297" i="2"/>
  <c r="AF297" i="2"/>
  <c r="AE297" i="2"/>
  <c r="AD297" i="2"/>
  <c r="AG297" i="2" s="1"/>
  <c r="AB297" i="2"/>
  <c r="AA297" i="2"/>
  <c r="Z297" i="2"/>
  <c r="X297" i="2"/>
  <c r="W297" i="2"/>
  <c r="V297" i="2"/>
  <c r="AF296" i="2"/>
  <c r="AE296" i="2"/>
  <c r="AD296" i="2"/>
  <c r="AG296" i="2" s="1"/>
  <c r="AB296" i="2"/>
  <c r="AA296" i="2"/>
  <c r="Z296" i="2"/>
  <c r="AC296" i="2" s="1"/>
  <c r="X296" i="2"/>
  <c r="W296" i="2"/>
  <c r="V296" i="2"/>
  <c r="AF295" i="2"/>
  <c r="AE295" i="2"/>
  <c r="AD295" i="2"/>
  <c r="AG295" i="2" s="1"/>
  <c r="AB295" i="2"/>
  <c r="AA295" i="2"/>
  <c r="Z295" i="2"/>
  <c r="AC295" i="2" s="1"/>
  <c r="X295" i="2"/>
  <c r="W295" i="2"/>
  <c r="V295" i="2"/>
  <c r="AJ295" i="2"/>
  <c r="AF294" i="2"/>
  <c r="AE294" i="2"/>
  <c r="AD294" i="2"/>
  <c r="AG294" i="2" s="1"/>
  <c r="AB294" i="2"/>
  <c r="AA294" i="2"/>
  <c r="Z294" i="2"/>
  <c r="X294" i="2"/>
  <c r="W294" i="2"/>
  <c r="V294" i="2"/>
  <c r="AF293" i="2"/>
  <c r="AE293" i="2"/>
  <c r="AD293" i="2"/>
  <c r="AG293" i="2" s="1"/>
  <c r="AB293" i="2"/>
  <c r="AA293" i="2"/>
  <c r="Z293" i="2"/>
  <c r="X293" i="2"/>
  <c r="W293" i="2"/>
  <c r="V293" i="2"/>
  <c r="AF292" i="2"/>
  <c r="AE292" i="2"/>
  <c r="AD292" i="2"/>
  <c r="AG292" i="2" s="1"/>
  <c r="AB292" i="2"/>
  <c r="AA292" i="2"/>
  <c r="Z292" i="2"/>
  <c r="AC292" i="2" s="1"/>
  <c r="X292" i="2"/>
  <c r="W292" i="2"/>
  <c r="V292" i="2"/>
  <c r="AF291" i="2"/>
  <c r="AE291" i="2"/>
  <c r="AD291" i="2"/>
  <c r="AG291" i="2" s="1"/>
  <c r="AB291" i="2"/>
  <c r="AA291" i="2"/>
  <c r="Z291" i="2"/>
  <c r="AC291" i="2" s="1"/>
  <c r="X291" i="2"/>
  <c r="W291" i="2"/>
  <c r="V291" i="2"/>
  <c r="AF290" i="2"/>
  <c r="AE290" i="2"/>
  <c r="AD290" i="2"/>
  <c r="AG290" i="2" s="1"/>
  <c r="AB290" i="2"/>
  <c r="AA290" i="2"/>
  <c r="Z290" i="2"/>
  <c r="AC290" i="2" s="1"/>
  <c r="X290" i="2"/>
  <c r="W290" i="2"/>
  <c r="V290" i="2"/>
  <c r="AF289" i="2"/>
  <c r="AE289" i="2"/>
  <c r="AD289" i="2"/>
  <c r="AG289" i="2" s="1"/>
  <c r="AB289" i="2"/>
  <c r="AA289" i="2"/>
  <c r="Z289" i="2"/>
  <c r="AC289" i="2" s="1"/>
  <c r="X289" i="2"/>
  <c r="W289" i="2"/>
  <c r="V289" i="2"/>
  <c r="AF288" i="2"/>
  <c r="AE288" i="2"/>
  <c r="AD288" i="2"/>
  <c r="AG288" i="2" s="1"/>
  <c r="AB288" i="2"/>
  <c r="AA288" i="2"/>
  <c r="Z288" i="2"/>
  <c r="AC288" i="2" s="1"/>
  <c r="X288" i="2"/>
  <c r="W288" i="2"/>
  <c r="V288" i="2"/>
  <c r="AF287" i="2"/>
  <c r="AE287" i="2"/>
  <c r="AD287" i="2"/>
  <c r="AG287" i="2" s="1"/>
  <c r="AB287" i="2"/>
  <c r="AA287" i="2"/>
  <c r="Z287" i="2"/>
  <c r="AC287" i="2" s="1"/>
  <c r="X287" i="2"/>
  <c r="W287" i="2"/>
  <c r="V287" i="2"/>
  <c r="AF286" i="2"/>
  <c r="AE286" i="2"/>
  <c r="AD286" i="2"/>
  <c r="AG286" i="2" s="1"/>
  <c r="AB286" i="2"/>
  <c r="AA286" i="2"/>
  <c r="Z286" i="2"/>
  <c r="X286" i="2"/>
  <c r="W286" i="2"/>
  <c r="V286" i="2"/>
  <c r="Y286" i="2" s="1"/>
  <c r="AF285" i="2"/>
  <c r="AE285" i="2"/>
  <c r="AD285" i="2"/>
  <c r="AG285" i="2" s="1"/>
  <c r="AB285" i="2"/>
  <c r="AA285" i="2"/>
  <c r="Z285" i="2"/>
  <c r="X285" i="2"/>
  <c r="W285" i="2"/>
  <c r="V285" i="2"/>
  <c r="AF284" i="2"/>
  <c r="AE284" i="2"/>
  <c r="AD284" i="2"/>
  <c r="AG284" i="2" s="1"/>
  <c r="AB284" i="2"/>
  <c r="AA284" i="2"/>
  <c r="Z284" i="2"/>
  <c r="X284" i="2"/>
  <c r="W284" i="2"/>
  <c r="V284" i="2"/>
  <c r="AF283" i="2"/>
  <c r="AE283" i="2"/>
  <c r="AD283" i="2"/>
  <c r="AG283" i="2" s="1"/>
  <c r="AB283" i="2"/>
  <c r="AA283" i="2"/>
  <c r="Z283" i="2"/>
  <c r="AC283" i="2" s="1"/>
  <c r="X283" i="2"/>
  <c r="W283" i="2"/>
  <c r="V283" i="2"/>
  <c r="AF282" i="2"/>
  <c r="AE282" i="2"/>
  <c r="AD282" i="2"/>
  <c r="AG282" i="2" s="1"/>
  <c r="AB282" i="2"/>
  <c r="AA282" i="2"/>
  <c r="Z282" i="2"/>
  <c r="AC282" i="2" s="1"/>
  <c r="X282" i="2"/>
  <c r="W282" i="2"/>
  <c r="V282" i="2"/>
  <c r="AF281" i="2"/>
  <c r="AE281" i="2"/>
  <c r="AD281" i="2"/>
  <c r="AG281" i="2" s="1"/>
  <c r="AB281" i="2"/>
  <c r="AA281" i="2"/>
  <c r="Z281" i="2"/>
  <c r="X281" i="2"/>
  <c r="W281" i="2"/>
  <c r="V281" i="2"/>
  <c r="AF280" i="2"/>
  <c r="AE280" i="2"/>
  <c r="AD280" i="2"/>
  <c r="AG280" i="2" s="1"/>
  <c r="AB280" i="2"/>
  <c r="AA280" i="2"/>
  <c r="Z280" i="2"/>
  <c r="AC280" i="2" s="1"/>
  <c r="X280" i="2"/>
  <c r="W280" i="2"/>
  <c r="V280" i="2"/>
  <c r="AF279" i="2"/>
  <c r="AE279" i="2"/>
  <c r="AD279" i="2"/>
  <c r="AG279" i="2" s="1"/>
  <c r="AB279" i="2"/>
  <c r="AA279" i="2"/>
  <c r="Z279" i="2"/>
  <c r="X279" i="2"/>
  <c r="W279" i="2"/>
  <c r="V279" i="2"/>
  <c r="AF278" i="2"/>
  <c r="AE278" i="2"/>
  <c r="AD278" i="2"/>
  <c r="AG278" i="2" s="1"/>
  <c r="AB278" i="2"/>
  <c r="AA278" i="2"/>
  <c r="Z278" i="2"/>
  <c r="AC278" i="2" s="1"/>
  <c r="X278" i="2"/>
  <c r="W278" i="2"/>
  <c r="V278" i="2"/>
  <c r="AF277" i="2"/>
  <c r="AE277" i="2"/>
  <c r="AD277" i="2"/>
  <c r="AG277" i="2" s="1"/>
  <c r="AB277" i="2"/>
  <c r="AA277" i="2"/>
  <c r="Z277" i="2"/>
  <c r="X277" i="2"/>
  <c r="W277" i="2"/>
  <c r="V277" i="2"/>
  <c r="AH277" i="2" s="1"/>
  <c r="AF276" i="2"/>
  <c r="AE276" i="2"/>
  <c r="AD276" i="2"/>
  <c r="AG276" i="2" s="1"/>
  <c r="AB276" i="2"/>
  <c r="AA276" i="2"/>
  <c r="Z276" i="2"/>
  <c r="AC276" i="2" s="1"/>
  <c r="X276" i="2"/>
  <c r="W276" i="2"/>
  <c r="V276" i="2"/>
  <c r="AF275" i="2"/>
  <c r="AE275" i="2"/>
  <c r="AD275" i="2"/>
  <c r="AG275" i="2" s="1"/>
  <c r="AB275" i="2"/>
  <c r="AA275" i="2"/>
  <c r="Z275" i="2"/>
  <c r="AC275" i="2" s="1"/>
  <c r="X275" i="2"/>
  <c r="W275" i="2"/>
  <c r="V275" i="2"/>
  <c r="AF274" i="2"/>
  <c r="AE274" i="2"/>
  <c r="AD274" i="2"/>
  <c r="AG274" i="2" s="1"/>
  <c r="AB274" i="2"/>
  <c r="AA274" i="2"/>
  <c r="Z274" i="2"/>
  <c r="X274" i="2"/>
  <c r="W274" i="2"/>
  <c r="V274" i="2"/>
  <c r="AF273" i="2"/>
  <c r="AE273" i="2"/>
  <c r="AD273" i="2"/>
  <c r="AG273" i="2" s="1"/>
  <c r="AB273" i="2"/>
  <c r="AA273" i="2"/>
  <c r="Z273" i="2"/>
  <c r="AC273" i="2" s="1"/>
  <c r="X273" i="2"/>
  <c r="W273" i="2"/>
  <c r="V273" i="2"/>
  <c r="AF272" i="2"/>
  <c r="AE272" i="2"/>
  <c r="AD272" i="2"/>
  <c r="AG272" i="2" s="1"/>
  <c r="AB272" i="2"/>
  <c r="AA272" i="2"/>
  <c r="Z272" i="2"/>
  <c r="AC272" i="2" s="1"/>
  <c r="X272" i="2"/>
  <c r="W272" i="2"/>
  <c r="V272" i="2"/>
  <c r="AF271" i="2"/>
  <c r="AE271" i="2"/>
  <c r="AD271" i="2"/>
  <c r="AG271" i="2" s="1"/>
  <c r="AB271" i="2"/>
  <c r="AA271" i="2"/>
  <c r="Z271" i="2"/>
  <c r="AC271" i="2" s="1"/>
  <c r="X271" i="2"/>
  <c r="W271" i="2"/>
  <c r="V271" i="2"/>
  <c r="AF270" i="2"/>
  <c r="AE270" i="2"/>
  <c r="AD270" i="2"/>
  <c r="AG270" i="2" s="1"/>
  <c r="AB270" i="2"/>
  <c r="AA270" i="2"/>
  <c r="Z270" i="2"/>
  <c r="X270" i="2"/>
  <c r="W270" i="2"/>
  <c r="V270" i="2"/>
  <c r="AF269" i="2"/>
  <c r="AE269" i="2"/>
  <c r="AD269" i="2"/>
  <c r="AG269" i="2" s="1"/>
  <c r="AB269" i="2"/>
  <c r="AA269" i="2"/>
  <c r="Z269" i="2"/>
  <c r="AC269" i="2" s="1"/>
  <c r="X269" i="2"/>
  <c r="W269" i="2"/>
  <c r="V269" i="2"/>
  <c r="AF268" i="2"/>
  <c r="AE268" i="2"/>
  <c r="AD268" i="2"/>
  <c r="AG268" i="2" s="1"/>
  <c r="AB268" i="2"/>
  <c r="AA268" i="2"/>
  <c r="Z268" i="2"/>
  <c r="AC268" i="2" s="1"/>
  <c r="X268" i="2"/>
  <c r="W268" i="2"/>
  <c r="V268" i="2"/>
  <c r="AF267" i="2"/>
  <c r="AE267" i="2"/>
  <c r="AD267" i="2"/>
  <c r="AG267" i="2" s="1"/>
  <c r="AB267" i="2"/>
  <c r="AA267" i="2"/>
  <c r="Z267" i="2"/>
  <c r="AC267" i="2" s="1"/>
  <c r="X267" i="2"/>
  <c r="W267" i="2"/>
  <c r="V267" i="2"/>
  <c r="AF266" i="2"/>
  <c r="AE266" i="2"/>
  <c r="AD266" i="2"/>
  <c r="AG266" i="2" s="1"/>
  <c r="AB266" i="2"/>
  <c r="AA266" i="2"/>
  <c r="Z266" i="2"/>
  <c r="AC266" i="2" s="1"/>
  <c r="X266" i="2"/>
  <c r="W266" i="2"/>
  <c r="V266" i="2"/>
  <c r="AF265" i="2"/>
  <c r="AE265" i="2"/>
  <c r="AD265" i="2"/>
  <c r="AG265" i="2" s="1"/>
  <c r="AB265" i="2"/>
  <c r="AA265" i="2"/>
  <c r="Z265" i="2"/>
  <c r="AC265" i="2" s="1"/>
  <c r="X265" i="2"/>
  <c r="W265" i="2"/>
  <c r="V265" i="2"/>
  <c r="AF264" i="2"/>
  <c r="AE264" i="2"/>
  <c r="AD264" i="2"/>
  <c r="AG264" i="2" s="1"/>
  <c r="AB264" i="2"/>
  <c r="AA264" i="2"/>
  <c r="Z264" i="2"/>
  <c r="AC264" i="2" s="1"/>
  <c r="X264" i="2"/>
  <c r="W264" i="2"/>
  <c r="V264" i="2"/>
  <c r="AF263" i="2"/>
  <c r="AE263" i="2"/>
  <c r="AD263" i="2"/>
  <c r="AG263" i="2" s="1"/>
  <c r="AB263" i="2"/>
  <c r="AA263" i="2"/>
  <c r="Z263" i="2"/>
  <c r="AC263" i="2" s="1"/>
  <c r="X263" i="2"/>
  <c r="W263" i="2"/>
  <c r="V263" i="2"/>
  <c r="AF262" i="2"/>
  <c r="AE262" i="2"/>
  <c r="AD262" i="2"/>
  <c r="AG262" i="2" s="1"/>
  <c r="AB262" i="2"/>
  <c r="AA262" i="2"/>
  <c r="Z262" i="2"/>
  <c r="X262" i="2"/>
  <c r="W262" i="2"/>
  <c r="V262" i="2"/>
  <c r="AF261" i="2"/>
  <c r="AE261" i="2"/>
  <c r="AD261" i="2"/>
  <c r="AG261" i="2" s="1"/>
  <c r="AB261" i="2"/>
  <c r="AA261" i="2"/>
  <c r="Z261" i="2"/>
  <c r="AC261" i="2" s="1"/>
  <c r="X261" i="2"/>
  <c r="W261" i="2"/>
  <c r="V261" i="2"/>
  <c r="AF260" i="2"/>
  <c r="AE260" i="2"/>
  <c r="AD260" i="2"/>
  <c r="AG260" i="2" s="1"/>
  <c r="AB260" i="2"/>
  <c r="AA260" i="2"/>
  <c r="Z260" i="2"/>
  <c r="AC260" i="2" s="1"/>
  <c r="X260" i="2"/>
  <c r="W260" i="2"/>
  <c r="V260" i="2"/>
  <c r="AF259" i="2"/>
  <c r="AE259" i="2"/>
  <c r="AD259" i="2"/>
  <c r="AG259" i="2" s="1"/>
  <c r="AB259" i="2"/>
  <c r="AA259" i="2"/>
  <c r="Z259" i="2"/>
  <c r="AC259" i="2" s="1"/>
  <c r="X259" i="2"/>
  <c r="W259" i="2"/>
  <c r="V259" i="2"/>
  <c r="AF258" i="2"/>
  <c r="AE258" i="2"/>
  <c r="AD258" i="2"/>
  <c r="AG258" i="2" s="1"/>
  <c r="AB258" i="2"/>
  <c r="AA258" i="2"/>
  <c r="Z258" i="2"/>
  <c r="AC258" i="2" s="1"/>
  <c r="X258" i="2"/>
  <c r="W258" i="2"/>
  <c r="V258" i="2"/>
  <c r="T258" i="2" s="1"/>
  <c r="U258" i="2" s="1"/>
  <c r="AF257" i="2"/>
  <c r="AE257" i="2"/>
  <c r="AD257" i="2"/>
  <c r="AG257" i="2" s="1"/>
  <c r="AB257" i="2"/>
  <c r="AA257" i="2"/>
  <c r="Z257" i="2"/>
  <c r="X257" i="2"/>
  <c r="W257" i="2"/>
  <c r="V257" i="2"/>
  <c r="AF256" i="2"/>
  <c r="AE256" i="2"/>
  <c r="AD256" i="2"/>
  <c r="AG256" i="2" s="1"/>
  <c r="AB256" i="2"/>
  <c r="AA256" i="2"/>
  <c r="Z256" i="2"/>
  <c r="AC256" i="2" s="1"/>
  <c r="X256" i="2"/>
  <c r="W256" i="2"/>
  <c r="V256" i="2"/>
  <c r="T256" i="2" s="1"/>
  <c r="U256" i="2" s="1"/>
  <c r="AF255" i="2"/>
  <c r="AE255" i="2"/>
  <c r="AD255" i="2"/>
  <c r="AG255" i="2" s="1"/>
  <c r="AB255" i="2"/>
  <c r="AA255" i="2"/>
  <c r="Z255" i="2"/>
  <c r="AC255" i="2" s="1"/>
  <c r="X255" i="2"/>
  <c r="W255" i="2"/>
  <c r="V255" i="2"/>
  <c r="T255" i="2" s="1"/>
  <c r="U255" i="2" s="1"/>
  <c r="AF254" i="2"/>
  <c r="AE254" i="2"/>
  <c r="AD254" i="2"/>
  <c r="AG254" i="2" s="1"/>
  <c r="AB254" i="2"/>
  <c r="AA254" i="2"/>
  <c r="Z254" i="2"/>
  <c r="AC254" i="2" s="1"/>
  <c r="X254" i="2"/>
  <c r="W254" i="2"/>
  <c r="V254" i="2"/>
  <c r="AF253" i="2"/>
  <c r="AE253" i="2"/>
  <c r="AD253" i="2"/>
  <c r="AG253" i="2" s="1"/>
  <c r="AB253" i="2"/>
  <c r="AA253" i="2"/>
  <c r="Z253" i="2"/>
  <c r="AC253" i="2" s="1"/>
  <c r="X253" i="2"/>
  <c r="W253" i="2"/>
  <c r="V253" i="2"/>
  <c r="T253" i="2" s="1"/>
  <c r="U253" i="2" s="1"/>
  <c r="AF252" i="2"/>
  <c r="AE252" i="2"/>
  <c r="AD252" i="2"/>
  <c r="AG252" i="2" s="1"/>
  <c r="AB252" i="2"/>
  <c r="AA252" i="2"/>
  <c r="Z252" i="2"/>
  <c r="AC252" i="2" s="1"/>
  <c r="X252" i="2"/>
  <c r="W252" i="2"/>
  <c r="V252" i="2"/>
  <c r="T252" i="2" s="1"/>
  <c r="U252" i="2" s="1"/>
  <c r="AF251" i="2"/>
  <c r="AE251" i="2"/>
  <c r="AD251" i="2"/>
  <c r="AG251" i="2" s="1"/>
  <c r="AB251" i="2"/>
  <c r="AA251" i="2"/>
  <c r="Z251" i="2"/>
  <c r="AC251" i="2" s="1"/>
  <c r="X251" i="2"/>
  <c r="W251" i="2"/>
  <c r="V251" i="2"/>
  <c r="T251" i="2" s="1"/>
  <c r="U251" i="2" s="1"/>
  <c r="AF250" i="2"/>
  <c r="AE250" i="2"/>
  <c r="AD250" i="2"/>
  <c r="AG250" i="2" s="1"/>
  <c r="AB250" i="2"/>
  <c r="AA250" i="2"/>
  <c r="Z250" i="2"/>
  <c r="AC250" i="2" s="1"/>
  <c r="X250" i="2"/>
  <c r="W250" i="2"/>
  <c r="V250" i="2"/>
  <c r="T250" i="2" s="1"/>
  <c r="U250" i="2" s="1"/>
  <c r="AF249" i="2"/>
  <c r="AE249" i="2"/>
  <c r="AD249" i="2"/>
  <c r="AG249" i="2" s="1"/>
  <c r="AB249" i="2"/>
  <c r="AA249" i="2"/>
  <c r="Z249" i="2"/>
  <c r="AC249" i="2" s="1"/>
  <c r="X249" i="2"/>
  <c r="W249" i="2"/>
  <c r="V249" i="2"/>
  <c r="T249" i="2" s="1"/>
  <c r="U249" i="2" s="1"/>
  <c r="AF248" i="2"/>
  <c r="AE248" i="2"/>
  <c r="AD248" i="2"/>
  <c r="AG248" i="2" s="1"/>
  <c r="AB248" i="2"/>
  <c r="AA248" i="2"/>
  <c r="Z248" i="2"/>
  <c r="AC248" i="2" s="1"/>
  <c r="X248" i="2"/>
  <c r="W248" i="2"/>
  <c r="V248" i="2"/>
  <c r="T248" i="2" s="1"/>
  <c r="U248" i="2" s="1"/>
  <c r="AF247" i="2"/>
  <c r="AE247" i="2"/>
  <c r="AD247" i="2"/>
  <c r="AG247" i="2" s="1"/>
  <c r="AB247" i="2"/>
  <c r="AA247" i="2"/>
  <c r="Z247" i="2"/>
  <c r="AC247" i="2" s="1"/>
  <c r="X247" i="2"/>
  <c r="W247" i="2"/>
  <c r="V247" i="2"/>
  <c r="T247" i="2" s="1"/>
  <c r="U247" i="2" s="1"/>
  <c r="AF246" i="2"/>
  <c r="AE246" i="2"/>
  <c r="AD246" i="2"/>
  <c r="AG246" i="2" s="1"/>
  <c r="AB246" i="2"/>
  <c r="AA246" i="2"/>
  <c r="Z246" i="2"/>
  <c r="X246" i="2"/>
  <c r="W246" i="2"/>
  <c r="V246" i="2"/>
  <c r="AF245" i="2"/>
  <c r="AE245" i="2"/>
  <c r="AD245" i="2"/>
  <c r="AG245" i="2" s="1"/>
  <c r="AB245" i="2"/>
  <c r="AA245" i="2"/>
  <c r="Z245" i="2"/>
  <c r="AC245" i="2" s="1"/>
  <c r="X245" i="2"/>
  <c r="W245" i="2"/>
  <c r="V245" i="2"/>
  <c r="T245" i="2" s="1"/>
  <c r="U245" i="2" s="1"/>
  <c r="AF244" i="2"/>
  <c r="AE244" i="2"/>
  <c r="AD244" i="2"/>
  <c r="AG244" i="2" s="1"/>
  <c r="AB244" i="2"/>
  <c r="AA244" i="2"/>
  <c r="Z244" i="2"/>
  <c r="AC244" i="2" s="1"/>
  <c r="X244" i="2"/>
  <c r="W244" i="2"/>
  <c r="V244" i="2"/>
  <c r="T244" i="2" s="1"/>
  <c r="U244" i="2" s="1"/>
  <c r="AF243" i="2"/>
  <c r="AE243" i="2"/>
  <c r="AD243" i="2"/>
  <c r="AG243" i="2" s="1"/>
  <c r="AB243" i="2"/>
  <c r="AA243" i="2"/>
  <c r="Z243" i="2"/>
  <c r="AC243" i="2" s="1"/>
  <c r="X243" i="2"/>
  <c r="W243" i="2"/>
  <c r="V243" i="2"/>
  <c r="T243" i="2" s="1"/>
  <c r="U243" i="2" s="1"/>
  <c r="AF242" i="2"/>
  <c r="AE242" i="2"/>
  <c r="AD242" i="2"/>
  <c r="AG242" i="2" s="1"/>
  <c r="AB242" i="2"/>
  <c r="AA242" i="2"/>
  <c r="Z242" i="2"/>
  <c r="X242" i="2"/>
  <c r="W242" i="2"/>
  <c r="V242" i="2"/>
  <c r="AF241" i="2"/>
  <c r="AE241" i="2"/>
  <c r="AD241" i="2"/>
  <c r="AG241" i="2" s="1"/>
  <c r="AB241" i="2"/>
  <c r="AA241" i="2"/>
  <c r="Z241" i="2"/>
  <c r="AC241" i="2" s="1"/>
  <c r="X241" i="2"/>
  <c r="W241" i="2"/>
  <c r="V241" i="2"/>
  <c r="T241" i="2" s="1"/>
  <c r="U241" i="2" s="1"/>
  <c r="AF240" i="2"/>
  <c r="AE240" i="2"/>
  <c r="AD240" i="2"/>
  <c r="AG240" i="2" s="1"/>
  <c r="AB240" i="2"/>
  <c r="AA240" i="2"/>
  <c r="Z240" i="2"/>
  <c r="AC240" i="2" s="1"/>
  <c r="X240" i="2"/>
  <c r="W240" i="2"/>
  <c r="V240" i="2"/>
  <c r="T240" i="2" s="1"/>
  <c r="U240" i="2" s="1"/>
  <c r="AF239" i="2"/>
  <c r="AE239" i="2"/>
  <c r="AD239" i="2"/>
  <c r="AG239" i="2" s="1"/>
  <c r="AB239" i="2"/>
  <c r="AA239" i="2"/>
  <c r="Z239" i="2"/>
  <c r="AC239" i="2" s="1"/>
  <c r="X239" i="2"/>
  <c r="W239" i="2"/>
  <c r="V239" i="2"/>
  <c r="T239" i="2" s="1"/>
  <c r="U239" i="2" s="1"/>
  <c r="AF238" i="2"/>
  <c r="AE238" i="2"/>
  <c r="AD238" i="2"/>
  <c r="AG238" i="2" s="1"/>
  <c r="AB238" i="2"/>
  <c r="AA238" i="2"/>
  <c r="Z238" i="2"/>
  <c r="AC238" i="2" s="1"/>
  <c r="X238" i="2"/>
  <c r="W238" i="2"/>
  <c r="V238" i="2"/>
  <c r="AF237" i="2"/>
  <c r="AE237" i="2"/>
  <c r="AD237" i="2"/>
  <c r="AG237" i="2" s="1"/>
  <c r="AB237" i="2"/>
  <c r="AA237" i="2"/>
  <c r="Z237" i="2"/>
  <c r="AC237" i="2" s="1"/>
  <c r="X237" i="2"/>
  <c r="W237" i="2"/>
  <c r="V237" i="2"/>
  <c r="T237" i="2" s="1"/>
  <c r="U237" i="2" s="1"/>
  <c r="AF236" i="2"/>
  <c r="AE236" i="2"/>
  <c r="AD236" i="2"/>
  <c r="AG236" i="2" s="1"/>
  <c r="AB236" i="2"/>
  <c r="AA236" i="2"/>
  <c r="Z236" i="2"/>
  <c r="AC236" i="2" s="1"/>
  <c r="X236" i="2"/>
  <c r="W236" i="2"/>
  <c r="V236" i="2"/>
  <c r="T236" i="2" s="1"/>
  <c r="U236" i="2" s="1"/>
  <c r="AF235" i="2"/>
  <c r="AE235" i="2"/>
  <c r="AD235" i="2"/>
  <c r="AG235" i="2" s="1"/>
  <c r="AB235" i="2"/>
  <c r="AA235" i="2"/>
  <c r="Z235" i="2"/>
  <c r="AC235" i="2" s="1"/>
  <c r="X235" i="2"/>
  <c r="W235" i="2"/>
  <c r="V235" i="2"/>
  <c r="T235" i="2" s="1"/>
  <c r="U235" i="2" s="1"/>
  <c r="AF234" i="2"/>
  <c r="AE234" i="2"/>
  <c r="AD234" i="2"/>
  <c r="AG234" i="2" s="1"/>
  <c r="AB234" i="2"/>
  <c r="AA234" i="2"/>
  <c r="Z234" i="2"/>
  <c r="X234" i="2"/>
  <c r="W234" i="2"/>
  <c r="V234" i="2"/>
  <c r="AF233" i="2"/>
  <c r="AE233" i="2"/>
  <c r="AD233" i="2"/>
  <c r="AG233" i="2" s="1"/>
  <c r="AB233" i="2"/>
  <c r="AA233" i="2"/>
  <c r="Z233" i="2"/>
  <c r="AC233" i="2" s="1"/>
  <c r="X233" i="2"/>
  <c r="W233" i="2"/>
  <c r="V233" i="2"/>
  <c r="T233" i="2" s="1"/>
  <c r="U233" i="2" s="1"/>
  <c r="AF232" i="2"/>
  <c r="AE232" i="2"/>
  <c r="AD232" i="2"/>
  <c r="AG232" i="2" s="1"/>
  <c r="AB232" i="2"/>
  <c r="AA232" i="2"/>
  <c r="Z232" i="2"/>
  <c r="AC232" i="2" s="1"/>
  <c r="X232" i="2"/>
  <c r="W232" i="2"/>
  <c r="V232" i="2"/>
  <c r="T232" i="2" s="1"/>
  <c r="U232" i="2" s="1"/>
  <c r="AF231" i="2"/>
  <c r="AE231" i="2"/>
  <c r="AD231" i="2"/>
  <c r="AG231" i="2" s="1"/>
  <c r="AB231" i="2"/>
  <c r="AA231" i="2"/>
  <c r="Z231" i="2"/>
  <c r="AC231" i="2" s="1"/>
  <c r="X231" i="2"/>
  <c r="W231" i="2"/>
  <c r="V231" i="2"/>
  <c r="T231" i="2" s="1"/>
  <c r="U231" i="2" s="1"/>
  <c r="AF230" i="2"/>
  <c r="AE230" i="2"/>
  <c r="AD230" i="2"/>
  <c r="AG230" i="2" s="1"/>
  <c r="AB230" i="2"/>
  <c r="AA230" i="2"/>
  <c r="Z230" i="2"/>
  <c r="AC230" i="2" s="1"/>
  <c r="X230" i="2"/>
  <c r="W230" i="2"/>
  <c r="V230" i="2"/>
  <c r="AF229" i="2"/>
  <c r="AE229" i="2"/>
  <c r="AD229" i="2"/>
  <c r="AG229" i="2" s="1"/>
  <c r="AB229" i="2"/>
  <c r="AA229" i="2"/>
  <c r="Z229" i="2"/>
  <c r="X229" i="2"/>
  <c r="W229" i="2"/>
  <c r="V229" i="2"/>
  <c r="AF228" i="2"/>
  <c r="AE228" i="2"/>
  <c r="AD228" i="2"/>
  <c r="AG228" i="2" s="1"/>
  <c r="AB228" i="2"/>
  <c r="AA228" i="2"/>
  <c r="Z228" i="2"/>
  <c r="AC228" i="2" s="1"/>
  <c r="X228" i="2"/>
  <c r="W228" i="2"/>
  <c r="V228" i="2"/>
  <c r="T228" i="2" s="1"/>
  <c r="U228" i="2" s="1"/>
  <c r="AF227" i="2"/>
  <c r="AE227" i="2"/>
  <c r="AD227" i="2"/>
  <c r="AG227" i="2" s="1"/>
  <c r="AB227" i="2"/>
  <c r="AA227" i="2"/>
  <c r="Z227" i="2"/>
  <c r="AC227" i="2" s="1"/>
  <c r="X227" i="2"/>
  <c r="W227" i="2"/>
  <c r="V227" i="2"/>
  <c r="T227" i="2" s="1"/>
  <c r="U227" i="2" s="1"/>
  <c r="AF226" i="2"/>
  <c r="AE226" i="2"/>
  <c r="AD226" i="2"/>
  <c r="AG226" i="2" s="1"/>
  <c r="AB226" i="2"/>
  <c r="AA226" i="2"/>
  <c r="Z226" i="2"/>
  <c r="AC226" i="2" s="1"/>
  <c r="X226" i="2"/>
  <c r="W226" i="2"/>
  <c r="V226" i="2"/>
  <c r="T226" i="2" s="1"/>
  <c r="U226" i="2" s="1"/>
  <c r="AF225" i="2"/>
  <c r="AE225" i="2"/>
  <c r="AD225" i="2"/>
  <c r="AG225" i="2" s="1"/>
  <c r="AB225" i="2"/>
  <c r="AA225" i="2"/>
  <c r="Z225" i="2"/>
  <c r="AC225" i="2" s="1"/>
  <c r="X225" i="2"/>
  <c r="W225" i="2"/>
  <c r="V225" i="2"/>
  <c r="T225" i="2" s="1"/>
  <c r="U225" i="2" s="1"/>
  <c r="AF224" i="2"/>
  <c r="AE224" i="2"/>
  <c r="AD224" i="2"/>
  <c r="AG224" i="2" s="1"/>
  <c r="AB224" i="2"/>
  <c r="AA224" i="2"/>
  <c r="Z224" i="2"/>
  <c r="AC224" i="2" s="1"/>
  <c r="X224" i="2"/>
  <c r="W224" i="2"/>
  <c r="V224" i="2"/>
  <c r="T224" i="2" s="1"/>
  <c r="U224" i="2" s="1"/>
  <c r="AF223" i="2"/>
  <c r="AE223" i="2"/>
  <c r="AD223" i="2"/>
  <c r="AG223" i="2" s="1"/>
  <c r="AB223" i="2"/>
  <c r="AA223" i="2"/>
  <c r="Z223" i="2"/>
  <c r="AC223" i="2" s="1"/>
  <c r="X223" i="2"/>
  <c r="W223" i="2"/>
  <c r="V223" i="2"/>
  <c r="T223" i="2" s="1"/>
  <c r="U223" i="2" s="1"/>
  <c r="AF222" i="2"/>
  <c r="AE222" i="2"/>
  <c r="AD222" i="2"/>
  <c r="AG222" i="2" s="1"/>
  <c r="AB222" i="2"/>
  <c r="AA222" i="2"/>
  <c r="Z222" i="2"/>
  <c r="AC222" i="2" s="1"/>
  <c r="X222" i="2"/>
  <c r="W222" i="2"/>
  <c r="V222" i="2"/>
  <c r="AF221" i="2"/>
  <c r="AE221" i="2"/>
  <c r="AD221" i="2"/>
  <c r="AG221" i="2" s="1"/>
  <c r="AB221" i="2"/>
  <c r="AA221" i="2"/>
  <c r="Z221" i="2"/>
  <c r="AC221" i="2" s="1"/>
  <c r="X221" i="2"/>
  <c r="W221" i="2"/>
  <c r="V221" i="2"/>
  <c r="T221" i="2" s="1"/>
  <c r="U221" i="2" s="1"/>
  <c r="AF220" i="2"/>
  <c r="AE220" i="2"/>
  <c r="AD220" i="2"/>
  <c r="AG220" i="2" s="1"/>
  <c r="AB220" i="2"/>
  <c r="AA220" i="2"/>
  <c r="Z220" i="2"/>
  <c r="AC220" i="2" s="1"/>
  <c r="X220" i="2"/>
  <c r="W220" i="2"/>
  <c r="V220" i="2"/>
  <c r="T220" i="2" s="1"/>
  <c r="U220" i="2" s="1"/>
  <c r="AF219" i="2"/>
  <c r="AE219" i="2"/>
  <c r="AD219" i="2"/>
  <c r="AG219" i="2" s="1"/>
  <c r="AB219" i="2"/>
  <c r="AA219" i="2"/>
  <c r="Z219" i="2"/>
  <c r="AC219" i="2" s="1"/>
  <c r="X219" i="2"/>
  <c r="W219" i="2"/>
  <c r="V219" i="2"/>
  <c r="T219" i="2" s="1"/>
  <c r="U219" i="2" s="1"/>
  <c r="AF218" i="2"/>
  <c r="AE218" i="2"/>
  <c r="AD218" i="2"/>
  <c r="AG218" i="2" s="1"/>
  <c r="AB218" i="2"/>
  <c r="AA218" i="2"/>
  <c r="Z218" i="2"/>
  <c r="AC218" i="2" s="1"/>
  <c r="X218" i="2"/>
  <c r="W218" i="2"/>
  <c r="V218" i="2"/>
  <c r="T218" i="2" s="1"/>
  <c r="U218" i="2" s="1"/>
  <c r="AF217" i="2"/>
  <c r="AE217" i="2"/>
  <c r="AD217" i="2"/>
  <c r="AG217" i="2" s="1"/>
  <c r="AB217" i="2"/>
  <c r="AA217" i="2"/>
  <c r="Z217" i="2"/>
  <c r="AC217" i="2" s="1"/>
  <c r="X217" i="2"/>
  <c r="W217" i="2"/>
  <c r="V217" i="2"/>
  <c r="T217" i="2" s="1"/>
  <c r="U217" i="2" s="1"/>
  <c r="AF216" i="2"/>
  <c r="AE216" i="2"/>
  <c r="AD216" i="2"/>
  <c r="AG216" i="2" s="1"/>
  <c r="AB216" i="2"/>
  <c r="AA216" i="2"/>
  <c r="Z216" i="2"/>
  <c r="AC216" i="2" s="1"/>
  <c r="X216" i="2"/>
  <c r="W216" i="2"/>
  <c r="V216" i="2"/>
  <c r="T216" i="2" s="1"/>
  <c r="U216" i="2" s="1"/>
  <c r="AF215" i="2"/>
  <c r="AE215" i="2"/>
  <c r="AD215" i="2"/>
  <c r="AG215" i="2" s="1"/>
  <c r="AB215" i="2"/>
  <c r="AA215" i="2"/>
  <c r="Z215" i="2"/>
  <c r="AC215" i="2" s="1"/>
  <c r="X215" i="2"/>
  <c r="W215" i="2"/>
  <c r="V215" i="2"/>
  <c r="T215" i="2" s="1"/>
  <c r="U215" i="2" s="1"/>
  <c r="AF214" i="2"/>
  <c r="AE214" i="2"/>
  <c r="AD214" i="2"/>
  <c r="AG214" i="2" s="1"/>
  <c r="AB214" i="2"/>
  <c r="AA214" i="2"/>
  <c r="Z214" i="2"/>
  <c r="X214" i="2"/>
  <c r="W214" i="2"/>
  <c r="V214" i="2"/>
  <c r="AF213" i="2"/>
  <c r="AE213" i="2"/>
  <c r="AD213" i="2"/>
  <c r="AG213" i="2" s="1"/>
  <c r="AB213" i="2"/>
  <c r="AA213" i="2"/>
  <c r="Z213" i="2"/>
  <c r="AC213" i="2" s="1"/>
  <c r="X213" i="2"/>
  <c r="W213" i="2"/>
  <c r="V213" i="2"/>
  <c r="T213" i="2" s="1"/>
  <c r="U213" i="2" s="1"/>
  <c r="AF212" i="2"/>
  <c r="AE212" i="2"/>
  <c r="AD212" i="2"/>
  <c r="AG212" i="2" s="1"/>
  <c r="AB212" i="2"/>
  <c r="AA212" i="2"/>
  <c r="Z212" i="2"/>
  <c r="AC212" i="2" s="1"/>
  <c r="X212" i="2"/>
  <c r="W212" i="2"/>
  <c r="V212" i="2"/>
  <c r="T212" i="2" s="1"/>
  <c r="U212" i="2" s="1"/>
  <c r="AF211" i="2"/>
  <c r="AE211" i="2"/>
  <c r="AD211" i="2"/>
  <c r="AG211" i="2" s="1"/>
  <c r="AB211" i="2"/>
  <c r="AA211" i="2"/>
  <c r="Z211" i="2"/>
  <c r="AC211" i="2" s="1"/>
  <c r="X211" i="2"/>
  <c r="W211" i="2"/>
  <c r="V211" i="2"/>
  <c r="T211" i="2" s="1"/>
  <c r="U211" i="2" s="1"/>
  <c r="AF210" i="2"/>
  <c r="AE210" i="2"/>
  <c r="AD210" i="2"/>
  <c r="AG210" i="2" s="1"/>
  <c r="AB210" i="2"/>
  <c r="AA210" i="2"/>
  <c r="Z210" i="2"/>
  <c r="X210" i="2"/>
  <c r="W210" i="2"/>
  <c r="V210" i="2"/>
  <c r="AF209" i="2"/>
  <c r="AE209" i="2"/>
  <c r="AD209" i="2"/>
  <c r="AG209" i="2" s="1"/>
  <c r="AB209" i="2"/>
  <c r="AA209" i="2"/>
  <c r="Z209" i="2"/>
  <c r="AC209" i="2" s="1"/>
  <c r="X209" i="2"/>
  <c r="W209" i="2"/>
  <c r="V209" i="2"/>
  <c r="T209" i="2" s="1"/>
  <c r="U209" i="2" s="1"/>
  <c r="AF208" i="2"/>
  <c r="AE208" i="2"/>
  <c r="AD208" i="2"/>
  <c r="AG208" i="2" s="1"/>
  <c r="AB208" i="2"/>
  <c r="AA208" i="2"/>
  <c r="Z208" i="2"/>
  <c r="AC208" i="2" s="1"/>
  <c r="X208" i="2"/>
  <c r="W208" i="2"/>
  <c r="V208" i="2"/>
  <c r="T208" i="2" s="1"/>
  <c r="U208" i="2" s="1"/>
  <c r="AF207" i="2"/>
  <c r="AE207" i="2"/>
  <c r="AD207" i="2"/>
  <c r="AG207" i="2" s="1"/>
  <c r="AB207" i="2"/>
  <c r="AA207" i="2"/>
  <c r="Z207" i="2"/>
  <c r="AC207" i="2" s="1"/>
  <c r="X207" i="2"/>
  <c r="W207" i="2"/>
  <c r="V207" i="2"/>
  <c r="T207" i="2" s="1"/>
  <c r="U207" i="2" s="1"/>
  <c r="AF206" i="2"/>
  <c r="AE206" i="2"/>
  <c r="AD206" i="2"/>
  <c r="AG206" i="2" s="1"/>
  <c r="AB206" i="2"/>
  <c r="AA206" i="2"/>
  <c r="Z206" i="2"/>
  <c r="AC206" i="2" s="1"/>
  <c r="X206" i="2"/>
  <c r="W206" i="2"/>
  <c r="V206" i="2"/>
  <c r="AF205" i="2"/>
  <c r="AE205" i="2"/>
  <c r="AD205" i="2"/>
  <c r="AG205" i="2" s="1"/>
  <c r="AB205" i="2"/>
  <c r="AA205" i="2"/>
  <c r="Z205" i="2"/>
  <c r="AC205" i="2" s="1"/>
  <c r="X205" i="2"/>
  <c r="W205" i="2"/>
  <c r="V205" i="2"/>
  <c r="T205" i="2" s="1"/>
  <c r="U205" i="2" s="1"/>
  <c r="AF204" i="2"/>
  <c r="AE204" i="2"/>
  <c r="AD204" i="2"/>
  <c r="AG204" i="2" s="1"/>
  <c r="AB204" i="2"/>
  <c r="AA204" i="2"/>
  <c r="Z204" i="2"/>
  <c r="AC204" i="2" s="1"/>
  <c r="X204" i="2"/>
  <c r="W204" i="2"/>
  <c r="V204" i="2"/>
  <c r="T204" i="2" s="1"/>
  <c r="U204" i="2" s="1"/>
  <c r="AF203" i="2"/>
  <c r="AE203" i="2"/>
  <c r="AD203" i="2"/>
  <c r="AG203" i="2" s="1"/>
  <c r="AB203" i="2"/>
  <c r="AA203" i="2"/>
  <c r="Z203" i="2"/>
  <c r="AC203" i="2" s="1"/>
  <c r="X203" i="2"/>
  <c r="W203" i="2"/>
  <c r="V203" i="2"/>
  <c r="T203" i="2" s="1"/>
  <c r="U203" i="2" s="1"/>
  <c r="AF202" i="2"/>
  <c r="AE202" i="2"/>
  <c r="AD202" i="2"/>
  <c r="AG202" i="2" s="1"/>
  <c r="AB202" i="2"/>
  <c r="AA202" i="2"/>
  <c r="Z202" i="2"/>
  <c r="X202" i="2"/>
  <c r="W202" i="2"/>
  <c r="V202" i="2"/>
  <c r="AF201" i="2"/>
  <c r="AE201" i="2"/>
  <c r="AD201" i="2"/>
  <c r="AG201" i="2" s="1"/>
  <c r="AB201" i="2"/>
  <c r="AA201" i="2"/>
  <c r="Z201" i="2"/>
  <c r="AC201" i="2" s="1"/>
  <c r="X201" i="2"/>
  <c r="W201" i="2"/>
  <c r="V201" i="2"/>
  <c r="T201" i="2" s="1"/>
  <c r="U201" i="2" s="1"/>
  <c r="AF200" i="2"/>
  <c r="AE200" i="2"/>
  <c r="AD200" i="2"/>
  <c r="AG200" i="2" s="1"/>
  <c r="AB200" i="2"/>
  <c r="AA200" i="2"/>
  <c r="Z200" i="2"/>
  <c r="AC200" i="2" s="1"/>
  <c r="X200" i="2"/>
  <c r="W200" i="2"/>
  <c r="V200" i="2"/>
  <c r="T200" i="2" s="1"/>
  <c r="U200" i="2" s="1"/>
  <c r="AF199" i="2"/>
  <c r="AE199" i="2"/>
  <c r="AD199" i="2"/>
  <c r="AG199" i="2" s="1"/>
  <c r="AB199" i="2"/>
  <c r="AA199" i="2"/>
  <c r="Z199" i="2"/>
  <c r="AC199" i="2" s="1"/>
  <c r="X199" i="2"/>
  <c r="W199" i="2"/>
  <c r="V199" i="2"/>
  <c r="T199" i="2" s="1"/>
  <c r="U199" i="2" s="1"/>
  <c r="AF198" i="2"/>
  <c r="AE198" i="2"/>
  <c r="AD198" i="2"/>
  <c r="AG198" i="2" s="1"/>
  <c r="AB198" i="2"/>
  <c r="AA198" i="2"/>
  <c r="Z198" i="2"/>
  <c r="AC198" i="2" s="1"/>
  <c r="X198" i="2"/>
  <c r="W198" i="2"/>
  <c r="V198" i="2"/>
  <c r="AF197" i="2"/>
  <c r="AE197" i="2"/>
  <c r="AD197" i="2"/>
  <c r="AG197" i="2" s="1"/>
  <c r="AB197" i="2"/>
  <c r="AA197" i="2"/>
  <c r="Z197" i="2"/>
  <c r="X197" i="2"/>
  <c r="W197" i="2"/>
  <c r="V197" i="2"/>
  <c r="AF196" i="2"/>
  <c r="AE196" i="2"/>
  <c r="AD196" i="2"/>
  <c r="AG196" i="2" s="1"/>
  <c r="AB196" i="2"/>
  <c r="AA196" i="2"/>
  <c r="Z196" i="2"/>
  <c r="AC196" i="2" s="1"/>
  <c r="X196" i="2"/>
  <c r="W196" i="2"/>
  <c r="V196" i="2"/>
  <c r="T196" i="2" s="1"/>
  <c r="U196" i="2" s="1"/>
  <c r="AF195" i="2"/>
  <c r="AE195" i="2"/>
  <c r="AD195" i="2"/>
  <c r="AG195" i="2" s="1"/>
  <c r="AB195" i="2"/>
  <c r="AA195" i="2"/>
  <c r="Z195" i="2"/>
  <c r="AC195" i="2" s="1"/>
  <c r="X195" i="2"/>
  <c r="W195" i="2"/>
  <c r="V195" i="2"/>
  <c r="T195" i="2" s="1"/>
  <c r="U195" i="2" s="1"/>
  <c r="AF194" i="2"/>
  <c r="AE194" i="2"/>
  <c r="AD194" i="2"/>
  <c r="AG194" i="2" s="1"/>
  <c r="AB194" i="2"/>
  <c r="AA194" i="2"/>
  <c r="Z194" i="2"/>
  <c r="AC194" i="2" s="1"/>
  <c r="X194" i="2"/>
  <c r="W194" i="2"/>
  <c r="V194" i="2"/>
  <c r="T194" i="2" s="1"/>
  <c r="U194" i="2" s="1"/>
  <c r="AF193" i="2"/>
  <c r="AE193" i="2"/>
  <c r="AD193" i="2"/>
  <c r="AG193" i="2" s="1"/>
  <c r="AB193" i="2"/>
  <c r="AA193" i="2"/>
  <c r="Z193" i="2"/>
  <c r="AC193" i="2" s="1"/>
  <c r="X193" i="2"/>
  <c r="W193" i="2"/>
  <c r="V193" i="2"/>
  <c r="T193" i="2" s="1"/>
  <c r="U193" i="2" s="1"/>
  <c r="AF192" i="2"/>
  <c r="AE192" i="2"/>
  <c r="AD192" i="2"/>
  <c r="AG192" i="2" s="1"/>
  <c r="AB192" i="2"/>
  <c r="AA192" i="2"/>
  <c r="Z192" i="2"/>
  <c r="AC192" i="2" s="1"/>
  <c r="X192" i="2"/>
  <c r="W192" i="2"/>
  <c r="V192" i="2"/>
  <c r="T192" i="2" s="1"/>
  <c r="U192" i="2" s="1"/>
  <c r="AF191" i="2"/>
  <c r="AE191" i="2"/>
  <c r="AD191" i="2"/>
  <c r="AG191" i="2" s="1"/>
  <c r="AB191" i="2"/>
  <c r="AA191" i="2"/>
  <c r="Z191" i="2"/>
  <c r="AC191" i="2" s="1"/>
  <c r="X191" i="2"/>
  <c r="W191" i="2"/>
  <c r="V191" i="2"/>
  <c r="T191" i="2" s="1"/>
  <c r="U191" i="2" s="1"/>
  <c r="AF190" i="2"/>
  <c r="AE190" i="2"/>
  <c r="AD190" i="2"/>
  <c r="AG190" i="2" s="1"/>
  <c r="AB190" i="2"/>
  <c r="AA190" i="2"/>
  <c r="Z190" i="2"/>
  <c r="AC190" i="2" s="1"/>
  <c r="X190" i="2"/>
  <c r="W190" i="2"/>
  <c r="V190" i="2"/>
  <c r="AF189" i="2"/>
  <c r="AE189" i="2"/>
  <c r="AD189" i="2"/>
  <c r="AG189" i="2" s="1"/>
  <c r="AB189" i="2"/>
  <c r="AA189" i="2"/>
  <c r="Z189" i="2"/>
  <c r="X189" i="2"/>
  <c r="W189" i="2"/>
  <c r="V189" i="2"/>
  <c r="AF188" i="2"/>
  <c r="AE188" i="2"/>
  <c r="AD188" i="2"/>
  <c r="AG188" i="2" s="1"/>
  <c r="AB188" i="2"/>
  <c r="AA188" i="2"/>
  <c r="Z188" i="2"/>
  <c r="AC188" i="2" s="1"/>
  <c r="X188" i="2"/>
  <c r="W188" i="2"/>
  <c r="V188" i="2"/>
  <c r="T188" i="2" s="1"/>
  <c r="U188" i="2" s="1"/>
  <c r="AF187" i="2"/>
  <c r="AE187" i="2"/>
  <c r="AD187" i="2"/>
  <c r="AG187" i="2" s="1"/>
  <c r="AB187" i="2"/>
  <c r="AA187" i="2"/>
  <c r="Z187" i="2"/>
  <c r="AC187" i="2" s="1"/>
  <c r="X187" i="2"/>
  <c r="W187" i="2"/>
  <c r="V187" i="2"/>
  <c r="T187" i="2" s="1"/>
  <c r="U187" i="2" s="1"/>
  <c r="AF186" i="2"/>
  <c r="AE186" i="2"/>
  <c r="AD186" i="2"/>
  <c r="AG186" i="2" s="1"/>
  <c r="AB186" i="2"/>
  <c r="AA186" i="2"/>
  <c r="Z186" i="2"/>
  <c r="AC186" i="2" s="1"/>
  <c r="X186" i="2"/>
  <c r="W186" i="2"/>
  <c r="V186" i="2"/>
  <c r="T186" i="2" s="1"/>
  <c r="U186" i="2" s="1"/>
  <c r="AF185" i="2"/>
  <c r="AE185" i="2"/>
  <c r="AD185" i="2"/>
  <c r="AG185" i="2" s="1"/>
  <c r="AB185" i="2"/>
  <c r="AA185" i="2"/>
  <c r="Z185" i="2"/>
  <c r="AC185" i="2" s="1"/>
  <c r="X185" i="2"/>
  <c r="W185" i="2"/>
  <c r="V185" i="2"/>
  <c r="T185" i="2" s="1"/>
  <c r="U185" i="2" s="1"/>
  <c r="AF184" i="2"/>
  <c r="AE184" i="2"/>
  <c r="AD184" i="2"/>
  <c r="AG184" i="2" s="1"/>
  <c r="AB184" i="2"/>
  <c r="AA184" i="2"/>
  <c r="Z184" i="2"/>
  <c r="AC184" i="2" s="1"/>
  <c r="X184" i="2"/>
  <c r="W184" i="2"/>
  <c r="V184" i="2"/>
  <c r="T184" i="2" s="1"/>
  <c r="U184" i="2" s="1"/>
  <c r="AF183" i="2"/>
  <c r="AE183" i="2"/>
  <c r="AD183" i="2"/>
  <c r="AG183" i="2" s="1"/>
  <c r="AB183" i="2"/>
  <c r="AA183" i="2"/>
  <c r="Z183" i="2"/>
  <c r="AC183" i="2" s="1"/>
  <c r="X183" i="2"/>
  <c r="W183" i="2"/>
  <c r="V183" i="2"/>
  <c r="T183" i="2" s="1"/>
  <c r="U183" i="2" s="1"/>
  <c r="AF182" i="2"/>
  <c r="AE182" i="2"/>
  <c r="AD182" i="2"/>
  <c r="AG182" i="2" s="1"/>
  <c r="AB182" i="2"/>
  <c r="AA182" i="2"/>
  <c r="Z182" i="2"/>
  <c r="AC182" i="2" s="1"/>
  <c r="X182" i="2"/>
  <c r="W182" i="2"/>
  <c r="V182" i="2"/>
  <c r="AF181" i="2"/>
  <c r="AE181" i="2"/>
  <c r="AD181" i="2"/>
  <c r="AG181" i="2" s="1"/>
  <c r="AB181" i="2"/>
  <c r="AA181" i="2"/>
  <c r="Z181" i="2"/>
  <c r="X181" i="2"/>
  <c r="W181" i="2"/>
  <c r="V181" i="2"/>
  <c r="AF180" i="2"/>
  <c r="AE180" i="2"/>
  <c r="AD180" i="2"/>
  <c r="AG180" i="2" s="1"/>
  <c r="AB180" i="2"/>
  <c r="AA180" i="2"/>
  <c r="Z180" i="2"/>
  <c r="AC180" i="2" s="1"/>
  <c r="X180" i="2"/>
  <c r="W180" i="2"/>
  <c r="V180" i="2"/>
  <c r="T180" i="2" s="1"/>
  <c r="U180" i="2" s="1"/>
  <c r="AF179" i="2"/>
  <c r="AE179" i="2"/>
  <c r="AD179" i="2"/>
  <c r="AG179" i="2" s="1"/>
  <c r="AB179" i="2"/>
  <c r="AA179" i="2"/>
  <c r="Z179" i="2"/>
  <c r="AC179" i="2" s="1"/>
  <c r="X179" i="2"/>
  <c r="W179" i="2"/>
  <c r="V179" i="2"/>
  <c r="T179" i="2" s="1"/>
  <c r="U179" i="2" s="1"/>
  <c r="AF178" i="2"/>
  <c r="AE178" i="2"/>
  <c r="AD178" i="2"/>
  <c r="AG178" i="2" s="1"/>
  <c r="AB178" i="2"/>
  <c r="AA178" i="2"/>
  <c r="Z178" i="2"/>
  <c r="AC178" i="2" s="1"/>
  <c r="X178" i="2"/>
  <c r="W178" i="2"/>
  <c r="V178" i="2"/>
  <c r="T178" i="2" s="1"/>
  <c r="U178" i="2" s="1"/>
  <c r="AF177" i="2"/>
  <c r="AE177" i="2"/>
  <c r="AD177" i="2"/>
  <c r="AG177" i="2" s="1"/>
  <c r="AB177" i="2"/>
  <c r="AA177" i="2"/>
  <c r="Z177" i="2"/>
  <c r="AC177" i="2" s="1"/>
  <c r="X177" i="2"/>
  <c r="W177" i="2"/>
  <c r="V177" i="2"/>
  <c r="T177" i="2" s="1"/>
  <c r="U177" i="2" s="1"/>
  <c r="AF176" i="2"/>
  <c r="AE176" i="2"/>
  <c r="AD176" i="2"/>
  <c r="AG176" i="2" s="1"/>
  <c r="AB176" i="2"/>
  <c r="AA176" i="2"/>
  <c r="Z176" i="2"/>
  <c r="AC176" i="2" s="1"/>
  <c r="X176" i="2"/>
  <c r="W176" i="2"/>
  <c r="V176" i="2"/>
  <c r="T176" i="2" s="1"/>
  <c r="U176" i="2" s="1"/>
  <c r="AF175" i="2"/>
  <c r="AE175" i="2"/>
  <c r="AD175" i="2"/>
  <c r="AG175" i="2" s="1"/>
  <c r="AB175" i="2"/>
  <c r="AA175" i="2"/>
  <c r="Z175" i="2"/>
  <c r="X175" i="2"/>
  <c r="W175" i="2"/>
  <c r="V175" i="2"/>
  <c r="AI175" i="2" s="1"/>
  <c r="AF174" i="2"/>
  <c r="AE174" i="2"/>
  <c r="AD174" i="2"/>
  <c r="AG174" i="2" s="1"/>
  <c r="AB174" i="2"/>
  <c r="AA174" i="2"/>
  <c r="Z174" i="2"/>
  <c r="AC174" i="2" s="1"/>
  <c r="X174" i="2"/>
  <c r="W174" i="2"/>
  <c r="V174" i="2"/>
  <c r="AF173" i="2"/>
  <c r="AE173" i="2"/>
  <c r="AD173" i="2"/>
  <c r="AG173" i="2" s="1"/>
  <c r="AB173" i="2"/>
  <c r="AA173" i="2"/>
  <c r="Z173" i="2"/>
  <c r="AC173" i="2" s="1"/>
  <c r="X173" i="2"/>
  <c r="W173" i="2"/>
  <c r="V173" i="2"/>
  <c r="T173" i="2" s="1"/>
  <c r="U173" i="2" s="1"/>
  <c r="AF172" i="2"/>
  <c r="AE172" i="2"/>
  <c r="AD172" i="2"/>
  <c r="AG172" i="2" s="1"/>
  <c r="AB172" i="2"/>
  <c r="AA172" i="2"/>
  <c r="Z172" i="2"/>
  <c r="AC172" i="2" s="1"/>
  <c r="X172" i="2"/>
  <c r="W172" i="2"/>
  <c r="V172" i="2"/>
  <c r="T172" i="2" s="1"/>
  <c r="U172" i="2" s="1"/>
  <c r="AF171" i="2"/>
  <c r="AE171" i="2"/>
  <c r="AD171" i="2"/>
  <c r="AG171" i="2" s="1"/>
  <c r="AB171" i="2"/>
  <c r="AA171" i="2"/>
  <c r="Z171" i="2"/>
  <c r="AC171" i="2" s="1"/>
  <c r="X171" i="2"/>
  <c r="W171" i="2"/>
  <c r="V171" i="2"/>
  <c r="T171" i="2" s="1"/>
  <c r="U171" i="2" s="1"/>
  <c r="AF170" i="2"/>
  <c r="AE170" i="2"/>
  <c r="AD170" i="2"/>
  <c r="AG170" i="2" s="1"/>
  <c r="AB170" i="2"/>
  <c r="AA170" i="2"/>
  <c r="Z170" i="2"/>
  <c r="X170" i="2"/>
  <c r="W170" i="2"/>
  <c r="V170" i="2"/>
  <c r="AF169" i="2"/>
  <c r="AE169" i="2"/>
  <c r="AD169" i="2"/>
  <c r="AG169" i="2" s="1"/>
  <c r="AB169" i="2"/>
  <c r="AA169" i="2"/>
  <c r="Z169" i="2"/>
  <c r="AC169" i="2" s="1"/>
  <c r="X169" i="2"/>
  <c r="W169" i="2"/>
  <c r="V169" i="2"/>
  <c r="T169" i="2" s="1"/>
  <c r="U169" i="2" s="1"/>
  <c r="AF168" i="2"/>
  <c r="AE168" i="2"/>
  <c r="AD168" i="2"/>
  <c r="AG168" i="2" s="1"/>
  <c r="AB168" i="2"/>
  <c r="AA168" i="2"/>
  <c r="Z168" i="2"/>
  <c r="AC168" i="2" s="1"/>
  <c r="X168" i="2"/>
  <c r="W168" i="2"/>
  <c r="V168" i="2"/>
  <c r="T168" i="2" s="1"/>
  <c r="U168" i="2" s="1"/>
  <c r="AF167" i="2"/>
  <c r="AE167" i="2"/>
  <c r="AD167" i="2"/>
  <c r="AG167" i="2" s="1"/>
  <c r="AB167" i="2"/>
  <c r="AA167" i="2"/>
  <c r="Z167" i="2"/>
  <c r="AC167" i="2" s="1"/>
  <c r="X167" i="2"/>
  <c r="W167" i="2"/>
  <c r="V167" i="2"/>
  <c r="T167" i="2" s="1"/>
  <c r="U167" i="2" s="1"/>
  <c r="AF166" i="2"/>
  <c r="AE166" i="2"/>
  <c r="AD166" i="2"/>
  <c r="AG166" i="2" s="1"/>
  <c r="AB166" i="2"/>
  <c r="AA166" i="2"/>
  <c r="Z166" i="2"/>
  <c r="AC166" i="2" s="1"/>
  <c r="X166" i="2"/>
  <c r="W166" i="2"/>
  <c r="V166" i="2"/>
  <c r="AF165" i="2"/>
  <c r="AE165" i="2"/>
  <c r="AD165" i="2"/>
  <c r="AG165" i="2" s="1"/>
  <c r="AB165" i="2"/>
  <c r="AA165" i="2"/>
  <c r="Z165" i="2"/>
  <c r="AC165" i="2" s="1"/>
  <c r="X165" i="2"/>
  <c r="W165" i="2"/>
  <c r="V165" i="2"/>
  <c r="T165" i="2" s="1"/>
  <c r="U165" i="2" s="1"/>
  <c r="AF164" i="2"/>
  <c r="AE164" i="2"/>
  <c r="AD164" i="2"/>
  <c r="AG164" i="2" s="1"/>
  <c r="AB164" i="2"/>
  <c r="AA164" i="2"/>
  <c r="Z164" i="2"/>
  <c r="AC164" i="2" s="1"/>
  <c r="X164" i="2"/>
  <c r="W164" i="2"/>
  <c r="V164" i="2"/>
  <c r="T164" i="2" s="1"/>
  <c r="U164" i="2" s="1"/>
  <c r="AF163" i="2"/>
  <c r="AE163" i="2"/>
  <c r="AD163" i="2"/>
  <c r="AG163" i="2" s="1"/>
  <c r="AB163" i="2"/>
  <c r="AA163" i="2"/>
  <c r="Z163" i="2"/>
  <c r="AC163" i="2" s="1"/>
  <c r="X163" i="2"/>
  <c r="W163" i="2"/>
  <c r="V163" i="2"/>
  <c r="T163" i="2" s="1"/>
  <c r="U163" i="2" s="1"/>
  <c r="AF162" i="2"/>
  <c r="AE162" i="2"/>
  <c r="AD162" i="2"/>
  <c r="AG162" i="2" s="1"/>
  <c r="AB162" i="2"/>
  <c r="AA162" i="2"/>
  <c r="Z162" i="2"/>
  <c r="AC162" i="2" s="1"/>
  <c r="X162" i="2"/>
  <c r="W162" i="2"/>
  <c r="V162" i="2"/>
  <c r="T162" i="2" s="1"/>
  <c r="U162" i="2" s="1"/>
  <c r="AF161" i="2"/>
  <c r="AE161" i="2"/>
  <c r="AD161" i="2"/>
  <c r="AG161" i="2" s="1"/>
  <c r="AB161" i="2"/>
  <c r="AA161" i="2"/>
  <c r="Z161" i="2"/>
  <c r="X161" i="2"/>
  <c r="W161" i="2"/>
  <c r="V161" i="2"/>
  <c r="AF160" i="2"/>
  <c r="AE160" i="2"/>
  <c r="AD160" i="2"/>
  <c r="AG160" i="2" s="1"/>
  <c r="AB160" i="2"/>
  <c r="AA160" i="2"/>
  <c r="Z160" i="2"/>
  <c r="AC160" i="2" s="1"/>
  <c r="X160" i="2"/>
  <c r="W160" i="2"/>
  <c r="V160" i="2"/>
  <c r="T160" i="2" s="1"/>
  <c r="U160" i="2" s="1"/>
  <c r="AF159" i="2"/>
  <c r="AE159" i="2"/>
  <c r="AD159" i="2"/>
  <c r="AG159" i="2" s="1"/>
  <c r="AB159" i="2"/>
  <c r="AA159" i="2"/>
  <c r="Z159" i="2"/>
  <c r="AC159" i="2" s="1"/>
  <c r="X159" i="2"/>
  <c r="W159" i="2"/>
  <c r="V159" i="2"/>
  <c r="T159" i="2" s="1"/>
  <c r="U159" i="2" s="1"/>
  <c r="AF158" i="2"/>
  <c r="AE158" i="2"/>
  <c r="AD158" i="2"/>
  <c r="AG158" i="2" s="1"/>
  <c r="AB158" i="2"/>
  <c r="AA158" i="2"/>
  <c r="Z158" i="2"/>
  <c r="AC158" i="2" s="1"/>
  <c r="X158" i="2"/>
  <c r="W158" i="2"/>
  <c r="V158" i="2"/>
  <c r="AF157" i="2"/>
  <c r="AE157" i="2"/>
  <c r="AD157" i="2"/>
  <c r="AG157" i="2" s="1"/>
  <c r="AB157" i="2"/>
  <c r="AA157" i="2"/>
  <c r="Z157" i="2"/>
  <c r="AC157" i="2" s="1"/>
  <c r="X157" i="2"/>
  <c r="W157" i="2"/>
  <c r="V157" i="2"/>
  <c r="T157" i="2" s="1"/>
  <c r="U157" i="2" s="1"/>
  <c r="AF156" i="2"/>
  <c r="AE156" i="2"/>
  <c r="AD156" i="2"/>
  <c r="AG156" i="2" s="1"/>
  <c r="AB156" i="2"/>
  <c r="AA156" i="2"/>
  <c r="Z156" i="2"/>
  <c r="AC156" i="2" s="1"/>
  <c r="X156" i="2"/>
  <c r="W156" i="2"/>
  <c r="V156" i="2"/>
  <c r="T156" i="2" s="1"/>
  <c r="U156" i="2" s="1"/>
  <c r="AF155" i="2"/>
  <c r="AE155" i="2"/>
  <c r="AD155" i="2"/>
  <c r="AG155" i="2" s="1"/>
  <c r="AB155" i="2"/>
  <c r="AA155" i="2"/>
  <c r="Z155" i="2"/>
  <c r="AC155" i="2" s="1"/>
  <c r="X155" i="2"/>
  <c r="W155" i="2"/>
  <c r="V155" i="2"/>
  <c r="T155" i="2" s="1"/>
  <c r="U155" i="2" s="1"/>
  <c r="AF154" i="2"/>
  <c r="AE154" i="2"/>
  <c r="AD154" i="2"/>
  <c r="AG154" i="2" s="1"/>
  <c r="AB154" i="2"/>
  <c r="AA154" i="2"/>
  <c r="Z154" i="2"/>
  <c r="AC154" i="2" s="1"/>
  <c r="X154" i="2"/>
  <c r="W154" i="2"/>
  <c r="V154" i="2"/>
  <c r="T154" i="2" s="1"/>
  <c r="U154" i="2" s="1"/>
  <c r="AF153" i="2"/>
  <c r="AE153" i="2"/>
  <c r="AD153" i="2"/>
  <c r="AG153" i="2" s="1"/>
  <c r="AB153" i="2"/>
  <c r="AA153" i="2"/>
  <c r="Z153" i="2"/>
  <c r="AC153" i="2" s="1"/>
  <c r="X153" i="2"/>
  <c r="W153" i="2"/>
  <c r="V153" i="2"/>
  <c r="T153" i="2" s="1"/>
  <c r="U153" i="2" s="1"/>
  <c r="AF152" i="2"/>
  <c r="AE152" i="2"/>
  <c r="AD152" i="2"/>
  <c r="AG152" i="2" s="1"/>
  <c r="AB152" i="2"/>
  <c r="AA152" i="2"/>
  <c r="Z152" i="2"/>
  <c r="AC152" i="2" s="1"/>
  <c r="X152" i="2"/>
  <c r="W152" i="2"/>
  <c r="V152" i="2"/>
  <c r="T152" i="2" s="1"/>
  <c r="U152" i="2" s="1"/>
  <c r="AF151" i="2"/>
  <c r="AE151" i="2"/>
  <c r="AD151" i="2"/>
  <c r="AG151" i="2" s="1"/>
  <c r="AB151" i="2"/>
  <c r="AA151" i="2"/>
  <c r="Z151" i="2"/>
  <c r="AC151" i="2" s="1"/>
  <c r="X151" i="2"/>
  <c r="W151" i="2"/>
  <c r="V151" i="2"/>
  <c r="T151" i="2" s="1"/>
  <c r="U151" i="2" s="1"/>
  <c r="AF150" i="2"/>
  <c r="AE150" i="2"/>
  <c r="AD150" i="2"/>
  <c r="AG150" i="2" s="1"/>
  <c r="AB150" i="2"/>
  <c r="AA150" i="2"/>
  <c r="Z150" i="2"/>
  <c r="AC150" i="2" s="1"/>
  <c r="X150" i="2"/>
  <c r="W150" i="2"/>
  <c r="V150" i="2"/>
  <c r="AF149" i="2"/>
  <c r="AE149" i="2"/>
  <c r="AD149" i="2"/>
  <c r="AG149" i="2" s="1"/>
  <c r="AB149" i="2"/>
  <c r="AA149" i="2"/>
  <c r="Z149" i="2"/>
  <c r="AC149" i="2" s="1"/>
  <c r="X149" i="2"/>
  <c r="W149" i="2"/>
  <c r="V149" i="2"/>
  <c r="T149" i="2" s="1"/>
  <c r="U149" i="2" s="1"/>
  <c r="AF148" i="2"/>
  <c r="AE148" i="2"/>
  <c r="AD148" i="2"/>
  <c r="AG148" i="2" s="1"/>
  <c r="AB148" i="2"/>
  <c r="AA148" i="2"/>
  <c r="Z148" i="2"/>
  <c r="AC148" i="2" s="1"/>
  <c r="X148" i="2"/>
  <c r="W148" i="2"/>
  <c r="V148" i="2"/>
  <c r="T148" i="2" s="1"/>
  <c r="U148" i="2" s="1"/>
  <c r="AF147" i="2"/>
  <c r="AE147" i="2"/>
  <c r="AD147" i="2"/>
  <c r="AG147" i="2" s="1"/>
  <c r="AB147" i="2"/>
  <c r="AA147" i="2"/>
  <c r="Z147" i="2"/>
  <c r="AC147" i="2" s="1"/>
  <c r="X147" i="2"/>
  <c r="W147" i="2"/>
  <c r="V147" i="2"/>
  <c r="T147" i="2" s="1"/>
  <c r="U147" i="2" s="1"/>
  <c r="AF146" i="2"/>
  <c r="AE146" i="2"/>
  <c r="AD146" i="2"/>
  <c r="AG146" i="2" s="1"/>
  <c r="AB146" i="2"/>
  <c r="AA146" i="2"/>
  <c r="Z146" i="2"/>
  <c r="AC146" i="2" s="1"/>
  <c r="X146" i="2"/>
  <c r="W146" i="2"/>
  <c r="V146" i="2"/>
  <c r="T146" i="2" s="1"/>
  <c r="U146" i="2" s="1"/>
  <c r="AF145" i="2"/>
  <c r="AE145" i="2"/>
  <c r="AD145" i="2"/>
  <c r="AG145" i="2" s="1"/>
  <c r="AB145" i="2"/>
  <c r="AA145" i="2"/>
  <c r="Z145" i="2"/>
  <c r="AC145" i="2" s="1"/>
  <c r="X145" i="2"/>
  <c r="W145" i="2"/>
  <c r="V145" i="2"/>
  <c r="T145" i="2" s="1"/>
  <c r="U145" i="2" s="1"/>
  <c r="AF144" i="2"/>
  <c r="AE144" i="2"/>
  <c r="AD144" i="2"/>
  <c r="AG144" i="2" s="1"/>
  <c r="AB144" i="2"/>
  <c r="AA144" i="2"/>
  <c r="Z144" i="2"/>
  <c r="AC144" i="2" s="1"/>
  <c r="X144" i="2"/>
  <c r="W144" i="2"/>
  <c r="V144" i="2"/>
  <c r="AH144" i="2" s="1"/>
  <c r="AF143" i="2"/>
  <c r="AE143" i="2"/>
  <c r="AD143" i="2"/>
  <c r="AG143" i="2" s="1"/>
  <c r="AB143" i="2"/>
  <c r="AA143" i="2"/>
  <c r="Z143" i="2"/>
  <c r="AC143" i="2" s="1"/>
  <c r="X143" i="2"/>
  <c r="W143" i="2"/>
  <c r="V143" i="2"/>
  <c r="T143" i="2" s="1"/>
  <c r="U143" i="2" s="1"/>
  <c r="AF142" i="2"/>
  <c r="AE142" i="2"/>
  <c r="AD142" i="2"/>
  <c r="AG142" i="2" s="1"/>
  <c r="AB142" i="2"/>
  <c r="AA142" i="2"/>
  <c r="Z142" i="2"/>
  <c r="AC142" i="2" s="1"/>
  <c r="X142" i="2"/>
  <c r="W142" i="2"/>
  <c r="V142" i="2"/>
  <c r="AF141" i="2"/>
  <c r="AE141" i="2"/>
  <c r="AD141" i="2"/>
  <c r="AG141" i="2" s="1"/>
  <c r="AB141" i="2"/>
  <c r="AA141" i="2"/>
  <c r="Z141" i="2"/>
  <c r="AC141" i="2" s="1"/>
  <c r="X141" i="2"/>
  <c r="W141" i="2"/>
  <c r="V141" i="2"/>
  <c r="T141" i="2" s="1"/>
  <c r="U141" i="2" s="1"/>
  <c r="AF140" i="2"/>
  <c r="AE140" i="2"/>
  <c r="AD140" i="2"/>
  <c r="AG140" i="2" s="1"/>
  <c r="AB140" i="2"/>
  <c r="AA140" i="2"/>
  <c r="Z140" i="2"/>
  <c r="AC140" i="2" s="1"/>
  <c r="X140" i="2"/>
  <c r="W140" i="2"/>
  <c r="V140" i="2"/>
  <c r="T140" i="2" s="1"/>
  <c r="U140" i="2" s="1"/>
  <c r="AF139" i="2"/>
  <c r="AE139" i="2"/>
  <c r="AD139" i="2"/>
  <c r="AG139" i="2" s="1"/>
  <c r="AB139" i="2"/>
  <c r="AA139" i="2"/>
  <c r="Z139" i="2"/>
  <c r="AC139" i="2" s="1"/>
  <c r="X139" i="2"/>
  <c r="W139" i="2"/>
  <c r="V139" i="2"/>
  <c r="T139" i="2" s="1"/>
  <c r="U139" i="2" s="1"/>
  <c r="AF138" i="2"/>
  <c r="AE138" i="2"/>
  <c r="AD138" i="2"/>
  <c r="AG138" i="2" s="1"/>
  <c r="AB138" i="2"/>
  <c r="AA138" i="2"/>
  <c r="Z138" i="2"/>
  <c r="AC138" i="2" s="1"/>
  <c r="X138" i="2"/>
  <c r="W138" i="2"/>
  <c r="V138" i="2"/>
  <c r="T138" i="2" s="1"/>
  <c r="U138" i="2" s="1"/>
  <c r="AF137" i="2"/>
  <c r="AE137" i="2"/>
  <c r="AD137" i="2"/>
  <c r="AG137" i="2" s="1"/>
  <c r="AB137" i="2"/>
  <c r="AA137" i="2"/>
  <c r="Z137" i="2"/>
  <c r="AC137" i="2" s="1"/>
  <c r="X137" i="2"/>
  <c r="W137" i="2"/>
  <c r="V137" i="2"/>
  <c r="AI137" i="2" s="1"/>
  <c r="AF136" i="2"/>
  <c r="AE136" i="2"/>
  <c r="AD136" i="2"/>
  <c r="AG136" i="2" s="1"/>
  <c r="AB136" i="2"/>
  <c r="AA136" i="2"/>
  <c r="Z136" i="2"/>
  <c r="AC136" i="2" s="1"/>
  <c r="X136" i="2"/>
  <c r="W136" i="2"/>
  <c r="V136" i="2"/>
  <c r="T136" i="2" s="1"/>
  <c r="U136" i="2" s="1"/>
  <c r="AF135" i="2"/>
  <c r="AE135" i="2"/>
  <c r="AD135" i="2"/>
  <c r="AG135" i="2" s="1"/>
  <c r="AB135" i="2"/>
  <c r="AA135" i="2"/>
  <c r="Z135" i="2"/>
  <c r="AC135" i="2" s="1"/>
  <c r="X135" i="2"/>
  <c r="W135" i="2"/>
  <c r="V135" i="2"/>
  <c r="T135" i="2" s="1"/>
  <c r="U135" i="2" s="1"/>
  <c r="AF134" i="2"/>
  <c r="AE134" i="2"/>
  <c r="AD134" i="2"/>
  <c r="AG134" i="2" s="1"/>
  <c r="AB134" i="2"/>
  <c r="AA134" i="2"/>
  <c r="Z134" i="2"/>
  <c r="AC134" i="2" s="1"/>
  <c r="X134" i="2"/>
  <c r="W134" i="2"/>
  <c r="V134" i="2"/>
  <c r="AF133" i="2"/>
  <c r="AE133" i="2"/>
  <c r="AD133" i="2"/>
  <c r="AG133" i="2" s="1"/>
  <c r="AB133" i="2"/>
  <c r="AA133" i="2"/>
  <c r="Z133" i="2"/>
  <c r="AC133" i="2" s="1"/>
  <c r="X133" i="2"/>
  <c r="W133" i="2"/>
  <c r="V133" i="2"/>
  <c r="T133" i="2" s="1"/>
  <c r="U133" i="2" s="1"/>
  <c r="AF132" i="2"/>
  <c r="AE132" i="2"/>
  <c r="AD132" i="2"/>
  <c r="AG132" i="2" s="1"/>
  <c r="AB132" i="2"/>
  <c r="AA132" i="2"/>
  <c r="Z132" i="2"/>
  <c r="AC132" i="2" s="1"/>
  <c r="X132" i="2"/>
  <c r="W132" i="2"/>
  <c r="V132" i="2"/>
  <c r="T132" i="2" s="1"/>
  <c r="U132" i="2" s="1"/>
  <c r="AF131" i="2"/>
  <c r="AE131" i="2"/>
  <c r="AD131" i="2"/>
  <c r="AG131" i="2" s="1"/>
  <c r="AB131" i="2"/>
  <c r="AA131" i="2"/>
  <c r="Z131" i="2"/>
  <c r="AC131" i="2" s="1"/>
  <c r="X131" i="2"/>
  <c r="W131" i="2"/>
  <c r="V131" i="2"/>
  <c r="T131" i="2" s="1"/>
  <c r="U131" i="2" s="1"/>
  <c r="AF130" i="2"/>
  <c r="AE130" i="2"/>
  <c r="AD130" i="2"/>
  <c r="AG130" i="2" s="1"/>
  <c r="AB130" i="2"/>
  <c r="AA130" i="2"/>
  <c r="Z130" i="2"/>
  <c r="AC130" i="2" s="1"/>
  <c r="X130" i="2"/>
  <c r="W130" i="2"/>
  <c r="V130" i="2"/>
  <c r="T130" i="2" s="1"/>
  <c r="U130" i="2" s="1"/>
  <c r="AF129" i="2"/>
  <c r="AE129" i="2"/>
  <c r="AD129" i="2"/>
  <c r="AG129" i="2" s="1"/>
  <c r="AB129" i="2"/>
  <c r="AA129" i="2"/>
  <c r="Z129" i="2"/>
  <c r="AC129" i="2" s="1"/>
  <c r="X129" i="2"/>
  <c r="W129" i="2"/>
  <c r="V129" i="2"/>
  <c r="T129" i="2" s="1"/>
  <c r="U129" i="2" s="1"/>
  <c r="AF128" i="2"/>
  <c r="AE128" i="2"/>
  <c r="AD128" i="2"/>
  <c r="AG128" i="2" s="1"/>
  <c r="AB128" i="2"/>
  <c r="AA128" i="2"/>
  <c r="Z128" i="2"/>
  <c r="X128" i="2"/>
  <c r="W128" i="2"/>
  <c r="V128" i="2"/>
  <c r="AI128" i="2" s="1"/>
  <c r="AF127" i="2"/>
  <c r="AE127" i="2"/>
  <c r="AD127" i="2"/>
  <c r="AG127" i="2" s="1"/>
  <c r="AB127" i="2"/>
  <c r="AA127" i="2"/>
  <c r="Z127" i="2"/>
  <c r="AC127" i="2" s="1"/>
  <c r="X127" i="2"/>
  <c r="W127" i="2"/>
  <c r="V127" i="2"/>
  <c r="T127" i="2" s="1"/>
  <c r="U127" i="2" s="1"/>
  <c r="AF126" i="2"/>
  <c r="AE126" i="2"/>
  <c r="AD126" i="2"/>
  <c r="AG126" i="2" s="1"/>
  <c r="AB126" i="2"/>
  <c r="AA126" i="2"/>
  <c r="Z126" i="2"/>
  <c r="AC126" i="2" s="1"/>
  <c r="X126" i="2"/>
  <c r="W126" i="2"/>
  <c r="V126" i="2"/>
  <c r="AF125" i="2"/>
  <c r="AE125" i="2"/>
  <c r="AD125" i="2"/>
  <c r="AG125" i="2" s="1"/>
  <c r="AB125" i="2"/>
  <c r="AA125" i="2"/>
  <c r="Z125" i="2"/>
  <c r="AC125" i="2" s="1"/>
  <c r="X125" i="2"/>
  <c r="W125" i="2"/>
  <c r="V125" i="2"/>
  <c r="T125" i="2" s="1"/>
  <c r="U125" i="2" s="1"/>
  <c r="AF124" i="2"/>
  <c r="AE124" i="2"/>
  <c r="AD124" i="2"/>
  <c r="AG124" i="2" s="1"/>
  <c r="AB124" i="2"/>
  <c r="AA124" i="2"/>
  <c r="Z124" i="2"/>
  <c r="AC124" i="2" s="1"/>
  <c r="X124" i="2"/>
  <c r="W124" i="2"/>
  <c r="V124" i="2"/>
  <c r="T124" i="2" s="1"/>
  <c r="U124" i="2" s="1"/>
  <c r="AF123" i="2"/>
  <c r="AE123" i="2"/>
  <c r="AD123" i="2"/>
  <c r="AG123" i="2" s="1"/>
  <c r="AB123" i="2"/>
  <c r="AA123" i="2"/>
  <c r="Z123" i="2"/>
  <c r="AC123" i="2" s="1"/>
  <c r="X123" i="2"/>
  <c r="W123" i="2"/>
  <c r="V123" i="2"/>
  <c r="T123" i="2" s="1"/>
  <c r="U123" i="2" s="1"/>
  <c r="AF122" i="2"/>
  <c r="AE122" i="2"/>
  <c r="AD122" i="2"/>
  <c r="AG122" i="2" s="1"/>
  <c r="AB122" i="2"/>
  <c r="AA122" i="2"/>
  <c r="Z122" i="2"/>
  <c r="AC122" i="2" s="1"/>
  <c r="X122" i="2"/>
  <c r="W122" i="2"/>
  <c r="V122" i="2"/>
  <c r="T122" i="2" s="1"/>
  <c r="U122" i="2" s="1"/>
  <c r="AF121" i="2"/>
  <c r="AE121" i="2"/>
  <c r="AD121" i="2"/>
  <c r="AG121" i="2" s="1"/>
  <c r="AB121" i="2"/>
  <c r="AA121" i="2"/>
  <c r="Z121" i="2"/>
  <c r="AC121" i="2" s="1"/>
  <c r="X121" i="2"/>
  <c r="W121" i="2"/>
  <c r="V121" i="2"/>
  <c r="T121" i="2" s="1"/>
  <c r="U121" i="2" s="1"/>
  <c r="AF120" i="2"/>
  <c r="AE120" i="2"/>
  <c r="AD120" i="2"/>
  <c r="AG120" i="2" s="1"/>
  <c r="AB120" i="2"/>
  <c r="AA120" i="2"/>
  <c r="Z120" i="2"/>
  <c r="AC120" i="2" s="1"/>
  <c r="X120" i="2"/>
  <c r="W120" i="2"/>
  <c r="V120" i="2"/>
  <c r="T120" i="2" s="1"/>
  <c r="U120" i="2" s="1"/>
  <c r="AF119" i="2"/>
  <c r="AE119" i="2"/>
  <c r="AD119" i="2"/>
  <c r="AG119" i="2" s="1"/>
  <c r="AB119" i="2"/>
  <c r="AA119" i="2"/>
  <c r="Z119" i="2"/>
  <c r="AC119" i="2" s="1"/>
  <c r="X119" i="2"/>
  <c r="W119" i="2"/>
  <c r="V119" i="2"/>
  <c r="T119" i="2" s="1"/>
  <c r="U119" i="2" s="1"/>
  <c r="AF118" i="2"/>
  <c r="AE118" i="2"/>
  <c r="AD118" i="2"/>
  <c r="AG118" i="2" s="1"/>
  <c r="AB118" i="2"/>
  <c r="AA118" i="2"/>
  <c r="Z118" i="2"/>
  <c r="AC118" i="2" s="1"/>
  <c r="X118" i="2"/>
  <c r="W118" i="2"/>
  <c r="V118" i="2"/>
  <c r="Y118" i="2" s="1"/>
  <c r="AF117" i="2"/>
  <c r="AE117" i="2"/>
  <c r="AD117" i="2"/>
  <c r="AG117" i="2" s="1"/>
  <c r="AB117" i="2"/>
  <c r="AA117" i="2"/>
  <c r="Z117" i="2"/>
  <c r="AC117" i="2" s="1"/>
  <c r="X117" i="2"/>
  <c r="W117" i="2"/>
  <c r="V117" i="2"/>
  <c r="T117" i="2" s="1"/>
  <c r="U117" i="2" s="1"/>
  <c r="AF116" i="2"/>
  <c r="AE116" i="2"/>
  <c r="AD116" i="2"/>
  <c r="AG116" i="2" s="1"/>
  <c r="AB116" i="2"/>
  <c r="AA116" i="2"/>
  <c r="Z116" i="2"/>
  <c r="AC116" i="2" s="1"/>
  <c r="X116" i="2"/>
  <c r="W116" i="2"/>
  <c r="V116" i="2"/>
  <c r="T116" i="2" s="1"/>
  <c r="U116" i="2" s="1"/>
  <c r="AF115" i="2"/>
  <c r="AE115" i="2"/>
  <c r="AD115" i="2"/>
  <c r="AG115" i="2" s="1"/>
  <c r="AB115" i="2"/>
  <c r="AA115" i="2"/>
  <c r="Z115" i="2"/>
  <c r="AC115" i="2" s="1"/>
  <c r="X115" i="2"/>
  <c r="W115" i="2"/>
  <c r="V115" i="2"/>
  <c r="T115" i="2" s="1"/>
  <c r="U115" i="2" s="1"/>
  <c r="AF114" i="2"/>
  <c r="AE114" i="2"/>
  <c r="AD114" i="2"/>
  <c r="AG114" i="2" s="1"/>
  <c r="AB114" i="2"/>
  <c r="AA114" i="2"/>
  <c r="Z114" i="2"/>
  <c r="AC114" i="2" s="1"/>
  <c r="X114" i="2"/>
  <c r="W114" i="2"/>
  <c r="V114" i="2"/>
  <c r="T114" i="2" s="1"/>
  <c r="U114" i="2" s="1"/>
  <c r="AF113" i="2"/>
  <c r="AE113" i="2"/>
  <c r="AD113" i="2"/>
  <c r="AG113" i="2" s="1"/>
  <c r="AB113" i="2"/>
  <c r="AA113" i="2"/>
  <c r="Z113" i="2"/>
  <c r="AC113" i="2" s="1"/>
  <c r="X113" i="2"/>
  <c r="W113" i="2"/>
  <c r="V113" i="2"/>
  <c r="T113" i="2" s="1"/>
  <c r="U113" i="2" s="1"/>
  <c r="AF112" i="2"/>
  <c r="AE112" i="2"/>
  <c r="AD112" i="2"/>
  <c r="AG112" i="2" s="1"/>
  <c r="AB112" i="2"/>
  <c r="AA112" i="2"/>
  <c r="Z112" i="2"/>
  <c r="AC112" i="2" s="1"/>
  <c r="X112" i="2"/>
  <c r="W112" i="2"/>
  <c r="V112" i="2"/>
  <c r="T112" i="2" s="1"/>
  <c r="U112" i="2" s="1"/>
  <c r="AF111" i="2"/>
  <c r="AE111" i="2"/>
  <c r="AD111" i="2"/>
  <c r="AG111" i="2" s="1"/>
  <c r="AB111" i="2"/>
  <c r="AA111" i="2"/>
  <c r="Z111" i="2"/>
  <c r="AC111" i="2" s="1"/>
  <c r="X111" i="2"/>
  <c r="W111" i="2"/>
  <c r="V111" i="2"/>
  <c r="T111" i="2" s="1"/>
  <c r="U111" i="2" s="1"/>
  <c r="AF110" i="2"/>
  <c r="AE110" i="2"/>
  <c r="AD110" i="2"/>
  <c r="AG110" i="2" s="1"/>
  <c r="AB110" i="2"/>
  <c r="AA110" i="2"/>
  <c r="Z110" i="2"/>
  <c r="AC110" i="2" s="1"/>
  <c r="X110" i="2"/>
  <c r="W110" i="2"/>
  <c r="V110" i="2"/>
  <c r="AF109" i="2"/>
  <c r="AE109" i="2"/>
  <c r="AD109" i="2"/>
  <c r="AG109" i="2" s="1"/>
  <c r="AB109" i="2"/>
  <c r="AA109" i="2"/>
  <c r="Z109" i="2"/>
  <c r="AC109" i="2" s="1"/>
  <c r="X109" i="2"/>
  <c r="W109" i="2"/>
  <c r="V109" i="2"/>
  <c r="T109" i="2" s="1"/>
  <c r="U109" i="2" s="1"/>
  <c r="AF108" i="2"/>
  <c r="AE108" i="2"/>
  <c r="AD108" i="2"/>
  <c r="AG108" i="2" s="1"/>
  <c r="AB108" i="2"/>
  <c r="AA108" i="2"/>
  <c r="Z108" i="2"/>
  <c r="AC108" i="2" s="1"/>
  <c r="X108" i="2"/>
  <c r="W108" i="2"/>
  <c r="V108" i="2"/>
  <c r="T108" i="2" s="1"/>
  <c r="U108" i="2" s="1"/>
  <c r="AF107" i="2"/>
  <c r="AE107" i="2"/>
  <c r="AD107" i="2"/>
  <c r="AG107" i="2" s="1"/>
  <c r="AB107" i="2"/>
  <c r="AA107" i="2"/>
  <c r="Z107" i="2"/>
  <c r="AC107" i="2" s="1"/>
  <c r="X107" i="2"/>
  <c r="W107" i="2"/>
  <c r="V107" i="2"/>
  <c r="T107" i="2" s="1"/>
  <c r="U107" i="2" s="1"/>
  <c r="AF106" i="2"/>
  <c r="AE106" i="2"/>
  <c r="AD106" i="2"/>
  <c r="AG106" i="2" s="1"/>
  <c r="AB106" i="2"/>
  <c r="AA106" i="2"/>
  <c r="Z106" i="2"/>
  <c r="AC106" i="2" s="1"/>
  <c r="X106" i="2"/>
  <c r="W106" i="2"/>
  <c r="V106" i="2"/>
  <c r="T106" i="2" s="1"/>
  <c r="U106" i="2" s="1"/>
  <c r="AF105" i="2"/>
  <c r="AE105" i="2"/>
  <c r="AD105" i="2"/>
  <c r="AG105" i="2" s="1"/>
  <c r="AB105" i="2"/>
  <c r="AA105" i="2"/>
  <c r="Z105" i="2"/>
  <c r="AC105" i="2" s="1"/>
  <c r="X105" i="2"/>
  <c r="W105" i="2"/>
  <c r="V105" i="2"/>
  <c r="T105" i="2" s="1"/>
  <c r="U105" i="2" s="1"/>
  <c r="AF104" i="2"/>
  <c r="AE104" i="2"/>
  <c r="AD104" i="2"/>
  <c r="AG104" i="2" s="1"/>
  <c r="AB104" i="2"/>
  <c r="AA104" i="2"/>
  <c r="Z104" i="2"/>
  <c r="AC104" i="2" s="1"/>
  <c r="X104" i="2"/>
  <c r="W104" i="2"/>
  <c r="V104" i="2"/>
  <c r="T104" i="2" s="1"/>
  <c r="U104" i="2" s="1"/>
  <c r="AF103" i="2"/>
  <c r="AE103" i="2"/>
  <c r="AD103" i="2"/>
  <c r="AG103" i="2" s="1"/>
  <c r="AB103" i="2"/>
  <c r="AA103" i="2"/>
  <c r="Z103" i="2"/>
  <c r="AC103" i="2" s="1"/>
  <c r="X103" i="2"/>
  <c r="W103" i="2"/>
  <c r="V103" i="2"/>
  <c r="T103" i="2" s="1"/>
  <c r="U103" i="2" s="1"/>
  <c r="AF102" i="2"/>
  <c r="AE102" i="2"/>
  <c r="AD102" i="2"/>
  <c r="AG102" i="2" s="1"/>
  <c r="AB102" i="2"/>
  <c r="AA102" i="2"/>
  <c r="Z102" i="2"/>
  <c r="AC102" i="2" s="1"/>
  <c r="X102" i="2"/>
  <c r="W102" i="2"/>
  <c r="V102" i="2"/>
  <c r="AF101" i="2"/>
  <c r="AE101" i="2"/>
  <c r="AD101" i="2"/>
  <c r="AG101" i="2" s="1"/>
  <c r="AB101" i="2"/>
  <c r="AA101" i="2"/>
  <c r="Z101" i="2"/>
  <c r="AC101" i="2" s="1"/>
  <c r="X101" i="2"/>
  <c r="W101" i="2"/>
  <c r="V101" i="2"/>
  <c r="T101" i="2" s="1"/>
  <c r="U101" i="2" s="1"/>
  <c r="AF100" i="2"/>
  <c r="AE100" i="2"/>
  <c r="AD100" i="2"/>
  <c r="AG100" i="2" s="1"/>
  <c r="AB100" i="2"/>
  <c r="AA100" i="2"/>
  <c r="Z100" i="2"/>
  <c r="AC100" i="2" s="1"/>
  <c r="X100" i="2"/>
  <c r="W100" i="2"/>
  <c r="V100" i="2"/>
  <c r="T100" i="2" s="1"/>
  <c r="U100" i="2" s="1"/>
  <c r="AF99" i="2"/>
  <c r="AE99" i="2"/>
  <c r="AD99" i="2"/>
  <c r="AG99" i="2" s="1"/>
  <c r="AB99" i="2"/>
  <c r="AA99" i="2"/>
  <c r="Z99" i="2"/>
  <c r="AC99" i="2" s="1"/>
  <c r="X99" i="2"/>
  <c r="W99" i="2"/>
  <c r="V99" i="2"/>
  <c r="T99" i="2" s="1"/>
  <c r="U99" i="2" s="1"/>
  <c r="AF98" i="2"/>
  <c r="AE98" i="2"/>
  <c r="AD98" i="2"/>
  <c r="AG98" i="2" s="1"/>
  <c r="AB98" i="2"/>
  <c r="AA98" i="2"/>
  <c r="Z98" i="2"/>
  <c r="AC98" i="2" s="1"/>
  <c r="X98" i="2"/>
  <c r="W98" i="2"/>
  <c r="V98" i="2"/>
  <c r="T98" i="2" s="1"/>
  <c r="U98" i="2" s="1"/>
  <c r="AF97" i="2"/>
  <c r="AE97" i="2"/>
  <c r="AD97" i="2"/>
  <c r="AG97" i="2" s="1"/>
  <c r="AB97" i="2"/>
  <c r="AA97" i="2"/>
  <c r="Z97" i="2"/>
  <c r="AC97" i="2" s="1"/>
  <c r="X97" i="2"/>
  <c r="W97" i="2"/>
  <c r="V97" i="2"/>
  <c r="T97" i="2" s="1"/>
  <c r="U97" i="2" s="1"/>
  <c r="AF96" i="2"/>
  <c r="AE96" i="2"/>
  <c r="AD96" i="2"/>
  <c r="AG96" i="2" s="1"/>
  <c r="AB96" i="2"/>
  <c r="AA96" i="2"/>
  <c r="Z96" i="2"/>
  <c r="AC96" i="2" s="1"/>
  <c r="X96" i="2"/>
  <c r="W96" i="2"/>
  <c r="Y96" i="2" s="1"/>
  <c r="V96" i="2"/>
  <c r="T96" i="2" s="1"/>
  <c r="U96" i="2" s="1"/>
  <c r="AF95" i="2"/>
  <c r="AE95" i="2"/>
  <c r="AD95" i="2"/>
  <c r="AG95" i="2" s="1"/>
  <c r="AB95" i="2"/>
  <c r="AA95" i="2"/>
  <c r="Z95" i="2"/>
  <c r="AC95" i="2" s="1"/>
  <c r="X95" i="2"/>
  <c r="W95" i="2"/>
  <c r="V95" i="2"/>
  <c r="Y95" i="2" s="1"/>
  <c r="AF94" i="2"/>
  <c r="AE94" i="2"/>
  <c r="AD94" i="2"/>
  <c r="AG94" i="2" s="1"/>
  <c r="AB94" i="2"/>
  <c r="AA94" i="2"/>
  <c r="Z94" i="2"/>
  <c r="AC94" i="2" s="1"/>
  <c r="X94" i="2"/>
  <c r="W94" i="2"/>
  <c r="V94" i="2"/>
  <c r="AF93" i="2"/>
  <c r="AE93" i="2"/>
  <c r="AD93" i="2"/>
  <c r="AG93" i="2" s="1"/>
  <c r="AB93" i="2"/>
  <c r="AA93" i="2"/>
  <c r="Z93" i="2"/>
  <c r="AC93" i="2" s="1"/>
  <c r="X93" i="2"/>
  <c r="W93" i="2"/>
  <c r="V93" i="2"/>
  <c r="T93" i="2" s="1"/>
  <c r="U93" i="2" s="1"/>
  <c r="AF92" i="2"/>
  <c r="AE92" i="2"/>
  <c r="AD92" i="2"/>
  <c r="AG92" i="2" s="1"/>
  <c r="AB92" i="2"/>
  <c r="AA92" i="2"/>
  <c r="Z92" i="2"/>
  <c r="AC92" i="2" s="1"/>
  <c r="X92" i="2"/>
  <c r="W92" i="2"/>
  <c r="V92" i="2"/>
  <c r="T92" i="2" s="1"/>
  <c r="U92" i="2" s="1"/>
  <c r="AF91" i="2"/>
  <c r="AE91" i="2"/>
  <c r="AD91" i="2"/>
  <c r="AG91" i="2" s="1"/>
  <c r="AB91" i="2"/>
  <c r="AA91" i="2"/>
  <c r="Z91" i="2"/>
  <c r="AC91" i="2" s="1"/>
  <c r="X91" i="2"/>
  <c r="W91" i="2"/>
  <c r="V91" i="2"/>
  <c r="T91" i="2" s="1"/>
  <c r="U91" i="2" s="1"/>
  <c r="AF90" i="2"/>
  <c r="AE90" i="2"/>
  <c r="AD90" i="2"/>
  <c r="AG90" i="2" s="1"/>
  <c r="AB90" i="2"/>
  <c r="AA90" i="2"/>
  <c r="Z90" i="2"/>
  <c r="AC90" i="2" s="1"/>
  <c r="X90" i="2"/>
  <c r="W90" i="2"/>
  <c r="V90" i="2"/>
  <c r="T90" i="2" s="1"/>
  <c r="U90" i="2" s="1"/>
  <c r="AF89" i="2"/>
  <c r="AE89" i="2"/>
  <c r="AD89" i="2"/>
  <c r="AG89" i="2" s="1"/>
  <c r="AB89" i="2"/>
  <c r="AA89" i="2"/>
  <c r="Z89" i="2"/>
  <c r="AC89" i="2" s="1"/>
  <c r="X89" i="2"/>
  <c r="W89" i="2"/>
  <c r="V89" i="2"/>
  <c r="T89" i="2" s="1"/>
  <c r="U89" i="2" s="1"/>
  <c r="AF88" i="2"/>
  <c r="AE88" i="2"/>
  <c r="AD88" i="2"/>
  <c r="AG88" i="2" s="1"/>
  <c r="AB88" i="2"/>
  <c r="AA88" i="2"/>
  <c r="Z88" i="2"/>
  <c r="AC88" i="2" s="1"/>
  <c r="X88" i="2"/>
  <c r="W88" i="2"/>
  <c r="V88" i="2"/>
  <c r="T88" i="2" s="1"/>
  <c r="U88" i="2" s="1"/>
  <c r="AF87" i="2"/>
  <c r="AE87" i="2"/>
  <c r="AD87" i="2"/>
  <c r="AG87" i="2" s="1"/>
  <c r="AB87" i="2"/>
  <c r="AA87" i="2"/>
  <c r="Z87" i="2"/>
  <c r="AC87" i="2" s="1"/>
  <c r="X87" i="2"/>
  <c r="W87" i="2"/>
  <c r="V87" i="2"/>
  <c r="T87" i="2" s="1"/>
  <c r="U87" i="2" s="1"/>
  <c r="AF86" i="2"/>
  <c r="AE86" i="2"/>
  <c r="AD86" i="2"/>
  <c r="AG86" i="2" s="1"/>
  <c r="AB86" i="2"/>
  <c r="AA86" i="2"/>
  <c r="Z86" i="2"/>
  <c r="AC86" i="2" s="1"/>
  <c r="X86" i="2"/>
  <c r="W86" i="2"/>
  <c r="V86" i="2"/>
  <c r="AF85" i="2"/>
  <c r="AE85" i="2"/>
  <c r="AD85" i="2"/>
  <c r="AG85" i="2" s="1"/>
  <c r="AB85" i="2"/>
  <c r="AA85" i="2"/>
  <c r="Z85" i="2"/>
  <c r="AC85" i="2" s="1"/>
  <c r="X85" i="2"/>
  <c r="W85" i="2"/>
  <c r="V85" i="2"/>
  <c r="T85" i="2" s="1"/>
  <c r="U85" i="2" s="1"/>
  <c r="AF84" i="2"/>
  <c r="AE84" i="2"/>
  <c r="AD84" i="2"/>
  <c r="AG84" i="2" s="1"/>
  <c r="AB84" i="2"/>
  <c r="AA84" i="2"/>
  <c r="Z84" i="2"/>
  <c r="AC84" i="2" s="1"/>
  <c r="X84" i="2"/>
  <c r="W84" i="2"/>
  <c r="V84" i="2"/>
  <c r="T84" i="2" s="1"/>
  <c r="U84" i="2" s="1"/>
  <c r="AF83" i="2"/>
  <c r="AE83" i="2"/>
  <c r="AD83" i="2"/>
  <c r="AG83" i="2" s="1"/>
  <c r="AB83" i="2"/>
  <c r="AA83" i="2"/>
  <c r="Z83" i="2"/>
  <c r="AC83" i="2" s="1"/>
  <c r="X83" i="2"/>
  <c r="W83" i="2"/>
  <c r="V83" i="2"/>
  <c r="T83" i="2" s="1"/>
  <c r="U83" i="2" s="1"/>
  <c r="AF82" i="2"/>
  <c r="AE82" i="2"/>
  <c r="AD82" i="2"/>
  <c r="AG82" i="2" s="1"/>
  <c r="AB82" i="2"/>
  <c r="AA82" i="2"/>
  <c r="Z82" i="2"/>
  <c r="AC82" i="2" s="1"/>
  <c r="X82" i="2"/>
  <c r="W82" i="2"/>
  <c r="V82" i="2"/>
  <c r="T82" i="2" s="1"/>
  <c r="U82" i="2" s="1"/>
  <c r="AF81" i="2"/>
  <c r="AE81" i="2"/>
  <c r="AD81" i="2"/>
  <c r="AG81" i="2" s="1"/>
  <c r="AB81" i="2"/>
  <c r="AA81" i="2"/>
  <c r="Z81" i="2"/>
  <c r="AC81" i="2" s="1"/>
  <c r="X81" i="2"/>
  <c r="W81" i="2"/>
  <c r="V81" i="2"/>
  <c r="T81" i="2" s="1"/>
  <c r="U81" i="2" s="1"/>
  <c r="AF80" i="2"/>
  <c r="AE80" i="2"/>
  <c r="AD80" i="2"/>
  <c r="AG80" i="2" s="1"/>
  <c r="AB80" i="2"/>
  <c r="AA80" i="2"/>
  <c r="Z80" i="2"/>
  <c r="AC80" i="2" s="1"/>
  <c r="X80" i="2"/>
  <c r="W80" i="2"/>
  <c r="V80" i="2"/>
  <c r="T80" i="2" s="1"/>
  <c r="U80" i="2" s="1"/>
  <c r="AF79" i="2"/>
  <c r="AE79" i="2"/>
  <c r="AD79" i="2"/>
  <c r="AG79" i="2" s="1"/>
  <c r="AB79" i="2"/>
  <c r="AA79" i="2"/>
  <c r="Z79" i="2"/>
  <c r="AC79" i="2" s="1"/>
  <c r="X79" i="2"/>
  <c r="W79" i="2"/>
  <c r="V79" i="2"/>
  <c r="T79" i="2" s="1"/>
  <c r="U79" i="2" s="1"/>
  <c r="AF78" i="2"/>
  <c r="AE78" i="2"/>
  <c r="AD78" i="2"/>
  <c r="AG78" i="2" s="1"/>
  <c r="AB78" i="2"/>
  <c r="AA78" i="2"/>
  <c r="Z78" i="2"/>
  <c r="AC78" i="2" s="1"/>
  <c r="X78" i="2"/>
  <c r="W78" i="2"/>
  <c r="V78" i="2"/>
  <c r="AF77" i="2"/>
  <c r="AE77" i="2"/>
  <c r="AD77" i="2"/>
  <c r="AG77" i="2" s="1"/>
  <c r="AB77" i="2"/>
  <c r="AA77" i="2"/>
  <c r="Z77" i="2"/>
  <c r="AC77" i="2" s="1"/>
  <c r="X77" i="2"/>
  <c r="W77" i="2"/>
  <c r="V77" i="2"/>
  <c r="T77" i="2" s="1"/>
  <c r="U77" i="2" s="1"/>
  <c r="AF76" i="2"/>
  <c r="AE76" i="2"/>
  <c r="AD76" i="2"/>
  <c r="AG76" i="2" s="1"/>
  <c r="AB76" i="2"/>
  <c r="AA76" i="2"/>
  <c r="Z76" i="2"/>
  <c r="AC76" i="2" s="1"/>
  <c r="X76" i="2"/>
  <c r="W76" i="2"/>
  <c r="V76" i="2"/>
  <c r="T76" i="2" s="1"/>
  <c r="U76" i="2" s="1"/>
  <c r="AF75" i="2"/>
  <c r="AE75" i="2"/>
  <c r="AD75" i="2"/>
  <c r="AG75" i="2" s="1"/>
  <c r="AB75" i="2"/>
  <c r="AA75" i="2"/>
  <c r="Z75" i="2"/>
  <c r="AC75" i="2" s="1"/>
  <c r="X75" i="2"/>
  <c r="W75" i="2"/>
  <c r="V75" i="2"/>
  <c r="T75" i="2" s="1"/>
  <c r="U75" i="2" s="1"/>
  <c r="AF74" i="2"/>
  <c r="AE74" i="2"/>
  <c r="AD74" i="2"/>
  <c r="AG74" i="2" s="1"/>
  <c r="AB74" i="2"/>
  <c r="AA74" i="2"/>
  <c r="Z74" i="2"/>
  <c r="AC74" i="2" s="1"/>
  <c r="X74" i="2"/>
  <c r="W74" i="2"/>
  <c r="V74" i="2"/>
  <c r="T74" i="2" s="1"/>
  <c r="U74" i="2" s="1"/>
  <c r="AF73" i="2"/>
  <c r="AE73" i="2"/>
  <c r="AD73" i="2"/>
  <c r="AG73" i="2" s="1"/>
  <c r="AB73" i="2"/>
  <c r="AA73" i="2"/>
  <c r="Z73" i="2"/>
  <c r="AC73" i="2" s="1"/>
  <c r="X73" i="2"/>
  <c r="W73" i="2"/>
  <c r="V73" i="2"/>
  <c r="T73" i="2" s="1"/>
  <c r="U73" i="2" s="1"/>
  <c r="AF72" i="2"/>
  <c r="AE72" i="2"/>
  <c r="AD72" i="2"/>
  <c r="AG72" i="2" s="1"/>
  <c r="AB72" i="2"/>
  <c r="AA72" i="2"/>
  <c r="Z72" i="2"/>
  <c r="AC72" i="2" s="1"/>
  <c r="X72" i="2"/>
  <c r="W72" i="2"/>
  <c r="V72" i="2"/>
  <c r="T72" i="2" s="1"/>
  <c r="U72" i="2" s="1"/>
  <c r="AF71" i="2"/>
  <c r="AE71" i="2"/>
  <c r="AD71" i="2"/>
  <c r="AG71" i="2" s="1"/>
  <c r="AB71" i="2"/>
  <c r="AA71" i="2"/>
  <c r="Z71" i="2"/>
  <c r="AC71" i="2" s="1"/>
  <c r="X71" i="2"/>
  <c r="W71" i="2"/>
  <c r="V71" i="2"/>
  <c r="T71" i="2" s="1"/>
  <c r="U71" i="2" s="1"/>
  <c r="AF70" i="2"/>
  <c r="AE70" i="2"/>
  <c r="AD70" i="2"/>
  <c r="AG70" i="2" s="1"/>
  <c r="AB70" i="2"/>
  <c r="AA70" i="2"/>
  <c r="Z70" i="2"/>
  <c r="AC70" i="2" s="1"/>
  <c r="X70" i="2"/>
  <c r="W70" i="2"/>
  <c r="V70" i="2"/>
  <c r="AF69" i="2"/>
  <c r="AE69" i="2"/>
  <c r="AD69" i="2"/>
  <c r="AG69" i="2" s="1"/>
  <c r="AB69" i="2"/>
  <c r="AA69" i="2"/>
  <c r="Z69" i="2"/>
  <c r="AC69" i="2" s="1"/>
  <c r="X69" i="2"/>
  <c r="W69" i="2"/>
  <c r="V69" i="2"/>
  <c r="T69" i="2" s="1"/>
  <c r="U69" i="2" s="1"/>
  <c r="AF68" i="2"/>
  <c r="AE68" i="2"/>
  <c r="AD68" i="2"/>
  <c r="AG68" i="2" s="1"/>
  <c r="AB68" i="2"/>
  <c r="AA68" i="2"/>
  <c r="Z68" i="2"/>
  <c r="AC68" i="2" s="1"/>
  <c r="X68" i="2"/>
  <c r="W68" i="2"/>
  <c r="V68" i="2"/>
  <c r="T68" i="2" s="1"/>
  <c r="U68" i="2" s="1"/>
  <c r="AF67" i="2"/>
  <c r="AE67" i="2"/>
  <c r="AD67" i="2"/>
  <c r="AG67" i="2" s="1"/>
  <c r="AB67" i="2"/>
  <c r="AA67" i="2"/>
  <c r="Z67" i="2"/>
  <c r="AC67" i="2" s="1"/>
  <c r="X67" i="2"/>
  <c r="W67" i="2"/>
  <c r="V67" i="2"/>
  <c r="T67" i="2" s="1"/>
  <c r="U67" i="2" s="1"/>
  <c r="AF66" i="2"/>
  <c r="AE66" i="2"/>
  <c r="AD66" i="2"/>
  <c r="AG66" i="2" s="1"/>
  <c r="AB66" i="2"/>
  <c r="AA66" i="2"/>
  <c r="Z66" i="2"/>
  <c r="AC66" i="2" s="1"/>
  <c r="X66" i="2"/>
  <c r="W66" i="2"/>
  <c r="V66" i="2"/>
  <c r="T66" i="2" s="1"/>
  <c r="U66" i="2" s="1"/>
  <c r="AF65" i="2"/>
  <c r="AE65" i="2"/>
  <c r="AD65" i="2"/>
  <c r="AG65" i="2" s="1"/>
  <c r="AB65" i="2"/>
  <c r="AA65" i="2"/>
  <c r="Z65" i="2"/>
  <c r="AC65" i="2" s="1"/>
  <c r="X65" i="2"/>
  <c r="W65" i="2"/>
  <c r="V65" i="2"/>
  <c r="T65" i="2" s="1"/>
  <c r="U65" i="2" s="1"/>
  <c r="AF64" i="2"/>
  <c r="AE64" i="2"/>
  <c r="AD64" i="2"/>
  <c r="AG64" i="2" s="1"/>
  <c r="AB64" i="2"/>
  <c r="AA64" i="2"/>
  <c r="Z64" i="2"/>
  <c r="AC64" i="2" s="1"/>
  <c r="X64" i="2"/>
  <c r="W64" i="2"/>
  <c r="V64" i="2"/>
  <c r="T64" i="2" s="1"/>
  <c r="U64" i="2" s="1"/>
  <c r="AF63" i="2"/>
  <c r="AE63" i="2"/>
  <c r="AD63" i="2"/>
  <c r="AG63" i="2" s="1"/>
  <c r="AB63" i="2"/>
  <c r="AA63" i="2"/>
  <c r="Z63" i="2"/>
  <c r="AC63" i="2" s="1"/>
  <c r="X63" i="2"/>
  <c r="W63" i="2"/>
  <c r="V63" i="2"/>
  <c r="T63" i="2" s="1"/>
  <c r="U63" i="2" s="1"/>
  <c r="AF62" i="2"/>
  <c r="AE62" i="2"/>
  <c r="AD62" i="2"/>
  <c r="AG62" i="2" s="1"/>
  <c r="AB62" i="2"/>
  <c r="AA62" i="2"/>
  <c r="Z62" i="2"/>
  <c r="AC62" i="2" s="1"/>
  <c r="X62" i="2"/>
  <c r="W62" i="2"/>
  <c r="V62" i="2"/>
  <c r="AF61" i="2"/>
  <c r="AE61" i="2"/>
  <c r="AD61" i="2"/>
  <c r="AG61" i="2" s="1"/>
  <c r="AB61" i="2"/>
  <c r="AA61" i="2"/>
  <c r="Z61" i="2"/>
  <c r="AC61" i="2" s="1"/>
  <c r="X61" i="2"/>
  <c r="W61" i="2"/>
  <c r="V61" i="2"/>
  <c r="AH61" i="2" s="1"/>
  <c r="AF60" i="2"/>
  <c r="AE60" i="2"/>
  <c r="AD60" i="2"/>
  <c r="AG60" i="2" s="1"/>
  <c r="AB60" i="2"/>
  <c r="AA60" i="2"/>
  <c r="Z60" i="2"/>
  <c r="AC60" i="2" s="1"/>
  <c r="X60" i="2"/>
  <c r="W60" i="2"/>
  <c r="V60" i="2"/>
  <c r="T60" i="2" s="1"/>
  <c r="U60" i="2" s="1"/>
  <c r="AF59" i="2"/>
  <c r="AE59" i="2"/>
  <c r="AD59" i="2"/>
  <c r="AG59" i="2" s="1"/>
  <c r="AB59" i="2"/>
  <c r="AA59" i="2"/>
  <c r="Z59" i="2"/>
  <c r="AC59" i="2" s="1"/>
  <c r="X59" i="2"/>
  <c r="W59" i="2"/>
  <c r="V59" i="2"/>
  <c r="T59" i="2" s="1"/>
  <c r="U59" i="2" s="1"/>
  <c r="AF58" i="2"/>
  <c r="AE58" i="2"/>
  <c r="AD58" i="2"/>
  <c r="AG58" i="2" s="1"/>
  <c r="AB58" i="2"/>
  <c r="AA58" i="2"/>
  <c r="Z58" i="2"/>
  <c r="AC58" i="2" s="1"/>
  <c r="X58" i="2"/>
  <c r="W58" i="2"/>
  <c r="V58" i="2"/>
  <c r="T58" i="2" s="1"/>
  <c r="U58" i="2" s="1"/>
  <c r="AF57" i="2"/>
  <c r="AE57" i="2"/>
  <c r="AD57" i="2"/>
  <c r="AG57" i="2" s="1"/>
  <c r="AB57" i="2"/>
  <c r="AA57" i="2"/>
  <c r="Z57" i="2"/>
  <c r="AC57" i="2" s="1"/>
  <c r="X57" i="2"/>
  <c r="W57" i="2"/>
  <c r="V57" i="2"/>
  <c r="T57" i="2" s="1"/>
  <c r="U57" i="2" s="1"/>
  <c r="AF56" i="2"/>
  <c r="AE56" i="2"/>
  <c r="AD56" i="2"/>
  <c r="AG56" i="2" s="1"/>
  <c r="AB56" i="2"/>
  <c r="AA56" i="2"/>
  <c r="Z56" i="2"/>
  <c r="AC56" i="2" s="1"/>
  <c r="X56" i="2"/>
  <c r="W56" i="2"/>
  <c r="V56" i="2"/>
  <c r="AI56" i="2" s="1"/>
  <c r="AF55" i="2"/>
  <c r="AE55" i="2"/>
  <c r="AD55" i="2"/>
  <c r="AG55" i="2" s="1"/>
  <c r="AB55" i="2"/>
  <c r="AA55" i="2"/>
  <c r="Z55" i="2"/>
  <c r="AC55" i="2" s="1"/>
  <c r="X55" i="2"/>
  <c r="W55" i="2"/>
  <c r="V55" i="2"/>
  <c r="T55" i="2" s="1"/>
  <c r="U55" i="2" s="1"/>
  <c r="AF54" i="2"/>
  <c r="AE54" i="2"/>
  <c r="AD54" i="2"/>
  <c r="AG54" i="2" s="1"/>
  <c r="AB54" i="2"/>
  <c r="AA54" i="2"/>
  <c r="Z54" i="2"/>
  <c r="AC54" i="2" s="1"/>
  <c r="X54" i="2"/>
  <c r="W54" i="2"/>
  <c r="V54" i="2"/>
  <c r="AF53" i="2"/>
  <c r="AE53" i="2"/>
  <c r="AD53" i="2"/>
  <c r="AG53" i="2" s="1"/>
  <c r="AB53" i="2"/>
  <c r="AA53" i="2"/>
  <c r="Z53" i="2"/>
  <c r="AC53" i="2" s="1"/>
  <c r="X53" i="2"/>
  <c r="W53" i="2"/>
  <c r="V53" i="2"/>
  <c r="T53" i="2" s="1"/>
  <c r="U53" i="2" s="1"/>
  <c r="AF52" i="2"/>
  <c r="AE52" i="2"/>
  <c r="AD52" i="2"/>
  <c r="AG52" i="2" s="1"/>
  <c r="AB52" i="2"/>
  <c r="AA52" i="2"/>
  <c r="Z52" i="2"/>
  <c r="AC52" i="2" s="1"/>
  <c r="X52" i="2"/>
  <c r="W52" i="2"/>
  <c r="V52" i="2"/>
  <c r="T52" i="2" s="1"/>
  <c r="U52" i="2" s="1"/>
  <c r="AF51" i="2"/>
  <c r="AE51" i="2"/>
  <c r="AD51" i="2"/>
  <c r="AG51" i="2" s="1"/>
  <c r="AB51" i="2"/>
  <c r="AA51" i="2"/>
  <c r="Z51" i="2"/>
  <c r="AC51" i="2" s="1"/>
  <c r="X51" i="2"/>
  <c r="W51" i="2"/>
  <c r="V51" i="2"/>
  <c r="T51" i="2" s="1"/>
  <c r="U51" i="2" s="1"/>
  <c r="AF50" i="2"/>
  <c r="AE50" i="2"/>
  <c r="AD50" i="2"/>
  <c r="AG50" i="2" s="1"/>
  <c r="AB50" i="2"/>
  <c r="AA50" i="2"/>
  <c r="Z50" i="2"/>
  <c r="AC50" i="2" s="1"/>
  <c r="X50" i="2"/>
  <c r="W50" i="2"/>
  <c r="V50" i="2"/>
  <c r="T50" i="2" s="1"/>
  <c r="U50" i="2" s="1"/>
  <c r="AF49" i="2"/>
  <c r="AE49" i="2"/>
  <c r="AD49" i="2"/>
  <c r="AG49" i="2" s="1"/>
  <c r="AB49" i="2"/>
  <c r="AA49" i="2"/>
  <c r="Z49" i="2"/>
  <c r="AC49" i="2" s="1"/>
  <c r="X49" i="2"/>
  <c r="W49" i="2"/>
  <c r="V49" i="2"/>
  <c r="T49" i="2" s="1"/>
  <c r="U49" i="2" s="1"/>
  <c r="AF48" i="2"/>
  <c r="AE48" i="2"/>
  <c r="AD48" i="2"/>
  <c r="AG48" i="2" s="1"/>
  <c r="AB48" i="2"/>
  <c r="AA48" i="2"/>
  <c r="Z48" i="2"/>
  <c r="AC48" i="2" s="1"/>
  <c r="X48" i="2"/>
  <c r="W48" i="2"/>
  <c r="V48" i="2"/>
  <c r="T48" i="2" s="1"/>
  <c r="U48" i="2" s="1"/>
  <c r="AF47" i="2"/>
  <c r="AE47" i="2"/>
  <c r="AD47" i="2"/>
  <c r="AG47" i="2" s="1"/>
  <c r="AB47" i="2"/>
  <c r="AA47" i="2"/>
  <c r="Z47" i="2"/>
  <c r="AC47" i="2" s="1"/>
  <c r="X47" i="2"/>
  <c r="W47" i="2"/>
  <c r="V47" i="2"/>
  <c r="T47" i="2" s="1"/>
  <c r="U47" i="2" s="1"/>
  <c r="AF46" i="2"/>
  <c r="AE46" i="2"/>
  <c r="AD46" i="2"/>
  <c r="AG46" i="2" s="1"/>
  <c r="AB46" i="2"/>
  <c r="AA46" i="2"/>
  <c r="Z46" i="2"/>
  <c r="AC46" i="2" s="1"/>
  <c r="X46" i="2"/>
  <c r="W46" i="2"/>
  <c r="V46" i="2"/>
  <c r="AF45" i="2"/>
  <c r="AE45" i="2"/>
  <c r="AD45" i="2"/>
  <c r="AG45" i="2" s="1"/>
  <c r="AB45" i="2"/>
  <c r="AA45" i="2"/>
  <c r="Z45" i="2"/>
  <c r="AC45" i="2" s="1"/>
  <c r="X45" i="2"/>
  <c r="W45" i="2"/>
  <c r="V45" i="2"/>
  <c r="T45" i="2" s="1"/>
  <c r="U45" i="2" s="1"/>
  <c r="AF44" i="2"/>
  <c r="AE44" i="2"/>
  <c r="AD44" i="2"/>
  <c r="AG44" i="2" s="1"/>
  <c r="AB44" i="2"/>
  <c r="AA44" i="2"/>
  <c r="Z44" i="2"/>
  <c r="AC44" i="2" s="1"/>
  <c r="X44" i="2"/>
  <c r="W44" i="2"/>
  <c r="V44" i="2"/>
  <c r="T44" i="2" s="1"/>
  <c r="U44" i="2" s="1"/>
  <c r="AF43" i="2"/>
  <c r="AE43" i="2"/>
  <c r="AD43" i="2"/>
  <c r="AG43" i="2" s="1"/>
  <c r="AB43" i="2"/>
  <c r="AA43" i="2"/>
  <c r="Z43" i="2"/>
  <c r="AC43" i="2" s="1"/>
  <c r="X43" i="2"/>
  <c r="W43" i="2"/>
  <c r="V43" i="2"/>
  <c r="T43" i="2" s="1"/>
  <c r="U43" i="2" s="1"/>
  <c r="AF42" i="2"/>
  <c r="AE42" i="2"/>
  <c r="AD42" i="2"/>
  <c r="AG42" i="2" s="1"/>
  <c r="AB42" i="2"/>
  <c r="AA42" i="2"/>
  <c r="Z42" i="2"/>
  <c r="AC42" i="2" s="1"/>
  <c r="X42" i="2"/>
  <c r="W42" i="2"/>
  <c r="V42" i="2"/>
  <c r="T42" i="2" s="1"/>
  <c r="U42" i="2" s="1"/>
  <c r="AF41" i="2"/>
  <c r="AE41" i="2"/>
  <c r="AD41" i="2"/>
  <c r="AG41" i="2" s="1"/>
  <c r="AB41" i="2"/>
  <c r="AA41" i="2"/>
  <c r="Z41" i="2"/>
  <c r="AC41" i="2" s="1"/>
  <c r="X41" i="2"/>
  <c r="W41" i="2"/>
  <c r="V41" i="2"/>
  <c r="T41" i="2" s="1"/>
  <c r="U41" i="2" s="1"/>
  <c r="AF40" i="2"/>
  <c r="AE40" i="2"/>
  <c r="AD40" i="2"/>
  <c r="AG40" i="2" s="1"/>
  <c r="AB40" i="2"/>
  <c r="AA40" i="2"/>
  <c r="Z40" i="2"/>
  <c r="AC40" i="2" s="1"/>
  <c r="X40" i="2"/>
  <c r="W40" i="2"/>
  <c r="V40" i="2"/>
  <c r="T40" i="2" s="1"/>
  <c r="U40" i="2" s="1"/>
  <c r="AF39" i="2"/>
  <c r="AE39" i="2"/>
  <c r="AD39" i="2"/>
  <c r="AG39" i="2" s="1"/>
  <c r="AB39" i="2"/>
  <c r="AA39" i="2"/>
  <c r="Z39" i="2"/>
  <c r="AC39" i="2" s="1"/>
  <c r="X39" i="2"/>
  <c r="W39" i="2"/>
  <c r="V39" i="2"/>
  <c r="T39" i="2" s="1"/>
  <c r="U39" i="2" s="1"/>
  <c r="AF38" i="2"/>
  <c r="AE38" i="2"/>
  <c r="AD38" i="2"/>
  <c r="AG38" i="2" s="1"/>
  <c r="AB38" i="2"/>
  <c r="AA38" i="2"/>
  <c r="Z38" i="2"/>
  <c r="AC38" i="2" s="1"/>
  <c r="X38" i="2"/>
  <c r="W38" i="2"/>
  <c r="V38" i="2"/>
  <c r="AF37" i="2"/>
  <c r="AE37" i="2"/>
  <c r="AD37" i="2"/>
  <c r="AG37" i="2" s="1"/>
  <c r="AB37" i="2"/>
  <c r="AA37" i="2"/>
  <c r="Z37" i="2"/>
  <c r="AC37" i="2" s="1"/>
  <c r="X37" i="2"/>
  <c r="W37" i="2"/>
  <c r="V37" i="2"/>
  <c r="T37" i="2" s="1"/>
  <c r="U37" i="2" s="1"/>
  <c r="AF36" i="2"/>
  <c r="AE36" i="2"/>
  <c r="AD36" i="2"/>
  <c r="AG36" i="2" s="1"/>
  <c r="AB36" i="2"/>
  <c r="AA36" i="2"/>
  <c r="Z36" i="2"/>
  <c r="AC36" i="2" s="1"/>
  <c r="X36" i="2"/>
  <c r="W36" i="2"/>
  <c r="V36" i="2"/>
  <c r="T36" i="2" s="1"/>
  <c r="U36" i="2" s="1"/>
  <c r="AF35" i="2"/>
  <c r="AE35" i="2"/>
  <c r="AD35" i="2"/>
  <c r="AG35" i="2" s="1"/>
  <c r="AB35" i="2"/>
  <c r="AA35" i="2"/>
  <c r="Z35" i="2"/>
  <c r="AC35" i="2" s="1"/>
  <c r="X35" i="2"/>
  <c r="W35" i="2"/>
  <c r="V35" i="2"/>
  <c r="T35" i="2" s="1"/>
  <c r="U35" i="2" s="1"/>
  <c r="AF34" i="2"/>
  <c r="AE34" i="2"/>
  <c r="AD34" i="2"/>
  <c r="AG34" i="2" s="1"/>
  <c r="AB34" i="2"/>
  <c r="AA34" i="2"/>
  <c r="Z34" i="2"/>
  <c r="AC34" i="2" s="1"/>
  <c r="X34" i="2"/>
  <c r="W34" i="2"/>
  <c r="V34" i="2"/>
  <c r="T34" i="2" s="1"/>
  <c r="U34" i="2" s="1"/>
  <c r="AF33" i="2"/>
  <c r="AE33" i="2"/>
  <c r="AD33" i="2"/>
  <c r="AG33" i="2" s="1"/>
  <c r="AB33" i="2"/>
  <c r="AA33" i="2"/>
  <c r="Z33" i="2"/>
  <c r="AC33" i="2" s="1"/>
  <c r="X33" i="2"/>
  <c r="W33" i="2"/>
  <c r="V33" i="2"/>
  <c r="AH33" i="2" s="1"/>
  <c r="AF32" i="2"/>
  <c r="AE32" i="2"/>
  <c r="AD32" i="2"/>
  <c r="AG32" i="2" s="1"/>
  <c r="AB32" i="2"/>
  <c r="AA32" i="2"/>
  <c r="Z32" i="2"/>
  <c r="AC32" i="2" s="1"/>
  <c r="X32" i="2"/>
  <c r="W32" i="2"/>
  <c r="V32" i="2"/>
  <c r="T32" i="2" s="1"/>
  <c r="U32" i="2" s="1"/>
  <c r="AF31" i="2"/>
  <c r="AE31" i="2"/>
  <c r="AD31" i="2"/>
  <c r="AG31" i="2" s="1"/>
  <c r="AB31" i="2"/>
  <c r="AA31" i="2"/>
  <c r="Z31" i="2"/>
  <c r="AC31" i="2" s="1"/>
  <c r="X31" i="2"/>
  <c r="W31" i="2"/>
  <c r="V31" i="2"/>
  <c r="AI31" i="2" s="1"/>
  <c r="AF30" i="2"/>
  <c r="AE30" i="2"/>
  <c r="AD30" i="2"/>
  <c r="AG30" i="2" s="1"/>
  <c r="AB30" i="2"/>
  <c r="AA30" i="2"/>
  <c r="Z30" i="2"/>
  <c r="AC30" i="2" s="1"/>
  <c r="X30" i="2"/>
  <c r="W30" i="2"/>
  <c r="V30" i="2"/>
  <c r="T30" i="2" s="1"/>
  <c r="U30" i="2" s="1"/>
  <c r="AF29" i="2"/>
  <c r="AE29" i="2"/>
  <c r="AD29" i="2"/>
  <c r="AG29" i="2" s="1"/>
  <c r="AB29" i="2"/>
  <c r="AA29" i="2"/>
  <c r="Z29" i="2"/>
  <c r="AC29" i="2" s="1"/>
  <c r="X29" i="2"/>
  <c r="W29" i="2"/>
  <c r="V29" i="2"/>
  <c r="T29" i="2" s="1"/>
  <c r="U29" i="2" s="1"/>
  <c r="AF28" i="2"/>
  <c r="AE28" i="2"/>
  <c r="AD28" i="2"/>
  <c r="AG28" i="2" s="1"/>
  <c r="AB28" i="2"/>
  <c r="AA28" i="2"/>
  <c r="Z28" i="2"/>
  <c r="AC28" i="2" s="1"/>
  <c r="X28" i="2"/>
  <c r="W28" i="2"/>
  <c r="V28" i="2"/>
  <c r="T28" i="2" s="1"/>
  <c r="U28" i="2" s="1"/>
  <c r="AF27" i="2"/>
  <c r="AE27" i="2"/>
  <c r="AD27" i="2"/>
  <c r="AG27" i="2" s="1"/>
  <c r="AB27" i="2"/>
  <c r="AA27" i="2"/>
  <c r="Z27" i="2"/>
  <c r="AC27" i="2" s="1"/>
  <c r="X27" i="2"/>
  <c r="W27" i="2"/>
  <c r="V27" i="2"/>
  <c r="T27" i="2" s="1"/>
  <c r="AJ27" i="2" s="1"/>
  <c r="AF26" i="2"/>
  <c r="AE26" i="2"/>
  <c r="AD26" i="2"/>
  <c r="AG26" i="2" s="1"/>
  <c r="AB26" i="2"/>
  <c r="AA26" i="2"/>
  <c r="Z26" i="2"/>
  <c r="AC26" i="2" s="1"/>
  <c r="X26" i="2"/>
  <c r="W26" i="2"/>
  <c r="V26" i="2"/>
  <c r="T26" i="2" s="1"/>
  <c r="U26" i="2" s="1"/>
  <c r="AF25" i="2"/>
  <c r="AE25" i="2"/>
  <c r="AD25" i="2"/>
  <c r="AG25" i="2" s="1"/>
  <c r="AB25" i="2"/>
  <c r="AA25" i="2"/>
  <c r="Z25" i="2"/>
  <c r="AC25" i="2" s="1"/>
  <c r="X25" i="2"/>
  <c r="W25" i="2"/>
  <c r="V25" i="2"/>
  <c r="T25" i="2" s="1"/>
  <c r="U25" i="2" s="1"/>
  <c r="AF24" i="2"/>
  <c r="AE24" i="2"/>
  <c r="AD24" i="2"/>
  <c r="AG24" i="2" s="1"/>
  <c r="AB24" i="2"/>
  <c r="AA24" i="2"/>
  <c r="Z24" i="2"/>
  <c r="AC24" i="2" s="1"/>
  <c r="X24" i="2"/>
  <c r="W24" i="2"/>
  <c r="V24" i="2"/>
  <c r="T24" i="2" s="1"/>
  <c r="U24" i="2" s="1"/>
  <c r="AF23" i="2"/>
  <c r="AE23" i="2"/>
  <c r="AD23" i="2"/>
  <c r="AG23" i="2" s="1"/>
  <c r="AB23" i="2"/>
  <c r="AA23" i="2"/>
  <c r="Z23" i="2"/>
  <c r="X23" i="2"/>
  <c r="W23" i="2"/>
  <c r="V23" i="2"/>
  <c r="AF22" i="2"/>
  <c r="AE22" i="2"/>
  <c r="AD22" i="2"/>
  <c r="AG22" i="2" s="1"/>
  <c r="AB22" i="2"/>
  <c r="AA22" i="2"/>
  <c r="Z22" i="2"/>
  <c r="AC22" i="2" s="1"/>
  <c r="X22" i="2"/>
  <c r="W22" i="2"/>
  <c r="V22" i="2"/>
  <c r="AF21" i="2"/>
  <c r="AE21" i="2"/>
  <c r="AD21" i="2"/>
  <c r="AG21" i="2" s="1"/>
  <c r="AB21" i="2"/>
  <c r="AA21" i="2"/>
  <c r="Z21" i="2"/>
  <c r="AC21" i="2" s="1"/>
  <c r="X21" i="2"/>
  <c r="W21" i="2"/>
  <c r="V21" i="2"/>
  <c r="T21" i="2" s="1"/>
  <c r="U21" i="2" s="1"/>
  <c r="AF20" i="2"/>
  <c r="AE20" i="2"/>
  <c r="AD20" i="2"/>
  <c r="AG20" i="2" s="1"/>
  <c r="AB20" i="2"/>
  <c r="AA20" i="2"/>
  <c r="Z20" i="2"/>
  <c r="AC20" i="2" s="1"/>
  <c r="X20" i="2"/>
  <c r="W20" i="2"/>
  <c r="V20" i="2"/>
  <c r="AI20" i="2" s="1"/>
  <c r="AF19" i="2"/>
  <c r="AE19" i="2"/>
  <c r="AD19" i="2"/>
  <c r="AG19" i="2" s="1"/>
  <c r="AB19" i="2"/>
  <c r="AA19" i="2"/>
  <c r="Z19" i="2"/>
  <c r="AC19" i="2" s="1"/>
  <c r="X19" i="2"/>
  <c r="W19" i="2"/>
  <c r="V19" i="2"/>
  <c r="T19" i="2" s="1"/>
  <c r="AJ19" i="2" s="1"/>
  <c r="AF18" i="2"/>
  <c r="AE18" i="2"/>
  <c r="AD18" i="2"/>
  <c r="AG18" i="2" s="1"/>
  <c r="AB18" i="2"/>
  <c r="AA18" i="2"/>
  <c r="Z18" i="2"/>
  <c r="AC18" i="2" s="1"/>
  <c r="X18" i="2"/>
  <c r="W18" i="2"/>
  <c r="V18" i="2"/>
  <c r="AI18" i="2" s="1"/>
  <c r="AF17" i="2"/>
  <c r="AE17" i="2"/>
  <c r="AD17" i="2"/>
  <c r="AG17" i="2" s="1"/>
  <c r="AB17" i="2"/>
  <c r="AA17" i="2"/>
  <c r="Z17" i="2"/>
  <c r="AC17" i="2" s="1"/>
  <c r="X17" i="2"/>
  <c r="W17" i="2"/>
  <c r="V17" i="2"/>
  <c r="T17" i="2" s="1"/>
  <c r="U17" i="2" s="1"/>
  <c r="AF16" i="2"/>
  <c r="AE16" i="2"/>
  <c r="AD16" i="2"/>
  <c r="AG16" i="2" s="1"/>
  <c r="AB16" i="2"/>
  <c r="AA16" i="2"/>
  <c r="Z16" i="2"/>
  <c r="AC16" i="2" s="1"/>
  <c r="X16" i="2"/>
  <c r="W16" i="2"/>
  <c r="V16" i="2"/>
  <c r="T16" i="2" s="1"/>
  <c r="U16" i="2" s="1"/>
  <c r="AF15" i="2"/>
  <c r="AE15" i="2"/>
  <c r="AD15" i="2"/>
  <c r="AG15" i="2" s="1"/>
  <c r="AB15" i="2"/>
  <c r="AA15" i="2"/>
  <c r="Z15" i="2"/>
  <c r="AC15" i="2" s="1"/>
  <c r="X15" i="2"/>
  <c r="W15" i="2"/>
  <c r="V15" i="2"/>
  <c r="T15" i="2" s="1"/>
  <c r="U15" i="2" s="1"/>
  <c r="AF14" i="2"/>
  <c r="AE14" i="2"/>
  <c r="AD14" i="2"/>
  <c r="AG14" i="2" s="1"/>
  <c r="AB14" i="2"/>
  <c r="AA14" i="2"/>
  <c r="Z14" i="2"/>
  <c r="AC14" i="2" s="1"/>
  <c r="X14" i="2"/>
  <c r="W14" i="2"/>
  <c r="V14" i="2"/>
  <c r="AI14" i="2" s="1"/>
  <c r="AF13" i="2"/>
  <c r="AE13" i="2"/>
  <c r="AD13" i="2"/>
  <c r="AG13" i="2" s="1"/>
  <c r="AB13" i="2"/>
  <c r="AA13" i="2"/>
  <c r="Z13" i="2"/>
  <c r="AC13" i="2" s="1"/>
  <c r="X13" i="2"/>
  <c r="W13" i="2"/>
  <c r="V13" i="2"/>
  <c r="AH13" i="2" s="1"/>
  <c r="AF12" i="2"/>
  <c r="AE12" i="2"/>
  <c r="AD12" i="2"/>
  <c r="AG12" i="2" s="1"/>
  <c r="AB12" i="2"/>
  <c r="AA12" i="2"/>
  <c r="Z12" i="2"/>
  <c r="AC12" i="2" s="1"/>
  <c r="X12" i="2"/>
  <c r="W12" i="2"/>
  <c r="V12" i="2"/>
  <c r="AI12" i="2" s="1"/>
  <c r="AF11" i="2"/>
  <c r="AE11" i="2"/>
  <c r="AD11" i="2"/>
  <c r="AG11" i="2" s="1"/>
  <c r="AB11" i="2"/>
  <c r="AA11" i="2"/>
  <c r="Z11" i="2"/>
  <c r="AC11" i="2" s="1"/>
  <c r="X11" i="2"/>
  <c r="W11" i="2"/>
  <c r="V11" i="2"/>
  <c r="AI11" i="2" s="1"/>
  <c r="AF10" i="2"/>
  <c r="AE10" i="2"/>
  <c r="AD10" i="2"/>
  <c r="AG10" i="2" s="1"/>
  <c r="AB10" i="2"/>
  <c r="AA10" i="2"/>
  <c r="Z10" i="2"/>
  <c r="AC10" i="2" s="1"/>
  <c r="X10" i="2"/>
  <c r="W10" i="2"/>
  <c r="V10" i="2"/>
  <c r="AI10" i="2" s="1"/>
  <c r="AF9" i="2"/>
  <c r="AE9" i="2"/>
  <c r="AD9" i="2"/>
  <c r="AG9" i="2" s="1"/>
  <c r="AB9" i="2"/>
  <c r="AA9" i="2"/>
  <c r="Z9" i="2"/>
  <c r="AC9" i="2" s="1"/>
  <c r="X9" i="2"/>
  <c r="W9" i="2"/>
  <c r="V9" i="2"/>
  <c r="AI9" i="2" s="1"/>
  <c r="AF8" i="2"/>
  <c r="AE8" i="2"/>
  <c r="AD8" i="2"/>
  <c r="AG8" i="2" s="1"/>
  <c r="AB8" i="2"/>
  <c r="AA8" i="2"/>
  <c r="Z8" i="2"/>
  <c r="AC8" i="2" s="1"/>
  <c r="X8" i="2"/>
  <c r="W8" i="2"/>
  <c r="V8" i="2"/>
  <c r="T8" i="2" s="1"/>
  <c r="U8" i="2" s="1"/>
  <c r="AF7" i="2"/>
  <c r="AE7" i="2"/>
  <c r="AD7" i="2"/>
  <c r="AG7" i="2" s="1"/>
  <c r="AB7" i="2"/>
  <c r="AA7" i="2"/>
  <c r="Z7" i="2"/>
  <c r="X7" i="2"/>
  <c r="W7" i="2"/>
  <c r="V7" i="2"/>
  <c r="AF6" i="2"/>
  <c r="AE6" i="2"/>
  <c r="AD6" i="2"/>
  <c r="AG6" i="2" s="1"/>
  <c r="AB6" i="2"/>
  <c r="AA6" i="2"/>
  <c r="Z6" i="2"/>
  <c r="X6" i="2"/>
  <c r="W6" i="2"/>
  <c r="V6" i="2"/>
  <c r="AF5" i="2"/>
  <c r="AE5" i="2"/>
  <c r="AD5" i="2"/>
  <c r="AB5" i="2"/>
  <c r="AA5" i="2"/>
  <c r="Z5" i="2"/>
  <c r="X5" i="2"/>
  <c r="W5" i="2"/>
  <c r="V5" i="2"/>
  <c r="AH5" i="2" s="1"/>
  <c r="AF4" i="2"/>
  <c r="AE4" i="2"/>
  <c r="AD4" i="2"/>
  <c r="AB4" i="2"/>
  <c r="AA4" i="2"/>
  <c r="Z4" i="2"/>
  <c r="X4" i="2"/>
  <c r="W4" i="2"/>
  <c r="V4" i="2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F54" i="4"/>
  <c r="F53" i="4"/>
  <c r="F52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I17" i="4"/>
  <c r="H17" i="4"/>
  <c r="H16" i="4"/>
  <c r="I16" i="4" s="1"/>
  <c r="H15" i="4"/>
  <c r="I15" i="4" s="1"/>
  <c r="F15" i="4"/>
  <c r="H14" i="4"/>
  <c r="I14" i="4" s="1"/>
  <c r="F14" i="4"/>
  <c r="B5" i="4"/>
  <c r="AC7" i="2" l="1"/>
  <c r="T7" i="2" s="1"/>
  <c r="AC6" i="2"/>
  <c r="T234" i="2"/>
  <c r="U234" i="2" s="1"/>
  <c r="U494" i="2"/>
  <c r="U254" i="2"/>
  <c r="U222" i="2"/>
  <c r="U190" i="2"/>
  <c r="U166" i="2"/>
  <c r="U142" i="2"/>
  <c r="U110" i="2"/>
  <c r="Y497" i="2"/>
  <c r="U485" i="2"/>
  <c r="U469" i="2"/>
  <c r="U445" i="2"/>
  <c r="U437" i="2"/>
  <c r="U301" i="2"/>
  <c r="U269" i="2"/>
  <c r="U261" i="2"/>
  <c r="T61" i="2"/>
  <c r="U61" i="2" s="1"/>
  <c r="T13" i="2"/>
  <c r="U13" i="2" s="1"/>
  <c r="U470" i="2"/>
  <c r="U238" i="2"/>
  <c r="U206" i="2"/>
  <c r="U182" i="2"/>
  <c r="U158" i="2"/>
  <c r="U134" i="2"/>
  <c r="U118" i="2"/>
  <c r="U94" i="2"/>
  <c r="Y61" i="2"/>
  <c r="AH673" i="2"/>
  <c r="U292" i="2"/>
  <c r="U276" i="2"/>
  <c r="U268" i="2"/>
  <c r="U260" i="2"/>
  <c r="T20" i="2"/>
  <c r="U20" i="2" s="1"/>
  <c r="T12" i="2"/>
  <c r="U12" i="2" s="1"/>
  <c r="U230" i="2"/>
  <c r="U198" i="2"/>
  <c r="U174" i="2"/>
  <c r="U150" i="2"/>
  <c r="U126" i="2"/>
  <c r="U102" i="2"/>
  <c r="Y544" i="2"/>
  <c r="Y673" i="2"/>
  <c r="U523" i="2"/>
  <c r="U483" i="2"/>
  <c r="U419" i="2"/>
  <c r="U403" i="2"/>
  <c r="U371" i="2"/>
  <c r="U355" i="2"/>
  <c r="U283" i="2"/>
  <c r="U275" i="2"/>
  <c r="U267" i="2"/>
  <c r="U259" i="2"/>
  <c r="T11" i="2"/>
  <c r="AJ11" i="2" s="1"/>
  <c r="AH542" i="2"/>
  <c r="U306" i="2"/>
  <c r="U298" i="2"/>
  <c r="U290" i="2"/>
  <c r="U274" i="2"/>
  <c r="U266" i="2"/>
  <c r="T18" i="2"/>
  <c r="U18" i="2" s="1"/>
  <c r="T10" i="2"/>
  <c r="U10" i="2" s="1"/>
  <c r="U382" i="2"/>
  <c r="U366" i="2"/>
  <c r="U278" i="2"/>
  <c r="U513" i="2"/>
  <c r="U449" i="2"/>
  <c r="U441" i="2"/>
  <c r="U385" i="2"/>
  <c r="U369" i="2"/>
  <c r="U321" i="2"/>
  <c r="U289" i="2"/>
  <c r="U273" i="2"/>
  <c r="U265" i="2"/>
  <c r="T137" i="2"/>
  <c r="U137" i="2" s="1"/>
  <c r="T33" i="2"/>
  <c r="U33" i="2" s="1"/>
  <c r="T9" i="2"/>
  <c r="U9" i="2" s="1"/>
  <c r="U496" i="2"/>
  <c r="U464" i="2"/>
  <c r="U456" i="2"/>
  <c r="U448" i="2"/>
  <c r="U440" i="2"/>
  <c r="U432" i="2"/>
  <c r="U392" i="2"/>
  <c r="U352" i="2"/>
  <c r="U312" i="2"/>
  <c r="U304" i="2"/>
  <c r="U296" i="2"/>
  <c r="U288" i="2"/>
  <c r="U280" i="2"/>
  <c r="U272" i="2"/>
  <c r="U264" i="2"/>
  <c r="T144" i="2"/>
  <c r="U144" i="2" s="1"/>
  <c r="T56" i="2"/>
  <c r="U56" i="2" s="1"/>
  <c r="AI6" i="2"/>
  <c r="U535" i="2"/>
  <c r="U503" i="2"/>
  <c r="U423" i="2"/>
  <c r="U359" i="2"/>
  <c r="U327" i="2"/>
  <c r="U311" i="2"/>
  <c r="U295" i="2"/>
  <c r="U287" i="2"/>
  <c r="U271" i="2"/>
  <c r="U263" i="2"/>
  <c r="T95" i="2"/>
  <c r="U95" i="2" s="1"/>
  <c r="T31" i="2"/>
  <c r="AJ302" i="2"/>
  <c r="AJ494" i="2"/>
  <c r="AJ502" i="2"/>
  <c r="AJ334" i="2"/>
  <c r="AJ438" i="2"/>
  <c r="AJ526" i="2"/>
  <c r="AJ398" i="2"/>
  <c r="AJ446" i="2"/>
  <c r="AJ310" i="2"/>
  <c r="AJ454" i="2"/>
  <c r="AJ510" i="2"/>
  <c r="AJ534" i="2"/>
  <c r="AJ286" i="2"/>
  <c r="AJ358" i="2"/>
  <c r="AJ406" i="2"/>
  <c r="AJ462" i="2"/>
  <c r="AJ294" i="2"/>
  <c r="AJ318" i="2"/>
  <c r="AJ470" i="2"/>
  <c r="AJ518" i="2"/>
  <c r="AJ382" i="2"/>
  <c r="AJ430" i="2"/>
  <c r="T6" i="2"/>
  <c r="AJ321" i="2"/>
  <c r="AJ345" i="2"/>
  <c r="AJ393" i="2"/>
  <c r="AJ497" i="2"/>
  <c r="AJ329" i="2"/>
  <c r="AJ361" i="2"/>
  <c r="AJ537" i="2"/>
  <c r="AJ313" i="2"/>
  <c r="AJ401" i="2"/>
  <c r="AJ505" i="2"/>
  <c r="AJ521" i="2"/>
  <c r="U516" i="2"/>
  <c r="AJ377" i="2"/>
  <c r="AJ337" i="2"/>
  <c r="AJ529" i="2"/>
  <c r="U514" i="2"/>
  <c r="U452" i="2"/>
  <c r="AJ440" i="2"/>
  <c r="AJ472" i="2"/>
  <c r="AJ416" i="2"/>
  <c r="U412" i="2"/>
  <c r="U348" i="2"/>
  <c r="AJ312" i="2"/>
  <c r="AJ328" i="2"/>
  <c r="AJ344" i="2"/>
  <c r="AJ448" i="2"/>
  <c r="AJ496" i="2"/>
  <c r="AJ512" i="2"/>
  <c r="U282" i="2"/>
  <c r="AJ424" i="2"/>
  <c r="AJ528" i="2"/>
  <c r="U530" i="2"/>
  <c r="U466" i="2"/>
  <c r="AJ432" i="2"/>
  <c r="U524" i="2"/>
  <c r="U428" i="2"/>
  <c r="U332" i="2"/>
  <c r="AJ336" i="2"/>
  <c r="AJ464" i="2"/>
  <c r="AJ504" i="2"/>
  <c r="U522" i="2"/>
  <c r="U394" i="2"/>
  <c r="U539" i="2"/>
  <c r="U323" i="2"/>
  <c r="U315" i="2"/>
  <c r="U291" i="2"/>
  <c r="U27" i="2"/>
  <c r="U19" i="2"/>
  <c r="U509" i="2"/>
  <c r="U349" i="2"/>
  <c r="U341" i="2"/>
  <c r="U333" i="2"/>
  <c r="AG5" i="2"/>
  <c r="AC5" i="2"/>
  <c r="T5" i="2" s="1"/>
  <c r="AG4" i="2"/>
  <c r="U4" i="2" s="1"/>
  <c r="AC528" i="2"/>
  <c r="U528" i="2" s="1"/>
  <c r="AI576" i="2"/>
  <c r="AI580" i="2"/>
  <c r="AH621" i="2"/>
  <c r="U652" i="2"/>
  <c r="Y653" i="2"/>
  <c r="AH653" i="2"/>
  <c r="Y669" i="2"/>
  <c r="AH669" i="2"/>
  <c r="AH757" i="2"/>
  <c r="AH762" i="2"/>
  <c r="AI778" i="2"/>
  <c r="AH785" i="2"/>
  <c r="AI790" i="2"/>
  <c r="AI544" i="2"/>
  <c r="Y576" i="2"/>
  <c r="Y580" i="2"/>
  <c r="AH590" i="2"/>
  <c r="AI611" i="2"/>
  <c r="Y621" i="2"/>
  <c r="Y642" i="2"/>
  <c r="AH642" i="2"/>
  <c r="Y704" i="2"/>
  <c r="AI746" i="2"/>
  <c r="AI762" i="2"/>
  <c r="Y590" i="2"/>
  <c r="AI602" i="2"/>
  <c r="Y703" i="2"/>
  <c r="AH753" i="2"/>
  <c r="Y799" i="2"/>
  <c r="AI125" i="2"/>
  <c r="Y542" i="2"/>
  <c r="AI555" i="2"/>
  <c r="Y598" i="2"/>
  <c r="AI636" i="2"/>
  <c r="U711" i="2"/>
  <c r="Y716" i="2"/>
  <c r="AH716" i="2"/>
  <c r="AH728" i="2"/>
  <c r="AI740" i="2"/>
  <c r="AH770" i="2"/>
  <c r="AH777" i="2"/>
  <c r="AH205" i="2"/>
  <c r="AH229" i="2"/>
  <c r="AH269" i="2"/>
  <c r="Y418" i="2"/>
  <c r="AC432" i="2"/>
  <c r="AC502" i="2"/>
  <c r="U502" i="2" s="1"/>
  <c r="AI516" i="2"/>
  <c r="AH610" i="2"/>
  <c r="Y676" i="2"/>
  <c r="Y715" i="2"/>
  <c r="AI736" i="2"/>
  <c r="AI770" i="2"/>
  <c r="AC4" i="2"/>
  <c r="U660" i="2"/>
  <c r="AI578" i="2"/>
  <c r="AI32" i="2"/>
  <c r="Y482" i="2"/>
  <c r="AC527" i="2"/>
  <c r="U527" i="2" s="1"/>
  <c r="Y539" i="2"/>
  <c r="AH539" i="2"/>
  <c r="AI542" i="2"/>
  <c r="Y545" i="2"/>
  <c r="AI545" i="2"/>
  <c r="AI547" i="2"/>
  <c r="Y554" i="2"/>
  <c r="AH554" i="2"/>
  <c r="Y579" i="2"/>
  <c r="AH579" i="2"/>
  <c r="AI603" i="2"/>
  <c r="Y618" i="2"/>
  <c r="AH618" i="2"/>
  <c r="Y629" i="2"/>
  <c r="AH637" i="2"/>
  <c r="AH639" i="2"/>
  <c r="Y680" i="2"/>
  <c r="AH680" i="2"/>
  <c r="AH707" i="2"/>
  <c r="Y728" i="2"/>
  <c r="Y737" i="2"/>
  <c r="AH737" i="2"/>
  <c r="AH741" i="2"/>
  <c r="AH758" i="2"/>
  <c r="Y781" i="2"/>
  <c r="AH781" i="2"/>
  <c r="Y791" i="2"/>
  <c r="Y793" i="2"/>
  <c r="AH793" i="2"/>
  <c r="AH802" i="2"/>
  <c r="Y13" i="2"/>
  <c r="AC408" i="2"/>
  <c r="U408" i="2" s="1"/>
  <c r="AI502" i="2"/>
  <c r="AI554" i="2"/>
  <c r="Y557" i="2"/>
  <c r="Y565" i="2"/>
  <c r="Y568" i="2"/>
  <c r="AI568" i="2"/>
  <c r="Y575" i="2"/>
  <c r="AH575" i="2"/>
  <c r="Y578" i="2"/>
  <c r="Y592" i="2"/>
  <c r="AI592" i="2"/>
  <c r="Y600" i="2"/>
  <c r="AI600" i="2"/>
  <c r="Y624" i="2"/>
  <c r="AI624" i="2"/>
  <c r="Y637" i="2"/>
  <c r="Y679" i="2"/>
  <c r="AH679" i="2"/>
  <c r="Y707" i="2"/>
  <c r="Y727" i="2"/>
  <c r="AH727" i="2"/>
  <c r="AH754" i="2"/>
  <c r="Y775" i="2"/>
  <c r="AH790" i="2"/>
  <c r="AI802" i="2"/>
  <c r="Y541" i="2"/>
  <c r="AI541" i="2"/>
  <c r="Y562" i="2"/>
  <c r="AH562" i="2"/>
  <c r="Y574" i="2"/>
  <c r="AH574" i="2"/>
  <c r="Y586" i="2"/>
  <c r="AH586" i="2"/>
  <c r="Y591" i="2"/>
  <c r="AH591" i="2"/>
  <c r="Y599" i="2"/>
  <c r="AH599" i="2"/>
  <c r="Y609" i="2"/>
  <c r="Y650" i="2"/>
  <c r="AH650" i="2"/>
  <c r="Y662" i="2"/>
  <c r="AH662" i="2"/>
  <c r="Y670" i="2"/>
  <c r="AH670" i="2"/>
  <c r="Y692" i="2"/>
  <c r="AH692" i="2"/>
  <c r="Y765" i="2"/>
  <c r="AH765" i="2"/>
  <c r="U770" i="2"/>
  <c r="AH740" i="2"/>
  <c r="AH746" i="2"/>
  <c r="AH774" i="2"/>
  <c r="AH778" i="2"/>
  <c r="AI784" i="2"/>
  <c r="AH786" i="2"/>
  <c r="AI546" i="2"/>
  <c r="Y553" i="2"/>
  <c r="Y556" i="2"/>
  <c r="AI556" i="2"/>
  <c r="Y564" i="2"/>
  <c r="AI564" i="2"/>
  <c r="U668" i="2"/>
  <c r="AH676" i="2"/>
  <c r="AH683" i="2"/>
  <c r="AH704" i="2"/>
  <c r="Y724" i="2"/>
  <c r="AH724" i="2"/>
  <c r="Y540" i="2"/>
  <c r="AI540" i="2"/>
  <c r="Y543" i="2"/>
  <c r="AH543" i="2"/>
  <c r="Y566" i="2"/>
  <c r="AH566" i="2"/>
  <c r="Y577" i="2"/>
  <c r="Y581" i="2"/>
  <c r="Y612" i="2"/>
  <c r="AI612" i="2"/>
  <c r="AI625" i="2"/>
  <c r="AI631" i="2"/>
  <c r="Y683" i="2"/>
  <c r="AH145" i="2"/>
  <c r="AI295" i="2"/>
  <c r="AI543" i="2"/>
  <c r="Y555" i="2"/>
  <c r="Y589" i="2"/>
  <c r="Y611" i="2"/>
  <c r="T555" i="2"/>
  <c r="AJ555" i="2" s="1"/>
  <c r="AH583" i="2"/>
  <c r="Y583" i="2"/>
  <c r="AI605" i="2"/>
  <c r="Y605" i="2"/>
  <c r="AI607" i="2"/>
  <c r="AH607" i="2"/>
  <c r="Y607" i="2"/>
  <c r="AH41" i="2"/>
  <c r="AI94" i="2"/>
  <c r="AH157" i="2"/>
  <c r="AH164" i="2"/>
  <c r="AI303" i="2"/>
  <c r="AH515" i="2"/>
  <c r="AC517" i="2"/>
  <c r="U517" i="2" s="1"/>
  <c r="AC531" i="2"/>
  <c r="U531" i="2" s="1"/>
  <c r="T549" i="2"/>
  <c r="AJ549" i="2" s="1"/>
  <c r="T558" i="2"/>
  <c r="AJ558" i="2" s="1"/>
  <c r="T559" i="2"/>
  <c r="AJ559" i="2" s="1"/>
  <c r="T560" i="2"/>
  <c r="AJ560" i="2" s="1"/>
  <c r="AI585" i="2"/>
  <c r="Y585" i="2"/>
  <c r="AI658" i="2"/>
  <c r="AH658" i="2"/>
  <c r="Y658" i="2"/>
  <c r="Y33" i="2"/>
  <c r="Y49" i="2"/>
  <c r="T546" i="2"/>
  <c r="AJ546" i="2" s="1"/>
  <c r="T547" i="2"/>
  <c r="AJ547" i="2" s="1"/>
  <c r="T548" i="2"/>
  <c r="AJ548" i="2" s="1"/>
  <c r="T569" i="2"/>
  <c r="AJ569" i="2" s="1"/>
  <c r="AI583" i="2"/>
  <c r="AI615" i="2"/>
  <c r="AH615" i="2"/>
  <c r="Y615" i="2"/>
  <c r="AI712" i="2"/>
  <c r="AH712" i="2"/>
  <c r="Y712" i="2"/>
  <c r="Y750" i="2"/>
  <c r="AI750" i="2"/>
  <c r="AH750" i="2"/>
  <c r="Y798" i="2"/>
  <c r="AI798" i="2"/>
  <c r="AH798" i="2"/>
  <c r="AI28" i="2"/>
  <c r="AI310" i="2"/>
  <c r="Y318" i="2"/>
  <c r="AC507" i="2"/>
  <c r="U507" i="2" s="1"/>
  <c r="T545" i="2"/>
  <c r="AJ545" i="2" s="1"/>
  <c r="Y550" i="2"/>
  <c r="Y551" i="2"/>
  <c r="Y552" i="2"/>
  <c r="T557" i="2"/>
  <c r="AJ557" i="2" s="1"/>
  <c r="T566" i="2"/>
  <c r="AJ566" i="2" s="1"/>
  <c r="T567" i="2"/>
  <c r="AJ567" i="2" s="1"/>
  <c r="T568" i="2"/>
  <c r="AJ568" i="2" s="1"/>
  <c r="Y573" i="2"/>
  <c r="AH582" i="2"/>
  <c r="Y582" i="2"/>
  <c r="AI593" i="2"/>
  <c r="Y593" i="2"/>
  <c r="AI595" i="2"/>
  <c r="AH595" i="2"/>
  <c r="Y595" i="2"/>
  <c r="AH780" i="2"/>
  <c r="AI780" i="2"/>
  <c r="AH44" i="2"/>
  <c r="AH191" i="2"/>
  <c r="AC536" i="2"/>
  <c r="U536" i="2" s="1"/>
  <c r="AI539" i="2"/>
  <c r="T544" i="2"/>
  <c r="AJ544" i="2" s="1"/>
  <c r="AH550" i="2"/>
  <c r="AH551" i="2"/>
  <c r="AI552" i="2"/>
  <c r="T556" i="2"/>
  <c r="AJ556" i="2" s="1"/>
  <c r="Y561" i="2"/>
  <c r="AI562" i="2"/>
  <c r="AI563" i="2"/>
  <c r="Y570" i="2"/>
  <c r="Y571" i="2"/>
  <c r="Y572" i="2"/>
  <c r="Y588" i="2"/>
  <c r="AI588" i="2"/>
  <c r="AI606" i="2"/>
  <c r="AH606" i="2"/>
  <c r="Y606" i="2"/>
  <c r="AH608" i="2"/>
  <c r="AI608" i="2"/>
  <c r="Y608" i="2"/>
  <c r="AI141" i="2"/>
  <c r="T541" i="2"/>
  <c r="AJ541" i="2" s="1"/>
  <c r="Y549" i="2"/>
  <c r="AI550" i="2"/>
  <c r="AI551" i="2"/>
  <c r="Y558" i="2"/>
  <c r="Y559" i="2"/>
  <c r="Y560" i="2"/>
  <c r="T565" i="2"/>
  <c r="AJ565" i="2" s="1"/>
  <c r="AH570" i="2"/>
  <c r="AH571" i="2"/>
  <c r="AI572" i="2"/>
  <c r="AI582" i="2"/>
  <c r="AH584" i="2"/>
  <c r="AI584" i="2"/>
  <c r="Y584" i="2"/>
  <c r="AI661" i="2"/>
  <c r="Y661" i="2"/>
  <c r="AH661" i="2"/>
  <c r="AI323" i="2"/>
  <c r="Y438" i="2"/>
  <c r="AH475" i="2"/>
  <c r="Y505" i="2"/>
  <c r="AH535" i="2"/>
  <c r="T540" i="2"/>
  <c r="Y546" i="2"/>
  <c r="Y547" i="2"/>
  <c r="Y548" i="2"/>
  <c r="T553" i="2"/>
  <c r="AJ553" i="2" s="1"/>
  <c r="AH558" i="2"/>
  <c r="AH559" i="2"/>
  <c r="AI560" i="2"/>
  <c r="T564" i="2"/>
  <c r="AJ564" i="2" s="1"/>
  <c r="Y569" i="2"/>
  <c r="Y587" i="2"/>
  <c r="AH587" i="2"/>
  <c r="Y597" i="2"/>
  <c r="AI614" i="2"/>
  <c r="AH614" i="2"/>
  <c r="Y614" i="2"/>
  <c r="AH616" i="2"/>
  <c r="AI616" i="2"/>
  <c r="Y616" i="2"/>
  <c r="AI675" i="2"/>
  <c r="AH675" i="2"/>
  <c r="Y675" i="2"/>
  <c r="AI688" i="2"/>
  <c r="AH688" i="2"/>
  <c r="Y688" i="2"/>
  <c r="AI723" i="2"/>
  <c r="AH723" i="2"/>
  <c r="Y723" i="2"/>
  <c r="AI156" i="2"/>
  <c r="AH335" i="2"/>
  <c r="AC337" i="2"/>
  <c r="U337" i="2" s="1"/>
  <c r="AH358" i="2"/>
  <c r="AC361" i="2"/>
  <c r="U361" i="2" s="1"/>
  <c r="AI548" i="2"/>
  <c r="T552" i="2"/>
  <c r="AJ552" i="2" s="1"/>
  <c r="AI594" i="2"/>
  <c r="AH594" i="2"/>
  <c r="Y594" i="2"/>
  <c r="AH596" i="2"/>
  <c r="AI596" i="2"/>
  <c r="Y596" i="2"/>
  <c r="AI773" i="2"/>
  <c r="AH773" i="2"/>
  <c r="Y773" i="2"/>
  <c r="AI783" i="2"/>
  <c r="Y783" i="2"/>
  <c r="AI795" i="2"/>
  <c r="Y795" i="2"/>
  <c r="U674" i="2"/>
  <c r="U678" i="2"/>
  <c r="U731" i="2"/>
  <c r="Y736" i="2"/>
  <c r="Y745" i="2"/>
  <c r="AH745" i="2"/>
  <c r="U749" i="2"/>
  <c r="Y753" i="2"/>
  <c r="AI774" i="2"/>
  <c r="Y777" i="2"/>
  <c r="Y787" i="2"/>
  <c r="Y801" i="2"/>
  <c r="U665" i="2"/>
  <c r="U719" i="2"/>
  <c r="Y735" i="2"/>
  <c r="AH735" i="2"/>
  <c r="U741" i="2"/>
  <c r="Y761" i="2"/>
  <c r="AH761" i="2"/>
  <c r="Y789" i="2"/>
  <c r="U794" i="2"/>
  <c r="AH801" i="2"/>
  <c r="AI623" i="2"/>
  <c r="AH627" i="2"/>
  <c r="AI639" i="2"/>
  <c r="AH678" i="2"/>
  <c r="U707" i="2"/>
  <c r="U765" i="2"/>
  <c r="AI776" i="2"/>
  <c r="AI786" i="2"/>
  <c r="AH789" i="2"/>
  <c r="Y617" i="2"/>
  <c r="Y630" i="2"/>
  <c r="AH630" i="2"/>
  <c r="Y644" i="2"/>
  <c r="AI644" i="2"/>
  <c r="U648" i="2"/>
  <c r="Y649" i="2"/>
  <c r="AH649" i="2"/>
  <c r="U662" i="2"/>
  <c r="Y666" i="2"/>
  <c r="AH666" i="2"/>
  <c r="AH674" i="2"/>
  <c r="AI678" i="2"/>
  <c r="Y687" i="2"/>
  <c r="AH687" i="2"/>
  <c r="Y700" i="2"/>
  <c r="AH700" i="2"/>
  <c r="Y711" i="2"/>
  <c r="AH711" i="2"/>
  <c r="U727" i="2"/>
  <c r="Y732" i="2"/>
  <c r="AH732" i="2"/>
  <c r="AH738" i="2"/>
  <c r="U754" i="2"/>
  <c r="AI758" i="2"/>
  <c r="AH766" i="2"/>
  <c r="AH782" i="2"/>
  <c r="AH794" i="2"/>
  <c r="Y797" i="2"/>
  <c r="Y626" i="2"/>
  <c r="U642" i="2"/>
  <c r="AH657" i="2"/>
  <c r="AI674" i="2"/>
  <c r="Y699" i="2"/>
  <c r="AH699" i="2"/>
  <c r="U715" i="2"/>
  <c r="Y720" i="2"/>
  <c r="AH720" i="2"/>
  <c r="Y731" i="2"/>
  <c r="AH731" i="2"/>
  <c r="AI738" i="2"/>
  <c r="Y749" i="2"/>
  <c r="AH749" i="2"/>
  <c r="AI766" i="2"/>
  <c r="Y769" i="2"/>
  <c r="AI772" i="2"/>
  <c r="Y779" i="2"/>
  <c r="AI782" i="2"/>
  <c r="Y785" i="2"/>
  <c r="U790" i="2"/>
  <c r="AI794" i="2"/>
  <c r="AH797" i="2"/>
  <c r="Y803" i="2"/>
  <c r="Y602" i="2"/>
  <c r="Y603" i="2"/>
  <c r="Y604" i="2"/>
  <c r="Y622" i="2"/>
  <c r="AH622" i="2"/>
  <c r="AH626" i="2"/>
  <c r="AH629" i="2"/>
  <c r="Y634" i="2"/>
  <c r="Y638" i="2"/>
  <c r="AH638" i="2"/>
  <c r="Y646" i="2"/>
  <c r="AH646" i="2"/>
  <c r="Y654" i="2"/>
  <c r="AH654" i="2"/>
  <c r="Y657" i="2"/>
  <c r="U664" i="2"/>
  <c r="Y665" i="2"/>
  <c r="AH665" i="2"/>
  <c r="Y684" i="2"/>
  <c r="AH684" i="2"/>
  <c r="Y696" i="2"/>
  <c r="AH696" i="2"/>
  <c r="Y708" i="2"/>
  <c r="AH708" i="2"/>
  <c r="Y719" i="2"/>
  <c r="AH719" i="2"/>
  <c r="U735" i="2"/>
  <c r="Y741" i="2"/>
  <c r="Y757" i="2"/>
  <c r="AH769" i="2"/>
  <c r="U774" i="2"/>
  <c r="AI604" i="2"/>
  <c r="AH634" i="2"/>
  <c r="U658" i="2"/>
  <c r="U694" i="2"/>
  <c r="U723" i="2"/>
  <c r="U739" i="2"/>
  <c r="U771" i="2"/>
  <c r="U775" i="2"/>
  <c r="U773" i="2"/>
  <c r="U602" i="2"/>
  <c r="U550" i="2"/>
  <c r="U562" i="2"/>
  <c r="U542" i="2"/>
  <c r="U570" i="2"/>
  <c r="U583" i="2"/>
  <c r="U594" i="2"/>
  <c r="U797" i="2"/>
  <c r="U799" i="2"/>
  <c r="U615" i="2"/>
  <c r="U636" i="2"/>
  <c r="U623" i="2"/>
  <c r="U747" i="2"/>
  <c r="AH25" i="2"/>
  <c r="AH73" i="2"/>
  <c r="Y88" i="2"/>
  <c r="AH95" i="2"/>
  <c r="AH251" i="2"/>
  <c r="Y282" i="2"/>
  <c r="AC336" i="2"/>
  <c r="U336" i="2" s="1"/>
  <c r="AH368" i="2"/>
  <c r="Y430" i="2"/>
  <c r="AC488" i="2"/>
  <c r="U488" i="2" s="1"/>
  <c r="Y510" i="2"/>
  <c r="Y5" i="2"/>
  <c r="Y45" i="2"/>
  <c r="AC300" i="2"/>
  <c r="U300" i="2" s="1"/>
  <c r="AI335" i="2"/>
  <c r="Y338" i="2"/>
  <c r="AH426" i="2"/>
  <c r="AC504" i="2"/>
  <c r="U504" i="2" s="1"/>
  <c r="AC532" i="2"/>
  <c r="U532" i="2" s="1"/>
  <c r="U628" i="2"/>
  <c r="AH16" i="2"/>
  <c r="AH21" i="2"/>
  <c r="Y104" i="2"/>
  <c r="Y142" i="2"/>
  <c r="AH190" i="2"/>
  <c r="AH198" i="2"/>
  <c r="AH254" i="2"/>
  <c r="AC286" i="2"/>
  <c r="U286" i="2" s="1"/>
  <c r="Y298" i="2"/>
  <c r="AH427" i="2"/>
  <c r="AC513" i="2"/>
  <c r="Y537" i="2"/>
  <c r="U599" i="2"/>
  <c r="U631" i="2"/>
  <c r="AH57" i="2"/>
  <c r="AI113" i="2"/>
  <c r="AH176" i="2"/>
  <c r="AC324" i="2"/>
  <c r="U324" i="2" s="1"/>
  <c r="AH366" i="2"/>
  <c r="AH372" i="2"/>
  <c r="AH383" i="2"/>
  <c r="AC472" i="2"/>
  <c r="U472" i="2" s="1"/>
  <c r="AI65" i="2"/>
  <c r="Y132" i="2"/>
  <c r="Y52" i="2"/>
  <c r="AH52" i="2"/>
  <c r="AI72" i="2"/>
  <c r="AI112" i="2"/>
  <c r="AH203" i="2"/>
  <c r="AH235" i="2"/>
  <c r="AC23" i="2"/>
  <c r="T23" i="2" s="1"/>
  <c r="Y36" i="2"/>
  <c r="AI36" i="2"/>
  <c r="Y48" i="2"/>
  <c r="AI48" i="2"/>
  <c r="AH53" i="2"/>
  <c r="AH67" i="2"/>
  <c r="AH160" i="2"/>
  <c r="AH275" i="2"/>
  <c r="AI292" i="2"/>
  <c r="Y4" i="2"/>
  <c r="Y21" i="2"/>
  <c r="AI22" i="2"/>
  <c r="AI27" i="2"/>
  <c r="AH37" i="2"/>
  <c r="AH48" i="2"/>
  <c r="Y67" i="2"/>
  <c r="AI67" i="2"/>
  <c r="AI93" i="2"/>
  <c r="AH197" i="2"/>
  <c r="AH32" i="2"/>
  <c r="AI64" i="2"/>
  <c r="AH74" i="2"/>
  <c r="AI100" i="2"/>
  <c r="Y149" i="2"/>
  <c r="AI149" i="2"/>
  <c r="AH149" i="2"/>
  <c r="Y44" i="2"/>
  <c r="AI44" i="2"/>
  <c r="AH49" i="2"/>
  <c r="AH64" i="2"/>
  <c r="AI75" i="2"/>
  <c r="AH82" i="2"/>
  <c r="AI108" i="2"/>
  <c r="AH108" i="2"/>
  <c r="Y24" i="2"/>
  <c r="AI39" i="2"/>
  <c r="Y56" i="2"/>
  <c r="Y60" i="2"/>
  <c r="AI116" i="2"/>
  <c r="AH116" i="2"/>
  <c r="AC316" i="2"/>
  <c r="U316" i="2" s="1"/>
  <c r="AH318" i="2"/>
  <c r="Y20" i="2"/>
  <c r="AH20" i="2"/>
  <c r="Y40" i="2"/>
  <c r="AH45" i="2"/>
  <c r="AH56" i="2"/>
  <c r="AJ103" i="2"/>
  <c r="Y171" i="2"/>
  <c r="Y12" i="2"/>
  <c r="AH12" i="2"/>
  <c r="AI51" i="2"/>
  <c r="AI71" i="2"/>
  <c r="AI124" i="2"/>
  <c r="AH152" i="2"/>
  <c r="AH434" i="2"/>
  <c r="Y434" i="2"/>
  <c r="AI454" i="2"/>
  <c r="AH454" i="2"/>
  <c r="Y454" i="2"/>
  <c r="AI508" i="2"/>
  <c r="AI5" i="2"/>
  <c r="AI13" i="2"/>
  <c r="AI17" i="2"/>
  <c r="AI21" i="2"/>
  <c r="Y25" i="2"/>
  <c r="AI26" i="2"/>
  <c r="AI30" i="2"/>
  <c r="AI43" i="2"/>
  <c r="AI47" i="2"/>
  <c r="AI55" i="2"/>
  <c r="AI59" i="2"/>
  <c r="AI63" i="2"/>
  <c r="AH78" i="2"/>
  <c r="AH86" i="2"/>
  <c r="AH94" i="2"/>
  <c r="AH96" i="2"/>
  <c r="AH103" i="2"/>
  <c r="Y128" i="2"/>
  <c r="AI145" i="2"/>
  <c r="AI152" i="2"/>
  <c r="AI157" i="2"/>
  <c r="AI165" i="2"/>
  <c r="AH217" i="2"/>
  <c r="AH249" i="2"/>
  <c r="AH255" i="2"/>
  <c r="AH263" i="2"/>
  <c r="AI282" i="2"/>
  <c r="AH295" i="2"/>
  <c r="AC297" i="2"/>
  <c r="U297" i="2" s="1"/>
  <c r="AI306" i="2"/>
  <c r="AC308" i="2"/>
  <c r="U308" i="2" s="1"/>
  <c r="AH310" i="2"/>
  <c r="AI315" i="2"/>
  <c r="AC320" i="2"/>
  <c r="U320" i="2" s="1"/>
  <c r="AH362" i="2"/>
  <c r="AI362" i="2"/>
  <c r="AI450" i="2"/>
  <c r="Y450" i="2"/>
  <c r="AJ411" i="2"/>
  <c r="AH90" i="2"/>
  <c r="AH113" i="2"/>
  <c r="AI120" i="2"/>
  <c r="AH125" i="2"/>
  <c r="Y129" i="2"/>
  <c r="AI218" i="2"/>
  <c r="AH237" i="2"/>
  <c r="AI242" i="2"/>
  <c r="AI283" i="2"/>
  <c r="Y315" i="2"/>
  <c r="AI358" i="2"/>
  <c r="AH520" i="2"/>
  <c r="AI520" i="2"/>
  <c r="Y520" i="2"/>
  <c r="AJ763" i="2"/>
  <c r="U763" i="2"/>
  <c r="AJ531" i="2"/>
  <c r="AI79" i="2"/>
  <c r="AI83" i="2"/>
  <c r="AI87" i="2"/>
  <c r="AH97" i="2"/>
  <c r="AH105" i="2"/>
  <c r="AI109" i="2"/>
  <c r="Y117" i="2"/>
  <c r="Y120" i="2"/>
  <c r="AC128" i="2"/>
  <c r="T128" i="2" s="1"/>
  <c r="AH129" i="2"/>
  <c r="Y146" i="2"/>
  <c r="AH161" i="2"/>
  <c r="AH166" i="2"/>
  <c r="AH174" i="2"/>
  <c r="AH181" i="2"/>
  <c r="AH218" i="2"/>
  <c r="AI230" i="2"/>
  <c r="AH257" i="2"/>
  <c r="AH265" i="2"/>
  <c r="AI270" i="2"/>
  <c r="AI278" i="2"/>
  <c r="AC284" i="2"/>
  <c r="U284" i="2" s="1"/>
  <c r="AI294" i="2"/>
  <c r="Y295" i="2"/>
  <c r="AI299" i="2"/>
  <c r="AH303" i="2"/>
  <c r="AC315" i="2"/>
  <c r="AC317" i="2"/>
  <c r="U317" i="2" s="1"/>
  <c r="AI442" i="2"/>
  <c r="Y442" i="2"/>
  <c r="AJ523" i="2"/>
  <c r="Y84" i="2"/>
  <c r="AI91" i="2"/>
  <c r="Y94" i="2"/>
  <c r="AH102" i="2"/>
  <c r="AI105" i="2"/>
  <c r="Y114" i="2"/>
  <c r="AH117" i="2"/>
  <c r="AH121" i="2"/>
  <c r="Y126" i="2"/>
  <c r="AI140" i="2"/>
  <c r="AH153" i="2"/>
  <c r="AI226" i="2"/>
  <c r="AI238" i="2"/>
  <c r="AI258" i="2"/>
  <c r="AI266" i="2"/>
  <c r="AI279" i="2"/>
  <c r="AC281" i="2"/>
  <c r="U281" i="2" s="1"/>
  <c r="Y299" i="2"/>
  <c r="AH299" i="2"/>
  <c r="AI486" i="2"/>
  <c r="AH486" i="2"/>
  <c r="AI7" i="2"/>
  <c r="AI15" i="2"/>
  <c r="AI19" i="2"/>
  <c r="AI23" i="2"/>
  <c r="Y28" i="2"/>
  <c r="Y32" i="2"/>
  <c r="AI35" i="2"/>
  <c r="AH80" i="2"/>
  <c r="AH98" i="2"/>
  <c r="Y106" i="2"/>
  <c r="AI117" i="2"/>
  <c r="AI121" i="2"/>
  <c r="Y140" i="2"/>
  <c r="AI176" i="2"/>
  <c r="AH182" i="2"/>
  <c r="AH188" i="2"/>
  <c r="AI206" i="2"/>
  <c r="AH226" i="2"/>
  <c r="AH238" i="2"/>
  <c r="AH266" i="2"/>
  <c r="Y283" i="2"/>
  <c r="AC293" i="2"/>
  <c r="U293" i="2" s="1"/>
  <c r="AI297" i="2"/>
  <c r="AC309" i="2"/>
  <c r="U309" i="2" s="1"/>
  <c r="AH311" i="2"/>
  <c r="AC321" i="2"/>
  <c r="AH323" i="2"/>
  <c r="Y323" i="2"/>
  <c r="AC328" i="2"/>
  <c r="U328" i="2" s="1"/>
  <c r="AC332" i="2"/>
  <c r="AJ551" i="2"/>
  <c r="U551" i="2"/>
  <c r="AJ507" i="2"/>
  <c r="Y69" i="2"/>
  <c r="AI73" i="2"/>
  <c r="Y76" i="2"/>
  <c r="AI92" i="2"/>
  <c r="AI99" i="2"/>
  <c r="Y137" i="2"/>
  <c r="AH140" i="2"/>
  <c r="AH148" i="2"/>
  <c r="Y150" i="2"/>
  <c r="Y158" i="2"/>
  <c r="AC161" i="2"/>
  <c r="T161" i="2" s="1"/>
  <c r="AH183" i="2"/>
  <c r="AH189" i="2"/>
  <c r="AI202" i="2"/>
  <c r="AI246" i="2"/>
  <c r="AH253" i="2"/>
  <c r="Y279" i="2"/>
  <c r="Y280" i="2"/>
  <c r="Y294" i="2"/>
  <c r="AH294" i="2"/>
  <c r="Y303" i="2"/>
  <c r="AC325" i="2"/>
  <c r="U325" i="2" s="1"/>
  <c r="AH334" i="2"/>
  <c r="AI334" i="2"/>
  <c r="AC343" i="2"/>
  <c r="U343" i="2" s="1"/>
  <c r="AC416" i="2"/>
  <c r="U416" i="2" s="1"/>
  <c r="AH503" i="2"/>
  <c r="AI503" i="2"/>
  <c r="AJ499" i="2"/>
  <c r="Y8" i="2"/>
  <c r="Y16" i="2"/>
  <c r="AI25" i="2"/>
  <c r="AI29" i="2"/>
  <c r="Y41" i="2"/>
  <c r="Y57" i="2"/>
  <c r="AI66" i="2"/>
  <c r="AI77" i="2"/>
  <c r="Y80" i="2"/>
  <c r="AI81" i="2"/>
  <c r="AH85" i="2"/>
  <c r="AI85" i="2"/>
  <c r="AH88" i="2"/>
  <c r="Y102" i="2"/>
  <c r="Y110" i="2"/>
  <c r="AH137" i="2"/>
  <c r="AH141" i="2"/>
  <c r="AH156" i="2"/>
  <c r="Y162" i="2"/>
  <c r="AH169" i="2"/>
  <c r="Y176" i="2"/>
  <c r="AH202" i="2"/>
  <c r="AH215" i="2"/>
  <c r="AH227" i="2"/>
  <c r="AI234" i="2"/>
  <c r="AH239" i="2"/>
  <c r="AH247" i="2"/>
  <c r="AI254" i="2"/>
  <c r="AI274" i="2"/>
  <c r="AC294" i="2"/>
  <c r="U294" i="2" s="1"/>
  <c r="AH298" i="2"/>
  <c r="AI318" i="2"/>
  <c r="AC319" i="2"/>
  <c r="U319" i="2" s="1"/>
  <c r="AH327" i="2"/>
  <c r="Y327" i="2"/>
  <c r="AC331" i="2"/>
  <c r="U331" i="2" s="1"/>
  <c r="AI332" i="2"/>
  <c r="AC334" i="2"/>
  <c r="U334" i="2" s="1"/>
  <c r="AC339" i="2"/>
  <c r="U339" i="2" s="1"/>
  <c r="AI340" i="2"/>
  <c r="AH344" i="2"/>
  <c r="AC347" i="2"/>
  <c r="U347" i="2" s="1"/>
  <c r="AH348" i="2"/>
  <c r="AC353" i="2"/>
  <c r="U353" i="2" s="1"/>
  <c r="Y354" i="2"/>
  <c r="AC365" i="2"/>
  <c r="U365" i="2" s="1"/>
  <c r="AC370" i="2"/>
  <c r="U370" i="2" s="1"/>
  <c r="AC376" i="2"/>
  <c r="U376" i="2" s="1"/>
  <c r="AI378" i="2"/>
  <c r="AC394" i="2"/>
  <c r="AH396" i="2"/>
  <c r="AH423" i="2"/>
  <c r="AC433" i="2"/>
  <c r="U433" i="2" s="1"/>
  <c r="AC436" i="2"/>
  <c r="U436" i="2" s="1"/>
  <c r="AI438" i="2"/>
  <c r="AC444" i="2"/>
  <c r="U444" i="2" s="1"/>
  <c r="AI446" i="2"/>
  <c r="AC453" i="2"/>
  <c r="U453" i="2" s="1"/>
  <c r="AC459" i="2"/>
  <c r="U459" i="2" s="1"/>
  <c r="AC467" i="2"/>
  <c r="U467" i="2" s="1"/>
  <c r="AI474" i="2"/>
  <c r="AC477" i="2"/>
  <c r="U477" i="2" s="1"/>
  <c r="Y478" i="2"/>
  <c r="AI479" i="2"/>
  <c r="AC491" i="2"/>
  <c r="U491" i="2" s="1"/>
  <c r="Y492" i="2"/>
  <c r="AI494" i="2"/>
  <c r="AC496" i="2"/>
  <c r="AH497" i="2"/>
  <c r="AC498" i="2"/>
  <c r="U498" i="2" s="1"/>
  <c r="AC511" i="2"/>
  <c r="U511" i="2" s="1"/>
  <c r="AI512" i="2"/>
  <c r="Y516" i="2"/>
  <c r="AC519" i="2"/>
  <c r="U519" i="2" s="1"/>
  <c r="AC521" i="2"/>
  <c r="U521" i="2" s="1"/>
  <c r="Y414" i="2"/>
  <c r="Y486" i="2"/>
  <c r="AC490" i="2"/>
  <c r="U490" i="2" s="1"/>
  <c r="AI327" i="2"/>
  <c r="AI338" i="2"/>
  <c r="AC344" i="2"/>
  <c r="U344" i="2" s="1"/>
  <c r="AC348" i="2"/>
  <c r="AC362" i="2"/>
  <c r="U362" i="2" s="1"/>
  <c r="Y373" i="2"/>
  <c r="AC377" i="2"/>
  <c r="U377" i="2" s="1"/>
  <c r="AI379" i="2"/>
  <c r="AC391" i="2"/>
  <c r="U391" i="2" s="1"/>
  <c r="AC400" i="2"/>
  <c r="U400" i="2" s="1"/>
  <c r="AC414" i="2"/>
  <c r="U414" i="2" s="1"/>
  <c r="AC418" i="2"/>
  <c r="U418" i="2" s="1"/>
  <c r="AH419" i="2"/>
  <c r="AC423" i="2"/>
  <c r="AC434" i="2"/>
  <c r="U434" i="2" s="1"/>
  <c r="AI439" i="2"/>
  <c r="AI447" i="2"/>
  <c r="AI451" i="2"/>
  <c r="AC460" i="2"/>
  <c r="U460" i="2" s="1"/>
  <c r="AI462" i="2"/>
  <c r="AC468" i="2"/>
  <c r="U468" i="2" s="1"/>
  <c r="AI470" i="2"/>
  <c r="AC473" i="2"/>
  <c r="U473" i="2" s="1"/>
  <c r="AI475" i="2"/>
  <c r="AC484" i="2"/>
  <c r="U484" i="2" s="1"/>
  <c r="AI488" i="2"/>
  <c r="AC493" i="2"/>
  <c r="U493" i="2" s="1"/>
  <c r="AC505" i="2"/>
  <c r="U505" i="2" s="1"/>
  <c r="AH510" i="2"/>
  <c r="AH526" i="2"/>
  <c r="AH536" i="2"/>
  <c r="AC372" i="2"/>
  <c r="U372" i="2" s="1"/>
  <c r="AC378" i="2"/>
  <c r="U378" i="2" s="1"/>
  <c r="AC396" i="2"/>
  <c r="U396" i="2" s="1"/>
  <c r="AC415" i="2"/>
  <c r="U415" i="2" s="1"/>
  <c r="AC427" i="2"/>
  <c r="U427" i="2" s="1"/>
  <c r="AC450" i="2"/>
  <c r="U450" i="2" s="1"/>
  <c r="AC454" i="2"/>
  <c r="U454" i="2" s="1"/>
  <c r="AC457" i="2"/>
  <c r="U457" i="2" s="1"/>
  <c r="AH458" i="2"/>
  <c r="AC461" i="2"/>
  <c r="U461" i="2" s="1"/>
  <c r="AC465" i="2"/>
  <c r="U465" i="2" s="1"/>
  <c r="AH466" i="2"/>
  <c r="AC469" i="2"/>
  <c r="AC479" i="2"/>
  <c r="U479" i="2" s="1"/>
  <c r="AC512" i="2"/>
  <c r="U512" i="2" s="1"/>
  <c r="Y515" i="2"/>
  <c r="AI515" i="2"/>
  <c r="AI319" i="2"/>
  <c r="AC329" i="2"/>
  <c r="U329" i="2" s="1"/>
  <c r="AC335" i="2"/>
  <c r="U335" i="2" s="1"/>
  <c r="AC340" i="2"/>
  <c r="U340" i="2" s="1"/>
  <c r="AC345" i="2"/>
  <c r="U345" i="2" s="1"/>
  <c r="AC349" i="2"/>
  <c r="AC367" i="2"/>
  <c r="U367" i="2" s="1"/>
  <c r="Y369" i="2"/>
  <c r="AH375" i="2"/>
  <c r="AC379" i="2"/>
  <c r="U379" i="2" s="1"/>
  <c r="AC382" i="2"/>
  <c r="AI385" i="2"/>
  <c r="AC388" i="2"/>
  <c r="U388" i="2" s="1"/>
  <c r="AI390" i="2"/>
  <c r="AC397" i="2"/>
  <c r="U397" i="2" s="1"/>
  <c r="AC401" i="2"/>
  <c r="U401" i="2" s="1"/>
  <c r="Y406" i="2"/>
  <c r="AH411" i="2"/>
  <c r="AI417" i="2"/>
  <c r="AC419" i="2"/>
  <c r="AC424" i="2"/>
  <c r="U424" i="2" s="1"/>
  <c r="AI426" i="2"/>
  <c r="AC431" i="2"/>
  <c r="U431" i="2" s="1"/>
  <c r="AI440" i="2"/>
  <c r="AI448" i="2"/>
  <c r="AI452" i="2"/>
  <c r="AH455" i="2"/>
  <c r="Y458" i="2"/>
  <c r="AH463" i="2"/>
  <c r="Y466" i="2"/>
  <c r="AI476" i="2"/>
  <c r="AI483" i="2"/>
  <c r="AC487" i="2"/>
  <c r="U487" i="2" s="1"/>
  <c r="Y488" i="2"/>
  <c r="AI490" i="2"/>
  <c r="AC497" i="2"/>
  <c r="U497" i="2" s="1"/>
  <c r="Y502" i="2"/>
  <c r="AC515" i="2"/>
  <c r="U515" i="2" s="1"/>
  <c r="AI518" i="2"/>
  <c r="AH524" i="2"/>
  <c r="AC525" i="2"/>
  <c r="U525" i="2" s="1"/>
  <c r="AH534" i="2"/>
  <c r="AC538" i="2"/>
  <c r="U538" i="2" s="1"/>
  <c r="U614" i="2"/>
  <c r="AC356" i="2"/>
  <c r="U356" i="2" s="1"/>
  <c r="Y361" i="2"/>
  <c r="AC380" i="2"/>
  <c r="U380" i="2" s="1"/>
  <c r="AC406" i="2"/>
  <c r="U406" i="2" s="1"/>
  <c r="AC439" i="2"/>
  <c r="U439" i="2" s="1"/>
  <c r="AC447" i="2"/>
  <c r="U447" i="2" s="1"/>
  <c r="AC451" i="2"/>
  <c r="U451" i="2" s="1"/>
  <c r="AC466" i="2"/>
  <c r="AC470" i="2"/>
  <c r="AC475" i="2"/>
  <c r="U475" i="2" s="1"/>
  <c r="AC481" i="2"/>
  <c r="U481" i="2" s="1"/>
  <c r="Y511" i="2"/>
  <c r="AC526" i="2"/>
  <c r="U526" i="2" s="1"/>
  <c r="AJ678" i="2"/>
  <c r="AI331" i="2"/>
  <c r="AI343" i="2"/>
  <c r="AC357" i="2"/>
  <c r="U357" i="2" s="1"/>
  <c r="AC364" i="2"/>
  <c r="U364" i="2" s="1"/>
  <c r="AC374" i="2"/>
  <c r="U374" i="2" s="1"/>
  <c r="AC384" i="2"/>
  <c r="U384" i="2" s="1"/>
  <c r="AC389" i="2"/>
  <c r="U389" i="2" s="1"/>
  <c r="AC402" i="2"/>
  <c r="U402" i="2" s="1"/>
  <c r="AC411" i="2"/>
  <c r="U411" i="2" s="1"/>
  <c r="Y413" i="2"/>
  <c r="AI418" i="2"/>
  <c r="AC420" i="2"/>
  <c r="U420" i="2" s="1"/>
  <c r="AI430" i="2"/>
  <c r="AI434" i="2"/>
  <c r="AC435" i="2"/>
  <c r="U435" i="2" s="1"/>
  <c r="AC443" i="2"/>
  <c r="U443" i="2" s="1"/>
  <c r="AC455" i="2"/>
  <c r="U455" i="2" s="1"/>
  <c r="AI456" i="2"/>
  <c r="AC463" i="2"/>
  <c r="U463" i="2" s="1"/>
  <c r="AI464" i="2"/>
  <c r="AC471" i="2"/>
  <c r="U471" i="2" s="1"/>
  <c r="AI478" i="2"/>
  <c r="AC489" i="2"/>
  <c r="U489" i="2" s="1"/>
  <c r="Y490" i="2"/>
  <c r="AI492" i="2"/>
  <c r="AC495" i="2"/>
  <c r="U495" i="2" s="1"/>
  <c r="AH505" i="2"/>
  <c r="AH508" i="2"/>
  <c r="AC510" i="2"/>
  <c r="U510" i="2" s="1"/>
  <c r="AC518" i="2"/>
  <c r="U518" i="2" s="1"/>
  <c r="AH522" i="2"/>
  <c r="AH527" i="2"/>
  <c r="AI537" i="2"/>
  <c r="U571" i="2"/>
  <c r="U582" i="2"/>
  <c r="U610" i="2"/>
  <c r="U757" i="2"/>
  <c r="AI214" i="2"/>
  <c r="AH214" i="2"/>
  <c r="AH528" i="2"/>
  <c r="AI528" i="2"/>
  <c r="Y528" i="2"/>
  <c r="AH307" i="2"/>
  <c r="Y307" i="2"/>
  <c r="Y9" i="2"/>
  <c r="AH9" i="2"/>
  <c r="AI16" i="2"/>
  <c r="Y29" i="2"/>
  <c r="AH29" i="2"/>
  <c r="AH36" i="2"/>
  <c r="AI52" i="2"/>
  <c r="AH77" i="2"/>
  <c r="Y108" i="2"/>
  <c r="AH128" i="2"/>
  <c r="Y133" i="2"/>
  <c r="AI133" i="2"/>
  <c r="AH133" i="2"/>
  <c r="AI144" i="2"/>
  <c r="AI153" i="2"/>
  <c r="AI322" i="2"/>
  <c r="AH322" i="2"/>
  <c r="Y322" i="2"/>
  <c r="AI330" i="2"/>
  <c r="AH330" i="2"/>
  <c r="Y330" i="2"/>
  <c r="Y350" i="2"/>
  <c r="AH350" i="2"/>
  <c r="AI380" i="2"/>
  <c r="AH380" i="2"/>
  <c r="AI314" i="2"/>
  <c r="AH314" i="2"/>
  <c r="Y314" i="2"/>
  <c r="AH68" i="2"/>
  <c r="AH84" i="2"/>
  <c r="AI222" i="2"/>
  <c r="AH222" i="2"/>
  <c r="AI262" i="2"/>
  <c r="AH262" i="2"/>
  <c r="AI398" i="2"/>
  <c r="Y398" i="2"/>
  <c r="AH398" i="2"/>
  <c r="AH24" i="2"/>
  <c r="AH4" i="2"/>
  <c r="Y17" i="2"/>
  <c r="AH17" i="2"/>
  <c r="AI24" i="2"/>
  <c r="AI40" i="2"/>
  <c r="Y53" i="2"/>
  <c r="AH60" i="2"/>
  <c r="Y66" i="2"/>
  <c r="AH66" i="2"/>
  <c r="AH81" i="2"/>
  <c r="AH93" i="2"/>
  <c r="AH100" i="2"/>
  <c r="AH109" i="2"/>
  <c r="Y112" i="2"/>
  <c r="AH120" i="2"/>
  <c r="Y124" i="2"/>
  <c r="AI136" i="2"/>
  <c r="AH136" i="2"/>
  <c r="AI210" i="2"/>
  <c r="AH210" i="2"/>
  <c r="AH496" i="2"/>
  <c r="AI496" i="2"/>
  <c r="AH40" i="2"/>
  <c r="AI4" i="2"/>
  <c r="AH8" i="2"/>
  <c r="AH28" i="2"/>
  <c r="Y37" i="2"/>
  <c r="AI60" i="2"/>
  <c r="AH76" i="2"/>
  <c r="AH112" i="2"/>
  <c r="AH124" i="2"/>
  <c r="AI250" i="2"/>
  <c r="AH250" i="2"/>
  <c r="AI326" i="2"/>
  <c r="AH326" i="2"/>
  <c r="Y326" i="2"/>
  <c r="AI422" i="2"/>
  <c r="AH422" i="2"/>
  <c r="Y422" i="2"/>
  <c r="AI514" i="2"/>
  <c r="Y514" i="2"/>
  <c r="AI8" i="2"/>
  <c r="Y116" i="2"/>
  <c r="AI167" i="2"/>
  <c r="AH167" i="2"/>
  <c r="AI405" i="2"/>
  <c r="AH405" i="2"/>
  <c r="Y161" i="2"/>
  <c r="AI161" i="2"/>
  <c r="Y389" i="2"/>
  <c r="AH389" i="2"/>
  <c r="AI443" i="2"/>
  <c r="AH443" i="2"/>
  <c r="AI132" i="2"/>
  <c r="AH132" i="2"/>
  <c r="U717" i="2"/>
  <c r="AI307" i="2"/>
  <c r="AI311" i="2"/>
  <c r="Y319" i="2"/>
  <c r="Y339" i="2"/>
  <c r="AH339" i="2"/>
  <c r="AH361" i="2"/>
  <c r="AH418" i="2"/>
  <c r="AH431" i="2"/>
  <c r="AC501" i="2"/>
  <c r="U501" i="2" s="1"/>
  <c r="AC508" i="2"/>
  <c r="U508" i="2" s="1"/>
  <c r="AH511" i="2"/>
  <c r="AC529" i="2"/>
  <c r="U529" i="2" s="1"/>
  <c r="U575" i="2"/>
  <c r="U613" i="2"/>
  <c r="U616" i="2"/>
  <c r="U634" i="2"/>
  <c r="U732" i="2"/>
  <c r="AH242" i="2"/>
  <c r="Y302" i="2"/>
  <c r="AH302" i="2"/>
  <c r="Y311" i="2"/>
  <c r="Y331" i="2"/>
  <c r="AH369" i="2"/>
  <c r="AH373" i="2"/>
  <c r="Y382" i="2"/>
  <c r="Y446" i="2"/>
  <c r="AH446" i="2"/>
  <c r="Y496" i="2"/>
  <c r="AC499" i="2"/>
  <c r="U499" i="2" s="1"/>
  <c r="Y500" i="2"/>
  <c r="AC506" i="2"/>
  <c r="U506" i="2" s="1"/>
  <c r="AH507" i="2"/>
  <c r="AI509" i="2"/>
  <c r="AI524" i="2"/>
  <c r="AC533" i="2"/>
  <c r="U533" i="2" s="1"/>
  <c r="U581" i="2"/>
  <c r="U584" i="2"/>
  <c r="U612" i="2"/>
  <c r="U644" i="2"/>
  <c r="U701" i="2"/>
  <c r="U781" i="2"/>
  <c r="U783" i="2"/>
  <c r="U795" i="2"/>
  <c r="AI164" i="2"/>
  <c r="AH278" i="2"/>
  <c r="AH283" i="2"/>
  <c r="Y334" i="2"/>
  <c r="AH338" i="2"/>
  <c r="AH359" i="2"/>
  <c r="AH435" i="2"/>
  <c r="AH467" i="2"/>
  <c r="AH490" i="2"/>
  <c r="AC492" i="2"/>
  <c r="U492" i="2" s="1"/>
  <c r="Y494" i="2"/>
  <c r="AH494" i="2"/>
  <c r="AI500" i="2"/>
  <c r="AI505" i="2"/>
  <c r="AI517" i="2"/>
  <c r="AC520" i="2"/>
  <c r="U520" i="2" s="1"/>
  <c r="AH523" i="2"/>
  <c r="U580" i="2"/>
  <c r="U609" i="2"/>
  <c r="AJ642" i="2"/>
  <c r="U647" i="2"/>
  <c r="AJ648" i="2"/>
  <c r="Y136" i="2"/>
  <c r="Y138" i="2"/>
  <c r="AI148" i="2"/>
  <c r="AH206" i="2"/>
  <c r="AH234" i="2"/>
  <c r="AH258" i="2"/>
  <c r="AH274" i="2"/>
  <c r="Y310" i="2"/>
  <c r="AC313" i="2"/>
  <c r="U313" i="2" s="1"/>
  <c r="Y359" i="2"/>
  <c r="AH387" i="2"/>
  <c r="AH390" i="2"/>
  <c r="AH397" i="2"/>
  <c r="AH438" i="2"/>
  <c r="AH447" i="2"/>
  <c r="AH450" i="2"/>
  <c r="Y470" i="2"/>
  <c r="AH470" i="2"/>
  <c r="AH482" i="2"/>
  <c r="Y498" i="2"/>
  <c r="AI498" i="2"/>
  <c r="Y504" i="2"/>
  <c r="Y532" i="2"/>
  <c r="AI532" i="2"/>
  <c r="AC537" i="2"/>
  <c r="U537" i="2" s="1"/>
  <c r="U577" i="2"/>
  <c r="U587" i="2"/>
  <c r="U643" i="2"/>
  <c r="Y378" i="2"/>
  <c r="AH384" i="2"/>
  <c r="AH459" i="2"/>
  <c r="AH478" i="2"/>
  <c r="AC480" i="2"/>
  <c r="U480" i="2" s="1"/>
  <c r="AH487" i="2"/>
  <c r="AH491" i="2"/>
  <c r="AC500" i="2"/>
  <c r="U500" i="2" s="1"/>
  <c r="AI504" i="2"/>
  <c r="AC509" i="2"/>
  <c r="AI510" i="2"/>
  <c r="Y513" i="2"/>
  <c r="AH531" i="2"/>
  <c r="AI536" i="2"/>
  <c r="U706" i="2"/>
  <c r="AI129" i="2"/>
  <c r="AI160" i="2"/>
  <c r="AH279" i="2"/>
  <c r="AC285" i="2"/>
  <c r="U285" i="2" s="1"/>
  <c r="AC305" i="2"/>
  <c r="U305" i="2" s="1"/>
  <c r="AH306" i="2"/>
  <c r="AH378" i="2"/>
  <c r="AH403" i="2"/>
  <c r="AH406" i="2"/>
  <c r="AH414" i="2"/>
  <c r="AH439" i="2"/>
  <c r="AH442" i="2"/>
  <c r="Y462" i="2"/>
  <c r="AH462" i="2"/>
  <c r="AH471" i="2"/>
  <c r="Y474" i="2"/>
  <c r="AH474" i="2"/>
  <c r="AC476" i="2"/>
  <c r="U476" i="2" s="1"/>
  <c r="AH483" i="2"/>
  <c r="AC494" i="2"/>
  <c r="AH495" i="2"/>
  <c r="Y503" i="2"/>
  <c r="AH230" i="2"/>
  <c r="AH246" i="2"/>
  <c r="AH270" i="2"/>
  <c r="AH451" i="2"/>
  <c r="AH479" i="2"/>
  <c r="Y506" i="2"/>
  <c r="AI506" i="2"/>
  <c r="U578" i="2"/>
  <c r="U718" i="2"/>
  <c r="U734" i="2"/>
  <c r="U743" i="2"/>
  <c r="U769" i="2"/>
  <c r="U793" i="2"/>
  <c r="AJ192" i="2"/>
  <c r="AJ206" i="2"/>
  <c r="U554" i="2"/>
  <c r="U573" i="2"/>
  <c r="U576" i="2"/>
  <c r="U586" i="2"/>
  <c r="U591" i="2"/>
  <c r="U605" i="2"/>
  <c r="U608" i="2"/>
  <c r="U618" i="2"/>
  <c r="U626" i="2"/>
  <c r="U635" i="2"/>
  <c r="U639" i="2"/>
  <c r="U659" i="2"/>
  <c r="U671" i="2"/>
  <c r="U714" i="2"/>
  <c r="U721" i="2"/>
  <c r="U759" i="2"/>
  <c r="U767" i="2"/>
  <c r="U563" i="2"/>
  <c r="U590" i="2"/>
  <c r="U595" i="2"/>
  <c r="AJ218" i="2"/>
  <c r="AJ378" i="2"/>
  <c r="U572" i="2"/>
  <c r="U601" i="2"/>
  <c r="U604" i="2"/>
  <c r="U632" i="2"/>
  <c r="U655" i="2"/>
  <c r="AJ660" i="2"/>
  <c r="U697" i="2"/>
  <c r="U710" i="2"/>
  <c r="U728" i="2"/>
  <c r="U730" i="2"/>
  <c r="U789" i="2"/>
  <c r="U791" i="2"/>
  <c r="U600" i="2"/>
  <c r="U543" i="2"/>
  <c r="U561" i="2"/>
  <c r="U574" i="2"/>
  <c r="U579" i="2"/>
  <c r="U593" i="2"/>
  <c r="U596" i="2"/>
  <c r="U606" i="2"/>
  <c r="U611" i="2"/>
  <c r="U667" i="2"/>
  <c r="U685" i="2"/>
  <c r="U689" i="2"/>
  <c r="U693" i="2"/>
  <c r="U713" i="2"/>
  <c r="U724" i="2"/>
  <c r="U726" i="2"/>
  <c r="AJ739" i="2"/>
  <c r="U753" i="2"/>
  <c r="U755" i="2"/>
  <c r="U785" i="2"/>
  <c r="U787" i="2"/>
  <c r="U801" i="2"/>
  <c r="U803" i="2"/>
  <c r="U725" i="2"/>
  <c r="AJ136" i="2"/>
  <c r="AJ191" i="2"/>
  <c r="AJ353" i="2"/>
  <c r="U589" i="2"/>
  <c r="U592" i="2"/>
  <c r="U607" i="2"/>
  <c r="U624" i="2"/>
  <c r="U630" i="2"/>
  <c r="U651" i="2"/>
  <c r="U709" i="2"/>
  <c r="U729" i="2"/>
  <c r="U597" i="2"/>
  <c r="U733" i="2"/>
  <c r="AJ272" i="2"/>
  <c r="AJ379" i="2"/>
  <c r="U585" i="2"/>
  <c r="U588" i="2"/>
  <c r="U598" i="2"/>
  <c r="U603" i="2"/>
  <c r="U617" i="2"/>
  <c r="U627" i="2"/>
  <c r="U663" i="2"/>
  <c r="AJ664" i="2"/>
  <c r="U705" i="2"/>
  <c r="U722" i="2"/>
  <c r="U737" i="2"/>
  <c r="U751" i="2"/>
  <c r="U777" i="2"/>
  <c r="U779" i="2"/>
  <c r="AJ68" i="2"/>
  <c r="AJ115" i="2"/>
  <c r="AJ131" i="2"/>
  <c r="AJ135" i="2"/>
  <c r="AJ213" i="2"/>
  <c r="AJ38" i="2"/>
  <c r="AJ34" i="2"/>
  <c r="AJ41" i="2"/>
  <c r="AJ185" i="2"/>
  <c r="AJ139" i="2"/>
  <c r="AJ45" i="2"/>
  <c r="AJ84" i="2"/>
  <c r="AJ107" i="2"/>
  <c r="AJ147" i="2"/>
  <c r="AJ54" i="2"/>
  <c r="AJ80" i="2"/>
  <c r="AJ127" i="2"/>
  <c r="AJ66" i="2"/>
  <c r="AJ159" i="2"/>
  <c r="AJ33" i="2"/>
  <c r="AJ42" i="2"/>
  <c r="AJ49" i="2"/>
  <c r="AJ58" i="2"/>
  <c r="AJ67" i="2"/>
  <c r="AJ76" i="2"/>
  <c r="AJ15" i="2"/>
  <c r="AI356" i="2"/>
  <c r="Y356" i="2"/>
  <c r="AH356" i="2"/>
  <c r="AI420" i="2"/>
  <c r="AH420" i="2"/>
  <c r="Y420" i="2"/>
  <c r="AJ47" i="2"/>
  <c r="AI123" i="2"/>
  <c r="AH123" i="2"/>
  <c r="Y123" i="2"/>
  <c r="AI196" i="2"/>
  <c r="Y196" i="2"/>
  <c r="AC210" i="2"/>
  <c r="T210" i="2" s="1"/>
  <c r="U210" i="2" s="1"/>
  <c r="Y92" i="2"/>
  <c r="Y101" i="2"/>
  <c r="AI111" i="2"/>
  <c r="AH111" i="2"/>
  <c r="Y111" i="2"/>
  <c r="AI134" i="2"/>
  <c r="AH134" i="2"/>
  <c r="AI143" i="2"/>
  <c r="AH143" i="2"/>
  <c r="Y143" i="2"/>
  <c r="Y193" i="2"/>
  <c r="AI193" i="2"/>
  <c r="AH193" i="2"/>
  <c r="AH196" i="2"/>
  <c r="AJ217" i="2"/>
  <c r="AC234" i="2"/>
  <c r="Y245" i="2"/>
  <c r="AI245" i="2"/>
  <c r="AH245" i="2"/>
  <c r="AJ298" i="2"/>
  <c r="AI337" i="2"/>
  <c r="AH337" i="2"/>
  <c r="Y337" i="2"/>
  <c r="AJ346" i="2"/>
  <c r="AI352" i="2"/>
  <c r="Y352" i="2"/>
  <c r="AH352" i="2"/>
  <c r="AI172" i="2"/>
  <c r="AH172" i="2"/>
  <c r="Y172" i="2"/>
  <c r="AJ204" i="2"/>
  <c r="AJ232" i="2"/>
  <c r="AJ4" i="2"/>
  <c r="AJ8" i="2"/>
  <c r="AJ12" i="2"/>
  <c r="AJ16" i="2"/>
  <c r="AJ24" i="2"/>
  <c r="AJ28" i="2"/>
  <c r="Y68" i="2"/>
  <c r="AH69" i="2"/>
  <c r="Y89" i="2"/>
  <c r="Y103" i="2"/>
  <c r="AH104" i="2"/>
  <c r="AI107" i="2"/>
  <c r="AH107" i="2"/>
  <c r="AJ111" i="2"/>
  <c r="AI122" i="2"/>
  <c r="AH122" i="2"/>
  <c r="AI131" i="2"/>
  <c r="AH131" i="2"/>
  <c r="Y131" i="2"/>
  <c r="AJ143" i="2"/>
  <c r="AI154" i="2"/>
  <c r="AH154" i="2"/>
  <c r="AJ166" i="2"/>
  <c r="AI168" i="2"/>
  <c r="AH168" i="2"/>
  <c r="Y168" i="2"/>
  <c r="Y173" i="2"/>
  <c r="AI173" i="2"/>
  <c r="AJ177" i="2"/>
  <c r="AI180" i="2"/>
  <c r="Y180" i="2"/>
  <c r="AI199" i="2"/>
  <c r="Y199" i="2"/>
  <c r="AH199" i="2"/>
  <c r="Y209" i="2"/>
  <c r="AI209" i="2"/>
  <c r="AC229" i="2"/>
  <c r="T229" i="2" s="1"/>
  <c r="U229" i="2" s="1"/>
  <c r="AJ230" i="2"/>
  <c r="AI248" i="2"/>
  <c r="AH248" i="2"/>
  <c r="Y248" i="2"/>
  <c r="AJ252" i="2"/>
  <c r="AJ260" i="2"/>
  <c r="AI267" i="2"/>
  <c r="Y267" i="2"/>
  <c r="AJ273" i="2"/>
  <c r="AC279" i="2"/>
  <c r="U279" i="2" s="1"/>
  <c r="AJ281" i="2"/>
  <c r="AI186" i="2"/>
  <c r="Y186" i="2"/>
  <c r="AH186" i="2"/>
  <c r="Y6" i="2"/>
  <c r="Y10" i="2"/>
  <c r="Y14" i="2"/>
  <c r="Y18" i="2"/>
  <c r="Y22" i="2"/>
  <c r="Y26" i="2"/>
  <c r="Y30" i="2"/>
  <c r="AI33" i="2"/>
  <c r="Y34" i="2"/>
  <c r="AI37" i="2"/>
  <c r="Y38" i="2"/>
  <c r="AI41" i="2"/>
  <c r="Y42" i="2"/>
  <c r="AI45" i="2"/>
  <c r="Y46" i="2"/>
  <c r="AI49" i="2"/>
  <c r="Y50" i="2"/>
  <c r="AI53" i="2"/>
  <c r="Y54" i="2"/>
  <c r="AI57" i="2"/>
  <c r="Y58" i="2"/>
  <c r="AI61" i="2"/>
  <c r="Y62" i="2"/>
  <c r="AI69" i="2"/>
  <c r="Y70" i="2"/>
  <c r="Y73" i="2"/>
  <c r="AI76" i="2"/>
  <c r="Y77" i="2"/>
  <c r="AI80" i="2"/>
  <c r="Y81" i="2"/>
  <c r="AI84" i="2"/>
  <c r="Y85" i="2"/>
  <c r="AI88" i="2"/>
  <c r="Y90" i="2"/>
  <c r="Y91" i="2"/>
  <c r="AH91" i="2"/>
  <c r="AH92" i="2"/>
  <c r="Y100" i="2"/>
  <c r="AH101" i="2"/>
  <c r="AI102" i="2"/>
  <c r="AH106" i="2"/>
  <c r="AI110" i="2"/>
  <c r="AH110" i="2"/>
  <c r="AI119" i="2"/>
  <c r="AH119" i="2"/>
  <c r="Y119" i="2"/>
  <c r="Y125" i="2"/>
  <c r="AI142" i="2"/>
  <c r="AH142" i="2"/>
  <c r="AI151" i="2"/>
  <c r="AH151" i="2"/>
  <c r="Y151" i="2"/>
  <c r="Y157" i="2"/>
  <c r="AI163" i="2"/>
  <c r="AH163" i="2"/>
  <c r="Y163" i="2"/>
  <c r="AH173" i="2"/>
  <c r="Y177" i="2"/>
  <c r="AI177" i="2"/>
  <c r="AH177" i="2"/>
  <c r="AH180" i="2"/>
  <c r="AC189" i="2"/>
  <c r="T189" i="2" s="1"/>
  <c r="U189" i="2" s="1"/>
  <c r="AJ190" i="2"/>
  <c r="AI194" i="2"/>
  <c r="Y194" i="2"/>
  <c r="AH194" i="2"/>
  <c r="AH209" i="2"/>
  <c r="AJ212" i="2"/>
  <c r="AC214" i="2"/>
  <c r="T214" i="2" s="1"/>
  <c r="U214" i="2" s="1"/>
  <c r="AJ225" i="2"/>
  <c r="Y233" i="2"/>
  <c r="AI233" i="2"/>
  <c r="AH233" i="2"/>
  <c r="AJ240" i="2"/>
  <c r="AC242" i="2"/>
  <c r="T242" i="2" s="1"/>
  <c r="U242" i="2" s="1"/>
  <c r="AI243" i="2"/>
  <c r="Y243" i="2"/>
  <c r="AH243" i="2"/>
  <c r="AJ250" i="2"/>
  <c r="AC262" i="2"/>
  <c r="U262" i="2" s="1"/>
  <c r="AJ265" i="2"/>
  <c r="AH267" i="2"/>
  <c r="Y273" i="2"/>
  <c r="AI273" i="2"/>
  <c r="AH273" i="2"/>
  <c r="AI290" i="2"/>
  <c r="AH290" i="2"/>
  <c r="Y290" i="2"/>
  <c r="AC299" i="2"/>
  <c r="U299" i="2" s="1"/>
  <c r="AJ305" i="2"/>
  <c r="AI308" i="2"/>
  <c r="AH308" i="2"/>
  <c r="Y308" i="2"/>
  <c r="AC181" i="2"/>
  <c r="T181" i="2" s="1"/>
  <c r="U181" i="2" s="1"/>
  <c r="AJ289" i="2"/>
  <c r="AH6" i="2"/>
  <c r="AH10" i="2"/>
  <c r="AJ13" i="2"/>
  <c r="AH14" i="2"/>
  <c r="AJ17" i="2"/>
  <c r="AH18" i="2"/>
  <c r="AJ21" i="2"/>
  <c r="AH22" i="2"/>
  <c r="AJ25" i="2"/>
  <c r="AH26" i="2"/>
  <c r="AJ29" i="2"/>
  <c r="AH30" i="2"/>
  <c r="AH34" i="2"/>
  <c r="AH38" i="2"/>
  <c r="AH42" i="2"/>
  <c r="AH46" i="2"/>
  <c r="AH50" i="2"/>
  <c r="AH54" i="2"/>
  <c r="AH58" i="2"/>
  <c r="AH62" i="2"/>
  <c r="AH70" i="2"/>
  <c r="Y71" i="2"/>
  <c r="AH71" i="2"/>
  <c r="AH89" i="2"/>
  <c r="AI90" i="2"/>
  <c r="AJ92" i="2"/>
  <c r="Y97" i="2"/>
  <c r="AI101" i="2"/>
  <c r="Y113" i="2"/>
  <c r="AJ119" i="2"/>
  <c r="AJ120" i="2"/>
  <c r="AI130" i="2"/>
  <c r="AH130" i="2"/>
  <c r="Y134" i="2"/>
  <c r="AI139" i="2"/>
  <c r="AH139" i="2"/>
  <c r="Y139" i="2"/>
  <c r="Y145" i="2"/>
  <c r="AJ151" i="2"/>
  <c r="AJ152" i="2"/>
  <c r="AJ163" i="2"/>
  <c r="AJ164" i="2"/>
  <c r="AC170" i="2"/>
  <c r="T170" i="2" s="1"/>
  <c r="U170" i="2" s="1"/>
  <c r="AJ200" i="2"/>
  <c r="AI207" i="2"/>
  <c r="Y207" i="2"/>
  <c r="AJ228" i="2"/>
  <c r="AJ236" i="2"/>
  <c r="AJ249" i="2"/>
  <c r="AJ253" i="2"/>
  <c r="AC257" i="2"/>
  <c r="T257" i="2" s="1"/>
  <c r="U257" i="2" s="1"/>
  <c r="AJ258" i="2"/>
  <c r="AI276" i="2"/>
  <c r="AH276" i="2"/>
  <c r="Y276" i="2"/>
  <c r="AH284" i="2"/>
  <c r="AI284" i="2"/>
  <c r="Y284" i="2"/>
  <c r="AI155" i="2"/>
  <c r="AH155" i="2"/>
  <c r="Y155" i="2"/>
  <c r="AJ179" i="2"/>
  <c r="AJ221" i="2"/>
  <c r="Y7" i="2"/>
  <c r="Y11" i="2"/>
  <c r="Y15" i="2"/>
  <c r="Y19" i="2"/>
  <c r="Y23" i="2"/>
  <c r="Y27" i="2"/>
  <c r="Y31" i="2"/>
  <c r="AI34" i="2"/>
  <c r="Y35" i="2"/>
  <c r="AI38" i="2"/>
  <c r="Y39" i="2"/>
  <c r="AI42" i="2"/>
  <c r="Y43" i="2"/>
  <c r="AI46" i="2"/>
  <c r="Y47" i="2"/>
  <c r="AI50" i="2"/>
  <c r="Y51" i="2"/>
  <c r="AI54" i="2"/>
  <c r="Y55" i="2"/>
  <c r="AI58" i="2"/>
  <c r="Y59" i="2"/>
  <c r="AI62" i="2"/>
  <c r="Y63" i="2"/>
  <c r="Y65" i="2"/>
  <c r="AI70" i="2"/>
  <c r="Y72" i="2"/>
  <c r="Y74" i="2"/>
  <c r="Y75" i="2"/>
  <c r="AH75" i="2"/>
  <c r="Y78" i="2"/>
  <c r="Y79" i="2"/>
  <c r="AH79" i="2"/>
  <c r="Y82" i="2"/>
  <c r="Y83" i="2"/>
  <c r="AH83" i="2"/>
  <c r="Y86" i="2"/>
  <c r="Y87" i="2"/>
  <c r="AH87" i="2"/>
  <c r="AI89" i="2"/>
  <c r="AI95" i="2"/>
  <c r="AI96" i="2"/>
  <c r="Y98" i="2"/>
  <c r="Y99" i="2"/>
  <c r="AH99" i="2"/>
  <c r="Y107" i="2"/>
  <c r="AI118" i="2"/>
  <c r="AH118" i="2"/>
  <c r="Y122" i="2"/>
  <c r="AI127" i="2"/>
  <c r="AH127" i="2"/>
  <c r="Y127" i="2"/>
  <c r="AI150" i="2"/>
  <c r="AH150" i="2"/>
  <c r="Y154" i="2"/>
  <c r="AI159" i="2"/>
  <c r="AH159" i="2"/>
  <c r="Y159" i="2"/>
  <c r="AI162" i="2"/>
  <c r="AH162" i="2"/>
  <c r="AJ167" i="2"/>
  <c r="AI174" i="2"/>
  <c r="Y174" i="2"/>
  <c r="AI178" i="2"/>
  <c r="Y178" i="2"/>
  <c r="AH178" i="2"/>
  <c r="AI188" i="2"/>
  <c r="Y188" i="2"/>
  <c r="AC202" i="2"/>
  <c r="T202" i="2" s="1"/>
  <c r="U202" i="2" s="1"/>
  <c r="AJ205" i="2"/>
  <c r="AH207" i="2"/>
  <c r="AJ226" i="2"/>
  <c r="AI228" i="2"/>
  <c r="AH228" i="2"/>
  <c r="Y228" i="2"/>
  <c r="Y241" i="2"/>
  <c r="AI241" i="2"/>
  <c r="Y261" i="2"/>
  <c r="AI261" i="2"/>
  <c r="AH261" i="2"/>
  <c r="AJ268" i="2"/>
  <c r="AC270" i="2"/>
  <c r="U270" i="2" s="1"/>
  <c r="AI271" i="2"/>
  <c r="Y271" i="2"/>
  <c r="AH271" i="2"/>
  <c r="AJ278" i="2"/>
  <c r="AI114" i="2"/>
  <c r="AH114" i="2"/>
  <c r="AI146" i="2"/>
  <c r="AH146" i="2"/>
  <c r="AJ182" i="2"/>
  <c r="AI239" i="2"/>
  <c r="Y239" i="2"/>
  <c r="AH7" i="2"/>
  <c r="AH11" i="2"/>
  <c r="AJ14" i="2"/>
  <c r="AH15" i="2"/>
  <c r="AH19" i="2"/>
  <c r="AJ22" i="2"/>
  <c r="AH23" i="2"/>
  <c r="AJ26" i="2"/>
  <c r="AH27" i="2"/>
  <c r="AJ30" i="2"/>
  <c r="AH31" i="2"/>
  <c r="AH35" i="2"/>
  <c r="AH39" i="2"/>
  <c r="AH43" i="2"/>
  <c r="AH47" i="2"/>
  <c r="AH51" i="2"/>
  <c r="AH55" i="2"/>
  <c r="AH59" i="2"/>
  <c r="AH63" i="2"/>
  <c r="AJ71" i="2"/>
  <c r="AH72" i="2"/>
  <c r="AI74" i="2"/>
  <c r="AI78" i="2"/>
  <c r="AI82" i="2"/>
  <c r="AI86" i="2"/>
  <c r="AI98" i="2"/>
  <c r="Y105" i="2"/>
  <c r="AI115" i="2"/>
  <c r="AH115" i="2"/>
  <c r="Y115" i="2"/>
  <c r="Y121" i="2"/>
  <c r="AI138" i="2"/>
  <c r="AH138" i="2"/>
  <c r="AI147" i="2"/>
  <c r="AH147" i="2"/>
  <c r="Y147" i="2"/>
  <c r="Y153" i="2"/>
  <c r="Y185" i="2"/>
  <c r="AI185" i="2"/>
  <c r="AH185" i="2"/>
  <c r="AC197" i="2"/>
  <c r="T197" i="2" s="1"/>
  <c r="U197" i="2" s="1"/>
  <c r="AJ198" i="2"/>
  <c r="Y213" i="2"/>
  <c r="AI213" i="2"/>
  <c r="AH213" i="2"/>
  <c r="AI231" i="2"/>
  <c r="Y231" i="2"/>
  <c r="AH231" i="2"/>
  <c r="AH241" i="2"/>
  <c r="AJ244" i="2"/>
  <c r="AC246" i="2"/>
  <c r="T246" i="2" s="1"/>
  <c r="U246" i="2" s="1"/>
  <c r="AJ256" i="2"/>
  <c r="AJ277" i="2"/>
  <c r="AJ193" i="2"/>
  <c r="AI211" i="2"/>
  <c r="Y211" i="2"/>
  <c r="AH211" i="2"/>
  <c r="AJ245" i="2"/>
  <c r="AI259" i="2"/>
  <c r="Y259" i="2"/>
  <c r="AH259" i="2"/>
  <c r="AC274" i="2"/>
  <c r="AH301" i="2"/>
  <c r="Y301" i="2"/>
  <c r="AI301" i="2"/>
  <c r="AI320" i="2"/>
  <c r="AH320" i="2"/>
  <c r="Y320" i="2"/>
  <c r="Y64" i="2"/>
  <c r="AH65" i="2"/>
  <c r="AI68" i="2"/>
  <c r="Y93" i="2"/>
  <c r="AI97" i="2"/>
  <c r="AI103" i="2"/>
  <c r="AI104" i="2"/>
  <c r="AI106" i="2"/>
  <c r="Y109" i="2"/>
  <c r="AI126" i="2"/>
  <c r="AH126" i="2"/>
  <c r="Y130" i="2"/>
  <c r="AI135" i="2"/>
  <c r="AH135" i="2"/>
  <c r="Y135" i="2"/>
  <c r="Y141" i="2"/>
  <c r="AI158" i="2"/>
  <c r="AH158" i="2"/>
  <c r="AJ169" i="2"/>
  <c r="AJ183" i="2"/>
  <c r="Y201" i="2"/>
  <c r="AI201" i="2"/>
  <c r="AH201" i="2"/>
  <c r="AI216" i="2"/>
  <c r="AH216" i="2"/>
  <c r="Y216" i="2"/>
  <c r="AI224" i="2"/>
  <c r="AH224" i="2"/>
  <c r="Y224" i="2"/>
  <c r="AI256" i="2"/>
  <c r="AH256" i="2"/>
  <c r="Y256" i="2"/>
  <c r="Y269" i="2"/>
  <c r="AI269" i="2"/>
  <c r="AH285" i="2"/>
  <c r="Y285" i="2"/>
  <c r="AI285" i="2"/>
  <c r="AI288" i="2"/>
  <c r="AH288" i="2"/>
  <c r="AI312" i="2"/>
  <c r="AH312" i="2"/>
  <c r="Y312" i="2"/>
  <c r="Y167" i="2"/>
  <c r="AI182" i="2"/>
  <c r="Y182" i="2"/>
  <c r="AI190" i="2"/>
  <c r="Y190" i="2"/>
  <c r="AI198" i="2"/>
  <c r="Y198" i="2"/>
  <c r="AI200" i="2"/>
  <c r="AH200" i="2"/>
  <c r="Y200" i="2"/>
  <c r="AI215" i="2"/>
  <c r="Y215" i="2"/>
  <c r="Y217" i="2"/>
  <c r="AI217" i="2"/>
  <c r="AI232" i="2"/>
  <c r="AH232" i="2"/>
  <c r="Y232" i="2"/>
  <c r="AI247" i="2"/>
  <c r="Y247" i="2"/>
  <c r="Y249" i="2"/>
  <c r="AI249" i="2"/>
  <c r="AI260" i="2"/>
  <c r="AH260" i="2"/>
  <c r="Y260" i="2"/>
  <c r="AI275" i="2"/>
  <c r="Y275" i="2"/>
  <c r="Y277" i="2"/>
  <c r="AI277" i="2"/>
  <c r="AI280" i="2"/>
  <c r="AH280" i="2"/>
  <c r="AH305" i="2"/>
  <c r="Y305" i="2"/>
  <c r="AI305" i="2"/>
  <c r="AI179" i="2"/>
  <c r="Y179" i="2"/>
  <c r="AI187" i="2"/>
  <c r="Y187" i="2"/>
  <c r="AI195" i="2"/>
  <c r="Y195" i="2"/>
  <c r="AI204" i="2"/>
  <c r="AH204" i="2"/>
  <c r="Y204" i="2"/>
  <c r="AI219" i="2"/>
  <c r="Y219" i="2"/>
  <c r="Y221" i="2"/>
  <c r="AI221" i="2"/>
  <c r="AI236" i="2"/>
  <c r="AH236" i="2"/>
  <c r="Y236" i="2"/>
  <c r="AI251" i="2"/>
  <c r="Y251" i="2"/>
  <c r="Y253" i="2"/>
  <c r="AI253" i="2"/>
  <c r="AI264" i="2"/>
  <c r="AH264" i="2"/>
  <c r="Y264" i="2"/>
  <c r="AH282" i="2"/>
  <c r="AI287" i="2"/>
  <c r="AH287" i="2"/>
  <c r="Y287" i="2"/>
  <c r="AH289" i="2"/>
  <c r="AI289" i="2"/>
  <c r="Y289" i="2"/>
  <c r="AI316" i="2"/>
  <c r="AH316" i="2"/>
  <c r="Y316" i="2"/>
  <c r="Y342" i="2"/>
  <c r="AI342" i="2"/>
  <c r="AH342" i="2"/>
  <c r="AI166" i="2"/>
  <c r="Y166" i="2"/>
  <c r="AH171" i="2"/>
  <c r="Y175" i="2"/>
  <c r="AH179" i="2"/>
  <c r="AI184" i="2"/>
  <c r="Y184" i="2"/>
  <c r="AH187" i="2"/>
  <c r="AI192" i="2"/>
  <c r="Y192" i="2"/>
  <c r="AH195" i="2"/>
  <c r="AI208" i="2"/>
  <c r="AH208" i="2"/>
  <c r="Y208" i="2"/>
  <c r="AH219" i="2"/>
  <c r="AH221" i="2"/>
  <c r="AI223" i="2"/>
  <c r="Y223" i="2"/>
  <c r="Y225" i="2"/>
  <c r="AI225" i="2"/>
  <c r="AI240" i="2"/>
  <c r="AH240" i="2"/>
  <c r="Y240" i="2"/>
  <c r="AI268" i="2"/>
  <c r="AH268" i="2"/>
  <c r="Y268" i="2"/>
  <c r="AI291" i="2"/>
  <c r="AH291" i="2"/>
  <c r="Y291" i="2"/>
  <c r="AH293" i="2"/>
  <c r="Y293" i="2"/>
  <c r="Y144" i="2"/>
  <c r="Y148" i="2"/>
  <c r="Y152" i="2"/>
  <c r="Y156" i="2"/>
  <c r="Y160" i="2"/>
  <c r="Y164" i="2"/>
  <c r="AI170" i="2"/>
  <c r="Y170" i="2"/>
  <c r="AI171" i="2"/>
  <c r="AH175" i="2"/>
  <c r="Y181" i="2"/>
  <c r="AI181" i="2"/>
  <c r="AH184" i="2"/>
  <c r="Y189" i="2"/>
  <c r="AI189" i="2"/>
  <c r="AH192" i="2"/>
  <c r="Y197" i="2"/>
  <c r="AI197" i="2"/>
  <c r="AJ208" i="2"/>
  <c r="AI212" i="2"/>
  <c r="AH212" i="2"/>
  <c r="Y212" i="2"/>
  <c r="AH223" i="2"/>
  <c r="AH225" i="2"/>
  <c r="AI227" i="2"/>
  <c r="Y227" i="2"/>
  <c r="Y229" i="2"/>
  <c r="AI229" i="2"/>
  <c r="AI244" i="2"/>
  <c r="AH244" i="2"/>
  <c r="Y244" i="2"/>
  <c r="AI255" i="2"/>
  <c r="Y255" i="2"/>
  <c r="Y257" i="2"/>
  <c r="AI257" i="2"/>
  <c r="AI272" i="2"/>
  <c r="AH272" i="2"/>
  <c r="Y272" i="2"/>
  <c r="AC277" i="2"/>
  <c r="U277" i="2" s="1"/>
  <c r="AI286" i="2"/>
  <c r="AH286" i="2"/>
  <c r="AI293" i="2"/>
  <c r="AJ326" i="2"/>
  <c r="Y165" i="2"/>
  <c r="AH165" i="2"/>
  <c r="Y169" i="2"/>
  <c r="AI169" i="2"/>
  <c r="AH170" i="2"/>
  <c r="AC175" i="2"/>
  <c r="T175" i="2" s="1"/>
  <c r="AI183" i="2"/>
  <c r="Y183" i="2"/>
  <c r="AI191" i="2"/>
  <c r="Y191" i="2"/>
  <c r="AI203" i="2"/>
  <c r="Y203" i="2"/>
  <c r="Y205" i="2"/>
  <c r="AI205" i="2"/>
  <c r="AI220" i="2"/>
  <c r="AH220" i="2"/>
  <c r="Y220" i="2"/>
  <c r="AI235" i="2"/>
  <c r="Y235" i="2"/>
  <c r="Y237" i="2"/>
  <c r="AI237" i="2"/>
  <c r="AI252" i="2"/>
  <c r="AH252" i="2"/>
  <c r="Y252" i="2"/>
  <c r="AI263" i="2"/>
  <c r="Y263" i="2"/>
  <c r="Y265" i="2"/>
  <c r="AI265" i="2"/>
  <c r="AH281" i="2"/>
  <c r="AI281" i="2"/>
  <c r="Y281" i="2"/>
  <c r="AH292" i="2"/>
  <c r="Y292" i="2"/>
  <c r="Y202" i="2"/>
  <c r="Y206" i="2"/>
  <c r="Y210" i="2"/>
  <c r="Y214" i="2"/>
  <c r="Y218" i="2"/>
  <c r="Y222" i="2"/>
  <c r="Y226" i="2"/>
  <c r="Y230" i="2"/>
  <c r="Y234" i="2"/>
  <c r="Y238" i="2"/>
  <c r="Y242" i="2"/>
  <c r="Y246" i="2"/>
  <c r="Y250" i="2"/>
  <c r="Y254" i="2"/>
  <c r="Y258" i="2"/>
  <c r="Y262" i="2"/>
  <c r="Y266" i="2"/>
  <c r="Y270" i="2"/>
  <c r="Y274" i="2"/>
  <c r="Y278" i="2"/>
  <c r="AJ342" i="2"/>
  <c r="AJ371" i="2"/>
  <c r="Y288" i="2"/>
  <c r="AH297" i="2"/>
  <c r="Y297" i="2"/>
  <c r="AI333" i="2"/>
  <c r="AH333" i="2"/>
  <c r="Y333" i="2"/>
  <c r="AJ360" i="2"/>
  <c r="AI329" i="2"/>
  <c r="AH329" i="2"/>
  <c r="Y329" i="2"/>
  <c r="AC330" i="2"/>
  <c r="U330" i="2" s="1"/>
  <c r="AI336" i="2"/>
  <c r="AI347" i="2"/>
  <c r="AH347" i="2"/>
  <c r="Y347" i="2"/>
  <c r="AJ351" i="2"/>
  <c r="AJ355" i="2"/>
  <c r="AI391" i="2"/>
  <c r="Y391" i="2"/>
  <c r="AH391" i="2"/>
  <c r="AC303" i="2"/>
  <c r="U303" i="2" s="1"/>
  <c r="AC307" i="2"/>
  <c r="U307" i="2" s="1"/>
  <c r="AI309" i="2"/>
  <c r="AH309" i="2"/>
  <c r="Y309" i="2"/>
  <c r="AI313" i="2"/>
  <c r="AH313" i="2"/>
  <c r="Y313" i="2"/>
  <c r="AI317" i="2"/>
  <c r="AH317" i="2"/>
  <c r="Y317" i="2"/>
  <c r="AI321" i="2"/>
  <c r="AH321" i="2"/>
  <c r="Y321" i="2"/>
  <c r="AI325" i="2"/>
  <c r="AH325" i="2"/>
  <c r="Y325" i="2"/>
  <c r="AC326" i="2"/>
  <c r="U326" i="2" s="1"/>
  <c r="AI351" i="2"/>
  <c r="AH351" i="2"/>
  <c r="Y351" i="2"/>
  <c r="AJ364" i="2"/>
  <c r="AI386" i="2"/>
  <c r="AH386" i="2"/>
  <c r="Y386" i="2"/>
  <c r="AJ255" i="2"/>
  <c r="AI296" i="2"/>
  <c r="AH296" i="2"/>
  <c r="Y296" i="2"/>
  <c r="AC302" i="2"/>
  <c r="U302" i="2" s="1"/>
  <c r="AC310" i="2"/>
  <c r="U310" i="2" s="1"/>
  <c r="AC314" i="2"/>
  <c r="U314" i="2" s="1"/>
  <c r="AC318" i="2"/>
  <c r="U318" i="2" s="1"/>
  <c r="AC322" i="2"/>
  <c r="U322" i="2" s="1"/>
  <c r="AI341" i="2"/>
  <c r="AH341" i="2"/>
  <c r="Y341" i="2"/>
  <c r="AI364" i="2"/>
  <c r="Y364" i="2"/>
  <c r="AH364" i="2"/>
  <c r="AI300" i="2"/>
  <c r="AH300" i="2"/>
  <c r="Y300" i="2"/>
  <c r="AI304" i="2"/>
  <c r="AH304" i="2"/>
  <c r="Y304" i="2"/>
  <c r="AI328" i="2"/>
  <c r="AC338" i="2"/>
  <c r="U338" i="2" s="1"/>
  <c r="AJ356" i="2"/>
  <c r="AI371" i="2"/>
  <c r="AH371" i="2"/>
  <c r="Y371" i="2"/>
  <c r="AH379" i="2"/>
  <c r="AJ395" i="2"/>
  <c r="AJ400" i="2"/>
  <c r="Y324" i="2"/>
  <c r="Y328" i="2"/>
  <c r="Y332" i="2"/>
  <c r="Y336" i="2"/>
  <c r="Y340" i="2"/>
  <c r="Y343" i="2"/>
  <c r="AH343" i="2"/>
  <c r="AJ352" i="2"/>
  <c r="AI360" i="2"/>
  <c r="Y360" i="2"/>
  <c r="AJ369" i="2"/>
  <c r="AJ375" i="2"/>
  <c r="Y377" i="2"/>
  <c r="AH377" i="2"/>
  <c r="AJ390" i="2"/>
  <c r="AI400" i="2"/>
  <c r="Y400" i="2"/>
  <c r="AH400" i="2"/>
  <c r="AJ413" i="2"/>
  <c r="AI493" i="2"/>
  <c r="AH493" i="2"/>
  <c r="Y493" i="2"/>
  <c r="AI499" i="2"/>
  <c r="AH499" i="2"/>
  <c r="Y499" i="2"/>
  <c r="AH501" i="2"/>
  <c r="AI501" i="2"/>
  <c r="Y501" i="2"/>
  <c r="AI647" i="2"/>
  <c r="Y647" i="2"/>
  <c r="AH647" i="2"/>
  <c r="AH324" i="2"/>
  <c r="AH328" i="2"/>
  <c r="AH332" i="2"/>
  <c r="AH336" i="2"/>
  <c r="AH340" i="2"/>
  <c r="AH346" i="2"/>
  <c r="AH360" i="2"/>
  <c r="AI363" i="2"/>
  <c r="AH363" i="2"/>
  <c r="AI366" i="2"/>
  <c r="Y366" i="2"/>
  <c r="AI368" i="2"/>
  <c r="Y368" i="2"/>
  <c r="AI375" i="2"/>
  <c r="Y375" i="2"/>
  <c r="AI377" i="2"/>
  <c r="Y409" i="2"/>
  <c r="AI409" i="2"/>
  <c r="AH409" i="2"/>
  <c r="Y345" i="2"/>
  <c r="AI345" i="2"/>
  <c r="AI346" i="2"/>
  <c r="AJ373" i="2"/>
  <c r="AJ387" i="2"/>
  <c r="AI392" i="2"/>
  <c r="Y392" i="2"/>
  <c r="AJ486" i="2"/>
  <c r="AC346" i="2"/>
  <c r="U346" i="2" s="1"/>
  <c r="Y349" i="2"/>
  <c r="AI349" i="2"/>
  <c r="AI350" i="2"/>
  <c r="AC351" i="2"/>
  <c r="U351" i="2" s="1"/>
  <c r="AH354" i="2"/>
  <c r="Y355" i="2"/>
  <c r="AH355" i="2"/>
  <c r="Y358" i="2"/>
  <c r="AC360" i="2"/>
  <c r="U360" i="2" s="1"/>
  <c r="AJ368" i="2"/>
  <c r="AI370" i="2"/>
  <c r="Y370" i="2"/>
  <c r="AI372" i="2"/>
  <c r="Y372" i="2"/>
  <c r="AC373" i="2"/>
  <c r="U373" i="2" s="1"/>
  <c r="AJ408" i="2"/>
  <c r="AJ425" i="2"/>
  <c r="AJ482" i="2"/>
  <c r="AI344" i="2"/>
  <c r="Y344" i="2"/>
  <c r="AH345" i="2"/>
  <c r="AC350" i="2"/>
  <c r="U350" i="2" s="1"/>
  <c r="AJ350" i="2"/>
  <c r="Y353" i="2"/>
  <c r="AI353" i="2"/>
  <c r="AI354" i="2"/>
  <c r="AC355" i="2"/>
  <c r="Y362" i="2"/>
  <c r="AJ363" i="2"/>
  <c r="Y365" i="2"/>
  <c r="AC368" i="2"/>
  <c r="U368" i="2" s="1"/>
  <c r="AJ376" i="2"/>
  <c r="AH392" i="2"/>
  <c r="Y401" i="2"/>
  <c r="AH401" i="2"/>
  <c r="AI410" i="2"/>
  <c r="AH410" i="2"/>
  <c r="Y410" i="2"/>
  <c r="AJ478" i="2"/>
  <c r="AI348" i="2"/>
  <c r="Y348" i="2"/>
  <c r="AC354" i="2"/>
  <c r="U354" i="2" s="1"/>
  <c r="Y357" i="2"/>
  <c r="AI357" i="2"/>
  <c r="AC359" i="2"/>
  <c r="AC363" i="2"/>
  <c r="U363" i="2" s="1"/>
  <c r="AI367" i="2"/>
  <c r="AH367" i="2"/>
  <c r="Y367" i="2"/>
  <c r="AI374" i="2"/>
  <c r="Y374" i="2"/>
  <c r="AI376" i="2"/>
  <c r="AH376" i="2"/>
  <c r="Y376" i="2"/>
  <c r="AC383" i="2"/>
  <c r="U383" i="2" s="1"/>
  <c r="AJ384" i="2"/>
  <c r="AC404" i="2"/>
  <c r="U404" i="2" s="1"/>
  <c r="AJ405" i="2"/>
  <c r="AJ422" i="2"/>
  <c r="AI415" i="2"/>
  <c r="Y415" i="2"/>
  <c r="AH429" i="2"/>
  <c r="Y429" i="2"/>
  <c r="AC430" i="2"/>
  <c r="U430" i="2" s="1"/>
  <c r="AC446" i="2"/>
  <c r="U446" i="2" s="1"/>
  <c r="AC462" i="2"/>
  <c r="U462" i="2" s="1"/>
  <c r="AI477" i="2"/>
  <c r="AH477" i="2"/>
  <c r="Y477" i="2"/>
  <c r="AI481" i="2"/>
  <c r="AH481" i="2"/>
  <c r="Y481" i="2"/>
  <c r="AI485" i="2"/>
  <c r="AH485" i="2"/>
  <c r="Y485" i="2"/>
  <c r="AI361" i="2"/>
  <c r="AI365" i="2"/>
  <c r="AI369" i="2"/>
  <c r="AI373" i="2"/>
  <c r="Y380" i="2"/>
  <c r="AC381" i="2"/>
  <c r="U381" i="2" s="1"/>
  <c r="AH382" i="2"/>
  <c r="AI387" i="2"/>
  <c r="Y387" i="2"/>
  <c r="AC393" i="2"/>
  <c r="U393" i="2" s="1"/>
  <c r="AI396" i="2"/>
  <c r="Y396" i="2"/>
  <c r="AC398" i="2"/>
  <c r="U398" i="2" s="1"/>
  <c r="Y402" i="2"/>
  <c r="AH402" i="2"/>
  <c r="Y405" i="2"/>
  <c r="AC407" i="2"/>
  <c r="U407" i="2" s="1"/>
  <c r="AH415" i="2"/>
  <c r="AH417" i="2"/>
  <c r="Y417" i="2"/>
  <c r="AC421" i="2"/>
  <c r="U421" i="2" s="1"/>
  <c r="AI429" i="2"/>
  <c r="AI445" i="2"/>
  <c r="AH445" i="2"/>
  <c r="Y445" i="2"/>
  <c r="AI461" i="2"/>
  <c r="AH461" i="2"/>
  <c r="Y461" i="2"/>
  <c r="AI489" i="2"/>
  <c r="AH489" i="2"/>
  <c r="Y489" i="2"/>
  <c r="AJ506" i="2"/>
  <c r="AI525" i="2"/>
  <c r="Y525" i="2"/>
  <c r="AJ392" i="2"/>
  <c r="AI395" i="2"/>
  <c r="Y395" i="2"/>
  <c r="AI404" i="2"/>
  <c r="Y404" i="2"/>
  <c r="AJ417" i="2"/>
  <c r="AH425" i="2"/>
  <c r="Y425" i="2"/>
  <c r="AC429" i="2"/>
  <c r="U429" i="2" s="1"/>
  <c r="AI431" i="2"/>
  <c r="AI433" i="2"/>
  <c r="AH433" i="2"/>
  <c r="Y433" i="2"/>
  <c r="AI449" i="2"/>
  <c r="AH449" i="2"/>
  <c r="Y449" i="2"/>
  <c r="AI465" i="2"/>
  <c r="AH465" i="2"/>
  <c r="Y465" i="2"/>
  <c r="AI521" i="2"/>
  <c r="Y521" i="2"/>
  <c r="AJ362" i="2"/>
  <c r="AJ366" i="2"/>
  <c r="AJ370" i="2"/>
  <c r="AJ374" i="2"/>
  <c r="AC375" i="2"/>
  <c r="U375" i="2" s="1"/>
  <c r="Y385" i="2"/>
  <c r="AC387" i="2"/>
  <c r="U387" i="2" s="1"/>
  <c r="AH395" i="2"/>
  <c r="AI399" i="2"/>
  <c r="Y399" i="2"/>
  <c r="AC405" i="2"/>
  <c r="U405" i="2" s="1"/>
  <c r="AI408" i="2"/>
  <c r="Y408" i="2"/>
  <c r="AC410" i="2"/>
  <c r="U410" i="2" s="1"/>
  <c r="AH413" i="2"/>
  <c r="AC417" i="2"/>
  <c r="U417" i="2" s="1"/>
  <c r="AI425" i="2"/>
  <c r="AC426" i="2"/>
  <c r="U426" i="2" s="1"/>
  <c r="AI428" i="2"/>
  <c r="AH428" i="2"/>
  <c r="Y428" i="2"/>
  <c r="AC438" i="2"/>
  <c r="U438" i="2" s="1"/>
  <c r="Y383" i="2"/>
  <c r="AH385" i="2"/>
  <c r="AH399" i="2"/>
  <c r="AI403" i="2"/>
  <c r="Y403" i="2"/>
  <c r="AH404" i="2"/>
  <c r="AC409" i="2"/>
  <c r="U409" i="2" s="1"/>
  <c r="AJ409" i="2"/>
  <c r="AI412" i="2"/>
  <c r="Y412" i="2"/>
  <c r="AI413" i="2"/>
  <c r="AJ414" i="2"/>
  <c r="AI416" i="2"/>
  <c r="AH416" i="2"/>
  <c r="Y416" i="2"/>
  <c r="AI419" i="2"/>
  <c r="AI437" i="2"/>
  <c r="AH437" i="2"/>
  <c r="Y437" i="2"/>
  <c r="AI453" i="2"/>
  <c r="AH453" i="2"/>
  <c r="Y453" i="2"/>
  <c r="AI469" i="2"/>
  <c r="AH469" i="2"/>
  <c r="Y469" i="2"/>
  <c r="AI533" i="2"/>
  <c r="Y533" i="2"/>
  <c r="Y381" i="2"/>
  <c r="AC386" i="2"/>
  <c r="U386" i="2" s="1"/>
  <c r="Y393" i="2"/>
  <c r="AC395" i="2"/>
  <c r="U395" i="2" s="1"/>
  <c r="AI407" i="2"/>
  <c r="Y407" i="2"/>
  <c r="AC413" i="2"/>
  <c r="U413" i="2" s="1"/>
  <c r="AH421" i="2"/>
  <c r="Y421" i="2"/>
  <c r="AC425" i="2"/>
  <c r="U425" i="2" s="1"/>
  <c r="AC442" i="2"/>
  <c r="U442" i="2" s="1"/>
  <c r="AC458" i="2"/>
  <c r="U458" i="2" s="1"/>
  <c r="AC474" i="2"/>
  <c r="U474" i="2" s="1"/>
  <c r="AJ474" i="2"/>
  <c r="AC478" i="2"/>
  <c r="U478" i="2" s="1"/>
  <c r="AC482" i="2"/>
  <c r="U482" i="2" s="1"/>
  <c r="AC486" i="2"/>
  <c r="U486" i="2" s="1"/>
  <c r="Y379" i="2"/>
  <c r="AH381" i="2"/>
  <c r="AI383" i="2"/>
  <c r="Y384" i="2"/>
  <c r="AC385" i="2"/>
  <c r="AJ385" i="2"/>
  <c r="AI388" i="2"/>
  <c r="Y388" i="2"/>
  <c r="AI389" i="2"/>
  <c r="AC390" i="2"/>
  <c r="U390" i="2" s="1"/>
  <c r="AH393" i="2"/>
  <c r="Y394" i="2"/>
  <c r="AH394" i="2"/>
  <c r="Y397" i="2"/>
  <c r="AC399" i="2"/>
  <c r="U399" i="2" s="1"/>
  <c r="AJ403" i="2"/>
  <c r="AH407" i="2"/>
  <c r="AI411" i="2"/>
  <c r="Y411" i="2"/>
  <c r="AH412" i="2"/>
  <c r="AI421" i="2"/>
  <c r="AC422" i="2"/>
  <c r="U422" i="2" s="1"/>
  <c r="AI424" i="2"/>
  <c r="AH424" i="2"/>
  <c r="Y424" i="2"/>
  <c r="AI427" i="2"/>
  <c r="AJ429" i="2"/>
  <c r="AI441" i="2"/>
  <c r="AH441" i="2"/>
  <c r="Y441" i="2"/>
  <c r="AI457" i="2"/>
  <c r="AH457" i="2"/>
  <c r="Y457" i="2"/>
  <c r="AI473" i="2"/>
  <c r="AH473" i="2"/>
  <c r="Y473" i="2"/>
  <c r="AJ490" i="2"/>
  <c r="AI529" i="2"/>
  <c r="Y529" i="2"/>
  <c r="AJ433" i="2"/>
  <c r="AJ437" i="2"/>
  <c r="AJ441" i="2"/>
  <c r="AJ445" i="2"/>
  <c r="AJ449" i="2"/>
  <c r="AJ453" i="2"/>
  <c r="AJ457" i="2"/>
  <c r="AJ461" i="2"/>
  <c r="AJ465" i="2"/>
  <c r="AJ469" i="2"/>
  <c r="AJ473" i="2"/>
  <c r="AJ477" i="2"/>
  <c r="AJ481" i="2"/>
  <c r="AJ485" i="2"/>
  <c r="AJ489" i="2"/>
  <c r="AJ493" i="2"/>
  <c r="Y507" i="2"/>
  <c r="Y518" i="2"/>
  <c r="AI522" i="2"/>
  <c r="Y522" i="2"/>
  <c r="AI526" i="2"/>
  <c r="Y526" i="2"/>
  <c r="AI530" i="2"/>
  <c r="Y530" i="2"/>
  <c r="AI534" i="2"/>
  <c r="Y534" i="2"/>
  <c r="AI538" i="2"/>
  <c r="Y538" i="2"/>
  <c r="U672" i="2"/>
  <c r="AJ672" i="2"/>
  <c r="Y419" i="2"/>
  <c r="Y423" i="2"/>
  <c r="Y427" i="2"/>
  <c r="Y431" i="2"/>
  <c r="Y435" i="2"/>
  <c r="Y439" i="2"/>
  <c r="Y443" i="2"/>
  <c r="Y447" i="2"/>
  <c r="Y451" i="2"/>
  <c r="Y455" i="2"/>
  <c r="Y459" i="2"/>
  <c r="Y463" i="2"/>
  <c r="Y467" i="2"/>
  <c r="Y471" i="2"/>
  <c r="Y475" i="2"/>
  <c r="Y479" i="2"/>
  <c r="Y483" i="2"/>
  <c r="Y487" i="2"/>
  <c r="Y491" i="2"/>
  <c r="Y495" i="2"/>
  <c r="Y509" i="2"/>
  <c r="Y517" i="2"/>
  <c r="AH521" i="2"/>
  <c r="AH525" i="2"/>
  <c r="AH529" i="2"/>
  <c r="AH533" i="2"/>
  <c r="Y619" i="2"/>
  <c r="AI619" i="2"/>
  <c r="AH619" i="2"/>
  <c r="AH640" i="2"/>
  <c r="AI640" i="2"/>
  <c r="Y640" i="2"/>
  <c r="U656" i="2"/>
  <c r="AJ656" i="2"/>
  <c r="AI663" i="2"/>
  <c r="Y663" i="2"/>
  <c r="AH663" i="2"/>
  <c r="Y432" i="2"/>
  <c r="Y436" i="2"/>
  <c r="Y440" i="2"/>
  <c r="Y444" i="2"/>
  <c r="Y448" i="2"/>
  <c r="Y452" i="2"/>
  <c r="Y456" i="2"/>
  <c r="Y460" i="2"/>
  <c r="Y464" i="2"/>
  <c r="Y468" i="2"/>
  <c r="Y472" i="2"/>
  <c r="Y476" i="2"/>
  <c r="Y480" i="2"/>
  <c r="Y484" i="2"/>
  <c r="AI511" i="2"/>
  <c r="Y635" i="2"/>
  <c r="AI635" i="2"/>
  <c r="AH635" i="2"/>
  <c r="AH686" i="2"/>
  <c r="Y686" i="2"/>
  <c r="AI686" i="2"/>
  <c r="AJ415" i="2"/>
  <c r="AJ419" i="2"/>
  <c r="AJ423" i="2"/>
  <c r="AJ427" i="2"/>
  <c r="AJ431" i="2"/>
  <c r="AH432" i="2"/>
  <c r="AJ435" i="2"/>
  <c r="AH436" i="2"/>
  <c r="AJ439" i="2"/>
  <c r="AH440" i="2"/>
  <c r="AJ443" i="2"/>
  <c r="AH444" i="2"/>
  <c r="AJ447" i="2"/>
  <c r="AH448" i="2"/>
  <c r="AJ451" i="2"/>
  <c r="AH452" i="2"/>
  <c r="AJ455" i="2"/>
  <c r="AH456" i="2"/>
  <c r="AJ459" i="2"/>
  <c r="AH460" i="2"/>
  <c r="AJ463" i="2"/>
  <c r="AH464" i="2"/>
  <c r="AJ467" i="2"/>
  <c r="AH468" i="2"/>
  <c r="AJ471" i="2"/>
  <c r="AH472" i="2"/>
  <c r="AJ475" i="2"/>
  <c r="AH476" i="2"/>
  <c r="AJ479" i="2"/>
  <c r="AH480" i="2"/>
  <c r="AJ483" i="2"/>
  <c r="AH484" i="2"/>
  <c r="AJ487" i="2"/>
  <c r="AH488" i="2"/>
  <c r="AJ491" i="2"/>
  <c r="AH492" i="2"/>
  <c r="AJ495" i="2"/>
  <c r="AI497" i="2"/>
  <c r="U620" i="2"/>
  <c r="AJ498" i="2"/>
  <c r="AH518" i="2"/>
  <c r="AH519" i="2"/>
  <c r="Y519" i="2"/>
  <c r="AI620" i="2"/>
  <c r="AH620" i="2"/>
  <c r="Y620" i="2"/>
  <c r="U622" i="2"/>
  <c r="AJ622" i="2"/>
  <c r="AI641" i="2"/>
  <c r="AH641" i="2"/>
  <c r="Y641" i="2"/>
  <c r="U661" i="2"/>
  <c r="AJ661" i="2"/>
  <c r="AJ476" i="2"/>
  <c r="AJ480" i="2"/>
  <c r="AJ484" i="2"/>
  <c r="AJ488" i="2"/>
  <c r="AJ492" i="2"/>
  <c r="AH512" i="2"/>
  <c r="AH513" i="2"/>
  <c r="AH514" i="2"/>
  <c r="U621" i="2"/>
  <c r="AJ621" i="2"/>
  <c r="AI645" i="2"/>
  <c r="AH645" i="2"/>
  <c r="Y645" i="2"/>
  <c r="AJ620" i="2"/>
  <c r="U637" i="2"/>
  <c r="U657" i="2"/>
  <c r="AI659" i="2"/>
  <c r="Y659" i="2"/>
  <c r="U673" i="2"/>
  <c r="AI681" i="2"/>
  <c r="Y681" i="2"/>
  <c r="AH681" i="2"/>
  <c r="U683" i="2"/>
  <c r="AJ683" i="2"/>
  <c r="U690" i="2"/>
  <c r="AJ690" i="2"/>
  <c r="AH698" i="2"/>
  <c r="Y698" i="2"/>
  <c r="AI705" i="2"/>
  <c r="AH705" i="2"/>
  <c r="Y705" i="2"/>
  <c r="U619" i="2"/>
  <c r="Y625" i="2"/>
  <c r="U638" i="2"/>
  <c r="U640" i="2"/>
  <c r="U641" i="2"/>
  <c r="U645" i="2"/>
  <c r="U646" i="2"/>
  <c r="AH652" i="2"/>
  <c r="Y652" i="2"/>
  <c r="AJ665" i="2"/>
  <c r="AH668" i="2"/>
  <c r="Y668" i="2"/>
  <c r="U686" i="2"/>
  <c r="AH694" i="2"/>
  <c r="Y694" i="2"/>
  <c r="AH537" i="2"/>
  <c r="AH549" i="2"/>
  <c r="AH553" i="2"/>
  <c r="AH557" i="2"/>
  <c r="AH561" i="2"/>
  <c r="AH565" i="2"/>
  <c r="AH569" i="2"/>
  <c r="AH573" i="2"/>
  <c r="AH577" i="2"/>
  <c r="AH581" i="2"/>
  <c r="AH585" i="2"/>
  <c r="AH589" i="2"/>
  <c r="AH593" i="2"/>
  <c r="AH597" i="2"/>
  <c r="AH601" i="2"/>
  <c r="AH605" i="2"/>
  <c r="AH609" i="2"/>
  <c r="AH613" i="2"/>
  <c r="AH617" i="2"/>
  <c r="AI627" i="2"/>
  <c r="AI628" i="2"/>
  <c r="AH631" i="2"/>
  <c r="Y632" i="2"/>
  <c r="Y633" i="2"/>
  <c r="AH633" i="2"/>
  <c r="U650" i="2"/>
  <c r="AI652" i="2"/>
  <c r="AH656" i="2"/>
  <c r="Y656" i="2"/>
  <c r="U666" i="2"/>
  <c r="AI668" i="2"/>
  <c r="AH672" i="2"/>
  <c r="Y672" i="2"/>
  <c r="AJ682" i="2"/>
  <c r="U682" i="2"/>
  <c r="AI694" i="2"/>
  <c r="AI632" i="2"/>
  <c r="U649" i="2"/>
  <c r="AI651" i="2"/>
  <c r="Y651" i="2"/>
  <c r="AJ652" i="2"/>
  <c r="AJ658" i="2"/>
  <c r="AI667" i="2"/>
  <c r="Y667" i="2"/>
  <c r="AJ668" i="2"/>
  <c r="AJ674" i="2"/>
  <c r="U677" i="2"/>
  <c r="AJ677" i="2"/>
  <c r="AH682" i="2"/>
  <c r="Y682" i="2"/>
  <c r="U625" i="2"/>
  <c r="U654" i="2"/>
  <c r="AJ657" i="2"/>
  <c r="AH660" i="2"/>
  <c r="Y660" i="2"/>
  <c r="U670" i="2"/>
  <c r="AJ673" i="2"/>
  <c r="Y523" i="2"/>
  <c r="Y527" i="2"/>
  <c r="Y531" i="2"/>
  <c r="Y535" i="2"/>
  <c r="U629" i="2"/>
  <c r="AJ637" i="2"/>
  <c r="AH643" i="2"/>
  <c r="AJ646" i="2"/>
  <c r="AH651" i="2"/>
  <c r="U653" i="2"/>
  <c r="AI655" i="2"/>
  <c r="Y655" i="2"/>
  <c r="AJ662" i="2"/>
  <c r="AH667" i="2"/>
  <c r="U669" i="2"/>
  <c r="AI671" i="2"/>
  <c r="Y671" i="2"/>
  <c r="U675" i="2"/>
  <c r="AJ675" i="2"/>
  <c r="AI682" i="2"/>
  <c r="AI685" i="2"/>
  <c r="AH685" i="2"/>
  <c r="Y685" i="2"/>
  <c r="AJ702" i="2"/>
  <c r="U702" i="2"/>
  <c r="U633" i="2"/>
  <c r="AI643" i="2"/>
  <c r="AH648" i="2"/>
  <c r="Y648" i="2"/>
  <c r="AH664" i="2"/>
  <c r="Y664" i="2"/>
  <c r="AJ681" i="2"/>
  <c r="U681" i="2"/>
  <c r="U684" i="2"/>
  <c r="AJ698" i="2"/>
  <c r="U698" i="2"/>
  <c r="AI709" i="2"/>
  <c r="AH709" i="2"/>
  <c r="Y709" i="2"/>
  <c r="AI713" i="2"/>
  <c r="AH713" i="2"/>
  <c r="Y713" i="2"/>
  <c r="AI717" i="2"/>
  <c r="AH717" i="2"/>
  <c r="Y717" i="2"/>
  <c r="AI721" i="2"/>
  <c r="AH721" i="2"/>
  <c r="Y721" i="2"/>
  <c r="AI725" i="2"/>
  <c r="AH725" i="2"/>
  <c r="Y725" i="2"/>
  <c r="AI729" i="2"/>
  <c r="AH729" i="2"/>
  <c r="Y729" i="2"/>
  <c r="AI733" i="2"/>
  <c r="AH733" i="2"/>
  <c r="Y733" i="2"/>
  <c r="U687" i="2"/>
  <c r="U688" i="2"/>
  <c r="AI689" i="2"/>
  <c r="AH689" i="2"/>
  <c r="Y689" i="2"/>
  <c r="U703" i="2"/>
  <c r="U704" i="2"/>
  <c r="U708" i="2"/>
  <c r="U712" i="2"/>
  <c r="U716" i="2"/>
  <c r="U720" i="2"/>
  <c r="AJ741" i="2"/>
  <c r="AI743" i="2"/>
  <c r="AH743" i="2"/>
  <c r="Y743" i="2"/>
  <c r="U745" i="2"/>
  <c r="U752" i="2"/>
  <c r="AJ752" i="2"/>
  <c r="U679" i="2"/>
  <c r="U680" i="2"/>
  <c r="U691" i="2"/>
  <c r="U692" i="2"/>
  <c r="AI693" i="2"/>
  <c r="AH693" i="2"/>
  <c r="Y693" i="2"/>
  <c r="AJ694" i="2"/>
  <c r="U742" i="2"/>
  <c r="AI759" i="2"/>
  <c r="AH759" i="2"/>
  <c r="Y759" i="2"/>
  <c r="U761" i="2"/>
  <c r="AH702" i="2"/>
  <c r="Y702" i="2"/>
  <c r="U748" i="2"/>
  <c r="AJ748" i="2"/>
  <c r="U758" i="2"/>
  <c r="U768" i="2"/>
  <c r="AJ768" i="2"/>
  <c r="U676" i="2"/>
  <c r="U695" i="2"/>
  <c r="U696" i="2"/>
  <c r="AI697" i="2"/>
  <c r="AH697" i="2"/>
  <c r="Y697" i="2"/>
  <c r="AI706" i="2"/>
  <c r="AH706" i="2"/>
  <c r="Y706" i="2"/>
  <c r="AI710" i="2"/>
  <c r="AH710" i="2"/>
  <c r="Y710" i="2"/>
  <c r="AI714" i="2"/>
  <c r="AH714" i="2"/>
  <c r="Y714" i="2"/>
  <c r="AI718" i="2"/>
  <c r="AH718" i="2"/>
  <c r="Y718" i="2"/>
  <c r="AI722" i="2"/>
  <c r="AH722" i="2"/>
  <c r="Y722" i="2"/>
  <c r="AI726" i="2"/>
  <c r="AH726" i="2"/>
  <c r="Y726" i="2"/>
  <c r="AI730" i="2"/>
  <c r="AH730" i="2"/>
  <c r="Y730" i="2"/>
  <c r="AI734" i="2"/>
  <c r="AH734" i="2"/>
  <c r="Y734" i="2"/>
  <c r="AH748" i="2"/>
  <c r="Y748" i="2"/>
  <c r="AI677" i="2"/>
  <c r="Y677" i="2"/>
  <c r="AH690" i="2"/>
  <c r="Y690" i="2"/>
  <c r="AI702" i="2"/>
  <c r="AI748" i="2"/>
  <c r="U764" i="2"/>
  <c r="AJ764" i="2"/>
  <c r="AJ687" i="2"/>
  <c r="U699" i="2"/>
  <c r="U700" i="2"/>
  <c r="AI701" i="2"/>
  <c r="AH701" i="2"/>
  <c r="Y701" i="2"/>
  <c r="AJ703" i="2"/>
  <c r="AJ707" i="2"/>
  <c r="AJ711" i="2"/>
  <c r="AJ715" i="2"/>
  <c r="AJ719" i="2"/>
  <c r="AJ723" i="2"/>
  <c r="AJ727" i="2"/>
  <c r="AJ731" i="2"/>
  <c r="AJ735" i="2"/>
  <c r="AH764" i="2"/>
  <c r="Y764" i="2"/>
  <c r="U740" i="2"/>
  <c r="AI747" i="2"/>
  <c r="AH747" i="2"/>
  <c r="AH752" i="2"/>
  <c r="Y752" i="2"/>
  <c r="AI763" i="2"/>
  <c r="AH763" i="2"/>
  <c r="AJ684" i="2"/>
  <c r="AJ688" i="2"/>
  <c r="AJ692" i="2"/>
  <c r="AJ696" i="2"/>
  <c r="AJ700" i="2"/>
  <c r="AJ704" i="2"/>
  <c r="AJ708" i="2"/>
  <c r="AJ712" i="2"/>
  <c r="AJ716" i="2"/>
  <c r="AJ720" i="2"/>
  <c r="U736" i="2"/>
  <c r="AH742" i="2"/>
  <c r="U746" i="2"/>
  <c r="AJ749" i="2"/>
  <c r="AI752" i="2"/>
  <c r="U756" i="2"/>
  <c r="U762" i="2"/>
  <c r="AJ765" i="2"/>
  <c r="U786" i="2"/>
  <c r="U802" i="2"/>
  <c r="U738" i="2"/>
  <c r="AI739" i="2"/>
  <c r="AH739" i="2"/>
  <c r="AI751" i="2"/>
  <c r="AH751" i="2"/>
  <c r="AH756" i="2"/>
  <c r="Y756" i="2"/>
  <c r="AI767" i="2"/>
  <c r="AH767" i="2"/>
  <c r="U782" i="2"/>
  <c r="U744" i="2"/>
  <c r="U750" i="2"/>
  <c r="AI756" i="2"/>
  <c r="U760" i="2"/>
  <c r="U766" i="2"/>
  <c r="AI771" i="2"/>
  <c r="AH771" i="2"/>
  <c r="U778" i="2"/>
  <c r="U798" i="2"/>
  <c r="AH744" i="2"/>
  <c r="Y744" i="2"/>
  <c r="AI755" i="2"/>
  <c r="AH755" i="2"/>
  <c r="AH760" i="2"/>
  <c r="Y760" i="2"/>
  <c r="U772" i="2"/>
  <c r="U776" i="2"/>
  <c r="U780" i="2"/>
  <c r="U784" i="2"/>
  <c r="U788" i="2"/>
  <c r="U792" i="2"/>
  <c r="U796" i="2"/>
  <c r="U800" i="2"/>
  <c r="AJ742" i="2"/>
  <c r="AJ746" i="2"/>
  <c r="AJ750" i="2"/>
  <c r="AJ754" i="2"/>
  <c r="AJ758" i="2"/>
  <c r="AJ762" i="2"/>
  <c r="AJ766" i="2"/>
  <c r="AJ770" i="2"/>
  <c r="AJ774" i="2"/>
  <c r="AH775" i="2"/>
  <c r="AJ778" i="2"/>
  <c r="AH779" i="2"/>
  <c r="AJ782" i="2"/>
  <c r="AH783" i="2"/>
  <c r="AJ786" i="2"/>
  <c r="AH787" i="2"/>
  <c r="AJ790" i="2"/>
  <c r="AH791" i="2"/>
  <c r="AJ794" i="2"/>
  <c r="AH795" i="2"/>
  <c r="AJ798" i="2"/>
  <c r="AH799" i="2"/>
  <c r="AJ802" i="2"/>
  <c r="AH803" i="2"/>
  <c r="Y768" i="2"/>
  <c r="Y772" i="2"/>
  <c r="Y776" i="2"/>
  <c r="Y780" i="2"/>
  <c r="Y784" i="2"/>
  <c r="Y788" i="2"/>
  <c r="Y792" i="2"/>
  <c r="Y796" i="2"/>
  <c r="Y800" i="2"/>
  <c r="AH788" i="2"/>
  <c r="AH792" i="2"/>
  <c r="AH796" i="2"/>
  <c r="AH800" i="2"/>
  <c r="U7" i="2" l="1"/>
  <c r="AJ7" i="2" s="1"/>
  <c r="U11" i="2"/>
  <c r="AJ10" i="2"/>
  <c r="U6" i="2"/>
  <c r="AJ18" i="2"/>
  <c r="AJ9" i="2"/>
  <c r="AJ61" i="2"/>
  <c r="AJ20" i="2"/>
  <c r="AJ6" i="2"/>
  <c r="U175" i="2"/>
  <c r="AJ175" i="2"/>
  <c r="U23" i="2"/>
  <c r="AJ23" i="2"/>
  <c r="U128" i="2"/>
  <c r="AJ128" i="2"/>
  <c r="U161" i="2"/>
  <c r="AJ161" i="2"/>
  <c r="U31" i="2"/>
  <c r="AJ31" i="2"/>
  <c r="AJ5" i="2"/>
  <c r="U5" i="2"/>
  <c r="J5" i="4" s="1"/>
  <c r="AJ540" i="2"/>
  <c r="U540" i="2"/>
  <c r="U556" i="2"/>
  <c r="U569" i="2"/>
  <c r="U566" i="2"/>
  <c r="U549" i="2"/>
  <c r="U558" i="2"/>
  <c r="U555" i="2"/>
  <c r="U560" i="2"/>
  <c r="U559" i="2"/>
  <c r="U546" i="2"/>
  <c r="U545" i="2"/>
  <c r="U567" i="2"/>
  <c r="U544" i="2"/>
  <c r="U565" i="2"/>
  <c r="U564" i="2"/>
  <c r="U547" i="2"/>
  <c r="U557" i="2"/>
  <c r="U553" i="2"/>
  <c r="U548" i="2"/>
  <c r="U541" i="2"/>
  <c r="U552" i="2"/>
  <c r="U568" i="2"/>
  <c r="AJ43" i="2"/>
  <c r="AJ35" i="2"/>
  <c r="AJ266" i="2"/>
  <c r="AJ94" i="2"/>
  <c r="AJ59" i="2"/>
  <c r="AJ283" i="2"/>
  <c r="AJ160" i="2"/>
  <c r="AJ88" i="2"/>
  <c r="AJ102" i="2"/>
  <c r="AJ86" i="2"/>
  <c r="AJ55" i="2"/>
  <c r="AJ39" i="2"/>
  <c r="AJ82" i="2"/>
  <c r="AJ100" i="2"/>
  <c r="AJ72" i="2"/>
  <c r="AJ148" i="2"/>
  <c r="AJ287" i="2"/>
  <c r="AJ237" i="2"/>
  <c r="AJ116" i="2"/>
  <c r="AJ73" i="2"/>
  <c r="AJ78" i="2"/>
  <c r="AJ51" i="2"/>
  <c r="AJ74" i="2"/>
  <c r="AJ238" i="2"/>
  <c r="AJ184" i="2"/>
  <c r="AJ220" i="2"/>
  <c r="AJ63" i="2"/>
  <c r="E46" i="4"/>
  <c r="F46" i="4" s="1"/>
  <c r="E47" i="4"/>
  <c r="F47" i="4" s="1"/>
  <c r="C75" i="4"/>
  <c r="AJ270" i="2"/>
  <c r="AJ307" i="2"/>
  <c r="AJ262" i="2"/>
  <c r="AJ246" i="2"/>
  <c r="AJ303" i="2"/>
  <c r="AJ189" i="2"/>
  <c r="C77" i="4"/>
  <c r="AJ214" i="2"/>
  <c r="AJ44" i="2"/>
  <c r="AJ98" i="2"/>
  <c r="AJ75" i="2"/>
  <c r="AJ210" i="2"/>
  <c r="AJ70" i="2"/>
  <c r="AJ292" i="2"/>
  <c r="AJ90" i="2"/>
  <c r="AJ114" i="2"/>
  <c r="AJ142" i="2"/>
  <c r="AJ280" i="2"/>
  <c r="AJ254" i="2"/>
  <c r="AJ235" i="2"/>
  <c r="AJ275" i="2"/>
  <c r="AJ247" i="2"/>
  <c r="AJ215" i="2"/>
  <c r="AJ145" i="2"/>
  <c r="AJ113" i="2"/>
  <c r="AJ224" i="2"/>
  <c r="AJ201" i="2"/>
  <c r="AJ202" i="2"/>
  <c r="AJ150" i="2"/>
  <c r="AJ118" i="2"/>
  <c r="H5" i="4"/>
  <c r="AJ170" i="2"/>
  <c r="AJ299" i="2"/>
  <c r="D5" i="4"/>
  <c r="AJ279" i="2"/>
  <c r="AJ229" i="2"/>
  <c r="AJ199" i="2"/>
  <c r="AJ122" i="2"/>
  <c r="AJ40" i="2"/>
  <c r="AJ234" i="2"/>
  <c r="AJ62" i="2"/>
  <c r="AJ57" i="2"/>
  <c r="E42" i="4"/>
  <c r="F42" i="4" s="1"/>
  <c r="AJ149" i="2"/>
  <c r="AJ259" i="2"/>
  <c r="AJ239" i="2"/>
  <c r="AJ187" i="2"/>
  <c r="AJ296" i="2"/>
  <c r="AJ222" i="2"/>
  <c r="AJ203" i="2"/>
  <c r="AJ251" i="2"/>
  <c r="AJ219" i="2"/>
  <c r="AJ141" i="2"/>
  <c r="AJ109" i="2"/>
  <c r="AJ176" i="2"/>
  <c r="AJ162" i="2"/>
  <c r="AJ132" i="2"/>
  <c r="AJ257" i="2"/>
  <c r="AJ181" i="2"/>
  <c r="AJ243" i="2"/>
  <c r="AJ156" i="2"/>
  <c r="AJ124" i="2"/>
  <c r="AJ106" i="2"/>
  <c r="AJ77" i="2"/>
  <c r="AJ186" i="2"/>
  <c r="AJ180" i="2"/>
  <c r="AJ154" i="2"/>
  <c r="AJ36" i="2"/>
  <c r="AJ87" i="2"/>
  <c r="AJ196" i="2"/>
  <c r="AJ53" i="2"/>
  <c r="AJ50" i="2"/>
  <c r="E38" i="4"/>
  <c r="F38" i="4" s="1"/>
  <c r="E37" i="4"/>
  <c r="F37" i="4" s="1"/>
  <c r="AJ117" i="2"/>
  <c r="AJ194" i="2"/>
  <c r="AJ227" i="2"/>
  <c r="AJ171" i="2"/>
  <c r="AJ137" i="2"/>
  <c r="AJ269" i="2"/>
  <c r="AJ158" i="2"/>
  <c r="AJ274" i="2"/>
  <c r="AJ264" i="2"/>
  <c r="AJ197" i="2"/>
  <c r="AJ261" i="2"/>
  <c r="AJ188" i="2"/>
  <c r="AJ174" i="2"/>
  <c r="AJ104" i="2"/>
  <c r="AJ112" i="2"/>
  <c r="AJ290" i="2"/>
  <c r="AJ242" i="2"/>
  <c r="AJ248" i="2"/>
  <c r="AJ209" i="2"/>
  <c r="AJ64" i="2"/>
  <c r="C16" i="4"/>
  <c r="C14" i="4"/>
  <c r="AJ32" i="2"/>
  <c r="AJ46" i="2"/>
  <c r="E41" i="4"/>
  <c r="F41" i="4" s="1"/>
  <c r="E45" i="4"/>
  <c r="F45" i="4" s="1"/>
  <c r="AJ263" i="2"/>
  <c r="AJ223" i="2"/>
  <c r="AJ133" i="2"/>
  <c r="AJ155" i="2"/>
  <c r="AJ105" i="2"/>
  <c r="AJ276" i="2"/>
  <c r="AJ85" i="2"/>
  <c r="AJ168" i="2"/>
  <c r="AJ60" i="2"/>
  <c r="AJ101" i="2"/>
  <c r="AJ83" i="2"/>
  <c r="AJ37" i="2"/>
  <c r="E36" i="4"/>
  <c r="F36" i="4" s="1"/>
  <c r="E40" i="4"/>
  <c r="F40" i="4" s="1"/>
  <c r="AJ108" i="2"/>
  <c r="AJ144" i="2"/>
  <c r="AJ110" i="2"/>
  <c r="AJ165" i="2"/>
  <c r="AJ129" i="2"/>
  <c r="AJ216" i="2"/>
  <c r="AJ126" i="2"/>
  <c r="AJ93" i="2"/>
  <c r="AJ231" i="2"/>
  <c r="AJ195" i="2"/>
  <c r="AJ146" i="2"/>
  <c r="AJ97" i="2"/>
  <c r="C76" i="4"/>
  <c r="AJ56" i="2"/>
  <c r="AJ65" i="2"/>
  <c r="E44" i="4"/>
  <c r="F44" i="4" s="1"/>
  <c r="E43" i="4"/>
  <c r="F43" i="4" s="1"/>
  <c r="AJ304" i="2"/>
  <c r="AJ288" i="2"/>
  <c r="AJ157" i="2"/>
  <c r="AJ125" i="2"/>
  <c r="AJ172" i="2"/>
  <c r="AJ140" i="2"/>
  <c r="AJ123" i="2"/>
  <c r="AJ211" i="2"/>
  <c r="AJ271" i="2"/>
  <c r="AJ178" i="2"/>
  <c r="AJ207" i="2"/>
  <c r="C15" i="4"/>
  <c r="AJ96" i="2"/>
  <c r="AJ52" i="2"/>
  <c r="AJ79" i="2"/>
  <c r="C78" i="4"/>
  <c r="E39" i="4"/>
  <c r="F39" i="4" s="1"/>
  <c r="AJ306" i="2"/>
  <c r="AJ153" i="2"/>
  <c r="AJ121" i="2"/>
  <c r="AJ91" i="2"/>
  <c r="AJ301" i="2"/>
  <c r="AJ138" i="2"/>
  <c r="AJ69" i="2"/>
  <c r="AJ241" i="2"/>
  <c r="AJ130" i="2"/>
  <c r="AJ95" i="2"/>
  <c r="F5" i="4"/>
  <c r="AJ233" i="2"/>
  <c r="AJ81" i="2"/>
  <c r="AJ267" i="2"/>
  <c r="AJ173" i="2"/>
  <c r="AJ89" i="2"/>
  <c r="AJ48" i="2"/>
  <c r="AJ134" i="2"/>
  <c r="AJ99" i="2"/>
  <c r="B9" i="4"/>
  <c r="E84" i="4" l="1"/>
  <c r="C86" i="4"/>
  <c r="F89" i="4"/>
  <c r="E91" i="4"/>
  <c r="C91" i="4"/>
  <c r="F85" i="4"/>
  <c r="E87" i="4"/>
  <c r="F87" i="4"/>
  <c r="D91" i="4"/>
  <c r="E89" i="4"/>
  <c r="B84" i="4"/>
  <c r="D87" i="4"/>
  <c r="C89" i="4"/>
  <c r="D89" i="4"/>
  <c r="F84" i="4"/>
  <c r="F92" i="4"/>
  <c r="F83" i="4"/>
  <c r="E85" i="4"/>
  <c r="B89" i="4"/>
  <c r="F90" i="4"/>
  <c r="B91" i="4"/>
  <c r="C83" i="4"/>
  <c r="E83" i="4"/>
  <c r="D85" i="4"/>
  <c r="C87" i="4"/>
  <c r="E90" i="4"/>
  <c r="D92" i="4"/>
  <c r="E92" i="4"/>
  <c r="D83" i="4"/>
  <c r="C85" i="4"/>
  <c r="B87" i="4"/>
  <c r="F88" i="4"/>
  <c r="C92" i="4"/>
  <c r="B88" i="4"/>
  <c r="B85" i="4"/>
  <c r="F86" i="4"/>
  <c r="E88" i="4"/>
  <c r="D90" i="4"/>
  <c r="D86" i="4"/>
  <c r="B83" i="4"/>
  <c r="E86" i="4"/>
  <c r="D88" i="4"/>
  <c r="C90" i="4"/>
  <c r="B92" i="4"/>
  <c r="D84" i="4"/>
  <c r="C88" i="4"/>
  <c r="B90" i="4"/>
  <c r="F91" i="4"/>
  <c r="C84" i="4"/>
  <c r="B86" i="4"/>
</calcChain>
</file>

<file path=xl/sharedStrings.xml><?xml version="1.0" encoding="utf-8"?>
<sst xmlns="http://schemas.openxmlformats.org/spreadsheetml/2006/main" count="1033" uniqueCount="412">
  <si>
    <t>راهنمای فایل پایش اقدامات اصلاحی / پیشگیرانه</t>
  </si>
  <si>
    <t>ساختار ستون‌ها</t>
  </si>
  <si>
    <t>ستون‌های اول شیت «ورودی اقدامات» دقیقاً همان ستون‌های گرید سیستم هستند: شماره فرم، نوع، اصلاحی (منشأ)، موضوع عدم تطابق، درخواست‌کننده، نام فرآیند مرتبط، مهلت انجام اقدام، اثر بخشی، نظریه نهایی نماینده مدیریت، شماره اقدام مجدد، تاریخ ایجاد فرم، وضعیت (سیستم) و نسخه. ستون‌های واحد، تاریخ تکمیل، مسئول/نظریه ریشه‌یابی، مسئول اقدام و شرح اقدامات برای تحلیل تکمیلی اضافه شده‌اند.</t>
  </si>
  <si>
    <t>تاریخ‌ها</t>
  </si>
  <si>
    <t>همه تاریخ‌ها شمسی و به‌صورت متن سال/ماه/روز وارد می‌شوند (مثال 1404/7/4). تبدیل به میلادی برای محاسبه تاخیر به‌صورت خودکار و در ستون‌های پنهان (W تا AJ) انجام می‌شود.</t>
  </si>
  <si>
    <t>وضعیت پایش (خودکار)</t>
  </si>
  <si>
    <t>«بسته»: ستون اثر بخشی پر باشد یا تاریخ تکمیل ثبت شده باشد. «تاخیر»: مهلت گذشته و بسته نشده. «در حال انجام»: بقیه. این ستون با ستون «وضعیت (سیستم)» که مرحله گردش‌کار در سیستم است فرق دارد.</t>
  </si>
  <si>
    <t>اثر بخشی</t>
  </si>
  <si>
    <t>مقدارهای «می‌باشد»، «نمی‌باشد» و «تایید» مطابق مقادیر دیده‌شده در سیستم است و هر مقدار ثبت‌شده، اقدام را بسته می‌کند. اگر معنای «می‌باشد» در سیستم شما متفاوت است، فرمول ستون U را اصلاح کنید.</t>
  </si>
  <si>
    <t>لیست‌ها و داشبورد</t>
  </si>
  <si>
    <t>فهرست‌های کشویی از شیت «لیست‌ها» می‌آیند (ستون‌های P تا T پنهان و فقط برای تقویم شمسی است). داشبورد به‌صورت خودکار به‌روز می‌شود. ظرفیت فایل ۸۰۰ ردیف است.</t>
  </si>
  <si>
    <t>داشبورد مدیریتی</t>
  </si>
  <si>
    <t>بالای داشبورد یک جمله خلاصه خودکار (خلاصه مدیریتی)، شاخص‌های کلیدی، جدول «۱۰ اقدام با بیشترین تاخیر» برای پیگیری فوری و تفکیک تاخیرها بر اساس مدت (۱ تا ۳۰، ۳۱ تا ۶۰، ۶۱ تا ۹۰ و بیش از ۹۰ روز) اضافه شده است. این شیت برای چاپ/خروجی PDF تنظیم شده (Landscape، تناسب با عرض صفحه) — کافیست از منوی File در اکسل گزینه Export یا Print to PDF را روی همین شیت بزنید.</t>
  </si>
  <si>
    <t>پایش اقدامات اصلاحی / پیشگیرانه — ستون‌ها مطابق گرید سیستم «فرم اقدام اصلاحی/پیشگیرانه»</t>
  </si>
  <si>
    <t>خودکار</t>
  </si>
  <si>
    <t>ورودی</t>
  </si>
  <si>
    <t>ردیف</t>
  </si>
  <si>
    <t>شماره فرم</t>
  </si>
  <si>
    <t>نوع</t>
  </si>
  <si>
    <t>اصلاحی (منشأ)</t>
  </si>
  <si>
    <t>موضوع عدم تطابق</t>
  </si>
  <si>
    <t>درخواست‌کننده</t>
  </si>
  <si>
    <t>نام فرآیند مرتبط</t>
  </si>
  <si>
    <t>مهلت انجام اقدام</t>
  </si>
  <si>
    <t>نظریه نهایی نماینده مدیریت</t>
  </si>
  <si>
    <t>شماره اقدام مجدد</t>
  </si>
  <si>
    <t>تاریخ ایجاد فرم</t>
  </si>
  <si>
    <t>وضعیت (سیستم)</t>
  </si>
  <si>
    <t>واحد درخواست‌کننده</t>
  </si>
  <si>
    <t>تاریخ تکمیل اقدام</t>
  </si>
  <si>
    <t>مسئول ریشه‌یابی</t>
  </si>
  <si>
    <t>نظریه ریشه‌یابی</t>
  </si>
  <si>
    <t>مسئول اقدام</t>
  </si>
  <si>
    <t>شرح اقدامات</t>
  </si>
  <si>
    <t>وضعیت پایش</t>
  </si>
  <si>
    <t>روزهای تاخیر</t>
  </si>
  <si>
    <t>اقدام اصلاحی</t>
  </si>
  <si>
    <t>سایر</t>
  </si>
  <si>
    <t>نمی‌باشد</t>
  </si>
  <si>
    <t>برنامه‌ریزی</t>
  </si>
  <si>
    <t>تضمین کیفیت</t>
  </si>
  <si>
    <t>فروش</t>
  </si>
  <si>
    <t>تولید</t>
  </si>
  <si>
    <t>کلیم</t>
  </si>
  <si>
    <t>بازرسی آزمون</t>
  </si>
  <si>
    <t>جهت اطلاع</t>
  </si>
  <si>
    <t>نظریه ریشه یاب</t>
  </si>
  <si>
    <t>نظریه مسئول اقدام</t>
  </si>
  <si>
    <t>طراحی و مهندسی</t>
  </si>
  <si>
    <t>اداری</t>
  </si>
  <si>
    <t>نظریه تیم همکار1</t>
  </si>
  <si>
    <t>ثبت فرم</t>
  </si>
  <si>
    <t>نگهداری و تعمیرات</t>
  </si>
  <si>
    <t>ایمنی</t>
  </si>
  <si>
    <t>مهندسی کیفیت</t>
  </si>
  <si>
    <t>نظریه تیم همکار2</t>
  </si>
  <si>
    <t>نظریه مدیر کارخانه</t>
  </si>
  <si>
    <t>نظریه نماینده مدیریت</t>
  </si>
  <si>
    <t>IT</t>
  </si>
  <si>
    <t>می‌باشد</t>
  </si>
  <si>
    <t>نظریه اثربخشی مدیر واحد</t>
  </si>
  <si>
    <t>ثبت اشتباه فرم</t>
  </si>
  <si>
    <t>ممیزی مشتری</t>
  </si>
  <si>
    <t>مدیریت کیفیت</t>
  </si>
  <si>
    <t>پایش فرآیندها و تجزیه و تحلیل</t>
  </si>
  <si>
    <t>مهندسی</t>
  </si>
  <si>
    <t>ایمنی و بهداشت</t>
  </si>
  <si>
    <t>HSE</t>
  </si>
  <si>
    <t>اقدام پیشگیرانه</t>
  </si>
  <si>
    <t>ممیزی داخلی</t>
  </si>
  <si>
    <t>مدیریت منابع</t>
  </si>
  <si>
    <t>انبارش</t>
  </si>
  <si>
    <t>نظریه کارشناس کیفیت</t>
  </si>
  <si>
    <t>مالی اداری</t>
  </si>
  <si>
    <t>ممیزی خارجی</t>
  </si>
  <si>
    <t>مسئولیت مدیریت</t>
  </si>
  <si>
    <t>ممیزی شخص ثالث</t>
  </si>
  <si>
    <t>تایید</t>
  </si>
  <si>
    <t>جدول تقویم شمسی — فقط برای محاسبات داخلی، تغییر ندهید</t>
  </si>
  <si>
    <t>واحد</t>
  </si>
  <si>
    <t>سال شمسی</t>
  </si>
  <si>
    <t>میلادی نوروز</t>
  </si>
  <si>
    <t>سال جاری</t>
  </si>
  <si>
    <t>ماه جاری</t>
  </si>
  <si>
    <t>بازرگانی</t>
  </si>
  <si>
    <t>اخطار کیفی</t>
  </si>
  <si>
    <t>تدارکات</t>
  </si>
  <si>
    <t>مدیریت</t>
  </si>
  <si>
    <t>تامین</t>
  </si>
  <si>
    <t>کنترل محصول نامنطبق</t>
  </si>
  <si>
    <t>کیفیت</t>
  </si>
  <si>
    <t>بازنگری مدیریت</t>
  </si>
  <si>
    <t>پروژه‌ها</t>
  </si>
  <si>
    <t>پیگیری اقدام اصلاحی</t>
  </si>
  <si>
    <t>خرید داخلی</t>
  </si>
  <si>
    <t>نظرات مشتری</t>
  </si>
  <si>
    <t>خرید خارجی</t>
  </si>
  <si>
    <t>شکایت مشتریان</t>
  </si>
  <si>
    <t>پیشنهاد کارکنان</t>
  </si>
  <si>
    <t>مالی</t>
  </si>
  <si>
    <t>فناوری اطلاعات</t>
  </si>
  <si>
    <t>آزمایشگاه</t>
  </si>
  <si>
    <t>آموزش</t>
  </si>
  <si>
    <t>داشبورد مدیریتی اقدامات اصلاحی / پیشگیرانه</t>
  </si>
  <si>
    <t>کل اقدامات ثبت‌شده</t>
  </si>
  <si>
    <t>در حال انجام</t>
  </si>
  <si>
    <t>با تاخیر</t>
  </si>
  <si>
    <t>بسته‌شده</t>
  </si>
  <si>
    <t>درصد انجام به‌موقع *</t>
  </si>
  <si>
    <t>* درصد انجام به‌موقع فقط برای اقداماتی محاسبه می‌شود که «تاریخ تکمیل اقدام» ثبت شده باشد. اقدام «بسته» یعنی ستون «اثر بخشی» پر شده یا تاریخ تکمیل ثبت شده است.</t>
  </si>
  <si>
    <t>نوع اقدام</t>
  </si>
  <si>
    <t>تعداد اقدامات به تفکیک واحد</t>
  </si>
  <si>
    <t>وضعیت</t>
  </si>
  <si>
    <t>تعداد</t>
  </si>
  <si>
    <t>تاخیر</t>
  </si>
  <si>
    <t>بسته</t>
  </si>
  <si>
    <t>اصلاحی (منشأ اقدامات)</t>
  </si>
  <si>
    <t>روند ثبت (۱۲ ماه منتهی به آخرین فرم)</t>
  </si>
  <si>
    <t>منشأ</t>
  </si>
  <si>
    <t>ماه (شمسی)</t>
  </si>
  <si>
    <t>مقدار</t>
  </si>
  <si>
    <t>فرآیند</t>
  </si>
  <si>
    <t>تفکیک تاخیرها بر اساس مدت (روز)</t>
  </si>
  <si>
    <t>بازه تاخیر</t>
  </si>
  <si>
    <t>۱ تا ۳۰ روز</t>
  </si>
  <si>
    <t>۳۱ تا ۶۰ روز</t>
  </si>
  <si>
    <t>۶۱ تا ۹۰ روز</t>
  </si>
  <si>
    <t>بیش از ۹۰ روز</t>
  </si>
  <si>
    <t>۱۰ اقدام با بیشترین تاخیر (نیازمند پیگیری فوری)</t>
  </si>
  <si>
    <t>فرآیند مرتبط</t>
  </si>
  <si>
    <t>مهلت انجام</t>
  </si>
  <si>
    <t>PL\05\1</t>
  </si>
  <si>
    <t>SALE\05\2</t>
  </si>
  <si>
    <t>SALE\05\3</t>
  </si>
  <si>
    <t>SALE\05\4</t>
  </si>
  <si>
    <t>SALE\05\5</t>
  </si>
  <si>
    <t>SALE\05\6</t>
  </si>
  <si>
    <t>SALE\05\7</t>
  </si>
  <si>
    <t>SALE\05\8</t>
  </si>
  <si>
    <t>SALE\05\9</t>
  </si>
  <si>
    <t>SALE\05\10</t>
  </si>
  <si>
    <t>SALE\05\11</t>
  </si>
  <si>
    <t>SALE\05\12</t>
  </si>
  <si>
    <t>SALE\05\13</t>
  </si>
  <si>
    <t>PL\05\14</t>
  </si>
  <si>
    <t>PL\05\15</t>
  </si>
  <si>
    <t>des\05\16</t>
  </si>
  <si>
    <t>des\05\17</t>
  </si>
  <si>
    <t>des\05\18</t>
  </si>
  <si>
    <t>des\05\19</t>
  </si>
  <si>
    <t>des\05\20</t>
  </si>
  <si>
    <t>des\05\21</t>
  </si>
  <si>
    <t>des\05\22</t>
  </si>
  <si>
    <t>des\05\23</t>
  </si>
  <si>
    <t>des\05\24</t>
  </si>
  <si>
    <t>SALE\05\25</t>
  </si>
  <si>
    <t>SALE\05\26</t>
  </si>
  <si>
    <t>SALE\05\27</t>
  </si>
  <si>
    <t>SALE\05\28</t>
  </si>
  <si>
    <t>des\05\29</t>
  </si>
  <si>
    <t>des\05\30</t>
  </si>
  <si>
    <t>des\05\31</t>
  </si>
  <si>
    <t>des\05\32</t>
  </si>
  <si>
    <t>des\05\33</t>
  </si>
  <si>
    <t>des\05\34</t>
  </si>
  <si>
    <t>des\05\35</t>
  </si>
  <si>
    <t>des\05\36</t>
  </si>
  <si>
    <t>SALE\05\37</t>
  </si>
  <si>
    <t>SALE\05\38</t>
  </si>
  <si>
    <t>SALE\05\39</t>
  </si>
  <si>
    <t>SALE\05\40</t>
  </si>
  <si>
    <t>SALE\05\41</t>
  </si>
  <si>
    <t>SALE\05\42</t>
  </si>
  <si>
    <t>SALE\05\43</t>
  </si>
  <si>
    <t>SALE\05\44</t>
  </si>
  <si>
    <t>QE\05\45</t>
  </si>
  <si>
    <t>SALE\05\46</t>
  </si>
  <si>
    <t>SALE\05\47</t>
  </si>
  <si>
    <t>SALE\05\48</t>
  </si>
  <si>
    <t>SALE\05\49</t>
  </si>
  <si>
    <t>SALE\05\50</t>
  </si>
  <si>
    <t>SALE\05\51</t>
  </si>
  <si>
    <t>SALE\05\52</t>
  </si>
  <si>
    <t>SALE\05\53</t>
  </si>
  <si>
    <t>SALE\05\54</t>
  </si>
  <si>
    <t>PR\05\55</t>
  </si>
  <si>
    <t>PR\05\56</t>
  </si>
  <si>
    <t>PR\05\57</t>
  </si>
  <si>
    <t>SALE\05\58</t>
  </si>
  <si>
    <t>des\05\59</t>
  </si>
  <si>
    <t>des\05\60</t>
  </si>
  <si>
    <t>des\05\61</t>
  </si>
  <si>
    <t>des\05\62</t>
  </si>
  <si>
    <t>SALE\05\63</t>
  </si>
  <si>
    <t>SALE\05\64</t>
  </si>
  <si>
    <t>SALE\05\65</t>
  </si>
  <si>
    <t>PL\05\66</t>
  </si>
  <si>
    <t>PL\05\67</t>
  </si>
  <si>
    <t>PL\05\68</t>
  </si>
  <si>
    <t>PL\05\69</t>
  </si>
  <si>
    <t>PL\05\70</t>
  </si>
  <si>
    <t>PL\05\71</t>
  </si>
  <si>
    <t>PL\05\72</t>
  </si>
  <si>
    <t>PL\05\73</t>
  </si>
  <si>
    <t>PL\05\74</t>
  </si>
  <si>
    <t>SALE\05\75</t>
  </si>
  <si>
    <t>SALE\05\76</t>
  </si>
  <si>
    <t>SALE\05\77</t>
  </si>
  <si>
    <t>SALE\05\78</t>
  </si>
  <si>
    <t>SALE\05\79</t>
  </si>
  <si>
    <t>SALE\05\80</t>
  </si>
  <si>
    <t>SALE\05\81</t>
  </si>
  <si>
    <t>SALE\05\82</t>
  </si>
  <si>
    <t>SALE\05\83</t>
  </si>
  <si>
    <t>SALE\05\84</t>
  </si>
  <si>
    <t>SALE\05\85</t>
  </si>
  <si>
    <t>SALE\05\86</t>
  </si>
  <si>
    <t>SALE\05\87</t>
  </si>
  <si>
    <t>SALE\05\88</t>
  </si>
  <si>
    <t>SALE\05\89</t>
  </si>
  <si>
    <t>SALE\05\90</t>
  </si>
  <si>
    <t>SALE\05\91</t>
  </si>
  <si>
    <t>SALE\05\92</t>
  </si>
  <si>
    <t>SALE\05\93</t>
  </si>
  <si>
    <t>SALE\05\94</t>
  </si>
  <si>
    <t>SALE\05\95</t>
  </si>
  <si>
    <t>SALE\05\96</t>
  </si>
  <si>
    <t>SALE\05\97</t>
  </si>
  <si>
    <t>SALE\05\98</t>
  </si>
  <si>
    <t>SALE\05\99</t>
  </si>
  <si>
    <t>SALE\05\100</t>
  </si>
  <si>
    <t>SALE\05\101</t>
  </si>
  <si>
    <t>SALE\05\102</t>
  </si>
  <si>
    <t>SALE\05\103</t>
  </si>
  <si>
    <t>SALE\05\104</t>
  </si>
  <si>
    <t>SALE\05\105</t>
  </si>
  <si>
    <t>PR\05\106</t>
  </si>
  <si>
    <t>PR\05\107</t>
  </si>
  <si>
    <t>PL\05\108</t>
  </si>
  <si>
    <t>PL\05\109</t>
  </si>
  <si>
    <t>SALE\05\110</t>
  </si>
  <si>
    <t>SALE\05\111</t>
  </si>
  <si>
    <t>SALE\05\112</t>
  </si>
  <si>
    <t>SALE\05\113</t>
  </si>
  <si>
    <t>SALE\05\114</t>
  </si>
  <si>
    <t>SALE\05\115</t>
  </si>
  <si>
    <t>SALE\05\116</t>
  </si>
  <si>
    <t>SALE\05\117</t>
  </si>
  <si>
    <t>SALE\05\118</t>
  </si>
  <si>
    <t>SALE\05\119</t>
  </si>
  <si>
    <t>SALE\05\120</t>
  </si>
  <si>
    <t>SALE\05\121</t>
  </si>
  <si>
    <t>SALE\05\122</t>
  </si>
  <si>
    <t>SALE\05\123</t>
  </si>
  <si>
    <t>SALE\05\124</t>
  </si>
  <si>
    <t>SALE\05\125</t>
  </si>
  <si>
    <t>SALE\05\126</t>
  </si>
  <si>
    <t>SALE\05\127</t>
  </si>
  <si>
    <t>SALE\05\128</t>
  </si>
  <si>
    <t>SALE\05\129</t>
  </si>
  <si>
    <t>SALE\05\130</t>
  </si>
  <si>
    <t>SALE\05\131</t>
  </si>
  <si>
    <t>SALE\05\132</t>
  </si>
  <si>
    <t>ADF\05\133</t>
  </si>
  <si>
    <t>ADF\05\134</t>
  </si>
  <si>
    <t>ADF\05\135</t>
  </si>
  <si>
    <t>ADF\05\136</t>
  </si>
  <si>
    <t>ADF\05\137</t>
  </si>
  <si>
    <t>ADF\05\138</t>
  </si>
  <si>
    <t>ADF\05\139</t>
  </si>
  <si>
    <t>ADF\05\140</t>
  </si>
  <si>
    <t>SALE\05\141</t>
  </si>
  <si>
    <t>SALE\05\142</t>
  </si>
  <si>
    <t>SALE\05\143</t>
  </si>
  <si>
    <t>PL\05\144</t>
  </si>
  <si>
    <t>PL\05\145</t>
  </si>
  <si>
    <t>PL\05\146</t>
  </si>
  <si>
    <t>PL\05\147</t>
  </si>
  <si>
    <t>PL\05\148</t>
  </si>
  <si>
    <t>QA\05\149</t>
  </si>
  <si>
    <t>QA\05\150</t>
  </si>
  <si>
    <t>QA\05\151</t>
  </si>
  <si>
    <t>QA\05\152</t>
  </si>
  <si>
    <t>QA\05\153</t>
  </si>
  <si>
    <t>QA\05\154</t>
  </si>
  <si>
    <t>QA\05\155</t>
  </si>
  <si>
    <t>QA\05\156</t>
  </si>
  <si>
    <t>QA\05\157</t>
  </si>
  <si>
    <t>QA\05\158</t>
  </si>
  <si>
    <t>QA\05\159</t>
  </si>
  <si>
    <t>QA\05\160</t>
  </si>
  <si>
    <t>QA\05\161</t>
  </si>
  <si>
    <t>QA\05\162</t>
  </si>
  <si>
    <t>QA\05\163</t>
  </si>
  <si>
    <t>QA\05\164</t>
  </si>
  <si>
    <t>QA\05\165</t>
  </si>
  <si>
    <t>QA\05\166</t>
  </si>
  <si>
    <t>QA\05\167</t>
  </si>
  <si>
    <t>QA\05\168</t>
  </si>
  <si>
    <t>QA\05\169</t>
  </si>
  <si>
    <t>QA\05\170</t>
  </si>
  <si>
    <t>QA\05\171</t>
  </si>
  <si>
    <t>QA\05\172</t>
  </si>
  <si>
    <t>QA\05\173</t>
  </si>
  <si>
    <t>QA\05\174</t>
  </si>
  <si>
    <t>QA\05\175</t>
  </si>
  <si>
    <t>SALE\05\176</t>
  </si>
  <si>
    <t>SALE\05\177</t>
  </si>
  <si>
    <t>SALE\05\178</t>
  </si>
  <si>
    <t>SALE\05\179</t>
  </si>
  <si>
    <t>QA\05\180</t>
  </si>
  <si>
    <t>QA\05\181</t>
  </si>
  <si>
    <t>QA\05\182</t>
  </si>
  <si>
    <t>SALE\05\183</t>
  </si>
  <si>
    <t>ADF\05\184</t>
  </si>
  <si>
    <t>ADF\05\185</t>
  </si>
  <si>
    <t>ADF\05\186</t>
  </si>
  <si>
    <t>ADF\05\187</t>
  </si>
  <si>
    <t>ADF\05\188</t>
  </si>
  <si>
    <t>ADF\05\189</t>
  </si>
  <si>
    <t>ADF\05\190</t>
  </si>
  <si>
    <t>ADF\05\191</t>
  </si>
  <si>
    <t>ADF\05\192</t>
  </si>
  <si>
    <t>ADF\05\193</t>
  </si>
  <si>
    <t>ADF\05\194</t>
  </si>
  <si>
    <t>ADF\05\195</t>
  </si>
  <si>
    <t>ADF\05\196</t>
  </si>
  <si>
    <t>SALE\05\197</t>
  </si>
  <si>
    <t>SALE\05\198</t>
  </si>
  <si>
    <t>ADF\05\199</t>
  </si>
  <si>
    <t>SALE\05\200</t>
  </si>
  <si>
    <t>ADF\05\201</t>
  </si>
  <si>
    <t>SALE\05\202</t>
  </si>
  <si>
    <t>ADF\05\203</t>
  </si>
  <si>
    <t>SALE\05\204</t>
  </si>
  <si>
    <t>SALE\05\205</t>
  </si>
  <si>
    <t>SALE\05\206</t>
  </si>
  <si>
    <t>SALE\05\207</t>
  </si>
  <si>
    <t>SALE\05\209</t>
  </si>
  <si>
    <t>ADF\05\210</t>
  </si>
  <si>
    <t>SALE\05\211</t>
  </si>
  <si>
    <t>PL\05\212</t>
  </si>
  <si>
    <t>PL\05\213</t>
  </si>
  <si>
    <t>PL\05\214</t>
  </si>
  <si>
    <t>PL\05\215</t>
  </si>
  <si>
    <t>SALE\05\216</t>
  </si>
  <si>
    <t>des\05\217</t>
  </si>
  <si>
    <t>ADF\05\218</t>
  </si>
  <si>
    <t>ADF\05\219</t>
  </si>
  <si>
    <t>SALE\05\220</t>
  </si>
  <si>
    <t>SALE\05\221</t>
  </si>
  <si>
    <t>SALE\05\222</t>
  </si>
  <si>
    <t>SALE\05\223</t>
  </si>
  <si>
    <t>SALE\05\224</t>
  </si>
  <si>
    <t>SALE\05\225</t>
  </si>
  <si>
    <t>SALE\05\226</t>
  </si>
  <si>
    <t>des\05\227</t>
  </si>
  <si>
    <t>SALE\05\228</t>
  </si>
  <si>
    <t>SALE\05\229</t>
  </si>
  <si>
    <t>SALE\05\230</t>
  </si>
  <si>
    <t>SALE\05\231</t>
  </si>
  <si>
    <t>SALE\05\232</t>
  </si>
  <si>
    <t>SALE\05\233</t>
  </si>
  <si>
    <t>SALE\05\234</t>
  </si>
  <si>
    <t>SALE\05\235</t>
  </si>
  <si>
    <t>SALE\05\236</t>
  </si>
  <si>
    <t>SALE\05\237</t>
  </si>
  <si>
    <t>SALE\05\238</t>
  </si>
  <si>
    <t>SALE\05\239</t>
  </si>
  <si>
    <t>SALE\05\240</t>
  </si>
  <si>
    <t>SALE\05\241</t>
  </si>
  <si>
    <t>SALE\05\242</t>
  </si>
  <si>
    <t>SALE\05\243</t>
  </si>
  <si>
    <t>SALE\05\244</t>
  </si>
  <si>
    <t>SALE\05\245</t>
  </si>
  <si>
    <t>SALE\05\246</t>
  </si>
  <si>
    <t>SALE\05\247</t>
  </si>
  <si>
    <t>PM\05\248</t>
  </si>
  <si>
    <t>SALE\05\249</t>
  </si>
  <si>
    <t>SALE\05\250</t>
  </si>
  <si>
    <t>SALE\05\251</t>
  </si>
  <si>
    <t>SALE\05\252</t>
  </si>
  <si>
    <t>SALE\05\253</t>
  </si>
  <si>
    <t>PR\05\254</t>
  </si>
  <si>
    <t>PR\05\255</t>
  </si>
  <si>
    <t>ADF\05\208</t>
  </si>
  <si>
    <t>پ</t>
  </si>
  <si>
    <t>انحراف از مصرف مواد smc به میزان2.22درصد نسبت به حداکثر تعیین شده در bom قطعات در اسفند ماه سال 1404</t>
  </si>
  <si>
    <t>حمید بیات:کارشناس برنامه ریزی تولید نور ایستا پلاستیک</t>
  </si>
  <si>
    <t>1405/02/31</t>
  </si>
  <si>
    <t>مورد تایید است</t>
  </si>
  <si>
    <t>1405/03/20</t>
  </si>
  <si>
    <t>میانگین مصرف های ارائه شده استاندارد،  صحیح نمی باشد و نیاز به بازنگری دارد</t>
  </si>
  <si>
    <t>سید محمد رضا اجاقی دو گاهه:رئیس امور تولید نور ایستا پلاستیک</t>
  </si>
  <si>
    <t>با اصلاح صحیح وزن های ارائه شده مهندسی مشکل رفع می گردد</t>
  </si>
  <si>
    <t>1405/01/19</t>
  </si>
  <si>
    <t>کلیم 1 قطعه سینی فن سمند در سایت کرمانشاه به علت ترک خوردگی
شماره فرم شکایت مشتری 1</t>
  </si>
  <si>
    <t>میلاد زارع:کارشناس فروش شرکت نور ایستا پلاستیک</t>
  </si>
  <si>
    <t>1405/01/22</t>
  </si>
  <si>
    <t>1405/03/21</t>
  </si>
  <si>
    <t>به علت مشکل طرح بسته بندی می باشد</t>
  </si>
  <si>
    <t>با تغییر طرح بسته بندی مشکل رفع می گردد</t>
  </si>
  <si>
    <t>کلیم 1 قطعه سینی فن سمند در سایت تبریز به علت کسری بوش
شماره فرم شکایت مشتری 2</t>
  </si>
  <si>
    <t>1405/01/23</t>
  </si>
  <si>
    <t>به علت عدم خطاناپذیری وجود بوش می باشد</t>
  </si>
  <si>
    <t>با خطا ناپذیر کردن کنترل بوش مشکل رفع می گردد</t>
  </si>
  <si>
    <t>کلیم 6 قطعه سینی فن سمند در سایت تهران به علت شکستگی، ترک خوردگی و ایراد قطعه 
شماره فرم شکایت مشتری 3</t>
  </si>
  <si>
    <t>1405/02/20</t>
  </si>
  <si>
    <t>1405/01/24</t>
  </si>
  <si>
    <t>1405/02/21</t>
  </si>
  <si>
    <t>به علت استحکام پایین مواد اولیه می باشد</t>
  </si>
  <si>
    <t>با کنترل سخت گیرانه در ورودی مشکل رفع می گردد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</si>
</sst>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yyyy\-mm\-dd"/>
    <numFmt numFmtId="166" formatCode="0.0%"/>
  </numFmts>
  <fonts count="2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b/>
      <sz val="11"/>
      <color rgb="FF1F4E78"/>
      <name val="Arial"/>
      <family val="2"/>
    </font>
    <font>
      <sz val="10.5"/>
      <color rgb="FF333333"/>
      <name val="Arial"/>
      <family val="2"/>
    </font>
    <font>
      <b/>
      <sz val="14"/>
      <color rgb="FFFFFFFF"/>
      <name val="Arial"/>
      <family val="2"/>
    </font>
    <font>
      <i/>
      <sz val="8"/>
      <color rgb="FF808080"/>
      <name val="Arial"/>
      <family val="2"/>
    </font>
    <font>
      <b/>
      <sz val="10"/>
      <color rgb="FFFFFFFF"/>
      <name val="Arial"/>
      <family val="2"/>
    </font>
    <font>
      <i/>
      <sz val="10"/>
      <color rgb="FF555555"/>
      <name val="Arial"/>
      <family val="2"/>
    </font>
    <font>
      <sz val="10"/>
      <color rgb="FF1A1A1A"/>
      <name val="Arial"/>
      <family val="2"/>
    </font>
    <font>
      <sz val="11"/>
      <color theme="1"/>
      <name val="FreeSans"/>
      <family val="2"/>
      <charset val="1"/>
    </font>
    <font>
      <b/>
      <sz val="10.5"/>
      <color rgb="FFFFFFFF"/>
      <name val="Arial"/>
      <family val="2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9.5"/>
      <color rgb="FFFFFFFF"/>
      <name val="Arial"/>
      <family val="2"/>
    </font>
    <font>
      <b/>
      <sz val="20"/>
      <color rgb="FF2E75B6"/>
      <name val="Arial"/>
      <family val="2"/>
    </font>
    <font>
      <b/>
      <sz val="20"/>
      <color rgb="FFE2A400"/>
      <name val="Arial"/>
      <family val="2"/>
    </font>
    <font>
      <b/>
      <sz val="20"/>
      <color rgb="FFC0392B"/>
      <name val="Arial"/>
      <family val="2"/>
    </font>
    <font>
      <b/>
      <sz val="20"/>
      <color rgb="FF1E8449"/>
      <name val="Arial"/>
      <family val="2"/>
    </font>
    <font>
      <b/>
      <sz val="20"/>
      <color rgb="FF6C3483"/>
      <name val="Arial"/>
      <family val="2"/>
    </font>
    <font>
      <b/>
      <sz val="11"/>
      <color rgb="FF9C0006"/>
      <name val="Arial"/>
      <family val="2"/>
    </font>
    <font>
      <sz val="8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555555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EAF1FA"/>
      </patternFill>
    </fill>
    <fill>
      <patternFill patternType="solid">
        <fgColor rgb="FFFFFFFF"/>
        <bgColor rgb="FFFFF6E0"/>
      </patternFill>
    </fill>
    <fill>
      <patternFill patternType="solid">
        <fgColor rgb="FFE2A400"/>
        <bgColor rgb="FFFFCC00"/>
      </patternFill>
    </fill>
    <fill>
      <patternFill patternType="solid">
        <fgColor rgb="FFC0392B"/>
        <bgColor rgb="FFC0504D"/>
      </patternFill>
    </fill>
    <fill>
      <patternFill patternType="solid">
        <fgColor rgb="FF1E8449"/>
        <bgColor rgb="FF008080"/>
      </patternFill>
    </fill>
    <fill>
      <patternFill patternType="solid">
        <fgColor rgb="FF6C3483"/>
        <bgColor rgb="FF555555"/>
      </patternFill>
    </fill>
    <fill>
      <patternFill patternType="solid">
        <fgColor rgb="FFEAF1FA"/>
        <bgColor rgb="FFF2F2F2"/>
      </patternFill>
    </fill>
    <fill>
      <patternFill patternType="solid">
        <fgColor rgb="FFFFF6E0"/>
        <bgColor rgb="FFF2F2F2"/>
      </patternFill>
    </fill>
    <fill>
      <patternFill patternType="solid">
        <fgColor rgb="FF9C0006"/>
        <bgColor rgb="FF800000"/>
      </patternFill>
    </fill>
  </fills>
  <borders count="3">
    <border>
      <left/>
      <right/>
      <top/>
      <bottom/>
      <diagonal/>
    </border>
    <border>
      <left style="thin">
        <color rgb="FFB7C6DA"/>
      </left>
      <right style="thin">
        <color rgb="FFB7C6DA"/>
      </right>
      <top style="thin">
        <color rgb="FFB7C6DA"/>
      </top>
      <bottom style="thin">
        <color rgb="FFB7C6DA"/>
      </bottom>
      <diagonal/>
    </border>
    <border>
      <left style="medium">
        <color rgb="FF1F4E78"/>
      </left>
      <right/>
      <top style="medium">
        <color rgb="FF1F4E78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right"/>
    </xf>
    <xf numFmtId="165" fontId="0" fillId="0" borderId="0" xfId="0" applyNumberFormat="1"/>
    <xf numFmtId="0" fontId="2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0" xfId="0" applyFont="1" applyAlignment="1">
      <alignment horizontal="right"/>
    </xf>
    <xf numFmtId="0" fontId="6" fillId="1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 wrapText="1"/>
    </xf>
    <xf numFmtId="0" fontId="8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2" fillId="11" borderId="2" xfId="0" applyFont="1" applyFill="1" applyBorder="1" applyAlignment="1">
      <alignment horizontal="right" vertical="center" wrapText="1"/>
    </xf>
    <xf numFmtId="0" fontId="14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166" fontId="18" fillId="1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C6DA"/>
      <rgbColor rgb="FF808080"/>
      <rgbColor rgb="FFA6A6A6"/>
      <rgbColor rgb="FF6C3483"/>
      <rgbColor rgb="FFFFF6E0"/>
      <rgbColor rgb="FFEAF1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E2A400"/>
      <rgbColor rgb="FFFF6600"/>
      <rgbColor rgb="FF4F81BD"/>
      <rgbColor rgb="FF878787"/>
      <rgbColor rgb="FF555555"/>
      <rgbColor rgb="FF1E8449"/>
      <rgbColor rgb="FF003300"/>
      <rgbColor rgb="FF1A1A1A"/>
      <rgbColor rgb="FFC0392B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وضعیت پایش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داشبورد!$C$13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638-4961-8D69-F3A571E003E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638-4961-8D69-F3A571E003E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638-4961-8D69-F3A571E003E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a-I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38-4961-8D69-F3A571E003E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a-I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38-4961-8D69-F3A571E003E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a-I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38-4961-8D69-F3A571E003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a-I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داشبورد!$B$14:$B$16</c:f>
              <c:strCache>
                <c:ptCount val="3"/>
                <c:pt idx="0">
                  <c:v>در حال انجام</c:v>
                </c:pt>
                <c:pt idx="1">
                  <c:v>تاخیر</c:v>
                </c:pt>
                <c:pt idx="2">
                  <c:v>بسته</c:v>
                </c:pt>
              </c:strCache>
            </c:strRef>
          </c:cat>
          <c:val>
            <c:numRef>
              <c:f>داشبورد!$C$14:$C$16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38-4961-8D69-F3A571E00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نوع اقدام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داشبورد!$F$13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817-48B9-A325-B8781CB9743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817-48B9-A325-B8781CB9743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a-I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17-48B9-A325-B8781CB9743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a-I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17-48B9-A325-B8781CB974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a-I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داشبورد!$E$14:$E$15</c:f>
              <c:strCache>
                <c:ptCount val="2"/>
                <c:pt idx="0">
                  <c:v>اقدام اصلاحی</c:v>
                </c:pt>
                <c:pt idx="1">
                  <c:v>اقدام پیشگیرانه</c:v>
                </c:pt>
              </c:strCache>
            </c:strRef>
          </c:cat>
          <c:val>
            <c:numRef>
              <c:f>داشبورد!$F$14:$F$15</c:f>
              <c:numCache>
                <c:formatCode>General</c:formatCode>
                <c:ptCount val="2"/>
                <c:pt idx="0">
                  <c:v>241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17-48B9-A325-B8781CB97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اقدامات به تفکیک واحد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داشبورد!$I$13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داشبورد!$H$14:$H$31</c:f>
              <c:strCache>
                <c:ptCount val="18"/>
                <c:pt idx="0">
                  <c:v>بازرگانی</c:v>
                </c:pt>
                <c:pt idx="1">
                  <c:v>تدارکات</c:v>
                </c:pt>
                <c:pt idx="2">
                  <c:v>طراحی و مهندسی</c:v>
                </c:pt>
                <c:pt idx="3">
                  <c:v>تولید</c:v>
                </c:pt>
                <c:pt idx="4">
                  <c:v>برنامه‌ریزی</c:v>
                </c:pt>
                <c:pt idx="5">
                  <c:v>مدیریت</c:v>
                </c:pt>
                <c:pt idx="6">
                  <c:v>کیفیت</c:v>
                </c:pt>
                <c:pt idx="7">
                  <c:v>تضمین کیفیت</c:v>
                </c:pt>
                <c:pt idx="8">
                  <c:v>مهندسی کیفیت</c:v>
                </c:pt>
                <c:pt idx="9">
                  <c:v>پروژه‌ها</c:v>
                </c:pt>
                <c:pt idx="10">
                  <c:v>IT</c:v>
                </c:pt>
                <c:pt idx="11">
                  <c:v>نگهداری و تعمیرات</c:v>
                </c:pt>
                <c:pt idx="12">
                  <c:v>اداری</c:v>
                </c:pt>
                <c:pt idx="13">
                  <c:v>فروش</c:v>
                </c:pt>
                <c:pt idx="14">
                  <c:v>مالی</c:v>
                </c:pt>
                <c:pt idx="15">
                  <c:v>ایمنی</c:v>
                </c:pt>
                <c:pt idx="16">
                  <c:v>آزمایشگاه</c:v>
                </c:pt>
                <c:pt idx="17">
                  <c:v>آموزش</c:v>
                </c:pt>
              </c:strCache>
            </c:strRef>
          </c:cat>
          <c:val>
            <c:numRef>
              <c:f>داشبورد!$I$14:$I$31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9-4AB1-833C-963A4CC58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26776"/>
        <c:axId val="71482377"/>
      </c:barChart>
      <c:catAx>
        <c:axId val="585267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71482377"/>
        <c:crosses val="autoZero"/>
        <c:auto val="1"/>
        <c:lblAlgn val="ctr"/>
        <c:lblOffset val="100"/>
        <c:noMultiLvlLbl val="0"/>
      </c:catAx>
      <c:valAx>
        <c:axId val="714823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585267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اصلاحی (منشأ اقدامات)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داشبورد!$C$35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داشبورد!$B$36:$B$50</c:f>
              <c:strCache>
                <c:ptCount val="15"/>
                <c:pt idx="0">
                  <c:v>کلیم</c:v>
                </c:pt>
                <c:pt idx="1">
                  <c:v>اخطار کیفی</c:v>
                </c:pt>
                <c:pt idx="2">
                  <c:v>ممیزی داخلی</c:v>
                </c:pt>
                <c:pt idx="3">
                  <c:v>ممیزی خارجی</c:v>
                </c:pt>
                <c:pt idx="4">
                  <c:v>ممیزی شخص ثالث</c:v>
                </c:pt>
                <c:pt idx="5">
                  <c:v>ممیزی مشتری</c:v>
                </c:pt>
                <c:pt idx="6">
                  <c:v>کنترل محصول نامنطبق</c:v>
                </c:pt>
                <c:pt idx="7">
                  <c:v>پایش فرآیندها و تجزیه و تحلیل</c:v>
                </c:pt>
                <c:pt idx="8">
                  <c:v>ایمنی و بهداشت</c:v>
                </c:pt>
                <c:pt idx="9">
                  <c:v>بازنگری مدیریت</c:v>
                </c:pt>
                <c:pt idx="10">
                  <c:v>پیگیری اقدام اصلاحی</c:v>
                </c:pt>
                <c:pt idx="11">
                  <c:v>نظرات مشتری</c:v>
                </c:pt>
                <c:pt idx="12">
                  <c:v>شکایت مشتریان</c:v>
                </c:pt>
                <c:pt idx="13">
                  <c:v>پیشنهاد کارکنان</c:v>
                </c:pt>
                <c:pt idx="14">
                  <c:v>سایر</c:v>
                </c:pt>
              </c:strCache>
            </c:strRef>
          </c:cat>
          <c:val>
            <c:numRef>
              <c:f>داشبورد!$C$36:$C$50</c:f>
              <c:numCache>
                <c:formatCode>General</c:formatCode>
                <c:ptCount val="15"/>
                <c:pt idx="0">
                  <c:v>143</c:v>
                </c:pt>
                <c:pt idx="1">
                  <c:v>0</c:v>
                </c:pt>
                <c:pt idx="2">
                  <c:v>29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7-465A-8159-E6EACA325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52276"/>
        <c:axId val="97416760"/>
      </c:barChart>
      <c:catAx>
        <c:axId val="778522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97416760"/>
        <c:crosses val="autoZero"/>
        <c:auto val="1"/>
        <c:lblAlgn val="ctr"/>
        <c:lblOffset val="100"/>
        <c:noMultiLvlLbl val="0"/>
      </c:catAx>
      <c:valAx>
        <c:axId val="974167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778522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نام فرآیند مرتبط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داشبورد!$C$54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داشبورد!$B$55:$B$70</c:f>
              <c:strCache>
                <c:ptCount val="16"/>
                <c:pt idx="0">
                  <c:v>بازرسی آزمون</c:v>
                </c:pt>
                <c:pt idx="1">
                  <c:v>HSE</c:v>
                </c:pt>
                <c:pt idx="2">
                  <c:v>تولید</c:v>
                </c:pt>
                <c:pt idx="3">
                  <c:v>مهندسی</c:v>
                </c:pt>
                <c:pt idx="4">
                  <c:v>انبارش</c:v>
                </c:pt>
                <c:pt idx="5">
                  <c:v>تامین</c:v>
                </c:pt>
                <c:pt idx="6">
                  <c:v>برنامه‌ریزی</c:v>
                </c:pt>
                <c:pt idx="7">
                  <c:v>نگهداری و تعمیرات</c:v>
                </c:pt>
                <c:pt idx="8">
                  <c:v>مدیریت کیفیت</c:v>
                </c:pt>
                <c:pt idx="9">
                  <c:v>مدیریت منابع</c:v>
                </c:pt>
                <c:pt idx="10">
                  <c:v>خرید داخلی</c:v>
                </c:pt>
                <c:pt idx="11">
                  <c:v>خرید خارجی</c:v>
                </c:pt>
                <c:pt idx="12">
                  <c:v>فروش</c:v>
                </c:pt>
                <c:pt idx="13">
                  <c:v>مسئولیت مدیریت</c:v>
                </c:pt>
                <c:pt idx="14">
                  <c:v>مالی اداری</c:v>
                </c:pt>
                <c:pt idx="15">
                  <c:v>فناوری اطلاعات</c:v>
                </c:pt>
              </c:strCache>
            </c:strRef>
          </c:cat>
          <c:val>
            <c:numRef>
              <c:f>داشبورد!$C$55:$C$70</c:f>
              <c:numCache>
                <c:formatCode>General</c:formatCode>
                <c:ptCount val="1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C-445D-9A78-4D3E116B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58080"/>
        <c:axId val="47546757"/>
      </c:barChart>
      <c:catAx>
        <c:axId val="8525808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47546757"/>
        <c:crosses val="autoZero"/>
        <c:auto val="1"/>
        <c:lblAlgn val="ctr"/>
        <c:lblOffset val="100"/>
        <c:noMultiLvlLbl val="0"/>
      </c:catAx>
      <c:valAx>
        <c:axId val="475467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85258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ثبت (۱۲ ماه)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داشبورد!$F$35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داشبورد!$E$36:$E$47</c:f>
              <c:strCache>
                <c:ptCount val="12"/>
                <c:pt idx="0">
                  <c:v>1404-02</c:v>
                </c:pt>
                <c:pt idx="1">
                  <c:v>1404-03</c:v>
                </c:pt>
                <c:pt idx="2">
                  <c:v>1404-04</c:v>
                </c:pt>
                <c:pt idx="3">
                  <c:v>1404-05</c:v>
                </c:pt>
                <c:pt idx="4">
                  <c:v>1404-06</c:v>
                </c:pt>
                <c:pt idx="5">
                  <c:v>1404-07</c:v>
                </c:pt>
                <c:pt idx="6">
                  <c:v>1404-08</c:v>
                </c:pt>
                <c:pt idx="7">
                  <c:v>1404-09</c:v>
                </c:pt>
                <c:pt idx="8">
                  <c:v>1404-10</c:v>
                </c:pt>
                <c:pt idx="9">
                  <c:v>1404-11</c:v>
                </c:pt>
                <c:pt idx="10">
                  <c:v>1404-12</c:v>
                </c:pt>
                <c:pt idx="11">
                  <c:v>1405-01</c:v>
                </c:pt>
              </c:strCache>
            </c:strRef>
          </c:cat>
          <c:val>
            <c:numRef>
              <c:f>داشبورد!$F$36:$F$47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C-43A0-AA0A-6C55046AC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34301"/>
        <c:axId val="79908351"/>
      </c:barChart>
      <c:catAx>
        <c:axId val="657343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79908351"/>
        <c:crosses val="autoZero"/>
        <c:auto val="1"/>
        <c:lblAlgn val="ctr"/>
        <c:lblOffset val="100"/>
        <c:noMultiLvlLbl val="0"/>
      </c:catAx>
      <c:valAx>
        <c:axId val="79908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657343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تفکیک تاخیرها بر اساس مدت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داشبورد!$C$74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داشبورد!$B$75:$B$78</c:f>
              <c:strCache>
                <c:ptCount val="4"/>
                <c:pt idx="0">
                  <c:v>۱ تا ۳۰ روز</c:v>
                </c:pt>
                <c:pt idx="1">
                  <c:v>۳۱ تا ۶۰ روز</c:v>
                </c:pt>
                <c:pt idx="2">
                  <c:v>۶۱ تا ۹۰ روز</c:v>
                </c:pt>
                <c:pt idx="3">
                  <c:v>بیش از ۹۰ روز</c:v>
                </c:pt>
              </c:strCache>
            </c:strRef>
          </c:cat>
          <c:val>
            <c:numRef>
              <c:f>داشبورد!$C$75:$C$78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6-4C27-9F9A-B2D780ADC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03673"/>
        <c:axId val="53232042"/>
      </c:barChart>
      <c:catAx>
        <c:axId val="83036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53232042"/>
        <c:crosses val="autoZero"/>
        <c:auto val="1"/>
        <c:lblAlgn val="ctr"/>
        <c:lblOffset val="100"/>
        <c:noMultiLvlLbl val="0"/>
      </c:catAx>
      <c:valAx>
        <c:axId val="53232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8303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55830</xdr:colOff>
      <xdr:row>1</xdr:row>
      <xdr:rowOff>161926</xdr:rowOff>
    </xdr:from>
    <xdr:to>
      <xdr:col>19</xdr:col>
      <xdr:colOff>561975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45945</xdr:colOff>
      <xdr:row>1</xdr:row>
      <xdr:rowOff>152400</xdr:rowOff>
    </xdr:from>
    <xdr:to>
      <xdr:col>26</xdr:col>
      <xdr:colOff>336465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104775</xdr:colOff>
      <xdr:row>18</xdr:row>
      <xdr:rowOff>28575</xdr:rowOff>
    </xdr:from>
    <xdr:to>
      <xdr:col>26</xdr:col>
      <xdr:colOff>361950</xdr:colOff>
      <xdr:row>39</xdr:row>
      <xdr:rowOff>139875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190500</xdr:colOff>
      <xdr:row>41</xdr:row>
      <xdr:rowOff>57150</xdr:rowOff>
    </xdr:from>
    <xdr:to>
      <xdr:col>26</xdr:col>
      <xdr:colOff>457200</xdr:colOff>
      <xdr:row>62</xdr:row>
      <xdr:rowOff>16050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285749</xdr:colOff>
      <xdr:row>63</xdr:row>
      <xdr:rowOff>19050</xdr:rowOff>
    </xdr:from>
    <xdr:to>
      <xdr:col>26</xdr:col>
      <xdr:colOff>409574</xdr:colOff>
      <xdr:row>83</xdr:row>
      <xdr:rowOff>168450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-611280</xdr:colOff>
      <xdr:row>98</xdr:row>
      <xdr:rowOff>0</xdr:rowOff>
    </xdr:from>
    <xdr:to>
      <xdr:col>20</xdr:col>
      <xdr:colOff>-246960</xdr:colOff>
      <xdr:row>115</xdr:row>
      <xdr:rowOff>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-611280</xdr:colOff>
      <xdr:row>98</xdr:row>
      <xdr:rowOff>0</xdr:rowOff>
    </xdr:from>
    <xdr:to>
      <xdr:col>23</xdr:col>
      <xdr:colOff>-572400</xdr:colOff>
      <xdr:row>115</xdr:row>
      <xdr:rowOff>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B2:B20"/>
  <sheetViews>
    <sheetView showGridLines="0" rightToLeft="1" zoomScaleNormal="100" workbookViewId="0"/>
  </sheetViews>
  <sheetFormatPr defaultColWidth="8.7109375" defaultRowHeight="15"/>
  <cols>
    <col min="1" max="1" width="2" customWidth="1"/>
    <col min="2" max="2" width="100" customWidth="1"/>
  </cols>
  <sheetData>
    <row r="2" spans="2:2" ht="20.25">
      <c r="B2" s="1" t="s">
        <v>0</v>
      </c>
    </row>
    <row r="4" spans="2:2">
      <c r="B4" s="2" t="s">
        <v>1</v>
      </c>
    </row>
    <row r="5" spans="2:2" ht="48" customHeight="1">
      <c r="B5" s="3" t="s">
        <v>2</v>
      </c>
    </row>
    <row r="7" spans="2:2">
      <c r="B7" s="2" t="s">
        <v>3</v>
      </c>
    </row>
    <row r="8" spans="2:2" ht="48" customHeight="1">
      <c r="B8" s="3" t="s">
        <v>4</v>
      </c>
    </row>
    <row r="10" spans="2:2">
      <c r="B10" s="2" t="s">
        <v>5</v>
      </c>
    </row>
    <row r="11" spans="2:2" ht="48" customHeight="1">
      <c r="B11" s="3" t="s">
        <v>6</v>
      </c>
    </row>
    <row r="13" spans="2:2">
      <c r="B13" s="2" t="s">
        <v>7</v>
      </c>
    </row>
    <row r="14" spans="2:2" ht="48" customHeight="1">
      <c r="B14" s="3" t="s">
        <v>8</v>
      </c>
    </row>
    <row r="16" spans="2:2">
      <c r="B16" s="2" t="s">
        <v>9</v>
      </c>
    </row>
    <row r="17" spans="2:2" ht="48" customHeight="1">
      <c r="B17" s="3" t="s">
        <v>10</v>
      </c>
    </row>
    <row r="19" spans="2:2">
      <c r="B19" s="2" t="s">
        <v>11</v>
      </c>
    </row>
    <row r="20" spans="2:2" ht="48" customHeight="1">
      <c r="B20" s="3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AJ803"/>
  <sheetViews>
    <sheetView showGridLines="0" rightToLeft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0" sqref="G10"/>
    </sheetView>
  </sheetViews>
  <sheetFormatPr defaultColWidth="8.7109375" defaultRowHeight="15"/>
  <cols>
    <col min="1" max="1" width="5" style="16" customWidth="1"/>
    <col min="2" max="2" width="14" style="16" customWidth="1"/>
    <col min="3" max="3" width="13" style="16" customWidth="1"/>
    <col min="4" max="4" width="20" style="16" customWidth="1"/>
    <col min="5" max="5" width="34" style="16" customWidth="1"/>
    <col min="6" max="6" width="24" style="16" customWidth="1"/>
    <col min="7" max="7" width="16" style="16" customWidth="1"/>
    <col min="8" max="8" width="12" style="16" customWidth="1"/>
    <col min="9" max="9" width="11" style="16" customWidth="1"/>
    <col min="10" max="10" width="22" style="16" customWidth="1"/>
    <col min="11" max="12" width="12" style="16" customWidth="1"/>
    <col min="13" max="13" width="22" style="16" customWidth="1"/>
    <col min="14" max="14" width="16" style="16" customWidth="1"/>
    <col min="15" max="15" width="12" style="16" customWidth="1"/>
    <col min="16" max="16" width="14" style="16" customWidth="1"/>
    <col min="17" max="17" width="28" style="16" customWidth="1"/>
    <col min="18" max="18" width="14" style="16" customWidth="1"/>
    <col min="19" max="19" width="30" style="16" customWidth="1"/>
    <col min="20" max="20" width="15" style="16" customWidth="1"/>
    <col min="21" max="21" width="10" style="16" customWidth="1"/>
    <col min="22" max="36" width="8" style="16" hidden="1" customWidth="1"/>
    <col min="37" max="16384" width="8.7109375" style="16"/>
  </cols>
  <sheetData>
    <row r="1" spans="1:36" ht="25.5" customHeight="1">
      <c r="A1" s="20" t="s">
        <v>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36">
      <c r="A2" s="17" t="s">
        <v>14</v>
      </c>
      <c r="B2" s="17" t="s">
        <v>15</v>
      </c>
      <c r="C2" s="17" t="s">
        <v>15</v>
      </c>
      <c r="D2" s="17" t="s">
        <v>15</v>
      </c>
      <c r="E2" s="17" t="s">
        <v>15</v>
      </c>
      <c r="F2" s="17" t="s">
        <v>15</v>
      </c>
      <c r="G2" s="17" t="s">
        <v>15</v>
      </c>
      <c r="H2" s="17" t="s">
        <v>15</v>
      </c>
      <c r="I2" s="17" t="s">
        <v>15</v>
      </c>
      <c r="J2" s="17" t="s">
        <v>15</v>
      </c>
      <c r="K2" s="17" t="s">
        <v>15</v>
      </c>
      <c r="L2" s="17" t="s">
        <v>15</v>
      </c>
      <c r="M2" s="17" t="s">
        <v>15</v>
      </c>
      <c r="N2" s="17" t="s">
        <v>15</v>
      </c>
      <c r="O2" s="17" t="s">
        <v>15</v>
      </c>
      <c r="P2" s="17" t="s">
        <v>15</v>
      </c>
      <c r="Q2" s="17" t="s">
        <v>15</v>
      </c>
      <c r="R2" s="17" t="s">
        <v>15</v>
      </c>
      <c r="S2" s="17" t="s">
        <v>15</v>
      </c>
      <c r="T2" s="17" t="s">
        <v>14</v>
      </c>
      <c r="U2" s="17" t="s">
        <v>14</v>
      </c>
    </row>
    <row r="3" spans="1:36" ht="33.75" customHeight="1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7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  <c r="O3" s="4" t="s">
        <v>29</v>
      </c>
      <c r="P3" s="4" t="s">
        <v>30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</row>
    <row r="4" spans="1:36" ht="63.75">
      <c r="A4" s="18">
        <v>1</v>
      </c>
      <c r="B4" s="15" t="s">
        <v>131</v>
      </c>
      <c r="C4" s="15" t="s">
        <v>36</v>
      </c>
      <c r="D4" s="15" t="s">
        <v>37</v>
      </c>
      <c r="E4" s="15" t="s">
        <v>387</v>
      </c>
      <c r="F4" s="15" t="s">
        <v>388</v>
      </c>
      <c r="G4" s="15" t="s">
        <v>39</v>
      </c>
      <c r="H4" s="15" t="s">
        <v>389</v>
      </c>
      <c r="I4" s="15" t="s">
        <v>59</v>
      </c>
      <c r="J4" s="15" t="s">
        <v>390</v>
      </c>
      <c r="K4" s="15"/>
      <c r="L4" s="15" t="s">
        <v>395</v>
      </c>
      <c r="M4" s="15" t="s">
        <v>24</v>
      </c>
      <c r="N4" s="15" t="s">
        <v>39</v>
      </c>
      <c r="O4" s="15" t="s">
        <v>391</v>
      </c>
      <c r="P4" s="15" t="s">
        <v>393</v>
      </c>
      <c r="Q4" s="15" t="s">
        <v>392</v>
      </c>
      <c r="R4" s="15" t="s">
        <v>393</v>
      </c>
      <c r="S4" s="15" t="s">
        <v>394</v>
      </c>
      <c r="T4" s="18" t="str">
        <f t="shared" ref="T4:T67" ca="1" si="0">IF(B4="","",IF(OR(I4&lt;&gt;"",O4&lt;&gt;""),"بسته",IF(AND(L4&lt;&gt;"",V4=""),"خطای فرمت تاریخ ایجاد",IF(AND(H4&lt;&gt;"",Z4=""),"خطای فرمت مهلت",IF(AND(H4&lt;&gt;"",AC4&lt;&gt;"",TODAY()&gt;AC4),"تاخیر",IF(L4&lt;&gt;"","در حال انجام",""))))))</f>
        <v>بسته</v>
      </c>
      <c r="U4" s="18">
        <f ca="1">IF(T4="تاخیر",TODAY()-AC4,IF(AND(T4="بسته",AG4&lt;&gt;"",AC4&lt;&gt;"",AG4&gt;AC4),AG4-AC4,0))</f>
        <v>20</v>
      </c>
      <c r="V4" s="18">
        <f t="shared" ref="V4:V67" si="1">IF(L4="","",VALUE(LEFT(L4,FIND("/",L4)-1)))</f>
        <v>1405</v>
      </c>
      <c r="W4" s="18">
        <f t="shared" ref="W4:W67" si="2">IF(L4="","",VALUE(MID(L4,FIND("/",L4)+1,FIND("/",L4,FIND("/",L4)+1)-FIND("/",L4)-1)))</f>
        <v>1</v>
      </c>
      <c r="X4" s="18">
        <f t="shared" ref="X4:X67" si="3">IF(L4="","",VALUE(MID(L4,FIND("/",L4,FIND("/",L4)+1)+1,LEN(L4)-FIND("/",L4,FIND("/",L4)+1))))</f>
        <v>19</v>
      </c>
      <c r="Y4" s="19">
        <f>IF(OR(L4="",V4=""),"",IFERROR(INDEX(لیست‌ها!$Q$3:$Q$53,MATCH(V4,لیست‌ها!$P$3:$P$53,0))+IF(W4&lt;=6,(W4-1)*31+X4,IF(W4&lt;=11,186+(W4-7)*30+X4,336+X4))-1,""))</f>
        <v>46120</v>
      </c>
      <c r="Z4" s="18">
        <f t="shared" ref="Z4:Z67" si="4">IF(H4="","",VALUE(LEFT(H4,FIND("/",H4)-1)))</f>
        <v>1405</v>
      </c>
      <c r="AA4" s="18">
        <f t="shared" ref="AA4:AA67" si="5">IF(H4="","",VALUE(MID(H4,FIND("/",H4)+1,FIND("/",H4,FIND("/",H4)+1)-FIND("/",H4)-1)))</f>
        <v>2</v>
      </c>
      <c r="AB4" s="18">
        <f t="shared" ref="AB4:AB67" si="6">IF(H4="","",VALUE(MID(H4,FIND("/",H4,FIND("/",H4)+1)+1,LEN(H4)-FIND("/",H4,FIND("/",H4)+1))))</f>
        <v>31</v>
      </c>
      <c r="AC4" s="18">
        <f>IF(OR(H4="",Z4=""),"",IFERROR(INDEX(لیست‌ها!$Q$3:$Q$53,MATCH(Z4,لیست‌ها!$P$3:$P$53,0))+IF(AA4&lt;=6,(AA4-1)*31+AB4,IF(AA4&lt;=11,186+(AA4-7)*30+AB4,336+AB4))-1,""))</f>
        <v>46163</v>
      </c>
      <c r="AD4" s="18">
        <f t="shared" ref="AD4:AD67" si="7">IF(O4="","",VALUE(LEFT(O4,FIND("/",O4)-1)))</f>
        <v>1405</v>
      </c>
      <c r="AE4" s="18">
        <f t="shared" ref="AE4:AE67" si="8">IF(O4="","",VALUE(MID(O4,FIND("/",O4)+1,FIND("/",O4,FIND("/",O4)+1)-FIND("/",O4)-1)))</f>
        <v>3</v>
      </c>
      <c r="AF4" s="18">
        <f t="shared" ref="AF4:AF67" si="9">IF(O4="","",VALUE(MID(O4,FIND("/",O4,FIND("/",O4)+1)+1,LEN(O4)-FIND("/",O4,FIND("/",O4)+1))))</f>
        <v>20</v>
      </c>
      <c r="AG4" s="18">
        <f>IF(OR(O4="",AD4=""),"",IFERROR(INDEX(لیست‌ها!$Q$3:$Q$53,MATCH(AD4,لیست‌ها!$P$3:$P$53,0))+IF(AE4&lt;=6,(AE4-1)*31+AF4,IF(AE4&lt;=11,186+(AE4-7)*30+AF4,336+AF4))-1,""))</f>
        <v>46183</v>
      </c>
      <c r="AH4" s="18" t="str">
        <f t="shared" ref="AH4:AH67" si="10">IF(V4="","",V4&amp;"-"&amp;TEXT(W4,"00"))</f>
        <v>1405-01</v>
      </c>
      <c r="AI4" s="18">
        <f t="shared" ref="AI4:AI67" si="11">IF(V4="","",V4*12+W4)</f>
        <v>16861</v>
      </c>
      <c r="AJ4" s="18" t="str">
        <f t="shared" ref="AJ4:AJ67" ca="1" si="12">IF(T4="تاخیر",U4+ROW()/100000,"")</f>
        <v/>
      </c>
    </row>
    <row r="5" spans="1:36" ht="63.75">
      <c r="A5" s="18">
        <v>2</v>
      </c>
      <c r="B5" s="15" t="s">
        <v>132</v>
      </c>
      <c r="C5" s="15" t="s">
        <v>36</v>
      </c>
      <c r="D5" s="15" t="s">
        <v>43</v>
      </c>
      <c r="E5" s="15" t="s">
        <v>396</v>
      </c>
      <c r="F5" s="15" t="s">
        <v>397</v>
      </c>
      <c r="G5" s="15" t="s">
        <v>44</v>
      </c>
      <c r="H5" s="15" t="s">
        <v>389</v>
      </c>
      <c r="I5" s="15" t="s">
        <v>59</v>
      </c>
      <c r="J5" s="15" t="s">
        <v>390</v>
      </c>
      <c r="K5" s="15"/>
      <c r="L5" s="15" t="s">
        <v>398</v>
      </c>
      <c r="M5" s="15" t="s">
        <v>24</v>
      </c>
      <c r="N5" s="15" t="s">
        <v>41</v>
      </c>
      <c r="O5" s="15" t="s">
        <v>399</v>
      </c>
      <c r="P5" s="15" t="s">
        <v>393</v>
      </c>
      <c r="Q5" s="15" t="s">
        <v>400</v>
      </c>
      <c r="R5" s="15" t="s">
        <v>393</v>
      </c>
      <c r="S5" s="15" t="s">
        <v>401</v>
      </c>
      <c r="T5" s="18" t="str">
        <f t="shared" ca="1" si="0"/>
        <v>بسته</v>
      </c>
      <c r="U5" s="18">
        <f t="shared" ref="U5:U68" ca="1" si="13">IF(T5="تاخیر",TODAY()-AC5,IF(AND(T5="بسته",AG5&lt;&gt;"",AC5&lt;&gt;"",AG5&gt;AC5),AG5-AC5,0))</f>
        <v>21</v>
      </c>
      <c r="V5" s="18">
        <f t="shared" si="1"/>
        <v>1405</v>
      </c>
      <c r="W5" s="18">
        <f t="shared" si="2"/>
        <v>1</v>
      </c>
      <c r="X5" s="18">
        <f t="shared" si="3"/>
        <v>22</v>
      </c>
      <c r="Y5" s="19">
        <f>IF(OR(L5="",V5=""),"",IFERROR(INDEX(لیست‌ها!$Q$3:$Q$53,MATCH(V5,لیست‌ها!$P$3:$P$53,0))+IF(W5&lt;=6,(W5-1)*31+X5,IF(W5&lt;=11,186+(W5-7)*30+X5,336+X5))-1,""))</f>
        <v>46123</v>
      </c>
      <c r="Z5" s="18">
        <f t="shared" si="4"/>
        <v>1405</v>
      </c>
      <c r="AA5" s="18">
        <f t="shared" si="5"/>
        <v>2</v>
      </c>
      <c r="AB5" s="18">
        <f t="shared" si="6"/>
        <v>31</v>
      </c>
      <c r="AC5" s="18">
        <f>IF(OR(H5="",Z5=""),"",IFERROR(INDEX(لیست‌ها!$Q$3:$Q$53,MATCH(Z5,لیست‌ها!$P$3:$P$53,0))+IF(AA5&lt;=6,(AA5-1)*31+AB5,IF(AA5&lt;=11,186+(AA5-7)*30+AB5,336+AB5))-1,""))</f>
        <v>46163</v>
      </c>
      <c r="AD5" s="18">
        <f t="shared" si="7"/>
        <v>1405</v>
      </c>
      <c r="AE5" s="18">
        <f t="shared" si="8"/>
        <v>3</v>
      </c>
      <c r="AF5" s="18">
        <f t="shared" si="9"/>
        <v>21</v>
      </c>
      <c r="AG5" s="18">
        <f>IF(OR(O5="",AD5=""),"",IFERROR(INDEX(لیست‌ها!$Q$3:$Q$53,MATCH(AD5,لیست‌ها!$P$3:$P$53,0))+IF(AE5&lt;=6,(AE5-1)*31+AF5,IF(AE5&lt;=11,186+(AE5-7)*30+AF5,336+AF5))-1,""))</f>
        <v>46184</v>
      </c>
      <c r="AH5" s="18" t="str">
        <f t="shared" si="10"/>
        <v>1405-01</v>
      </c>
      <c r="AI5" s="18">
        <f t="shared" si="11"/>
        <v>16861</v>
      </c>
      <c r="AJ5" s="18" t="str">
        <f t="shared" ca="1" si="12"/>
        <v/>
      </c>
    </row>
    <row r="6" spans="1:36" ht="63.75">
      <c r="A6" s="18">
        <v>3</v>
      </c>
      <c r="B6" s="15" t="s">
        <v>133</v>
      </c>
      <c r="C6" s="15" t="s">
        <v>36</v>
      </c>
      <c r="D6" s="15" t="s">
        <v>43</v>
      </c>
      <c r="E6" s="15" t="s">
        <v>402</v>
      </c>
      <c r="F6" s="15" t="s">
        <v>397</v>
      </c>
      <c r="G6" s="15" t="s">
        <v>44</v>
      </c>
      <c r="H6" s="15" t="s">
        <v>389</v>
      </c>
      <c r="I6" s="15" t="s">
        <v>59</v>
      </c>
      <c r="J6" s="15" t="s">
        <v>390</v>
      </c>
      <c r="K6" s="15"/>
      <c r="L6" s="15" t="s">
        <v>403</v>
      </c>
      <c r="M6" s="15" t="s">
        <v>24</v>
      </c>
      <c r="N6" s="15" t="s">
        <v>41</v>
      </c>
      <c r="O6" s="15" t="s">
        <v>399</v>
      </c>
      <c r="P6" s="15" t="s">
        <v>393</v>
      </c>
      <c r="Q6" s="15" t="s">
        <v>404</v>
      </c>
      <c r="R6" s="15" t="s">
        <v>393</v>
      </c>
      <c r="S6" s="15" t="s">
        <v>405</v>
      </c>
      <c r="T6" s="18" t="str">
        <f t="shared" ca="1" si="0"/>
        <v>بسته</v>
      </c>
      <c r="U6" s="18">
        <f t="shared" ca="1" si="13"/>
        <v>21</v>
      </c>
      <c r="V6" s="18">
        <f t="shared" si="1"/>
        <v>1405</v>
      </c>
      <c r="W6" s="18">
        <f t="shared" si="2"/>
        <v>1</v>
      </c>
      <c r="X6" s="18">
        <f t="shared" si="3"/>
        <v>23</v>
      </c>
      <c r="Y6" s="19">
        <f>IF(OR(L6="",V6=""),"",IFERROR(INDEX(لیست‌ها!$Q$3:$Q$53,MATCH(V6,لیست‌ها!$P$3:$P$53,0))+IF(W6&lt;=6,(W6-1)*31+X6,IF(W6&lt;=11,186+(W6-7)*30+X6,336+X6))-1,""))</f>
        <v>46124</v>
      </c>
      <c r="Z6" s="18">
        <f t="shared" si="4"/>
        <v>1405</v>
      </c>
      <c r="AA6" s="18">
        <f t="shared" si="5"/>
        <v>2</v>
      </c>
      <c r="AB6" s="18">
        <f t="shared" si="6"/>
        <v>31</v>
      </c>
      <c r="AC6" s="18">
        <f>IF(OR(H6="",Z6=""),"",IFERROR(INDEX(لیست‌ها!$Q$3:$Q$53,MATCH(Z6,لیست‌ها!$P$3:$P$53,0))+IF(AA6&lt;=6,(AA6-1)*31+AB6,IF(AA6&lt;=11,186+(AA6-7)*30+AB6,336+AB6))-1,""))</f>
        <v>46163</v>
      </c>
      <c r="AD6" s="18">
        <f t="shared" si="7"/>
        <v>1405</v>
      </c>
      <c r="AE6" s="18">
        <f t="shared" si="8"/>
        <v>3</v>
      </c>
      <c r="AF6" s="18">
        <f t="shared" si="9"/>
        <v>21</v>
      </c>
      <c r="AG6" s="18">
        <f>IF(OR(O6="",AD6=""),"",IFERROR(INDEX(لیست‌ها!$Q$3:$Q$53,MATCH(AD6,لیست‌ها!$P$3:$P$53,0))+IF(AE6&lt;=6,(AE6-1)*31+AF6,IF(AE6&lt;=11,186+(AE6-7)*30+AF6,336+AF6))-1,""))</f>
        <v>46184</v>
      </c>
      <c r="AH6" s="18" t="str">
        <f t="shared" si="10"/>
        <v>1405-01</v>
      </c>
      <c r="AI6" s="18">
        <f t="shared" si="11"/>
        <v>16861</v>
      </c>
      <c r="AJ6" s="18" t="str">
        <f t="shared" ca="1" si="12"/>
        <v/>
      </c>
    </row>
    <row r="7" spans="1:36" ht="63.75">
      <c r="A7" s="18">
        <v>4</v>
      </c>
      <c r="B7" s="15" t="s">
        <v>134</v>
      </c>
      <c r="C7" s="15" t="s">
        <v>36</v>
      </c>
      <c r="D7" s="15" t="s">
        <v>43</v>
      </c>
      <c r="E7" s="15" t="s">
        <v>406</v>
      </c>
      <c r="F7" s="15" t="s">
        <v>397</v>
      </c>
      <c r="G7" s="15" t="s">
        <v>44</v>
      </c>
      <c r="H7" s="15" t="s">
        <v>407</v>
      </c>
      <c r="I7" s="15"/>
      <c r="J7" s="15" t="s">
        <v>390</v>
      </c>
      <c r="K7" s="15"/>
      <c r="L7" s="15" t="s">
        <v>408</v>
      </c>
      <c r="M7" s="15" t="s">
        <v>24</v>
      </c>
      <c r="N7" s="15" t="s">
        <v>41</v>
      </c>
      <c r="O7" s="15" t="s">
        <v>409</v>
      </c>
      <c r="P7" s="15" t="s">
        <v>393</v>
      </c>
      <c r="Q7" s="15" t="s">
        <v>410</v>
      </c>
      <c r="R7" s="15" t="s">
        <v>393</v>
      </c>
      <c r="S7" s="15" t="s">
        <v>411</v>
      </c>
      <c r="T7" s="18" t="str">
        <f t="shared" ca="1" si="0"/>
        <v>بسته</v>
      </c>
      <c r="U7" s="18">
        <f t="shared" ca="1" si="13"/>
        <v>1</v>
      </c>
      <c r="V7" s="18">
        <f t="shared" si="1"/>
        <v>1405</v>
      </c>
      <c r="W7" s="18">
        <f t="shared" si="2"/>
        <v>1</v>
      </c>
      <c r="X7" s="18">
        <f t="shared" si="3"/>
        <v>24</v>
      </c>
      <c r="Y7" s="19">
        <f>IF(OR(L7="",V7=""),"",IFERROR(INDEX(لیست‌ها!$Q$3:$Q$53,MATCH(V7,لیست‌ها!$P$3:$P$53,0))+IF(W7&lt;=6,(W7-1)*31+X7,IF(W7&lt;=11,186+(W7-7)*30+X7,336+X7))-1,""))</f>
        <v>46125</v>
      </c>
      <c r="Z7" s="18">
        <f t="shared" si="4"/>
        <v>1405</v>
      </c>
      <c r="AA7" s="18">
        <f t="shared" si="5"/>
        <v>2</v>
      </c>
      <c r="AB7" s="18">
        <f t="shared" si="6"/>
        <v>20</v>
      </c>
      <c r="AC7" s="18">
        <f>IF(OR(H7="",Z7=""),"",IFERROR(INDEX(لیست‌ها!$Q$3:$Q$53,MATCH(Z7,لیست‌ها!$P$3:$P$53,0))+IF(AA7&lt;=6,(AA7-1)*31+AB7,IF(AA7&lt;=11,186+(AA7-7)*30+AB7,336+AB7))-1,""))</f>
        <v>46152</v>
      </c>
      <c r="AD7" s="18">
        <f t="shared" si="7"/>
        <v>1405</v>
      </c>
      <c r="AE7" s="18">
        <f t="shared" si="8"/>
        <v>2</v>
      </c>
      <c r="AF7" s="18">
        <f t="shared" si="9"/>
        <v>21</v>
      </c>
      <c r="AG7" s="18">
        <f>IF(OR(O7="",AD7=""),"",IFERROR(INDEX(لیست‌ها!$Q$3:$Q$53,MATCH(AD7,لیست‌ها!$P$3:$P$53,0))+IF(AE7&lt;=6,(AE7-1)*31+AF7,IF(AE7&lt;=11,186+(AE7-7)*30+AF7,336+AF7))-1,""))</f>
        <v>46153</v>
      </c>
      <c r="AH7" s="18" t="str">
        <f t="shared" si="10"/>
        <v>1405-01</v>
      </c>
      <c r="AI7" s="18">
        <f t="shared" si="11"/>
        <v>16861</v>
      </c>
      <c r="AJ7" s="18" t="str">
        <f t="shared" ca="1" si="12"/>
        <v/>
      </c>
    </row>
    <row r="8" spans="1:36">
      <c r="A8" s="18">
        <v>5</v>
      </c>
      <c r="B8" s="15" t="s">
        <v>135</v>
      </c>
      <c r="C8" s="15" t="s">
        <v>36</v>
      </c>
      <c r="D8" s="15" t="s">
        <v>43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8" t="str">
        <f t="shared" ca="1" si="0"/>
        <v/>
      </c>
      <c r="U8" s="18">
        <f t="shared" ca="1" si="13"/>
        <v>0</v>
      </c>
      <c r="V8" s="18" t="str">
        <f t="shared" si="1"/>
        <v/>
      </c>
      <c r="W8" s="18" t="str">
        <f t="shared" si="2"/>
        <v/>
      </c>
      <c r="X8" s="18" t="str">
        <f t="shared" si="3"/>
        <v/>
      </c>
      <c r="Y8" s="19" t="str">
        <f>IF(OR(L8="",V8=""),"",IFERROR(INDEX(لیست‌ها!$Q$3:$Q$53,MATCH(V8,لیست‌ها!$P$3:$P$53,0))+IF(W8&lt;=6,(W8-1)*31+X8,IF(W8&lt;=11,186+(W8-7)*30+X8,336+X8))-1,""))</f>
        <v/>
      </c>
      <c r="Z8" s="18" t="str">
        <f t="shared" si="4"/>
        <v/>
      </c>
      <c r="AA8" s="18" t="str">
        <f t="shared" si="5"/>
        <v/>
      </c>
      <c r="AB8" s="18" t="str">
        <f t="shared" si="6"/>
        <v/>
      </c>
      <c r="AC8" s="18" t="str">
        <f>IF(OR(H8="",Z8=""),"",IFERROR(INDEX(لیست‌ها!$Q$3:$Q$53,MATCH(Z8,لیست‌ها!$P$3:$P$53,0))+IF(AA8&lt;=6,(AA8-1)*31+AB8,IF(AA8&lt;=11,186+(AA8-7)*30+AB8,336+AB8))-1,""))</f>
        <v/>
      </c>
      <c r="AD8" s="18" t="str">
        <f t="shared" si="7"/>
        <v/>
      </c>
      <c r="AE8" s="18" t="str">
        <f t="shared" si="8"/>
        <v/>
      </c>
      <c r="AF8" s="18" t="str">
        <f t="shared" si="9"/>
        <v/>
      </c>
      <c r="AG8" s="18" t="str">
        <f>IF(OR(O8="",AD8=""),"",IFERROR(INDEX(لیست‌ها!$Q$3:$Q$53,MATCH(AD8,لیست‌ها!$P$3:$P$53,0))+IF(AE8&lt;=6,(AE8-1)*31+AF8,IF(AE8&lt;=11,186+(AE8-7)*30+AF8,336+AF8))-1,""))</f>
        <v/>
      </c>
      <c r="AH8" s="18" t="str">
        <f t="shared" si="10"/>
        <v/>
      </c>
      <c r="AI8" s="18" t="str">
        <f t="shared" si="11"/>
        <v/>
      </c>
      <c r="AJ8" s="18" t="str">
        <f t="shared" ca="1" si="12"/>
        <v/>
      </c>
    </row>
    <row r="9" spans="1:36">
      <c r="A9" s="18">
        <v>6</v>
      </c>
      <c r="B9" s="15" t="s">
        <v>136</v>
      </c>
      <c r="C9" s="15" t="s">
        <v>36</v>
      </c>
      <c r="D9" s="15" t="s">
        <v>43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8" t="str">
        <f t="shared" ca="1" si="0"/>
        <v/>
      </c>
      <c r="U9" s="18">
        <f t="shared" ca="1" si="13"/>
        <v>0</v>
      </c>
      <c r="V9" s="18" t="str">
        <f t="shared" si="1"/>
        <v/>
      </c>
      <c r="W9" s="18" t="str">
        <f t="shared" si="2"/>
        <v/>
      </c>
      <c r="X9" s="18" t="str">
        <f t="shared" si="3"/>
        <v/>
      </c>
      <c r="Y9" s="19" t="str">
        <f>IF(OR(L9="",V9=""),"",IFERROR(INDEX(لیست‌ها!$Q$3:$Q$53,MATCH(V9,لیست‌ها!$P$3:$P$53,0))+IF(W9&lt;=6,(W9-1)*31+X9,IF(W9&lt;=11,186+(W9-7)*30+X9,336+X9))-1,""))</f>
        <v/>
      </c>
      <c r="Z9" s="18" t="str">
        <f t="shared" si="4"/>
        <v/>
      </c>
      <c r="AA9" s="18" t="str">
        <f t="shared" si="5"/>
        <v/>
      </c>
      <c r="AB9" s="18" t="str">
        <f t="shared" si="6"/>
        <v/>
      </c>
      <c r="AC9" s="18" t="str">
        <f>IF(OR(H9="",Z9=""),"",IFERROR(INDEX(لیست‌ها!$Q$3:$Q$53,MATCH(Z9,لیست‌ها!$P$3:$P$53,0))+IF(AA9&lt;=6,(AA9-1)*31+AB9,IF(AA9&lt;=11,186+(AA9-7)*30+AB9,336+AB9))-1,""))</f>
        <v/>
      </c>
      <c r="AD9" s="18" t="str">
        <f t="shared" si="7"/>
        <v/>
      </c>
      <c r="AE9" s="18" t="str">
        <f t="shared" si="8"/>
        <v/>
      </c>
      <c r="AF9" s="18" t="str">
        <f t="shared" si="9"/>
        <v/>
      </c>
      <c r="AG9" s="18" t="str">
        <f>IF(OR(O9="",AD9=""),"",IFERROR(INDEX(لیست‌ها!$Q$3:$Q$53,MATCH(AD9,لیست‌ها!$P$3:$P$53,0))+IF(AE9&lt;=6,(AE9-1)*31+AF9,IF(AE9&lt;=11,186+(AE9-7)*30+AF9,336+AF9))-1,""))</f>
        <v/>
      </c>
      <c r="AH9" s="18" t="str">
        <f t="shared" si="10"/>
        <v/>
      </c>
      <c r="AI9" s="18" t="str">
        <f t="shared" si="11"/>
        <v/>
      </c>
      <c r="AJ9" s="18" t="str">
        <f t="shared" ca="1" si="12"/>
        <v/>
      </c>
    </row>
    <row r="10" spans="1:36">
      <c r="A10" s="18">
        <v>7</v>
      </c>
      <c r="B10" s="15" t="s">
        <v>137</v>
      </c>
      <c r="C10" s="15" t="s">
        <v>36</v>
      </c>
      <c r="D10" s="15" t="s">
        <v>43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8" t="str">
        <f t="shared" ca="1" si="0"/>
        <v/>
      </c>
      <c r="U10" s="18">
        <f t="shared" ca="1" si="13"/>
        <v>0</v>
      </c>
      <c r="V10" s="18" t="str">
        <f t="shared" si="1"/>
        <v/>
      </c>
      <c r="W10" s="18" t="str">
        <f t="shared" si="2"/>
        <v/>
      </c>
      <c r="X10" s="18" t="str">
        <f t="shared" si="3"/>
        <v/>
      </c>
      <c r="Y10" s="19" t="str">
        <f>IF(OR(L10="",V10=""),"",IFERROR(INDEX(لیست‌ها!$Q$3:$Q$53,MATCH(V10,لیست‌ها!$P$3:$P$53,0))+IF(W10&lt;=6,(W10-1)*31+X10,IF(W10&lt;=11,186+(W10-7)*30+X10,336+X10))-1,""))</f>
        <v/>
      </c>
      <c r="Z10" s="18" t="str">
        <f t="shared" si="4"/>
        <v/>
      </c>
      <c r="AA10" s="18" t="str">
        <f t="shared" si="5"/>
        <v/>
      </c>
      <c r="AB10" s="18" t="str">
        <f t="shared" si="6"/>
        <v/>
      </c>
      <c r="AC10" s="18" t="str">
        <f>IF(OR(H10="",Z10=""),"",IFERROR(INDEX(لیست‌ها!$Q$3:$Q$53,MATCH(Z10,لیست‌ها!$P$3:$P$53,0))+IF(AA10&lt;=6,(AA10-1)*31+AB10,IF(AA10&lt;=11,186+(AA10-7)*30+AB10,336+AB10))-1,""))</f>
        <v/>
      </c>
      <c r="AD10" s="18" t="str">
        <f t="shared" si="7"/>
        <v/>
      </c>
      <c r="AE10" s="18" t="str">
        <f t="shared" si="8"/>
        <v/>
      </c>
      <c r="AF10" s="18" t="str">
        <f t="shared" si="9"/>
        <v/>
      </c>
      <c r="AG10" s="18" t="str">
        <f>IF(OR(O10="",AD10=""),"",IFERROR(INDEX(لیست‌ها!$Q$3:$Q$53,MATCH(AD10,لیست‌ها!$P$3:$P$53,0))+IF(AE10&lt;=6,(AE10-1)*31+AF10,IF(AE10&lt;=11,186+(AE10-7)*30+AF10,336+AF10))-1,""))</f>
        <v/>
      </c>
      <c r="AH10" s="18" t="str">
        <f t="shared" si="10"/>
        <v/>
      </c>
      <c r="AI10" s="18" t="str">
        <f t="shared" si="11"/>
        <v/>
      </c>
      <c r="AJ10" s="18" t="str">
        <f t="shared" ca="1" si="12"/>
        <v/>
      </c>
    </row>
    <row r="11" spans="1:36">
      <c r="A11" s="18">
        <v>8</v>
      </c>
      <c r="B11" s="15" t="s">
        <v>138</v>
      </c>
      <c r="C11" s="15" t="s">
        <v>36</v>
      </c>
      <c r="D11" s="15" t="s">
        <v>43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8" t="str">
        <f t="shared" ca="1" si="0"/>
        <v/>
      </c>
      <c r="U11" s="18">
        <f t="shared" ca="1" si="13"/>
        <v>0</v>
      </c>
      <c r="V11" s="18" t="str">
        <f t="shared" si="1"/>
        <v/>
      </c>
      <c r="W11" s="18" t="str">
        <f t="shared" si="2"/>
        <v/>
      </c>
      <c r="X11" s="18" t="str">
        <f t="shared" si="3"/>
        <v/>
      </c>
      <c r="Y11" s="19" t="str">
        <f>IF(OR(L11="",V11=""),"",IFERROR(INDEX(لیست‌ها!$Q$3:$Q$53,MATCH(V11,لیست‌ها!$P$3:$P$53,0))+IF(W11&lt;=6,(W11-1)*31+X11,IF(W11&lt;=11,186+(W11-7)*30+X11,336+X11))-1,""))</f>
        <v/>
      </c>
      <c r="Z11" s="18" t="str">
        <f t="shared" si="4"/>
        <v/>
      </c>
      <c r="AA11" s="18" t="str">
        <f t="shared" si="5"/>
        <v/>
      </c>
      <c r="AB11" s="18" t="str">
        <f t="shared" si="6"/>
        <v/>
      </c>
      <c r="AC11" s="18" t="str">
        <f>IF(OR(H11="",Z11=""),"",IFERROR(INDEX(لیست‌ها!$Q$3:$Q$53,MATCH(Z11,لیست‌ها!$P$3:$P$53,0))+IF(AA11&lt;=6,(AA11-1)*31+AB11,IF(AA11&lt;=11,186+(AA11-7)*30+AB11,336+AB11))-1,""))</f>
        <v/>
      </c>
      <c r="AD11" s="18" t="str">
        <f t="shared" si="7"/>
        <v/>
      </c>
      <c r="AE11" s="18" t="str">
        <f t="shared" si="8"/>
        <v/>
      </c>
      <c r="AF11" s="18" t="str">
        <f t="shared" si="9"/>
        <v/>
      </c>
      <c r="AG11" s="18" t="str">
        <f>IF(OR(O11="",AD11=""),"",IFERROR(INDEX(لیست‌ها!$Q$3:$Q$53,MATCH(AD11,لیست‌ها!$P$3:$P$53,0))+IF(AE11&lt;=6,(AE11-1)*31+AF11,IF(AE11&lt;=11,186+(AE11-7)*30+AF11,336+AF11))-1,""))</f>
        <v/>
      </c>
      <c r="AH11" s="18" t="str">
        <f t="shared" si="10"/>
        <v/>
      </c>
      <c r="AI11" s="18" t="str">
        <f t="shared" si="11"/>
        <v/>
      </c>
      <c r="AJ11" s="18" t="str">
        <f t="shared" ca="1" si="12"/>
        <v/>
      </c>
    </row>
    <row r="12" spans="1:36">
      <c r="A12" s="18">
        <v>9</v>
      </c>
      <c r="B12" s="15" t="s">
        <v>139</v>
      </c>
      <c r="C12" s="15" t="s">
        <v>36</v>
      </c>
      <c r="D12" s="15" t="s">
        <v>43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8" t="str">
        <f t="shared" ca="1" si="0"/>
        <v/>
      </c>
      <c r="U12" s="18">
        <f t="shared" ca="1" si="13"/>
        <v>0</v>
      </c>
      <c r="V12" s="18" t="str">
        <f t="shared" si="1"/>
        <v/>
      </c>
      <c r="W12" s="18" t="str">
        <f t="shared" si="2"/>
        <v/>
      </c>
      <c r="X12" s="18" t="str">
        <f t="shared" si="3"/>
        <v/>
      </c>
      <c r="Y12" s="19" t="str">
        <f>IF(OR(L12="",V12=""),"",IFERROR(INDEX(لیست‌ها!$Q$3:$Q$53,MATCH(V12,لیست‌ها!$P$3:$P$53,0))+IF(W12&lt;=6,(W12-1)*31+X12,IF(W12&lt;=11,186+(W12-7)*30+X12,336+X12))-1,""))</f>
        <v/>
      </c>
      <c r="Z12" s="18" t="str">
        <f t="shared" si="4"/>
        <v/>
      </c>
      <c r="AA12" s="18" t="str">
        <f t="shared" si="5"/>
        <v/>
      </c>
      <c r="AB12" s="18" t="str">
        <f t="shared" si="6"/>
        <v/>
      </c>
      <c r="AC12" s="18" t="str">
        <f>IF(OR(H12="",Z12=""),"",IFERROR(INDEX(لیست‌ها!$Q$3:$Q$53,MATCH(Z12,لیست‌ها!$P$3:$P$53,0))+IF(AA12&lt;=6,(AA12-1)*31+AB12,IF(AA12&lt;=11,186+(AA12-7)*30+AB12,336+AB12))-1,""))</f>
        <v/>
      </c>
      <c r="AD12" s="18" t="str">
        <f t="shared" si="7"/>
        <v/>
      </c>
      <c r="AE12" s="18" t="str">
        <f t="shared" si="8"/>
        <v/>
      </c>
      <c r="AF12" s="18" t="str">
        <f t="shared" si="9"/>
        <v/>
      </c>
      <c r="AG12" s="18" t="str">
        <f>IF(OR(O12="",AD12=""),"",IFERROR(INDEX(لیست‌ها!$Q$3:$Q$53,MATCH(AD12,لیست‌ها!$P$3:$P$53,0))+IF(AE12&lt;=6,(AE12-1)*31+AF12,IF(AE12&lt;=11,186+(AE12-7)*30+AF12,336+AF12))-1,""))</f>
        <v/>
      </c>
      <c r="AH12" s="18" t="str">
        <f t="shared" si="10"/>
        <v/>
      </c>
      <c r="AI12" s="18" t="str">
        <f t="shared" si="11"/>
        <v/>
      </c>
      <c r="AJ12" s="18" t="str">
        <f t="shared" ca="1" si="12"/>
        <v/>
      </c>
    </row>
    <row r="13" spans="1:36">
      <c r="A13" s="18">
        <v>10</v>
      </c>
      <c r="B13" s="15" t="s">
        <v>140</v>
      </c>
      <c r="C13" s="15" t="s">
        <v>36</v>
      </c>
      <c r="D13" s="15" t="s">
        <v>43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8" t="str">
        <f t="shared" ca="1" si="0"/>
        <v/>
      </c>
      <c r="U13" s="18">
        <f t="shared" ca="1" si="13"/>
        <v>0</v>
      </c>
      <c r="V13" s="18" t="str">
        <f t="shared" si="1"/>
        <v/>
      </c>
      <c r="W13" s="18" t="str">
        <f t="shared" si="2"/>
        <v/>
      </c>
      <c r="X13" s="18" t="str">
        <f t="shared" si="3"/>
        <v/>
      </c>
      <c r="Y13" s="19" t="str">
        <f>IF(OR(L13="",V13=""),"",IFERROR(INDEX(لیست‌ها!$Q$3:$Q$53,MATCH(V13,لیست‌ها!$P$3:$P$53,0))+IF(W13&lt;=6,(W13-1)*31+X13,IF(W13&lt;=11,186+(W13-7)*30+X13,336+X13))-1,""))</f>
        <v/>
      </c>
      <c r="Z13" s="18" t="str">
        <f t="shared" si="4"/>
        <v/>
      </c>
      <c r="AA13" s="18" t="str">
        <f t="shared" si="5"/>
        <v/>
      </c>
      <c r="AB13" s="18" t="str">
        <f t="shared" si="6"/>
        <v/>
      </c>
      <c r="AC13" s="18" t="str">
        <f>IF(OR(H13="",Z13=""),"",IFERROR(INDEX(لیست‌ها!$Q$3:$Q$53,MATCH(Z13,لیست‌ها!$P$3:$P$53,0))+IF(AA13&lt;=6,(AA13-1)*31+AB13,IF(AA13&lt;=11,186+(AA13-7)*30+AB13,336+AB13))-1,""))</f>
        <v/>
      </c>
      <c r="AD13" s="18" t="str">
        <f t="shared" si="7"/>
        <v/>
      </c>
      <c r="AE13" s="18" t="str">
        <f t="shared" si="8"/>
        <v/>
      </c>
      <c r="AF13" s="18" t="str">
        <f t="shared" si="9"/>
        <v/>
      </c>
      <c r="AG13" s="18" t="str">
        <f>IF(OR(O13="",AD13=""),"",IFERROR(INDEX(لیست‌ها!$Q$3:$Q$53,MATCH(AD13,لیست‌ها!$P$3:$P$53,0))+IF(AE13&lt;=6,(AE13-1)*31+AF13,IF(AE13&lt;=11,186+(AE13-7)*30+AF13,336+AF13))-1,""))</f>
        <v/>
      </c>
      <c r="AH13" s="18" t="str">
        <f t="shared" si="10"/>
        <v/>
      </c>
      <c r="AI13" s="18" t="str">
        <f t="shared" si="11"/>
        <v/>
      </c>
      <c r="AJ13" s="18" t="str">
        <f t="shared" ca="1" si="12"/>
        <v/>
      </c>
    </row>
    <row r="14" spans="1:36">
      <c r="A14" s="18">
        <v>11</v>
      </c>
      <c r="B14" s="15" t="s">
        <v>141</v>
      </c>
      <c r="C14" s="15" t="s">
        <v>36</v>
      </c>
      <c r="D14" s="15" t="s">
        <v>43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 t="str">
        <f t="shared" ca="1" si="0"/>
        <v/>
      </c>
      <c r="U14" s="18">
        <f t="shared" ca="1" si="13"/>
        <v>0</v>
      </c>
      <c r="V14" s="18" t="str">
        <f t="shared" si="1"/>
        <v/>
      </c>
      <c r="W14" s="18" t="str">
        <f t="shared" si="2"/>
        <v/>
      </c>
      <c r="X14" s="18" t="str">
        <f t="shared" si="3"/>
        <v/>
      </c>
      <c r="Y14" s="19" t="str">
        <f>IF(OR(L14="",V14=""),"",IFERROR(INDEX(لیست‌ها!$Q$3:$Q$53,MATCH(V14,لیست‌ها!$P$3:$P$53,0))+IF(W14&lt;=6,(W14-1)*31+X14,IF(W14&lt;=11,186+(W14-7)*30+X14,336+X14))-1,""))</f>
        <v/>
      </c>
      <c r="Z14" s="18" t="str">
        <f t="shared" si="4"/>
        <v/>
      </c>
      <c r="AA14" s="18" t="str">
        <f t="shared" si="5"/>
        <v/>
      </c>
      <c r="AB14" s="18" t="str">
        <f t="shared" si="6"/>
        <v/>
      </c>
      <c r="AC14" s="18" t="str">
        <f>IF(OR(H14="",Z14=""),"",IFERROR(INDEX(لیست‌ها!$Q$3:$Q$53,MATCH(Z14,لیست‌ها!$P$3:$P$53,0))+IF(AA14&lt;=6,(AA14-1)*31+AB14,IF(AA14&lt;=11,186+(AA14-7)*30+AB14,336+AB14))-1,""))</f>
        <v/>
      </c>
      <c r="AD14" s="18" t="str">
        <f t="shared" si="7"/>
        <v/>
      </c>
      <c r="AE14" s="18" t="str">
        <f t="shared" si="8"/>
        <v/>
      </c>
      <c r="AF14" s="18" t="str">
        <f t="shared" si="9"/>
        <v/>
      </c>
      <c r="AG14" s="18" t="str">
        <f>IF(OR(O14="",AD14=""),"",IFERROR(INDEX(لیست‌ها!$Q$3:$Q$53,MATCH(AD14,لیست‌ها!$P$3:$P$53,0))+IF(AE14&lt;=6,(AE14-1)*31+AF14,IF(AE14&lt;=11,186+(AE14-7)*30+AF14,336+AF14))-1,""))</f>
        <v/>
      </c>
      <c r="AH14" s="18" t="str">
        <f t="shared" si="10"/>
        <v/>
      </c>
      <c r="AI14" s="18" t="str">
        <f t="shared" si="11"/>
        <v/>
      </c>
      <c r="AJ14" s="18" t="str">
        <f t="shared" ca="1" si="12"/>
        <v/>
      </c>
    </row>
    <row r="15" spans="1:36">
      <c r="A15" s="18">
        <v>12</v>
      </c>
      <c r="B15" s="15" t="s">
        <v>142</v>
      </c>
      <c r="C15" s="15" t="s">
        <v>36</v>
      </c>
      <c r="D15" s="15" t="s">
        <v>43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8" t="str">
        <f t="shared" ca="1" si="0"/>
        <v/>
      </c>
      <c r="U15" s="18">
        <f t="shared" ca="1" si="13"/>
        <v>0</v>
      </c>
      <c r="V15" s="18" t="str">
        <f t="shared" si="1"/>
        <v/>
      </c>
      <c r="W15" s="18" t="str">
        <f t="shared" si="2"/>
        <v/>
      </c>
      <c r="X15" s="18" t="str">
        <f t="shared" si="3"/>
        <v/>
      </c>
      <c r="Y15" s="19" t="str">
        <f>IF(OR(L15="",V15=""),"",IFERROR(INDEX(لیست‌ها!$Q$3:$Q$53,MATCH(V15,لیست‌ها!$P$3:$P$53,0))+IF(W15&lt;=6,(W15-1)*31+X15,IF(W15&lt;=11,186+(W15-7)*30+X15,336+X15))-1,""))</f>
        <v/>
      </c>
      <c r="Z15" s="18" t="str">
        <f t="shared" si="4"/>
        <v/>
      </c>
      <c r="AA15" s="18" t="str">
        <f t="shared" si="5"/>
        <v/>
      </c>
      <c r="AB15" s="18" t="str">
        <f t="shared" si="6"/>
        <v/>
      </c>
      <c r="AC15" s="18" t="str">
        <f>IF(OR(H15="",Z15=""),"",IFERROR(INDEX(لیست‌ها!$Q$3:$Q$53,MATCH(Z15,لیست‌ها!$P$3:$P$53,0))+IF(AA15&lt;=6,(AA15-1)*31+AB15,IF(AA15&lt;=11,186+(AA15-7)*30+AB15,336+AB15))-1,""))</f>
        <v/>
      </c>
      <c r="AD15" s="18" t="str">
        <f t="shared" si="7"/>
        <v/>
      </c>
      <c r="AE15" s="18" t="str">
        <f t="shared" si="8"/>
        <v/>
      </c>
      <c r="AF15" s="18" t="str">
        <f t="shared" si="9"/>
        <v/>
      </c>
      <c r="AG15" s="18" t="str">
        <f>IF(OR(O15="",AD15=""),"",IFERROR(INDEX(لیست‌ها!$Q$3:$Q$53,MATCH(AD15,لیست‌ها!$P$3:$P$53,0))+IF(AE15&lt;=6,(AE15-1)*31+AF15,IF(AE15&lt;=11,186+(AE15-7)*30+AF15,336+AF15))-1,""))</f>
        <v/>
      </c>
      <c r="AH15" s="18" t="str">
        <f t="shared" si="10"/>
        <v/>
      </c>
      <c r="AI15" s="18" t="str">
        <f t="shared" si="11"/>
        <v/>
      </c>
      <c r="AJ15" s="18" t="str">
        <f t="shared" ca="1" si="12"/>
        <v/>
      </c>
    </row>
    <row r="16" spans="1:36">
      <c r="A16" s="18">
        <v>13</v>
      </c>
      <c r="B16" s="15" t="s">
        <v>143</v>
      </c>
      <c r="C16" s="15" t="s">
        <v>36</v>
      </c>
      <c r="D16" s="15" t="s">
        <v>43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8" t="str">
        <f t="shared" ca="1" si="0"/>
        <v/>
      </c>
      <c r="U16" s="18">
        <f t="shared" ca="1" si="13"/>
        <v>0</v>
      </c>
      <c r="V16" s="18" t="str">
        <f t="shared" si="1"/>
        <v/>
      </c>
      <c r="W16" s="18" t="str">
        <f t="shared" si="2"/>
        <v/>
      </c>
      <c r="X16" s="18" t="str">
        <f t="shared" si="3"/>
        <v/>
      </c>
      <c r="Y16" s="19" t="str">
        <f>IF(OR(L16="",V16=""),"",IFERROR(INDEX(لیست‌ها!$Q$3:$Q$53,MATCH(V16,لیست‌ها!$P$3:$P$53,0))+IF(W16&lt;=6,(W16-1)*31+X16,IF(W16&lt;=11,186+(W16-7)*30+X16,336+X16))-1,""))</f>
        <v/>
      </c>
      <c r="Z16" s="18" t="str">
        <f t="shared" si="4"/>
        <v/>
      </c>
      <c r="AA16" s="18" t="str">
        <f t="shared" si="5"/>
        <v/>
      </c>
      <c r="AB16" s="18" t="str">
        <f t="shared" si="6"/>
        <v/>
      </c>
      <c r="AC16" s="18" t="str">
        <f>IF(OR(H16="",Z16=""),"",IFERROR(INDEX(لیست‌ها!$Q$3:$Q$53,MATCH(Z16,لیست‌ها!$P$3:$P$53,0))+IF(AA16&lt;=6,(AA16-1)*31+AB16,IF(AA16&lt;=11,186+(AA16-7)*30+AB16,336+AB16))-1,""))</f>
        <v/>
      </c>
      <c r="AD16" s="18" t="str">
        <f t="shared" si="7"/>
        <v/>
      </c>
      <c r="AE16" s="18" t="str">
        <f t="shared" si="8"/>
        <v/>
      </c>
      <c r="AF16" s="18" t="str">
        <f t="shared" si="9"/>
        <v/>
      </c>
      <c r="AG16" s="18" t="str">
        <f>IF(OR(O16="",AD16=""),"",IFERROR(INDEX(لیست‌ها!$Q$3:$Q$53,MATCH(AD16,لیست‌ها!$P$3:$P$53,0))+IF(AE16&lt;=6,(AE16-1)*31+AF16,IF(AE16&lt;=11,186+(AE16-7)*30+AF16,336+AF16))-1,""))</f>
        <v/>
      </c>
      <c r="AH16" s="18" t="str">
        <f t="shared" si="10"/>
        <v/>
      </c>
      <c r="AI16" s="18" t="str">
        <f t="shared" si="11"/>
        <v/>
      </c>
      <c r="AJ16" s="18" t="str">
        <f t="shared" ca="1" si="12"/>
        <v/>
      </c>
    </row>
    <row r="17" spans="1:36">
      <c r="A17" s="18">
        <v>14</v>
      </c>
      <c r="B17" s="15" t="s">
        <v>144</v>
      </c>
      <c r="C17" s="15" t="s">
        <v>68</v>
      </c>
      <c r="D17" s="15" t="s">
        <v>37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8" t="str">
        <f t="shared" ca="1" si="0"/>
        <v/>
      </c>
      <c r="U17" s="18">
        <f t="shared" ca="1" si="13"/>
        <v>0</v>
      </c>
      <c r="V17" s="18" t="str">
        <f t="shared" si="1"/>
        <v/>
      </c>
      <c r="W17" s="18" t="str">
        <f t="shared" si="2"/>
        <v/>
      </c>
      <c r="X17" s="18" t="str">
        <f t="shared" si="3"/>
        <v/>
      </c>
      <c r="Y17" s="19" t="str">
        <f>IF(OR(L17="",V17=""),"",IFERROR(INDEX(لیست‌ها!$Q$3:$Q$53,MATCH(V17,لیست‌ها!$P$3:$P$53,0))+IF(W17&lt;=6,(W17-1)*31+X17,IF(W17&lt;=11,186+(W17-7)*30+X17,336+X17))-1,""))</f>
        <v/>
      </c>
      <c r="Z17" s="18" t="str">
        <f t="shared" si="4"/>
        <v/>
      </c>
      <c r="AA17" s="18" t="str">
        <f t="shared" si="5"/>
        <v/>
      </c>
      <c r="AB17" s="18" t="str">
        <f t="shared" si="6"/>
        <v/>
      </c>
      <c r="AC17" s="18" t="str">
        <f>IF(OR(H17="",Z17=""),"",IFERROR(INDEX(لیست‌ها!$Q$3:$Q$53,MATCH(Z17,لیست‌ها!$P$3:$P$53,0))+IF(AA17&lt;=6,(AA17-1)*31+AB17,IF(AA17&lt;=11,186+(AA17-7)*30+AB17,336+AB17))-1,""))</f>
        <v/>
      </c>
      <c r="AD17" s="18" t="str">
        <f t="shared" si="7"/>
        <v/>
      </c>
      <c r="AE17" s="18" t="str">
        <f t="shared" si="8"/>
        <v/>
      </c>
      <c r="AF17" s="18" t="str">
        <f t="shared" si="9"/>
        <v/>
      </c>
      <c r="AG17" s="18" t="str">
        <f>IF(OR(O17="",AD17=""),"",IFERROR(INDEX(لیست‌ها!$Q$3:$Q$53,MATCH(AD17,لیست‌ها!$P$3:$P$53,0))+IF(AE17&lt;=6,(AE17-1)*31+AF17,IF(AE17&lt;=11,186+(AE17-7)*30+AF17,336+AF17))-1,""))</f>
        <v/>
      </c>
      <c r="AH17" s="18" t="str">
        <f t="shared" si="10"/>
        <v/>
      </c>
      <c r="AI17" s="18" t="str">
        <f t="shared" si="11"/>
        <v/>
      </c>
      <c r="AJ17" s="18" t="str">
        <f t="shared" ca="1" si="12"/>
        <v/>
      </c>
    </row>
    <row r="18" spans="1:36">
      <c r="A18" s="18">
        <v>15</v>
      </c>
      <c r="B18" s="15" t="s">
        <v>145</v>
      </c>
      <c r="C18" s="15" t="s">
        <v>36</v>
      </c>
      <c r="D18" s="15" t="s">
        <v>37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8" t="str">
        <f t="shared" ca="1" si="0"/>
        <v/>
      </c>
      <c r="U18" s="18">
        <f t="shared" ca="1" si="13"/>
        <v>0</v>
      </c>
      <c r="V18" s="18" t="str">
        <f t="shared" si="1"/>
        <v/>
      </c>
      <c r="W18" s="18" t="str">
        <f t="shared" si="2"/>
        <v/>
      </c>
      <c r="X18" s="18" t="str">
        <f t="shared" si="3"/>
        <v/>
      </c>
      <c r="Y18" s="19" t="str">
        <f>IF(OR(L18="",V18=""),"",IFERROR(INDEX(لیست‌ها!$Q$3:$Q$53,MATCH(V18,لیست‌ها!$P$3:$P$53,0))+IF(W18&lt;=6,(W18-1)*31+X18,IF(W18&lt;=11,186+(W18-7)*30+X18,336+X18))-1,""))</f>
        <v/>
      </c>
      <c r="Z18" s="18" t="str">
        <f t="shared" si="4"/>
        <v/>
      </c>
      <c r="AA18" s="18" t="str">
        <f t="shared" si="5"/>
        <v/>
      </c>
      <c r="AB18" s="18" t="str">
        <f t="shared" si="6"/>
        <v/>
      </c>
      <c r="AC18" s="18" t="str">
        <f>IF(OR(H18="",Z18=""),"",IFERROR(INDEX(لیست‌ها!$Q$3:$Q$53,MATCH(Z18,لیست‌ها!$P$3:$P$53,0))+IF(AA18&lt;=6,(AA18-1)*31+AB18,IF(AA18&lt;=11,186+(AA18-7)*30+AB18,336+AB18))-1,""))</f>
        <v/>
      </c>
      <c r="AD18" s="18" t="str">
        <f t="shared" si="7"/>
        <v/>
      </c>
      <c r="AE18" s="18" t="str">
        <f t="shared" si="8"/>
        <v/>
      </c>
      <c r="AF18" s="18" t="str">
        <f t="shared" si="9"/>
        <v/>
      </c>
      <c r="AG18" s="18" t="str">
        <f>IF(OR(O18="",AD18=""),"",IFERROR(INDEX(لیست‌ها!$Q$3:$Q$53,MATCH(AD18,لیست‌ها!$P$3:$P$53,0))+IF(AE18&lt;=6,(AE18-1)*31+AF18,IF(AE18&lt;=11,186+(AE18-7)*30+AF18,336+AF18))-1,""))</f>
        <v/>
      </c>
      <c r="AH18" s="18" t="str">
        <f t="shared" si="10"/>
        <v/>
      </c>
      <c r="AI18" s="18" t="str">
        <f t="shared" si="11"/>
        <v/>
      </c>
      <c r="AJ18" s="18" t="str">
        <f t="shared" ca="1" si="12"/>
        <v/>
      </c>
    </row>
    <row r="19" spans="1:36">
      <c r="A19" s="18">
        <v>16</v>
      </c>
      <c r="B19" s="15" t="s">
        <v>146</v>
      </c>
      <c r="C19" s="15" t="s">
        <v>36</v>
      </c>
      <c r="D19" s="15" t="s">
        <v>64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8" t="str">
        <f t="shared" ca="1" si="0"/>
        <v/>
      </c>
      <c r="U19" s="18">
        <f t="shared" ca="1" si="13"/>
        <v>0</v>
      </c>
      <c r="V19" s="18" t="str">
        <f t="shared" si="1"/>
        <v/>
      </c>
      <c r="W19" s="18" t="str">
        <f t="shared" si="2"/>
        <v/>
      </c>
      <c r="X19" s="18" t="str">
        <f t="shared" si="3"/>
        <v/>
      </c>
      <c r="Y19" s="19" t="str">
        <f>IF(OR(L19="",V19=""),"",IFERROR(INDEX(لیست‌ها!$Q$3:$Q$53,MATCH(V19,لیست‌ها!$P$3:$P$53,0))+IF(W19&lt;=6,(W19-1)*31+X19,IF(W19&lt;=11,186+(W19-7)*30+X19,336+X19))-1,""))</f>
        <v/>
      </c>
      <c r="Z19" s="18" t="str">
        <f t="shared" si="4"/>
        <v/>
      </c>
      <c r="AA19" s="18" t="str">
        <f t="shared" si="5"/>
        <v/>
      </c>
      <c r="AB19" s="18" t="str">
        <f t="shared" si="6"/>
        <v/>
      </c>
      <c r="AC19" s="18" t="str">
        <f>IF(OR(H19="",Z19=""),"",IFERROR(INDEX(لیست‌ها!$Q$3:$Q$53,MATCH(Z19,لیست‌ها!$P$3:$P$53,0))+IF(AA19&lt;=6,(AA19-1)*31+AB19,IF(AA19&lt;=11,186+(AA19-7)*30+AB19,336+AB19))-1,""))</f>
        <v/>
      </c>
      <c r="AD19" s="18" t="str">
        <f t="shared" si="7"/>
        <v/>
      </c>
      <c r="AE19" s="18" t="str">
        <f t="shared" si="8"/>
        <v/>
      </c>
      <c r="AF19" s="18" t="str">
        <f t="shared" si="9"/>
        <v/>
      </c>
      <c r="AG19" s="18" t="str">
        <f>IF(OR(O19="",AD19=""),"",IFERROR(INDEX(لیست‌ها!$Q$3:$Q$53,MATCH(AD19,لیست‌ها!$P$3:$P$53,0))+IF(AE19&lt;=6,(AE19-1)*31+AF19,IF(AE19&lt;=11,186+(AE19-7)*30+AF19,336+AF19))-1,""))</f>
        <v/>
      </c>
      <c r="AH19" s="18" t="str">
        <f t="shared" si="10"/>
        <v/>
      </c>
      <c r="AI19" s="18" t="str">
        <f t="shared" si="11"/>
        <v/>
      </c>
      <c r="AJ19" s="18" t="str">
        <f t="shared" ca="1" si="12"/>
        <v/>
      </c>
    </row>
    <row r="20" spans="1:36">
      <c r="A20" s="18">
        <v>17</v>
      </c>
      <c r="B20" s="15" t="s">
        <v>147</v>
      </c>
      <c r="C20" s="15" t="s">
        <v>36</v>
      </c>
      <c r="D20" s="15" t="s">
        <v>64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8" t="str">
        <f t="shared" ca="1" si="0"/>
        <v/>
      </c>
      <c r="U20" s="18">
        <f t="shared" ca="1" si="13"/>
        <v>0</v>
      </c>
      <c r="V20" s="18" t="str">
        <f t="shared" si="1"/>
        <v/>
      </c>
      <c r="W20" s="18" t="str">
        <f t="shared" si="2"/>
        <v/>
      </c>
      <c r="X20" s="18" t="str">
        <f t="shared" si="3"/>
        <v/>
      </c>
      <c r="Y20" s="19" t="str">
        <f>IF(OR(L20="",V20=""),"",IFERROR(INDEX(لیست‌ها!$Q$3:$Q$53,MATCH(V20,لیست‌ها!$P$3:$P$53,0))+IF(W20&lt;=6,(W20-1)*31+X20,IF(W20&lt;=11,186+(W20-7)*30+X20,336+X20))-1,""))</f>
        <v/>
      </c>
      <c r="Z20" s="18" t="str">
        <f t="shared" si="4"/>
        <v/>
      </c>
      <c r="AA20" s="18" t="str">
        <f t="shared" si="5"/>
        <v/>
      </c>
      <c r="AB20" s="18" t="str">
        <f t="shared" si="6"/>
        <v/>
      </c>
      <c r="AC20" s="18" t="str">
        <f>IF(OR(H20="",Z20=""),"",IFERROR(INDEX(لیست‌ها!$Q$3:$Q$53,MATCH(Z20,لیست‌ها!$P$3:$P$53,0))+IF(AA20&lt;=6,(AA20-1)*31+AB20,IF(AA20&lt;=11,186+(AA20-7)*30+AB20,336+AB20))-1,""))</f>
        <v/>
      </c>
      <c r="AD20" s="18" t="str">
        <f t="shared" si="7"/>
        <v/>
      </c>
      <c r="AE20" s="18" t="str">
        <f t="shared" si="8"/>
        <v/>
      </c>
      <c r="AF20" s="18" t="str">
        <f t="shared" si="9"/>
        <v/>
      </c>
      <c r="AG20" s="18" t="str">
        <f>IF(OR(O20="",AD20=""),"",IFERROR(INDEX(لیست‌ها!$Q$3:$Q$53,MATCH(AD20,لیست‌ها!$P$3:$P$53,0))+IF(AE20&lt;=6,(AE20-1)*31+AF20,IF(AE20&lt;=11,186+(AE20-7)*30+AF20,336+AF20))-1,""))</f>
        <v/>
      </c>
      <c r="AH20" s="18" t="str">
        <f t="shared" si="10"/>
        <v/>
      </c>
      <c r="AI20" s="18" t="str">
        <f t="shared" si="11"/>
        <v/>
      </c>
      <c r="AJ20" s="18" t="str">
        <f t="shared" ca="1" si="12"/>
        <v/>
      </c>
    </row>
    <row r="21" spans="1:36">
      <c r="A21" s="18">
        <v>18</v>
      </c>
      <c r="B21" s="15" t="s">
        <v>148</v>
      </c>
      <c r="C21" s="15" t="s">
        <v>36</v>
      </c>
      <c r="D21" s="15" t="s">
        <v>64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8" t="str">
        <f t="shared" ca="1" si="0"/>
        <v/>
      </c>
      <c r="U21" s="18">
        <f t="shared" ca="1" si="13"/>
        <v>0</v>
      </c>
      <c r="V21" s="18" t="str">
        <f t="shared" si="1"/>
        <v/>
      </c>
      <c r="W21" s="18" t="str">
        <f t="shared" si="2"/>
        <v/>
      </c>
      <c r="X21" s="18" t="str">
        <f t="shared" si="3"/>
        <v/>
      </c>
      <c r="Y21" s="19" t="str">
        <f>IF(OR(L21="",V21=""),"",IFERROR(INDEX(لیست‌ها!$Q$3:$Q$53,MATCH(V21,لیست‌ها!$P$3:$P$53,0))+IF(W21&lt;=6,(W21-1)*31+X21,IF(W21&lt;=11,186+(W21-7)*30+X21,336+X21))-1,""))</f>
        <v/>
      </c>
      <c r="Z21" s="18" t="str">
        <f t="shared" si="4"/>
        <v/>
      </c>
      <c r="AA21" s="18" t="str">
        <f t="shared" si="5"/>
        <v/>
      </c>
      <c r="AB21" s="18" t="str">
        <f t="shared" si="6"/>
        <v/>
      </c>
      <c r="AC21" s="18" t="str">
        <f>IF(OR(H21="",Z21=""),"",IFERROR(INDEX(لیست‌ها!$Q$3:$Q$53,MATCH(Z21,لیست‌ها!$P$3:$P$53,0))+IF(AA21&lt;=6,(AA21-1)*31+AB21,IF(AA21&lt;=11,186+(AA21-7)*30+AB21,336+AB21))-1,""))</f>
        <v/>
      </c>
      <c r="AD21" s="18" t="str">
        <f t="shared" si="7"/>
        <v/>
      </c>
      <c r="AE21" s="18" t="str">
        <f t="shared" si="8"/>
        <v/>
      </c>
      <c r="AF21" s="18" t="str">
        <f t="shared" si="9"/>
        <v/>
      </c>
      <c r="AG21" s="18" t="str">
        <f>IF(OR(O21="",AD21=""),"",IFERROR(INDEX(لیست‌ها!$Q$3:$Q$53,MATCH(AD21,لیست‌ها!$P$3:$P$53,0))+IF(AE21&lt;=6,(AE21-1)*31+AF21,IF(AE21&lt;=11,186+(AE21-7)*30+AF21,336+AF21))-1,""))</f>
        <v/>
      </c>
      <c r="AH21" s="18" t="str">
        <f t="shared" si="10"/>
        <v/>
      </c>
      <c r="AI21" s="18" t="str">
        <f t="shared" si="11"/>
        <v/>
      </c>
      <c r="AJ21" s="18" t="str">
        <f t="shared" ca="1" si="12"/>
        <v/>
      </c>
    </row>
    <row r="22" spans="1:36">
      <c r="A22" s="18">
        <v>19</v>
      </c>
      <c r="B22" s="15" t="s">
        <v>149</v>
      </c>
      <c r="C22" s="15" t="s">
        <v>36</v>
      </c>
      <c r="D22" s="15" t="s">
        <v>64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8" t="str">
        <f t="shared" ca="1" si="0"/>
        <v/>
      </c>
      <c r="U22" s="18">
        <f t="shared" ca="1" si="13"/>
        <v>0</v>
      </c>
      <c r="V22" s="18" t="str">
        <f t="shared" si="1"/>
        <v/>
      </c>
      <c r="W22" s="18" t="str">
        <f t="shared" si="2"/>
        <v/>
      </c>
      <c r="X22" s="18" t="str">
        <f t="shared" si="3"/>
        <v/>
      </c>
      <c r="Y22" s="19" t="str">
        <f>IF(OR(L22="",V22=""),"",IFERROR(INDEX(لیست‌ها!$Q$3:$Q$53,MATCH(V22,لیست‌ها!$P$3:$P$53,0))+IF(W22&lt;=6,(W22-1)*31+X22,IF(W22&lt;=11,186+(W22-7)*30+X22,336+X22))-1,""))</f>
        <v/>
      </c>
      <c r="Z22" s="18" t="str">
        <f t="shared" si="4"/>
        <v/>
      </c>
      <c r="AA22" s="18" t="str">
        <f t="shared" si="5"/>
        <v/>
      </c>
      <c r="AB22" s="18" t="str">
        <f t="shared" si="6"/>
        <v/>
      </c>
      <c r="AC22" s="18" t="str">
        <f>IF(OR(H22="",Z22=""),"",IFERROR(INDEX(لیست‌ها!$Q$3:$Q$53,MATCH(Z22,لیست‌ها!$P$3:$P$53,0))+IF(AA22&lt;=6,(AA22-1)*31+AB22,IF(AA22&lt;=11,186+(AA22-7)*30+AB22,336+AB22))-1,""))</f>
        <v/>
      </c>
      <c r="AD22" s="18" t="str">
        <f t="shared" si="7"/>
        <v/>
      </c>
      <c r="AE22" s="18" t="str">
        <f t="shared" si="8"/>
        <v/>
      </c>
      <c r="AF22" s="18" t="str">
        <f t="shared" si="9"/>
        <v/>
      </c>
      <c r="AG22" s="18" t="str">
        <f>IF(OR(O22="",AD22=""),"",IFERROR(INDEX(لیست‌ها!$Q$3:$Q$53,MATCH(AD22,لیست‌ها!$P$3:$P$53,0))+IF(AE22&lt;=6,(AE22-1)*31+AF22,IF(AE22&lt;=11,186+(AE22-7)*30+AF22,336+AF22))-1,""))</f>
        <v/>
      </c>
      <c r="AH22" s="18" t="str">
        <f t="shared" si="10"/>
        <v/>
      </c>
      <c r="AI22" s="18" t="str">
        <f t="shared" si="11"/>
        <v/>
      </c>
      <c r="AJ22" s="18" t="str">
        <f t="shared" ca="1" si="12"/>
        <v/>
      </c>
    </row>
    <row r="23" spans="1:36">
      <c r="A23" s="18">
        <v>20</v>
      </c>
      <c r="B23" s="15" t="s">
        <v>150</v>
      </c>
      <c r="C23" s="15" t="s">
        <v>36</v>
      </c>
      <c r="D23" s="15" t="s">
        <v>64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8" t="str">
        <f t="shared" ca="1" si="0"/>
        <v/>
      </c>
      <c r="U23" s="18">
        <f t="shared" ca="1" si="13"/>
        <v>0</v>
      </c>
      <c r="V23" s="18" t="str">
        <f t="shared" si="1"/>
        <v/>
      </c>
      <c r="W23" s="18" t="str">
        <f t="shared" si="2"/>
        <v/>
      </c>
      <c r="X23" s="18" t="str">
        <f t="shared" si="3"/>
        <v/>
      </c>
      <c r="Y23" s="19" t="str">
        <f>IF(OR(L23="",V23=""),"",IFERROR(INDEX(لیست‌ها!$Q$3:$Q$53,MATCH(V23,لیست‌ها!$P$3:$P$53,0))+IF(W23&lt;=6,(W23-1)*31+X23,IF(W23&lt;=11,186+(W23-7)*30+X23,336+X23))-1,""))</f>
        <v/>
      </c>
      <c r="Z23" s="18" t="str">
        <f t="shared" si="4"/>
        <v/>
      </c>
      <c r="AA23" s="18" t="str">
        <f t="shared" si="5"/>
        <v/>
      </c>
      <c r="AB23" s="18" t="str">
        <f t="shared" si="6"/>
        <v/>
      </c>
      <c r="AC23" s="19" t="str">
        <f>IF(OR(H23="",Z23=""),"",IFERROR(INDEX(لیست‌ها!$Q$3:$Q$53,MATCH(Z23,لیست‌ها!$P$3:$P$53,0))+IF(AA23&lt;=6,(AA23-1)*31+AB23,IF(AA23&lt;=11,186+(AA23-7)*30+AB23,336+AB23))-1,""))</f>
        <v/>
      </c>
      <c r="AD23" s="18" t="str">
        <f t="shared" si="7"/>
        <v/>
      </c>
      <c r="AE23" s="18" t="str">
        <f t="shared" si="8"/>
        <v/>
      </c>
      <c r="AF23" s="18" t="str">
        <f t="shared" si="9"/>
        <v/>
      </c>
      <c r="AG23" s="18" t="str">
        <f>IF(OR(O23="",AD23=""),"",IFERROR(INDEX(لیست‌ها!$Q$3:$Q$53,MATCH(AD23,لیست‌ها!$P$3:$P$53,0))+IF(AE23&lt;=6,(AE23-1)*31+AF23,IF(AE23&lt;=11,186+(AE23-7)*30+AF23,336+AF23))-1,""))</f>
        <v/>
      </c>
      <c r="AH23" s="18" t="str">
        <f t="shared" si="10"/>
        <v/>
      </c>
      <c r="AI23" s="18" t="str">
        <f t="shared" si="11"/>
        <v/>
      </c>
      <c r="AJ23" s="18" t="str">
        <f t="shared" ca="1" si="12"/>
        <v/>
      </c>
    </row>
    <row r="24" spans="1:36">
      <c r="A24" s="18">
        <v>21</v>
      </c>
      <c r="B24" s="15" t="s">
        <v>151</v>
      </c>
      <c r="C24" s="15" t="s">
        <v>36</v>
      </c>
      <c r="D24" s="15" t="s">
        <v>64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8" t="str">
        <f t="shared" ca="1" si="0"/>
        <v/>
      </c>
      <c r="U24" s="18">
        <f t="shared" ca="1" si="13"/>
        <v>0</v>
      </c>
      <c r="V24" s="18" t="str">
        <f t="shared" si="1"/>
        <v/>
      </c>
      <c r="W24" s="18" t="str">
        <f t="shared" si="2"/>
        <v/>
      </c>
      <c r="X24" s="18" t="str">
        <f t="shared" si="3"/>
        <v/>
      </c>
      <c r="Y24" s="19" t="str">
        <f>IF(OR(L24="",V24=""),"",IFERROR(INDEX(لیست‌ها!$Q$3:$Q$53,MATCH(V24,لیست‌ها!$P$3:$P$53,0))+IF(W24&lt;=6,(W24-1)*31+X24,IF(W24&lt;=11,186+(W24-7)*30+X24,336+X24))-1,""))</f>
        <v/>
      </c>
      <c r="Z24" s="18" t="str">
        <f t="shared" si="4"/>
        <v/>
      </c>
      <c r="AA24" s="18" t="str">
        <f t="shared" si="5"/>
        <v/>
      </c>
      <c r="AB24" s="18" t="str">
        <f t="shared" si="6"/>
        <v/>
      </c>
      <c r="AC24" s="18" t="str">
        <f>IF(OR(H24="",Z24=""),"",IFERROR(INDEX(لیست‌ها!$Q$3:$Q$53,MATCH(Z24,لیست‌ها!$P$3:$P$53,0))+IF(AA24&lt;=6,(AA24-1)*31+AB24,IF(AA24&lt;=11,186+(AA24-7)*30+AB24,336+AB24))-1,""))</f>
        <v/>
      </c>
      <c r="AD24" s="18" t="str">
        <f t="shared" si="7"/>
        <v/>
      </c>
      <c r="AE24" s="18" t="str">
        <f t="shared" si="8"/>
        <v/>
      </c>
      <c r="AF24" s="18" t="str">
        <f t="shared" si="9"/>
        <v/>
      </c>
      <c r="AG24" s="18" t="str">
        <f>IF(OR(O24="",AD24=""),"",IFERROR(INDEX(لیست‌ها!$Q$3:$Q$53,MATCH(AD24,لیست‌ها!$P$3:$P$53,0))+IF(AE24&lt;=6,(AE24-1)*31+AF24,IF(AE24&lt;=11,186+(AE24-7)*30+AF24,336+AF24))-1,""))</f>
        <v/>
      </c>
      <c r="AH24" s="18" t="str">
        <f t="shared" si="10"/>
        <v/>
      </c>
      <c r="AI24" s="18" t="str">
        <f t="shared" si="11"/>
        <v/>
      </c>
      <c r="AJ24" s="18" t="str">
        <f t="shared" ca="1" si="12"/>
        <v/>
      </c>
    </row>
    <row r="25" spans="1:36">
      <c r="A25" s="18">
        <v>22</v>
      </c>
      <c r="B25" s="15" t="s">
        <v>152</v>
      </c>
      <c r="C25" s="15" t="s">
        <v>36</v>
      </c>
      <c r="D25" s="15" t="s">
        <v>64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8" t="str">
        <f t="shared" ca="1" si="0"/>
        <v/>
      </c>
      <c r="U25" s="18">
        <f t="shared" ca="1" si="13"/>
        <v>0</v>
      </c>
      <c r="V25" s="18" t="str">
        <f t="shared" si="1"/>
        <v/>
      </c>
      <c r="W25" s="18" t="str">
        <f t="shared" si="2"/>
        <v/>
      </c>
      <c r="X25" s="18" t="str">
        <f t="shared" si="3"/>
        <v/>
      </c>
      <c r="Y25" s="19" t="str">
        <f>IF(OR(L25="",V25=""),"",IFERROR(INDEX(لیست‌ها!$Q$3:$Q$53,MATCH(V25,لیست‌ها!$P$3:$P$53,0))+IF(W25&lt;=6,(W25-1)*31+X25,IF(W25&lt;=11,186+(W25-7)*30+X25,336+X25))-1,""))</f>
        <v/>
      </c>
      <c r="Z25" s="18" t="str">
        <f t="shared" si="4"/>
        <v/>
      </c>
      <c r="AA25" s="18" t="str">
        <f t="shared" si="5"/>
        <v/>
      </c>
      <c r="AB25" s="18" t="str">
        <f t="shared" si="6"/>
        <v/>
      </c>
      <c r="AC25" s="18" t="str">
        <f>IF(OR(H25="",Z25=""),"",IFERROR(INDEX(لیست‌ها!$Q$3:$Q$53,MATCH(Z25,لیست‌ها!$P$3:$P$53,0))+IF(AA25&lt;=6,(AA25-1)*31+AB25,IF(AA25&lt;=11,186+(AA25-7)*30+AB25,336+AB25))-1,""))</f>
        <v/>
      </c>
      <c r="AD25" s="18" t="str">
        <f t="shared" si="7"/>
        <v/>
      </c>
      <c r="AE25" s="18" t="str">
        <f t="shared" si="8"/>
        <v/>
      </c>
      <c r="AF25" s="18" t="str">
        <f t="shared" si="9"/>
        <v/>
      </c>
      <c r="AG25" s="18" t="str">
        <f>IF(OR(O25="",AD25=""),"",IFERROR(INDEX(لیست‌ها!$Q$3:$Q$53,MATCH(AD25,لیست‌ها!$P$3:$P$53,0))+IF(AE25&lt;=6,(AE25-1)*31+AF25,IF(AE25&lt;=11,186+(AE25-7)*30+AF25,336+AF25))-1,""))</f>
        <v/>
      </c>
      <c r="AH25" s="18" t="str">
        <f t="shared" si="10"/>
        <v/>
      </c>
      <c r="AI25" s="18" t="str">
        <f t="shared" si="11"/>
        <v/>
      </c>
      <c r="AJ25" s="18" t="str">
        <f t="shared" ca="1" si="12"/>
        <v/>
      </c>
    </row>
    <row r="26" spans="1:36">
      <c r="A26" s="18">
        <v>23</v>
      </c>
      <c r="B26" s="15" t="s">
        <v>153</v>
      </c>
      <c r="C26" s="15" t="s">
        <v>36</v>
      </c>
      <c r="D26" s="15" t="s">
        <v>64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8" t="str">
        <f t="shared" ca="1" si="0"/>
        <v/>
      </c>
      <c r="U26" s="18">
        <f t="shared" ca="1" si="13"/>
        <v>0</v>
      </c>
      <c r="V26" s="18" t="str">
        <f t="shared" si="1"/>
        <v/>
      </c>
      <c r="W26" s="18" t="str">
        <f t="shared" si="2"/>
        <v/>
      </c>
      <c r="X26" s="18" t="str">
        <f t="shared" si="3"/>
        <v/>
      </c>
      <c r="Y26" s="19" t="str">
        <f>IF(OR(L26="",V26=""),"",IFERROR(INDEX(لیست‌ها!$Q$3:$Q$53,MATCH(V26,لیست‌ها!$P$3:$P$53,0))+IF(W26&lt;=6,(W26-1)*31+X26,IF(W26&lt;=11,186+(W26-7)*30+X26,336+X26))-1,""))</f>
        <v/>
      </c>
      <c r="Z26" s="18" t="str">
        <f t="shared" si="4"/>
        <v/>
      </c>
      <c r="AA26" s="18" t="str">
        <f t="shared" si="5"/>
        <v/>
      </c>
      <c r="AB26" s="18" t="str">
        <f t="shared" si="6"/>
        <v/>
      </c>
      <c r="AC26" s="18" t="str">
        <f>IF(OR(H26="",Z26=""),"",IFERROR(INDEX(لیست‌ها!$Q$3:$Q$53,MATCH(Z26,لیست‌ها!$P$3:$P$53,0))+IF(AA26&lt;=6,(AA26-1)*31+AB26,IF(AA26&lt;=11,186+(AA26-7)*30+AB26,336+AB26))-1,""))</f>
        <v/>
      </c>
      <c r="AD26" s="18" t="str">
        <f t="shared" si="7"/>
        <v/>
      </c>
      <c r="AE26" s="18" t="str">
        <f t="shared" si="8"/>
        <v/>
      </c>
      <c r="AF26" s="18" t="str">
        <f t="shared" si="9"/>
        <v/>
      </c>
      <c r="AG26" s="18" t="str">
        <f>IF(OR(O26="",AD26=""),"",IFERROR(INDEX(لیست‌ها!$Q$3:$Q$53,MATCH(AD26,لیست‌ها!$P$3:$P$53,0))+IF(AE26&lt;=6,(AE26-1)*31+AF26,IF(AE26&lt;=11,186+(AE26-7)*30+AF26,336+AF26))-1,""))</f>
        <v/>
      </c>
      <c r="AH26" s="18" t="str">
        <f t="shared" si="10"/>
        <v/>
      </c>
      <c r="AI26" s="18" t="str">
        <f t="shared" si="11"/>
        <v/>
      </c>
      <c r="AJ26" s="18" t="str">
        <f t="shared" ca="1" si="12"/>
        <v/>
      </c>
    </row>
    <row r="27" spans="1:36">
      <c r="A27" s="18">
        <v>24</v>
      </c>
      <c r="B27" s="15" t="s">
        <v>154</v>
      </c>
      <c r="C27" s="15" t="s">
        <v>36</v>
      </c>
      <c r="D27" s="15" t="s">
        <v>64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8" t="str">
        <f t="shared" ca="1" si="0"/>
        <v/>
      </c>
      <c r="U27" s="18">
        <f t="shared" ca="1" si="13"/>
        <v>0</v>
      </c>
      <c r="V27" s="18" t="str">
        <f t="shared" si="1"/>
        <v/>
      </c>
      <c r="W27" s="18" t="str">
        <f t="shared" si="2"/>
        <v/>
      </c>
      <c r="X27" s="18" t="str">
        <f t="shared" si="3"/>
        <v/>
      </c>
      <c r="Y27" s="19" t="str">
        <f>IF(OR(L27="",V27=""),"",IFERROR(INDEX(لیست‌ها!$Q$3:$Q$53,MATCH(V27,لیست‌ها!$P$3:$P$53,0))+IF(W27&lt;=6,(W27-1)*31+X27,IF(W27&lt;=11,186+(W27-7)*30+X27,336+X27))-1,""))</f>
        <v/>
      </c>
      <c r="Z27" s="18" t="str">
        <f t="shared" si="4"/>
        <v/>
      </c>
      <c r="AA27" s="18" t="str">
        <f t="shared" si="5"/>
        <v/>
      </c>
      <c r="AB27" s="18" t="str">
        <f t="shared" si="6"/>
        <v/>
      </c>
      <c r="AC27" s="18" t="str">
        <f>IF(OR(H27="",Z27=""),"",IFERROR(INDEX(لیست‌ها!$Q$3:$Q$53,MATCH(Z27,لیست‌ها!$P$3:$P$53,0))+IF(AA27&lt;=6,(AA27-1)*31+AB27,IF(AA27&lt;=11,186+(AA27-7)*30+AB27,336+AB27))-1,""))</f>
        <v/>
      </c>
      <c r="AD27" s="18" t="str">
        <f t="shared" si="7"/>
        <v/>
      </c>
      <c r="AE27" s="18" t="str">
        <f t="shared" si="8"/>
        <v/>
      </c>
      <c r="AF27" s="18" t="str">
        <f t="shared" si="9"/>
        <v/>
      </c>
      <c r="AG27" s="18" t="str">
        <f>IF(OR(O27="",AD27=""),"",IFERROR(INDEX(لیست‌ها!$Q$3:$Q$53,MATCH(AD27,لیست‌ها!$P$3:$P$53,0))+IF(AE27&lt;=6,(AE27-1)*31+AF27,IF(AE27&lt;=11,186+(AE27-7)*30+AF27,336+AF27))-1,""))</f>
        <v/>
      </c>
      <c r="AH27" s="18" t="str">
        <f t="shared" si="10"/>
        <v/>
      </c>
      <c r="AI27" s="18" t="str">
        <f t="shared" si="11"/>
        <v/>
      </c>
      <c r="AJ27" s="18" t="str">
        <f t="shared" ca="1" si="12"/>
        <v/>
      </c>
    </row>
    <row r="28" spans="1:36">
      <c r="A28" s="18">
        <v>25</v>
      </c>
      <c r="B28" s="15" t="s">
        <v>155</v>
      </c>
      <c r="C28" s="15" t="s">
        <v>36</v>
      </c>
      <c r="D28" s="15" t="s">
        <v>43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8" t="str">
        <f t="shared" ca="1" si="0"/>
        <v/>
      </c>
      <c r="U28" s="18">
        <f t="shared" ca="1" si="13"/>
        <v>0</v>
      </c>
      <c r="V28" s="18" t="str">
        <f t="shared" si="1"/>
        <v/>
      </c>
      <c r="W28" s="18" t="str">
        <f t="shared" si="2"/>
        <v/>
      </c>
      <c r="X28" s="18" t="str">
        <f t="shared" si="3"/>
        <v/>
      </c>
      <c r="Y28" s="19" t="str">
        <f>IF(OR(L28="",V28=""),"",IFERROR(INDEX(لیست‌ها!$Q$3:$Q$53,MATCH(V28,لیست‌ها!$P$3:$P$53,0))+IF(W28&lt;=6,(W28-1)*31+X28,IF(W28&lt;=11,186+(W28-7)*30+X28,336+X28))-1,""))</f>
        <v/>
      </c>
      <c r="Z28" s="18" t="str">
        <f t="shared" si="4"/>
        <v/>
      </c>
      <c r="AA28" s="18" t="str">
        <f t="shared" si="5"/>
        <v/>
      </c>
      <c r="AB28" s="18" t="str">
        <f t="shared" si="6"/>
        <v/>
      </c>
      <c r="AC28" s="18" t="str">
        <f>IF(OR(H28="",Z28=""),"",IFERROR(INDEX(لیست‌ها!$Q$3:$Q$53,MATCH(Z28,لیست‌ها!$P$3:$P$53,0))+IF(AA28&lt;=6,(AA28-1)*31+AB28,IF(AA28&lt;=11,186+(AA28-7)*30+AB28,336+AB28))-1,""))</f>
        <v/>
      </c>
      <c r="AD28" s="18" t="str">
        <f t="shared" si="7"/>
        <v/>
      </c>
      <c r="AE28" s="18" t="str">
        <f t="shared" si="8"/>
        <v/>
      </c>
      <c r="AF28" s="18" t="str">
        <f t="shared" si="9"/>
        <v/>
      </c>
      <c r="AG28" s="18" t="str">
        <f>IF(OR(O28="",AD28=""),"",IFERROR(INDEX(لیست‌ها!$Q$3:$Q$53,MATCH(AD28,لیست‌ها!$P$3:$P$53,0))+IF(AE28&lt;=6,(AE28-1)*31+AF28,IF(AE28&lt;=11,186+(AE28-7)*30+AF28,336+AF28))-1,""))</f>
        <v/>
      </c>
      <c r="AH28" s="18" t="str">
        <f t="shared" si="10"/>
        <v/>
      </c>
      <c r="AI28" s="18" t="str">
        <f t="shared" si="11"/>
        <v/>
      </c>
      <c r="AJ28" s="18" t="str">
        <f t="shared" ca="1" si="12"/>
        <v/>
      </c>
    </row>
    <row r="29" spans="1:36">
      <c r="A29" s="18">
        <v>26</v>
      </c>
      <c r="B29" s="15" t="s">
        <v>156</v>
      </c>
      <c r="C29" s="15" t="s">
        <v>36</v>
      </c>
      <c r="D29" s="15" t="s">
        <v>43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8" t="str">
        <f t="shared" ca="1" si="0"/>
        <v/>
      </c>
      <c r="U29" s="18">
        <f t="shared" ca="1" si="13"/>
        <v>0</v>
      </c>
      <c r="V29" s="18" t="str">
        <f t="shared" si="1"/>
        <v/>
      </c>
      <c r="W29" s="18" t="str">
        <f t="shared" si="2"/>
        <v/>
      </c>
      <c r="X29" s="18" t="str">
        <f t="shared" si="3"/>
        <v/>
      </c>
      <c r="Y29" s="19" t="str">
        <f>IF(OR(L29="",V29=""),"",IFERROR(INDEX(لیست‌ها!$Q$3:$Q$53,MATCH(V29,لیست‌ها!$P$3:$P$53,0))+IF(W29&lt;=6,(W29-1)*31+X29,IF(W29&lt;=11,186+(W29-7)*30+X29,336+X29))-1,""))</f>
        <v/>
      </c>
      <c r="Z29" s="18" t="str">
        <f t="shared" si="4"/>
        <v/>
      </c>
      <c r="AA29" s="18" t="str">
        <f t="shared" si="5"/>
        <v/>
      </c>
      <c r="AB29" s="18" t="str">
        <f t="shared" si="6"/>
        <v/>
      </c>
      <c r="AC29" s="18" t="str">
        <f>IF(OR(H29="",Z29=""),"",IFERROR(INDEX(لیست‌ها!$Q$3:$Q$53,MATCH(Z29,لیست‌ها!$P$3:$P$53,0))+IF(AA29&lt;=6,(AA29-1)*31+AB29,IF(AA29&lt;=11,186+(AA29-7)*30+AB29,336+AB29))-1,""))</f>
        <v/>
      </c>
      <c r="AD29" s="18" t="str">
        <f t="shared" si="7"/>
        <v/>
      </c>
      <c r="AE29" s="18" t="str">
        <f t="shared" si="8"/>
        <v/>
      </c>
      <c r="AF29" s="18" t="str">
        <f t="shared" si="9"/>
        <v/>
      </c>
      <c r="AG29" s="18" t="str">
        <f>IF(OR(O29="",AD29=""),"",IFERROR(INDEX(لیست‌ها!$Q$3:$Q$53,MATCH(AD29,لیست‌ها!$P$3:$P$53,0))+IF(AE29&lt;=6,(AE29-1)*31+AF29,IF(AE29&lt;=11,186+(AE29-7)*30+AF29,336+AF29))-1,""))</f>
        <v/>
      </c>
      <c r="AH29" s="18" t="str">
        <f t="shared" si="10"/>
        <v/>
      </c>
      <c r="AI29" s="18" t="str">
        <f t="shared" si="11"/>
        <v/>
      </c>
      <c r="AJ29" s="18" t="str">
        <f t="shared" ca="1" si="12"/>
        <v/>
      </c>
    </row>
    <row r="30" spans="1:36">
      <c r="A30" s="18">
        <v>27</v>
      </c>
      <c r="B30" s="15" t="s">
        <v>157</v>
      </c>
      <c r="C30" s="15" t="s">
        <v>36</v>
      </c>
      <c r="D30" s="15" t="s">
        <v>43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8" t="str">
        <f t="shared" ca="1" si="0"/>
        <v/>
      </c>
      <c r="U30" s="18">
        <f t="shared" ca="1" si="13"/>
        <v>0</v>
      </c>
      <c r="V30" s="18" t="str">
        <f t="shared" si="1"/>
        <v/>
      </c>
      <c r="W30" s="18" t="str">
        <f t="shared" si="2"/>
        <v/>
      </c>
      <c r="X30" s="18" t="str">
        <f t="shared" si="3"/>
        <v/>
      </c>
      <c r="Y30" s="19" t="str">
        <f>IF(OR(L30="",V30=""),"",IFERROR(INDEX(لیست‌ها!$Q$3:$Q$53,MATCH(V30,لیست‌ها!$P$3:$P$53,0))+IF(W30&lt;=6,(W30-1)*31+X30,IF(W30&lt;=11,186+(W30-7)*30+X30,336+X30))-1,""))</f>
        <v/>
      </c>
      <c r="Z30" s="18" t="str">
        <f t="shared" si="4"/>
        <v/>
      </c>
      <c r="AA30" s="18" t="str">
        <f t="shared" si="5"/>
        <v/>
      </c>
      <c r="AB30" s="18" t="str">
        <f t="shared" si="6"/>
        <v/>
      </c>
      <c r="AC30" s="18" t="str">
        <f>IF(OR(H30="",Z30=""),"",IFERROR(INDEX(لیست‌ها!$Q$3:$Q$53,MATCH(Z30,لیست‌ها!$P$3:$P$53,0))+IF(AA30&lt;=6,(AA30-1)*31+AB30,IF(AA30&lt;=11,186+(AA30-7)*30+AB30,336+AB30))-1,""))</f>
        <v/>
      </c>
      <c r="AD30" s="18" t="str">
        <f t="shared" si="7"/>
        <v/>
      </c>
      <c r="AE30" s="18" t="str">
        <f t="shared" si="8"/>
        <v/>
      </c>
      <c r="AF30" s="18" t="str">
        <f t="shared" si="9"/>
        <v/>
      </c>
      <c r="AG30" s="18" t="str">
        <f>IF(OR(O30="",AD30=""),"",IFERROR(INDEX(لیست‌ها!$Q$3:$Q$53,MATCH(AD30,لیست‌ها!$P$3:$P$53,0))+IF(AE30&lt;=6,(AE30-1)*31+AF30,IF(AE30&lt;=11,186+(AE30-7)*30+AF30,336+AF30))-1,""))</f>
        <v/>
      </c>
      <c r="AH30" s="18" t="str">
        <f t="shared" si="10"/>
        <v/>
      </c>
      <c r="AI30" s="18" t="str">
        <f t="shared" si="11"/>
        <v/>
      </c>
      <c r="AJ30" s="18" t="str">
        <f t="shared" ca="1" si="12"/>
        <v/>
      </c>
    </row>
    <row r="31" spans="1:36">
      <c r="A31" s="18">
        <v>28</v>
      </c>
      <c r="B31" s="15" t="s">
        <v>158</v>
      </c>
      <c r="C31" s="15" t="s">
        <v>36</v>
      </c>
      <c r="D31" s="15" t="s">
        <v>43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8" t="str">
        <f t="shared" ca="1" si="0"/>
        <v/>
      </c>
      <c r="U31" s="18">
        <f t="shared" ca="1" si="13"/>
        <v>0</v>
      </c>
      <c r="V31" s="18" t="str">
        <f t="shared" si="1"/>
        <v/>
      </c>
      <c r="W31" s="18" t="str">
        <f t="shared" si="2"/>
        <v/>
      </c>
      <c r="X31" s="18" t="str">
        <f t="shared" si="3"/>
        <v/>
      </c>
      <c r="Y31" s="19" t="str">
        <f>IF(OR(L31="",V31=""),"",IFERROR(INDEX(لیست‌ها!$Q$3:$Q$53,MATCH(V31,لیست‌ها!$P$3:$P$53,0))+IF(W31&lt;=6,(W31-1)*31+X31,IF(W31&lt;=11,186+(W31-7)*30+X31,336+X31))-1,""))</f>
        <v/>
      </c>
      <c r="Z31" s="18" t="str">
        <f t="shared" si="4"/>
        <v/>
      </c>
      <c r="AA31" s="18" t="str">
        <f t="shared" si="5"/>
        <v/>
      </c>
      <c r="AB31" s="18" t="str">
        <f t="shared" si="6"/>
        <v/>
      </c>
      <c r="AC31" s="18" t="str">
        <f>IF(OR(H31="",Z31=""),"",IFERROR(INDEX(لیست‌ها!$Q$3:$Q$53,MATCH(Z31,لیست‌ها!$P$3:$P$53,0))+IF(AA31&lt;=6,(AA31-1)*31+AB31,IF(AA31&lt;=11,186+(AA31-7)*30+AB31,336+AB31))-1,""))</f>
        <v/>
      </c>
      <c r="AD31" s="18" t="str">
        <f t="shared" si="7"/>
        <v/>
      </c>
      <c r="AE31" s="18" t="str">
        <f t="shared" si="8"/>
        <v/>
      </c>
      <c r="AF31" s="18" t="str">
        <f t="shared" si="9"/>
        <v/>
      </c>
      <c r="AG31" s="18" t="str">
        <f>IF(OR(O31="",AD31=""),"",IFERROR(INDEX(لیست‌ها!$Q$3:$Q$53,MATCH(AD31,لیست‌ها!$P$3:$P$53,0))+IF(AE31&lt;=6,(AE31-1)*31+AF31,IF(AE31&lt;=11,186+(AE31-7)*30+AF31,336+AF31))-1,""))</f>
        <v/>
      </c>
      <c r="AH31" s="18" t="str">
        <f t="shared" si="10"/>
        <v/>
      </c>
      <c r="AI31" s="18" t="str">
        <f t="shared" si="11"/>
        <v/>
      </c>
      <c r="AJ31" s="18" t="str">
        <f t="shared" ca="1" si="12"/>
        <v/>
      </c>
    </row>
    <row r="32" spans="1:36">
      <c r="A32" s="18">
        <v>29</v>
      </c>
      <c r="B32" s="15" t="s">
        <v>159</v>
      </c>
      <c r="C32" s="15" t="s">
        <v>36</v>
      </c>
      <c r="D32" s="15" t="s">
        <v>64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8" t="str">
        <f t="shared" ca="1" si="0"/>
        <v/>
      </c>
      <c r="U32" s="18">
        <f t="shared" ca="1" si="13"/>
        <v>0</v>
      </c>
      <c r="V32" s="18" t="str">
        <f t="shared" si="1"/>
        <v/>
      </c>
      <c r="W32" s="18" t="str">
        <f t="shared" si="2"/>
        <v/>
      </c>
      <c r="X32" s="18" t="str">
        <f t="shared" si="3"/>
        <v/>
      </c>
      <c r="Y32" s="19" t="str">
        <f>IF(OR(L32="",V32=""),"",IFERROR(INDEX(لیست‌ها!$Q$3:$Q$53,MATCH(V32,لیست‌ها!$P$3:$P$53,0))+IF(W32&lt;=6,(W32-1)*31+X32,IF(W32&lt;=11,186+(W32-7)*30+X32,336+X32))-1,""))</f>
        <v/>
      </c>
      <c r="Z32" s="18" t="str">
        <f t="shared" si="4"/>
        <v/>
      </c>
      <c r="AA32" s="18" t="str">
        <f t="shared" si="5"/>
        <v/>
      </c>
      <c r="AB32" s="18" t="str">
        <f t="shared" si="6"/>
        <v/>
      </c>
      <c r="AC32" s="18" t="str">
        <f>IF(OR(H32="",Z32=""),"",IFERROR(INDEX(لیست‌ها!$Q$3:$Q$53,MATCH(Z32,لیست‌ها!$P$3:$P$53,0))+IF(AA32&lt;=6,(AA32-1)*31+AB32,IF(AA32&lt;=11,186+(AA32-7)*30+AB32,336+AB32))-1,""))</f>
        <v/>
      </c>
      <c r="AD32" s="18" t="str">
        <f t="shared" si="7"/>
        <v/>
      </c>
      <c r="AE32" s="18" t="str">
        <f t="shared" si="8"/>
        <v/>
      </c>
      <c r="AF32" s="18" t="str">
        <f t="shared" si="9"/>
        <v/>
      </c>
      <c r="AG32" s="18" t="str">
        <f>IF(OR(O32="",AD32=""),"",IFERROR(INDEX(لیست‌ها!$Q$3:$Q$53,MATCH(AD32,لیست‌ها!$P$3:$P$53,0))+IF(AE32&lt;=6,(AE32-1)*31+AF32,IF(AE32&lt;=11,186+(AE32-7)*30+AF32,336+AF32))-1,""))</f>
        <v/>
      </c>
      <c r="AH32" s="18" t="str">
        <f t="shared" si="10"/>
        <v/>
      </c>
      <c r="AI32" s="18" t="str">
        <f t="shared" si="11"/>
        <v/>
      </c>
      <c r="AJ32" s="18" t="str">
        <f t="shared" ca="1" si="12"/>
        <v/>
      </c>
    </row>
    <row r="33" spans="1:36">
      <c r="A33" s="18">
        <v>30</v>
      </c>
      <c r="B33" s="15" t="s">
        <v>160</v>
      </c>
      <c r="C33" s="15" t="s">
        <v>36</v>
      </c>
      <c r="D33" s="15" t="s">
        <v>64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8" t="str">
        <f t="shared" ca="1" si="0"/>
        <v/>
      </c>
      <c r="U33" s="18">
        <f t="shared" ca="1" si="13"/>
        <v>0</v>
      </c>
      <c r="V33" s="18" t="str">
        <f t="shared" si="1"/>
        <v/>
      </c>
      <c r="W33" s="18" t="str">
        <f t="shared" si="2"/>
        <v/>
      </c>
      <c r="X33" s="18" t="str">
        <f t="shared" si="3"/>
        <v/>
      </c>
      <c r="Y33" s="19" t="str">
        <f>IF(OR(L33="",V33=""),"",IFERROR(INDEX(لیست‌ها!$Q$3:$Q$53,MATCH(V33,لیست‌ها!$P$3:$P$53,0))+IF(W33&lt;=6,(W33-1)*31+X33,IF(W33&lt;=11,186+(W33-7)*30+X33,336+X33))-1,""))</f>
        <v/>
      </c>
      <c r="Z33" s="18" t="str">
        <f t="shared" si="4"/>
        <v/>
      </c>
      <c r="AA33" s="18" t="str">
        <f t="shared" si="5"/>
        <v/>
      </c>
      <c r="AB33" s="18" t="str">
        <f t="shared" si="6"/>
        <v/>
      </c>
      <c r="AC33" s="18" t="str">
        <f>IF(OR(H33="",Z33=""),"",IFERROR(INDEX(لیست‌ها!$Q$3:$Q$53,MATCH(Z33,لیست‌ها!$P$3:$P$53,0))+IF(AA33&lt;=6,(AA33-1)*31+AB33,IF(AA33&lt;=11,186+(AA33-7)*30+AB33,336+AB33))-1,""))</f>
        <v/>
      </c>
      <c r="AD33" s="18" t="str">
        <f t="shared" si="7"/>
        <v/>
      </c>
      <c r="AE33" s="18" t="str">
        <f t="shared" si="8"/>
        <v/>
      </c>
      <c r="AF33" s="18" t="str">
        <f t="shared" si="9"/>
        <v/>
      </c>
      <c r="AG33" s="18" t="str">
        <f>IF(OR(O33="",AD33=""),"",IFERROR(INDEX(لیست‌ها!$Q$3:$Q$53,MATCH(AD33,لیست‌ها!$P$3:$P$53,0))+IF(AE33&lt;=6,(AE33-1)*31+AF33,IF(AE33&lt;=11,186+(AE33-7)*30+AF33,336+AF33))-1,""))</f>
        <v/>
      </c>
      <c r="AH33" s="18" t="str">
        <f t="shared" si="10"/>
        <v/>
      </c>
      <c r="AI33" s="18" t="str">
        <f t="shared" si="11"/>
        <v/>
      </c>
      <c r="AJ33" s="18" t="str">
        <f t="shared" ca="1" si="12"/>
        <v/>
      </c>
    </row>
    <row r="34" spans="1:36">
      <c r="A34" s="18">
        <v>31</v>
      </c>
      <c r="B34" s="15" t="s">
        <v>161</v>
      </c>
      <c r="C34" s="15" t="s">
        <v>36</v>
      </c>
      <c r="D34" s="15" t="s">
        <v>64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8" t="str">
        <f t="shared" ca="1" si="0"/>
        <v/>
      </c>
      <c r="U34" s="18">
        <f t="shared" ca="1" si="13"/>
        <v>0</v>
      </c>
      <c r="V34" s="18" t="str">
        <f t="shared" si="1"/>
        <v/>
      </c>
      <c r="W34" s="18" t="str">
        <f t="shared" si="2"/>
        <v/>
      </c>
      <c r="X34" s="18" t="str">
        <f t="shared" si="3"/>
        <v/>
      </c>
      <c r="Y34" s="19" t="str">
        <f>IF(OR(L34="",V34=""),"",IFERROR(INDEX(لیست‌ها!$Q$3:$Q$53,MATCH(V34,لیست‌ها!$P$3:$P$53,0))+IF(W34&lt;=6,(W34-1)*31+X34,IF(W34&lt;=11,186+(W34-7)*30+X34,336+X34))-1,""))</f>
        <v/>
      </c>
      <c r="Z34" s="18" t="str">
        <f t="shared" si="4"/>
        <v/>
      </c>
      <c r="AA34" s="18" t="str">
        <f t="shared" si="5"/>
        <v/>
      </c>
      <c r="AB34" s="18" t="str">
        <f t="shared" si="6"/>
        <v/>
      </c>
      <c r="AC34" s="18" t="str">
        <f>IF(OR(H34="",Z34=""),"",IFERROR(INDEX(لیست‌ها!$Q$3:$Q$53,MATCH(Z34,لیست‌ها!$P$3:$P$53,0))+IF(AA34&lt;=6,(AA34-1)*31+AB34,IF(AA34&lt;=11,186+(AA34-7)*30+AB34,336+AB34))-1,""))</f>
        <v/>
      </c>
      <c r="AD34" s="18" t="str">
        <f t="shared" si="7"/>
        <v/>
      </c>
      <c r="AE34" s="18" t="str">
        <f t="shared" si="8"/>
        <v/>
      </c>
      <c r="AF34" s="18" t="str">
        <f t="shared" si="9"/>
        <v/>
      </c>
      <c r="AG34" s="18" t="str">
        <f>IF(OR(O34="",AD34=""),"",IFERROR(INDEX(لیست‌ها!$Q$3:$Q$53,MATCH(AD34,لیست‌ها!$P$3:$P$53,0))+IF(AE34&lt;=6,(AE34-1)*31+AF34,IF(AE34&lt;=11,186+(AE34-7)*30+AF34,336+AF34))-1,""))</f>
        <v/>
      </c>
      <c r="AH34" s="18" t="str">
        <f t="shared" si="10"/>
        <v/>
      </c>
      <c r="AI34" s="18" t="str">
        <f t="shared" si="11"/>
        <v/>
      </c>
      <c r="AJ34" s="18" t="str">
        <f t="shared" ca="1" si="12"/>
        <v/>
      </c>
    </row>
    <row r="35" spans="1:36">
      <c r="A35" s="18">
        <v>32</v>
      </c>
      <c r="B35" s="15" t="s">
        <v>162</v>
      </c>
      <c r="C35" s="15" t="s">
        <v>36</v>
      </c>
      <c r="D35" s="15" t="s">
        <v>64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8" t="str">
        <f t="shared" ca="1" si="0"/>
        <v/>
      </c>
      <c r="U35" s="18">
        <f t="shared" ca="1" si="13"/>
        <v>0</v>
      </c>
      <c r="V35" s="18" t="str">
        <f t="shared" si="1"/>
        <v/>
      </c>
      <c r="W35" s="18" t="str">
        <f t="shared" si="2"/>
        <v/>
      </c>
      <c r="X35" s="18" t="str">
        <f t="shared" si="3"/>
        <v/>
      </c>
      <c r="Y35" s="19" t="str">
        <f>IF(OR(L35="",V35=""),"",IFERROR(INDEX(لیست‌ها!$Q$3:$Q$53,MATCH(V35,لیست‌ها!$P$3:$P$53,0))+IF(W35&lt;=6,(W35-1)*31+X35,IF(W35&lt;=11,186+(W35-7)*30+X35,336+X35))-1,""))</f>
        <v/>
      </c>
      <c r="Z35" s="18" t="str">
        <f t="shared" si="4"/>
        <v/>
      </c>
      <c r="AA35" s="18" t="str">
        <f t="shared" si="5"/>
        <v/>
      </c>
      <c r="AB35" s="18" t="str">
        <f t="shared" si="6"/>
        <v/>
      </c>
      <c r="AC35" s="18" t="str">
        <f>IF(OR(H35="",Z35=""),"",IFERROR(INDEX(لیست‌ها!$Q$3:$Q$53,MATCH(Z35,لیست‌ها!$P$3:$P$53,0))+IF(AA35&lt;=6,(AA35-1)*31+AB35,IF(AA35&lt;=11,186+(AA35-7)*30+AB35,336+AB35))-1,""))</f>
        <v/>
      </c>
      <c r="AD35" s="18" t="str">
        <f t="shared" si="7"/>
        <v/>
      </c>
      <c r="AE35" s="18" t="str">
        <f t="shared" si="8"/>
        <v/>
      </c>
      <c r="AF35" s="18" t="str">
        <f t="shared" si="9"/>
        <v/>
      </c>
      <c r="AG35" s="18" t="str">
        <f>IF(OR(O35="",AD35=""),"",IFERROR(INDEX(لیست‌ها!$Q$3:$Q$53,MATCH(AD35,لیست‌ها!$P$3:$P$53,0))+IF(AE35&lt;=6,(AE35-1)*31+AF35,IF(AE35&lt;=11,186+(AE35-7)*30+AF35,336+AF35))-1,""))</f>
        <v/>
      </c>
      <c r="AH35" s="18" t="str">
        <f t="shared" si="10"/>
        <v/>
      </c>
      <c r="AI35" s="18" t="str">
        <f t="shared" si="11"/>
        <v/>
      </c>
      <c r="AJ35" s="18" t="str">
        <f t="shared" ca="1" si="12"/>
        <v/>
      </c>
    </row>
    <row r="36" spans="1:36">
      <c r="A36" s="18">
        <v>33</v>
      </c>
      <c r="B36" s="15" t="s">
        <v>163</v>
      </c>
      <c r="C36" s="15" t="s">
        <v>36</v>
      </c>
      <c r="D36" s="15" t="s">
        <v>64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8" t="str">
        <f t="shared" ca="1" si="0"/>
        <v/>
      </c>
      <c r="U36" s="18">
        <f t="shared" ca="1" si="13"/>
        <v>0</v>
      </c>
      <c r="V36" s="18" t="str">
        <f t="shared" si="1"/>
        <v/>
      </c>
      <c r="W36" s="18" t="str">
        <f t="shared" si="2"/>
        <v/>
      </c>
      <c r="X36" s="18" t="str">
        <f t="shared" si="3"/>
        <v/>
      </c>
      <c r="Y36" s="19" t="str">
        <f>IF(OR(L36="",V36=""),"",IFERROR(INDEX(لیست‌ها!$Q$3:$Q$53,MATCH(V36,لیست‌ها!$P$3:$P$53,0))+IF(W36&lt;=6,(W36-1)*31+X36,IF(W36&lt;=11,186+(W36-7)*30+X36,336+X36))-1,""))</f>
        <v/>
      </c>
      <c r="Z36" s="18" t="str">
        <f t="shared" si="4"/>
        <v/>
      </c>
      <c r="AA36" s="18" t="str">
        <f t="shared" si="5"/>
        <v/>
      </c>
      <c r="AB36" s="18" t="str">
        <f t="shared" si="6"/>
        <v/>
      </c>
      <c r="AC36" s="18" t="str">
        <f>IF(OR(H36="",Z36=""),"",IFERROR(INDEX(لیست‌ها!$Q$3:$Q$53,MATCH(Z36,لیست‌ها!$P$3:$P$53,0))+IF(AA36&lt;=6,(AA36-1)*31+AB36,IF(AA36&lt;=11,186+(AA36-7)*30+AB36,336+AB36))-1,""))</f>
        <v/>
      </c>
      <c r="AD36" s="18" t="str">
        <f t="shared" si="7"/>
        <v/>
      </c>
      <c r="AE36" s="18" t="str">
        <f t="shared" si="8"/>
        <v/>
      </c>
      <c r="AF36" s="18" t="str">
        <f t="shared" si="9"/>
        <v/>
      </c>
      <c r="AG36" s="18" t="str">
        <f>IF(OR(O36="",AD36=""),"",IFERROR(INDEX(لیست‌ها!$Q$3:$Q$53,MATCH(AD36,لیست‌ها!$P$3:$P$53,0))+IF(AE36&lt;=6,(AE36-1)*31+AF36,IF(AE36&lt;=11,186+(AE36-7)*30+AF36,336+AF36))-1,""))</f>
        <v/>
      </c>
      <c r="AH36" s="18" t="str">
        <f t="shared" si="10"/>
        <v/>
      </c>
      <c r="AI36" s="18" t="str">
        <f t="shared" si="11"/>
        <v/>
      </c>
      <c r="AJ36" s="18" t="str">
        <f t="shared" ca="1" si="12"/>
        <v/>
      </c>
    </row>
    <row r="37" spans="1:36">
      <c r="A37" s="18">
        <v>34</v>
      </c>
      <c r="B37" s="15" t="s">
        <v>164</v>
      </c>
      <c r="C37" s="15" t="s">
        <v>36</v>
      </c>
      <c r="D37" s="15" t="s">
        <v>64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8" t="str">
        <f t="shared" ca="1" si="0"/>
        <v/>
      </c>
      <c r="U37" s="18">
        <f t="shared" ca="1" si="13"/>
        <v>0</v>
      </c>
      <c r="V37" s="18" t="str">
        <f t="shared" si="1"/>
        <v/>
      </c>
      <c r="W37" s="18" t="str">
        <f t="shared" si="2"/>
        <v/>
      </c>
      <c r="X37" s="18" t="str">
        <f t="shared" si="3"/>
        <v/>
      </c>
      <c r="Y37" s="19" t="str">
        <f>IF(OR(L37="",V37=""),"",IFERROR(INDEX(لیست‌ها!$Q$3:$Q$53,MATCH(V37,لیست‌ها!$P$3:$P$53,0))+IF(W37&lt;=6,(W37-1)*31+X37,IF(W37&lt;=11,186+(W37-7)*30+X37,336+X37))-1,""))</f>
        <v/>
      </c>
      <c r="Z37" s="18" t="str">
        <f t="shared" si="4"/>
        <v/>
      </c>
      <c r="AA37" s="18" t="str">
        <f t="shared" si="5"/>
        <v/>
      </c>
      <c r="AB37" s="18" t="str">
        <f t="shared" si="6"/>
        <v/>
      </c>
      <c r="AC37" s="18" t="str">
        <f>IF(OR(H37="",Z37=""),"",IFERROR(INDEX(لیست‌ها!$Q$3:$Q$53,MATCH(Z37,لیست‌ها!$P$3:$P$53,0))+IF(AA37&lt;=6,(AA37-1)*31+AB37,IF(AA37&lt;=11,186+(AA37-7)*30+AB37,336+AB37))-1,""))</f>
        <v/>
      </c>
      <c r="AD37" s="18" t="str">
        <f t="shared" si="7"/>
        <v/>
      </c>
      <c r="AE37" s="18" t="str">
        <f t="shared" si="8"/>
        <v/>
      </c>
      <c r="AF37" s="18" t="str">
        <f t="shared" si="9"/>
        <v/>
      </c>
      <c r="AG37" s="18" t="str">
        <f>IF(OR(O37="",AD37=""),"",IFERROR(INDEX(لیست‌ها!$Q$3:$Q$53,MATCH(AD37,لیست‌ها!$P$3:$P$53,0))+IF(AE37&lt;=6,(AE37-1)*31+AF37,IF(AE37&lt;=11,186+(AE37-7)*30+AF37,336+AF37))-1,""))</f>
        <v/>
      </c>
      <c r="AH37" s="18" t="str">
        <f t="shared" si="10"/>
        <v/>
      </c>
      <c r="AI37" s="18" t="str">
        <f t="shared" si="11"/>
        <v/>
      </c>
      <c r="AJ37" s="18" t="str">
        <f t="shared" ca="1" si="12"/>
        <v/>
      </c>
    </row>
    <row r="38" spans="1:36">
      <c r="A38" s="18">
        <v>35</v>
      </c>
      <c r="B38" s="15" t="s">
        <v>165</v>
      </c>
      <c r="C38" s="15" t="s">
        <v>36</v>
      </c>
      <c r="D38" s="15" t="s">
        <v>64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8" t="str">
        <f t="shared" ca="1" si="0"/>
        <v/>
      </c>
      <c r="U38" s="18">
        <f t="shared" ca="1" si="13"/>
        <v>0</v>
      </c>
      <c r="V38" s="18" t="str">
        <f t="shared" si="1"/>
        <v/>
      </c>
      <c r="W38" s="18" t="str">
        <f t="shared" si="2"/>
        <v/>
      </c>
      <c r="X38" s="18" t="str">
        <f t="shared" si="3"/>
        <v/>
      </c>
      <c r="Y38" s="19" t="str">
        <f>IF(OR(L38="",V38=""),"",IFERROR(INDEX(لیست‌ها!$Q$3:$Q$53,MATCH(V38,لیست‌ها!$P$3:$P$53,0))+IF(W38&lt;=6,(W38-1)*31+X38,IF(W38&lt;=11,186+(W38-7)*30+X38,336+X38))-1,""))</f>
        <v/>
      </c>
      <c r="Z38" s="18" t="str">
        <f t="shared" si="4"/>
        <v/>
      </c>
      <c r="AA38" s="18" t="str">
        <f t="shared" si="5"/>
        <v/>
      </c>
      <c r="AB38" s="18" t="str">
        <f t="shared" si="6"/>
        <v/>
      </c>
      <c r="AC38" s="18" t="str">
        <f>IF(OR(H38="",Z38=""),"",IFERROR(INDEX(لیست‌ها!$Q$3:$Q$53,MATCH(Z38,لیست‌ها!$P$3:$P$53,0))+IF(AA38&lt;=6,(AA38-1)*31+AB38,IF(AA38&lt;=11,186+(AA38-7)*30+AB38,336+AB38))-1,""))</f>
        <v/>
      </c>
      <c r="AD38" s="18" t="str">
        <f t="shared" si="7"/>
        <v/>
      </c>
      <c r="AE38" s="18" t="str">
        <f t="shared" si="8"/>
        <v/>
      </c>
      <c r="AF38" s="18" t="str">
        <f t="shared" si="9"/>
        <v/>
      </c>
      <c r="AG38" s="18" t="str">
        <f>IF(OR(O38="",AD38=""),"",IFERROR(INDEX(لیست‌ها!$Q$3:$Q$53,MATCH(AD38,لیست‌ها!$P$3:$P$53,0))+IF(AE38&lt;=6,(AE38-1)*31+AF38,IF(AE38&lt;=11,186+(AE38-7)*30+AF38,336+AF38))-1,""))</f>
        <v/>
      </c>
      <c r="AH38" s="18" t="str">
        <f t="shared" si="10"/>
        <v/>
      </c>
      <c r="AI38" s="18" t="str">
        <f t="shared" si="11"/>
        <v/>
      </c>
      <c r="AJ38" s="18" t="str">
        <f t="shared" ca="1" si="12"/>
        <v/>
      </c>
    </row>
    <row r="39" spans="1:36">
      <c r="A39" s="18">
        <v>36</v>
      </c>
      <c r="B39" s="15" t="s">
        <v>166</v>
      </c>
      <c r="C39" s="15" t="s">
        <v>36</v>
      </c>
      <c r="D39" s="15" t="s">
        <v>64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8" t="str">
        <f t="shared" ca="1" si="0"/>
        <v/>
      </c>
      <c r="U39" s="18">
        <f t="shared" ca="1" si="13"/>
        <v>0</v>
      </c>
      <c r="V39" s="18" t="str">
        <f t="shared" si="1"/>
        <v/>
      </c>
      <c r="W39" s="18" t="str">
        <f t="shared" si="2"/>
        <v/>
      </c>
      <c r="X39" s="18" t="str">
        <f t="shared" si="3"/>
        <v/>
      </c>
      <c r="Y39" s="19" t="str">
        <f>IF(OR(L39="",V39=""),"",IFERROR(INDEX(لیست‌ها!$Q$3:$Q$53,MATCH(V39,لیست‌ها!$P$3:$P$53,0))+IF(W39&lt;=6,(W39-1)*31+X39,IF(W39&lt;=11,186+(W39-7)*30+X39,336+X39))-1,""))</f>
        <v/>
      </c>
      <c r="Z39" s="18" t="str">
        <f t="shared" si="4"/>
        <v/>
      </c>
      <c r="AA39" s="18" t="str">
        <f t="shared" si="5"/>
        <v/>
      </c>
      <c r="AB39" s="18" t="str">
        <f t="shared" si="6"/>
        <v/>
      </c>
      <c r="AC39" s="18" t="str">
        <f>IF(OR(H39="",Z39=""),"",IFERROR(INDEX(لیست‌ها!$Q$3:$Q$53,MATCH(Z39,لیست‌ها!$P$3:$P$53,0))+IF(AA39&lt;=6,(AA39-1)*31+AB39,IF(AA39&lt;=11,186+(AA39-7)*30+AB39,336+AB39))-1,""))</f>
        <v/>
      </c>
      <c r="AD39" s="18" t="str">
        <f t="shared" si="7"/>
        <v/>
      </c>
      <c r="AE39" s="18" t="str">
        <f t="shared" si="8"/>
        <v/>
      </c>
      <c r="AF39" s="18" t="str">
        <f t="shared" si="9"/>
        <v/>
      </c>
      <c r="AG39" s="18" t="str">
        <f>IF(OR(O39="",AD39=""),"",IFERROR(INDEX(لیست‌ها!$Q$3:$Q$53,MATCH(AD39,لیست‌ها!$P$3:$P$53,0))+IF(AE39&lt;=6,(AE39-1)*31+AF39,IF(AE39&lt;=11,186+(AE39-7)*30+AF39,336+AF39))-1,""))</f>
        <v/>
      </c>
      <c r="AH39" s="18" t="str">
        <f t="shared" si="10"/>
        <v/>
      </c>
      <c r="AI39" s="18" t="str">
        <f t="shared" si="11"/>
        <v/>
      </c>
      <c r="AJ39" s="18" t="str">
        <f t="shared" ca="1" si="12"/>
        <v/>
      </c>
    </row>
    <row r="40" spans="1:36">
      <c r="A40" s="18">
        <v>37</v>
      </c>
      <c r="B40" s="15" t="s">
        <v>167</v>
      </c>
      <c r="C40" s="15" t="s">
        <v>36</v>
      </c>
      <c r="D40" s="15" t="s">
        <v>43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8" t="str">
        <f t="shared" ca="1" si="0"/>
        <v/>
      </c>
      <c r="U40" s="18">
        <f t="shared" ca="1" si="13"/>
        <v>0</v>
      </c>
      <c r="V40" s="18" t="str">
        <f t="shared" si="1"/>
        <v/>
      </c>
      <c r="W40" s="18" t="str">
        <f t="shared" si="2"/>
        <v/>
      </c>
      <c r="X40" s="18" t="str">
        <f t="shared" si="3"/>
        <v/>
      </c>
      <c r="Y40" s="19" t="str">
        <f>IF(OR(L40="",V40=""),"",IFERROR(INDEX(لیست‌ها!$Q$3:$Q$53,MATCH(V40,لیست‌ها!$P$3:$P$53,0))+IF(W40&lt;=6,(W40-1)*31+X40,IF(W40&lt;=11,186+(W40-7)*30+X40,336+X40))-1,""))</f>
        <v/>
      </c>
      <c r="Z40" s="18" t="str">
        <f t="shared" si="4"/>
        <v/>
      </c>
      <c r="AA40" s="18" t="str">
        <f t="shared" si="5"/>
        <v/>
      </c>
      <c r="AB40" s="18" t="str">
        <f t="shared" si="6"/>
        <v/>
      </c>
      <c r="AC40" s="18" t="str">
        <f>IF(OR(H40="",Z40=""),"",IFERROR(INDEX(لیست‌ها!$Q$3:$Q$53,MATCH(Z40,لیست‌ها!$P$3:$P$53,0))+IF(AA40&lt;=6,(AA40-1)*31+AB40,IF(AA40&lt;=11,186+(AA40-7)*30+AB40,336+AB40))-1,""))</f>
        <v/>
      </c>
      <c r="AD40" s="18" t="str">
        <f t="shared" si="7"/>
        <v/>
      </c>
      <c r="AE40" s="18" t="str">
        <f t="shared" si="8"/>
        <v/>
      </c>
      <c r="AF40" s="18" t="str">
        <f t="shared" si="9"/>
        <v/>
      </c>
      <c r="AG40" s="18" t="str">
        <f>IF(OR(O40="",AD40=""),"",IFERROR(INDEX(لیست‌ها!$Q$3:$Q$53,MATCH(AD40,لیست‌ها!$P$3:$P$53,0))+IF(AE40&lt;=6,(AE40-1)*31+AF40,IF(AE40&lt;=11,186+(AE40-7)*30+AF40,336+AF40))-1,""))</f>
        <v/>
      </c>
      <c r="AH40" s="18" t="str">
        <f t="shared" si="10"/>
        <v/>
      </c>
      <c r="AI40" s="18" t="str">
        <f t="shared" si="11"/>
        <v/>
      </c>
      <c r="AJ40" s="18" t="str">
        <f t="shared" ca="1" si="12"/>
        <v/>
      </c>
    </row>
    <row r="41" spans="1:36">
      <c r="A41" s="18">
        <v>38</v>
      </c>
      <c r="B41" s="15" t="s">
        <v>168</v>
      </c>
      <c r="C41" s="15" t="s">
        <v>36</v>
      </c>
      <c r="D41" s="15" t="s">
        <v>43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8" t="str">
        <f t="shared" ca="1" si="0"/>
        <v/>
      </c>
      <c r="U41" s="18">
        <f t="shared" ca="1" si="13"/>
        <v>0</v>
      </c>
      <c r="V41" s="18" t="str">
        <f t="shared" si="1"/>
        <v/>
      </c>
      <c r="W41" s="18" t="str">
        <f t="shared" si="2"/>
        <v/>
      </c>
      <c r="X41" s="18" t="str">
        <f t="shared" si="3"/>
        <v/>
      </c>
      <c r="Y41" s="19" t="str">
        <f>IF(OR(L41="",V41=""),"",IFERROR(INDEX(لیست‌ها!$Q$3:$Q$53,MATCH(V41,لیست‌ها!$P$3:$P$53,0))+IF(W41&lt;=6,(W41-1)*31+X41,IF(W41&lt;=11,186+(W41-7)*30+X41,336+X41))-1,""))</f>
        <v/>
      </c>
      <c r="Z41" s="18" t="str">
        <f t="shared" si="4"/>
        <v/>
      </c>
      <c r="AA41" s="18" t="str">
        <f t="shared" si="5"/>
        <v/>
      </c>
      <c r="AB41" s="18" t="str">
        <f t="shared" si="6"/>
        <v/>
      </c>
      <c r="AC41" s="18" t="str">
        <f>IF(OR(H41="",Z41=""),"",IFERROR(INDEX(لیست‌ها!$Q$3:$Q$53,MATCH(Z41,لیست‌ها!$P$3:$P$53,0))+IF(AA41&lt;=6,(AA41-1)*31+AB41,IF(AA41&lt;=11,186+(AA41-7)*30+AB41,336+AB41))-1,""))</f>
        <v/>
      </c>
      <c r="AD41" s="18" t="str">
        <f t="shared" si="7"/>
        <v/>
      </c>
      <c r="AE41" s="18" t="str">
        <f t="shared" si="8"/>
        <v/>
      </c>
      <c r="AF41" s="18" t="str">
        <f t="shared" si="9"/>
        <v/>
      </c>
      <c r="AG41" s="18" t="str">
        <f>IF(OR(O41="",AD41=""),"",IFERROR(INDEX(لیست‌ها!$Q$3:$Q$53,MATCH(AD41,لیست‌ها!$P$3:$P$53,0))+IF(AE41&lt;=6,(AE41-1)*31+AF41,IF(AE41&lt;=11,186+(AE41-7)*30+AF41,336+AF41))-1,""))</f>
        <v/>
      </c>
      <c r="AH41" s="18" t="str">
        <f t="shared" si="10"/>
        <v/>
      </c>
      <c r="AI41" s="18" t="str">
        <f t="shared" si="11"/>
        <v/>
      </c>
      <c r="AJ41" s="18" t="str">
        <f t="shared" ca="1" si="12"/>
        <v/>
      </c>
    </row>
    <row r="42" spans="1:36">
      <c r="A42" s="18">
        <v>39</v>
      </c>
      <c r="B42" s="15" t="s">
        <v>169</v>
      </c>
      <c r="C42" s="15" t="s">
        <v>36</v>
      </c>
      <c r="D42" s="15" t="s">
        <v>43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8" t="str">
        <f t="shared" ca="1" si="0"/>
        <v/>
      </c>
      <c r="U42" s="18">
        <f t="shared" ca="1" si="13"/>
        <v>0</v>
      </c>
      <c r="V42" s="18" t="str">
        <f t="shared" si="1"/>
        <v/>
      </c>
      <c r="W42" s="18" t="str">
        <f t="shared" si="2"/>
        <v/>
      </c>
      <c r="X42" s="18" t="str">
        <f t="shared" si="3"/>
        <v/>
      </c>
      <c r="Y42" s="19" t="str">
        <f>IF(OR(L42="",V42=""),"",IFERROR(INDEX(لیست‌ها!$Q$3:$Q$53,MATCH(V42,لیست‌ها!$P$3:$P$53,0))+IF(W42&lt;=6,(W42-1)*31+X42,IF(W42&lt;=11,186+(W42-7)*30+X42,336+X42))-1,""))</f>
        <v/>
      </c>
      <c r="Z42" s="18" t="str">
        <f t="shared" si="4"/>
        <v/>
      </c>
      <c r="AA42" s="18" t="str">
        <f t="shared" si="5"/>
        <v/>
      </c>
      <c r="AB42" s="18" t="str">
        <f t="shared" si="6"/>
        <v/>
      </c>
      <c r="AC42" s="18" t="str">
        <f>IF(OR(H42="",Z42=""),"",IFERROR(INDEX(لیست‌ها!$Q$3:$Q$53,MATCH(Z42,لیست‌ها!$P$3:$P$53,0))+IF(AA42&lt;=6,(AA42-1)*31+AB42,IF(AA42&lt;=11,186+(AA42-7)*30+AB42,336+AB42))-1,""))</f>
        <v/>
      </c>
      <c r="AD42" s="18" t="str">
        <f t="shared" si="7"/>
        <v/>
      </c>
      <c r="AE42" s="18" t="str">
        <f t="shared" si="8"/>
        <v/>
      </c>
      <c r="AF42" s="18" t="str">
        <f t="shared" si="9"/>
        <v/>
      </c>
      <c r="AG42" s="18" t="str">
        <f>IF(OR(O42="",AD42=""),"",IFERROR(INDEX(لیست‌ها!$Q$3:$Q$53,MATCH(AD42,لیست‌ها!$P$3:$P$53,0))+IF(AE42&lt;=6,(AE42-1)*31+AF42,IF(AE42&lt;=11,186+(AE42-7)*30+AF42,336+AF42))-1,""))</f>
        <v/>
      </c>
      <c r="AH42" s="18" t="str">
        <f t="shared" si="10"/>
        <v/>
      </c>
      <c r="AI42" s="18" t="str">
        <f t="shared" si="11"/>
        <v/>
      </c>
      <c r="AJ42" s="18" t="str">
        <f t="shared" ca="1" si="12"/>
        <v/>
      </c>
    </row>
    <row r="43" spans="1:36">
      <c r="A43" s="18">
        <v>40</v>
      </c>
      <c r="B43" s="15" t="s">
        <v>170</v>
      </c>
      <c r="C43" s="15" t="s">
        <v>36</v>
      </c>
      <c r="D43" s="15" t="s">
        <v>43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8" t="str">
        <f t="shared" ca="1" si="0"/>
        <v/>
      </c>
      <c r="U43" s="18">
        <f t="shared" ca="1" si="13"/>
        <v>0</v>
      </c>
      <c r="V43" s="18" t="str">
        <f t="shared" si="1"/>
        <v/>
      </c>
      <c r="W43" s="18" t="str">
        <f t="shared" si="2"/>
        <v/>
      </c>
      <c r="X43" s="18" t="str">
        <f t="shared" si="3"/>
        <v/>
      </c>
      <c r="Y43" s="19" t="str">
        <f>IF(OR(L43="",V43=""),"",IFERROR(INDEX(لیست‌ها!$Q$3:$Q$53,MATCH(V43,لیست‌ها!$P$3:$P$53,0))+IF(W43&lt;=6,(W43-1)*31+X43,IF(W43&lt;=11,186+(W43-7)*30+X43,336+X43))-1,""))</f>
        <v/>
      </c>
      <c r="Z43" s="18" t="str">
        <f t="shared" si="4"/>
        <v/>
      </c>
      <c r="AA43" s="18" t="str">
        <f t="shared" si="5"/>
        <v/>
      </c>
      <c r="AB43" s="18" t="str">
        <f t="shared" si="6"/>
        <v/>
      </c>
      <c r="AC43" s="18" t="str">
        <f>IF(OR(H43="",Z43=""),"",IFERROR(INDEX(لیست‌ها!$Q$3:$Q$53,MATCH(Z43,لیست‌ها!$P$3:$P$53,0))+IF(AA43&lt;=6,(AA43-1)*31+AB43,IF(AA43&lt;=11,186+(AA43-7)*30+AB43,336+AB43))-1,""))</f>
        <v/>
      </c>
      <c r="AD43" s="18" t="str">
        <f t="shared" si="7"/>
        <v/>
      </c>
      <c r="AE43" s="18" t="str">
        <f t="shared" si="8"/>
        <v/>
      </c>
      <c r="AF43" s="18" t="str">
        <f t="shared" si="9"/>
        <v/>
      </c>
      <c r="AG43" s="18" t="str">
        <f>IF(OR(O43="",AD43=""),"",IFERROR(INDEX(لیست‌ها!$Q$3:$Q$53,MATCH(AD43,لیست‌ها!$P$3:$P$53,0))+IF(AE43&lt;=6,(AE43-1)*31+AF43,IF(AE43&lt;=11,186+(AE43-7)*30+AF43,336+AF43))-1,""))</f>
        <v/>
      </c>
      <c r="AH43" s="18" t="str">
        <f t="shared" si="10"/>
        <v/>
      </c>
      <c r="AI43" s="18" t="str">
        <f t="shared" si="11"/>
        <v/>
      </c>
      <c r="AJ43" s="18" t="str">
        <f t="shared" ca="1" si="12"/>
        <v/>
      </c>
    </row>
    <row r="44" spans="1:36">
      <c r="A44" s="18">
        <v>41</v>
      </c>
      <c r="B44" s="15" t="s">
        <v>171</v>
      </c>
      <c r="C44" s="15" t="s">
        <v>36</v>
      </c>
      <c r="D44" s="15" t="s">
        <v>64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8" t="str">
        <f t="shared" ca="1" si="0"/>
        <v/>
      </c>
      <c r="U44" s="18">
        <f t="shared" ca="1" si="13"/>
        <v>0</v>
      </c>
      <c r="V44" s="18" t="str">
        <f t="shared" si="1"/>
        <v/>
      </c>
      <c r="W44" s="18" t="str">
        <f t="shared" si="2"/>
        <v/>
      </c>
      <c r="X44" s="18" t="str">
        <f t="shared" si="3"/>
        <v/>
      </c>
      <c r="Y44" s="19" t="str">
        <f>IF(OR(L44="",V44=""),"",IFERROR(INDEX(لیست‌ها!$Q$3:$Q$53,MATCH(V44,لیست‌ها!$P$3:$P$53,0))+IF(W44&lt;=6,(W44-1)*31+X44,IF(W44&lt;=11,186+(W44-7)*30+X44,336+X44))-1,""))</f>
        <v/>
      </c>
      <c r="Z44" s="18" t="str">
        <f t="shared" si="4"/>
        <v/>
      </c>
      <c r="AA44" s="18" t="str">
        <f t="shared" si="5"/>
        <v/>
      </c>
      <c r="AB44" s="18" t="str">
        <f t="shared" si="6"/>
        <v/>
      </c>
      <c r="AC44" s="18" t="str">
        <f>IF(OR(H44="",Z44=""),"",IFERROR(INDEX(لیست‌ها!$Q$3:$Q$53,MATCH(Z44,لیست‌ها!$P$3:$P$53,0))+IF(AA44&lt;=6,(AA44-1)*31+AB44,IF(AA44&lt;=11,186+(AA44-7)*30+AB44,336+AB44))-1,""))</f>
        <v/>
      </c>
      <c r="AD44" s="18" t="str">
        <f t="shared" si="7"/>
        <v/>
      </c>
      <c r="AE44" s="18" t="str">
        <f t="shared" si="8"/>
        <v/>
      </c>
      <c r="AF44" s="18" t="str">
        <f t="shared" si="9"/>
        <v/>
      </c>
      <c r="AG44" s="18" t="str">
        <f>IF(OR(O44="",AD44=""),"",IFERROR(INDEX(لیست‌ها!$Q$3:$Q$53,MATCH(AD44,لیست‌ها!$P$3:$P$53,0))+IF(AE44&lt;=6,(AE44-1)*31+AF44,IF(AE44&lt;=11,186+(AE44-7)*30+AF44,336+AF44))-1,""))</f>
        <v/>
      </c>
      <c r="AH44" s="18" t="str">
        <f t="shared" si="10"/>
        <v/>
      </c>
      <c r="AI44" s="18" t="str">
        <f t="shared" si="11"/>
        <v/>
      </c>
      <c r="AJ44" s="18" t="str">
        <f t="shared" ca="1" si="12"/>
        <v/>
      </c>
    </row>
    <row r="45" spans="1:36">
      <c r="A45" s="18">
        <v>42</v>
      </c>
      <c r="B45" s="15" t="s">
        <v>172</v>
      </c>
      <c r="C45" s="15" t="s">
        <v>36</v>
      </c>
      <c r="D45" s="15" t="s">
        <v>43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8" t="str">
        <f t="shared" ca="1" si="0"/>
        <v/>
      </c>
      <c r="U45" s="18">
        <f t="shared" ca="1" si="13"/>
        <v>0</v>
      </c>
      <c r="V45" s="18" t="str">
        <f t="shared" si="1"/>
        <v/>
      </c>
      <c r="W45" s="18" t="str">
        <f t="shared" si="2"/>
        <v/>
      </c>
      <c r="X45" s="18" t="str">
        <f t="shared" si="3"/>
        <v/>
      </c>
      <c r="Y45" s="19" t="str">
        <f>IF(OR(L45="",V45=""),"",IFERROR(INDEX(لیست‌ها!$Q$3:$Q$53,MATCH(V45,لیست‌ها!$P$3:$P$53,0))+IF(W45&lt;=6,(W45-1)*31+X45,IF(W45&lt;=11,186+(W45-7)*30+X45,336+X45))-1,""))</f>
        <v/>
      </c>
      <c r="Z45" s="18" t="str">
        <f t="shared" si="4"/>
        <v/>
      </c>
      <c r="AA45" s="18" t="str">
        <f t="shared" si="5"/>
        <v/>
      </c>
      <c r="AB45" s="18" t="str">
        <f t="shared" si="6"/>
        <v/>
      </c>
      <c r="AC45" s="18" t="str">
        <f>IF(OR(H45="",Z45=""),"",IFERROR(INDEX(لیست‌ها!$Q$3:$Q$53,MATCH(Z45,لیست‌ها!$P$3:$P$53,0))+IF(AA45&lt;=6,(AA45-1)*31+AB45,IF(AA45&lt;=11,186+(AA45-7)*30+AB45,336+AB45))-1,""))</f>
        <v/>
      </c>
      <c r="AD45" s="18" t="str">
        <f t="shared" si="7"/>
        <v/>
      </c>
      <c r="AE45" s="18" t="str">
        <f t="shared" si="8"/>
        <v/>
      </c>
      <c r="AF45" s="18" t="str">
        <f t="shared" si="9"/>
        <v/>
      </c>
      <c r="AG45" s="18" t="str">
        <f>IF(OR(O45="",AD45=""),"",IFERROR(INDEX(لیست‌ها!$Q$3:$Q$53,MATCH(AD45,لیست‌ها!$P$3:$P$53,0))+IF(AE45&lt;=6,(AE45-1)*31+AF45,IF(AE45&lt;=11,186+(AE45-7)*30+AF45,336+AF45))-1,""))</f>
        <v/>
      </c>
      <c r="AH45" s="18" t="str">
        <f t="shared" si="10"/>
        <v/>
      </c>
      <c r="AI45" s="18" t="str">
        <f t="shared" si="11"/>
        <v/>
      </c>
      <c r="AJ45" s="18" t="str">
        <f t="shared" ca="1" si="12"/>
        <v/>
      </c>
    </row>
    <row r="46" spans="1:36">
      <c r="A46" s="18">
        <v>43</v>
      </c>
      <c r="B46" s="15" t="s">
        <v>173</v>
      </c>
      <c r="C46" s="15" t="s">
        <v>36</v>
      </c>
      <c r="D46" s="15" t="s">
        <v>43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8" t="str">
        <f t="shared" ca="1" si="0"/>
        <v/>
      </c>
      <c r="U46" s="18">
        <f t="shared" ca="1" si="13"/>
        <v>0</v>
      </c>
      <c r="V46" s="18" t="str">
        <f t="shared" si="1"/>
        <v/>
      </c>
      <c r="W46" s="18" t="str">
        <f t="shared" si="2"/>
        <v/>
      </c>
      <c r="X46" s="18" t="str">
        <f t="shared" si="3"/>
        <v/>
      </c>
      <c r="Y46" s="19" t="str">
        <f>IF(OR(L46="",V46=""),"",IFERROR(INDEX(لیست‌ها!$Q$3:$Q$53,MATCH(V46,لیست‌ها!$P$3:$P$53,0))+IF(W46&lt;=6,(W46-1)*31+X46,IF(W46&lt;=11,186+(W46-7)*30+X46,336+X46))-1,""))</f>
        <v/>
      </c>
      <c r="Z46" s="18" t="str">
        <f t="shared" si="4"/>
        <v/>
      </c>
      <c r="AA46" s="18" t="str">
        <f t="shared" si="5"/>
        <v/>
      </c>
      <c r="AB46" s="18" t="str">
        <f t="shared" si="6"/>
        <v/>
      </c>
      <c r="AC46" s="18" t="str">
        <f>IF(OR(H46="",Z46=""),"",IFERROR(INDEX(لیست‌ها!$Q$3:$Q$53,MATCH(Z46,لیست‌ها!$P$3:$P$53,0))+IF(AA46&lt;=6,(AA46-1)*31+AB46,IF(AA46&lt;=11,186+(AA46-7)*30+AB46,336+AB46))-1,""))</f>
        <v/>
      </c>
      <c r="AD46" s="18" t="str">
        <f t="shared" si="7"/>
        <v/>
      </c>
      <c r="AE46" s="18" t="str">
        <f t="shared" si="8"/>
        <v/>
      </c>
      <c r="AF46" s="18" t="str">
        <f t="shared" si="9"/>
        <v/>
      </c>
      <c r="AG46" s="18" t="str">
        <f>IF(OR(O46="",AD46=""),"",IFERROR(INDEX(لیست‌ها!$Q$3:$Q$53,MATCH(AD46,لیست‌ها!$P$3:$P$53,0))+IF(AE46&lt;=6,(AE46-1)*31+AF46,IF(AE46&lt;=11,186+(AE46-7)*30+AF46,336+AF46))-1,""))</f>
        <v/>
      </c>
      <c r="AH46" s="18" t="str">
        <f t="shared" si="10"/>
        <v/>
      </c>
      <c r="AI46" s="18" t="str">
        <f t="shared" si="11"/>
        <v/>
      </c>
      <c r="AJ46" s="18" t="str">
        <f t="shared" ca="1" si="12"/>
        <v/>
      </c>
    </row>
    <row r="47" spans="1:36">
      <c r="A47" s="18">
        <v>44</v>
      </c>
      <c r="B47" s="15" t="s">
        <v>174</v>
      </c>
      <c r="C47" s="15" t="s">
        <v>36</v>
      </c>
      <c r="D47" s="15" t="s">
        <v>43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8" t="str">
        <f t="shared" ca="1" si="0"/>
        <v/>
      </c>
      <c r="U47" s="18">
        <f t="shared" ca="1" si="13"/>
        <v>0</v>
      </c>
      <c r="V47" s="18" t="str">
        <f t="shared" si="1"/>
        <v/>
      </c>
      <c r="W47" s="18" t="str">
        <f t="shared" si="2"/>
        <v/>
      </c>
      <c r="X47" s="18" t="str">
        <f t="shared" si="3"/>
        <v/>
      </c>
      <c r="Y47" s="19" t="str">
        <f>IF(OR(L47="",V47=""),"",IFERROR(INDEX(لیست‌ها!$Q$3:$Q$53,MATCH(V47,لیست‌ها!$P$3:$P$53,0))+IF(W47&lt;=6,(W47-1)*31+X47,IF(W47&lt;=11,186+(W47-7)*30+X47,336+X47))-1,""))</f>
        <v/>
      </c>
      <c r="Z47" s="18" t="str">
        <f t="shared" si="4"/>
        <v/>
      </c>
      <c r="AA47" s="18" t="str">
        <f t="shared" si="5"/>
        <v/>
      </c>
      <c r="AB47" s="18" t="str">
        <f t="shared" si="6"/>
        <v/>
      </c>
      <c r="AC47" s="18" t="str">
        <f>IF(OR(H47="",Z47=""),"",IFERROR(INDEX(لیست‌ها!$Q$3:$Q$53,MATCH(Z47,لیست‌ها!$P$3:$P$53,0))+IF(AA47&lt;=6,(AA47-1)*31+AB47,IF(AA47&lt;=11,186+(AA47-7)*30+AB47,336+AB47))-1,""))</f>
        <v/>
      </c>
      <c r="AD47" s="18" t="str">
        <f t="shared" si="7"/>
        <v/>
      </c>
      <c r="AE47" s="18" t="str">
        <f t="shared" si="8"/>
        <v/>
      </c>
      <c r="AF47" s="18" t="str">
        <f t="shared" si="9"/>
        <v/>
      </c>
      <c r="AG47" s="18" t="str">
        <f>IF(OR(O47="",AD47=""),"",IFERROR(INDEX(لیست‌ها!$Q$3:$Q$53,MATCH(AD47,لیست‌ها!$P$3:$P$53,0))+IF(AE47&lt;=6,(AE47-1)*31+AF47,IF(AE47&lt;=11,186+(AE47-7)*30+AF47,336+AF47))-1,""))</f>
        <v/>
      </c>
      <c r="AH47" s="18" t="str">
        <f t="shared" si="10"/>
        <v/>
      </c>
      <c r="AI47" s="18" t="str">
        <f t="shared" si="11"/>
        <v/>
      </c>
      <c r="AJ47" s="18" t="str">
        <f t="shared" ca="1" si="12"/>
        <v/>
      </c>
    </row>
    <row r="48" spans="1:36">
      <c r="A48" s="18">
        <v>45</v>
      </c>
      <c r="B48" s="15" t="s">
        <v>175</v>
      </c>
      <c r="C48" s="15" t="s">
        <v>36</v>
      </c>
      <c r="D48" s="15" t="s">
        <v>74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8" t="str">
        <f t="shared" ca="1" si="0"/>
        <v/>
      </c>
      <c r="U48" s="18">
        <f t="shared" ca="1" si="13"/>
        <v>0</v>
      </c>
      <c r="V48" s="18" t="str">
        <f t="shared" si="1"/>
        <v/>
      </c>
      <c r="W48" s="18" t="str">
        <f t="shared" si="2"/>
        <v/>
      </c>
      <c r="X48" s="18" t="str">
        <f t="shared" si="3"/>
        <v/>
      </c>
      <c r="Y48" s="19" t="str">
        <f>IF(OR(L48="",V48=""),"",IFERROR(INDEX(لیست‌ها!$Q$3:$Q$53,MATCH(V48,لیست‌ها!$P$3:$P$53,0))+IF(W48&lt;=6,(W48-1)*31+X48,IF(W48&lt;=11,186+(W48-7)*30+X48,336+X48))-1,""))</f>
        <v/>
      </c>
      <c r="Z48" s="18" t="str">
        <f t="shared" si="4"/>
        <v/>
      </c>
      <c r="AA48" s="18" t="str">
        <f t="shared" si="5"/>
        <v/>
      </c>
      <c r="AB48" s="18" t="str">
        <f t="shared" si="6"/>
        <v/>
      </c>
      <c r="AC48" s="18" t="str">
        <f>IF(OR(H48="",Z48=""),"",IFERROR(INDEX(لیست‌ها!$Q$3:$Q$53,MATCH(Z48,لیست‌ها!$P$3:$P$53,0))+IF(AA48&lt;=6,(AA48-1)*31+AB48,IF(AA48&lt;=11,186+(AA48-7)*30+AB48,336+AB48))-1,""))</f>
        <v/>
      </c>
      <c r="AD48" s="18" t="str">
        <f t="shared" si="7"/>
        <v/>
      </c>
      <c r="AE48" s="18" t="str">
        <f t="shared" si="8"/>
        <v/>
      </c>
      <c r="AF48" s="18" t="str">
        <f t="shared" si="9"/>
        <v/>
      </c>
      <c r="AG48" s="18" t="str">
        <f>IF(OR(O48="",AD48=""),"",IFERROR(INDEX(لیست‌ها!$Q$3:$Q$53,MATCH(AD48,لیست‌ها!$P$3:$P$53,0))+IF(AE48&lt;=6,(AE48-1)*31+AF48,IF(AE48&lt;=11,186+(AE48-7)*30+AF48,336+AF48))-1,""))</f>
        <v/>
      </c>
      <c r="AH48" s="18" t="str">
        <f t="shared" si="10"/>
        <v/>
      </c>
      <c r="AI48" s="18" t="str">
        <f t="shared" si="11"/>
        <v/>
      </c>
      <c r="AJ48" s="18" t="str">
        <f t="shared" ca="1" si="12"/>
        <v/>
      </c>
    </row>
    <row r="49" spans="1:36">
      <c r="A49" s="18">
        <v>46</v>
      </c>
      <c r="B49" s="15" t="s">
        <v>176</v>
      </c>
      <c r="C49" s="15" t="s">
        <v>36</v>
      </c>
      <c r="D49" s="15" t="s">
        <v>43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8" t="str">
        <f t="shared" ca="1" si="0"/>
        <v/>
      </c>
      <c r="U49" s="18">
        <f t="shared" ca="1" si="13"/>
        <v>0</v>
      </c>
      <c r="V49" s="18" t="str">
        <f t="shared" si="1"/>
        <v/>
      </c>
      <c r="W49" s="18" t="str">
        <f t="shared" si="2"/>
        <v/>
      </c>
      <c r="X49" s="18" t="str">
        <f t="shared" si="3"/>
        <v/>
      </c>
      <c r="Y49" s="19" t="str">
        <f>IF(OR(L49="",V49=""),"",IFERROR(INDEX(لیست‌ها!$Q$3:$Q$53,MATCH(V49,لیست‌ها!$P$3:$P$53,0))+IF(W49&lt;=6,(W49-1)*31+X49,IF(W49&lt;=11,186+(W49-7)*30+X49,336+X49))-1,""))</f>
        <v/>
      </c>
      <c r="Z49" s="18" t="str">
        <f t="shared" si="4"/>
        <v/>
      </c>
      <c r="AA49" s="18" t="str">
        <f t="shared" si="5"/>
        <v/>
      </c>
      <c r="AB49" s="18" t="str">
        <f t="shared" si="6"/>
        <v/>
      </c>
      <c r="AC49" s="18" t="str">
        <f>IF(OR(H49="",Z49=""),"",IFERROR(INDEX(لیست‌ها!$Q$3:$Q$53,MATCH(Z49,لیست‌ها!$P$3:$P$53,0))+IF(AA49&lt;=6,(AA49-1)*31+AB49,IF(AA49&lt;=11,186+(AA49-7)*30+AB49,336+AB49))-1,""))</f>
        <v/>
      </c>
      <c r="AD49" s="18" t="str">
        <f t="shared" si="7"/>
        <v/>
      </c>
      <c r="AE49" s="18" t="str">
        <f t="shared" si="8"/>
        <v/>
      </c>
      <c r="AF49" s="18" t="str">
        <f t="shared" si="9"/>
        <v/>
      </c>
      <c r="AG49" s="18" t="str">
        <f>IF(OR(O49="",AD49=""),"",IFERROR(INDEX(لیست‌ها!$Q$3:$Q$53,MATCH(AD49,لیست‌ها!$P$3:$P$53,0))+IF(AE49&lt;=6,(AE49-1)*31+AF49,IF(AE49&lt;=11,186+(AE49-7)*30+AF49,336+AF49))-1,""))</f>
        <v/>
      </c>
      <c r="AH49" s="18" t="str">
        <f t="shared" si="10"/>
        <v/>
      </c>
      <c r="AI49" s="18" t="str">
        <f t="shared" si="11"/>
        <v/>
      </c>
      <c r="AJ49" s="18" t="str">
        <f t="shared" ca="1" si="12"/>
        <v/>
      </c>
    </row>
    <row r="50" spans="1:36">
      <c r="A50" s="18">
        <v>47</v>
      </c>
      <c r="B50" s="15" t="s">
        <v>177</v>
      </c>
      <c r="C50" s="15" t="s">
        <v>36</v>
      </c>
      <c r="D50" s="15" t="s">
        <v>43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8" t="str">
        <f t="shared" ca="1" si="0"/>
        <v/>
      </c>
      <c r="U50" s="18">
        <f t="shared" ca="1" si="13"/>
        <v>0</v>
      </c>
      <c r="V50" s="18" t="str">
        <f t="shared" si="1"/>
        <v/>
      </c>
      <c r="W50" s="18" t="str">
        <f t="shared" si="2"/>
        <v/>
      </c>
      <c r="X50" s="18" t="str">
        <f t="shared" si="3"/>
        <v/>
      </c>
      <c r="Y50" s="19" t="str">
        <f>IF(OR(L50="",V50=""),"",IFERROR(INDEX(لیست‌ها!$Q$3:$Q$53,MATCH(V50,لیست‌ها!$P$3:$P$53,0))+IF(W50&lt;=6,(W50-1)*31+X50,IF(W50&lt;=11,186+(W50-7)*30+X50,336+X50))-1,""))</f>
        <v/>
      </c>
      <c r="Z50" s="18" t="str">
        <f t="shared" si="4"/>
        <v/>
      </c>
      <c r="AA50" s="18" t="str">
        <f t="shared" si="5"/>
        <v/>
      </c>
      <c r="AB50" s="18" t="str">
        <f t="shared" si="6"/>
        <v/>
      </c>
      <c r="AC50" s="18" t="str">
        <f>IF(OR(H50="",Z50=""),"",IFERROR(INDEX(لیست‌ها!$Q$3:$Q$53,MATCH(Z50,لیست‌ها!$P$3:$P$53,0))+IF(AA50&lt;=6,(AA50-1)*31+AB50,IF(AA50&lt;=11,186+(AA50-7)*30+AB50,336+AB50))-1,""))</f>
        <v/>
      </c>
      <c r="AD50" s="18" t="str">
        <f t="shared" si="7"/>
        <v/>
      </c>
      <c r="AE50" s="18" t="str">
        <f t="shared" si="8"/>
        <v/>
      </c>
      <c r="AF50" s="18" t="str">
        <f t="shared" si="9"/>
        <v/>
      </c>
      <c r="AG50" s="18" t="str">
        <f>IF(OR(O50="",AD50=""),"",IFERROR(INDEX(لیست‌ها!$Q$3:$Q$53,MATCH(AD50,لیست‌ها!$P$3:$P$53,0))+IF(AE50&lt;=6,(AE50-1)*31+AF50,IF(AE50&lt;=11,186+(AE50-7)*30+AF50,336+AF50))-1,""))</f>
        <v/>
      </c>
      <c r="AH50" s="18" t="str">
        <f t="shared" si="10"/>
        <v/>
      </c>
      <c r="AI50" s="18" t="str">
        <f t="shared" si="11"/>
        <v/>
      </c>
      <c r="AJ50" s="18" t="str">
        <f t="shared" ca="1" si="12"/>
        <v/>
      </c>
    </row>
    <row r="51" spans="1:36">
      <c r="A51" s="18">
        <v>48</v>
      </c>
      <c r="B51" s="15" t="s">
        <v>178</v>
      </c>
      <c r="C51" s="15" t="s">
        <v>36</v>
      </c>
      <c r="D51" s="15" t="s">
        <v>43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8" t="str">
        <f t="shared" ca="1" si="0"/>
        <v/>
      </c>
      <c r="U51" s="18">
        <f t="shared" ca="1" si="13"/>
        <v>0</v>
      </c>
      <c r="V51" s="18" t="str">
        <f t="shared" si="1"/>
        <v/>
      </c>
      <c r="W51" s="18" t="str">
        <f t="shared" si="2"/>
        <v/>
      </c>
      <c r="X51" s="18" t="str">
        <f t="shared" si="3"/>
        <v/>
      </c>
      <c r="Y51" s="19" t="str">
        <f>IF(OR(L51="",V51=""),"",IFERROR(INDEX(لیست‌ها!$Q$3:$Q$53,MATCH(V51,لیست‌ها!$P$3:$P$53,0))+IF(W51&lt;=6,(W51-1)*31+X51,IF(W51&lt;=11,186+(W51-7)*30+X51,336+X51))-1,""))</f>
        <v/>
      </c>
      <c r="Z51" s="18" t="str">
        <f t="shared" si="4"/>
        <v/>
      </c>
      <c r="AA51" s="18" t="str">
        <f t="shared" si="5"/>
        <v/>
      </c>
      <c r="AB51" s="18" t="str">
        <f t="shared" si="6"/>
        <v/>
      </c>
      <c r="AC51" s="18" t="str">
        <f>IF(OR(H51="",Z51=""),"",IFERROR(INDEX(لیست‌ها!$Q$3:$Q$53,MATCH(Z51,لیست‌ها!$P$3:$P$53,0))+IF(AA51&lt;=6,(AA51-1)*31+AB51,IF(AA51&lt;=11,186+(AA51-7)*30+AB51,336+AB51))-1,""))</f>
        <v/>
      </c>
      <c r="AD51" s="18" t="str">
        <f t="shared" si="7"/>
        <v/>
      </c>
      <c r="AE51" s="18" t="str">
        <f t="shared" si="8"/>
        <v/>
      </c>
      <c r="AF51" s="18" t="str">
        <f t="shared" si="9"/>
        <v/>
      </c>
      <c r="AG51" s="18" t="str">
        <f>IF(OR(O51="",AD51=""),"",IFERROR(INDEX(لیست‌ها!$Q$3:$Q$53,MATCH(AD51,لیست‌ها!$P$3:$P$53,0))+IF(AE51&lt;=6,(AE51-1)*31+AF51,IF(AE51&lt;=11,186+(AE51-7)*30+AF51,336+AF51))-1,""))</f>
        <v/>
      </c>
      <c r="AH51" s="18" t="str">
        <f t="shared" si="10"/>
        <v/>
      </c>
      <c r="AI51" s="18" t="str">
        <f t="shared" si="11"/>
        <v/>
      </c>
      <c r="AJ51" s="18" t="str">
        <f t="shared" ca="1" si="12"/>
        <v/>
      </c>
    </row>
    <row r="52" spans="1:36">
      <c r="A52" s="18">
        <v>49</v>
      </c>
      <c r="B52" s="15" t="s">
        <v>179</v>
      </c>
      <c r="C52" s="15" t="s">
        <v>36</v>
      </c>
      <c r="D52" s="15" t="s">
        <v>43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8" t="str">
        <f t="shared" ca="1" si="0"/>
        <v/>
      </c>
      <c r="U52" s="18">
        <f t="shared" ca="1" si="13"/>
        <v>0</v>
      </c>
      <c r="V52" s="18" t="str">
        <f t="shared" si="1"/>
        <v/>
      </c>
      <c r="W52" s="18" t="str">
        <f t="shared" si="2"/>
        <v/>
      </c>
      <c r="X52" s="18" t="str">
        <f t="shared" si="3"/>
        <v/>
      </c>
      <c r="Y52" s="19" t="str">
        <f>IF(OR(L52="",V52=""),"",IFERROR(INDEX(لیست‌ها!$Q$3:$Q$53,MATCH(V52,لیست‌ها!$P$3:$P$53,0))+IF(W52&lt;=6,(W52-1)*31+X52,IF(W52&lt;=11,186+(W52-7)*30+X52,336+X52))-1,""))</f>
        <v/>
      </c>
      <c r="Z52" s="18" t="str">
        <f t="shared" si="4"/>
        <v/>
      </c>
      <c r="AA52" s="18" t="str">
        <f t="shared" si="5"/>
        <v/>
      </c>
      <c r="AB52" s="18" t="str">
        <f t="shared" si="6"/>
        <v/>
      </c>
      <c r="AC52" s="18" t="str">
        <f>IF(OR(H52="",Z52=""),"",IFERROR(INDEX(لیست‌ها!$Q$3:$Q$53,MATCH(Z52,لیست‌ها!$P$3:$P$53,0))+IF(AA52&lt;=6,(AA52-1)*31+AB52,IF(AA52&lt;=11,186+(AA52-7)*30+AB52,336+AB52))-1,""))</f>
        <v/>
      </c>
      <c r="AD52" s="18" t="str">
        <f t="shared" si="7"/>
        <v/>
      </c>
      <c r="AE52" s="18" t="str">
        <f t="shared" si="8"/>
        <v/>
      </c>
      <c r="AF52" s="18" t="str">
        <f t="shared" si="9"/>
        <v/>
      </c>
      <c r="AG52" s="18" t="str">
        <f>IF(OR(O52="",AD52=""),"",IFERROR(INDEX(لیست‌ها!$Q$3:$Q$53,MATCH(AD52,لیست‌ها!$P$3:$P$53,0))+IF(AE52&lt;=6,(AE52-1)*31+AF52,IF(AE52&lt;=11,186+(AE52-7)*30+AF52,336+AF52))-1,""))</f>
        <v/>
      </c>
      <c r="AH52" s="18" t="str">
        <f t="shared" si="10"/>
        <v/>
      </c>
      <c r="AI52" s="18" t="str">
        <f t="shared" si="11"/>
        <v/>
      </c>
      <c r="AJ52" s="18" t="str">
        <f t="shared" ca="1" si="12"/>
        <v/>
      </c>
    </row>
    <row r="53" spans="1:36">
      <c r="A53" s="18">
        <v>50</v>
      </c>
      <c r="B53" s="15" t="s">
        <v>180</v>
      </c>
      <c r="C53" s="15" t="s">
        <v>36</v>
      </c>
      <c r="D53" s="15" t="s">
        <v>43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8" t="str">
        <f t="shared" ca="1" si="0"/>
        <v/>
      </c>
      <c r="U53" s="18">
        <f t="shared" ca="1" si="13"/>
        <v>0</v>
      </c>
      <c r="V53" s="18" t="str">
        <f t="shared" si="1"/>
        <v/>
      </c>
      <c r="W53" s="18" t="str">
        <f t="shared" si="2"/>
        <v/>
      </c>
      <c r="X53" s="18" t="str">
        <f t="shared" si="3"/>
        <v/>
      </c>
      <c r="Y53" s="19" t="str">
        <f>IF(OR(L53="",V53=""),"",IFERROR(INDEX(لیست‌ها!$Q$3:$Q$53,MATCH(V53,لیست‌ها!$P$3:$P$53,0))+IF(W53&lt;=6,(W53-1)*31+X53,IF(W53&lt;=11,186+(W53-7)*30+X53,336+X53))-1,""))</f>
        <v/>
      </c>
      <c r="Z53" s="18" t="str">
        <f t="shared" si="4"/>
        <v/>
      </c>
      <c r="AA53" s="18" t="str">
        <f t="shared" si="5"/>
        <v/>
      </c>
      <c r="AB53" s="18" t="str">
        <f t="shared" si="6"/>
        <v/>
      </c>
      <c r="AC53" s="18" t="str">
        <f>IF(OR(H53="",Z53=""),"",IFERROR(INDEX(لیست‌ها!$Q$3:$Q$53,MATCH(Z53,لیست‌ها!$P$3:$P$53,0))+IF(AA53&lt;=6,(AA53-1)*31+AB53,IF(AA53&lt;=11,186+(AA53-7)*30+AB53,336+AB53))-1,""))</f>
        <v/>
      </c>
      <c r="AD53" s="18" t="str">
        <f t="shared" si="7"/>
        <v/>
      </c>
      <c r="AE53" s="18" t="str">
        <f t="shared" si="8"/>
        <v/>
      </c>
      <c r="AF53" s="18" t="str">
        <f t="shared" si="9"/>
        <v/>
      </c>
      <c r="AG53" s="18" t="str">
        <f>IF(OR(O53="",AD53=""),"",IFERROR(INDEX(لیست‌ها!$Q$3:$Q$53,MATCH(AD53,لیست‌ها!$P$3:$P$53,0))+IF(AE53&lt;=6,(AE53-1)*31+AF53,IF(AE53&lt;=11,186+(AE53-7)*30+AF53,336+AF53))-1,""))</f>
        <v/>
      </c>
      <c r="AH53" s="18" t="str">
        <f t="shared" si="10"/>
        <v/>
      </c>
      <c r="AI53" s="18" t="str">
        <f t="shared" si="11"/>
        <v/>
      </c>
      <c r="AJ53" s="18" t="str">
        <f t="shared" ca="1" si="12"/>
        <v/>
      </c>
    </row>
    <row r="54" spans="1:36">
      <c r="A54" s="18">
        <v>51</v>
      </c>
      <c r="B54" s="15" t="s">
        <v>181</v>
      </c>
      <c r="C54" s="15" t="s">
        <v>36</v>
      </c>
      <c r="D54" s="15" t="s">
        <v>43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8" t="str">
        <f t="shared" ca="1" si="0"/>
        <v/>
      </c>
      <c r="U54" s="18">
        <f t="shared" ca="1" si="13"/>
        <v>0</v>
      </c>
      <c r="V54" s="18" t="str">
        <f t="shared" si="1"/>
        <v/>
      </c>
      <c r="W54" s="18" t="str">
        <f t="shared" si="2"/>
        <v/>
      </c>
      <c r="X54" s="18" t="str">
        <f t="shared" si="3"/>
        <v/>
      </c>
      <c r="Y54" s="19" t="str">
        <f>IF(OR(L54="",V54=""),"",IFERROR(INDEX(لیست‌ها!$Q$3:$Q$53,MATCH(V54,لیست‌ها!$P$3:$P$53,0))+IF(W54&lt;=6,(W54-1)*31+X54,IF(W54&lt;=11,186+(W54-7)*30+X54,336+X54))-1,""))</f>
        <v/>
      </c>
      <c r="Z54" s="18" t="str">
        <f t="shared" si="4"/>
        <v/>
      </c>
      <c r="AA54" s="18" t="str">
        <f t="shared" si="5"/>
        <v/>
      </c>
      <c r="AB54" s="18" t="str">
        <f t="shared" si="6"/>
        <v/>
      </c>
      <c r="AC54" s="18" t="str">
        <f>IF(OR(H54="",Z54=""),"",IFERROR(INDEX(لیست‌ها!$Q$3:$Q$53,MATCH(Z54,لیست‌ها!$P$3:$P$53,0))+IF(AA54&lt;=6,(AA54-1)*31+AB54,IF(AA54&lt;=11,186+(AA54-7)*30+AB54,336+AB54))-1,""))</f>
        <v/>
      </c>
      <c r="AD54" s="18" t="str">
        <f t="shared" si="7"/>
        <v/>
      </c>
      <c r="AE54" s="18" t="str">
        <f t="shared" si="8"/>
        <v/>
      </c>
      <c r="AF54" s="18" t="str">
        <f t="shared" si="9"/>
        <v/>
      </c>
      <c r="AG54" s="18" t="str">
        <f>IF(OR(O54="",AD54=""),"",IFERROR(INDEX(لیست‌ها!$Q$3:$Q$53,MATCH(AD54,لیست‌ها!$P$3:$P$53,0))+IF(AE54&lt;=6,(AE54-1)*31+AF54,IF(AE54&lt;=11,186+(AE54-7)*30+AF54,336+AF54))-1,""))</f>
        <v/>
      </c>
      <c r="AH54" s="18" t="str">
        <f t="shared" si="10"/>
        <v/>
      </c>
      <c r="AI54" s="18" t="str">
        <f t="shared" si="11"/>
        <v/>
      </c>
      <c r="AJ54" s="18" t="str">
        <f t="shared" ca="1" si="12"/>
        <v/>
      </c>
    </row>
    <row r="55" spans="1:36">
      <c r="A55" s="18">
        <v>52</v>
      </c>
      <c r="B55" s="15" t="s">
        <v>182</v>
      </c>
      <c r="C55" s="15" t="s">
        <v>36</v>
      </c>
      <c r="D55" s="15" t="s">
        <v>43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8" t="str">
        <f t="shared" ca="1" si="0"/>
        <v/>
      </c>
      <c r="U55" s="18">
        <f t="shared" ca="1" si="13"/>
        <v>0</v>
      </c>
      <c r="V55" s="18" t="str">
        <f t="shared" si="1"/>
        <v/>
      </c>
      <c r="W55" s="18" t="str">
        <f t="shared" si="2"/>
        <v/>
      </c>
      <c r="X55" s="18" t="str">
        <f t="shared" si="3"/>
        <v/>
      </c>
      <c r="Y55" s="19" t="str">
        <f>IF(OR(L55="",V55=""),"",IFERROR(INDEX(لیست‌ها!$Q$3:$Q$53,MATCH(V55,لیست‌ها!$P$3:$P$53,0))+IF(W55&lt;=6,(W55-1)*31+X55,IF(W55&lt;=11,186+(W55-7)*30+X55,336+X55))-1,""))</f>
        <v/>
      </c>
      <c r="Z55" s="18" t="str">
        <f t="shared" si="4"/>
        <v/>
      </c>
      <c r="AA55" s="18" t="str">
        <f t="shared" si="5"/>
        <v/>
      </c>
      <c r="AB55" s="18" t="str">
        <f t="shared" si="6"/>
        <v/>
      </c>
      <c r="AC55" s="18" t="str">
        <f>IF(OR(H55="",Z55=""),"",IFERROR(INDEX(لیست‌ها!$Q$3:$Q$53,MATCH(Z55,لیست‌ها!$P$3:$P$53,0))+IF(AA55&lt;=6,(AA55-1)*31+AB55,IF(AA55&lt;=11,186+(AA55-7)*30+AB55,336+AB55))-1,""))</f>
        <v/>
      </c>
      <c r="AD55" s="18" t="str">
        <f t="shared" si="7"/>
        <v/>
      </c>
      <c r="AE55" s="18" t="str">
        <f t="shared" si="8"/>
        <v/>
      </c>
      <c r="AF55" s="18" t="str">
        <f t="shared" si="9"/>
        <v/>
      </c>
      <c r="AG55" s="18" t="str">
        <f>IF(OR(O55="",AD55=""),"",IFERROR(INDEX(لیست‌ها!$Q$3:$Q$53,MATCH(AD55,لیست‌ها!$P$3:$P$53,0))+IF(AE55&lt;=6,(AE55-1)*31+AF55,IF(AE55&lt;=11,186+(AE55-7)*30+AF55,336+AF55))-1,""))</f>
        <v/>
      </c>
      <c r="AH55" s="18" t="str">
        <f t="shared" si="10"/>
        <v/>
      </c>
      <c r="AI55" s="18" t="str">
        <f t="shared" si="11"/>
        <v/>
      </c>
      <c r="AJ55" s="18" t="str">
        <f t="shared" ca="1" si="12"/>
        <v/>
      </c>
    </row>
    <row r="56" spans="1:36">
      <c r="A56" s="18">
        <v>53</v>
      </c>
      <c r="B56" s="15" t="s">
        <v>183</v>
      </c>
      <c r="C56" s="15" t="s">
        <v>36</v>
      </c>
      <c r="D56" s="15" t="s">
        <v>43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8" t="str">
        <f t="shared" ca="1" si="0"/>
        <v/>
      </c>
      <c r="U56" s="18">
        <f t="shared" ca="1" si="13"/>
        <v>0</v>
      </c>
      <c r="V56" s="18" t="str">
        <f t="shared" si="1"/>
        <v/>
      </c>
      <c r="W56" s="18" t="str">
        <f t="shared" si="2"/>
        <v/>
      </c>
      <c r="X56" s="18" t="str">
        <f t="shared" si="3"/>
        <v/>
      </c>
      <c r="Y56" s="19" t="str">
        <f>IF(OR(L56="",V56=""),"",IFERROR(INDEX(لیست‌ها!$Q$3:$Q$53,MATCH(V56,لیست‌ها!$P$3:$P$53,0))+IF(W56&lt;=6,(W56-1)*31+X56,IF(W56&lt;=11,186+(W56-7)*30+X56,336+X56))-1,""))</f>
        <v/>
      </c>
      <c r="Z56" s="18" t="str">
        <f t="shared" si="4"/>
        <v/>
      </c>
      <c r="AA56" s="18" t="str">
        <f t="shared" si="5"/>
        <v/>
      </c>
      <c r="AB56" s="18" t="str">
        <f t="shared" si="6"/>
        <v/>
      </c>
      <c r="AC56" s="18" t="str">
        <f>IF(OR(H56="",Z56=""),"",IFERROR(INDEX(لیست‌ها!$Q$3:$Q$53,MATCH(Z56,لیست‌ها!$P$3:$P$53,0))+IF(AA56&lt;=6,(AA56-1)*31+AB56,IF(AA56&lt;=11,186+(AA56-7)*30+AB56,336+AB56))-1,""))</f>
        <v/>
      </c>
      <c r="AD56" s="18" t="str">
        <f t="shared" si="7"/>
        <v/>
      </c>
      <c r="AE56" s="18" t="str">
        <f t="shared" si="8"/>
        <v/>
      </c>
      <c r="AF56" s="18" t="str">
        <f t="shared" si="9"/>
        <v/>
      </c>
      <c r="AG56" s="18" t="str">
        <f>IF(OR(O56="",AD56=""),"",IFERROR(INDEX(لیست‌ها!$Q$3:$Q$53,MATCH(AD56,لیست‌ها!$P$3:$P$53,0))+IF(AE56&lt;=6,(AE56-1)*31+AF56,IF(AE56&lt;=11,186+(AE56-7)*30+AF56,336+AF56))-1,""))</f>
        <v/>
      </c>
      <c r="AH56" s="18" t="str">
        <f t="shared" si="10"/>
        <v/>
      </c>
      <c r="AI56" s="18" t="str">
        <f t="shared" si="11"/>
        <v/>
      </c>
      <c r="AJ56" s="18" t="str">
        <f t="shared" ca="1" si="12"/>
        <v/>
      </c>
    </row>
    <row r="57" spans="1:36">
      <c r="A57" s="18">
        <v>54</v>
      </c>
      <c r="B57" s="15" t="s">
        <v>184</v>
      </c>
      <c r="C57" s="15" t="s">
        <v>36</v>
      </c>
      <c r="D57" s="15" t="s">
        <v>43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8" t="str">
        <f t="shared" ca="1" si="0"/>
        <v/>
      </c>
      <c r="U57" s="18">
        <f t="shared" ca="1" si="13"/>
        <v>0</v>
      </c>
      <c r="V57" s="18" t="str">
        <f t="shared" si="1"/>
        <v/>
      </c>
      <c r="W57" s="18" t="str">
        <f t="shared" si="2"/>
        <v/>
      </c>
      <c r="X57" s="18" t="str">
        <f t="shared" si="3"/>
        <v/>
      </c>
      <c r="Y57" s="19" t="str">
        <f>IF(OR(L57="",V57=""),"",IFERROR(INDEX(لیست‌ها!$Q$3:$Q$53,MATCH(V57,لیست‌ها!$P$3:$P$53,0))+IF(W57&lt;=6,(W57-1)*31+X57,IF(W57&lt;=11,186+(W57-7)*30+X57,336+X57))-1,""))</f>
        <v/>
      </c>
      <c r="Z57" s="18" t="str">
        <f t="shared" si="4"/>
        <v/>
      </c>
      <c r="AA57" s="18" t="str">
        <f t="shared" si="5"/>
        <v/>
      </c>
      <c r="AB57" s="18" t="str">
        <f t="shared" si="6"/>
        <v/>
      </c>
      <c r="AC57" s="18" t="str">
        <f>IF(OR(H57="",Z57=""),"",IFERROR(INDEX(لیست‌ها!$Q$3:$Q$53,MATCH(Z57,لیست‌ها!$P$3:$P$53,0))+IF(AA57&lt;=6,(AA57-1)*31+AB57,IF(AA57&lt;=11,186+(AA57-7)*30+AB57,336+AB57))-1,""))</f>
        <v/>
      </c>
      <c r="AD57" s="18" t="str">
        <f t="shared" si="7"/>
        <v/>
      </c>
      <c r="AE57" s="18" t="str">
        <f t="shared" si="8"/>
        <v/>
      </c>
      <c r="AF57" s="18" t="str">
        <f t="shared" si="9"/>
        <v/>
      </c>
      <c r="AG57" s="18" t="str">
        <f>IF(OR(O57="",AD57=""),"",IFERROR(INDEX(لیست‌ها!$Q$3:$Q$53,MATCH(AD57,لیست‌ها!$P$3:$P$53,0))+IF(AE57&lt;=6,(AE57-1)*31+AF57,IF(AE57&lt;=11,186+(AE57-7)*30+AF57,336+AF57))-1,""))</f>
        <v/>
      </c>
      <c r="AH57" s="18" t="str">
        <f t="shared" si="10"/>
        <v/>
      </c>
      <c r="AI57" s="18" t="str">
        <f t="shared" si="11"/>
        <v/>
      </c>
      <c r="AJ57" s="18" t="str">
        <f t="shared" ca="1" si="12"/>
        <v/>
      </c>
    </row>
    <row r="58" spans="1:36">
      <c r="A58" s="18">
        <v>55</v>
      </c>
      <c r="B58" s="15" t="s">
        <v>185</v>
      </c>
      <c r="C58" s="15" t="s">
        <v>36</v>
      </c>
      <c r="D58" s="15" t="s">
        <v>64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8" t="str">
        <f t="shared" ca="1" si="0"/>
        <v/>
      </c>
      <c r="U58" s="18">
        <f t="shared" ca="1" si="13"/>
        <v>0</v>
      </c>
      <c r="V58" s="18" t="str">
        <f t="shared" si="1"/>
        <v/>
      </c>
      <c r="W58" s="18" t="str">
        <f t="shared" si="2"/>
        <v/>
      </c>
      <c r="X58" s="18" t="str">
        <f t="shared" si="3"/>
        <v/>
      </c>
      <c r="Y58" s="19" t="str">
        <f>IF(OR(L58="",V58=""),"",IFERROR(INDEX(لیست‌ها!$Q$3:$Q$53,MATCH(V58,لیست‌ها!$P$3:$P$53,0))+IF(W58&lt;=6,(W58-1)*31+X58,IF(W58&lt;=11,186+(W58-7)*30+X58,336+X58))-1,""))</f>
        <v/>
      </c>
      <c r="Z58" s="18" t="str">
        <f t="shared" si="4"/>
        <v/>
      </c>
      <c r="AA58" s="18" t="str">
        <f t="shared" si="5"/>
        <v/>
      </c>
      <c r="AB58" s="18" t="str">
        <f t="shared" si="6"/>
        <v/>
      </c>
      <c r="AC58" s="18" t="str">
        <f>IF(OR(H58="",Z58=""),"",IFERROR(INDEX(لیست‌ها!$Q$3:$Q$53,MATCH(Z58,لیست‌ها!$P$3:$P$53,0))+IF(AA58&lt;=6,(AA58-1)*31+AB58,IF(AA58&lt;=11,186+(AA58-7)*30+AB58,336+AB58))-1,""))</f>
        <v/>
      </c>
      <c r="AD58" s="18" t="str">
        <f t="shared" si="7"/>
        <v/>
      </c>
      <c r="AE58" s="18" t="str">
        <f t="shared" si="8"/>
        <v/>
      </c>
      <c r="AF58" s="18" t="str">
        <f t="shared" si="9"/>
        <v/>
      </c>
      <c r="AG58" s="18" t="str">
        <f>IF(OR(O58="",AD58=""),"",IFERROR(INDEX(لیست‌ها!$Q$3:$Q$53,MATCH(AD58,لیست‌ها!$P$3:$P$53,0))+IF(AE58&lt;=6,(AE58-1)*31+AF58,IF(AE58&lt;=11,186+(AE58-7)*30+AF58,336+AF58))-1,""))</f>
        <v/>
      </c>
      <c r="AH58" s="18" t="str">
        <f t="shared" si="10"/>
        <v/>
      </c>
      <c r="AI58" s="18" t="str">
        <f t="shared" si="11"/>
        <v/>
      </c>
      <c r="AJ58" s="18" t="str">
        <f t="shared" ca="1" si="12"/>
        <v/>
      </c>
    </row>
    <row r="59" spans="1:36">
      <c r="A59" s="18">
        <v>56</v>
      </c>
      <c r="B59" s="15" t="s">
        <v>186</v>
      </c>
      <c r="C59" s="15" t="s">
        <v>36</v>
      </c>
      <c r="D59" s="15" t="s">
        <v>64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8" t="str">
        <f t="shared" ca="1" si="0"/>
        <v/>
      </c>
      <c r="U59" s="18">
        <f t="shared" ca="1" si="13"/>
        <v>0</v>
      </c>
      <c r="V59" s="18" t="str">
        <f t="shared" si="1"/>
        <v/>
      </c>
      <c r="W59" s="18" t="str">
        <f t="shared" si="2"/>
        <v/>
      </c>
      <c r="X59" s="18" t="str">
        <f t="shared" si="3"/>
        <v/>
      </c>
      <c r="Y59" s="19" t="str">
        <f>IF(OR(L59="",V59=""),"",IFERROR(INDEX(لیست‌ها!$Q$3:$Q$53,MATCH(V59,لیست‌ها!$P$3:$P$53,0))+IF(W59&lt;=6,(W59-1)*31+X59,IF(W59&lt;=11,186+(W59-7)*30+X59,336+X59))-1,""))</f>
        <v/>
      </c>
      <c r="Z59" s="18" t="str">
        <f t="shared" si="4"/>
        <v/>
      </c>
      <c r="AA59" s="18" t="str">
        <f t="shared" si="5"/>
        <v/>
      </c>
      <c r="AB59" s="18" t="str">
        <f t="shared" si="6"/>
        <v/>
      </c>
      <c r="AC59" s="18" t="str">
        <f>IF(OR(H59="",Z59=""),"",IFERROR(INDEX(لیست‌ها!$Q$3:$Q$53,MATCH(Z59,لیست‌ها!$P$3:$P$53,0))+IF(AA59&lt;=6,(AA59-1)*31+AB59,IF(AA59&lt;=11,186+(AA59-7)*30+AB59,336+AB59))-1,""))</f>
        <v/>
      </c>
      <c r="AD59" s="18" t="str">
        <f t="shared" si="7"/>
        <v/>
      </c>
      <c r="AE59" s="18" t="str">
        <f t="shared" si="8"/>
        <v/>
      </c>
      <c r="AF59" s="18" t="str">
        <f t="shared" si="9"/>
        <v/>
      </c>
      <c r="AG59" s="18" t="str">
        <f>IF(OR(O59="",AD59=""),"",IFERROR(INDEX(لیست‌ها!$Q$3:$Q$53,MATCH(AD59,لیست‌ها!$P$3:$P$53,0))+IF(AE59&lt;=6,(AE59-1)*31+AF59,IF(AE59&lt;=11,186+(AE59-7)*30+AF59,336+AF59))-1,""))</f>
        <v/>
      </c>
      <c r="AH59" s="18" t="str">
        <f t="shared" si="10"/>
        <v/>
      </c>
      <c r="AI59" s="18" t="str">
        <f t="shared" si="11"/>
        <v/>
      </c>
      <c r="AJ59" s="18" t="str">
        <f t="shared" ca="1" si="12"/>
        <v/>
      </c>
    </row>
    <row r="60" spans="1:36">
      <c r="A60" s="18">
        <v>57</v>
      </c>
      <c r="B60" s="15" t="s">
        <v>187</v>
      </c>
      <c r="C60" s="15" t="s">
        <v>36</v>
      </c>
      <c r="D60" s="15" t="s">
        <v>64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8" t="str">
        <f t="shared" ca="1" si="0"/>
        <v/>
      </c>
      <c r="U60" s="18">
        <f t="shared" ca="1" si="13"/>
        <v>0</v>
      </c>
      <c r="V60" s="18" t="str">
        <f t="shared" si="1"/>
        <v/>
      </c>
      <c r="W60" s="18" t="str">
        <f t="shared" si="2"/>
        <v/>
      </c>
      <c r="X60" s="18" t="str">
        <f t="shared" si="3"/>
        <v/>
      </c>
      <c r="Y60" s="19" t="str">
        <f>IF(OR(L60="",V60=""),"",IFERROR(INDEX(لیست‌ها!$Q$3:$Q$53,MATCH(V60,لیست‌ها!$P$3:$P$53,0))+IF(W60&lt;=6,(W60-1)*31+X60,IF(W60&lt;=11,186+(W60-7)*30+X60,336+X60))-1,""))</f>
        <v/>
      </c>
      <c r="Z60" s="18" t="str">
        <f t="shared" si="4"/>
        <v/>
      </c>
      <c r="AA60" s="18" t="str">
        <f t="shared" si="5"/>
        <v/>
      </c>
      <c r="AB60" s="18" t="str">
        <f t="shared" si="6"/>
        <v/>
      </c>
      <c r="AC60" s="18" t="str">
        <f>IF(OR(H60="",Z60=""),"",IFERROR(INDEX(لیست‌ها!$Q$3:$Q$53,MATCH(Z60,لیست‌ها!$P$3:$P$53,0))+IF(AA60&lt;=6,(AA60-1)*31+AB60,IF(AA60&lt;=11,186+(AA60-7)*30+AB60,336+AB60))-1,""))</f>
        <v/>
      </c>
      <c r="AD60" s="18" t="str">
        <f t="shared" si="7"/>
        <v/>
      </c>
      <c r="AE60" s="18" t="str">
        <f t="shared" si="8"/>
        <v/>
      </c>
      <c r="AF60" s="18" t="str">
        <f t="shared" si="9"/>
        <v/>
      </c>
      <c r="AG60" s="18" t="str">
        <f>IF(OR(O60="",AD60=""),"",IFERROR(INDEX(لیست‌ها!$Q$3:$Q$53,MATCH(AD60,لیست‌ها!$P$3:$P$53,0))+IF(AE60&lt;=6,(AE60-1)*31+AF60,IF(AE60&lt;=11,186+(AE60-7)*30+AF60,336+AF60))-1,""))</f>
        <v/>
      </c>
      <c r="AH60" s="18" t="str">
        <f t="shared" si="10"/>
        <v/>
      </c>
      <c r="AI60" s="18" t="str">
        <f t="shared" si="11"/>
        <v/>
      </c>
      <c r="AJ60" s="18" t="str">
        <f t="shared" ca="1" si="12"/>
        <v/>
      </c>
    </row>
    <row r="61" spans="1:36">
      <c r="A61" s="18">
        <v>58</v>
      </c>
      <c r="B61" s="15" t="s">
        <v>188</v>
      </c>
      <c r="C61" s="15" t="s">
        <v>36</v>
      </c>
      <c r="D61" s="15" t="s">
        <v>64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8" t="str">
        <f t="shared" ca="1" si="0"/>
        <v/>
      </c>
      <c r="U61" s="18">
        <f t="shared" ca="1" si="13"/>
        <v>0</v>
      </c>
      <c r="V61" s="18" t="str">
        <f t="shared" si="1"/>
        <v/>
      </c>
      <c r="W61" s="18" t="str">
        <f t="shared" si="2"/>
        <v/>
      </c>
      <c r="X61" s="18" t="str">
        <f t="shared" si="3"/>
        <v/>
      </c>
      <c r="Y61" s="19" t="str">
        <f>IF(OR(L61="",V61=""),"",IFERROR(INDEX(لیست‌ها!$Q$3:$Q$53,MATCH(V61,لیست‌ها!$P$3:$P$53,0))+IF(W61&lt;=6,(W61-1)*31+X61,IF(W61&lt;=11,186+(W61-7)*30+X61,336+X61))-1,""))</f>
        <v/>
      </c>
      <c r="Z61" s="18" t="str">
        <f t="shared" si="4"/>
        <v/>
      </c>
      <c r="AA61" s="18" t="str">
        <f t="shared" si="5"/>
        <v/>
      </c>
      <c r="AB61" s="18" t="str">
        <f t="shared" si="6"/>
        <v/>
      </c>
      <c r="AC61" s="18" t="str">
        <f>IF(OR(H61="",Z61=""),"",IFERROR(INDEX(لیست‌ها!$Q$3:$Q$53,MATCH(Z61,لیست‌ها!$P$3:$P$53,0))+IF(AA61&lt;=6,(AA61-1)*31+AB61,IF(AA61&lt;=11,186+(AA61-7)*30+AB61,336+AB61))-1,""))</f>
        <v/>
      </c>
      <c r="AD61" s="18" t="str">
        <f t="shared" si="7"/>
        <v/>
      </c>
      <c r="AE61" s="18" t="str">
        <f t="shared" si="8"/>
        <v/>
      </c>
      <c r="AF61" s="18" t="str">
        <f t="shared" si="9"/>
        <v/>
      </c>
      <c r="AG61" s="18" t="str">
        <f>IF(OR(O61="",AD61=""),"",IFERROR(INDEX(لیست‌ها!$Q$3:$Q$53,MATCH(AD61,لیست‌ها!$P$3:$P$53,0))+IF(AE61&lt;=6,(AE61-1)*31+AF61,IF(AE61&lt;=11,186+(AE61-7)*30+AF61,336+AF61))-1,""))</f>
        <v/>
      </c>
      <c r="AH61" s="18" t="str">
        <f t="shared" si="10"/>
        <v/>
      </c>
      <c r="AI61" s="18" t="str">
        <f t="shared" si="11"/>
        <v/>
      </c>
      <c r="AJ61" s="18" t="str">
        <f t="shared" ca="1" si="12"/>
        <v/>
      </c>
    </row>
    <row r="62" spans="1:36">
      <c r="A62" s="18">
        <v>59</v>
      </c>
      <c r="B62" s="15" t="s">
        <v>189</v>
      </c>
      <c r="C62" s="15" t="s">
        <v>36</v>
      </c>
      <c r="D62" s="15" t="s">
        <v>64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8" t="str">
        <f t="shared" ca="1" si="0"/>
        <v/>
      </c>
      <c r="U62" s="18">
        <f t="shared" ca="1" si="13"/>
        <v>0</v>
      </c>
      <c r="V62" s="18" t="str">
        <f t="shared" si="1"/>
        <v/>
      </c>
      <c r="W62" s="18" t="str">
        <f t="shared" si="2"/>
        <v/>
      </c>
      <c r="X62" s="18" t="str">
        <f t="shared" si="3"/>
        <v/>
      </c>
      <c r="Y62" s="19" t="str">
        <f>IF(OR(L62="",V62=""),"",IFERROR(INDEX(لیست‌ها!$Q$3:$Q$53,MATCH(V62,لیست‌ها!$P$3:$P$53,0))+IF(W62&lt;=6,(W62-1)*31+X62,IF(W62&lt;=11,186+(W62-7)*30+X62,336+X62))-1,""))</f>
        <v/>
      </c>
      <c r="Z62" s="18" t="str">
        <f t="shared" si="4"/>
        <v/>
      </c>
      <c r="AA62" s="18" t="str">
        <f t="shared" si="5"/>
        <v/>
      </c>
      <c r="AB62" s="18" t="str">
        <f t="shared" si="6"/>
        <v/>
      </c>
      <c r="AC62" s="18" t="str">
        <f>IF(OR(H62="",Z62=""),"",IFERROR(INDEX(لیست‌ها!$Q$3:$Q$53,MATCH(Z62,لیست‌ها!$P$3:$P$53,0))+IF(AA62&lt;=6,(AA62-1)*31+AB62,IF(AA62&lt;=11,186+(AA62-7)*30+AB62,336+AB62))-1,""))</f>
        <v/>
      </c>
      <c r="AD62" s="18" t="str">
        <f t="shared" si="7"/>
        <v/>
      </c>
      <c r="AE62" s="18" t="str">
        <f t="shared" si="8"/>
        <v/>
      </c>
      <c r="AF62" s="18" t="str">
        <f t="shared" si="9"/>
        <v/>
      </c>
      <c r="AG62" s="18" t="str">
        <f>IF(OR(O62="",AD62=""),"",IFERROR(INDEX(لیست‌ها!$Q$3:$Q$53,MATCH(AD62,لیست‌ها!$P$3:$P$53,0))+IF(AE62&lt;=6,(AE62-1)*31+AF62,IF(AE62&lt;=11,186+(AE62-7)*30+AF62,336+AF62))-1,""))</f>
        <v/>
      </c>
      <c r="AH62" s="18" t="str">
        <f t="shared" si="10"/>
        <v/>
      </c>
      <c r="AI62" s="18" t="str">
        <f t="shared" si="11"/>
        <v/>
      </c>
      <c r="AJ62" s="18" t="str">
        <f t="shared" ca="1" si="12"/>
        <v/>
      </c>
    </row>
    <row r="63" spans="1:36">
      <c r="A63" s="18">
        <v>60</v>
      </c>
      <c r="B63" s="15" t="s">
        <v>190</v>
      </c>
      <c r="C63" s="15" t="s">
        <v>36</v>
      </c>
      <c r="D63" s="15" t="s">
        <v>64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8" t="str">
        <f t="shared" ca="1" si="0"/>
        <v/>
      </c>
      <c r="U63" s="18">
        <f t="shared" ca="1" si="13"/>
        <v>0</v>
      </c>
      <c r="V63" s="18" t="str">
        <f t="shared" si="1"/>
        <v/>
      </c>
      <c r="W63" s="18" t="str">
        <f t="shared" si="2"/>
        <v/>
      </c>
      <c r="X63" s="18" t="str">
        <f t="shared" si="3"/>
        <v/>
      </c>
      <c r="Y63" s="19" t="str">
        <f>IF(OR(L63="",V63=""),"",IFERROR(INDEX(لیست‌ها!$Q$3:$Q$53,MATCH(V63,لیست‌ها!$P$3:$P$53,0))+IF(W63&lt;=6,(W63-1)*31+X63,IF(W63&lt;=11,186+(W63-7)*30+X63,336+X63))-1,""))</f>
        <v/>
      </c>
      <c r="Z63" s="18" t="str">
        <f t="shared" si="4"/>
        <v/>
      </c>
      <c r="AA63" s="18" t="str">
        <f t="shared" si="5"/>
        <v/>
      </c>
      <c r="AB63" s="18" t="str">
        <f t="shared" si="6"/>
        <v/>
      </c>
      <c r="AC63" s="18" t="str">
        <f>IF(OR(H63="",Z63=""),"",IFERROR(INDEX(لیست‌ها!$Q$3:$Q$53,MATCH(Z63,لیست‌ها!$P$3:$P$53,0))+IF(AA63&lt;=6,(AA63-1)*31+AB63,IF(AA63&lt;=11,186+(AA63-7)*30+AB63,336+AB63))-1,""))</f>
        <v/>
      </c>
      <c r="AD63" s="18" t="str">
        <f t="shared" si="7"/>
        <v/>
      </c>
      <c r="AE63" s="18" t="str">
        <f t="shared" si="8"/>
        <v/>
      </c>
      <c r="AF63" s="18" t="str">
        <f t="shared" si="9"/>
        <v/>
      </c>
      <c r="AG63" s="18" t="str">
        <f>IF(OR(O63="",AD63=""),"",IFERROR(INDEX(لیست‌ها!$Q$3:$Q$53,MATCH(AD63,لیست‌ها!$P$3:$P$53,0))+IF(AE63&lt;=6,(AE63-1)*31+AF63,IF(AE63&lt;=11,186+(AE63-7)*30+AF63,336+AF63))-1,""))</f>
        <v/>
      </c>
      <c r="AH63" s="18" t="str">
        <f t="shared" si="10"/>
        <v/>
      </c>
      <c r="AI63" s="18" t="str">
        <f t="shared" si="11"/>
        <v/>
      </c>
      <c r="AJ63" s="18" t="str">
        <f t="shared" ca="1" si="12"/>
        <v/>
      </c>
    </row>
    <row r="64" spans="1:36">
      <c r="A64" s="18">
        <v>61</v>
      </c>
      <c r="B64" s="15" t="s">
        <v>191</v>
      </c>
      <c r="C64" s="15" t="s">
        <v>36</v>
      </c>
      <c r="D64" s="15" t="s">
        <v>64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8" t="str">
        <f t="shared" ca="1" si="0"/>
        <v/>
      </c>
      <c r="U64" s="18">
        <f t="shared" ca="1" si="13"/>
        <v>0</v>
      </c>
      <c r="V64" s="18" t="str">
        <f t="shared" si="1"/>
        <v/>
      </c>
      <c r="W64" s="18" t="str">
        <f t="shared" si="2"/>
        <v/>
      </c>
      <c r="X64" s="18" t="str">
        <f t="shared" si="3"/>
        <v/>
      </c>
      <c r="Y64" s="19" t="str">
        <f>IF(OR(L64="",V64=""),"",IFERROR(INDEX(لیست‌ها!$Q$3:$Q$53,MATCH(V64,لیست‌ها!$P$3:$P$53,0))+IF(W64&lt;=6,(W64-1)*31+X64,IF(W64&lt;=11,186+(W64-7)*30+X64,336+X64))-1,""))</f>
        <v/>
      </c>
      <c r="Z64" s="18" t="str">
        <f t="shared" si="4"/>
        <v/>
      </c>
      <c r="AA64" s="18" t="str">
        <f t="shared" si="5"/>
        <v/>
      </c>
      <c r="AB64" s="18" t="str">
        <f t="shared" si="6"/>
        <v/>
      </c>
      <c r="AC64" s="18" t="str">
        <f>IF(OR(H64="",Z64=""),"",IFERROR(INDEX(لیست‌ها!$Q$3:$Q$53,MATCH(Z64,لیست‌ها!$P$3:$P$53,0))+IF(AA64&lt;=6,(AA64-1)*31+AB64,IF(AA64&lt;=11,186+(AA64-7)*30+AB64,336+AB64))-1,""))</f>
        <v/>
      </c>
      <c r="AD64" s="18" t="str">
        <f t="shared" si="7"/>
        <v/>
      </c>
      <c r="AE64" s="18" t="str">
        <f t="shared" si="8"/>
        <v/>
      </c>
      <c r="AF64" s="18" t="str">
        <f t="shared" si="9"/>
        <v/>
      </c>
      <c r="AG64" s="18" t="str">
        <f>IF(OR(O64="",AD64=""),"",IFERROR(INDEX(لیست‌ها!$Q$3:$Q$53,MATCH(AD64,لیست‌ها!$P$3:$P$53,0))+IF(AE64&lt;=6,(AE64-1)*31+AF64,IF(AE64&lt;=11,186+(AE64-7)*30+AF64,336+AF64))-1,""))</f>
        <v/>
      </c>
      <c r="AH64" s="18" t="str">
        <f t="shared" si="10"/>
        <v/>
      </c>
      <c r="AI64" s="18" t="str">
        <f t="shared" si="11"/>
        <v/>
      </c>
      <c r="AJ64" s="18" t="str">
        <f t="shared" ca="1" si="12"/>
        <v/>
      </c>
    </row>
    <row r="65" spans="1:36">
      <c r="A65" s="18">
        <v>62</v>
      </c>
      <c r="B65" s="15" t="s">
        <v>192</v>
      </c>
      <c r="C65" s="15" t="s">
        <v>36</v>
      </c>
      <c r="D65" s="15" t="s">
        <v>64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8" t="str">
        <f t="shared" ca="1" si="0"/>
        <v/>
      </c>
      <c r="U65" s="18">
        <f t="shared" ca="1" si="13"/>
        <v>0</v>
      </c>
      <c r="V65" s="18" t="str">
        <f t="shared" si="1"/>
        <v/>
      </c>
      <c r="W65" s="18" t="str">
        <f t="shared" si="2"/>
        <v/>
      </c>
      <c r="X65" s="18" t="str">
        <f t="shared" si="3"/>
        <v/>
      </c>
      <c r="Y65" s="19" t="str">
        <f>IF(OR(L65="",V65=""),"",IFERROR(INDEX(لیست‌ها!$Q$3:$Q$53,MATCH(V65,لیست‌ها!$P$3:$P$53,0))+IF(W65&lt;=6,(W65-1)*31+X65,IF(W65&lt;=11,186+(W65-7)*30+X65,336+X65))-1,""))</f>
        <v/>
      </c>
      <c r="Z65" s="18" t="str">
        <f t="shared" si="4"/>
        <v/>
      </c>
      <c r="AA65" s="18" t="str">
        <f t="shared" si="5"/>
        <v/>
      </c>
      <c r="AB65" s="18" t="str">
        <f t="shared" si="6"/>
        <v/>
      </c>
      <c r="AC65" s="18" t="str">
        <f>IF(OR(H65="",Z65=""),"",IFERROR(INDEX(لیست‌ها!$Q$3:$Q$53,MATCH(Z65,لیست‌ها!$P$3:$P$53,0))+IF(AA65&lt;=6,(AA65-1)*31+AB65,IF(AA65&lt;=11,186+(AA65-7)*30+AB65,336+AB65))-1,""))</f>
        <v/>
      </c>
      <c r="AD65" s="18" t="str">
        <f t="shared" si="7"/>
        <v/>
      </c>
      <c r="AE65" s="18" t="str">
        <f t="shared" si="8"/>
        <v/>
      </c>
      <c r="AF65" s="18" t="str">
        <f t="shared" si="9"/>
        <v/>
      </c>
      <c r="AG65" s="18" t="str">
        <f>IF(OR(O65="",AD65=""),"",IFERROR(INDEX(لیست‌ها!$Q$3:$Q$53,MATCH(AD65,لیست‌ها!$P$3:$P$53,0))+IF(AE65&lt;=6,(AE65-1)*31+AF65,IF(AE65&lt;=11,186+(AE65-7)*30+AF65,336+AF65))-1,""))</f>
        <v/>
      </c>
      <c r="AH65" s="18" t="str">
        <f t="shared" si="10"/>
        <v/>
      </c>
      <c r="AI65" s="18" t="str">
        <f t="shared" si="11"/>
        <v/>
      </c>
      <c r="AJ65" s="18" t="str">
        <f t="shared" ca="1" si="12"/>
        <v/>
      </c>
    </row>
    <row r="66" spans="1:36">
      <c r="A66" s="18">
        <v>63</v>
      </c>
      <c r="B66" s="15" t="s">
        <v>193</v>
      </c>
      <c r="C66" s="15" t="s">
        <v>36</v>
      </c>
      <c r="D66" s="15" t="s">
        <v>43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8" t="str">
        <f t="shared" ca="1" si="0"/>
        <v/>
      </c>
      <c r="U66" s="18">
        <f t="shared" ca="1" si="13"/>
        <v>0</v>
      </c>
      <c r="V66" s="18" t="str">
        <f t="shared" si="1"/>
        <v/>
      </c>
      <c r="W66" s="18" t="str">
        <f t="shared" si="2"/>
        <v/>
      </c>
      <c r="X66" s="18" t="str">
        <f t="shared" si="3"/>
        <v/>
      </c>
      <c r="Y66" s="19" t="str">
        <f>IF(OR(L66="",V66=""),"",IFERROR(INDEX(لیست‌ها!$Q$3:$Q$53,MATCH(V66,لیست‌ها!$P$3:$P$53,0))+IF(W66&lt;=6,(W66-1)*31+X66,IF(W66&lt;=11,186+(W66-7)*30+X66,336+X66))-1,""))</f>
        <v/>
      </c>
      <c r="Z66" s="18" t="str">
        <f t="shared" si="4"/>
        <v/>
      </c>
      <c r="AA66" s="18" t="str">
        <f t="shared" si="5"/>
        <v/>
      </c>
      <c r="AB66" s="18" t="str">
        <f t="shared" si="6"/>
        <v/>
      </c>
      <c r="AC66" s="18" t="str">
        <f>IF(OR(H66="",Z66=""),"",IFERROR(INDEX(لیست‌ها!$Q$3:$Q$53,MATCH(Z66,لیست‌ها!$P$3:$P$53,0))+IF(AA66&lt;=6,(AA66-1)*31+AB66,IF(AA66&lt;=11,186+(AA66-7)*30+AB66,336+AB66))-1,""))</f>
        <v/>
      </c>
      <c r="AD66" s="18" t="str">
        <f t="shared" si="7"/>
        <v/>
      </c>
      <c r="AE66" s="18" t="str">
        <f t="shared" si="8"/>
        <v/>
      </c>
      <c r="AF66" s="18" t="str">
        <f t="shared" si="9"/>
        <v/>
      </c>
      <c r="AG66" s="18" t="str">
        <f>IF(OR(O66="",AD66=""),"",IFERROR(INDEX(لیست‌ها!$Q$3:$Q$53,MATCH(AD66,لیست‌ها!$P$3:$P$53,0))+IF(AE66&lt;=6,(AE66-1)*31+AF66,IF(AE66&lt;=11,186+(AE66-7)*30+AF66,336+AF66))-1,""))</f>
        <v/>
      </c>
      <c r="AH66" s="18" t="str">
        <f t="shared" si="10"/>
        <v/>
      </c>
      <c r="AI66" s="18" t="str">
        <f t="shared" si="11"/>
        <v/>
      </c>
      <c r="AJ66" s="18" t="str">
        <f t="shared" ca="1" si="12"/>
        <v/>
      </c>
    </row>
    <row r="67" spans="1:36">
      <c r="A67" s="18">
        <v>64</v>
      </c>
      <c r="B67" s="15" t="s">
        <v>194</v>
      </c>
      <c r="C67" s="15" t="s">
        <v>36</v>
      </c>
      <c r="D67" s="15" t="s">
        <v>43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8" t="str">
        <f t="shared" ca="1" si="0"/>
        <v/>
      </c>
      <c r="U67" s="18">
        <f t="shared" ca="1" si="13"/>
        <v>0</v>
      </c>
      <c r="V67" s="18" t="str">
        <f t="shared" si="1"/>
        <v/>
      </c>
      <c r="W67" s="18" t="str">
        <f t="shared" si="2"/>
        <v/>
      </c>
      <c r="X67" s="18" t="str">
        <f t="shared" si="3"/>
        <v/>
      </c>
      <c r="Y67" s="19" t="str">
        <f>IF(OR(L67="",V67=""),"",IFERROR(INDEX(لیست‌ها!$Q$3:$Q$53,MATCH(V67,لیست‌ها!$P$3:$P$53,0))+IF(W67&lt;=6,(W67-1)*31+X67,IF(W67&lt;=11,186+(W67-7)*30+X67,336+X67))-1,""))</f>
        <v/>
      </c>
      <c r="Z67" s="18" t="str">
        <f t="shared" si="4"/>
        <v/>
      </c>
      <c r="AA67" s="18" t="str">
        <f t="shared" si="5"/>
        <v/>
      </c>
      <c r="AB67" s="18" t="str">
        <f t="shared" si="6"/>
        <v/>
      </c>
      <c r="AC67" s="18" t="str">
        <f>IF(OR(H67="",Z67=""),"",IFERROR(INDEX(لیست‌ها!$Q$3:$Q$53,MATCH(Z67,لیست‌ها!$P$3:$P$53,0))+IF(AA67&lt;=6,(AA67-1)*31+AB67,IF(AA67&lt;=11,186+(AA67-7)*30+AB67,336+AB67))-1,""))</f>
        <v/>
      </c>
      <c r="AD67" s="18" t="str">
        <f t="shared" si="7"/>
        <v/>
      </c>
      <c r="AE67" s="18" t="str">
        <f t="shared" si="8"/>
        <v/>
      </c>
      <c r="AF67" s="18" t="str">
        <f t="shared" si="9"/>
        <v/>
      </c>
      <c r="AG67" s="18" t="str">
        <f>IF(OR(O67="",AD67=""),"",IFERROR(INDEX(لیست‌ها!$Q$3:$Q$53,MATCH(AD67,لیست‌ها!$P$3:$P$53,0))+IF(AE67&lt;=6,(AE67-1)*31+AF67,IF(AE67&lt;=11,186+(AE67-7)*30+AF67,336+AF67))-1,""))</f>
        <v/>
      </c>
      <c r="AH67" s="18" t="str">
        <f t="shared" si="10"/>
        <v/>
      </c>
      <c r="AI67" s="18" t="str">
        <f t="shared" si="11"/>
        <v/>
      </c>
      <c r="AJ67" s="18" t="str">
        <f t="shared" ca="1" si="12"/>
        <v/>
      </c>
    </row>
    <row r="68" spans="1:36">
      <c r="A68" s="18">
        <v>65</v>
      </c>
      <c r="B68" s="15" t="s">
        <v>195</v>
      </c>
      <c r="C68" s="15" t="s">
        <v>36</v>
      </c>
      <c r="D68" s="15" t="s">
        <v>43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8" t="str">
        <f t="shared" ref="T68:T131" ca="1" si="14">IF(B68="","",IF(OR(I68&lt;&gt;"",O68&lt;&gt;""),"بسته",IF(AND(L68&lt;&gt;"",V68=""),"خطای فرمت تاریخ ایجاد",IF(AND(H68&lt;&gt;"",Z68=""),"خطای فرمت مهلت",IF(AND(H68&lt;&gt;"",AC68&lt;&gt;"",TODAY()&gt;AC68),"تاخیر",IF(L68&lt;&gt;"","در حال انجام",""))))))</f>
        <v/>
      </c>
      <c r="U68" s="18">
        <f t="shared" ca="1" si="13"/>
        <v>0</v>
      </c>
      <c r="V68" s="18" t="str">
        <f t="shared" ref="V68:V131" si="15">IF(L68="","",VALUE(LEFT(L68,FIND("/",L68)-1)))</f>
        <v/>
      </c>
      <c r="W68" s="18" t="str">
        <f t="shared" ref="W68:W131" si="16">IF(L68="","",VALUE(MID(L68,FIND("/",L68)+1,FIND("/",L68,FIND("/",L68)+1)-FIND("/",L68)-1)))</f>
        <v/>
      </c>
      <c r="X68" s="18" t="str">
        <f t="shared" ref="X68:X131" si="17">IF(L68="","",VALUE(MID(L68,FIND("/",L68,FIND("/",L68)+1)+1,LEN(L68)-FIND("/",L68,FIND("/",L68)+1))))</f>
        <v/>
      </c>
      <c r="Y68" s="19" t="str">
        <f>IF(OR(L68="",V68=""),"",IFERROR(INDEX(لیست‌ها!$Q$3:$Q$53,MATCH(V68,لیست‌ها!$P$3:$P$53,0))+IF(W68&lt;=6,(W68-1)*31+X68,IF(W68&lt;=11,186+(W68-7)*30+X68,336+X68))-1,""))</f>
        <v/>
      </c>
      <c r="Z68" s="18" t="str">
        <f t="shared" ref="Z68:Z131" si="18">IF(H68="","",VALUE(LEFT(H68,FIND("/",H68)-1)))</f>
        <v/>
      </c>
      <c r="AA68" s="18" t="str">
        <f t="shared" ref="AA68:AA131" si="19">IF(H68="","",VALUE(MID(H68,FIND("/",H68)+1,FIND("/",H68,FIND("/",H68)+1)-FIND("/",H68)-1)))</f>
        <v/>
      </c>
      <c r="AB68" s="18" t="str">
        <f t="shared" ref="AB68:AB131" si="20">IF(H68="","",VALUE(MID(H68,FIND("/",H68,FIND("/",H68)+1)+1,LEN(H68)-FIND("/",H68,FIND("/",H68)+1))))</f>
        <v/>
      </c>
      <c r="AC68" s="18" t="str">
        <f>IF(OR(H68="",Z68=""),"",IFERROR(INDEX(لیست‌ها!$Q$3:$Q$53,MATCH(Z68,لیست‌ها!$P$3:$P$53,0))+IF(AA68&lt;=6,(AA68-1)*31+AB68,IF(AA68&lt;=11,186+(AA68-7)*30+AB68,336+AB68))-1,""))</f>
        <v/>
      </c>
      <c r="AD68" s="18" t="str">
        <f t="shared" ref="AD68:AD131" si="21">IF(O68="","",VALUE(LEFT(O68,FIND("/",O68)-1)))</f>
        <v/>
      </c>
      <c r="AE68" s="18" t="str">
        <f t="shared" ref="AE68:AE131" si="22">IF(O68="","",VALUE(MID(O68,FIND("/",O68)+1,FIND("/",O68,FIND("/",O68)+1)-FIND("/",O68)-1)))</f>
        <v/>
      </c>
      <c r="AF68" s="18" t="str">
        <f t="shared" ref="AF68:AF131" si="23">IF(O68="","",VALUE(MID(O68,FIND("/",O68,FIND("/",O68)+1)+1,LEN(O68)-FIND("/",O68,FIND("/",O68)+1))))</f>
        <v/>
      </c>
      <c r="AG68" s="18" t="str">
        <f>IF(OR(O68="",AD68=""),"",IFERROR(INDEX(لیست‌ها!$Q$3:$Q$53,MATCH(AD68,لیست‌ها!$P$3:$P$53,0))+IF(AE68&lt;=6,(AE68-1)*31+AF68,IF(AE68&lt;=11,186+(AE68-7)*30+AF68,336+AF68))-1,""))</f>
        <v/>
      </c>
      <c r="AH68" s="18" t="str">
        <f t="shared" ref="AH68:AH131" si="24">IF(V68="","",V68&amp;"-"&amp;TEXT(W68,"00"))</f>
        <v/>
      </c>
      <c r="AI68" s="18" t="str">
        <f t="shared" ref="AI68:AI131" si="25">IF(V68="","",V68*12+W68)</f>
        <v/>
      </c>
      <c r="AJ68" s="18" t="str">
        <f t="shared" ref="AJ68:AJ131" ca="1" si="26">IF(T68="تاخیر",U68+ROW()/100000,"")</f>
        <v/>
      </c>
    </row>
    <row r="69" spans="1:36">
      <c r="A69" s="18">
        <v>66</v>
      </c>
      <c r="B69" s="15" t="s">
        <v>196</v>
      </c>
      <c r="C69" s="15" t="s">
        <v>36</v>
      </c>
      <c r="D69" s="15" t="s">
        <v>37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8" t="str">
        <f t="shared" ca="1" si="14"/>
        <v/>
      </c>
      <c r="U69" s="18">
        <f t="shared" ref="U69:U132" ca="1" si="27">IF(T69="تاخیر",TODAY()-AC69,IF(AND(T69="بسته",AG69&lt;&gt;"",AC69&lt;&gt;"",AG69&gt;AC69),AG69-AC69,0))</f>
        <v>0</v>
      </c>
      <c r="V69" s="18" t="str">
        <f t="shared" si="15"/>
        <v/>
      </c>
      <c r="W69" s="18" t="str">
        <f t="shared" si="16"/>
        <v/>
      </c>
      <c r="X69" s="18" t="str">
        <f t="shared" si="17"/>
        <v/>
      </c>
      <c r="Y69" s="19" t="str">
        <f>IF(OR(L69="",V69=""),"",IFERROR(INDEX(لیست‌ها!$Q$3:$Q$53,MATCH(V69,لیست‌ها!$P$3:$P$53,0))+IF(W69&lt;=6,(W69-1)*31+X69,IF(W69&lt;=11,186+(W69-7)*30+X69,336+X69))-1,""))</f>
        <v/>
      </c>
      <c r="Z69" s="18" t="str">
        <f t="shared" si="18"/>
        <v/>
      </c>
      <c r="AA69" s="18" t="str">
        <f t="shared" si="19"/>
        <v/>
      </c>
      <c r="AB69" s="18" t="str">
        <f t="shared" si="20"/>
        <v/>
      </c>
      <c r="AC69" s="18" t="str">
        <f>IF(OR(H69="",Z69=""),"",IFERROR(INDEX(لیست‌ها!$Q$3:$Q$53,MATCH(Z69,لیست‌ها!$P$3:$P$53,0))+IF(AA69&lt;=6,(AA69-1)*31+AB69,IF(AA69&lt;=11,186+(AA69-7)*30+AB69,336+AB69))-1,""))</f>
        <v/>
      </c>
      <c r="AD69" s="18" t="str">
        <f t="shared" si="21"/>
        <v/>
      </c>
      <c r="AE69" s="18" t="str">
        <f t="shared" si="22"/>
        <v/>
      </c>
      <c r="AF69" s="18" t="str">
        <f t="shared" si="23"/>
        <v/>
      </c>
      <c r="AG69" s="18" t="str">
        <f>IF(OR(O69="",AD69=""),"",IFERROR(INDEX(لیست‌ها!$Q$3:$Q$53,MATCH(AD69,لیست‌ها!$P$3:$P$53,0))+IF(AE69&lt;=6,(AE69-1)*31+AF69,IF(AE69&lt;=11,186+(AE69-7)*30+AF69,336+AF69))-1,""))</f>
        <v/>
      </c>
      <c r="AH69" s="18" t="str">
        <f t="shared" si="24"/>
        <v/>
      </c>
      <c r="AI69" s="18" t="str">
        <f t="shared" si="25"/>
        <v/>
      </c>
      <c r="AJ69" s="18" t="str">
        <f t="shared" ca="1" si="26"/>
        <v/>
      </c>
    </row>
    <row r="70" spans="1:36">
      <c r="A70" s="18">
        <v>67</v>
      </c>
      <c r="B70" s="15" t="s">
        <v>197</v>
      </c>
      <c r="C70" s="15" t="s">
        <v>36</v>
      </c>
      <c r="D70" s="15" t="s">
        <v>37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8" t="str">
        <f t="shared" ca="1" si="14"/>
        <v/>
      </c>
      <c r="U70" s="18">
        <f t="shared" ca="1" si="27"/>
        <v>0</v>
      </c>
      <c r="V70" s="18" t="str">
        <f t="shared" si="15"/>
        <v/>
      </c>
      <c r="W70" s="18" t="str">
        <f t="shared" si="16"/>
        <v/>
      </c>
      <c r="X70" s="18" t="str">
        <f t="shared" si="17"/>
        <v/>
      </c>
      <c r="Y70" s="19" t="str">
        <f>IF(OR(L70="",V70=""),"",IFERROR(INDEX(لیست‌ها!$Q$3:$Q$53,MATCH(V70,لیست‌ها!$P$3:$P$53,0))+IF(W70&lt;=6,(W70-1)*31+X70,IF(W70&lt;=11,186+(W70-7)*30+X70,336+X70))-1,""))</f>
        <v/>
      </c>
      <c r="Z70" s="18" t="str">
        <f t="shared" si="18"/>
        <v/>
      </c>
      <c r="AA70" s="18" t="str">
        <f t="shared" si="19"/>
        <v/>
      </c>
      <c r="AB70" s="18" t="str">
        <f t="shared" si="20"/>
        <v/>
      </c>
      <c r="AC70" s="18" t="str">
        <f>IF(OR(H70="",Z70=""),"",IFERROR(INDEX(لیست‌ها!$Q$3:$Q$53,MATCH(Z70,لیست‌ها!$P$3:$P$53,0))+IF(AA70&lt;=6,(AA70-1)*31+AB70,IF(AA70&lt;=11,186+(AA70-7)*30+AB70,336+AB70))-1,""))</f>
        <v/>
      </c>
      <c r="AD70" s="18" t="str">
        <f t="shared" si="21"/>
        <v/>
      </c>
      <c r="AE70" s="18" t="str">
        <f t="shared" si="22"/>
        <v/>
      </c>
      <c r="AF70" s="18" t="str">
        <f t="shared" si="23"/>
        <v/>
      </c>
      <c r="AG70" s="18" t="str">
        <f>IF(OR(O70="",AD70=""),"",IFERROR(INDEX(لیست‌ها!$Q$3:$Q$53,MATCH(AD70,لیست‌ها!$P$3:$P$53,0))+IF(AE70&lt;=6,(AE70-1)*31+AF70,IF(AE70&lt;=11,186+(AE70-7)*30+AF70,336+AF70))-1,""))</f>
        <v/>
      </c>
      <c r="AH70" s="18" t="str">
        <f t="shared" si="24"/>
        <v/>
      </c>
      <c r="AI70" s="18" t="str">
        <f t="shared" si="25"/>
        <v/>
      </c>
      <c r="AJ70" s="18" t="str">
        <f t="shared" ca="1" si="26"/>
        <v/>
      </c>
    </row>
    <row r="71" spans="1:36">
      <c r="A71" s="18">
        <v>68</v>
      </c>
      <c r="B71" s="15" t="s">
        <v>198</v>
      </c>
      <c r="C71" s="15" t="s">
        <v>36</v>
      </c>
      <c r="D71" s="15" t="s">
        <v>37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8" t="str">
        <f t="shared" ca="1" si="14"/>
        <v/>
      </c>
      <c r="U71" s="18">
        <f t="shared" ca="1" si="27"/>
        <v>0</v>
      </c>
      <c r="V71" s="18" t="str">
        <f t="shared" si="15"/>
        <v/>
      </c>
      <c r="W71" s="18" t="str">
        <f t="shared" si="16"/>
        <v/>
      </c>
      <c r="X71" s="18" t="str">
        <f t="shared" si="17"/>
        <v/>
      </c>
      <c r="Y71" s="19" t="str">
        <f>IF(OR(L71="",V71=""),"",IFERROR(INDEX(لیست‌ها!$Q$3:$Q$53,MATCH(V71,لیست‌ها!$P$3:$P$53,0))+IF(W71&lt;=6,(W71-1)*31+X71,IF(W71&lt;=11,186+(W71-7)*30+X71,336+X71))-1,""))</f>
        <v/>
      </c>
      <c r="Z71" s="18" t="str">
        <f t="shared" si="18"/>
        <v/>
      </c>
      <c r="AA71" s="18" t="str">
        <f t="shared" si="19"/>
        <v/>
      </c>
      <c r="AB71" s="18" t="str">
        <f t="shared" si="20"/>
        <v/>
      </c>
      <c r="AC71" s="18" t="str">
        <f>IF(OR(H71="",Z71=""),"",IFERROR(INDEX(لیست‌ها!$Q$3:$Q$53,MATCH(Z71,لیست‌ها!$P$3:$P$53,0))+IF(AA71&lt;=6,(AA71-1)*31+AB71,IF(AA71&lt;=11,186+(AA71-7)*30+AB71,336+AB71))-1,""))</f>
        <v/>
      </c>
      <c r="AD71" s="18" t="str">
        <f t="shared" si="21"/>
        <v/>
      </c>
      <c r="AE71" s="18" t="str">
        <f t="shared" si="22"/>
        <v/>
      </c>
      <c r="AF71" s="18" t="str">
        <f t="shared" si="23"/>
        <v/>
      </c>
      <c r="AG71" s="18" t="str">
        <f>IF(OR(O71="",AD71=""),"",IFERROR(INDEX(لیست‌ها!$Q$3:$Q$53,MATCH(AD71,لیست‌ها!$P$3:$P$53,0))+IF(AE71&lt;=6,(AE71-1)*31+AF71,IF(AE71&lt;=11,186+(AE71-7)*30+AF71,336+AF71))-1,""))</f>
        <v/>
      </c>
      <c r="AH71" s="18" t="str">
        <f t="shared" si="24"/>
        <v/>
      </c>
      <c r="AI71" s="18" t="str">
        <f t="shared" si="25"/>
        <v/>
      </c>
      <c r="AJ71" s="18" t="str">
        <f t="shared" ca="1" si="26"/>
        <v/>
      </c>
    </row>
    <row r="72" spans="1:36">
      <c r="A72" s="18">
        <v>69</v>
      </c>
      <c r="B72" s="15" t="s">
        <v>199</v>
      </c>
      <c r="C72" s="15" t="s">
        <v>36</v>
      </c>
      <c r="D72" s="15" t="s">
        <v>43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8" t="str">
        <f t="shared" ca="1" si="14"/>
        <v/>
      </c>
      <c r="U72" s="18">
        <f t="shared" ca="1" si="27"/>
        <v>0</v>
      </c>
      <c r="V72" s="18" t="str">
        <f t="shared" si="15"/>
        <v/>
      </c>
      <c r="W72" s="18" t="str">
        <f t="shared" si="16"/>
        <v/>
      </c>
      <c r="X72" s="18" t="str">
        <f t="shared" si="17"/>
        <v/>
      </c>
      <c r="Y72" s="19" t="str">
        <f>IF(OR(L72="",V72=""),"",IFERROR(INDEX(لیست‌ها!$Q$3:$Q$53,MATCH(V72,لیست‌ها!$P$3:$P$53,0))+IF(W72&lt;=6,(W72-1)*31+X72,IF(W72&lt;=11,186+(W72-7)*30+X72,336+X72))-1,""))</f>
        <v/>
      </c>
      <c r="Z72" s="18" t="str">
        <f t="shared" si="18"/>
        <v/>
      </c>
      <c r="AA72" s="18" t="str">
        <f t="shared" si="19"/>
        <v/>
      </c>
      <c r="AB72" s="18" t="str">
        <f t="shared" si="20"/>
        <v/>
      </c>
      <c r="AC72" s="18" t="str">
        <f>IF(OR(H72="",Z72=""),"",IFERROR(INDEX(لیست‌ها!$Q$3:$Q$53,MATCH(Z72,لیست‌ها!$P$3:$P$53,0))+IF(AA72&lt;=6,(AA72-1)*31+AB72,IF(AA72&lt;=11,186+(AA72-7)*30+AB72,336+AB72))-1,""))</f>
        <v/>
      </c>
      <c r="AD72" s="18" t="str">
        <f t="shared" si="21"/>
        <v/>
      </c>
      <c r="AE72" s="18" t="str">
        <f t="shared" si="22"/>
        <v/>
      </c>
      <c r="AF72" s="18" t="str">
        <f t="shared" si="23"/>
        <v/>
      </c>
      <c r="AG72" s="18" t="str">
        <f>IF(OR(O72="",AD72=""),"",IFERROR(INDEX(لیست‌ها!$Q$3:$Q$53,MATCH(AD72,لیست‌ها!$P$3:$P$53,0))+IF(AE72&lt;=6,(AE72-1)*31+AF72,IF(AE72&lt;=11,186+(AE72-7)*30+AF72,336+AF72))-1,""))</f>
        <v/>
      </c>
      <c r="AH72" s="18" t="str">
        <f t="shared" si="24"/>
        <v/>
      </c>
      <c r="AI72" s="18" t="str">
        <f t="shared" si="25"/>
        <v/>
      </c>
      <c r="AJ72" s="18" t="str">
        <f t="shared" ca="1" si="26"/>
        <v/>
      </c>
    </row>
    <row r="73" spans="1:36">
      <c r="A73" s="18">
        <v>70</v>
      </c>
      <c r="B73" s="15" t="s">
        <v>200</v>
      </c>
      <c r="C73" s="15" t="s">
        <v>36</v>
      </c>
      <c r="D73" s="15" t="s">
        <v>37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8" t="str">
        <f t="shared" ca="1" si="14"/>
        <v/>
      </c>
      <c r="U73" s="18">
        <f t="shared" ca="1" si="27"/>
        <v>0</v>
      </c>
      <c r="V73" s="18" t="str">
        <f t="shared" si="15"/>
        <v/>
      </c>
      <c r="W73" s="18" t="str">
        <f t="shared" si="16"/>
        <v/>
      </c>
      <c r="X73" s="18" t="str">
        <f t="shared" si="17"/>
        <v/>
      </c>
      <c r="Y73" s="19" t="str">
        <f>IF(OR(L73="",V73=""),"",IFERROR(INDEX(لیست‌ها!$Q$3:$Q$53,MATCH(V73,لیست‌ها!$P$3:$P$53,0))+IF(W73&lt;=6,(W73-1)*31+X73,IF(W73&lt;=11,186+(W73-7)*30+X73,336+X73))-1,""))</f>
        <v/>
      </c>
      <c r="Z73" s="18" t="str">
        <f t="shared" si="18"/>
        <v/>
      </c>
      <c r="AA73" s="18" t="str">
        <f t="shared" si="19"/>
        <v/>
      </c>
      <c r="AB73" s="18" t="str">
        <f t="shared" si="20"/>
        <v/>
      </c>
      <c r="AC73" s="18" t="str">
        <f>IF(OR(H73="",Z73=""),"",IFERROR(INDEX(لیست‌ها!$Q$3:$Q$53,MATCH(Z73,لیست‌ها!$P$3:$P$53,0))+IF(AA73&lt;=6,(AA73-1)*31+AB73,IF(AA73&lt;=11,186+(AA73-7)*30+AB73,336+AB73))-1,""))</f>
        <v/>
      </c>
      <c r="AD73" s="18" t="str">
        <f t="shared" si="21"/>
        <v/>
      </c>
      <c r="AE73" s="18" t="str">
        <f t="shared" si="22"/>
        <v/>
      </c>
      <c r="AF73" s="18" t="str">
        <f t="shared" si="23"/>
        <v/>
      </c>
      <c r="AG73" s="18" t="str">
        <f>IF(OR(O73="",AD73=""),"",IFERROR(INDEX(لیست‌ها!$Q$3:$Q$53,MATCH(AD73,لیست‌ها!$P$3:$P$53,0))+IF(AE73&lt;=6,(AE73-1)*31+AF73,IF(AE73&lt;=11,186+(AE73-7)*30+AF73,336+AF73))-1,""))</f>
        <v/>
      </c>
      <c r="AH73" s="18" t="str">
        <f t="shared" si="24"/>
        <v/>
      </c>
      <c r="AI73" s="18" t="str">
        <f t="shared" si="25"/>
        <v/>
      </c>
      <c r="AJ73" s="18" t="str">
        <f t="shared" ca="1" si="26"/>
        <v/>
      </c>
    </row>
    <row r="74" spans="1:36">
      <c r="A74" s="18">
        <v>71</v>
      </c>
      <c r="B74" s="15" t="s">
        <v>201</v>
      </c>
      <c r="C74" s="15" t="s">
        <v>36</v>
      </c>
      <c r="D74" s="15" t="s">
        <v>37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8" t="str">
        <f t="shared" ca="1" si="14"/>
        <v/>
      </c>
      <c r="U74" s="18">
        <f t="shared" ca="1" si="27"/>
        <v>0</v>
      </c>
      <c r="V74" s="18" t="str">
        <f t="shared" si="15"/>
        <v/>
      </c>
      <c r="W74" s="18" t="str">
        <f t="shared" si="16"/>
        <v/>
      </c>
      <c r="X74" s="18" t="str">
        <f t="shared" si="17"/>
        <v/>
      </c>
      <c r="Y74" s="19" t="str">
        <f>IF(OR(L74="",V74=""),"",IFERROR(INDEX(لیست‌ها!$Q$3:$Q$53,MATCH(V74,لیست‌ها!$P$3:$P$53,0))+IF(W74&lt;=6,(W74-1)*31+X74,IF(W74&lt;=11,186+(W74-7)*30+X74,336+X74))-1,""))</f>
        <v/>
      </c>
      <c r="Z74" s="18" t="str">
        <f t="shared" si="18"/>
        <v/>
      </c>
      <c r="AA74" s="18" t="str">
        <f t="shared" si="19"/>
        <v/>
      </c>
      <c r="AB74" s="18" t="str">
        <f t="shared" si="20"/>
        <v/>
      </c>
      <c r="AC74" s="18" t="str">
        <f>IF(OR(H74="",Z74=""),"",IFERROR(INDEX(لیست‌ها!$Q$3:$Q$53,MATCH(Z74,لیست‌ها!$P$3:$P$53,0))+IF(AA74&lt;=6,(AA74-1)*31+AB74,IF(AA74&lt;=11,186+(AA74-7)*30+AB74,336+AB74))-1,""))</f>
        <v/>
      </c>
      <c r="AD74" s="18" t="str">
        <f t="shared" si="21"/>
        <v/>
      </c>
      <c r="AE74" s="18" t="str">
        <f t="shared" si="22"/>
        <v/>
      </c>
      <c r="AF74" s="18" t="str">
        <f t="shared" si="23"/>
        <v/>
      </c>
      <c r="AG74" s="18" t="str">
        <f>IF(OR(O74="",AD74=""),"",IFERROR(INDEX(لیست‌ها!$Q$3:$Q$53,MATCH(AD74,لیست‌ها!$P$3:$P$53,0))+IF(AE74&lt;=6,(AE74-1)*31+AF74,IF(AE74&lt;=11,186+(AE74-7)*30+AF74,336+AF74))-1,""))</f>
        <v/>
      </c>
      <c r="AH74" s="18" t="str">
        <f t="shared" si="24"/>
        <v/>
      </c>
      <c r="AI74" s="18" t="str">
        <f t="shared" si="25"/>
        <v/>
      </c>
      <c r="AJ74" s="18" t="str">
        <f t="shared" ca="1" si="26"/>
        <v/>
      </c>
    </row>
    <row r="75" spans="1:36">
      <c r="A75" s="18">
        <v>72</v>
      </c>
      <c r="B75" s="15" t="s">
        <v>202</v>
      </c>
      <c r="C75" s="15" t="s">
        <v>36</v>
      </c>
      <c r="D75" s="15" t="s">
        <v>37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8" t="str">
        <f t="shared" ca="1" si="14"/>
        <v/>
      </c>
      <c r="U75" s="18">
        <f t="shared" ca="1" si="27"/>
        <v>0</v>
      </c>
      <c r="V75" s="18" t="str">
        <f t="shared" si="15"/>
        <v/>
      </c>
      <c r="W75" s="18" t="str">
        <f t="shared" si="16"/>
        <v/>
      </c>
      <c r="X75" s="18" t="str">
        <f t="shared" si="17"/>
        <v/>
      </c>
      <c r="Y75" s="19" t="str">
        <f>IF(OR(L75="",V75=""),"",IFERROR(INDEX(لیست‌ها!$Q$3:$Q$53,MATCH(V75,لیست‌ها!$P$3:$P$53,0))+IF(W75&lt;=6,(W75-1)*31+X75,IF(W75&lt;=11,186+(W75-7)*30+X75,336+X75))-1,""))</f>
        <v/>
      </c>
      <c r="Z75" s="18" t="str">
        <f t="shared" si="18"/>
        <v/>
      </c>
      <c r="AA75" s="18" t="str">
        <f t="shared" si="19"/>
        <v/>
      </c>
      <c r="AB75" s="18" t="str">
        <f t="shared" si="20"/>
        <v/>
      </c>
      <c r="AC75" s="18" t="str">
        <f>IF(OR(H75="",Z75=""),"",IFERROR(INDEX(لیست‌ها!$Q$3:$Q$53,MATCH(Z75,لیست‌ها!$P$3:$P$53,0))+IF(AA75&lt;=6,(AA75-1)*31+AB75,IF(AA75&lt;=11,186+(AA75-7)*30+AB75,336+AB75))-1,""))</f>
        <v/>
      </c>
      <c r="AD75" s="18" t="str">
        <f t="shared" si="21"/>
        <v/>
      </c>
      <c r="AE75" s="18" t="str">
        <f t="shared" si="22"/>
        <v/>
      </c>
      <c r="AF75" s="18" t="str">
        <f t="shared" si="23"/>
        <v/>
      </c>
      <c r="AG75" s="18" t="str">
        <f>IF(OR(O75="",AD75=""),"",IFERROR(INDEX(لیست‌ها!$Q$3:$Q$53,MATCH(AD75,لیست‌ها!$P$3:$P$53,0))+IF(AE75&lt;=6,(AE75-1)*31+AF75,IF(AE75&lt;=11,186+(AE75-7)*30+AF75,336+AF75))-1,""))</f>
        <v/>
      </c>
      <c r="AH75" s="18" t="str">
        <f t="shared" si="24"/>
        <v/>
      </c>
      <c r="AI75" s="18" t="str">
        <f t="shared" si="25"/>
        <v/>
      </c>
      <c r="AJ75" s="18" t="str">
        <f t="shared" ca="1" si="26"/>
        <v/>
      </c>
    </row>
    <row r="76" spans="1:36">
      <c r="A76" s="18">
        <v>73</v>
      </c>
      <c r="B76" s="15" t="s">
        <v>203</v>
      </c>
      <c r="C76" s="15" t="s">
        <v>36</v>
      </c>
      <c r="D76" s="15" t="s">
        <v>37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8" t="str">
        <f t="shared" ca="1" si="14"/>
        <v/>
      </c>
      <c r="U76" s="18">
        <f t="shared" ca="1" si="27"/>
        <v>0</v>
      </c>
      <c r="V76" s="18" t="str">
        <f t="shared" si="15"/>
        <v/>
      </c>
      <c r="W76" s="18" t="str">
        <f t="shared" si="16"/>
        <v/>
      </c>
      <c r="X76" s="18" t="str">
        <f t="shared" si="17"/>
        <v/>
      </c>
      <c r="Y76" s="19" t="str">
        <f>IF(OR(L76="",V76=""),"",IFERROR(INDEX(لیست‌ها!$Q$3:$Q$53,MATCH(V76,لیست‌ها!$P$3:$P$53,0))+IF(W76&lt;=6,(W76-1)*31+X76,IF(W76&lt;=11,186+(W76-7)*30+X76,336+X76))-1,""))</f>
        <v/>
      </c>
      <c r="Z76" s="18" t="str">
        <f t="shared" si="18"/>
        <v/>
      </c>
      <c r="AA76" s="18" t="str">
        <f t="shared" si="19"/>
        <v/>
      </c>
      <c r="AB76" s="18" t="str">
        <f t="shared" si="20"/>
        <v/>
      </c>
      <c r="AC76" s="18" t="str">
        <f>IF(OR(H76="",Z76=""),"",IFERROR(INDEX(لیست‌ها!$Q$3:$Q$53,MATCH(Z76,لیست‌ها!$P$3:$P$53,0))+IF(AA76&lt;=6,(AA76-1)*31+AB76,IF(AA76&lt;=11,186+(AA76-7)*30+AB76,336+AB76))-1,""))</f>
        <v/>
      </c>
      <c r="AD76" s="18" t="str">
        <f t="shared" si="21"/>
        <v/>
      </c>
      <c r="AE76" s="18" t="str">
        <f t="shared" si="22"/>
        <v/>
      </c>
      <c r="AF76" s="18" t="str">
        <f t="shared" si="23"/>
        <v/>
      </c>
      <c r="AG76" s="18" t="str">
        <f>IF(OR(O76="",AD76=""),"",IFERROR(INDEX(لیست‌ها!$Q$3:$Q$53,MATCH(AD76,لیست‌ها!$P$3:$P$53,0))+IF(AE76&lt;=6,(AE76-1)*31+AF76,IF(AE76&lt;=11,186+(AE76-7)*30+AF76,336+AF76))-1,""))</f>
        <v/>
      </c>
      <c r="AH76" s="18" t="str">
        <f t="shared" si="24"/>
        <v/>
      </c>
      <c r="AI76" s="18" t="str">
        <f t="shared" si="25"/>
        <v/>
      </c>
      <c r="AJ76" s="18" t="str">
        <f t="shared" ca="1" si="26"/>
        <v/>
      </c>
    </row>
    <row r="77" spans="1:36">
      <c r="A77" s="18">
        <v>74</v>
      </c>
      <c r="B77" s="15" t="s">
        <v>204</v>
      </c>
      <c r="C77" s="15" t="s">
        <v>36</v>
      </c>
      <c r="D77" s="15" t="s">
        <v>37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8" t="str">
        <f t="shared" ca="1" si="14"/>
        <v/>
      </c>
      <c r="U77" s="18">
        <f t="shared" ca="1" si="27"/>
        <v>0</v>
      </c>
      <c r="V77" s="18" t="str">
        <f t="shared" si="15"/>
        <v/>
      </c>
      <c r="W77" s="18" t="str">
        <f t="shared" si="16"/>
        <v/>
      </c>
      <c r="X77" s="18" t="str">
        <f t="shared" si="17"/>
        <v/>
      </c>
      <c r="Y77" s="19" t="str">
        <f>IF(OR(L77="",V77=""),"",IFERROR(INDEX(لیست‌ها!$Q$3:$Q$53,MATCH(V77,لیست‌ها!$P$3:$P$53,0))+IF(W77&lt;=6,(W77-1)*31+X77,IF(W77&lt;=11,186+(W77-7)*30+X77,336+X77))-1,""))</f>
        <v/>
      </c>
      <c r="Z77" s="18" t="str">
        <f t="shared" si="18"/>
        <v/>
      </c>
      <c r="AA77" s="18" t="str">
        <f t="shared" si="19"/>
        <v/>
      </c>
      <c r="AB77" s="18" t="str">
        <f t="shared" si="20"/>
        <v/>
      </c>
      <c r="AC77" s="18" t="str">
        <f>IF(OR(H77="",Z77=""),"",IFERROR(INDEX(لیست‌ها!$Q$3:$Q$53,MATCH(Z77,لیست‌ها!$P$3:$P$53,0))+IF(AA77&lt;=6,(AA77-1)*31+AB77,IF(AA77&lt;=11,186+(AA77-7)*30+AB77,336+AB77))-1,""))</f>
        <v/>
      </c>
      <c r="AD77" s="18" t="str">
        <f t="shared" si="21"/>
        <v/>
      </c>
      <c r="AE77" s="18" t="str">
        <f t="shared" si="22"/>
        <v/>
      </c>
      <c r="AF77" s="18" t="str">
        <f t="shared" si="23"/>
        <v/>
      </c>
      <c r="AG77" s="18" t="str">
        <f>IF(OR(O77="",AD77=""),"",IFERROR(INDEX(لیست‌ها!$Q$3:$Q$53,MATCH(AD77,لیست‌ها!$P$3:$P$53,0))+IF(AE77&lt;=6,(AE77-1)*31+AF77,IF(AE77&lt;=11,186+(AE77-7)*30+AF77,336+AF77))-1,""))</f>
        <v/>
      </c>
      <c r="AH77" s="18" t="str">
        <f t="shared" si="24"/>
        <v/>
      </c>
      <c r="AI77" s="18" t="str">
        <f t="shared" si="25"/>
        <v/>
      </c>
      <c r="AJ77" s="18" t="str">
        <f t="shared" ca="1" si="26"/>
        <v/>
      </c>
    </row>
    <row r="78" spans="1:36">
      <c r="A78" s="18">
        <v>75</v>
      </c>
      <c r="B78" s="15" t="s">
        <v>205</v>
      </c>
      <c r="C78" s="15" t="s">
        <v>36</v>
      </c>
      <c r="D78" s="15" t="s">
        <v>43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8" t="str">
        <f t="shared" ca="1" si="14"/>
        <v/>
      </c>
      <c r="U78" s="18">
        <f t="shared" ca="1" si="27"/>
        <v>0</v>
      </c>
      <c r="V78" s="18" t="str">
        <f t="shared" si="15"/>
        <v/>
      </c>
      <c r="W78" s="18" t="str">
        <f t="shared" si="16"/>
        <v/>
      </c>
      <c r="X78" s="18" t="str">
        <f t="shared" si="17"/>
        <v/>
      </c>
      <c r="Y78" s="19" t="str">
        <f>IF(OR(L78="",V78=""),"",IFERROR(INDEX(لیست‌ها!$Q$3:$Q$53,MATCH(V78,لیست‌ها!$P$3:$P$53,0))+IF(W78&lt;=6,(W78-1)*31+X78,IF(W78&lt;=11,186+(W78-7)*30+X78,336+X78))-1,""))</f>
        <v/>
      </c>
      <c r="Z78" s="18" t="str">
        <f t="shared" si="18"/>
        <v/>
      </c>
      <c r="AA78" s="18" t="str">
        <f t="shared" si="19"/>
        <v/>
      </c>
      <c r="AB78" s="18" t="str">
        <f t="shared" si="20"/>
        <v/>
      </c>
      <c r="AC78" s="18" t="str">
        <f>IF(OR(H78="",Z78=""),"",IFERROR(INDEX(لیست‌ها!$Q$3:$Q$53,MATCH(Z78,لیست‌ها!$P$3:$P$53,0))+IF(AA78&lt;=6,(AA78-1)*31+AB78,IF(AA78&lt;=11,186+(AA78-7)*30+AB78,336+AB78))-1,""))</f>
        <v/>
      </c>
      <c r="AD78" s="18" t="str">
        <f t="shared" si="21"/>
        <v/>
      </c>
      <c r="AE78" s="18" t="str">
        <f t="shared" si="22"/>
        <v/>
      </c>
      <c r="AF78" s="18" t="str">
        <f t="shared" si="23"/>
        <v/>
      </c>
      <c r="AG78" s="18" t="str">
        <f>IF(OR(O78="",AD78=""),"",IFERROR(INDEX(لیست‌ها!$Q$3:$Q$53,MATCH(AD78,لیست‌ها!$P$3:$P$53,0))+IF(AE78&lt;=6,(AE78-1)*31+AF78,IF(AE78&lt;=11,186+(AE78-7)*30+AF78,336+AF78))-1,""))</f>
        <v/>
      </c>
      <c r="AH78" s="18" t="str">
        <f t="shared" si="24"/>
        <v/>
      </c>
      <c r="AI78" s="18" t="str">
        <f t="shared" si="25"/>
        <v/>
      </c>
      <c r="AJ78" s="18" t="str">
        <f t="shared" ca="1" si="26"/>
        <v/>
      </c>
    </row>
    <row r="79" spans="1:36">
      <c r="A79" s="18">
        <v>76</v>
      </c>
      <c r="B79" s="15" t="s">
        <v>206</v>
      </c>
      <c r="C79" s="15" t="s">
        <v>36</v>
      </c>
      <c r="D79" s="15" t="s">
        <v>43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8" t="str">
        <f t="shared" ca="1" si="14"/>
        <v/>
      </c>
      <c r="U79" s="18">
        <f t="shared" ca="1" si="27"/>
        <v>0</v>
      </c>
      <c r="V79" s="18" t="str">
        <f t="shared" si="15"/>
        <v/>
      </c>
      <c r="W79" s="18" t="str">
        <f t="shared" si="16"/>
        <v/>
      </c>
      <c r="X79" s="18" t="str">
        <f t="shared" si="17"/>
        <v/>
      </c>
      <c r="Y79" s="19" t="str">
        <f>IF(OR(L79="",V79=""),"",IFERROR(INDEX(لیست‌ها!$Q$3:$Q$53,MATCH(V79,لیست‌ها!$P$3:$P$53,0))+IF(W79&lt;=6,(W79-1)*31+X79,IF(W79&lt;=11,186+(W79-7)*30+X79,336+X79))-1,""))</f>
        <v/>
      </c>
      <c r="Z79" s="18" t="str">
        <f t="shared" si="18"/>
        <v/>
      </c>
      <c r="AA79" s="18" t="str">
        <f t="shared" si="19"/>
        <v/>
      </c>
      <c r="AB79" s="18" t="str">
        <f t="shared" si="20"/>
        <v/>
      </c>
      <c r="AC79" s="18" t="str">
        <f>IF(OR(H79="",Z79=""),"",IFERROR(INDEX(لیست‌ها!$Q$3:$Q$53,MATCH(Z79,لیست‌ها!$P$3:$P$53,0))+IF(AA79&lt;=6,(AA79-1)*31+AB79,IF(AA79&lt;=11,186+(AA79-7)*30+AB79,336+AB79))-1,""))</f>
        <v/>
      </c>
      <c r="AD79" s="18" t="str">
        <f t="shared" si="21"/>
        <v/>
      </c>
      <c r="AE79" s="18" t="str">
        <f t="shared" si="22"/>
        <v/>
      </c>
      <c r="AF79" s="18" t="str">
        <f t="shared" si="23"/>
        <v/>
      </c>
      <c r="AG79" s="18" t="str">
        <f>IF(OR(O79="",AD79=""),"",IFERROR(INDEX(لیست‌ها!$Q$3:$Q$53,MATCH(AD79,لیست‌ها!$P$3:$P$53,0))+IF(AE79&lt;=6,(AE79-1)*31+AF79,IF(AE79&lt;=11,186+(AE79-7)*30+AF79,336+AF79))-1,""))</f>
        <v/>
      </c>
      <c r="AH79" s="18" t="str">
        <f t="shared" si="24"/>
        <v/>
      </c>
      <c r="AI79" s="18" t="str">
        <f t="shared" si="25"/>
        <v/>
      </c>
      <c r="AJ79" s="18" t="str">
        <f t="shared" ca="1" si="26"/>
        <v/>
      </c>
    </row>
    <row r="80" spans="1:36">
      <c r="A80" s="18">
        <v>77</v>
      </c>
      <c r="B80" s="15" t="s">
        <v>207</v>
      </c>
      <c r="C80" s="15" t="s">
        <v>36</v>
      </c>
      <c r="D80" s="15" t="s">
        <v>43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8" t="str">
        <f t="shared" ca="1" si="14"/>
        <v/>
      </c>
      <c r="U80" s="18">
        <f t="shared" ca="1" si="27"/>
        <v>0</v>
      </c>
      <c r="V80" s="18" t="str">
        <f t="shared" si="15"/>
        <v/>
      </c>
      <c r="W80" s="18" t="str">
        <f t="shared" si="16"/>
        <v/>
      </c>
      <c r="X80" s="18" t="str">
        <f t="shared" si="17"/>
        <v/>
      </c>
      <c r="Y80" s="19" t="str">
        <f>IF(OR(L80="",V80=""),"",IFERROR(INDEX(لیست‌ها!$Q$3:$Q$53,MATCH(V80,لیست‌ها!$P$3:$P$53,0))+IF(W80&lt;=6,(W80-1)*31+X80,IF(W80&lt;=11,186+(W80-7)*30+X80,336+X80))-1,""))</f>
        <v/>
      </c>
      <c r="Z80" s="18" t="str">
        <f t="shared" si="18"/>
        <v/>
      </c>
      <c r="AA80" s="18" t="str">
        <f t="shared" si="19"/>
        <v/>
      </c>
      <c r="AB80" s="18" t="str">
        <f t="shared" si="20"/>
        <v/>
      </c>
      <c r="AC80" s="18" t="str">
        <f>IF(OR(H80="",Z80=""),"",IFERROR(INDEX(لیست‌ها!$Q$3:$Q$53,MATCH(Z80,لیست‌ها!$P$3:$P$53,0))+IF(AA80&lt;=6,(AA80-1)*31+AB80,IF(AA80&lt;=11,186+(AA80-7)*30+AB80,336+AB80))-1,""))</f>
        <v/>
      </c>
      <c r="AD80" s="18" t="str">
        <f t="shared" si="21"/>
        <v/>
      </c>
      <c r="AE80" s="18" t="str">
        <f t="shared" si="22"/>
        <v/>
      </c>
      <c r="AF80" s="18" t="str">
        <f t="shared" si="23"/>
        <v/>
      </c>
      <c r="AG80" s="18" t="str">
        <f>IF(OR(O80="",AD80=""),"",IFERROR(INDEX(لیست‌ها!$Q$3:$Q$53,MATCH(AD80,لیست‌ها!$P$3:$P$53,0))+IF(AE80&lt;=6,(AE80-1)*31+AF80,IF(AE80&lt;=11,186+(AE80-7)*30+AF80,336+AF80))-1,""))</f>
        <v/>
      </c>
      <c r="AH80" s="18" t="str">
        <f t="shared" si="24"/>
        <v/>
      </c>
      <c r="AI80" s="18" t="str">
        <f t="shared" si="25"/>
        <v/>
      </c>
      <c r="AJ80" s="18" t="str">
        <f t="shared" ca="1" si="26"/>
        <v/>
      </c>
    </row>
    <row r="81" spans="1:36">
      <c r="A81" s="18">
        <v>78</v>
      </c>
      <c r="B81" s="15" t="s">
        <v>208</v>
      </c>
      <c r="C81" s="15" t="s">
        <v>36</v>
      </c>
      <c r="D81" s="15" t="s">
        <v>43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8" t="str">
        <f t="shared" ca="1" si="14"/>
        <v/>
      </c>
      <c r="U81" s="18">
        <f t="shared" ca="1" si="27"/>
        <v>0</v>
      </c>
      <c r="V81" s="18" t="str">
        <f t="shared" si="15"/>
        <v/>
      </c>
      <c r="W81" s="18" t="str">
        <f t="shared" si="16"/>
        <v/>
      </c>
      <c r="X81" s="18" t="str">
        <f t="shared" si="17"/>
        <v/>
      </c>
      <c r="Y81" s="19" t="str">
        <f>IF(OR(L81="",V81=""),"",IFERROR(INDEX(لیست‌ها!$Q$3:$Q$53,MATCH(V81,لیست‌ها!$P$3:$P$53,0))+IF(W81&lt;=6,(W81-1)*31+X81,IF(W81&lt;=11,186+(W81-7)*30+X81,336+X81))-1,""))</f>
        <v/>
      </c>
      <c r="Z81" s="18" t="str">
        <f t="shared" si="18"/>
        <v/>
      </c>
      <c r="AA81" s="18" t="str">
        <f t="shared" si="19"/>
        <v/>
      </c>
      <c r="AB81" s="18" t="str">
        <f t="shared" si="20"/>
        <v/>
      </c>
      <c r="AC81" s="18" t="str">
        <f>IF(OR(H81="",Z81=""),"",IFERROR(INDEX(لیست‌ها!$Q$3:$Q$53,MATCH(Z81,لیست‌ها!$P$3:$P$53,0))+IF(AA81&lt;=6,(AA81-1)*31+AB81,IF(AA81&lt;=11,186+(AA81-7)*30+AB81,336+AB81))-1,""))</f>
        <v/>
      </c>
      <c r="AD81" s="18" t="str">
        <f t="shared" si="21"/>
        <v/>
      </c>
      <c r="AE81" s="18" t="str">
        <f t="shared" si="22"/>
        <v/>
      </c>
      <c r="AF81" s="18" t="str">
        <f t="shared" si="23"/>
        <v/>
      </c>
      <c r="AG81" s="18" t="str">
        <f>IF(OR(O81="",AD81=""),"",IFERROR(INDEX(لیست‌ها!$Q$3:$Q$53,MATCH(AD81,لیست‌ها!$P$3:$P$53,0))+IF(AE81&lt;=6,(AE81-1)*31+AF81,IF(AE81&lt;=11,186+(AE81-7)*30+AF81,336+AF81))-1,""))</f>
        <v/>
      </c>
      <c r="AH81" s="18" t="str">
        <f t="shared" si="24"/>
        <v/>
      </c>
      <c r="AI81" s="18" t="str">
        <f t="shared" si="25"/>
        <v/>
      </c>
      <c r="AJ81" s="18" t="str">
        <f t="shared" ca="1" si="26"/>
        <v/>
      </c>
    </row>
    <row r="82" spans="1:36">
      <c r="A82" s="18">
        <v>79</v>
      </c>
      <c r="B82" s="15" t="s">
        <v>209</v>
      </c>
      <c r="C82" s="15" t="s">
        <v>36</v>
      </c>
      <c r="D82" s="15" t="s">
        <v>43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8" t="str">
        <f t="shared" ca="1" si="14"/>
        <v/>
      </c>
      <c r="U82" s="18">
        <f t="shared" ca="1" si="27"/>
        <v>0</v>
      </c>
      <c r="V82" s="18" t="str">
        <f t="shared" si="15"/>
        <v/>
      </c>
      <c r="W82" s="18" t="str">
        <f t="shared" si="16"/>
        <v/>
      </c>
      <c r="X82" s="18" t="str">
        <f t="shared" si="17"/>
        <v/>
      </c>
      <c r="Y82" s="19" t="str">
        <f>IF(OR(L82="",V82=""),"",IFERROR(INDEX(لیست‌ها!$Q$3:$Q$53,MATCH(V82,لیست‌ها!$P$3:$P$53,0))+IF(W82&lt;=6,(W82-1)*31+X82,IF(W82&lt;=11,186+(W82-7)*30+X82,336+X82))-1,""))</f>
        <v/>
      </c>
      <c r="Z82" s="18" t="str">
        <f t="shared" si="18"/>
        <v/>
      </c>
      <c r="AA82" s="18" t="str">
        <f t="shared" si="19"/>
        <v/>
      </c>
      <c r="AB82" s="18" t="str">
        <f t="shared" si="20"/>
        <v/>
      </c>
      <c r="AC82" s="18" t="str">
        <f>IF(OR(H82="",Z82=""),"",IFERROR(INDEX(لیست‌ها!$Q$3:$Q$53,MATCH(Z82,لیست‌ها!$P$3:$P$53,0))+IF(AA82&lt;=6,(AA82-1)*31+AB82,IF(AA82&lt;=11,186+(AA82-7)*30+AB82,336+AB82))-1,""))</f>
        <v/>
      </c>
      <c r="AD82" s="18" t="str">
        <f t="shared" si="21"/>
        <v/>
      </c>
      <c r="AE82" s="18" t="str">
        <f t="shared" si="22"/>
        <v/>
      </c>
      <c r="AF82" s="18" t="str">
        <f t="shared" si="23"/>
        <v/>
      </c>
      <c r="AG82" s="18" t="str">
        <f>IF(OR(O82="",AD82=""),"",IFERROR(INDEX(لیست‌ها!$Q$3:$Q$53,MATCH(AD82,لیست‌ها!$P$3:$P$53,0))+IF(AE82&lt;=6,(AE82-1)*31+AF82,IF(AE82&lt;=11,186+(AE82-7)*30+AF82,336+AF82))-1,""))</f>
        <v/>
      </c>
      <c r="AH82" s="18" t="str">
        <f t="shared" si="24"/>
        <v/>
      </c>
      <c r="AI82" s="18" t="str">
        <f t="shared" si="25"/>
        <v/>
      </c>
      <c r="AJ82" s="18" t="str">
        <f t="shared" ca="1" si="26"/>
        <v/>
      </c>
    </row>
    <row r="83" spans="1:36">
      <c r="A83" s="18">
        <v>80</v>
      </c>
      <c r="B83" s="15" t="s">
        <v>210</v>
      </c>
      <c r="C83" s="15" t="s">
        <v>36</v>
      </c>
      <c r="D83" s="15" t="s">
        <v>43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8" t="str">
        <f t="shared" ca="1" si="14"/>
        <v/>
      </c>
      <c r="U83" s="18">
        <f t="shared" ca="1" si="27"/>
        <v>0</v>
      </c>
      <c r="V83" s="18" t="str">
        <f t="shared" si="15"/>
        <v/>
      </c>
      <c r="W83" s="18" t="str">
        <f t="shared" si="16"/>
        <v/>
      </c>
      <c r="X83" s="18" t="str">
        <f t="shared" si="17"/>
        <v/>
      </c>
      <c r="Y83" s="19" t="str">
        <f>IF(OR(L83="",V83=""),"",IFERROR(INDEX(لیست‌ها!$Q$3:$Q$53,MATCH(V83,لیست‌ها!$P$3:$P$53,0))+IF(W83&lt;=6,(W83-1)*31+X83,IF(W83&lt;=11,186+(W83-7)*30+X83,336+X83))-1,""))</f>
        <v/>
      </c>
      <c r="Z83" s="18" t="str">
        <f t="shared" si="18"/>
        <v/>
      </c>
      <c r="AA83" s="18" t="str">
        <f t="shared" si="19"/>
        <v/>
      </c>
      <c r="AB83" s="18" t="str">
        <f t="shared" si="20"/>
        <v/>
      </c>
      <c r="AC83" s="18" t="str">
        <f>IF(OR(H83="",Z83=""),"",IFERROR(INDEX(لیست‌ها!$Q$3:$Q$53,MATCH(Z83,لیست‌ها!$P$3:$P$53,0))+IF(AA83&lt;=6,(AA83-1)*31+AB83,IF(AA83&lt;=11,186+(AA83-7)*30+AB83,336+AB83))-1,""))</f>
        <v/>
      </c>
      <c r="AD83" s="18" t="str">
        <f t="shared" si="21"/>
        <v/>
      </c>
      <c r="AE83" s="18" t="str">
        <f t="shared" si="22"/>
        <v/>
      </c>
      <c r="AF83" s="18" t="str">
        <f t="shared" si="23"/>
        <v/>
      </c>
      <c r="AG83" s="18" t="str">
        <f>IF(OR(O83="",AD83=""),"",IFERROR(INDEX(لیست‌ها!$Q$3:$Q$53,MATCH(AD83,لیست‌ها!$P$3:$P$53,0))+IF(AE83&lt;=6,(AE83-1)*31+AF83,IF(AE83&lt;=11,186+(AE83-7)*30+AF83,336+AF83))-1,""))</f>
        <v/>
      </c>
      <c r="AH83" s="18" t="str">
        <f t="shared" si="24"/>
        <v/>
      </c>
      <c r="AI83" s="18" t="str">
        <f t="shared" si="25"/>
        <v/>
      </c>
      <c r="AJ83" s="18" t="str">
        <f t="shared" ca="1" si="26"/>
        <v/>
      </c>
    </row>
    <row r="84" spans="1:36">
      <c r="A84" s="18">
        <v>81</v>
      </c>
      <c r="B84" s="15" t="s">
        <v>211</v>
      </c>
      <c r="C84" s="15" t="s">
        <v>36</v>
      </c>
      <c r="D84" s="15" t="s">
        <v>43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8" t="str">
        <f t="shared" ca="1" si="14"/>
        <v/>
      </c>
      <c r="U84" s="18">
        <f t="shared" ca="1" si="27"/>
        <v>0</v>
      </c>
      <c r="V84" s="18" t="str">
        <f t="shared" si="15"/>
        <v/>
      </c>
      <c r="W84" s="18" t="str">
        <f t="shared" si="16"/>
        <v/>
      </c>
      <c r="X84" s="18" t="str">
        <f t="shared" si="17"/>
        <v/>
      </c>
      <c r="Y84" s="19" t="str">
        <f>IF(OR(L84="",V84=""),"",IFERROR(INDEX(لیست‌ها!$Q$3:$Q$53,MATCH(V84,لیست‌ها!$P$3:$P$53,0))+IF(W84&lt;=6,(W84-1)*31+X84,IF(W84&lt;=11,186+(W84-7)*30+X84,336+X84))-1,""))</f>
        <v/>
      </c>
      <c r="Z84" s="18" t="str">
        <f t="shared" si="18"/>
        <v/>
      </c>
      <c r="AA84" s="18" t="str">
        <f t="shared" si="19"/>
        <v/>
      </c>
      <c r="AB84" s="18" t="str">
        <f t="shared" si="20"/>
        <v/>
      </c>
      <c r="AC84" s="18" t="str">
        <f>IF(OR(H84="",Z84=""),"",IFERROR(INDEX(لیست‌ها!$Q$3:$Q$53,MATCH(Z84,لیست‌ها!$P$3:$P$53,0))+IF(AA84&lt;=6,(AA84-1)*31+AB84,IF(AA84&lt;=11,186+(AA84-7)*30+AB84,336+AB84))-1,""))</f>
        <v/>
      </c>
      <c r="AD84" s="18" t="str">
        <f t="shared" si="21"/>
        <v/>
      </c>
      <c r="AE84" s="18" t="str">
        <f t="shared" si="22"/>
        <v/>
      </c>
      <c r="AF84" s="18" t="str">
        <f t="shared" si="23"/>
        <v/>
      </c>
      <c r="AG84" s="18" t="str">
        <f>IF(OR(O84="",AD84=""),"",IFERROR(INDEX(لیست‌ها!$Q$3:$Q$53,MATCH(AD84,لیست‌ها!$P$3:$P$53,0))+IF(AE84&lt;=6,(AE84-1)*31+AF84,IF(AE84&lt;=11,186+(AE84-7)*30+AF84,336+AF84))-1,""))</f>
        <v/>
      </c>
      <c r="AH84" s="18" t="str">
        <f t="shared" si="24"/>
        <v/>
      </c>
      <c r="AI84" s="18" t="str">
        <f t="shared" si="25"/>
        <v/>
      </c>
      <c r="AJ84" s="18" t="str">
        <f t="shared" ca="1" si="26"/>
        <v/>
      </c>
    </row>
    <row r="85" spans="1:36">
      <c r="A85" s="18">
        <v>82</v>
      </c>
      <c r="B85" s="15" t="s">
        <v>212</v>
      </c>
      <c r="C85" s="15" t="s">
        <v>36</v>
      </c>
      <c r="D85" s="15" t="s">
        <v>43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8" t="str">
        <f t="shared" ca="1" si="14"/>
        <v/>
      </c>
      <c r="U85" s="18">
        <f t="shared" ca="1" si="27"/>
        <v>0</v>
      </c>
      <c r="V85" s="18" t="str">
        <f t="shared" si="15"/>
        <v/>
      </c>
      <c r="W85" s="18" t="str">
        <f t="shared" si="16"/>
        <v/>
      </c>
      <c r="X85" s="18" t="str">
        <f t="shared" si="17"/>
        <v/>
      </c>
      <c r="Y85" s="19" t="str">
        <f>IF(OR(L85="",V85=""),"",IFERROR(INDEX(لیست‌ها!$Q$3:$Q$53,MATCH(V85,لیست‌ها!$P$3:$P$53,0))+IF(W85&lt;=6,(W85-1)*31+X85,IF(W85&lt;=11,186+(W85-7)*30+X85,336+X85))-1,""))</f>
        <v/>
      </c>
      <c r="Z85" s="18" t="str">
        <f t="shared" si="18"/>
        <v/>
      </c>
      <c r="AA85" s="18" t="str">
        <f t="shared" si="19"/>
        <v/>
      </c>
      <c r="AB85" s="18" t="str">
        <f t="shared" si="20"/>
        <v/>
      </c>
      <c r="AC85" s="18" t="str">
        <f>IF(OR(H85="",Z85=""),"",IFERROR(INDEX(لیست‌ها!$Q$3:$Q$53,MATCH(Z85,لیست‌ها!$P$3:$P$53,0))+IF(AA85&lt;=6,(AA85-1)*31+AB85,IF(AA85&lt;=11,186+(AA85-7)*30+AB85,336+AB85))-1,""))</f>
        <v/>
      </c>
      <c r="AD85" s="18" t="str">
        <f t="shared" si="21"/>
        <v/>
      </c>
      <c r="AE85" s="18" t="str">
        <f t="shared" si="22"/>
        <v/>
      </c>
      <c r="AF85" s="18" t="str">
        <f t="shared" si="23"/>
        <v/>
      </c>
      <c r="AG85" s="18" t="str">
        <f>IF(OR(O85="",AD85=""),"",IFERROR(INDEX(لیست‌ها!$Q$3:$Q$53,MATCH(AD85,لیست‌ها!$P$3:$P$53,0))+IF(AE85&lt;=6,(AE85-1)*31+AF85,IF(AE85&lt;=11,186+(AE85-7)*30+AF85,336+AF85))-1,""))</f>
        <v/>
      </c>
      <c r="AH85" s="18" t="str">
        <f t="shared" si="24"/>
        <v/>
      </c>
      <c r="AI85" s="18" t="str">
        <f t="shared" si="25"/>
        <v/>
      </c>
      <c r="AJ85" s="18" t="str">
        <f t="shared" ca="1" si="26"/>
        <v/>
      </c>
    </row>
    <row r="86" spans="1:36">
      <c r="A86" s="18">
        <v>83</v>
      </c>
      <c r="B86" s="15" t="s">
        <v>213</v>
      </c>
      <c r="C86" s="15" t="s">
        <v>36</v>
      </c>
      <c r="D86" s="15" t="s">
        <v>43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8" t="str">
        <f t="shared" ca="1" si="14"/>
        <v/>
      </c>
      <c r="U86" s="18">
        <f t="shared" ca="1" si="27"/>
        <v>0</v>
      </c>
      <c r="V86" s="18" t="str">
        <f t="shared" si="15"/>
        <v/>
      </c>
      <c r="W86" s="18" t="str">
        <f t="shared" si="16"/>
        <v/>
      </c>
      <c r="X86" s="18" t="str">
        <f t="shared" si="17"/>
        <v/>
      </c>
      <c r="Y86" s="19" t="str">
        <f>IF(OR(L86="",V86=""),"",IFERROR(INDEX(لیست‌ها!$Q$3:$Q$53,MATCH(V86,لیست‌ها!$P$3:$P$53,0))+IF(W86&lt;=6,(W86-1)*31+X86,IF(W86&lt;=11,186+(W86-7)*30+X86,336+X86))-1,""))</f>
        <v/>
      </c>
      <c r="Z86" s="18" t="str">
        <f t="shared" si="18"/>
        <v/>
      </c>
      <c r="AA86" s="18" t="str">
        <f t="shared" si="19"/>
        <v/>
      </c>
      <c r="AB86" s="18" t="str">
        <f t="shared" si="20"/>
        <v/>
      </c>
      <c r="AC86" s="18" t="str">
        <f>IF(OR(H86="",Z86=""),"",IFERROR(INDEX(لیست‌ها!$Q$3:$Q$53,MATCH(Z86,لیست‌ها!$P$3:$P$53,0))+IF(AA86&lt;=6,(AA86-1)*31+AB86,IF(AA86&lt;=11,186+(AA86-7)*30+AB86,336+AB86))-1,""))</f>
        <v/>
      </c>
      <c r="AD86" s="18" t="str">
        <f t="shared" si="21"/>
        <v/>
      </c>
      <c r="AE86" s="18" t="str">
        <f t="shared" si="22"/>
        <v/>
      </c>
      <c r="AF86" s="18" t="str">
        <f t="shared" si="23"/>
        <v/>
      </c>
      <c r="AG86" s="18" t="str">
        <f>IF(OR(O86="",AD86=""),"",IFERROR(INDEX(لیست‌ها!$Q$3:$Q$53,MATCH(AD86,لیست‌ها!$P$3:$P$53,0))+IF(AE86&lt;=6,(AE86-1)*31+AF86,IF(AE86&lt;=11,186+(AE86-7)*30+AF86,336+AF86))-1,""))</f>
        <v/>
      </c>
      <c r="AH86" s="18" t="str">
        <f t="shared" si="24"/>
        <v/>
      </c>
      <c r="AI86" s="18" t="str">
        <f t="shared" si="25"/>
        <v/>
      </c>
      <c r="AJ86" s="18" t="str">
        <f t="shared" ca="1" si="26"/>
        <v/>
      </c>
    </row>
    <row r="87" spans="1:36">
      <c r="A87" s="18">
        <v>84</v>
      </c>
      <c r="B87" s="15" t="s">
        <v>214</v>
      </c>
      <c r="C87" s="15" t="s">
        <v>36</v>
      </c>
      <c r="D87" s="15" t="s">
        <v>43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8" t="str">
        <f t="shared" ca="1" si="14"/>
        <v/>
      </c>
      <c r="U87" s="18">
        <f t="shared" ca="1" si="27"/>
        <v>0</v>
      </c>
      <c r="V87" s="18" t="str">
        <f t="shared" si="15"/>
        <v/>
      </c>
      <c r="W87" s="18" t="str">
        <f t="shared" si="16"/>
        <v/>
      </c>
      <c r="X87" s="18" t="str">
        <f t="shared" si="17"/>
        <v/>
      </c>
      <c r="Y87" s="19" t="str">
        <f>IF(OR(L87="",V87=""),"",IFERROR(INDEX(لیست‌ها!$Q$3:$Q$53,MATCH(V87,لیست‌ها!$P$3:$P$53,0))+IF(W87&lt;=6,(W87-1)*31+X87,IF(W87&lt;=11,186+(W87-7)*30+X87,336+X87))-1,""))</f>
        <v/>
      </c>
      <c r="Z87" s="18" t="str">
        <f t="shared" si="18"/>
        <v/>
      </c>
      <c r="AA87" s="18" t="str">
        <f t="shared" si="19"/>
        <v/>
      </c>
      <c r="AB87" s="18" t="str">
        <f t="shared" si="20"/>
        <v/>
      </c>
      <c r="AC87" s="18" t="str">
        <f>IF(OR(H87="",Z87=""),"",IFERROR(INDEX(لیست‌ها!$Q$3:$Q$53,MATCH(Z87,لیست‌ها!$P$3:$P$53,0))+IF(AA87&lt;=6,(AA87-1)*31+AB87,IF(AA87&lt;=11,186+(AA87-7)*30+AB87,336+AB87))-1,""))</f>
        <v/>
      </c>
      <c r="AD87" s="18" t="str">
        <f t="shared" si="21"/>
        <v/>
      </c>
      <c r="AE87" s="18" t="str">
        <f t="shared" si="22"/>
        <v/>
      </c>
      <c r="AF87" s="18" t="str">
        <f t="shared" si="23"/>
        <v/>
      </c>
      <c r="AG87" s="18" t="str">
        <f>IF(OR(O87="",AD87=""),"",IFERROR(INDEX(لیست‌ها!$Q$3:$Q$53,MATCH(AD87,لیست‌ها!$P$3:$P$53,0))+IF(AE87&lt;=6,(AE87-1)*31+AF87,IF(AE87&lt;=11,186+(AE87-7)*30+AF87,336+AF87))-1,""))</f>
        <v/>
      </c>
      <c r="AH87" s="18" t="str">
        <f t="shared" si="24"/>
        <v/>
      </c>
      <c r="AI87" s="18" t="str">
        <f t="shared" si="25"/>
        <v/>
      </c>
      <c r="AJ87" s="18" t="str">
        <f t="shared" ca="1" si="26"/>
        <v/>
      </c>
    </row>
    <row r="88" spans="1:36">
      <c r="A88" s="18">
        <v>85</v>
      </c>
      <c r="B88" s="15" t="s">
        <v>215</v>
      </c>
      <c r="C88" s="15" t="s">
        <v>36</v>
      </c>
      <c r="D88" s="15" t="s">
        <v>43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8" t="str">
        <f t="shared" ca="1" si="14"/>
        <v/>
      </c>
      <c r="U88" s="18">
        <f t="shared" ca="1" si="27"/>
        <v>0</v>
      </c>
      <c r="V88" s="18" t="str">
        <f t="shared" si="15"/>
        <v/>
      </c>
      <c r="W88" s="18" t="str">
        <f t="shared" si="16"/>
        <v/>
      </c>
      <c r="X88" s="18" t="str">
        <f t="shared" si="17"/>
        <v/>
      </c>
      <c r="Y88" s="19" t="str">
        <f>IF(OR(L88="",V88=""),"",IFERROR(INDEX(لیست‌ها!$Q$3:$Q$53,MATCH(V88,لیست‌ها!$P$3:$P$53,0))+IF(W88&lt;=6,(W88-1)*31+X88,IF(W88&lt;=11,186+(W88-7)*30+X88,336+X88))-1,""))</f>
        <v/>
      </c>
      <c r="Z88" s="18" t="str">
        <f t="shared" si="18"/>
        <v/>
      </c>
      <c r="AA88" s="18" t="str">
        <f t="shared" si="19"/>
        <v/>
      </c>
      <c r="AB88" s="18" t="str">
        <f t="shared" si="20"/>
        <v/>
      </c>
      <c r="AC88" s="18" t="str">
        <f>IF(OR(H88="",Z88=""),"",IFERROR(INDEX(لیست‌ها!$Q$3:$Q$53,MATCH(Z88,لیست‌ها!$P$3:$P$53,0))+IF(AA88&lt;=6,(AA88-1)*31+AB88,IF(AA88&lt;=11,186+(AA88-7)*30+AB88,336+AB88))-1,""))</f>
        <v/>
      </c>
      <c r="AD88" s="18" t="str">
        <f t="shared" si="21"/>
        <v/>
      </c>
      <c r="AE88" s="18" t="str">
        <f t="shared" si="22"/>
        <v/>
      </c>
      <c r="AF88" s="18" t="str">
        <f t="shared" si="23"/>
        <v/>
      </c>
      <c r="AG88" s="18" t="str">
        <f>IF(OR(O88="",AD88=""),"",IFERROR(INDEX(لیست‌ها!$Q$3:$Q$53,MATCH(AD88,لیست‌ها!$P$3:$P$53,0))+IF(AE88&lt;=6,(AE88-1)*31+AF88,IF(AE88&lt;=11,186+(AE88-7)*30+AF88,336+AF88))-1,""))</f>
        <v/>
      </c>
      <c r="AH88" s="18" t="str">
        <f t="shared" si="24"/>
        <v/>
      </c>
      <c r="AI88" s="18" t="str">
        <f t="shared" si="25"/>
        <v/>
      </c>
      <c r="AJ88" s="18" t="str">
        <f t="shared" ca="1" si="26"/>
        <v/>
      </c>
    </row>
    <row r="89" spans="1:36">
      <c r="A89" s="18">
        <v>86</v>
      </c>
      <c r="B89" s="15" t="s">
        <v>216</v>
      </c>
      <c r="C89" s="15" t="s">
        <v>36</v>
      </c>
      <c r="D89" s="15" t="s">
        <v>43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8" t="str">
        <f t="shared" ca="1" si="14"/>
        <v/>
      </c>
      <c r="U89" s="18">
        <f t="shared" ca="1" si="27"/>
        <v>0</v>
      </c>
      <c r="V89" s="18" t="str">
        <f t="shared" si="15"/>
        <v/>
      </c>
      <c r="W89" s="18" t="str">
        <f t="shared" si="16"/>
        <v/>
      </c>
      <c r="X89" s="18" t="str">
        <f t="shared" si="17"/>
        <v/>
      </c>
      <c r="Y89" s="19" t="str">
        <f>IF(OR(L89="",V89=""),"",IFERROR(INDEX(لیست‌ها!$Q$3:$Q$53,MATCH(V89,لیست‌ها!$P$3:$P$53,0))+IF(W89&lt;=6,(W89-1)*31+X89,IF(W89&lt;=11,186+(W89-7)*30+X89,336+X89))-1,""))</f>
        <v/>
      </c>
      <c r="Z89" s="18" t="str">
        <f t="shared" si="18"/>
        <v/>
      </c>
      <c r="AA89" s="18" t="str">
        <f t="shared" si="19"/>
        <v/>
      </c>
      <c r="AB89" s="18" t="str">
        <f t="shared" si="20"/>
        <v/>
      </c>
      <c r="AC89" s="18" t="str">
        <f>IF(OR(H89="",Z89=""),"",IFERROR(INDEX(لیست‌ها!$Q$3:$Q$53,MATCH(Z89,لیست‌ها!$P$3:$P$53,0))+IF(AA89&lt;=6,(AA89-1)*31+AB89,IF(AA89&lt;=11,186+(AA89-7)*30+AB89,336+AB89))-1,""))</f>
        <v/>
      </c>
      <c r="AD89" s="18" t="str">
        <f t="shared" si="21"/>
        <v/>
      </c>
      <c r="AE89" s="18" t="str">
        <f t="shared" si="22"/>
        <v/>
      </c>
      <c r="AF89" s="18" t="str">
        <f t="shared" si="23"/>
        <v/>
      </c>
      <c r="AG89" s="18" t="str">
        <f>IF(OR(O89="",AD89=""),"",IFERROR(INDEX(لیست‌ها!$Q$3:$Q$53,MATCH(AD89,لیست‌ها!$P$3:$P$53,0))+IF(AE89&lt;=6,(AE89-1)*31+AF89,IF(AE89&lt;=11,186+(AE89-7)*30+AF89,336+AF89))-1,""))</f>
        <v/>
      </c>
      <c r="AH89" s="18" t="str">
        <f t="shared" si="24"/>
        <v/>
      </c>
      <c r="AI89" s="18" t="str">
        <f t="shared" si="25"/>
        <v/>
      </c>
      <c r="AJ89" s="18" t="str">
        <f t="shared" ca="1" si="26"/>
        <v/>
      </c>
    </row>
    <row r="90" spans="1:36">
      <c r="A90" s="18">
        <v>87</v>
      </c>
      <c r="B90" s="15" t="s">
        <v>217</v>
      </c>
      <c r="C90" s="15" t="s">
        <v>36</v>
      </c>
      <c r="D90" s="15" t="s">
        <v>43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8" t="str">
        <f t="shared" ca="1" si="14"/>
        <v/>
      </c>
      <c r="U90" s="18">
        <f t="shared" ca="1" si="27"/>
        <v>0</v>
      </c>
      <c r="V90" s="18" t="str">
        <f t="shared" si="15"/>
        <v/>
      </c>
      <c r="W90" s="18" t="str">
        <f t="shared" si="16"/>
        <v/>
      </c>
      <c r="X90" s="18" t="str">
        <f t="shared" si="17"/>
        <v/>
      </c>
      <c r="Y90" s="19" t="str">
        <f>IF(OR(L90="",V90=""),"",IFERROR(INDEX(لیست‌ها!$Q$3:$Q$53,MATCH(V90,لیست‌ها!$P$3:$P$53,0))+IF(W90&lt;=6,(W90-1)*31+X90,IF(W90&lt;=11,186+(W90-7)*30+X90,336+X90))-1,""))</f>
        <v/>
      </c>
      <c r="Z90" s="18" t="str">
        <f t="shared" si="18"/>
        <v/>
      </c>
      <c r="AA90" s="18" t="str">
        <f t="shared" si="19"/>
        <v/>
      </c>
      <c r="AB90" s="18" t="str">
        <f t="shared" si="20"/>
        <v/>
      </c>
      <c r="AC90" s="18" t="str">
        <f>IF(OR(H90="",Z90=""),"",IFERROR(INDEX(لیست‌ها!$Q$3:$Q$53,MATCH(Z90,لیست‌ها!$P$3:$P$53,0))+IF(AA90&lt;=6,(AA90-1)*31+AB90,IF(AA90&lt;=11,186+(AA90-7)*30+AB90,336+AB90))-1,""))</f>
        <v/>
      </c>
      <c r="AD90" s="18" t="str">
        <f t="shared" si="21"/>
        <v/>
      </c>
      <c r="AE90" s="18" t="str">
        <f t="shared" si="22"/>
        <v/>
      </c>
      <c r="AF90" s="18" t="str">
        <f t="shared" si="23"/>
        <v/>
      </c>
      <c r="AG90" s="18" t="str">
        <f>IF(OR(O90="",AD90=""),"",IFERROR(INDEX(لیست‌ها!$Q$3:$Q$53,MATCH(AD90,لیست‌ها!$P$3:$P$53,0))+IF(AE90&lt;=6,(AE90-1)*31+AF90,IF(AE90&lt;=11,186+(AE90-7)*30+AF90,336+AF90))-1,""))</f>
        <v/>
      </c>
      <c r="AH90" s="18" t="str">
        <f t="shared" si="24"/>
        <v/>
      </c>
      <c r="AI90" s="18" t="str">
        <f t="shared" si="25"/>
        <v/>
      </c>
      <c r="AJ90" s="18" t="str">
        <f t="shared" ca="1" si="26"/>
        <v/>
      </c>
    </row>
    <row r="91" spans="1:36">
      <c r="A91" s="18">
        <v>88</v>
      </c>
      <c r="B91" s="15" t="s">
        <v>218</v>
      </c>
      <c r="C91" s="15" t="s">
        <v>36</v>
      </c>
      <c r="D91" s="15" t="s">
        <v>43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8" t="str">
        <f t="shared" ca="1" si="14"/>
        <v/>
      </c>
      <c r="U91" s="18">
        <f t="shared" ca="1" si="27"/>
        <v>0</v>
      </c>
      <c r="V91" s="18" t="str">
        <f t="shared" si="15"/>
        <v/>
      </c>
      <c r="W91" s="18" t="str">
        <f t="shared" si="16"/>
        <v/>
      </c>
      <c r="X91" s="18" t="str">
        <f t="shared" si="17"/>
        <v/>
      </c>
      <c r="Y91" s="19" t="str">
        <f>IF(OR(L91="",V91=""),"",IFERROR(INDEX(لیست‌ها!$Q$3:$Q$53,MATCH(V91,لیست‌ها!$P$3:$P$53,0))+IF(W91&lt;=6,(W91-1)*31+X91,IF(W91&lt;=11,186+(W91-7)*30+X91,336+X91))-1,""))</f>
        <v/>
      </c>
      <c r="Z91" s="18" t="str">
        <f t="shared" si="18"/>
        <v/>
      </c>
      <c r="AA91" s="18" t="str">
        <f t="shared" si="19"/>
        <v/>
      </c>
      <c r="AB91" s="18" t="str">
        <f t="shared" si="20"/>
        <v/>
      </c>
      <c r="AC91" s="18" t="str">
        <f>IF(OR(H91="",Z91=""),"",IFERROR(INDEX(لیست‌ها!$Q$3:$Q$53,MATCH(Z91,لیست‌ها!$P$3:$P$53,0))+IF(AA91&lt;=6,(AA91-1)*31+AB91,IF(AA91&lt;=11,186+(AA91-7)*30+AB91,336+AB91))-1,""))</f>
        <v/>
      </c>
      <c r="AD91" s="18" t="str">
        <f t="shared" si="21"/>
        <v/>
      </c>
      <c r="AE91" s="18" t="str">
        <f t="shared" si="22"/>
        <v/>
      </c>
      <c r="AF91" s="18" t="str">
        <f t="shared" si="23"/>
        <v/>
      </c>
      <c r="AG91" s="18" t="str">
        <f>IF(OR(O91="",AD91=""),"",IFERROR(INDEX(لیست‌ها!$Q$3:$Q$53,MATCH(AD91,لیست‌ها!$P$3:$P$53,0))+IF(AE91&lt;=6,(AE91-1)*31+AF91,IF(AE91&lt;=11,186+(AE91-7)*30+AF91,336+AF91))-1,""))</f>
        <v/>
      </c>
      <c r="AH91" s="18" t="str">
        <f t="shared" si="24"/>
        <v/>
      </c>
      <c r="AI91" s="18" t="str">
        <f t="shared" si="25"/>
        <v/>
      </c>
      <c r="AJ91" s="18" t="str">
        <f t="shared" ca="1" si="26"/>
        <v/>
      </c>
    </row>
    <row r="92" spans="1:36">
      <c r="A92" s="18">
        <v>89</v>
      </c>
      <c r="B92" s="15" t="s">
        <v>219</v>
      </c>
      <c r="C92" s="15" t="s">
        <v>36</v>
      </c>
      <c r="D92" s="15" t="s">
        <v>43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8" t="str">
        <f t="shared" ca="1" si="14"/>
        <v/>
      </c>
      <c r="U92" s="18">
        <f t="shared" ca="1" si="27"/>
        <v>0</v>
      </c>
      <c r="V92" s="18" t="str">
        <f t="shared" si="15"/>
        <v/>
      </c>
      <c r="W92" s="18" t="str">
        <f t="shared" si="16"/>
        <v/>
      </c>
      <c r="X92" s="18" t="str">
        <f t="shared" si="17"/>
        <v/>
      </c>
      <c r="Y92" s="19" t="str">
        <f>IF(OR(L92="",V92=""),"",IFERROR(INDEX(لیست‌ها!$Q$3:$Q$53,MATCH(V92,لیست‌ها!$P$3:$P$53,0))+IF(W92&lt;=6,(W92-1)*31+X92,IF(W92&lt;=11,186+(W92-7)*30+X92,336+X92))-1,""))</f>
        <v/>
      </c>
      <c r="Z92" s="18" t="str">
        <f t="shared" si="18"/>
        <v/>
      </c>
      <c r="AA92" s="18" t="str">
        <f t="shared" si="19"/>
        <v/>
      </c>
      <c r="AB92" s="18" t="str">
        <f t="shared" si="20"/>
        <v/>
      </c>
      <c r="AC92" s="18" t="str">
        <f>IF(OR(H92="",Z92=""),"",IFERROR(INDEX(لیست‌ها!$Q$3:$Q$53,MATCH(Z92,لیست‌ها!$P$3:$P$53,0))+IF(AA92&lt;=6,(AA92-1)*31+AB92,IF(AA92&lt;=11,186+(AA92-7)*30+AB92,336+AB92))-1,""))</f>
        <v/>
      </c>
      <c r="AD92" s="18" t="str">
        <f t="shared" si="21"/>
        <v/>
      </c>
      <c r="AE92" s="18" t="str">
        <f t="shared" si="22"/>
        <v/>
      </c>
      <c r="AF92" s="18" t="str">
        <f t="shared" si="23"/>
        <v/>
      </c>
      <c r="AG92" s="18" t="str">
        <f>IF(OR(O92="",AD92=""),"",IFERROR(INDEX(لیست‌ها!$Q$3:$Q$53,MATCH(AD92,لیست‌ها!$P$3:$P$53,0))+IF(AE92&lt;=6,(AE92-1)*31+AF92,IF(AE92&lt;=11,186+(AE92-7)*30+AF92,336+AF92))-1,""))</f>
        <v/>
      </c>
      <c r="AH92" s="18" t="str">
        <f t="shared" si="24"/>
        <v/>
      </c>
      <c r="AI92" s="18" t="str">
        <f t="shared" si="25"/>
        <v/>
      </c>
      <c r="AJ92" s="18" t="str">
        <f t="shared" ca="1" si="26"/>
        <v/>
      </c>
    </row>
    <row r="93" spans="1:36">
      <c r="A93" s="18">
        <v>90</v>
      </c>
      <c r="B93" s="15" t="s">
        <v>220</v>
      </c>
      <c r="C93" s="15" t="s">
        <v>36</v>
      </c>
      <c r="D93" s="15" t="s">
        <v>43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8" t="str">
        <f t="shared" ca="1" si="14"/>
        <v/>
      </c>
      <c r="U93" s="18">
        <f t="shared" ca="1" si="27"/>
        <v>0</v>
      </c>
      <c r="V93" s="18" t="str">
        <f t="shared" si="15"/>
        <v/>
      </c>
      <c r="W93" s="18" t="str">
        <f t="shared" si="16"/>
        <v/>
      </c>
      <c r="X93" s="18" t="str">
        <f t="shared" si="17"/>
        <v/>
      </c>
      <c r="Y93" s="19" t="str">
        <f>IF(OR(L93="",V93=""),"",IFERROR(INDEX(لیست‌ها!$Q$3:$Q$53,MATCH(V93,لیست‌ها!$P$3:$P$53,0))+IF(W93&lt;=6,(W93-1)*31+X93,IF(W93&lt;=11,186+(W93-7)*30+X93,336+X93))-1,""))</f>
        <v/>
      </c>
      <c r="Z93" s="18" t="str">
        <f t="shared" si="18"/>
        <v/>
      </c>
      <c r="AA93" s="18" t="str">
        <f t="shared" si="19"/>
        <v/>
      </c>
      <c r="AB93" s="18" t="str">
        <f t="shared" si="20"/>
        <v/>
      </c>
      <c r="AC93" s="18" t="str">
        <f>IF(OR(H93="",Z93=""),"",IFERROR(INDEX(لیست‌ها!$Q$3:$Q$53,MATCH(Z93,لیست‌ها!$P$3:$P$53,0))+IF(AA93&lt;=6,(AA93-1)*31+AB93,IF(AA93&lt;=11,186+(AA93-7)*30+AB93,336+AB93))-1,""))</f>
        <v/>
      </c>
      <c r="AD93" s="18" t="str">
        <f t="shared" si="21"/>
        <v/>
      </c>
      <c r="AE93" s="18" t="str">
        <f t="shared" si="22"/>
        <v/>
      </c>
      <c r="AF93" s="18" t="str">
        <f t="shared" si="23"/>
        <v/>
      </c>
      <c r="AG93" s="18" t="str">
        <f>IF(OR(O93="",AD93=""),"",IFERROR(INDEX(لیست‌ها!$Q$3:$Q$53,MATCH(AD93,لیست‌ها!$P$3:$P$53,0))+IF(AE93&lt;=6,(AE93-1)*31+AF93,IF(AE93&lt;=11,186+(AE93-7)*30+AF93,336+AF93))-1,""))</f>
        <v/>
      </c>
      <c r="AH93" s="18" t="str">
        <f t="shared" si="24"/>
        <v/>
      </c>
      <c r="AI93" s="18" t="str">
        <f t="shared" si="25"/>
        <v/>
      </c>
      <c r="AJ93" s="18" t="str">
        <f t="shared" ca="1" si="26"/>
        <v/>
      </c>
    </row>
    <row r="94" spans="1:36">
      <c r="A94" s="18">
        <v>91</v>
      </c>
      <c r="B94" s="15" t="s">
        <v>221</v>
      </c>
      <c r="C94" s="15" t="s">
        <v>36</v>
      </c>
      <c r="D94" s="15" t="s">
        <v>43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8" t="str">
        <f t="shared" ca="1" si="14"/>
        <v/>
      </c>
      <c r="U94" s="18">
        <f t="shared" ca="1" si="27"/>
        <v>0</v>
      </c>
      <c r="V94" s="18" t="str">
        <f t="shared" si="15"/>
        <v/>
      </c>
      <c r="W94" s="18" t="str">
        <f t="shared" si="16"/>
        <v/>
      </c>
      <c r="X94" s="18" t="str">
        <f t="shared" si="17"/>
        <v/>
      </c>
      <c r="Y94" s="19" t="str">
        <f>IF(OR(L94="",V94=""),"",IFERROR(INDEX(لیست‌ها!$Q$3:$Q$53,MATCH(V94,لیست‌ها!$P$3:$P$53,0))+IF(W94&lt;=6,(W94-1)*31+X94,IF(W94&lt;=11,186+(W94-7)*30+X94,336+X94))-1,""))</f>
        <v/>
      </c>
      <c r="Z94" s="18" t="str">
        <f t="shared" si="18"/>
        <v/>
      </c>
      <c r="AA94" s="18" t="str">
        <f t="shared" si="19"/>
        <v/>
      </c>
      <c r="AB94" s="18" t="str">
        <f t="shared" si="20"/>
        <v/>
      </c>
      <c r="AC94" s="18" t="str">
        <f>IF(OR(H94="",Z94=""),"",IFERROR(INDEX(لیست‌ها!$Q$3:$Q$53,MATCH(Z94,لیست‌ها!$P$3:$P$53,0))+IF(AA94&lt;=6,(AA94-1)*31+AB94,IF(AA94&lt;=11,186+(AA94-7)*30+AB94,336+AB94))-1,""))</f>
        <v/>
      </c>
      <c r="AD94" s="18" t="str">
        <f t="shared" si="21"/>
        <v/>
      </c>
      <c r="AE94" s="18" t="str">
        <f t="shared" si="22"/>
        <v/>
      </c>
      <c r="AF94" s="18" t="str">
        <f t="shared" si="23"/>
        <v/>
      </c>
      <c r="AG94" s="18" t="str">
        <f>IF(OR(O94="",AD94=""),"",IFERROR(INDEX(لیست‌ها!$Q$3:$Q$53,MATCH(AD94,لیست‌ها!$P$3:$P$53,0))+IF(AE94&lt;=6,(AE94-1)*31+AF94,IF(AE94&lt;=11,186+(AE94-7)*30+AF94,336+AF94))-1,""))</f>
        <v/>
      </c>
      <c r="AH94" s="18" t="str">
        <f t="shared" si="24"/>
        <v/>
      </c>
      <c r="AI94" s="18" t="str">
        <f t="shared" si="25"/>
        <v/>
      </c>
      <c r="AJ94" s="18" t="str">
        <f t="shared" ca="1" si="26"/>
        <v/>
      </c>
    </row>
    <row r="95" spans="1:36">
      <c r="A95" s="18">
        <v>92</v>
      </c>
      <c r="B95" s="15" t="s">
        <v>222</v>
      </c>
      <c r="C95" s="15" t="s">
        <v>36</v>
      </c>
      <c r="D95" s="15" t="s">
        <v>43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8" t="str">
        <f t="shared" ca="1" si="14"/>
        <v/>
      </c>
      <c r="U95" s="18">
        <f t="shared" ca="1" si="27"/>
        <v>0</v>
      </c>
      <c r="V95" s="18" t="str">
        <f t="shared" si="15"/>
        <v/>
      </c>
      <c r="W95" s="18" t="str">
        <f t="shared" si="16"/>
        <v/>
      </c>
      <c r="X95" s="18" t="str">
        <f t="shared" si="17"/>
        <v/>
      </c>
      <c r="Y95" s="19" t="str">
        <f>IF(OR(L95="",V95=""),"",IFERROR(INDEX(لیست‌ها!$Q$3:$Q$53,MATCH(V95,لیست‌ها!$P$3:$P$53,0))+IF(W95&lt;=6,(W95-1)*31+X95,IF(W95&lt;=11,186+(W95-7)*30+X95,336+X95))-1,""))</f>
        <v/>
      </c>
      <c r="Z95" s="18" t="str">
        <f t="shared" si="18"/>
        <v/>
      </c>
      <c r="AA95" s="18" t="str">
        <f t="shared" si="19"/>
        <v/>
      </c>
      <c r="AB95" s="18" t="str">
        <f t="shared" si="20"/>
        <v/>
      </c>
      <c r="AC95" s="18" t="str">
        <f>IF(OR(H95="",Z95=""),"",IFERROR(INDEX(لیست‌ها!$Q$3:$Q$53,MATCH(Z95,لیست‌ها!$P$3:$P$53,0))+IF(AA95&lt;=6,(AA95-1)*31+AB95,IF(AA95&lt;=11,186+(AA95-7)*30+AB95,336+AB95))-1,""))</f>
        <v/>
      </c>
      <c r="AD95" s="18" t="str">
        <f t="shared" si="21"/>
        <v/>
      </c>
      <c r="AE95" s="18" t="str">
        <f t="shared" si="22"/>
        <v/>
      </c>
      <c r="AF95" s="18" t="str">
        <f t="shared" si="23"/>
        <v/>
      </c>
      <c r="AG95" s="18" t="str">
        <f>IF(OR(O95="",AD95=""),"",IFERROR(INDEX(لیست‌ها!$Q$3:$Q$53,MATCH(AD95,لیست‌ها!$P$3:$P$53,0))+IF(AE95&lt;=6,(AE95-1)*31+AF95,IF(AE95&lt;=11,186+(AE95-7)*30+AF95,336+AF95))-1,""))</f>
        <v/>
      </c>
      <c r="AH95" s="18" t="str">
        <f t="shared" si="24"/>
        <v/>
      </c>
      <c r="AI95" s="18" t="str">
        <f t="shared" si="25"/>
        <v/>
      </c>
      <c r="AJ95" s="18" t="str">
        <f t="shared" ca="1" si="26"/>
        <v/>
      </c>
    </row>
    <row r="96" spans="1:36">
      <c r="A96" s="18">
        <v>93</v>
      </c>
      <c r="B96" s="15" t="s">
        <v>223</v>
      </c>
      <c r="C96" s="15" t="s">
        <v>36</v>
      </c>
      <c r="D96" s="15" t="s">
        <v>43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8" t="str">
        <f t="shared" ca="1" si="14"/>
        <v/>
      </c>
      <c r="U96" s="18">
        <f t="shared" ca="1" si="27"/>
        <v>0</v>
      </c>
      <c r="V96" s="18" t="str">
        <f t="shared" si="15"/>
        <v/>
      </c>
      <c r="W96" s="18" t="str">
        <f t="shared" si="16"/>
        <v/>
      </c>
      <c r="X96" s="18" t="str">
        <f t="shared" si="17"/>
        <v/>
      </c>
      <c r="Y96" s="19" t="str">
        <f>IF(OR(L96="",V96=""),"",IFERROR(INDEX(لیست‌ها!$Q$3:$Q$53,MATCH(V96,لیست‌ها!$P$3:$P$53,0))+IF(W96&lt;=6,(W96-1)*31+X96,IF(W96&lt;=11,186+(W96-7)*30+X96,336+X96))-1,""))</f>
        <v/>
      </c>
      <c r="Z96" s="18" t="str">
        <f t="shared" si="18"/>
        <v/>
      </c>
      <c r="AA96" s="18" t="str">
        <f t="shared" si="19"/>
        <v/>
      </c>
      <c r="AB96" s="18" t="str">
        <f t="shared" si="20"/>
        <v/>
      </c>
      <c r="AC96" s="18" t="str">
        <f>IF(OR(H96="",Z96=""),"",IFERROR(INDEX(لیست‌ها!$Q$3:$Q$53,MATCH(Z96,لیست‌ها!$P$3:$P$53,0))+IF(AA96&lt;=6,(AA96-1)*31+AB96,IF(AA96&lt;=11,186+(AA96-7)*30+AB96,336+AB96))-1,""))</f>
        <v/>
      </c>
      <c r="AD96" s="18" t="str">
        <f t="shared" si="21"/>
        <v/>
      </c>
      <c r="AE96" s="18" t="str">
        <f t="shared" si="22"/>
        <v/>
      </c>
      <c r="AF96" s="18" t="str">
        <f t="shared" si="23"/>
        <v/>
      </c>
      <c r="AG96" s="18" t="str">
        <f>IF(OR(O96="",AD96=""),"",IFERROR(INDEX(لیست‌ها!$Q$3:$Q$53,MATCH(AD96,لیست‌ها!$P$3:$P$53,0))+IF(AE96&lt;=6,(AE96-1)*31+AF96,IF(AE96&lt;=11,186+(AE96-7)*30+AF96,336+AF96))-1,""))</f>
        <v/>
      </c>
      <c r="AH96" s="18" t="str">
        <f t="shared" si="24"/>
        <v/>
      </c>
      <c r="AI96" s="18" t="str">
        <f t="shared" si="25"/>
        <v/>
      </c>
      <c r="AJ96" s="18" t="str">
        <f t="shared" ca="1" si="26"/>
        <v/>
      </c>
    </row>
    <row r="97" spans="1:36">
      <c r="A97" s="18">
        <v>94</v>
      </c>
      <c r="B97" s="15" t="s">
        <v>224</v>
      </c>
      <c r="C97" s="15" t="s">
        <v>36</v>
      </c>
      <c r="D97" s="15" t="s">
        <v>43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8" t="str">
        <f t="shared" ca="1" si="14"/>
        <v/>
      </c>
      <c r="U97" s="18">
        <f t="shared" ca="1" si="27"/>
        <v>0</v>
      </c>
      <c r="V97" s="18" t="str">
        <f t="shared" si="15"/>
        <v/>
      </c>
      <c r="W97" s="18" t="str">
        <f t="shared" si="16"/>
        <v/>
      </c>
      <c r="X97" s="18" t="str">
        <f t="shared" si="17"/>
        <v/>
      </c>
      <c r="Y97" s="19" t="str">
        <f>IF(OR(L97="",V97=""),"",IFERROR(INDEX(لیست‌ها!$Q$3:$Q$53,MATCH(V97,لیست‌ها!$P$3:$P$53,0))+IF(W97&lt;=6,(W97-1)*31+X97,IF(W97&lt;=11,186+(W97-7)*30+X97,336+X97))-1,""))</f>
        <v/>
      </c>
      <c r="Z97" s="18" t="str">
        <f t="shared" si="18"/>
        <v/>
      </c>
      <c r="AA97" s="18" t="str">
        <f t="shared" si="19"/>
        <v/>
      </c>
      <c r="AB97" s="18" t="str">
        <f t="shared" si="20"/>
        <v/>
      </c>
      <c r="AC97" s="18" t="str">
        <f>IF(OR(H97="",Z97=""),"",IFERROR(INDEX(لیست‌ها!$Q$3:$Q$53,MATCH(Z97,لیست‌ها!$P$3:$P$53,0))+IF(AA97&lt;=6,(AA97-1)*31+AB97,IF(AA97&lt;=11,186+(AA97-7)*30+AB97,336+AB97))-1,""))</f>
        <v/>
      </c>
      <c r="AD97" s="18" t="str">
        <f t="shared" si="21"/>
        <v/>
      </c>
      <c r="AE97" s="18" t="str">
        <f t="shared" si="22"/>
        <v/>
      </c>
      <c r="AF97" s="18" t="str">
        <f t="shared" si="23"/>
        <v/>
      </c>
      <c r="AG97" s="18" t="str">
        <f>IF(OR(O97="",AD97=""),"",IFERROR(INDEX(لیست‌ها!$Q$3:$Q$53,MATCH(AD97,لیست‌ها!$P$3:$P$53,0))+IF(AE97&lt;=6,(AE97-1)*31+AF97,IF(AE97&lt;=11,186+(AE97-7)*30+AF97,336+AF97))-1,""))</f>
        <v/>
      </c>
      <c r="AH97" s="18" t="str">
        <f t="shared" si="24"/>
        <v/>
      </c>
      <c r="AI97" s="18" t="str">
        <f t="shared" si="25"/>
        <v/>
      </c>
      <c r="AJ97" s="18" t="str">
        <f t="shared" ca="1" si="26"/>
        <v/>
      </c>
    </row>
    <row r="98" spans="1:36">
      <c r="A98" s="18">
        <v>95</v>
      </c>
      <c r="B98" s="15" t="s">
        <v>225</v>
      </c>
      <c r="C98" s="15" t="s">
        <v>36</v>
      </c>
      <c r="D98" s="15" t="s">
        <v>43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8" t="str">
        <f t="shared" ca="1" si="14"/>
        <v/>
      </c>
      <c r="U98" s="18">
        <f t="shared" ca="1" si="27"/>
        <v>0</v>
      </c>
      <c r="V98" s="18" t="str">
        <f t="shared" si="15"/>
        <v/>
      </c>
      <c r="W98" s="18" t="str">
        <f t="shared" si="16"/>
        <v/>
      </c>
      <c r="X98" s="18" t="str">
        <f t="shared" si="17"/>
        <v/>
      </c>
      <c r="Y98" s="19" t="str">
        <f>IF(OR(L98="",V98=""),"",IFERROR(INDEX(لیست‌ها!$Q$3:$Q$53,MATCH(V98,لیست‌ها!$P$3:$P$53,0))+IF(W98&lt;=6,(W98-1)*31+X98,IF(W98&lt;=11,186+(W98-7)*30+X98,336+X98))-1,""))</f>
        <v/>
      </c>
      <c r="Z98" s="18" t="str">
        <f t="shared" si="18"/>
        <v/>
      </c>
      <c r="AA98" s="18" t="str">
        <f t="shared" si="19"/>
        <v/>
      </c>
      <c r="AB98" s="18" t="str">
        <f t="shared" si="20"/>
        <v/>
      </c>
      <c r="AC98" s="18" t="str">
        <f>IF(OR(H98="",Z98=""),"",IFERROR(INDEX(لیست‌ها!$Q$3:$Q$53,MATCH(Z98,لیست‌ها!$P$3:$P$53,0))+IF(AA98&lt;=6,(AA98-1)*31+AB98,IF(AA98&lt;=11,186+(AA98-7)*30+AB98,336+AB98))-1,""))</f>
        <v/>
      </c>
      <c r="AD98" s="18" t="str">
        <f t="shared" si="21"/>
        <v/>
      </c>
      <c r="AE98" s="18" t="str">
        <f t="shared" si="22"/>
        <v/>
      </c>
      <c r="AF98" s="18" t="str">
        <f t="shared" si="23"/>
        <v/>
      </c>
      <c r="AG98" s="18" t="str">
        <f>IF(OR(O98="",AD98=""),"",IFERROR(INDEX(لیست‌ها!$Q$3:$Q$53,MATCH(AD98,لیست‌ها!$P$3:$P$53,0))+IF(AE98&lt;=6,(AE98-1)*31+AF98,IF(AE98&lt;=11,186+(AE98-7)*30+AF98,336+AF98))-1,""))</f>
        <v/>
      </c>
      <c r="AH98" s="18" t="str">
        <f t="shared" si="24"/>
        <v/>
      </c>
      <c r="AI98" s="18" t="str">
        <f t="shared" si="25"/>
        <v/>
      </c>
      <c r="AJ98" s="18" t="str">
        <f t="shared" ca="1" si="26"/>
        <v/>
      </c>
    </row>
    <row r="99" spans="1:36">
      <c r="A99" s="18">
        <v>96</v>
      </c>
      <c r="B99" s="15" t="s">
        <v>226</v>
      </c>
      <c r="C99" s="15" t="s">
        <v>36</v>
      </c>
      <c r="D99" s="15" t="s">
        <v>43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8" t="str">
        <f t="shared" ca="1" si="14"/>
        <v/>
      </c>
      <c r="U99" s="18">
        <f t="shared" ca="1" si="27"/>
        <v>0</v>
      </c>
      <c r="V99" s="18" t="str">
        <f t="shared" si="15"/>
        <v/>
      </c>
      <c r="W99" s="18" t="str">
        <f t="shared" si="16"/>
        <v/>
      </c>
      <c r="X99" s="18" t="str">
        <f t="shared" si="17"/>
        <v/>
      </c>
      <c r="Y99" s="19" t="str">
        <f>IF(OR(L99="",V99=""),"",IFERROR(INDEX(لیست‌ها!$Q$3:$Q$53,MATCH(V99,لیست‌ها!$P$3:$P$53,0))+IF(W99&lt;=6,(W99-1)*31+X99,IF(W99&lt;=11,186+(W99-7)*30+X99,336+X99))-1,""))</f>
        <v/>
      </c>
      <c r="Z99" s="18" t="str">
        <f t="shared" si="18"/>
        <v/>
      </c>
      <c r="AA99" s="18" t="str">
        <f t="shared" si="19"/>
        <v/>
      </c>
      <c r="AB99" s="18" t="str">
        <f t="shared" si="20"/>
        <v/>
      </c>
      <c r="AC99" s="18" t="str">
        <f>IF(OR(H99="",Z99=""),"",IFERROR(INDEX(لیست‌ها!$Q$3:$Q$53,MATCH(Z99,لیست‌ها!$P$3:$P$53,0))+IF(AA99&lt;=6,(AA99-1)*31+AB99,IF(AA99&lt;=11,186+(AA99-7)*30+AB99,336+AB99))-1,""))</f>
        <v/>
      </c>
      <c r="AD99" s="18" t="str">
        <f t="shared" si="21"/>
        <v/>
      </c>
      <c r="AE99" s="18" t="str">
        <f t="shared" si="22"/>
        <v/>
      </c>
      <c r="AF99" s="18" t="str">
        <f t="shared" si="23"/>
        <v/>
      </c>
      <c r="AG99" s="18" t="str">
        <f>IF(OR(O99="",AD99=""),"",IFERROR(INDEX(لیست‌ها!$Q$3:$Q$53,MATCH(AD99,لیست‌ها!$P$3:$P$53,0))+IF(AE99&lt;=6,(AE99-1)*31+AF99,IF(AE99&lt;=11,186+(AE99-7)*30+AF99,336+AF99))-1,""))</f>
        <v/>
      </c>
      <c r="AH99" s="18" t="str">
        <f t="shared" si="24"/>
        <v/>
      </c>
      <c r="AI99" s="18" t="str">
        <f t="shared" si="25"/>
        <v/>
      </c>
      <c r="AJ99" s="18" t="str">
        <f t="shared" ca="1" si="26"/>
        <v/>
      </c>
    </row>
    <row r="100" spans="1:36">
      <c r="A100" s="18">
        <v>97</v>
      </c>
      <c r="B100" s="15" t="s">
        <v>227</v>
      </c>
      <c r="C100" s="15" t="s">
        <v>36</v>
      </c>
      <c r="D100" s="15" t="s">
        <v>43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8" t="str">
        <f t="shared" ca="1" si="14"/>
        <v/>
      </c>
      <c r="U100" s="18">
        <f t="shared" ca="1" si="27"/>
        <v>0</v>
      </c>
      <c r="V100" s="18" t="str">
        <f t="shared" si="15"/>
        <v/>
      </c>
      <c r="W100" s="18" t="str">
        <f t="shared" si="16"/>
        <v/>
      </c>
      <c r="X100" s="18" t="str">
        <f t="shared" si="17"/>
        <v/>
      </c>
      <c r="Y100" s="19" t="str">
        <f>IF(OR(L100="",V100=""),"",IFERROR(INDEX(لیست‌ها!$Q$3:$Q$53,MATCH(V100,لیست‌ها!$P$3:$P$53,0))+IF(W100&lt;=6,(W100-1)*31+X100,IF(W100&lt;=11,186+(W100-7)*30+X100,336+X100))-1,""))</f>
        <v/>
      </c>
      <c r="Z100" s="18" t="str">
        <f t="shared" si="18"/>
        <v/>
      </c>
      <c r="AA100" s="18" t="str">
        <f t="shared" si="19"/>
        <v/>
      </c>
      <c r="AB100" s="18" t="str">
        <f t="shared" si="20"/>
        <v/>
      </c>
      <c r="AC100" s="18" t="str">
        <f>IF(OR(H100="",Z100=""),"",IFERROR(INDEX(لیست‌ها!$Q$3:$Q$53,MATCH(Z100,لیست‌ها!$P$3:$P$53,0))+IF(AA100&lt;=6,(AA100-1)*31+AB100,IF(AA100&lt;=11,186+(AA100-7)*30+AB100,336+AB100))-1,""))</f>
        <v/>
      </c>
      <c r="AD100" s="18" t="str">
        <f t="shared" si="21"/>
        <v/>
      </c>
      <c r="AE100" s="18" t="str">
        <f t="shared" si="22"/>
        <v/>
      </c>
      <c r="AF100" s="18" t="str">
        <f t="shared" si="23"/>
        <v/>
      </c>
      <c r="AG100" s="18" t="str">
        <f>IF(OR(O100="",AD100=""),"",IFERROR(INDEX(لیست‌ها!$Q$3:$Q$53,MATCH(AD100,لیست‌ها!$P$3:$P$53,0))+IF(AE100&lt;=6,(AE100-1)*31+AF100,IF(AE100&lt;=11,186+(AE100-7)*30+AF100,336+AF100))-1,""))</f>
        <v/>
      </c>
      <c r="AH100" s="18" t="str">
        <f t="shared" si="24"/>
        <v/>
      </c>
      <c r="AI100" s="18" t="str">
        <f t="shared" si="25"/>
        <v/>
      </c>
      <c r="AJ100" s="18" t="str">
        <f t="shared" ca="1" si="26"/>
        <v/>
      </c>
    </row>
    <row r="101" spans="1:36">
      <c r="A101" s="18">
        <v>98</v>
      </c>
      <c r="B101" s="15" t="s">
        <v>228</v>
      </c>
      <c r="C101" s="15" t="s">
        <v>36</v>
      </c>
      <c r="D101" s="15" t="s">
        <v>43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8" t="str">
        <f t="shared" ca="1" si="14"/>
        <v/>
      </c>
      <c r="U101" s="18">
        <f t="shared" ca="1" si="27"/>
        <v>0</v>
      </c>
      <c r="V101" s="18" t="str">
        <f t="shared" si="15"/>
        <v/>
      </c>
      <c r="W101" s="18" t="str">
        <f t="shared" si="16"/>
        <v/>
      </c>
      <c r="X101" s="18" t="str">
        <f t="shared" si="17"/>
        <v/>
      </c>
      <c r="Y101" s="19" t="str">
        <f>IF(OR(L101="",V101=""),"",IFERROR(INDEX(لیست‌ها!$Q$3:$Q$53,MATCH(V101,لیست‌ها!$P$3:$P$53,0))+IF(W101&lt;=6,(W101-1)*31+X101,IF(W101&lt;=11,186+(W101-7)*30+X101,336+X101))-1,""))</f>
        <v/>
      </c>
      <c r="Z101" s="18" t="str">
        <f t="shared" si="18"/>
        <v/>
      </c>
      <c r="AA101" s="18" t="str">
        <f t="shared" si="19"/>
        <v/>
      </c>
      <c r="AB101" s="18" t="str">
        <f t="shared" si="20"/>
        <v/>
      </c>
      <c r="AC101" s="18" t="str">
        <f>IF(OR(H101="",Z101=""),"",IFERROR(INDEX(لیست‌ها!$Q$3:$Q$53,MATCH(Z101,لیست‌ها!$P$3:$P$53,0))+IF(AA101&lt;=6,(AA101-1)*31+AB101,IF(AA101&lt;=11,186+(AA101-7)*30+AB101,336+AB101))-1,""))</f>
        <v/>
      </c>
      <c r="AD101" s="18" t="str">
        <f t="shared" si="21"/>
        <v/>
      </c>
      <c r="AE101" s="18" t="str">
        <f t="shared" si="22"/>
        <v/>
      </c>
      <c r="AF101" s="18" t="str">
        <f t="shared" si="23"/>
        <v/>
      </c>
      <c r="AG101" s="18" t="str">
        <f>IF(OR(O101="",AD101=""),"",IFERROR(INDEX(لیست‌ها!$Q$3:$Q$53,MATCH(AD101,لیست‌ها!$P$3:$P$53,0))+IF(AE101&lt;=6,(AE101-1)*31+AF101,IF(AE101&lt;=11,186+(AE101-7)*30+AF101,336+AF101))-1,""))</f>
        <v/>
      </c>
      <c r="AH101" s="18" t="str">
        <f t="shared" si="24"/>
        <v/>
      </c>
      <c r="AI101" s="18" t="str">
        <f t="shared" si="25"/>
        <v/>
      </c>
      <c r="AJ101" s="18" t="str">
        <f t="shared" ca="1" si="26"/>
        <v/>
      </c>
    </row>
    <row r="102" spans="1:36">
      <c r="A102" s="18">
        <v>99</v>
      </c>
      <c r="B102" s="15" t="s">
        <v>229</v>
      </c>
      <c r="C102" s="15" t="s">
        <v>36</v>
      </c>
      <c r="D102" s="15" t="s">
        <v>43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8" t="str">
        <f t="shared" ca="1" si="14"/>
        <v/>
      </c>
      <c r="U102" s="18">
        <f t="shared" ca="1" si="27"/>
        <v>0</v>
      </c>
      <c r="V102" s="18" t="str">
        <f t="shared" si="15"/>
        <v/>
      </c>
      <c r="W102" s="18" t="str">
        <f t="shared" si="16"/>
        <v/>
      </c>
      <c r="X102" s="18" t="str">
        <f t="shared" si="17"/>
        <v/>
      </c>
      <c r="Y102" s="19" t="str">
        <f>IF(OR(L102="",V102=""),"",IFERROR(INDEX(لیست‌ها!$Q$3:$Q$53,MATCH(V102,لیست‌ها!$P$3:$P$53,0))+IF(W102&lt;=6,(W102-1)*31+X102,IF(W102&lt;=11,186+(W102-7)*30+X102,336+X102))-1,""))</f>
        <v/>
      </c>
      <c r="Z102" s="18" t="str">
        <f t="shared" si="18"/>
        <v/>
      </c>
      <c r="AA102" s="18" t="str">
        <f t="shared" si="19"/>
        <v/>
      </c>
      <c r="AB102" s="18" t="str">
        <f t="shared" si="20"/>
        <v/>
      </c>
      <c r="AC102" s="18" t="str">
        <f>IF(OR(H102="",Z102=""),"",IFERROR(INDEX(لیست‌ها!$Q$3:$Q$53,MATCH(Z102,لیست‌ها!$P$3:$P$53,0))+IF(AA102&lt;=6,(AA102-1)*31+AB102,IF(AA102&lt;=11,186+(AA102-7)*30+AB102,336+AB102))-1,""))</f>
        <v/>
      </c>
      <c r="AD102" s="18" t="str">
        <f t="shared" si="21"/>
        <v/>
      </c>
      <c r="AE102" s="18" t="str">
        <f t="shared" si="22"/>
        <v/>
      </c>
      <c r="AF102" s="18" t="str">
        <f t="shared" si="23"/>
        <v/>
      </c>
      <c r="AG102" s="18" t="str">
        <f>IF(OR(O102="",AD102=""),"",IFERROR(INDEX(لیست‌ها!$Q$3:$Q$53,MATCH(AD102,لیست‌ها!$P$3:$P$53,0))+IF(AE102&lt;=6,(AE102-1)*31+AF102,IF(AE102&lt;=11,186+(AE102-7)*30+AF102,336+AF102))-1,""))</f>
        <v/>
      </c>
      <c r="AH102" s="18" t="str">
        <f t="shared" si="24"/>
        <v/>
      </c>
      <c r="AI102" s="18" t="str">
        <f t="shared" si="25"/>
        <v/>
      </c>
      <c r="AJ102" s="18" t="str">
        <f t="shared" ca="1" si="26"/>
        <v/>
      </c>
    </row>
    <row r="103" spans="1:36">
      <c r="A103" s="18">
        <v>100</v>
      </c>
      <c r="B103" s="15" t="s">
        <v>230</v>
      </c>
      <c r="C103" s="15" t="s">
        <v>36</v>
      </c>
      <c r="D103" s="15" t="s">
        <v>43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8" t="str">
        <f t="shared" ca="1" si="14"/>
        <v/>
      </c>
      <c r="U103" s="18">
        <f t="shared" ca="1" si="27"/>
        <v>0</v>
      </c>
      <c r="V103" s="18" t="str">
        <f t="shared" si="15"/>
        <v/>
      </c>
      <c r="W103" s="18" t="str">
        <f t="shared" si="16"/>
        <v/>
      </c>
      <c r="X103" s="18" t="str">
        <f t="shared" si="17"/>
        <v/>
      </c>
      <c r="Y103" s="19" t="str">
        <f>IF(OR(L103="",V103=""),"",IFERROR(INDEX(لیست‌ها!$Q$3:$Q$53,MATCH(V103,لیست‌ها!$P$3:$P$53,0))+IF(W103&lt;=6,(W103-1)*31+X103,IF(W103&lt;=11,186+(W103-7)*30+X103,336+X103))-1,""))</f>
        <v/>
      </c>
      <c r="Z103" s="18" t="str">
        <f t="shared" si="18"/>
        <v/>
      </c>
      <c r="AA103" s="18" t="str">
        <f t="shared" si="19"/>
        <v/>
      </c>
      <c r="AB103" s="18" t="str">
        <f t="shared" si="20"/>
        <v/>
      </c>
      <c r="AC103" s="18" t="str">
        <f>IF(OR(H103="",Z103=""),"",IFERROR(INDEX(لیست‌ها!$Q$3:$Q$53,MATCH(Z103,لیست‌ها!$P$3:$P$53,0))+IF(AA103&lt;=6,(AA103-1)*31+AB103,IF(AA103&lt;=11,186+(AA103-7)*30+AB103,336+AB103))-1,""))</f>
        <v/>
      </c>
      <c r="AD103" s="18" t="str">
        <f t="shared" si="21"/>
        <v/>
      </c>
      <c r="AE103" s="18" t="str">
        <f t="shared" si="22"/>
        <v/>
      </c>
      <c r="AF103" s="18" t="str">
        <f t="shared" si="23"/>
        <v/>
      </c>
      <c r="AG103" s="18" t="str">
        <f>IF(OR(O103="",AD103=""),"",IFERROR(INDEX(لیست‌ها!$Q$3:$Q$53,MATCH(AD103,لیست‌ها!$P$3:$P$53,0))+IF(AE103&lt;=6,(AE103-1)*31+AF103,IF(AE103&lt;=11,186+(AE103-7)*30+AF103,336+AF103))-1,""))</f>
        <v/>
      </c>
      <c r="AH103" s="18" t="str">
        <f t="shared" si="24"/>
        <v/>
      </c>
      <c r="AI103" s="18" t="str">
        <f t="shared" si="25"/>
        <v/>
      </c>
      <c r="AJ103" s="18" t="str">
        <f t="shared" ca="1" si="26"/>
        <v/>
      </c>
    </row>
    <row r="104" spans="1:36">
      <c r="A104" s="18">
        <v>101</v>
      </c>
      <c r="B104" s="15" t="s">
        <v>231</v>
      </c>
      <c r="C104" s="15" t="s">
        <v>36</v>
      </c>
      <c r="D104" s="15" t="s">
        <v>43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8" t="str">
        <f t="shared" ca="1" si="14"/>
        <v/>
      </c>
      <c r="U104" s="18">
        <f t="shared" ca="1" si="27"/>
        <v>0</v>
      </c>
      <c r="V104" s="18" t="str">
        <f t="shared" si="15"/>
        <v/>
      </c>
      <c r="W104" s="18" t="str">
        <f t="shared" si="16"/>
        <v/>
      </c>
      <c r="X104" s="18" t="str">
        <f t="shared" si="17"/>
        <v/>
      </c>
      <c r="Y104" s="19" t="str">
        <f>IF(OR(L104="",V104=""),"",IFERROR(INDEX(لیست‌ها!$Q$3:$Q$53,MATCH(V104,لیست‌ها!$P$3:$P$53,0))+IF(W104&lt;=6,(W104-1)*31+X104,IF(W104&lt;=11,186+(W104-7)*30+X104,336+X104))-1,""))</f>
        <v/>
      </c>
      <c r="Z104" s="18" t="str">
        <f t="shared" si="18"/>
        <v/>
      </c>
      <c r="AA104" s="18" t="str">
        <f t="shared" si="19"/>
        <v/>
      </c>
      <c r="AB104" s="18" t="str">
        <f t="shared" si="20"/>
        <v/>
      </c>
      <c r="AC104" s="18" t="str">
        <f>IF(OR(H104="",Z104=""),"",IFERROR(INDEX(لیست‌ها!$Q$3:$Q$53,MATCH(Z104,لیست‌ها!$P$3:$P$53,0))+IF(AA104&lt;=6,(AA104-1)*31+AB104,IF(AA104&lt;=11,186+(AA104-7)*30+AB104,336+AB104))-1,""))</f>
        <v/>
      </c>
      <c r="AD104" s="18" t="str">
        <f t="shared" si="21"/>
        <v/>
      </c>
      <c r="AE104" s="18" t="str">
        <f t="shared" si="22"/>
        <v/>
      </c>
      <c r="AF104" s="18" t="str">
        <f t="shared" si="23"/>
        <v/>
      </c>
      <c r="AG104" s="18" t="str">
        <f>IF(OR(O104="",AD104=""),"",IFERROR(INDEX(لیست‌ها!$Q$3:$Q$53,MATCH(AD104,لیست‌ها!$P$3:$P$53,0))+IF(AE104&lt;=6,(AE104-1)*31+AF104,IF(AE104&lt;=11,186+(AE104-7)*30+AF104,336+AF104))-1,""))</f>
        <v/>
      </c>
      <c r="AH104" s="18" t="str">
        <f t="shared" si="24"/>
        <v/>
      </c>
      <c r="AI104" s="18" t="str">
        <f t="shared" si="25"/>
        <v/>
      </c>
      <c r="AJ104" s="18" t="str">
        <f t="shared" ca="1" si="26"/>
        <v/>
      </c>
    </row>
    <row r="105" spans="1:36">
      <c r="A105" s="18">
        <v>102</v>
      </c>
      <c r="B105" s="15" t="s">
        <v>232</v>
      </c>
      <c r="C105" s="15" t="s">
        <v>36</v>
      </c>
      <c r="D105" s="15" t="s">
        <v>43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8" t="str">
        <f t="shared" ca="1" si="14"/>
        <v/>
      </c>
      <c r="U105" s="18">
        <f t="shared" ca="1" si="27"/>
        <v>0</v>
      </c>
      <c r="V105" s="18" t="str">
        <f t="shared" si="15"/>
        <v/>
      </c>
      <c r="W105" s="18" t="str">
        <f t="shared" si="16"/>
        <v/>
      </c>
      <c r="X105" s="18" t="str">
        <f t="shared" si="17"/>
        <v/>
      </c>
      <c r="Y105" s="19" t="str">
        <f>IF(OR(L105="",V105=""),"",IFERROR(INDEX(لیست‌ها!$Q$3:$Q$53,MATCH(V105,لیست‌ها!$P$3:$P$53,0))+IF(W105&lt;=6,(W105-1)*31+X105,IF(W105&lt;=11,186+(W105-7)*30+X105,336+X105))-1,""))</f>
        <v/>
      </c>
      <c r="Z105" s="18" t="str">
        <f t="shared" si="18"/>
        <v/>
      </c>
      <c r="AA105" s="18" t="str">
        <f t="shared" si="19"/>
        <v/>
      </c>
      <c r="AB105" s="18" t="str">
        <f t="shared" si="20"/>
        <v/>
      </c>
      <c r="AC105" s="18" t="str">
        <f>IF(OR(H105="",Z105=""),"",IFERROR(INDEX(لیست‌ها!$Q$3:$Q$53,MATCH(Z105,لیست‌ها!$P$3:$P$53,0))+IF(AA105&lt;=6,(AA105-1)*31+AB105,IF(AA105&lt;=11,186+(AA105-7)*30+AB105,336+AB105))-1,""))</f>
        <v/>
      </c>
      <c r="AD105" s="18" t="str">
        <f t="shared" si="21"/>
        <v/>
      </c>
      <c r="AE105" s="18" t="str">
        <f t="shared" si="22"/>
        <v/>
      </c>
      <c r="AF105" s="18" t="str">
        <f t="shared" si="23"/>
        <v/>
      </c>
      <c r="AG105" s="18" t="str">
        <f>IF(OR(O105="",AD105=""),"",IFERROR(INDEX(لیست‌ها!$Q$3:$Q$53,MATCH(AD105,لیست‌ها!$P$3:$P$53,0))+IF(AE105&lt;=6,(AE105-1)*31+AF105,IF(AE105&lt;=11,186+(AE105-7)*30+AF105,336+AF105))-1,""))</f>
        <v/>
      </c>
      <c r="AH105" s="18" t="str">
        <f t="shared" si="24"/>
        <v/>
      </c>
      <c r="AI105" s="18" t="str">
        <f t="shared" si="25"/>
        <v/>
      </c>
      <c r="AJ105" s="18" t="str">
        <f t="shared" ca="1" si="26"/>
        <v/>
      </c>
    </row>
    <row r="106" spans="1:36">
      <c r="A106" s="18">
        <v>103</v>
      </c>
      <c r="B106" s="15" t="s">
        <v>233</v>
      </c>
      <c r="C106" s="15" t="s">
        <v>36</v>
      </c>
      <c r="D106" s="15" t="s">
        <v>43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8" t="str">
        <f t="shared" ca="1" si="14"/>
        <v/>
      </c>
      <c r="U106" s="18">
        <f t="shared" ca="1" si="27"/>
        <v>0</v>
      </c>
      <c r="V106" s="18" t="str">
        <f t="shared" si="15"/>
        <v/>
      </c>
      <c r="W106" s="18" t="str">
        <f t="shared" si="16"/>
        <v/>
      </c>
      <c r="X106" s="18" t="str">
        <f t="shared" si="17"/>
        <v/>
      </c>
      <c r="Y106" s="19" t="str">
        <f>IF(OR(L106="",V106=""),"",IFERROR(INDEX(لیست‌ها!$Q$3:$Q$53,MATCH(V106,لیست‌ها!$P$3:$P$53,0))+IF(W106&lt;=6,(W106-1)*31+X106,IF(W106&lt;=11,186+(W106-7)*30+X106,336+X106))-1,""))</f>
        <v/>
      </c>
      <c r="Z106" s="18" t="str">
        <f t="shared" si="18"/>
        <v/>
      </c>
      <c r="AA106" s="18" t="str">
        <f t="shared" si="19"/>
        <v/>
      </c>
      <c r="AB106" s="18" t="str">
        <f t="shared" si="20"/>
        <v/>
      </c>
      <c r="AC106" s="18" t="str">
        <f>IF(OR(H106="",Z106=""),"",IFERROR(INDEX(لیست‌ها!$Q$3:$Q$53,MATCH(Z106,لیست‌ها!$P$3:$P$53,0))+IF(AA106&lt;=6,(AA106-1)*31+AB106,IF(AA106&lt;=11,186+(AA106-7)*30+AB106,336+AB106))-1,""))</f>
        <v/>
      </c>
      <c r="AD106" s="18" t="str">
        <f t="shared" si="21"/>
        <v/>
      </c>
      <c r="AE106" s="18" t="str">
        <f t="shared" si="22"/>
        <v/>
      </c>
      <c r="AF106" s="18" t="str">
        <f t="shared" si="23"/>
        <v/>
      </c>
      <c r="AG106" s="18" t="str">
        <f>IF(OR(O106="",AD106=""),"",IFERROR(INDEX(لیست‌ها!$Q$3:$Q$53,MATCH(AD106,لیست‌ها!$P$3:$P$53,0))+IF(AE106&lt;=6,(AE106-1)*31+AF106,IF(AE106&lt;=11,186+(AE106-7)*30+AF106,336+AF106))-1,""))</f>
        <v/>
      </c>
      <c r="AH106" s="18" t="str">
        <f t="shared" si="24"/>
        <v/>
      </c>
      <c r="AI106" s="18" t="str">
        <f t="shared" si="25"/>
        <v/>
      </c>
      <c r="AJ106" s="18" t="str">
        <f t="shared" ca="1" si="26"/>
        <v/>
      </c>
    </row>
    <row r="107" spans="1:36">
      <c r="A107" s="18">
        <v>104</v>
      </c>
      <c r="B107" s="15" t="s">
        <v>234</v>
      </c>
      <c r="C107" s="15" t="s">
        <v>36</v>
      </c>
      <c r="D107" s="15" t="s">
        <v>43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8" t="str">
        <f t="shared" ca="1" si="14"/>
        <v/>
      </c>
      <c r="U107" s="18">
        <f t="shared" ca="1" si="27"/>
        <v>0</v>
      </c>
      <c r="V107" s="18" t="str">
        <f t="shared" si="15"/>
        <v/>
      </c>
      <c r="W107" s="18" t="str">
        <f t="shared" si="16"/>
        <v/>
      </c>
      <c r="X107" s="18" t="str">
        <f t="shared" si="17"/>
        <v/>
      </c>
      <c r="Y107" s="19" t="str">
        <f>IF(OR(L107="",V107=""),"",IFERROR(INDEX(لیست‌ها!$Q$3:$Q$53,MATCH(V107,لیست‌ها!$P$3:$P$53,0))+IF(W107&lt;=6,(W107-1)*31+X107,IF(W107&lt;=11,186+(W107-7)*30+X107,336+X107))-1,""))</f>
        <v/>
      </c>
      <c r="Z107" s="18" t="str">
        <f t="shared" si="18"/>
        <v/>
      </c>
      <c r="AA107" s="18" t="str">
        <f t="shared" si="19"/>
        <v/>
      </c>
      <c r="AB107" s="18" t="str">
        <f t="shared" si="20"/>
        <v/>
      </c>
      <c r="AC107" s="18" t="str">
        <f>IF(OR(H107="",Z107=""),"",IFERROR(INDEX(لیست‌ها!$Q$3:$Q$53,MATCH(Z107,لیست‌ها!$P$3:$P$53,0))+IF(AA107&lt;=6,(AA107-1)*31+AB107,IF(AA107&lt;=11,186+(AA107-7)*30+AB107,336+AB107))-1,""))</f>
        <v/>
      </c>
      <c r="AD107" s="18" t="str">
        <f t="shared" si="21"/>
        <v/>
      </c>
      <c r="AE107" s="18" t="str">
        <f t="shared" si="22"/>
        <v/>
      </c>
      <c r="AF107" s="18" t="str">
        <f t="shared" si="23"/>
        <v/>
      </c>
      <c r="AG107" s="18" t="str">
        <f>IF(OR(O107="",AD107=""),"",IFERROR(INDEX(لیست‌ها!$Q$3:$Q$53,MATCH(AD107,لیست‌ها!$P$3:$P$53,0))+IF(AE107&lt;=6,(AE107-1)*31+AF107,IF(AE107&lt;=11,186+(AE107-7)*30+AF107,336+AF107))-1,""))</f>
        <v/>
      </c>
      <c r="AH107" s="18" t="str">
        <f t="shared" si="24"/>
        <v/>
      </c>
      <c r="AI107" s="18" t="str">
        <f t="shared" si="25"/>
        <v/>
      </c>
      <c r="AJ107" s="18" t="str">
        <f t="shared" ca="1" si="26"/>
        <v/>
      </c>
    </row>
    <row r="108" spans="1:36">
      <c r="A108" s="18">
        <v>105</v>
      </c>
      <c r="B108" s="15" t="s">
        <v>235</v>
      </c>
      <c r="C108" s="15" t="s">
        <v>36</v>
      </c>
      <c r="D108" s="15" t="s">
        <v>43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8" t="str">
        <f t="shared" ca="1" si="14"/>
        <v/>
      </c>
      <c r="U108" s="18">
        <f t="shared" ca="1" si="27"/>
        <v>0</v>
      </c>
      <c r="V108" s="18" t="str">
        <f t="shared" si="15"/>
        <v/>
      </c>
      <c r="W108" s="18" t="str">
        <f t="shared" si="16"/>
        <v/>
      </c>
      <c r="X108" s="18" t="str">
        <f t="shared" si="17"/>
        <v/>
      </c>
      <c r="Y108" s="19" t="str">
        <f>IF(OR(L108="",V108=""),"",IFERROR(INDEX(لیست‌ها!$Q$3:$Q$53,MATCH(V108,لیست‌ها!$P$3:$P$53,0))+IF(W108&lt;=6,(W108-1)*31+X108,IF(W108&lt;=11,186+(W108-7)*30+X108,336+X108))-1,""))</f>
        <v/>
      </c>
      <c r="Z108" s="18" t="str">
        <f t="shared" si="18"/>
        <v/>
      </c>
      <c r="AA108" s="18" t="str">
        <f t="shared" si="19"/>
        <v/>
      </c>
      <c r="AB108" s="18" t="str">
        <f t="shared" si="20"/>
        <v/>
      </c>
      <c r="AC108" s="18" t="str">
        <f>IF(OR(H108="",Z108=""),"",IFERROR(INDEX(لیست‌ها!$Q$3:$Q$53,MATCH(Z108,لیست‌ها!$P$3:$P$53,0))+IF(AA108&lt;=6,(AA108-1)*31+AB108,IF(AA108&lt;=11,186+(AA108-7)*30+AB108,336+AB108))-1,""))</f>
        <v/>
      </c>
      <c r="AD108" s="18" t="str">
        <f t="shared" si="21"/>
        <v/>
      </c>
      <c r="AE108" s="18" t="str">
        <f t="shared" si="22"/>
        <v/>
      </c>
      <c r="AF108" s="18" t="str">
        <f t="shared" si="23"/>
        <v/>
      </c>
      <c r="AG108" s="18" t="str">
        <f>IF(OR(O108="",AD108=""),"",IFERROR(INDEX(لیست‌ها!$Q$3:$Q$53,MATCH(AD108,لیست‌ها!$P$3:$P$53,0))+IF(AE108&lt;=6,(AE108-1)*31+AF108,IF(AE108&lt;=11,186+(AE108-7)*30+AF108,336+AF108))-1,""))</f>
        <v/>
      </c>
      <c r="AH108" s="18" t="str">
        <f t="shared" si="24"/>
        <v/>
      </c>
      <c r="AI108" s="18" t="str">
        <f t="shared" si="25"/>
        <v/>
      </c>
      <c r="AJ108" s="18" t="str">
        <f t="shared" ca="1" si="26"/>
        <v/>
      </c>
    </row>
    <row r="109" spans="1:36">
      <c r="A109" s="18">
        <v>106</v>
      </c>
      <c r="B109" s="15" t="s">
        <v>236</v>
      </c>
      <c r="C109" s="15" t="s">
        <v>36</v>
      </c>
      <c r="D109" s="15" t="s">
        <v>64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8" t="str">
        <f t="shared" ca="1" si="14"/>
        <v/>
      </c>
      <c r="U109" s="18">
        <f t="shared" ca="1" si="27"/>
        <v>0</v>
      </c>
      <c r="V109" s="18" t="str">
        <f t="shared" si="15"/>
        <v/>
      </c>
      <c r="W109" s="18" t="str">
        <f t="shared" si="16"/>
        <v/>
      </c>
      <c r="X109" s="18" t="str">
        <f t="shared" si="17"/>
        <v/>
      </c>
      <c r="Y109" s="19" t="str">
        <f>IF(OR(L109="",V109=""),"",IFERROR(INDEX(لیست‌ها!$Q$3:$Q$53,MATCH(V109,لیست‌ها!$P$3:$P$53,0))+IF(W109&lt;=6,(W109-1)*31+X109,IF(W109&lt;=11,186+(W109-7)*30+X109,336+X109))-1,""))</f>
        <v/>
      </c>
      <c r="Z109" s="18" t="str">
        <f t="shared" si="18"/>
        <v/>
      </c>
      <c r="AA109" s="18" t="str">
        <f t="shared" si="19"/>
        <v/>
      </c>
      <c r="AB109" s="18" t="str">
        <f t="shared" si="20"/>
        <v/>
      </c>
      <c r="AC109" s="18" t="str">
        <f>IF(OR(H109="",Z109=""),"",IFERROR(INDEX(لیست‌ها!$Q$3:$Q$53,MATCH(Z109,لیست‌ها!$P$3:$P$53,0))+IF(AA109&lt;=6,(AA109-1)*31+AB109,IF(AA109&lt;=11,186+(AA109-7)*30+AB109,336+AB109))-1,""))</f>
        <v/>
      </c>
      <c r="AD109" s="18" t="str">
        <f t="shared" si="21"/>
        <v/>
      </c>
      <c r="AE109" s="18" t="str">
        <f t="shared" si="22"/>
        <v/>
      </c>
      <c r="AF109" s="18" t="str">
        <f t="shared" si="23"/>
        <v/>
      </c>
      <c r="AG109" s="18" t="str">
        <f>IF(OR(O109="",AD109=""),"",IFERROR(INDEX(لیست‌ها!$Q$3:$Q$53,MATCH(AD109,لیست‌ها!$P$3:$P$53,0))+IF(AE109&lt;=6,(AE109-1)*31+AF109,IF(AE109&lt;=11,186+(AE109-7)*30+AF109,336+AF109))-1,""))</f>
        <v/>
      </c>
      <c r="AH109" s="18" t="str">
        <f t="shared" si="24"/>
        <v/>
      </c>
      <c r="AI109" s="18" t="str">
        <f t="shared" si="25"/>
        <v/>
      </c>
      <c r="AJ109" s="18" t="str">
        <f t="shared" ca="1" si="26"/>
        <v/>
      </c>
    </row>
    <row r="110" spans="1:36">
      <c r="A110" s="18">
        <v>107</v>
      </c>
      <c r="B110" s="15" t="s">
        <v>237</v>
      </c>
      <c r="C110" s="15" t="s">
        <v>36</v>
      </c>
      <c r="D110" s="15" t="s">
        <v>64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8" t="str">
        <f t="shared" ca="1" si="14"/>
        <v/>
      </c>
      <c r="U110" s="18">
        <f t="shared" ca="1" si="27"/>
        <v>0</v>
      </c>
      <c r="V110" s="18" t="str">
        <f t="shared" si="15"/>
        <v/>
      </c>
      <c r="W110" s="18" t="str">
        <f t="shared" si="16"/>
        <v/>
      </c>
      <c r="X110" s="18" t="str">
        <f t="shared" si="17"/>
        <v/>
      </c>
      <c r="Y110" s="19" t="str">
        <f>IF(OR(L110="",V110=""),"",IFERROR(INDEX(لیست‌ها!$Q$3:$Q$53,MATCH(V110,لیست‌ها!$P$3:$P$53,0))+IF(W110&lt;=6,(W110-1)*31+X110,IF(W110&lt;=11,186+(W110-7)*30+X110,336+X110))-1,""))</f>
        <v/>
      </c>
      <c r="Z110" s="18" t="str">
        <f t="shared" si="18"/>
        <v/>
      </c>
      <c r="AA110" s="18" t="str">
        <f t="shared" si="19"/>
        <v/>
      </c>
      <c r="AB110" s="18" t="str">
        <f t="shared" si="20"/>
        <v/>
      </c>
      <c r="AC110" s="18" t="str">
        <f>IF(OR(H110="",Z110=""),"",IFERROR(INDEX(لیست‌ها!$Q$3:$Q$53,MATCH(Z110,لیست‌ها!$P$3:$P$53,0))+IF(AA110&lt;=6,(AA110-1)*31+AB110,IF(AA110&lt;=11,186+(AA110-7)*30+AB110,336+AB110))-1,""))</f>
        <v/>
      </c>
      <c r="AD110" s="18" t="str">
        <f t="shared" si="21"/>
        <v/>
      </c>
      <c r="AE110" s="18" t="str">
        <f t="shared" si="22"/>
        <v/>
      </c>
      <c r="AF110" s="18" t="str">
        <f t="shared" si="23"/>
        <v/>
      </c>
      <c r="AG110" s="18" t="str">
        <f>IF(OR(O110="",AD110=""),"",IFERROR(INDEX(لیست‌ها!$Q$3:$Q$53,MATCH(AD110,لیست‌ها!$P$3:$P$53,0))+IF(AE110&lt;=6,(AE110-1)*31+AF110,IF(AE110&lt;=11,186+(AE110-7)*30+AF110,336+AF110))-1,""))</f>
        <v/>
      </c>
      <c r="AH110" s="18" t="str">
        <f t="shared" si="24"/>
        <v/>
      </c>
      <c r="AI110" s="18" t="str">
        <f t="shared" si="25"/>
        <v/>
      </c>
      <c r="AJ110" s="18" t="str">
        <f t="shared" ca="1" si="26"/>
        <v/>
      </c>
    </row>
    <row r="111" spans="1:36">
      <c r="A111" s="18">
        <v>108</v>
      </c>
      <c r="B111" s="15" t="s">
        <v>238</v>
      </c>
      <c r="C111" s="15" t="s">
        <v>36</v>
      </c>
      <c r="D111" s="15" t="s">
        <v>37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8" t="str">
        <f t="shared" ca="1" si="14"/>
        <v/>
      </c>
      <c r="U111" s="18">
        <f t="shared" ca="1" si="27"/>
        <v>0</v>
      </c>
      <c r="V111" s="18" t="str">
        <f t="shared" si="15"/>
        <v/>
      </c>
      <c r="W111" s="18" t="str">
        <f t="shared" si="16"/>
        <v/>
      </c>
      <c r="X111" s="18" t="str">
        <f t="shared" si="17"/>
        <v/>
      </c>
      <c r="Y111" s="19" t="str">
        <f>IF(OR(L111="",V111=""),"",IFERROR(INDEX(لیست‌ها!$Q$3:$Q$53,MATCH(V111,لیست‌ها!$P$3:$P$53,0))+IF(W111&lt;=6,(W111-1)*31+X111,IF(W111&lt;=11,186+(W111-7)*30+X111,336+X111))-1,""))</f>
        <v/>
      </c>
      <c r="Z111" s="18" t="str">
        <f t="shared" si="18"/>
        <v/>
      </c>
      <c r="AA111" s="18" t="str">
        <f t="shared" si="19"/>
        <v/>
      </c>
      <c r="AB111" s="18" t="str">
        <f t="shared" si="20"/>
        <v/>
      </c>
      <c r="AC111" s="18" t="str">
        <f>IF(OR(H111="",Z111=""),"",IFERROR(INDEX(لیست‌ها!$Q$3:$Q$53,MATCH(Z111,لیست‌ها!$P$3:$P$53,0))+IF(AA111&lt;=6,(AA111-1)*31+AB111,IF(AA111&lt;=11,186+(AA111-7)*30+AB111,336+AB111))-1,""))</f>
        <v/>
      </c>
      <c r="AD111" s="18" t="str">
        <f t="shared" si="21"/>
        <v/>
      </c>
      <c r="AE111" s="18" t="str">
        <f t="shared" si="22"/>
        <v/>
      </c>
      <c r="AF111" s="18" t="str">
        <f t="shared" si="23"/>
        <v/>
      </c>
      <c r="AG111" s="18" t="str">
        <f>IF(OR(O111="",AD111=""),"",IFERROR(INDEX(لیست‌ها!$Q$3:$Q$53,MATCH(AD111,لیست‌ها!$P$3:$P$53,0))+IF(AE111&lt;=6,(AE111-1)*31+AF111,IF(AE111&lt;=11,186+(AE111-7)*30+AF111,336+AF111))-1,""))</f>
        <v/>
      </c>
      <c r="AH111" s="18" t="str">
        <f t="shared" si="24"/>
        <v/>
      </c>
      <c r="AI111" s="18" t="str">
        <f t="shared" si="25"/>
        <v/>
      </c>
      <c r="AJ111" s="18" t="str">
        <f t="shared" ca="1" si="26"/>
        <v/>
      </c>
    </row>
    <row r="112" spans="1:36">
      <c r="A112" s="18">
        <v>109</v>
      </c>
      <c r="B112" s="15" t="s">
        <v>239</v>
      </c>
      <c r="C112" s="15" t="s">
        <v>36</v>
      </c>
      <c r="D112" s="15" t="s">
        <v>37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8" t="str">
        <f t="shared" ca="1" si="14"/>
        <v/>
      </c>
      <c r="U112" s="18">
        <f t="shared" ca="1" si="27"/>
        <v>0</v>
      </c>
      <c r="V112" s="18" t="str">
        <f t="shared" si="15"/>
        <v/>
      </c>
      <c r="W112" s="18" t="str">
        <f t="shared" si="16"/>
        <v/>
      </c>
      <c r="X112" s="18" t="str">
        <f t="shared" si="17"/>
        <v/>
      </c>
      <c r="Y112" s="19" t="str">
        <f>IF(OR(L112="",V112=""),"",IFERROR(INDEX(لیست‌ها!$Q$3:$Q$53,MATCH(V112,لیست‌ها!$P$3:$P$53,0))+IF(W112&lt;=6,(W112-1)*31+X112,IF(W112&lt;=11,186+(W112-7)*30+X112,336+X112))-1,""))</f>
        <v/>
      </c>
      <c r="Z112" s="18" t="str">
        <f t="shared" si="18"/>
        <v/>
      </c>
      <c r="AA112" s="18" t="str">
        <f t="shared" si="19"/>
        <v/>
      </c>
      <c r="AB112" s="18" t="str">
        <f t="shared" si="20"/>
        <v/>
      </c>
      <c r="AC112" s="18" t="str">
        <f>IF(OR(H112="",Z112=""),"",IFERROR(INDEX(لیست‌ها!$Q$3:$Q$53,MATCH(Z112,لیست‌ها!$P$3:$P$53,0))+IF(AA112&lt;=6,(AA112-1)*31+AB112,IF(AA112&lt;=11,186+(AA112-7)*30+AB112,336+AB112))-1,""))</f>
        <v/>
      </c>
      <c r="AD112" s="18" t="str">
        <f t="shared" si="21"/>
        <v/>
      </c>
      <c r="AE112" s="18" t="str">
        <f t="shared" si="22"/>
        <v/>
      </c>
      <c r="AF112" s="18" t="str">
        <f t="shared" si="23"/>
        <v/>
      </c>
      <c r="AG112" s="18" t="str">
        <f>IF(OR(O112="",AD112=""),"",IFERROR(INDEX(لیست‌ها!$Q$3:$Q$53,MATCH(AD112,لیست‌ها!$P$3:$P$53,0))+IF(AE112&lt;=6,(AE112-1)*31+AF112,IF(AE112&lt;=11,186+(AE112-7)*30+AF112,336+AF112))-1,""))</f>
        <v/>
      </c>
      <c r="AH112" s="18" t="str">
        <f t="shared" si="24"/>
        <v/>
      </c>
      <c r="AI112" s="18" t="str">
        <f t="shared" si="25"/>
        <v/>
      </c>
      <c r="AJ112" s="18" t="str">
        <f t="shared" ca="1" si="26"/>
        <v/>
      </c>
    </row>
    <row r="113" spans="1:36">
      <c r="A113" s="18">
        <v>110</v>
      </c>
      <c r="B113" s="15" t="s">
        <v>240</v>
      </c>
      <c r="C113" s="15" t="s">
        <v>36</v>
      </c>
      <c r="D113" s="15" t="s">
        <v>43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8" t="str">
        <f t="shared" ca="1" si="14"/>
        <v/>
      </c>
      <c r="U113" s="18">
        <f t="shared" ca="1" si="27"/>
        <v>0</v>
      </c>
      <c r="V113" s="18" t="str">
        <f t="shared" si="15"/>
        <v/>
      </c>
      <c r="W113" s="18" t="str">
        <f t="shared" si="16"/>
        <v/>
      </c>
      <c r="X113" s="18" t="str">
        <f t="shared" si="17"/>
        <v/>
      </c>
      <c r="Y113" s="19" t="str">
        <f>IF(OR(L113="",V113=""),"",IFERROR(INDEX(لیست‌ها!$Q$3:$Q$53,MATCH(V113,لیست‌ها!$P$3:$P$53,0))+IF(W113&lt;=6,(W113-1)*31+X113,IF(W113&lt;=11,186+(W113-7)*30+X113,336+X113))-1,""))</f>
        <v/>
      </c>
      <c r="Z113" s="18" t="str">
        <f t="shared" si="18"/>
        <v/>
      </c>
      <c r="AA113" s="18" t="str">
        <f t="shared" si="19"/>
        <v/>
      </c>
      <c r="AB113" s="18" t="str">
        <f t="shared" si="20"/>
        <v/>
      </c>
      <c r="AC113" s="18" t="str">
        <f>IF(OR(H113="",Z113=""),"",IFERROR(INDEX(لیست‌ها!$Q$3:$Q$53,MATCH(Z113,لیست‌ها!$P$3:$P$53,0))+IF(AA113&lt;=6,(AA113-1)*31+AB113,IF(AA113&lt;=11,186+(AA113-7)*30+AB113,336+AB113))-1,""))</f>
        <v/>
      </c>
      <c r="AD113" s="18" t="str">
        <f t="shared" si="21"/>
        <v/>
      </c>
      <c r="AE113" s="18" t="str">
        <f t="shared" si="22"/>
        <v/>
      </c>
      <c r="AF113" s="18" t="str">
        <f t="shared" si="23"/>
        <v/>
      </c>
      <c r="AG113" s="18" t="str">
        <f>IF(OR(O113="",AD113=""),"",IFERROR(INDEX(لیست‌ها!$Q$3:$Q$53,MATCH(AD113,لیست‌ها!$P$3:$P$53,0))+IF(AE113&lt;=6,(AE113-1)*31+AF113,IF(AE113&lt;=11,186+(AE113-7)*30+AF113,336+AF113))-1,""))</f>
        <v/>
      </c>
      <c r="AH113" s="18" t="str">
        <f t="shared" si="24"/>
        <v/>
      </c>
      <c r="AI113" s="18" t="str">
        <f t="shared" si="25"/>
        <v/>
      </c>
      <c r="AJ113" s="18" t="str">
        <f t="shared" ca="1" si="26"/>
        <v/>
      </c>
    </row>
    <row r="114" spans="1:36">
      <c r="A114" s="18">
        <v>111</v>
      </c>
      <c r="B114" s="15" t="s">
        <v>241</v>
      </c>
      <c r="C114" s="15" t="s">
        <v>36</v>
      </c>
      <c r="D114" s="15" t="s">
        <v>43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8" t="str">
        <f t="shared" ca="1" si="14"/>
        <v/>
      </c>
      <c r="U114" s="18">
        <f t="shared" ca="1" si="27"/>
        <v>0</v>
      </c>
      <c r="V114" s="18" t="str">
        <f t="shared" si="15"/>
        <v/>
      </c>
      <c r="W114" s="18" t="str">
        <f t="shared" si="16"/>
        <v/>
      </c>
      <c r="X114" s="18" t="str">
        <f t="shared" si="17"/>
        <v/>
      </c>
      <c r="Y114" s="19" t="str">
        <f>IF(OR(L114="",V114=""),"",IFERROR(INDEX(لیست‌ها!$Q$3:$Q$53,MATCH(V114,لیست‌ها!$P$3:$P$53,0))+IF(W114&lt;=6,(W114-1)*31+X114,IF(W114&lt;=11,186+(W114-7)*30+X114,336+X114))-1,""))</f>
        <v/>
      </c>
      <c r="Z114" s="18" t="str">
        <f t="shared" si="18"/>
        <v/>
      </c>
      <c r="AA114" s="18" t="str">
        <f t="shared" si="19"/>
        <v/>
      </c>
      <c r="AB114" s="18" t="str">
        <f t="shared" si="20"/>
        <v/>
      </c>
      <c r="AC114" s="18" t="str">
        <f>IF(OR(H114="",Z114=""),"",IFERROR(INDEX(لیست‌ها!$Q$3:$Q$53,MATCH(Z114,لیست‌ها!$P$3:$P$53,0))+IF(AA114&lt;=6,(AA114-1)*31+AB114,IF(AA114&lt;=11,186+(AA114-7)*30+AB114,336+AB114))-1,""))</f>
        <v/>
      </c>
      <c r="AD114" s="18" t="str">
        <f t="shared" si="21"/>
        <v/>
      </c>
      <c r="AE114" s="18" t="str">
        <f t="shared" si="22"/>
        <v/>
      </c>
      <c r="AF114" s="18" t="str">
        <f t="shared" si="23"/>
        <v/>
      </c>
      <c r="AG114" s="18" t="str">
        <f>IF(OR(O114="",AD114=""),"",IFERROR(INDEX(لیست‌ها!$Q$3:$Q$53,MATCH(AD114,لیست‌ها!$P$3:$P$53,0))+IF(AE114&lt;=6,(AE114-1)*31+AF114,IF(AE114&lt;=11,186+(AE114-7)*30+AF114,336+AF114))-1,""))</f>
        <v/>
      </c>
      <c r="AH114" s="18" t="str">
        <f t="shared" si="24"/>
        <v/>
      </c>
      <c r="AI114" s="18" t="str">
        <f t="shared" si="25"/>
        <v/>
      </c>
      <c r="AJ114" s="18" t="str">
        <f t="shared" ca="1" si="26"/>
        <v/>
      </c>
    </row>
    <row r="115" spans="1:36">
      <c r="A115" s="18">
        <v>112</v>
      </c>
      <c r="B115" s="15" t="s">
        <v>242</v>
      </c>
      <c r="C115" s="15" t="s">
        <v>36</v>
      </c>
      <c r="D115" s="15" t="s">
        <v>43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8" t="str">
        <f t="shared" ca="1" si="14"/>
        <v/>
      </c>
      <c r="U115" s="18">
        <f t="shared" ca="1" si="27"/>
        <v>0</v>
      </c>
      <c r="V115" s="18" t="str">
        <f t="shared" si="15"/>
        <v/>
      </c>
      <c r="W115" s="18" t="str">
        <f t="shared" si="16"/>
        <v/>
      </c>
      <c r="X115" s="18" t="str">
        <f t="shared" si="17"/>
        <v/>
      </c>
      <c r="Y115" s="19" t="str">
        <f>IF(OR(L115="",V115=""),"",IFERROR(INDEX(لیست‌ها!$Q$3:$Q$53,MATCH(V115,لیست‌ها!$P$3:$P$53,0))+IF(W115&lt;=6,(W115-1)*31+X115,IF(W115&lt;=11,186+(W115-7)*30+X115,336+X115))-1,""))</f>
        <v/>
      </c>
      <c r="Z115" s="18" t="str">
        <f t="shared" si="18"/>
        <v/>
      </c>
      <c r="AA115" s="18" t="str">
        <f t="shared" si="19"/>
        <v/>
      </c>
      <c r="AB115" s="18" t="str">
        <f t="shared" si="20"/>
        <v/>
      </c>
      <c r="AC115" s="18" t="str">
        <f>IF(OR(H115="",Z115=""),"",IFERROR(INDEX(لیست‌ها!$Q$3:$Q$53,MATCH(Z115,لیست‌ها!$P$3:$P$53,0))+IF(AA115&lt;=6,(AA115-1)*31+AB115,IF(AA115&lt;=11,186+(AA115-7)*30+AB115,336+AB115))-1,""))</f>
        <v/>
      </c>
      <c r="AD115" s="18" t="str">
        <f t="shared" si="21"/>
        <v/>
      </c>
      <c r="AE115" s="18" t="str">
        <f t="shared" si="22"/>
        <v/>
      </c>
      <c r="AF115" s="18" t="str">
        <f t="shared" si="23"/>
        <v/>
      </c>
      <c r="AG115" s="18" t="str">
        <f>IF(OR(O115="",AD115=""),"",IFERROR(INDEX(لیست‌ها!$Q$3:$Q$53,MATCH(AD115,لیست‌ها!$P$3:$P$53,0))+IF(AE115&lt;=6,(AE115-1)*31+AF115,IF(AE115&lt;=11,186+(AE115-7)*30+AF115,336+AF115))-1,""))</f>
        <v/>
      </c>
      <c r="AH115" s="18" t="str">
        <f t="shared" si="24"/>
        <v/>
      </c>
      <c r="AI115" s="18" t="str">
        <f t="shared" si="25"/>
        <v/>
      </c>
      <c r="AJ115" s="18" t="str">
        <f t="shared" ca="1" si="26"/>
        <v/>
      </c>
    </row>
    <row r="116" spans="1:36">
      <c r="A116" s="18">
        <v>113</v>
      </c>
      <c r="B116" s="15" t="s">
        <v>243</v>
      </c>
      <c r="C116" s="15" t="s">
        <v>36</v>
      </c>
      <c r="D116" s="15" t="s">
        <v>43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8" t="str">
        <f t="shared" ca="1" si="14"/>
        <v/>
      </c>
      <c r="U116" s="18">
        <f t="shared" ca="1" si="27"/>
        <v>0</v>
      </c>
      <c r="V116" s="18" t="str">
        <f t="shared" si="15"/>
        <v/>
      </c>
      <c r="W116" s="18" t="str">
        <f t="shared" si="16"/>
        <v/>
      </c>
      <c r="X116" s="18" t="str">
        <f t="shared" si="17"/>
        <v/>
      </c>
      <c r="Y116" s="19" t="str">
        <f>IF(OR(L116="",V116=""),"",IFERROR(INDEX(لیست‌ها!$Q$3:$Q$53,MATCH(V116,لیست‌ها!$P$3:$P$53,0))+IF(W116&lt;=6,(W116-1)*31+X116,IF(W116&lt;=11,186+(W116-7)*30+X116,336+X116))-1,""))</f>
        <v/>
      </c>
      <c r="Z116" s="18" t="str">
        <f t="shared" si="18"/>
        <v/>
      </c>
      <c r="AA116" s="18" t="str">
        <f t="shared" si="19"/>
        <v/>
      </c>
      <c r="AB116" s="18" t="str">
        <f t="shared" si="20"/>
        <v/>
      </c>
      <c r="AC116" s="18" t="str">
        <f>IF(OR(H116="",Z116=""),"",IFERROR(INDEX(لیست‌ها!$Q$3:$Q$53,MATCH(Z116,لیست‌ها!$P$3:$P$53,0))+IF(AA116&lt;=6,(AA116-1)*31+AB116,IF(AA116&lt;=11,186+(AA116-7)*30+AB116,336+AB116))-1,""))</f>
        <v/>
      </c>
      <c r="AD116" s="18" t="str">
        <f t="shared" si="21"/>
        <v/>
      </c>
      <c r="AE116" s="18" t="str">
        <f t="shared" si="22"/>
        <v/>
      </c>
      <c r="AF116" s="18" t="str">
        <f t="shared" si="23"/>
        <v/>
      </c>
      <c r="AG116" s="18" t="str">
        <f>IF(OR(O116="",AD116=""),"",IFERROR(INDEX(لیست‌ها!$Q$3:$Q$53,MATCH(AD116,لیست‌ها!$P$3:$P$53,0))+IF(AE116&lt;=6,(AE116-1)*31+AF116,IF(AE116&lt;=11,186+(AE116-7)*30+AF116,336+AF116))-1,""))</f>
        <v/>
      </c>
      <c r="AH116" s="18" t="str">
        <f t="shared" si="24"/>
        <v/>
      </c>
      <c r="AI116" s="18" t="str">
        <f t="shared" si="25"/>
        <v/>
      </c>
      <c r="AJ116" s="18" t="str">
        <f t="shared" ca="1" si="26"/>
        <v/>
      </c>
    </row>
    <row r="117" spans="1:36">
      <c r="A117" s="18">
        <v>114</v>
      </c>
      <c r="B117" s="15" t="s">
        <v>244</v>
      </c>
      <c r="C117" s="15" t="s">
        <v>36</v>
      </c>
      <c r="D117" s="15" t="s">
        <v>43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8" t="str">
        <f t="shared" ca="1" si="14"/>
        <v/>
      </c>
      <c r="U117" s="18">
        <f t="shared" ca="1" si="27"/>
        <v>0</v>
      </c>
      <c r="V117" s="18" t="str">
        <f t="shared" si="15"/>
        <v/>
      </c>
      <c r="W117" s="18" t="str">
        <f t="shared" si="16"/>
        <v/>
      </c>
      <c r="X117" s="18" t="str">
        <f t="shared" si="17"/>
        <v/>
      </c>
      <c r="Y117" s="19" t="str">
        <f>IF(OR(L117="",V117=""),"",IFERROR(INDEX(لیست‌ها!$Q$3:$Q$53,MATCH(V117,لیست‌ها!$P$3:$P$53,0))+IF(W117&lt;=6,(W117-1)*31+X117,IF(W117&lt;=11,186+(W117-7)*30+X117,336+X117))-1,""))</f>
        <v/>
      </c>
      <c r="Z117" s="18" t="str">
        <f t="shared" si="18"/>
        <v/>
      </c>
      <c r="AA117" s="18" t="str">
        <f t="shared" si="19"/>
        <v/>
      </c>
      <c r="AB117" s="18" t="str">
        <f t="shared" si="20"/>
        <v/>
      </c>
      <c r="AC117" s="18" t="str">
        <f>IF(OR(H117="",Z117=""),"",IFERROR(INDEX(لیست‌ها!$Q$3:$Q$53,MATCH(Z117,لیست‌ها!$P$3:$P$53,0))+IF(AA117&lt;=6,(AA117-1)*31+AB117,IF(AA117&lt;=11,186+(AA117-7)*30+AB117,336+AB117))-1,""))</f>
        <v/>
      </c>
      <c r="AD117" s="18" t="str">
        <f t="shared" si="21"/>
        <v/>
      </c>
      <c r="AE117" s="18" t="str">
        <f t="shared" si="22"/>
        <v/>
      </c>
      <c r="AF117" s="18" t="str">
        <f t="shared" si="23"/>
        <v/>
      </c>
      <c r="AG117" s="18" t="str">
        <f>IF(OR(O117="",AD117=""),"",IFERROR(INDEX(لیست‌ها!$Q$3:$Q$53,MATCH(AD117,لیست‌ها!$P$3:$P$53,0))+IF(AE117&lt;=6,(AE117-1)*31+AF117,IF(AE117&lt;=11,186+(AE117-7)*30+AF117,336+AF117))-1,""))</f>
        <v/>
      </c>
      <c r="AH117" s="18" t="str">
        <f t="shared" si="24"/>
        <v/>
      </c>
      <c r="AI117" s="18" t="str">
        <f t="shared" si="25"/>
        <v/>
      </c>
      <c r="AJ117" s="18" t="str">
        <f t="shared" ca="1" si="26"/>
        <v/>
      </c>
    </row>
    <row r="118" spans="1:36">
      <c r="A118" s="18">
        <v>115</v>
      </c>
      <c r="B118" s="15" t="s">
        <v>245</v>
      </c>
      <c r="C118" s="15" t="s">
        <v>36</v>
      </c>
      <c r="D118" s="15" t="s">
        <v>43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8" t="str">
        <f t="shared" ca="1" si="14"/>
        <v/>
      </c>
      <c r="U118" s="18">
        <f t="shared" ca="1" si="27"/>
        <v>0</v>
      </c>
      <c r="V118" s="18" t="str">
        <f t="shared" si="15"/>
        <v/>
      </c>
      <c r="W118" s="18" t="str">
        <f t="shared" si="16"/>
        <v/>
      </c>
      <c r="X118" s="18" t="str">
        <f t="shared" si="17"/>
        <v/>
      </c>
      <c r="Y118" s="19" t="str">
        <f>IF(OR(L118="",V118=""),"",IFERROR(INDEX(لیست‌ها!$Q$3:$Q$53,MATCH(V118,لیست‌ها!$P$3:$P$53,0))+IF(W118&lt;=6,(W118-1)*31+X118,IF(W118&lt;=11,186+(W118-7)*30+X118,336+X118))-1,""))</f>
        <v/>
      </c>
      <c r="Z118" s="18" t="str">
        <f t="shared" si="18"/>
        <v/>
      </c>
      <c r="AA118" s="18" t="str">
        <f t="shared" si="19"/>
        <v/>
      </c>
      <c r="AB118" s="18" t="str">
        <f t="shared" si="20"/>
        <v/>
      </c>
      <c r="AC118" s="18" t="str">
        <f>IF(OR(H118="",Z118=""),"",IFERROR(INDEX(لیست‌ها!$Q$3:$Q$53,MATCH(Z118,لیست‌ها!$P$3:$P$53,0))+IF(AA118&lt;=6,(AA118-1)*31+AB118,IF(AA118&lt;=11,186+(AA118-7)*30+AB118,336+AB118))-1,""))</f>
        <v/>
      </c>
      <c r="AD118" s="18" t="str">
        <f t="shared" si="21"/>
        <v/>
      </c>
      <c r="AE118" s="18" t="str">
        <f t="shared" si="22"/>
        <v/>
      </c>
      <c r="AF118" s="18" t="str">
        <f t="shared" si="23"/>
        <v/>
      </c>
      <c r="AG118" s="18" t="str">
        <f>IF(OR(O118="",AD118=""),"",IFERROR(INDEX(لیست‌ها!$Q$3:$Q$53,MATCH(AD118,لیست‌ها!$P$3:$P$53,0))+IF(AE118&lt;=6,(AE118-1)*31+AF118,IF(AE118&lt;=11,186+(AE118-7)*30+AF118,336+AF118))-1,""))</f>
        <v/>
      </c>
      <c r="AH118" s="18" t="str">
        <f t="shared" si="24"/>
        <v/>
      </c>
      <c r="AI118" s="18" t="str">
        <f t="shared" si="25"/>
        <v/>
      </c>
      <c r="AJ118" s="18" t="str">
        <f t="shared" ca="1" si="26"/>
        <v/>
      </c>
    </row>
    <row r="119" spans="1:36">
      <c r="A119" s="18">
        <v>116</v>
      </c>
      <c r="B119" s="15" t="s">
        <v>246</v>
      </c>
      <c r="C119" s="15" t="s">
        <v>36</v>
      </c>
      <c r="D119" s="15" t="s">
        <v>43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8" t="str">
        <f t="shared" ca="1" si="14"/>
        <v/>
      </c>
      <c r="U119" s="18">
        <f t="shared" ca="1" si="27"/>
        <v>0</v>
      </c>
      <c r="V119" s="18" t="str">
        <f t="shared" si="15"/>
        <v/>
      </c>
      <c r="W119" s="18" t="str">
        <f t="shared" si="16"/>
        <v/>
      </c>
      <c r="X119" s="18" t="str">
        <f t="shared" si="17"/>
        <v/>
      </c>
      <c r="Y119" s="19" t="str">
        <f>IF(OR(L119="",V119=""),"",IFERROR(INDEX(لیست‌ها!$Q$3:$Q$53,MATCH(V119,لیست‌ها!$P$3:$P$53,0))+IF(W119&lt;=6,(W119-1)*31+X119,IF(W119&lt;=11,186+(W119-7)*30+X119,336+X119))-1,""))</f>
        <v/>
      </c>
      <c r="Z119" s="18" t="str">
        <f t="shared" si="18"/>
        <v/>
      </c>
      <c r="AA119" s="18" t="str">
        <f t="shared" si="19"/>
        <v/>
      </c>
      <c r="AB119" s="18" t="str">
        <f t="shared" si="20"/>
        <v/>
      </c>
      <c r="AC119" s="18" t="str">
        <f>IF(OR(H119="",Z119=""),"",IFERROR(INDEX(لیست‌ها!$Q$3:$Q$53,MATCH(Z119,لیست‌ها!$P$3:$P$53,0))+IF(AA119&lt;=6,(AA119-1)*31+AB119,IF(AA119&lt;=11,186+(AA119-7)*30+AB119,336+AB119))-1,""))</f>
        <v/>
      </c>
      <c r="AD119" s="18" t="str">
        <f t="shared" si="21"/>
        <v/>
      </c>
      <c r="AE119" s="18" t="str">
        <f t="shared" si="22"/>
        <v/>
      </c>
      <c r="AF119" s="18" t="str">
        <f t="shared" si="23"/>
        <v/>
      </c>
      <c r="AG119" s="18" t="str">
        <f>IF(OR(O119="",AD119=""),"",IFERROR(INDEX(لیست‌ها!$Q$3:$Q$53,MATCH(AD119,لیست‌ها!$P$3:$P$53,0))+IF(AE119&lt;=6,(AE119-1)*31+AF119,IF(AE119&lt;=11,186+(AE119-7)*30+AF119,336+AF119))-1,""))</f>
        <v/>
      </c>
      <c r="AH119" s="18" t="str">
        <f t="shared" si="24"/>
        <v/>
      </c>
      <c r="AI119" s="18" t="str">
        <f t="shared" si="25"/>
        <v/>
      </c>
      <c r="AJ119" s="18" t="str">
        <f t="shared" ca="1" si="26"/>
        <v/>
      </c>
    </row>
    <row r="120" spans="1:36">
      <c r="A120" s="18">
        <v>117</v>
      </c>
      <c r="B120" s="15" t="s">
        <v>247</v>
      </c>
      <c r="C120" s="15" t="s">
        <v>36</v>
      </c>
      <c r="D120" s="15" t="s">
        <v>43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8" t="str">
        <f t="shared" ca="1" si="14"/>
        <v/>
      </c>
      <c r="U120" s="18">
        <f t="shared" ca="1" si="27"/>
        <v>0</v>
      </c>
      <c r="V120" s="18" t="str">
        <f t="shared" si="15"/>
        <v/>
      </c>
      <c r="W120" s="18" t="str">
        <f t="shared" si="16"/>
        <v/>
      </c>
      <c r="X120" s="18" t="str">
        <f t="shared" si="17"/>
        <v/>
      </c>
      <c r="Y120" s="19" t="str">
        <f>IF(OR(L120="",V120=""),"",IFERROR(INDEX(لیست‌ها!$Q$3:$Q$53,MATCH(V120,لیست‌ها!$P$3:$P$53,0))+IF(W120&lt;=6,(W120-1)*31+X120,IF(W120&lt;=11,186+(W120-7)*30+X120,336+X120))-1,""))</f>
        <v/>
      </c>
      <c r="Z120" s="18" t="str">
        <f t="shared" si="18"/>
        <v/>
      </c>
      <c r="AA120" s="18" t="str">
        <f t="shared" si="19"/>
        <v/>
      </c>
      <c r="AB120" s="18" t="str">
        <f t="shared" si="20"/>
        <v/>
      </c>
      <c r="AC120" s="18" t="str">
        <f>IF(OR(H120="",Z120=""),"",IFERROR(INDEX(لیست‌ها!$Q$3:$Q$53,MATCH(Z120,لیست‌ها!$P$3:$P$53,0))+IF(AA120&lt;=6,(AA120-1)*31+AB120,IF(AA120&lt;=11,186+(AA120-7)*30+AB120,336+AB120))-1,""))</f>
        <v/>
      </c>
      <c r="AD120" s="18" t="str">
        <f t="shared" si="21"/>
        <v/>
      </c>
      <c r="AE120" s="18" t="str">
        <f t="shared" si="22"/>
        <v/>
      </c>
      <c r="AF120" s="18" t="str">
        <f t="shared" si="23"/>
        <v/>
      </c>
      <c r="AG120" s="18" t="str">
        <f>IF(OR(O120="",AD120=""),"",IFERROR(INDEX(لیست‌ها!$Q$3:$Q$53,MATCH(AD120,لیست‌ها!$P$3:$P$53,0))+IF(AE120&lt;=6,(AE120-1)*31+AF120,IF(AE120&lt;=11,186+(AE120-7)*30+AF120,336+AF120))-1,""))</f>
        <v/>
      </c>
      <c r="AH120" s="18" t="str">
        <f t="shared" si="24"/>
        <v/>
      </c>
      <c r="AI120" s="18" t="str">
        <f t="shared" si="25"/>
        <v/>
      </c>
      <c r="AJ120" s="18" t="str">
        <f t="shared" ca="1" si="26"/>
        <v/>
      </c>
    </row>
    <row r="121" spans="1:36">
      <c r="A121" s="18">
        <v>118</v>
      </c>
      <c r="B121" s="15" t="s">
        <v>248</v>
      </c>
      <c r="C121" s="15" t="s">
        <v>36</v>
      </c>
      <c r="D121" s="15" t="s">
        <v>43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8" t="str">
        <f t="shared" ca="1" si="14"/>
        <v/>
      </c>
      <c r="U121" s="18">
        <f t="shared" ca="1" si="27"/>
        <v>0</v>
      </c>
      <c r="V121" s="18" t="str">
        <f t="shared" si="15"/>
        <v/>
      </c>
      <c r="W121" s="18" t="str">
        <f t="shared" si="16"/>
        <v/>
      </c>
      <c r="X121" s="18" t="str">
        <f t="shared" si="17"/>
        <v/>
      </c>
      <c r="Y121" s="19" t="str">
        <f>IF(OR(L121="",V121=""),"",IFERROR(INDEX(لیست‌ها!$Q$3:$Q$53,MATCH(V121,لیست‌ها!$P$3:$P$53,0))+IF(W121&lt;=6,(W121-1)*31+X121,IF(W121&lt;=11,186+(W121-7)*30+X121,336+X121))-1,""))</f>
        <v/>
      </c>
      <c r="Z121" s="18" t="str">
        <f t="shared" si="18"/>
        <v/>
      </c>
      <c r="AA121" s="18" t="str">
        <f t="shared" si="19"/>
        <v/>
      </c>
      <c r="AB121" s="18" t="str">
        <f t="shared" si="20"/>
        <v/>
      </c>
      <c r="AC121" s="18" t="str">
        <f>IF(OR(H121="",Z121=""),"",IFERROR(INDEX(لیست‌ها!$Q$3:$Q$53,MATCH(Z121,لیست‌ها!$P$3:$P$53,0))+IF(AA121&lt;=6,(AA121-1)*31+AB121,IF(AA121&lt;=11,186+(AA121-7)*30+AB121,336+AB121))-1,""))</f>
        <v/>
      </c>
      <c r="AD121" s="18" t="str">
        <f t="shared" si="21"/>
        <v/>
      </c>
      <c r="AE121" s="18" t="str">
        <f t="shared" si="22"/>
        <v/>
      </c>
      <c r="AF121" s="18" t="str">
        <f t="shared" si="23"/>
        <v/>
      </c>
      <c r="AG121" s="18" t="str">
        <f>IF(OR(O121="",AD121=""),"",IFERROR(INDEX(لیست‌ها!$Q$3:$Q$53,MATCH(AD121,لیست‌ها!$P$3:$P$53,0))+IF(AE121&lt;=6,(AE121-1)*31+AF121,IF(AE121&lt;=11,186+(AE121-7)*30+AF121,336+AF121))-1,""))</f>
        <v/>
      </c>
      <c r="AH121" s="18" t="str">
        <f t="shared" si="24"/>
        <v/>
      </c>
      <c r="AI121" s="18" t="str">
        <f t="shared" si="25"/>
        <v/>
      </c>
      <c r="AJ121" s="18" t="str">
        <f t="shared" ca="1" si="26"/>
        <v/>
      </c>
    </row>
    <row r="122" spans="1:36">
      <c r="A122" s="18">
        <v>119</v>
      </c>
      <c r="B122" s="15" t="s">
        <v>249</v>
      </c>
      <c r="C122" s="15" t="s">
        <v>36</v>
      </c>
      <c r="D122" s="15" t="s">
        <v>43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8" t="str">
        <f t="shared" ca="1" si="14"/>
        <v/>
      </c>
      <c r="U122" s="18">
        <f t="shared" ca="1" si="27"/>
        <v>0</v>
      </c>
      <c r="V122" s="18" t="str">
        <f t="shared" si="15"/>
        <v/>
      </c>
      <c r="W122" s="18" t="str">
        <f t="shared" si="16"/>
        <v/>
      </c>
      <c r="X122" s="18" t="str">
        <f t="shared" si="17"/>
        <v/>
      </c>
      <c r="Y122" s="19" t="str">
        <f>IF(OR(L122="",V122=""),"",IFERROR(INDEX(لیست‌ها!$Q$3:$Q$53,MATCH(V122,لیست‌ها!$P$3:$P$53,0))+IF(W122&lt;=6,(W122-1)*31+X122,IF(W122&lt;=11,186+(W122-7)*30+X122,336+X122))-1,""))</f>
        <v/>
      </c>
      <c r="Z122" s="18" t="str">
        <f t="shared" si="18"/>
        <v/>
      </c>
      <c r="AA122" s="18" t="str">
        <f t="shared" si="19"/>
        <v/>
      </c>
      <c r="AB122" s="18" t="str">
        <f t="shared" si="20"/>
        <v/>
      </c>
      <c r="AC122" s="18" t="str">
        <f>IF(OR(H122="",Z122=""),"",IFERROR(INDEX(لیست‌ها!$Q$3:$Q$53,MATCH(Z122,لیست‌ها!$P$3:$P$53,0))+IF(AA122&lt;=6,(AA122-1)*31+AB122,IF(AA122&lt;=11,186+(AA122-7)*30+AB122,336+AB122))-1,""))</f>
        <v/>
      </c>
      <c r="AD122" s="18" t="str">
        <f t="shared" si="21"/>
        <v/>
      </c>
      <c r="AE122" s="18" t="str">
        <f t="shared" si="22"/>
        <v/>
      </c>
      <c r="AF122" s="18" t="str">
        <f t="shared" si="23"/>
        <v/>
      </c>
      <c r="AG122" s="18" t="str">
        <f>IF(OR(O122="",AD122=""),"",IFERROR(INDEX(لیست‌ها!$Q$3:$Q$53,MATCH(AD122,لیست‌ها!$P$3:$P$53,0))+IF(AE122&lt;=6,(AE122-1)*31+AF122,IF(AE122&lt;=11,186+(AE122-7)*30+AF122,336+AF122))-1,""))</f>
        <v/>
      </c>
      <c r="AH122" s="18" t="str">
        <f t="shared" si="24"/>
        <v/>
      </c>
      <c r="AI122" s="18" t="str">
        <f t="shared" si="25"/>
        <v/>
      </c>
      <c r="AJ122" s="18" t="str">
        <f t="shared" ca="1" si="26"/>
        <v/>
      </c>
    </row>
    <row r="123" spans="1:36">
      <c r="A123" s="18">
        <v>120</v>
      </c>
      <c r="B123" s="15" t="s">
        <v>250</v>
      </c>
      <c r="C123" s="15" t="s">
        <v>36</v>
      </c>
      <c r="D123" s="15" t="s">
        <v>43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8" t="str">
        <f t="shared" ca="1" si="14"/>
        <v/>
      </c>
      <c r="U123" s="18">
        <f t="shared" ca="1" si="27"/>
        <v>0</v>
      </c>
      <c r="V123" s="18" t="str">
        <f t="shared" si="15"/>
        <v/>
      </c>
      <c r="W123" s="18" t="str">
        <f t="shared" si="16"/>
        <v/>
      </c>
      <c r="X123" s="18" t="str">
        <f t="shared" si="17"/>
        <v/>
      </c>
      <c r="Y123" s="19" t="str">
        <f>IF(OR(L123="",V123=""),"",IFERROR(INDEX(لیست‌ها!$Q$3:$Q$53,MATCH(V123,لیست‌ها!$P$3:$P$53,0))+IF(W123&lt;=6,(W123-1)*31+X123,IF(W123&lt;=11,186+(W123-7)*30+X123,336+X123))-1,""))</f>
        <v/>
      </c>
      <c r="Z123" s="18" t="str">
        <f t="shared" si="18"/>
        <v/>
      </c>
      <c r="AA123" s="18" t="str">
        <f t="shared" si="19"/>
        <v/>
      </c>
      <c r="AB123" s="18" t="str">
        <f t="shared" si="20"/>
        <v/>
      </c>
      <c r="AC123" s="18" t="str">
        <f>IF(OR(H123="",Z123=""),"",IFERROR(INDEX(لیست‌ها!$Q$3:$Q$53,MATCH(Z123,لیست‌ها!$P$3:$P$53,0))+IF(AA123&lt;=6,(AA123-1)*31+AB123,IF(AA123&lt;=11,186+(AA123-7)*30+AB123,336+AB123))-1,""))</f>
        <v/>
      </c>
      <c r="AD123" s="18" t="str">
        <f t="shared" si="21"/>
        <v/>
      </c>
      <c r="AE123" s="18" t="str">
        <f t="shared" si="22"/>
        <v/>
      </c>
      <c r="AF123" s="18" t="str">
        <f t="shared" si="23"/>
        <v/>
      </c>
      <c r="AG123" s="18" t="str">
        <f>IF(OR(O123="",AD123=""),"",IFERROR(INDEX(لیست‌ها!$Q$3:$Q$53,MATCH(AD123,لیست‌ها!$P$3:$P$53,0))+IF(AE123&lt;=6,(AE123-1)*31+AF123,IF(AE123&lt;=11,186+(AE123-7)*30+AF123,336+AF123))-1,""))</f>
        <v/>
      </c>
      <c r="AH123" s="18" t="str">
        <f t="shared" si="24"/>
        <v/>
      </c>
      <c r="AI123" s="18" t="str">
        <f t="shared" si="25"/>
        <v/>
      </c>
      <c r="AJ123" s="18" t="str">
        <f t="shared" ca="1" si="26"/>
        <v/>
      </c>
    </row>
    <row r="124" spans="1:36">
      <c r="A124" s="18">
        <v>121</v>
      </c>
      <c r="B124" s="15" t="s">
        <v>251</v>
      </c>
      <c r="C124" s="15" t="s">
        <v>36</v>
      </c>
      <c r="D124" s="15" t="s">
        <v>43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8" t="str">
        <f t="shared" ca="1" si="14"/>
        <v/>
      </c>
      <c r="U124" s="18">
        <f t="shared" ca="1" si="27"/>
        <v>0</v>
      </c>
      <c r="V124" s="18" t="str">
        <f t="shared" si="15"/>
        <v/>
      </c>
      <c r="W124" s="18" t="str">
        <f t="shared" si="16"/>
        <v/>
      </c>
      <c r="X124" s="18" t="str">
        <f t="shared" si="17"/>
        <v/>
      </c>
      <c r="Y124" s="19" t="str">
        <f>IF(OR(L124="",V124=""),"",IFERROR(INDEX(لیست‌ها!$Q$3:$Q$53,MATCH(V124,لیست‌ها!$P$3:$P$53,0))+IF(W124&lt;=6,(W124-1)*31+X124,IF(W124&lt;=11,186+(W124-7)*30+X124,336+X124))-1,""))</f>
        <v/>
      </c>
      <c r="Z124" s="18" t="str">
        <f t="shared" si="18"/>
        <v/>
      </c>
      <c r="AA124" s="18" t="str">
        <f t="shared" si="19"/>
        <v/>
      </c>
      <c r="AB124" s="18" t="str">
        <f t="shared" si="20"/>
        <v/>
      </c>
      <c r="AC124" s="18" t="str">
        <f>IF(OR(H124="",Z124=""),"",IFERROR(INDEX(لیست‌ها!$Q$3:$Q$53,MATCH(Z124,لیست‌ها!$P$3:$P$53,0))+IF(AA124&lt;=6,(AA124-1)*31+AB124,IF(AA124&lt;=11,186+(AA124-7)*30+AB124,336+AB124))-1,""))</f>
        <v/>
      </c>
      <c r="AD124" s="18" t="str">
        <f t="shared" si="21"/>
        <v/>
      </c>
      <c r="AE124" s="18" t="str">
        <f t="shared" si="22"/>
        <v/>
      </c>
      <c r="AF124" s="18" t="str">
        <f t="shared" si="23"/>
        <v/>
      </c>
      <c r="AG124" s="18" t="str">
        <f>IF(OR(O124="",AD124=""),"",IFERROR(INDEX(لیست‌ها!$Q$3:$Q$53,MATCH(AD124,لیست‌ها!$P$3:$P$53,0))+IF(AE124&lt;=6,(AE124-1)*31+AF124,IF(AE124&lt;=11,186+(AE124-7)*30+AF124,336+AF124))-1,""))</f>
        <v/>
      </c>
      <c r="AH124" s="18" t="str">
        <f t="shared" si="24"/>
        <v/>
      </c>
      <c r="AI124" s="18" t="str">
        <f t="shared" si="25"/>
        <v/>
      </c>
      <c r="AJ124" s="18" t="str">
        <f t="shared" ca="1" si="26"/>
        <v/>
      </c>
    </row>
    <row r="125" spans="1:36">
      <c r="A125" s="18">
        <v>122</v>
      </c>
      <c r="B125" s="15" t="s">
        <v>252</v>
      </c>
      <c r="C125" s="15" t="s">
        <v>36</v>
      </c>
      <c r="D125" s="15" t="s">
        <v>43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8" t="str">
        <f t="shared" ca="1" si="14"/>
        <v/>
      </c>
      <c r="U125" s="18">
        <f t="shared" ca="1" si="27"/>
        <v>0</v>
      </c>
      <c r="V125" s="18" t="str">
        <f t="shared" si="15"/>
        <v/>
      </c>
      <c r="W125" s="18" t="str">
        <f t="shared" si="16"/>
        <v/>
      </c>
      <c r="X125" s="18" t="str">
        <f t="shared" si="17"/>
        <v/>
      </c>
      <c r="Y125" s="19" t="str">
        <f>IF(OR(L125="",V125=""),"",IFERROR(INDEX(لیست‌ها!$Q$3:$Q$53,MATCH(V125,لیست‌ها!$P$3:$P$53,0))+IF(W125&lt;=6,(W125-1)*31+X125,IF(W125&lt;=11,186+(W125-7)*30+X125,336+X125))-1,""))</f>
        <v/>
      </c>
      <c r="Z125" s="18" t="str">
        <f t="shared" si="18"/>
        <v/>
      </c>
      <c r="AA125" s="18" t="str">
        <f t="shared" si="19"/>
        <v/>
      </c>
      <c r="AB125" s="18" t="str">
        <f t="shared" si="20"/>
        <v/>
      </c>
      <c r="AC125" s="18" t="str">
        <f>IF(OR(H125="",Z125=""),"",IFERROR(INDEX(لیست‌ها!$Q$3:$Q$53,MATCH(Z125,لیست‌ها!$P$3:$P$53,0))+IF(AA125&lt;=6,(AA125-1)*31+AB125,IF(AA125&lt;=11,186+(AA125-7)*30+AB125,336+AB125))-1,""))</f>
        <v/>
      </c>
      <c r="AD125" s="18" t="str">
        <f t="shared" si="21"/>
        <v/>
      </c>
      <c r="AE125" s="18" t="str">
        <f t="shared" si="22"/>
        <v/>
      </c>
      <c r="AF125" s="18" t="str">
        <f t="shared" si="23"/>
        <v/>
      </c>
      <c r="AG125" s="18" t="str">
        <f>IF(OR(O125="",AD125=""),"",IFERROR(INDEX(لیست‌ها!$Q$3:$Q$53,MATCH(AD125,لیست‌ها!$P$3:$P$53,0))+IF(AE125&lt;=6,(AE125-1)*31+AF125,IF(AE125&lt;=11,186+(AE125-7)*30+AF125,336+AF125))-1,""))</f>
        <v/>
      </c>
      <c r="AH125" s="18" t="str">
        <f t="shared" si="24"/>
        <v/>
      </c>
      <c r="AI125" s="18" t="str">
        <f t="shared" si="25"/>
        <v/>
      </c>
      <c r="AJ125" s="18" t="str">
        <f t="shared" ca="1" si="26"/>
        <v/>
      </c>
    </row>
    <row r="126" spans="1:36">
      <c r="A126" s="18">
        <v>123</v>
      </c>
      <c r="B126" s="15" t="s">
        <v>253</v>
      </c>
      <c r="C126" s="15" t="s">
        <v>36</v>
      </c>
      <c r="D126" s="15" t="s">
        <v>43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8" t="str">
        <f t="shared" ca="1" si="14"/>
        <v/>
      </c>
      <c r="U126" s="18">
        <f t="shared" ca="1" si="27"/>
        <v>0</v>
      </c>
      <c r="V126" s="18" t="str">
        <f t="shared" si="15"/>
        <v/>
      </c>
      <c r="W126" s="18" t="str">
        <f t="shared" si="16"/>
        <v/>
      </c>
      <c r="X126" s="18" t="str">
        <f t="shared" si="17"/>
        <v/>
      </c>
      <c r="Y126" s="19" t="str">
        <f>IF(OR(L126="",V126=""),"",IFERROR(INDEX(لیست‌ها!$Q$3:$Q$53,MATCH(V126,لیست‌ها!$P$3:$P$53,0))+IF(W126&lt;=6,(W126-1)*31+X126,IF(W126&lt;=11,186+(W126-7)*30+X126,336+X126))-1,""))</f>
        <v/>
      </c>
      <c r="Z126" s="18" t="str">
        <f t="shared" si="18"/>
        <v/>
      </c>
      <c r="AA126" s="18" t="str">
        <f t="shared" si="19"/>
        <v/>
      </c>
      <c r="AB126" s="18" t="str">
        <f t="shared" si="20"/>
        <v/>
      </c>
      <c r="AC126" s="18" t="str">
        <f>IF(OR(H126="",Z126=""),"",IFERROR(INDEX(لیست‌ها!$Q$3:$Q$53,MATCH(Z126,لیست‌ها!$P$3:$P$53,0))+IF(AA126&lt;=6,(AA126-1)*31+AB126,IF(AA126&lt;=11,186+(AA126-7)*30+AB126,336+AB126))-1,""))</f>
        <v/>
      </c>
      <c r="AD126" s="18" t="str">
        <f t="shared" si="21"/>
        <v/>
      </c>
      <c r="AE126" s="18" t="str">
        <f t="shared" si="22"/>
        <v/>
      </c>
      <c r="AF126" s="18" t="str">
        <f t="shared" si="23"/>
        <v/>
      </c>
      <c r="AG126" s="18" t="str">
        <f>IF(OR(O126="",AD126=""),"",IFERROR(INDEX(لیست‌ها!$Q$3:$Q$53,MATCH(AD126,لیست‌ها!$P$3:$P$53,0))+IF(AE126&lt;=6,(AE126-1)*31+AF126,IF(AE126&lt;=11,186+(AE126-7)*30+AF126,336+AF126))-1,""))</f>
        <v/>
      </c>
      <c r="AH126" s="18" t="str">
        <f t="shared" si="24"/>
        <v/>
      </c>
      <c r="AI126" s="18" t="str">
        <f t="shared" si="25"/>
        <v/>
      </c>
      <c r="AJ126" s="18" t="str">
        <f t="shared" ca="1" si="26"/>
        <v/>
      </c>
    </row>
    <row r="127" spans="1:36">
      <c r="A127" s="18">
        <v>124</v>
      </c>
      <c r="B127" s="15" t="s">
        <v>254</v>
      </c>
      <c r="C127" s="15" t="s">
        <v>36</v>
      </c>
      <c r="D127" s="15" t="s">
        <v>43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8" t="str">
        <f t="shared" ca="1" si="14"/>
        <v/>
      </c>
      <c r="U127" s="18">
        <f t="shared" ca="1" si="27"/>
        <v>0</v>
      </c>
      <c r="V127" s="18" t="str">
        <f t="shared" si="15"/>
        <v/>
      </c>
      <c r="W127" s="18" t="str">
        <f t="shared" si="16"/>
        <v/>
      </c>
      <c r="X127" s="18" t="str">
        <f t="shared" si="17"/>
        <v/>
      </c>
      <c r="Y127" s="19" t="str">
        <f>IF(OR(L127="",V127=""),"",IFERROR(INDEX(لیست‌ها!$Q$3:$Q$53,MATCH(V127,لیست‌ها!$P$3:$P$53,0))+IF(W127&lt;=6,(W127-1)*31+X127,IF(W127&lt;=11,186+(W127-7)*30+X127,336+X127))-1,""))</f>
        <v/>
      </c>
      <c r="Z127" s="18" t="str">
        <f t="shared" si="18"/>
        <v/>
      </c>
      <c r="AA127" s="18" t="str">
        <f t="shared" si="19"/>
        <v/>
      </c>
      <c r="AB127" s="18" t="str">
        <f t="shared" si="20"/>
        <v/>
      </c>
      <c r="AC127" s="18" t="str">
        <f>IF(OR(H127="",Z127=""),"",IFERROR(INDEX(لیست‌ها!$Q$3:$Q$53,MATCH(Z127,لیست‌ها!$P$3:$P$53,0))+IF(AA127&lt;=6,(AA127-1)*31+AB127,IF(AA127&lt;=11,186+(AA127-7)*30+AB127,336+AB127))-1,""))</f>
        <v/>
      </c>
      <c r="AD127" s="18" t="str">
        <f t="shared" si="21"/>
        <v/>
      </c>
      <c r="AE127" s="18" t="str">
        <f t="shared" si="22"/>
        <v/>
      </c>
      <c r="AF127" s="18" t="str">
        <f t="shared" si="23"/>
        <v/>
      </c>
      <c r="AG127" s="18" t="str">
        <f>IF(OR(O127="",AD127=""),"",IFERROR(INDEX(لیست‌ها!$Q$3:$Q$53,MATCH(AD127,لیست‌ها!$P$3:$P$53,0))+IF(AE127&lt;=6,(AE127-1)*31+AF127,IF(AE127&lt;=11,186+(AE127-7)*30+AF127,336+AF127))-1,""))</f>
        <v/>
      </c>
      <c r="AH127" s="18" t="str">
        <f t="shared" si="24"/>
        <v/>
      </c>
      <c r="AI127" s="18" t="str">
        <f t="shared" si="25"/>
        <v/>
      </c>
      <c r="AJ127" s="18" t="str">
        <f t="shared" ca="1" si="26"/>
        <v/>
      </c>
    </row>
    <row r="128" spans="1:36">
      <c r="A128" s="18">
        <v>125</v>
      </c>
      <c r="B128" s="15" t="s">
        <v>255</v>
      </c>
      <c r="C128" s="15" t="s">
        <v>36</v>
      </c>
      <c r="D128" s="15" t="s">
        <v>43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8" t="str">
        <f t="shared" ca="1" si="14"/>
        <v/>
      </c>
      <c r="U128" s="18">
        <f t="shared" ca="1" si="27"/>
        <v>0</v>
      </c>
      <c r="V128" s="18" t="str">
        <f t="shared" si="15"/>
        <v/>
      </c>
      <c r="W128" s="18" t="str">
        <f t="shared" si="16"/>
        <v/>
      </c>
      <c r="X128" s="18" t="str">
        <f t="shared" si="17"/>
        <v/>
      </c>
      <c r="Y128" s="19" t="str">
        <f>IF(OR(L128="",V128=""),"",IFERROR(INDEX(لیست‌ها!$Q$3:$Q$53,MATCH(V128,لیست‌ها!$P$3:$P$53,0))+IF(W128&lt;=6,(W128-1)*31+X128,IF(W128&lt;=11,186+(W128-7)*30+X128,336+X128))-1,""))</f>
        <v/>
      </c>
      <c r="Z128" s="18" t="str">
        <f t="shared" si="18"/>
        <v/>
      </c>
      <c r="AA128" s="18" t="str">
        <f t="shared" si="19"/>
        <v/>
      </c>
      <c r="AB128" s="18" t="str">
        <f t="shared" si="20"/>
        <v/>
      </c>
      <c r="AC128" s="19" t="str">
        <f>IF(OR(H128="",Z128=""),"",IFERROR(INDEX(لیست‌ها!$Q$3:$Q$53,MATCH(Z128,لیست‌ها!$P$3:$P$53,0))+IF(AA128&lt;=6,(AA128-1)*31+AB128,IF(AA128&lt;=11,186+(AA128-7)*30+AB128,336+AB128))-1,""))</f>
        <v/>
      </c>
      <c r="AD128" s="18" t="str">
        <f t="shared" si="21"/>
        <v/>
      </c>
      <c r="AE128" s="18" t="str">
        <f t="shared" si="22"/>
        <v/>
      </c>
      <c r="AF128" s="18" t="str">
        <f t="shared" si="23"/>
        <v/>
      </c>
      <c r="AG128" s="18" t="str">
        <f>IF(OR(O128="",AD128=""),"",IFERROR(INDEX(لیست‌ها!$Q$3:$Q$53,MATCH(AD128,لیست‌ها!$P$3:$P$53,0))+IF(AE128&lt;=6,(AE128-1)*31+AF128,IF(AE128&lt;=11,186+(AE128-7)*30+AF128,336+AF128))-1,""))</f>
        <v/>
      </c>
      <c r="AH128" s="18" t="str">
        <f t="shared" si="24"/>
        <v/>
      </c>
      <c r="AI128" s="18" t="str">
        <f t="shared" si="25"/>
        <v/>
      </c>
      <c r="AJ128" s="18" t="str">
        <f t="shared" ca="1" si="26"/>
        <v/>
      </c>
    </row>
    <row r="129" spans="1:36">
      <c r="A129" s="18">
        <v>126</v>
      </c>
      <c r="B129" s="15" t="s">
        <v>256</v>
      </c>
      <c r="C129" s="15" t="s">
        <v>36</v>
      </c>
      <c r="D129" s="15" t="s">
        <v>43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8" t="str">
        <f t="shared" ca="1" si="14"/>
        <v/>
      </c>
      <c r="U129" s="18">
        <f t="shared" ca="1" si="27"/>
        <v>0</v>
      </c>
      <c r="V129" s="18" t="str">
        <f t="shared" si="15"/>
        <v/>
      </c>
      <c r="W129" s="18" t="str">
        <f t="shared" si="16"/>
        <v/>
      </c>
      <c r="X129" s="18" t="str">
        <f t="shared" si="17"/>
        <v/>
      </c>
      <c r="Y129" s="19" t="str">
        <f>IF(OR(L129="",V129=""),"",IFERROR(INDEX(لیست‌ها!$Q$3:$Q$53,MATCH(V129,لیست‌ها!$P$3:$P$53,0))+IF(W129&lt;=6,(W129-1)*31+X129,IF(W129&lt;=11,186+(W129-7)*30+X129,336+X129))-1,""))</f>
        <v/>
      </c>
      <c r="Z129" s="18" t="str">
        <f t="shared" si="18"/>
        <v/>
      </c>
      <c r="AA129" s="18" t="str">
        <f t="shared" si="19"/>
        <v/>
      </c>
      <c r="AB129" s="18" t="str">
        <f t="shared" si="20"/>
        <v/>
      </c>
      <c r="AC129" s="18" t="str">
        <f>IF(OR(H129="",Z129=""),"",IFERROR(INDEX(لیست‌ها!$Q$3:$Q$53,MATCH(Z129,لیست‌ها!$P$3:$P$53,0))+IF(AA129&lt;=6,(AA129-1)*31+AB129,IF(AA129&lt;=11,186+(AA129-7)*30+AB129,336+AB129))-1,""))</f>
        <v/>
      </c>
      <c r="AD129" s="18" t="str">
        <f t="shared" si="21"/>
        <v/>
      </c>
      <c r="AE129" s="18" t="str">
        <f t="shared" si="22"/>
        <v/>
      </c>
      <c r="AF129" s="18" t="str">
        <f t="shared" si="23"/>
        <v/>
      </c>
      <c r="AG129" s="18" t="str">
        <f>IF(OR(O129="",AD129=""),"",IFERROR(INDEX(لیست‌ها!$Q$3:$Q$53,MATCH(AD129,لیست‌ها!$P$3:$P$53,0))+IF(AE129&lt;=6,(AE129-1)*31+AF129,IF(AE129&lt;=11,186+(AE129-7)*30+AF129,336+AF129))-1,""))</f>
        <v/>
      </c>
      <c r="AH129" s="18" t="str">
        <f t="shared" si="24"/>
        <v/>
      </c>
      <c r="AI129" s="18" t="str">
        <f t="shared" si="25"/>
        <v/>
      </c>
      <c r="AJ129" s="18" t="str">
        <f t="shared" ca="1" si="26"/>
        <v/>
      </c>
    </row>
    <row r="130" spans="1:36">
      <c r="A130" s="18">
        <v>127</v>
      </c>
      <c r="B130" s="15" t="s">
        <v>257</v>
      </c>
      <c r="C130" s="15" t="s">
        <v>36</v>
      </c>
      <c r="D130" s="15" t="s">
        <v>43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8" t="str">
        <f t="shared" ca="1" si="14"/>
        <v/>
      </c>
      <c r="U130" s="18">
        <f t="shared" ca="1" si="27"/>
        <v>0</v>
      </c>
      <c r="V130" s="18" t="str">
        <f t="shared" si="15"/>
        <v/>
      </c>
      <c r="W130" s="18" t="str">
        <f t="shared" si="16"/>
        <v/>
      </c>
      <c r="X130" s="18" t="str">
        <f t="shared" si="17"/>
        <v/>
      </c>
      <c r="Y130" s="19" t="str">
        <f>IF(OR(L130="",V130=""),"",IFERROR(INDEX(لیست‌ها!$Q$3:$Q$53,MATCH(V130,لیست‌ها!$P$3:$P$53,0))+IF(W130&lt;=6,(W130-1)*31+X130,IF(W130&lt;=11,186+(W130-7)*30+X130,336+X130))-1,""))</f>
        <v/>
      </c>
      <c r="Z130" s="18" t="str">
        <f t="shared" si="18"/>
        <v/>
      </c>
      <c r="AA130" s="18" t="str">
        <f t="shared" si="19"/>
        <v/>
      </c>
      <c r="AB130" s="18" t="str">
        <f t="shared" si="20"/>
        <v/>
      </c>
      <c r="AC130" s="18" t="str">
        <f>IF(OR(H130="",Z130=""),"",IFERROR(INDEX(لیست‌ها!$Q$3:$Q$53,MATCH(Z130,لیست‌ها!$P$3:$P$53,0))+IF(AA130&lt;=6,(AA130-1)*31+AB130,IF(AA130&lt;=11,186+(AA130-7)*30+AB130,336+AB130))-1,""))</f>
        <v/>
      </c>
      <c r="AD130" s="18" t="str">
        <f t="shared" si="21"/>
        <v/>
      </c>
      <c r="AE130" s="18" t="str">
        <f t="shared" si="22"/>
        <v/>
      </c>
      <c r="AF130" s="18" t="str">
        <f t="shared" si="23"/>
        <v/>
      </c>
      <c r="AG130" s="18" t="str">
        <f>IF(OR(O130="",AD130=""),"",IFERROR(INDEX(لیست‌ها!$Q$3:$Q$53,MATCH(AD130,لیست‌ها!$P$3:$P$53,0))+IF(AE130&lt;=6,(AE130-1)*31+AF130,IF(AE130&lt;=11,186+(AE130-7)*30+AF130,336+AF130))-1,""))</f>
        <v/>
      </c>
      <c r="AH130" s="18" t="str">
        <f t="shared" si="24"/>
        <v/>
      </c>
      <c r="AI130" s="18" t="str">
        <f t="shared" si="25"/>
        <v/>
      </c>
      <c r="AJ130" s="18" t="str">
        <f t="shared" ca="1" si="26"/>
        <v/>
      </c>
    </row>
    <row r="131" spans="1:36">
      <c r="A131" s="18">
        <v>128</v>
      </c>
      <c r="B131" s="15" t="s">
        <v>258</v>
      </c>
      <c r="C131" s="15" t="s">
        <v>36</v>
      </c>
      <c r="D131" s="15" t="s">
        <v>43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8" t="str">
        <f t="shared" ca="1" si="14"/>
        <v/>
      </c>
      <c r="U131" s="18">
        <f t="shared" ca="1" si="27"/>
        <v>0</v>
      </c>
      <c r="V131" s="18" t="str">
        <f t="shared" si="15"/>
        <v/>
      </c>
      <c r="W131" s="18" t="str">
        <f t="shared" si="16"/>
        <v/>
      </c>
      <c r="X131" s="18" t="str">
        <f t="shared" si="17"/>
        <v/>
      </c>
      <c r="Y131" s="19" t="str">
        <f>IF(OR(L131="",V131=""),"",IFERROR(INDEX(لیست‌ها!$Q$3:$Q$53,MATCH(V131,لیست‌ها!$P$3:$P$53,0))+IF(W131&lt;=6,(W131-1)*31+X131,IF(W131&lt;=11,186+(W131-7)*30+X131,336+X131))-1,""))</f>
        <v/>
      </c>
      <c r="Z131" s="18" t="str">
        <f t="shared" si="18"/>
        <v/>
      </c>
      <c r="AA131" s="18" t="str">
        <f t="shared" si="19"/>
        <v/>
      </c>
      <c r="AB131" s="18" t="str">
        <f t="shared" si="20"/>
        <v/>
      </c>
      <c r="AC131" s="18" t="str">
        <f>IF(OR(H131="",Z131=""),"",IFERROR(INDEX(لیست‌ها!$Q$3:$Q$53,MATCH(Z131,لیست‌ها!$P$3:$P$53,0))+IF(AA131&lt;=6,(AA131-1)*31+AB131,IF(AA131&lt;=11,186+(AA131-7)*30+AB131,336+AB131))-1,""))</f>
        <v/>
      </c>
      <c r="AD131" s="18" t="str">
        <f t="shared" si="21"/>
        <v/>
      </c>
      <c r="AE131" s="18" t="str">
        <f t="shared" si="22"/>
        <v/>
      </c>
      <c r="AF131" s="18" t="str">
        <f t="shared" si="23"/>
        <v/>
      </c>
      <c r="AG131" s="18" t="str">
        <f>IF(OR(O131="",AD131=""),"",IFERROR(INDEX(لیست‌ها!$Q$3:$Q$53,MATCH(AD131,لیست‌ها!$P$3:$P$53,0))+IF(AE131&lt;=6,(AE131-1)*31+AF131,IF(AE131&lt;=11,186+(AE131-7)*30+AF131,336+AF131))-1,""))</f>
        <v/>
      </c>
      <c r="AH131" s="18" t="str">
        <f t="shared" si="24"/>
        <v/>
      </c>
      <c r="AI131" s="18" t="str">
        <f t="shared" si="25"/>
        <v/>
      </c>
      <c r="AJ131" s="18" t="str">
        <f t="shared" ca="1" si="26"/>
        <v/>
      </c>
    </row>
    <row r="132" spans="1:36">
      <c r="A132" s="18">
        <v>129</v>
      </c>
      <c r="B132" s="15" t="s">
        <v>259</v>
      </c>
      <c r="C132" s="15" t="s">
        <v>36</v>
      </c>
      <c r="D132" s="15" t="s">
        <v>43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8" t="str">
        <f t="shared" ref="T132:T195" ca="1" si="28">IF(B132="","",IF(OR(I132&lt;&gt;"",O132&lt;&gt;""),"بسته",IF(AND(L132&lt;&gt;"",V132=""),"خطای فرمت تاریخ ایجاد",IF(AND(H132&lt;&gt;"",Z132=""),"خطای فرمت مهلت",IF(AND(H132&lt;&gt;"",AC132&lt;&gt;"",TODAY()&gt;AC132),"تاخیر",IF(L132&lt;&gt;"","در حال انجام",""))))))</f>
        <v/>
      </c>
      <c r="U132" s="18">
        <f t="shared" ca="1" si="27"/>
        <v>0</v>
      </c>
      <c r="V132" s="18" t="str">
        <f t="shared" ref="V132:V195" si="29">IF(L132="","",VALUE(LEFT(L132,FIND("/",L132)-1)))</f>
        <v/>
      </c>
      <c r="W132" s="18" t="str">
        <f t="shared" ref="W132:W195" si="30">IF(L132="","",VALUE(MID(L132,FIND("/",L132)+1,FIND("/",L132,FIND("/",L132)+1)-FIND("/",L132)-1)))</f>
        <v/>
      </c>
      <c r="X132" s="18" t="str">
        <f t="shared" ref="X132:X195" si="31">IF(L132="","",VALUE(MID(L132,FIND("/",L132,FIND("/",L132)+1)+1,LEN(L132)-FIND("/",L132,FIND("/",L132)+1))))</f>
        <v/>
      </c>
      <c r="Y132" s="19" t="str">
        <f>IF(OR(L132="",V132=""),"",IFERROR(INDEX(لیست‌ها!$Q$3:$Q$53,MATCH(V132,لیست‌ها!$P$3:$P$53,0))+IF(W132&lt;=6,(W132-1)*31+X132,IF(W132&lt;=11,186+(W132-7)*30+X132,336+X132))-1,""))</f>
        <v/>
      </c>
      <c r="Z132" s="18" t="str">
        <f t="shared" ref="Z132:Z195" si="32">IF(H132="","",VALUE(LEFT(H132,FIND("/",H132)-1)))</f>
        <v/>
      </c>
      <c r="AA132" s="18" t="str">
        <f t="shared" ref="AA132:AA195" si="33">IF(H132="","",VALUE(MID(H132,FIND("/",H132)+1,FIND("/",H132,FIND("/",H132)+1)-FIND("/",H132)-1)))</f>
        <v/>
      </c>
      <c r="AB132" s="18" t="str">
        <f t="shared" ref="AB132:AB195" si="34">IF(H132="","",VALUE(MID(H132,FIND("/",H132,FIND("/",H132)+1)+1,LEN(H132)-FIND("/",H132,FIND("/",H132)+1))))</f>
        <v/>
      </c>
      <c r="AC132" s="18" t="str">
        <f>IF(OR(H132="",Z132=""),"",IFERROR(INDEX(لیست‌ها!$Q$3:$Q$53,MATCH(Z132,لیست‌ها!$P$3:$P$53,0))+IF(AA132&lt;=6,(AA132-1)*31+AB132,IF(AA132&lt;=11,186+(AA132-7)*30+AB132,336+AB132))-1,""))</f>
        <v/>
      </c>
      <c r="AD132" s="18" t="str">
        <f t="shared" ref="AD132:AD195" si="35">IF(O132="","",VALUE(LEFT(O132,FIND("/",O132)-1)))</f>
        <v/>
      </c>
      <c r="AE132" s="18" t="str">
        <f t="shared" ref="AE132:AE195" si="36">IF(O132="","",VALUE(MID(O132,FIND("/",O132)+1,FIND("/",O132,FIND("/",O132)+1)-FIND("/",O132)-1)))</f>
        <v/>
      </c>
      <c r="AF132" s="18" t="str">
        <f t="shared" ref="AF132:AF195" si="37">IF(O132="","",VALUE(MID(O132,FIND("/",O132,FIND("/",O132)+1)+1,LEN(O132)-FIND("/",O132,FIND("/",O132)+1))))</f>
        <v/>
      </c>
      <c r="AG132" s="18" t="str">
        <f>IF(OR(O132="",AD132=""),"",IFERROR(INDEX(لیست‌ها!$Q$3:$Q$53,MATCH(AD132,لیست‌ها!$P$3:$P$53,0))+IF(AE132&lt;=6,(AE132-1)*31+AF132,IF(AE132&lt;=11,186+(AE132-7)*30+AF132,336+AF132))-1,""))</f>
        <v/>
      </c>
      <c r="AH132" s="18" t="str">
        <f t="shared" ref="AH132:AH195" si="38">IF(V132="","",V132&amp;"-"&amp;TEXT(W132,"00"))</f>
        <v/>
      </c>
      <c r="AI132" s="18" t="str">
        <f t="shared" ref="AI132:AI195" si="39">IF(V132="","",V132*12+W132)</f>
        <v/>
      </c>
      <c r="AJ132" s="18" t="str">
        <f t="shared" ref="AJ132:AJ195" ca="1" si="40">IF(T132="تاخیر",U132+ROW()/100000,"")</f>
        <v/>
      </c>
    </row>
    <row r="133" spans="1:36">
      <c r="A133" s="18">
        <v>130</v>
      </c>
      <c r="B133" s="15" t="s">
        <v>260</v>
      </c>
      <c r="C133" s="15" t="s">
        <v>36</v>
      </c>
      <c r="D133" s="15" t="s">
        <v>43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8" t="str">
        <f t="shared" ca="1" si="28"/>
        <v/>
      </c>
      <c r="U133" s="18">
        <f t="shared" ref="U133:U196" ca="1" si="41">IF(T133="تاخیر",TODAY()-AC133,IF(AND(T133="بسته",AG133&lt;&gt;"",AC133&lt;&gt;"",AG133&gt;AC133),AG133-AC133,0))</f>
        <v>0</v>
      </c>
      <c r="V133" s="18" t="str">
        <f t="shared" si="29"/>
        <v/>
      </c>
      <c r="W133" s="18" t="str">
        <f t="shared" si="30"/>
        <v/>
      </c>
      <c r="X133" s="18" t="str">
        <f t="shared" si="31"/>
        <v/>
      </c>
      <c r="Y133" s="19" t="str">
        <f>IF(OR(L133="",V133=""),"",IFERROR(INDEX(لیست‌ها!$Q$3:$Q$53,MATCH(V133,لیست‌ها!$P$3:$P$53,0))+IF(W133&lt;=6,(W133-1)*31+X133,IF(W133&lt;=11,186+(W133-7)*30+X133,336+X133))-1,""))</f>
        <v/>
      </c>
      <c r="Z133" s="18" t="str">
        <f t="shared" si="32"/>
        <v/>
      </c>
      <c r="AA133" s="18" t="str">
        <f t="shared" si="33"/>
        <v/>
      </c>
      <c r="AB133" s="18" t="str">
        <f t="shared" si="34"/>
        <v/>
      </c>
      <c r="AC133" s="18" t="str">
        <f>IF(OR(H133="",Z133=""),"",IFERROR(INDEX(لیست‌ها!$Q$3:$Q$53,MATCH(Z133,لیست‌ها!$P$3:$P$53,0))+IF(AA133&lt;=6,(AA133-1)*31+AB133,IF(AA133&lt;=11,186+(AA133-7)*30+AB133,336+AB133))-1,""))</f>
        <v/>
      </c>
      <c r="AD133" s="18" t="str">
        <f t="shared" si="35"/>
        <v/>
      </c>
      <c r="AE133" s="18" t="str">
        <f t="shared" si="36"/>
        <v/>
      </c>
      <c r="AF133" s="18" t="str">
        <f t="shared" si="37"/>
        <v/>
      </c>
      <c r="AG133" s="18" t="str">
        <f>IF(OR(O133="",AD133=""),"",IFERROR(INDEX(لیست‌ها!$Q$3:$Q$53,MATCH(AD133,لیست‌ها!$P$3:$P$53,0))+IF(AE133&lt;=6,(AE133-1)*31+AF133,IF(AE133&lt;=11,186+(AE133-7)*30+AF133,336+AF133))-1,""))</f>
        <v/>
      </c>
      <c r="AH133" s="18" t="str">
        <f t="shared" si="38"/>
        <v/>
      </c>
      <c r="AI133" s="18" t="str">
        <f t="shared" si="39"/>
        <v/>
      </c>
      <c r="AJ133" s="18" t="str">
        <f t="shared" ca="1" si="40"/>
        <v/>
      </c>
    </row>
    <row r="134" spans="1:36">
      <c r="A134" s="18">
        <v>131</v>
      </c>
      <c r="B134" s="15" t="s">
        <v>261</v>
      </c>
      <c r="C134" s="15" t="s">
        <v>36</v>
      </c>
      <c r="D134" s="15" t="s">
        <v>43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8" t="str">
        <f t="shared" ca="1" si="28"/>
        <v/>
      </c>
      <c r="U134" s="18">
        <f t="shared" ca="1" si="41"/>
        <v>0</v>
      </c>
      <c r="V134" s="18" t="str">
        <f t="shared" si="29"/>
        <v/>
      </c>
      <c r="W134" s="18" t="str">
        <f t="shared" si="30"/>
        <v/>
      </c>
      <c r="X134" s="18" t="str">
        <f t="shared" si="31"/>
        <v/>
      </c>
      <c r="Y134" s="19" t="str">
        <f>IF(OR(L134="",V134=""),"",IFERROR(INDEX(لیست‌ها!$Q$3:$Q$53,MATCH(V134,لیست‌ها!$P$3:$P$53,0))+IF(W134&lt;=6,(W134-1)*31+X134,IF(W134&lt;=11,186+(W134-7)*30+X134,336+X134))-1,""))</f>
        <v/>
      </c>
      <c r="Z134" s="18" t="str">
        <f t="shared" si="32"/>
        <v/>
      </c>
      <c r="AA134" s="18" t="str">
        <f t="shared" si="33"/>
        <v/>
      </c>
      <c r="AB134" s="18" t="str">
        <f t="shared" si="34"/>
        <v/>
      </c>
      <c r="AC134" s="18" t="str">
        <f>IF(OR(H134="",Z134=""),"",IFERROR(INDEX(لیست‌ها!$Q$3:$Q$53,MATCH(Z134,لیست‌ها!$P$3:$P$53,0))+IF(AA134&lt;=6,(AA134-1)*31+AB134,IF(AA134&lt;=11,186+(AA134-7)*30+AB134,336+AB134))-1,""))</f>
        <v/>
      </c>
      <c r="AD134" s="18" t="str">
        <f t="shared" si="35"/>
        <v/>
      </c>
      <c r="AE134" s="18" t="str">
        <f t="shared" si="36"/>
        <v/>
      </c>
      <c r="AF134" s="18" t="str">
        <f t="shared" si="37"/>
        <v/>
      </c>
      <c r="AG134" s="18" t="str">
        <f>IF(OR(O134="",AD134=""),"",IFERROR(INDEX(لیست‌ها!$Q$3:$Q$53,MATCH(AD134,لیست‌ها!$P$3:$P$53,0))+IF(AE134&lt;=6,(AE134-1)*31+AF134,IF(AE134&lt;=11,186+(AE134-7)*30+AF134,336+AF134))-1,""))</f>
        <v/>
      </c>
      <c r="AH134" s="18" t="str">
        <f t="shared" si="38"/>
        <v/>
      </c>
      <c r="AI134" s="18" t="str">
        <f t="shared" si="39"/>
        <v/>
      </c>
      <c r="AJ134" s="18" t="str">
        <f t="shared" ca="1" si="40"/>
        <v/>
      </c>
    </row>
    <row r="135" spans="1:36">
      <c r="A135" s="18">
        <v>132</v>
      </c>
      <c r="B135" s="15" t="s">
        <v>262</v>
      </c>
      <c r="C135" s="15" t="s">
        <v>36</v>
      </c>
      <c r="D135" s="15" t="s">
        <v>43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8" t="str">
        <f t="shared" ca="1" si="28"/>
        <v/>
      </c>
      <c r="U135" s="18">
        <f t="shared" ca="1" si="41"/>
        <v>0</v>
      </c>
      <c r="V135" s="18" t="str">
        <f t="shared" si="29"/>
        <v/>
      </c>
      <c r="W135" s="18" t="str">
        <f t="shared" si="30"/>
        <v/>
      </c>
      <c r="X135" s="18" t="str">
        <f t="shared" si="31"/>
        <v/>
      </c>
      <c r="Y135" s="19" t="str">
        <f>IF(OR(L135="",V135=""),"",IFERROR(INDEX(لیست‌ها!$Q$3:$Q$53,MATCH(V135,لیست‌ها!$P$3:$P$53,0))+IF(W135&lt;=6,(W135-1)*31+X135,IF(W135&lt;=11,186+(W135-7)*30+X135,336+X135))-1,""))</f>
        <v/>
      </c>
      <c r="Z135" s="18" t="str">
        <f t="shared" si="32"/>
        <v/>
      </c>
      <c r="AA135" s="18" t="str">
        <f t="shared" si="33"/>
        <v/>
      </c>
      <c r="AB135" s="18" t="str">
        <f t="shared" si="34"/>
        <v/>
      </c>
      <c r="AC135" s="18" t="str">
        <f>IF(OR(H135="",Z135=""),"",IFERROR(INDEX(لیست‌ها!$Q$3:$Q$53,MATCH(Z135,لیست‌ها!$P$3:$P$53,0))+IF(AA135&lt;=6,(AA135-1)*31+AB135,IF(AA135&lt;=11,186+(AA135-7)*30+AB135,336+AB135))-1,""))</f>
        <v/>
      </c>
      <c r="AD135" s="18" t="str">
        <f t="shared" si="35"/>
        <v/>
      </c>
      <c r="AE135" s="18" t="str">
        <f t="shared" si="36"/>
        <v/>
      </c>
      <c r="AF135" s="18" t="str">
        <f t="shared" si="37"/>
        <v/>
      </c>
      <c r="AG135" s="18" t="str">
        <f>IF(OR(O135="",AD135=""),"",IFERROR(INDEX(لیست‌ها!$Q$3:$Q$53,MATCH(AD135,لیست‌ها!$P$3:$P$53,0))+IF(AE135&lt;=6,(AE135-1)*31+AF135,IF(AE135&lt;=11,186+(AE135-7)*30+AF135,336+AF135))-1,""))</f>
        <v/>
      </c>
      <c r="AH135" s="18" t="str">
        <f t="shared" si="38"/>
        <v/>
      </c>
      <c r="AI135" s="18" t="str">
        <f t="shared" si="39"/>
        <v/>
      </c>
      <c r="AJ135" s="18" t="str">
        <f t="shared" ca="1" si="40"/>
        <v/>
      </c>
    </row>
    <row r="136" spans="1:36">
      <c r="A136" s="18">
        <v>133</v>
      </c>
      <c r="B136" s="15" t="s">
        <v>263</v>
      </c>
      <c r="C136" s="15" t="s">
        <v>68</v>
      </c>
      <c r="D136" s="15" t="s">
        <v>66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8" t="str">
        <f t="shared" ca="1" si="28"/>
        <v/>
      </c>
      <c r="U136" s="18">
        <f t="shared" ca="1" si="41"/>
        <v>0</v>
      </c>
      <c r="V136" s="18" t="str">
        <f t="shared" si="29"/>
        <v/>
      </c>
      <c r="W136" s="18" t="str">
        <f t="shared" si="30"/>
        <v/>
      </c>
      <c r="X136" s="18" t="str">
        <f t="shared" si="31"/>
        <v/>
      </c>
      <c r="Y136" s="19" t="str">
        <f>IF(OR(L136="",V136=""),"",IFERROR(INDEX(لیست‌ها!$Q$3:$Q$53,MATCH(V136,لیست‌ها!$P$3:$P$53,0))+IF(W136&lt;=6,(W136-1)*31+X136,IF(W136&lt;=11,186+(W136-7)*30+X136,336+X136))-1,""))</f>
        <v/>
      </c>
      <c r="Z136" s="18" t="str">
        <f t="shared" si="32"/>
        <v/>
      </c>
      <c r="AA136" s="18" t="str">
        <f t="shared" si="33"/>
        <v/>
      </c>
      <c r="AB136" s="18" t="str">
        <f t="shared" si="34"/>
        <v/>
      </c>
      <c r="AC136" s="18" t="str">
        <f>IF(OR(H136="",Z136=""),"",IFERROR(INDEX(لیست‌ها!$Q$3:$Q$53,MATCH(Z136,لیست‌ها!$P$3:$P$53,0))+IF(AA136&lt;=6,(AA136-1)*31+AB136,IF(AA136&lt;=11,186+(AA136-7)*30+AB136,336+AB136))-1,""))</f>
        <v/>
      </c>
      <c r="AD136" s="18" t="str">
        <f t="shared" si="35"/>
        <v/>
      </c>
      <c r="AE136" s="18" t="str">
        <f t="shared" si="36"/>
        <v/>
      </c>
      <c r="AF136" s="18" t="str">
        <f t="shared" si="37"/>
        <v/>
      </c>
      <c r="AG136" s="18" t="str">
        <f>IF(OR(O136="",AD136=""),"",IFERROR(INDEX(لیست‌ها!$Q$3:$Q$53,MATCH(AD136,لیست‌ها!$P$3:$P$53,0))+IF(AE136&lt;=6,(AE136-1)*31+AF136,IF(AE136&lt;=11,186+(AE136-7)*30+AF136,336+AF136))-1,""))</f>
        <v/>
      </c>
      <c r="AH136" s="18" t="str">
        <f t="shared" si="38"/>
        <v/>
      </c>
      <c r="AI136" s="18" t="str">
        <f t="shared" si="39"/>
        <v/>
      </c>
      <c r="AJ136" s="18" t="str">
        <f t="shared" ca="1" si="40"/>
        <v/>
      </c>
    </row>
    <row r="137" spans="1:36">
      <c r="A137" s="18">
        <v>134</v>
      </c>
      <c r="B137" s="15" t="s">
        <v>264</v>
      </c>
      <c r="C137" s="15" t="s">
        <v>68</v>
      </c>
      <c r="D137" s="15" t="s">
        <v>43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8" t="str">
        <f t="shared" ca="1" si="28"/>
        <v/>
      </c>
      <c r="U137" s="18">
        <f t="shared" ca="1" si="41"/>
        <v>0</v>
      </c>
      <c r="V137" s="18" t="str">
        <f t="shared" si="29"/>
        <v/>
      </c>
      <c r="W137" s="18" t="str">
        <f t="shared" si="30"/>
        <v/>
      </c>
      <c r="X137" s="18" t="str">
        <f t="shared" si="31"/>
        <v/>
      </c>
      <c r="Y137" s="19" t="str">
        <f>IF(OR(L137="",V137=""),"",IFERROR(INDEX(لیست‌ها!$Q$3:$Q$53,MATCH(V137,لیست‌ها!$P$3:$P$53,0))+IF(W137&lt;=6,(W137-1)*31+X137,IF(W137&lt;=11,186+(W137-7)*30+X137,336+X137))-1,""))</f>
        <v/>
      </c>
      <c r="Z137" s="18" t="str">
        <f t="shared" si="32"/>
        <v/>
      </c>
      <c r="AA137" s="18" t="str">
        <f t="shared" si="33"/>
        <v/>
      </c>
      <c r="AB137" s="18" t="str">
        <f t="shared" si="34"/>
        <v/>
      </c>
      <c r="AC137" s="18" t="str">
        <f>IF(OR(H137="",Z137=""),"",IFERROR(INDEX(لیست‌ها!$Q$3:$Q$53,MATCH(Z137,لیست‌ها!$P$3:$P$53,0))+IF(AA137&lt;=6,(AA137-1)*31+AB137,IF(AA137&lt;=11,186+(AA137-7)*30+AB137,336+AB137))-1,""))</f>
        <v/>
      </c>
      <c r="AD137" s="18" t="str">
        <f t="shared" si="35"/>
        <v/>
      </c>
      <c r="AE137" s="18" t="str">
        <f t="shared" si="36"/>
        <v/>
      </c>
      <c r="AF137" s="18" t="str">
        <f t="shared" si="37"/>
        <v/>
      </c>
      <c r="AG137" s="18" t="str">
        <f>IF(OR(O137="",AD137=""),"",IFERROR(INDEX(لیست‌ها!$Q$3:$Q$53,MATCH(AD137,لیست‌ها!$P$3:$P$53,0))+IF(AE137&lt;=6,(AE137-1)*31+AF137,IF(AE137&lt;=11,186+(AE137-7)*30+AF137,336+AF137))-1,""))</f>
        <v/>
      </c>
      <c r="AH137" s="18" t="str">
        <f t="shared" si="38"/>
        <v/>
      </c>
      <c r="AI137" s="18" t="str">
        <f t="shared" si="39"/>
        <v/>
      </c>
      <c r="AJ137" s="18" t="str">
        <f t="shared" ca="1" si="40"/>
        <v/>
      </c>
    </row>
    <row r="138" spans="1:36">
      <c r="A138" s="18">
        <v>135</v>
      </c>
      <c r="B138" s="15" t="s">
        <v>265</v>
      </c>
      <c r="C138" s="15" t="s">
        <v>68</v>
      </c>
      <c r="D138" s="15" t="s">
        <v>66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8" t="str">
        <f t="shared" ca="1" si="28"/>
        <v/>
      </c>
      <c r="U138" s="18">
        <f t="shared" ca="1" si="41"/>
        <v>0</v>
      </c>
      <c r="V138" s="18" t="str">
        <f t="shared" si="29"/>
        <v/>
      </c>
      <c r="W138" s="18" t="str">
        <f t="shared" si="30"/>
        <v/>
      </c>
      <c r="X138" s="18" t="str">
        <f t="shared" si="31"/>
        <v/>
      </c>
      <c r="Y138" s="19" t="str">
        <f>IF(OR(L138="",V138=""),"",IFERROR(INDEX(لیست‌ها!$Q$3:$Q$53,MATCH(V138,لیست‌ها!$P$3:$P$53,0))+IF(W138&lt;=6,(W138-1)*31+X138,IF(W138&lt;=11,186+(W138-7)*30+X138,336+X138))-1,""))</f>
        <v/>
      </c>
      <c r="Z138" s="18" t="str">
        <f t="shared" si="32"/>
        <v/>
      </c>
      <c r="AA138" s="18" t="str">
        <f t="shared" si="33"/>
        <v/>
      </c>
      <c r="AB138" s="18" t="str">
        <f t="shared" si="34"/>
        <v/>
      </c>
      <c r="AC138" s="18" t="str">
        <f>IF(OR(H138="",Z138=""),"",IFERROR(INDEX(لیست‌ها!$Q$3:$Q$53,MATCH(Z138,لیست‌ها!$P$3:$P$53,0))+IF(AA138&lt;=6,(AA138-1)*31+AB138,IF(AA138&lt;=11,186+(AA138-7)*30+AB138,336+AB138))-1,""))</f>
        <v/>
      </c>
      <c r="AD138" s="18" t="str">
        <f t="shared" si="35"/>
        <v/>
      </c>
      <c r="AE138" s="18" t="str">
        <f t="shared" si="36"/>
        <v/>
      </c>
      <c r="AF138" s="18" t="str">
        <f t="shared" si="37"/>
        <v/>
      </c>
      <c r="AG138" s="18" t="str">
        <f>IF(OR(O138="",AD138=""),"",IFERROR(INDEX(لیست‌ها!$Q$3:$Q$53,MATCH(AD138,لیست‌ها!$P$3:$P$53,0))+IF(AE138&lt;=6,(AE138-1)*31+AF138,IF(AE138&lt;=11,186+(AE138-7)*30+AF138,336+AF138))-1,""))</f>
        <v/>
      </c>
      <c r="AH138" s="18" t="str">
        <f t="shared" si="38"/>
        <v/>
      </c>
      <c r="AI138" s="18" t="str">
        <f t="shared" si="39"/>
        <v/>
      </c>
      <c r="AJ138" s="18" t="str">
        <f t="shared" ca="1" si="40"/>
        <v/>
      </c>
    </row>
    <row r="139" spans="1:36">
      <c r="A139" s="18">
        <v>136</v>
      </c>
      <c r="B139" s="15" t="s">
        <v>266</v>
      </c>
      <c r="C139" s="15" t="s">
        <v>68</v>
      </c>
      <c r="D139" s="15" t="s">
        <v>66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8" t="str">
        <f t="shared" ca="1" si="28"/>
        <v/>
      </c>
      <c r="U139" s="18">
        <f t="shared" ca="1" si="41"/>
        <v>0</v>
      </c>
      <c r="V139" s="18" t="str">
        <f t="shared" si="29"/>
        <v/>
      </c>
      <c r="W139" s="18" t="str">
        <f t="shared" si="30"/>
        <v/>
      </c>
      <c r="X139" s="18" t="str">
        <f t="shared" si="31"/>
        <v/>
      </c>
      <c r="Y139" s="19" t="str">
        <f>IF(OR(L139="",V139=""),"",IFERROR(INDEX(لیست‌ها!$Q$3:$Q$53,MATCH(V139,لیست‌ها!$P$3:$P$53,0))+IF(W139&lt;=6,(W139-1)*31+X139,IF(W139&lt;=11,186+(W139-7)*30+X139,336+X139))-1,""))</f>
        <v/>
      </c>
      <c r="Z139" s="18" t="str">
        <f t="shared" si="32"/>
        <v/>
      </c>
      <c r="AA139" s="18" t="str">
        <f t="shared" si="33"/>
        <v/>
      </c>
      <c r="AB139" s="18" t="str">
        <f t="shared" si="34"/>
        <v/>
      </c>
      <c r="AC139" s="18" t="str">
        <f>IF(OR(H139="",Z139=""),"",IFERROR(INDEX(لیست‌ها!$Q$3:$Q$53,MATCH(Z139,لیست‌ها!$P$3:$P$53,0))+IF(AA139&lt;=6,(AA139-1)*31+AB139,IF(AA139&lt;=11,186+(AA139-7)*30+AB139,336+AB139))-1,""))</f>
        <v/>
      </c>
      <c r="AD139" s="18" t="str">
        <f t="shared" si="35"/>
        <v/>
      </c>
      <c r="AE139" s="18" t="str">
        <f t="shared" si="36"/>
        <v/>
      </c>
      <c r="AF139" s="18" t="str">
        <f t="shared" si="37"/>
        <v/>
      </c>
      <c r="AG139" s="18" t="str">
        <f>IF(OR(O139="",AD139=""),"",IFERROR(INDEX(لیست‌ها!$Q$3:$Q$53,MATCH(AD139,لیست‌ها!$P$3:$P$53,0))+IF(AE139&lt;=6,(AE139-1)*31+AF139,IF(AE139&lt;=11,186+(AE139-7)*30+AF139,336+AF139))-1,""))</f>
        <v/>
      </c>
      <c r="AH139" s="18" t="str">
        <f t="shared" si="38"/>
        <v/>
      </c>
      <c r="AI139" s="18" t="str">
        <f t="shared" si="39"/>
        <v/>
      </c>
      <c r="AJ139" s="18" t="str">
        <f t="shared" ca="1" si="40"/>
        <v/>
      </c>
    </row>
    <row r="140" spans="1:36">
      <c r="A140" s="18">
        <v>137</v>
      </c>
      <c r="B140" s="15" t="s">
        <v>267</v>
      </c>
      <c r="C140" s="15" t="s">
        <v>68</v>
      </c>
      <c r="D140" s="15" t="s">
        <v>66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8" t="str">
        <f t="shared" ca="1" si="28"/>
        <v/>
      </c>
      <c r="U140" s="18">
        <f t="shared" ca="1" si="41"/>
        <v>0</v>
      </c>
      <c r="V140" s="18" t="str">
        <f t="shared" si="29"/>
        <v/>
      </c>
      <c r="W140" s="18" t="str">
        <f t="shared" si="30"/>
        <v/>
      </c>
      <c r="X140" s="18" t="str">
        <f t="shared" si="31"/>
        <v/>
      </c>
      <c r="Y140" s="19" t="str">
        <f>IF(OR(L140="",V140=""),"",IFERROR(INDEX(لیست‌ها!$Q$3:$Q$53,MATCH(V140,لیست‌ها!$P$3:$P$53,0))+IF(W140&lt;=6,(W140-1)*31+X140,IF(W140&lt;=11,186+(W140-7)*30+X140,336+X140))-1,""))</f>
        <v/>
      </c>
      <c r="Z140" s="18" t="str">
        <f t="shared" si="32"/>
        <v/>
      </c>
      <c r="AA140" s="18" t="str">
        <f t="shared" si="33"/>
        <v/>
      </c>
      <c r="AB140" s="18" t="str">
        <f t="shared" si="34"/>
        <v/>
      </c>
      <c r="AC140" s="18" t="str">
        <f>IF(OR(H140="",Z140=""),"",IFERROR(INDEX(لیست‌ها!$Q$3:$Q$53,MATCH(Z140,لیست‌ها!$P$3:$P$53,0))+IF(AA140&lt;=6,(AA140-1)*31+AB140,IF(AA140&lt;=11,186+(AA140-7)*30+AB140,336+AB140))-1,""))</f>
        <v/>
      </c>
      <c r="AD140" s="18" t="str">
        <f t="shared" si="35"/>
        <v/>
      </c>
      <c r="AE140" s="18" t="str">
        <f t="shared" si="36"/>
        <v/>
      </c>
      <c r="AF140" s="18" t="str">
        <f t="shared" si="37"/>
        <v/>
      </c>
      <c r="AG140" s="18" t="str">
        <f>IF(OR(O140="",AD140=""),"",IFERROR(INDEX(لیست‌ها!$Q$3:$Q$53,MATCH(AD140,لیست‌ها!$P$3:$P$53,0))+IF(AE140&lt;=6,(AE140-1)*31+AF140,IF(AE140&lt;=11,186+(AE140-7)*30+AF140,336+AF140))-1,""))</f>
        <v/>
      </c>
      <c r="AH140" s="18" t="str">
        <f t="shared" si="38"/>
        <v/>
      </c>
      <c r="AI140" s="18" t="str">
        <f t="shared" si="39"/>
        <v/>
      </c>
      <c r="AJ140" s="18" t="str">
        <f t="shared" ca="1" si="40"/>
        <v/>
      </c>
    </row>
    <row r="141" spans="1:36">
      <c r="A141" s="18">
        <v>138</v>
      </c>
      <c r="B141" s="15" t="s">
        <v>268</v>
      </c>
      <c r="C141" s="15" t="s">
        <v>68</v>
      </c>
      <c r="D141" s="15" t="s">
        <v>66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8" t="str">
        <f t="shared" ca="1" si="28"/>
        <v/>
      </c>
      <c r="U141" s="18">
        <f t="shared" ca="1" si="41"/>
        <v>0</v>
      </c>
      <c r="V141" s="18" t="str">
        <f t="shared" si="29"/>
        <v/>
      </c>
      <c r="W141" s="18" t="str">
        <f t="shared" si="30"/>
        <v/>
      </c>
      <c r="X141" s="18" t="str">
        <f t="shared" si="31"/>
        <v/>
      </c>
      <c r="Y141" s="19" t="str">
        <f>IF(OR(L141="",V141=""),"",IFERROR(INDEX(لیست‌ها!$Q$3:$Q$53,MATCH(V141,لیست‌ها!$P$3:$P$53,0))+IF(W141&lt;=6,(W141-1)*31+X141,IF(W141&lt;=11,186+(W141-7)*30+X141,336+X141))-1,""))</f>
        <v/>
      </c>
      <c r="Z141" s="18" t="str">
        <f t="shared" si="32"/>
        <v/>
      </c>
      <c r="AA141" s="18" t="str">
        <f t="shared" si="33"/>
        <v/>
      </c>
      <c r="AB141" s="18" t="str">
        <f t="shared" si="34"/>
        <v/>
      </c>
      <c r="AC141" s="18" t="str">
        <f>IF(OR(H141="",Z141=""),"",IFERROR(INDEX(لیست‌ها!$Q$3:$Q$53,MATCH(Z141,لیست‌ها!$P$3:$P$53,0))+IF(AA141&lt;=6,(AA141-1)*31+AB141,IF(AA141&lt;=11,186+(AA141-7)*30+AB141,336+AB141))-1,""))</f>
        <v/>
      </c>
      <c r="AD141" s="18" t="str">
        <f t="shared" si="35"/>
        <v/>
      </c>
      <c r="AE141" s="18" t="str">
        <f t="shared" si="36"/>
        <v/>
      </c>
      <c r="AF141" s="18" t="str">
        <f t="shared" si="37"/>
        <v/>
      </c>
      <c r="AG141" s="18" t="str">
        <f>IF(OR(O141="",AD141=""),"",IFERROR(INDEX(لیست‌ها!$Q$3:$Q$53,MATCH(AD141,لیست‌ها!$P$3:$P$53,0))+IF(AE141&lt;=6,(AE141-1)*31+AF141,IF(AE141&lt;=11,186+(AE141-7)*30+AF141,336+AF141))-1,""))</f>
        <v/>
      </c>
      <c r="AH141" s="18" t="str">
        <f t="shared" si="38"/>
        <v/>
      </c>
      <c r="AI141" s="18" t="str">
        <f t="shared" si="39"/>
        <v/>
      </c>
      <c r="AJ141" s="18" t="str">
        <f t="shared" ca="1" si="40"/>
        <v/>
      </c>
    </row>
    <row r="142" spans="1:36">
      <c r="A142" s="18">
        <v>139</v>
      </c>
      <c r="B142" s="15" t="s">
        <v>269</v>
      </c>
      <c r="C142" s="15" t="s">
        <v>68</v>
      </c>
      <c r="D142" s="15" t="s">
        <v>66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8" t="str">
        <f t="shared" ca="1" si="28"/>
        <v/>
      </c>
      <c r="U142" s="18">
        <f t="shared" ca="1" si="41"/>
        <v>0</v>
      </c>
      <c r="V142" s="18" t="str">
        <f t="shared" si="29"/>
        <v/>
      </c>
      <c r="W142" s="18" t="str">
        <f t="shared" si="30"/>
        <v/>
      </c>
      <c r="X142" s="18" t="str">
        <f t="shared" si="31"/>
        <v/>
      </c>
      <c r="Y142" s="19" t="str">
        <f>IF(OR(L142="",V142=""),"",IFERROR(INDEX(لیست‌ها!$Q$3:$Q$53,MATCH(V142,لیست‌ها!$P$3:$P$53,0))+IF(W142&lt;=6,(W142-1)*31+X142,IF(W142&lt;=11,186+(W142-7)*30+X142,336+X142))-1,""))</f>
        <v/>
      </c>
      <c r="Z142" s="18" t="str">
        <f t="shared" si="32"/>
        <v/>
      </c>
      <c r="AA142" s="18" t="str">
        <f t="shared" si="33"/>
        <v/>
      </c>
      <c r="AB142" s="18" t="str">
        <f t="shared" si="34"/>
        <v/>
      </c>
      <c r="AC142" s="18" t="str">
        <f>IF(OR(H142="",Z142=""),"",IFERROR(INDEX(لیست‌ها!$Q$3:$Q$53,MATCH(Z142,لیست‌ها!$P$3:$P$53,0))+IF(AA142&lt;=6,(AA142-1)*31+AB142,IF(AA142&lt;=11,186+(AA142-7)*30+AB142,336+AB142))-1,""))</f>
        <v/>
      </c>
      <c r="AD142" s="18" t="str">
        <f t="shared" si="35"/>
        <v/>
      </c>
      <c r="AE142" s="18" t="str">
        <f t="shared" si="36"/>
        <v/>
      </c>
      <c r="AF142" s="18" t="str">
        <f t="shared" si="37"/>
        <v/>
      </c>
      <c r="AG142" s="18" t="str">
        <f>IF(OR(O142="",AD142=""),"",IFERROR(INDEX(لیست‌ها!$Q$3:$Q$53,MATCH(AD142,لیست‌ها!$P$3:$P$53,0))+IF(AE142&lt;=6,(AE142-1)*31+AF142,IF(AE142&lt;=11,186+(AE142-7)*30+AF142,336+AF142))-1,""))</f>
        <v/>
      </c>
      <c r="AH142" s="18" t="str">
        <f t="shared" si="38"/>
        <v/>
      </c>
      <c r="AI142" s="18" t="str">
        <f t="shared" si="39"/>
        <v/>
      </c>
      <c r="AJ142" s="18" t="str">
        <f t="shared" ca="1" si="40"/>
        <v/>
      </c>
    </row>
    <row r="143" spans="1:36">
      <c r="A143" s="18">
        <v>140</v>
      </c>
      <c r="B143" s="15" t="s">
        <v>270</v>
      </c>
      <c r="C143" s="15" t="s">
        <v>68</v>
      </c>
      <c r="D143" s="15" t="s">
        <v>66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8" t="str">
        <f t="shared" ca="1" si="28"/>
        <v/>
      </c>
      <c r="U143" s="18">
        <f t="shared" ca="1" si="41"/>
        <v>0</v>
      </c>
      <c r="V143" s="18" t="str">
        <f t="shared" si="29"/>
        <v/>
      </c>
      <c r="W143" s="18" t="str">
        <f t="shared" si="30"/>
        <v/>
      </c>
      <c r="X143" s="18" t="str">
        <f t="shared" si="31"/>
        <v/>
      </c>
      <c r="Y143" s="19" t="str">
        <f>IF(OR(L143="",V143=""),"",IFERROR(INDEX(لیست‌ها!$Q$3:$Q$53,MATCH(V143,لیست‌ها!$P$3:$P$53,0))+IF(W143&lt;=6,(W143-1)*31+X143,IF(W143&lt;=11,186+(W143-7)*30+X143,336+X143))-1,""))</f>
        <v/>
      </c>
      <c r="Z143" s="18" t="str">
        <f t="shared" si="32"/>
        <v/>
      </c>
      <c r="AA143" s="18" t="str">
        <f t="shared" si="33"/>
        <v/>
      </c>
      <c r="AB143" s="18" t="str">
        <f t="shared" si="34"/>
        <v/>
      </c>
      <c r="AC143" s="18" t="str">
        <f>IF(OR(H143="",Z143=""),"",IFERROR(INDEX(لیست‌ها!$Q$3:$Q$53,MATCH(Z143,لیست‌ها!$P$3:$P$53,0))+IF(AA143&lt;=6,(AA143-1)*31+AB143,IF(AA143&lt;=11,186+(AA143-7)*30+AB143,336+AB143))-1,""))</f>
        <v/>
      </c>
      <c r="AD143" s="18" t="str">
        <f t="shared" si="35"/>
        <v/>
      </c>
      <c r="AE143" s="18" t="str">
        <f t="shared" si="36"/>
        <v/>
      </c>
      <c r="AF143" s="18" t="str">
        <f t="shared" si="37"/>
        <v/>
      </c>
      <c r="AG143" s="18" t="str">
        <f>IF(OR(O143="",AD143=""),"",IFERROR(INDEX(لیست‌ها!$Q$3:$Q$53,MATCH(AD143,لیست‌ها!$P$3:$P$53,0))+IF(AE143&lt;=6,(AE143-1)*31+AF143,IF(AE143&lt;=11,186+(AE143-7)*30+AF143,336+AF143))-1,""))</f>
        <v/>
      </c>
      <c r="AH143" s="18" t="str">
        <f t="shared" si="38"/>
        <v/>
      </c>
      <c r="AI143" s="18" t="str">
        <f t="shared" si="39"/>
        <v/>
      </c>
      <c r="AJ143" s="18" t="str">
        <f t="shared" ca="1" si="40"/>
        <v/>
      </c>
    </row>
    <row r="144" spans="1:36">
      <c r="A144" s="18">
        <v>141</v>
      </c>
      <c r="B144" s="15" t="s">
        <v>271</v>
      </c>
      <c r="C144" s="15" t="s">
        <v>36</v>
      </c>
      <c r="D144" s="15" t="s">
        <v>43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8" t="str">
        <f t="shared" ca="1" si="28"/>
        <v/>
      </c>
      <c r="U144" s="18">
        <f t="shared" ca="1" si="41"/>
        <v>0</v>
      </c>
      <c r="V144" s="18" t="str">
        <f t="shared" si="29"/>
        <v/>
      </c>
      <c r="W144" s="18" t="str">
        <f t="shared" si="30"/>
        <v/>
      </c>
      <c r="X144" s="18" t="str">
        <f t="shared" si="31"/>
        <v/>
      </c>
      <c r="Y144" s="19" t="str">
        <f>IF(OR(L144="",V144=""),"",IFERROR(INDEX(لیست‌ها!$Q$3:$Q$53,MATCH(V144,لیست‌ها!$P$3:$P$53,0))+IF(W144&lt;=6,(W144-1)*31+X144,IF(W144&lt;=11,186+(W144-7)*30+X144,336+X144))-1,""))</f>
        <v/>
      </c>
      <c r="Z144" s="18" t="str">
        <f t="shared" si="32"/>
        <v/>
      </c>
      <c r="AA144" s="18" t="str">
        <f t="shared" si="33"/>
        <v/>
      </c>
      <c r="AB144" s="18" t="str">
        <f t="shared" si="34"/>
        <v/>
      </c>
      <c r="AC144" s="18" t="str">
        <f>IF(OR(H144="",Z144=""),"",IFERROR(INDEX(لیست‌ها!$Q$3:$Q$53,MATCH(Z144,لیست‌ها!$P$3:$P$53,0))+IF(AA144&lt;=6,(AA144-1)*31+AB144,IF(AA144&lt;=11,186+(AA144-7)*30+AB144,336+AB144))-1,""))</f>
        <v/>
      </c>
      <c r="AD144" s="18" t="str">
        <f t="shared" si="35"/>
        <v/>
      </c>
      <c r="AE144" s="18" t="str">
        <f t="shared" si="36"/>
        <v/>
      </c>
      <c r="AF144" s="18" t="str">
        <f t="shared" si="37"/>
        <v/>
      </c>
      <c r="AG144" s="18" t="str">
        <f>IF(OR(O144="",AD144=""),"",IFERROR(INDEX(لیست‌ها!$Q$3:$Q$53,MATCH(AD144,لیست‌ها!$P$3:$P$53,0))+IF(AE144&lt;=6,(AE144-1)*31+AF144,IF(AE144&lt;=11,186+(AE144-7)*30+AF144,336+AF144))-1,""))</f>
        <v/>
      </c>
      <c r="AH144" s="18" t="str">
        <f t="shared" si="38"/>
        <v/>
      </c>
      <c r="AI144" s="18" t="str">
        <f t="shared" si="39"/>
        <v/>
      </c>
      <c r="AJ144" s="18" t="str">
        <f t="shared" ca="1" si="40"/>
        <v/>
      </c>
    </row>
    <row r="145" spans="1:36">
      <c r="A145" s="18">
        <v>142</v>
      </c>
      <c r="B145" s="15" t="s">
        <v>272</v>
      </c>
      <c r="C145" s="15" t="s">
        <v>36</v>
      </c>
      <c r="D145" s="15" t="s">
        <v>43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8" t="str">
        <f t="shared" ca="1" si="28"/>
        <v/>
      </c>
      <c r="U145" s="18">
        <f t="shared" ca="1" si="41"/>
        <v>0</v>
      </c>
      <c r="V145" s="18" t="str">
        <f t="shared" si="29"/>
        <v/>
      </c>
      <c r="W145" s="18" t="str">
        <f t="shared" si="30"/>
        <v/>
      </c>
      <c r="X145" s="18" t="str">
        <f t="shared" si="31"/>
        <v/>
      </c>
      <c r="Y145" s="19" t="str">
        <f>IF(OR(L145="",V145=""),"",IFERROR(INDEX(لیست‌ها!$Q$3:$Q$53,MATCH(V145,لیست‌ها!$P$3:$P$53,0))+IF(W145&lt;=6,(W145-1)*31+X145,IF(W145&lt;=11,186+(W145-7)*30+X145,336+X145))-1,""))</f>
        <v/>
      </c>
      <c r="Z145" s="18" t="str">
        <f t="shared" si="32"/>
        <v/>
      </c>
      <c r="AA145" s="18" t="str">
        <f t="shared" si="33"/>
        <v/>
      </c>
      <c r="AB145" s="18" t="str">
        <f t="shared" si="34"/>
        <v/>
      </c>
      <c r="AC145" s="18" t="str">
        <f>IF(OR(H145="",Z145=""),"",IFERROR(INDEX(لیست‌ها!$Q$3:$Q$53,MATCH(Z145,لیست‌ها!$P$3:$P$53,0))+IF(AA145&lt;=6,(AA145-1)*31+AB145,IF(AA145&lt;=11,186+(AA145-7)*30+AB145,336+AB145))-1,""))</f>
        <v/>
      </c>
      <c r="AD145" s="18" t="str">
        <f t="shared" si="35"/>
        <v/>
      </c>
      <c r="AE145" s="18" t="str">
        <f t="shared" si="36"/>
        <v/>
      </c>
      <c r="AF145" s="18" t="str">
        <f t="shared" si="37"/>
        <v/>
      </c>
      <c r="AG145" s="18" t="str">
        <f>IF(OR(O145="",AD145=""),"",IFERROR(INDEX(لیست‌ها!$Q$3:$Q$53,MATCH(AD145,لیست‌ها!$P$3:$P$53,0))+IF(AE145&lt;=6,(AE145-1)*31+AF145,IF(AE145&lt;=11,186+(AE145-7)*30+AF145,336+AF145))-1,""))</f>
        <v/>
      </c>
      <c r="AH145" s="18" t="str">
        <f t="shared" si="38"/>
        <v/>
      </c>
      <c r="AI145" s="18" t="str">
        <f t="shared" si="39"/>
        <v/>
      </c>
      <c r="AJ145" s="18" t="str">
        <f t="shared" ca="1" si="40"/>
        <v/>
      </c>
    </row>
    <row r="146" spans="1:36">
      <c r="A146" s="18">
        <v>143</v>
      </c>
      <c r="B146" s="15" t="s">
        <v>273</v>
      </c>
      <c r="C146" s="15" t="s">
        <v>36</v>
      </c>
      <c r="D146" s="15" t="s">
        <v>43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8" t="str">
        <f t="shared" ca="1" si="28"/>
        <v/>
      </c>
      <c r="U146" s="18">
        <f t="shared" ca="1" si="41"/>
        <v>0</v>
      </c>
      <c r="V146" s="18" t="str">
        <f t="shared" si="29"/>
        <v/>
      </c>
      <c r="W146" s="18" t="str">
        <f t="shared" si="30"/>
        <v/>
      </c>
      <c r="X146" s="18" t="str">
        <f t="shared" si="31"/>
        <v/>
      </c>
      <c r="Y146" s="19" t="str">
        <f>IF(OR(L146="",V146=""),"",IFERROR(INDEX(لیست‌ها!$Q$3:$Q$53,MATCH(V146,لیست‌ها!$P$3:$P$53,0))+IF(W146&lt;=6,(W146-1)*31+X146,IF(W146&lt;=11,186+(W146-7)*30+X146,336+X146))-1,""))</f>
        <v/>
      </c>
      <c r="Z146" s="18" t="str">
        <f t="shared" si="32"/>
        <v/>
      </c>
      <c r="AA146" s="18" t="str">
        <f t="shared" si="33"/>
        <v/>
      </c>
      <c r="AB146" s="18" t="str">
        <f t="shared" si="34"/>
        <v/>
      </c>
      <c r="AC146" s="18" t="str">
        <f>IF(OR(H146="",Z146=""),"",IFERROR(INDEX(لیست‌ها!$Q$3:$Q$53,MATCH(Z146,لیست‌ها!$P$3:$P$53,0))+IF(AA146&lt;=6,(AA146-1)*31+AB146,IF(AA146&lt;=11,186+(AA146-7)*30+AB146,336+AB146))-1,""))</f>
        <v/>
      </c>
      <c r="AD146" s="18" t="str">
        <f t="shared" si="35"/>
        <v/>
      </c>
      <c r="AE146" s="18" t="str">
        <f t="shared" si="36"/>
        <v/>
      </c>
      <c r="AF146" s="18" t="str">
        <f t="shared" si="37"/>
        <v/>
      </c>
      <c r="AG146" s="18" t="str">
        <f>IF(OR(O146="",AD146=""),"",IFERROR(INDEX(لیست‌ها!$Q$3:$Q$53,MATCH(AD146,لیست‌ها!$P$3:$P$53,0))+IF(AE146&lt;=6,(AE146-1)*31+AF146,IF(AE146&lt;=11,186+(AE146-7)*30+AF146,336+AF146))-1,""))</f>
        <v/>
      </c>
      <c r="AH146" s="18" t="str">
        <f t="shared" si="38"/>
        <v/>
      </c>
      <c r="AI146" s="18" t="str">
        <f t="shared" si="39"/>
        <v/>
      </c>
      <c r="AJ146" s="18" t="str">
        <f t="shared" ca="1" si="40"/>
        <v/>
      </c>
    </row>
    <row r="147" spans="1:36">
      <c r="A147" s="18">
        <v>144</v>
      </c>
      <c r="B147" s="15" t="s">
        <v>274</v>
      </c>
      <c r="C147" s="15" t="s">
        <v>36</v>
      </c>
      <c r="D147" s="15" t="s">
        <v>37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8" t="str">
        <f t="shared" ca="1" si="28"/>
        <v/>
      </c>
      <c r="U147" s="18">
        <f t="shared" ca="1" si="41"/>
        <v>0</v>
      </c>
      <c r="V147" s="18" t="str">
        <f t="shared" si="29"/>
        <v/>
      </c>
      <c r="W147" s="18" t="str">
        <f t="shared" si="30"/>
        <v/>
      </c>
      <c r="X147" s="18" t="str">
        <f t="shared" si="31"/>
        <v/>
      </c>
      <c r="Y147" s="19" t="str">
        <f>IF(OR(L147="",V147=""),"",IFERROR(INDEX(لیست‌ها!$Q$3:$Q$53,MATCH(V147,لیست‌ها!$P$3:$P$53,0))+IF(W147&lt;=6,(W147-1)*31+X147,IF(W147&lt;=11,186+(W147-7)*30+X147,336+X147))-1,""))</f>
        <v/>
      </c>
      <c r="Z147" s="18" t="str">
        <f t="shared" si="32"/>
        <v/>
      </c>
      <c r="AA147" s="18" t="str">
        <f t="shared" si="33"/>
        <v/>
      </c>
      <c r="AB147" s="18" t="str">
        <f t="shared" si="34"/>
        <v/>
      </c>
      <c r="AC147" s="18" t="str">
        <f>IF(OR(H147="",Z147=""),"",IFERROR(INDEX(لیست‌ها!$Q$3:$Q$53,MATCH(Z147,لیست‌ها!$P$3:$P$53,0))+IF(AA147&lt;=6,(AA147-1)*31+AB147,IF(AA147&lt;=11,186+(AA147-7)*30+AB147,336+AB147))-1,""))</f>
        <v/>
      </c>
      <c r="AD147" s="18" t="str">
        <f t="shared" si="35"/>
        <v/>
      </c>
      <c r="AE147" s="18" t="str">
        <f t="shared" si="36"/>
        <v/>
      </c>
      <c r="AF147" s="18" t="str">
        <f t="shared" si="37"/>
        <v/>
      </c>
      <c r="AG147" s="18" t="str">
        <f>IF(OR(O147="",AD147=""),"",IFERROR(INDEX(لیست‌ها!$Q$3:$Q$53,MATCH(AD147,لیست‌ها!$P$3:$P$53,0))+IF(AE147&lt;=6,(AE147-1)*31+AF147,IF(AE147&lt;=11,186+(AE147-7)*30+AF147,336+AF147))-1,""))</f>
        <v/>
      </c>
      <c r="AH147" s="18" t="str">
        <f t="shared" si="38"/>
        <v/>
      </c>
      <c r="AI147" s="18" t="str">
        <f t="shared" si="39"/>
        <v/>
      </c>
      <c r="AJ147" s="18" t="str">
        <f t="shared" ca="1" si="40"/>
        <v/>
      </c>
    </row>
    <row r="148" spans="1:36">
      <c r="A148" s="18">
        <v>145</v>
      </c>
      <c r="B148" s="15" t="s">
        <v>275</v>
      </c>
      <c r="C148" s="15" t="s">
        <v>36</v>
      </c>
      <c r="D148" s="15" t="s">
        <v>37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8" t="str">
        <f t="shared" ca="1" si="28"/>
        <v/>
      </c>
      <c r="U148" s="18">
        <f t="shared" ca="1" si="41"/>
        <v>0</v>
      </c>
      <c r="V148" s="18" t="str">
        <f t="shared" si="29"/>
        <v/>
      </c>
      <c r="W148" s="18" t="str">
        <f t="shared" si="30"/>
        <v/>
      </c>
      <c r="X148" s="18" t="str">
        <f t="shared" si="31"/>
        <v/>
      </c>
      <c r="Y148" s="19" t="str">
        <f>IF(OR(L148="",V148=""),"",IFERROR(INDEX(لیست‌ها!$Q$3:$Q$53,MATCH(V148,لیست‌ها!$P$3:$P$53,0))+IF(W148&lt;=6,(W148-1)*31+X148,IF(W148&lt;=11,186+(W148-7)*30+X148,336+X148))-1,""))</f>
        <v/>
      </c>
      <c r="Z148" s="18" t="str">
        <f t="shared" si="32"/>
        <v/>
      </c>
      <c r="AA148" s="18" t="str">
        <f t="shared" si="33"/>
        <v/>
      </c>
      <c r="AB148" s="18" t="str">
        <f t="shared" si="34"/>
        <v/>
      </c>
      <c r="AC148" s="18" t="str">
        <f>IF(OR(H148="",Z148=""),"",IFERROR(INDEX(لیست‌ها!$Q$3:$Q$53,MATCH(Z148,لیست‌ها!$P$3:$P$53,0))+IF(AA148&lt;=6,(AA148-1)*31+AB148,IF(AA148&lt;=11,186+(AA148-7)*30+AB148,336+AB148))-1,""))</f>
        <v/>
      </c>
      <c r="AD148" s="18" t="str">
        <f t="shared" si="35"/>
        <v/>
      </c>
      <c r="AE148" s="18" t="str">
        <f t="shared" si="36"/>
        <v/>
      </c>
      <c r="AF148" s="18" t="str">
        <f t="shared" si="37"/>
        <v/>
      </c>
      <c r="AG148" s="18" t="str">
        <f>IF(OR(O148="",AD148=""),"",IFERROR(INDEX(لیست‌ها!$Q$3:$Q$53,MATCH(AD148,لیست‌ها!$P$3:$P$53,0))+IF(AE148&lt;=6,(AE148-1)*31+AF148,IF(AE148&lt;=11,186+(AE148-7)*30+AF148,336+AF148))-1,""))</f>
        <v/>
      </c>
      <c r="AH148" s="18" t="str">
        <f t="shared" si="38"/>
        <v/>
      </c>
      <c r="AI148" s="18" t="str">
        <f t="shared" si="39"/>
        <v/>
      </c>
      <c r="AJ148" s="18" t="str">
        <f t="shared" ca="1" si="40"/>
        <v/>
      </c>
    </row>
    <row r="149" spans="1:36">
      <c r="A149" s="18">
        <v>146</v>
      </c>
      <c r="B149" s="15" t="s">
        <v>276</v>
      </c>
      <c r="C149" s="15" t="s">
        <v>36</v>
      </c>
      <c r="D149" s="15" t="s">
        <v>37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8" t="str">
        <f t="shared" ca="1" si="28"/>
        <v/>
      </c>
      <c r="U149" s="18">
        <f t="shared" ca="1" si="41"/>
        <v>0</v>
      </c>
      <c r="V149" s="18" t="str">
        <f t="shared" si="29"/>
        <v/>
      </c>
      <c r="W149" s="18" t="str">
        <f t="shared" si="30"/>
        <v/>
      </c>
      <c r="X149" s="18" t="str">
        <f t="shared" si="31"/>
        <v/>
      </c>
      <c r="Y149" s="19" t="str">
        <f>IF(OR(L149="",V149=""),"",IFERROR(INDEX(لیست‌ها!$Q$3:$Q$53,MATCH(V149,لیست‌ها!$P$3:$P$53,0))+IF(W149&lt;=6,(W149-1)*31+X149,IF(W149&lt;=11,186+(W149-7)*30+X149,336+X149))-1,""))</f>
        <v/>
      </c>
      <c r="Z149" s="18" t="str">
        <f t="shared" si="32"/>
        <v/>
      </c>
      <c r="AA149" s="18" t="str">
        <f t="shared" si="33"/>
        <v/>
      </c>
      <c r="AB149" s="18" t="str">
        <f t="shared" si="34"/>
        <v/>
      </c>
      <c r="AC149" s="18" t="str">
        <f>IF(OR(H149="",Z149=""),"",IFERROR(INDEX(لیست‌ها!$Q$3:$Q$53,MATCH(Z149,لیست‌ها!$P$3:$P$53,0))+IF(AA149&lt;=6,(AA149-1)*31+AB149,IF(AA149&lt;=11,186+(AA149-7)*30+AB149,336+AB149))-1,""))</f>
        <v/>
      </c>
      <c r="AD149" s="18" t="str">
        <f t="shared" si="35"/>
        <v/>
      </c>
      <c r="AE149" s="18" t="str">
        <f t="shared" si="36"/>
        <v/>
      </c>
      <c r="AF149" s="18" t="str">
        <f t="shared" si="37"/>
        <v/>
      </c>
      <c r="AG149" s="18" t="str">
        <f>IF(OR(O149="",AD149=""),"",IFERROR(INDEX(لیست‌ها!$Q$3:$Q$53,MATCH(AD149,لیست‌ها!$P$3:$P$53,0))+IF(AE149&lt;=6,(AE149-1)*31+AF149,IF(AE149&lt;=11,186+(AE149-7)*30+AF149,336+AF149))-1,""))</f>
        <v/>
      </c>
      <c r="AH149" s="18" t="str">
        <f t="shared" si="38"/>
        <v/>
      </c>
      <c r="AI149" s="18" t="str">
        <f t="shared" si="39"/>
        <v/>
      </c>
      <c r="AJ149" s="18" t="str">
        <f t="shared" ca="1" si="40"/>
        <v/>
      </c>
    </row>
    <row r="150" spans="1:36">
      <c r="A150" s="18">
        <v>147</v>
      </c>
      <c r="B150" s="15" t="s">
        <v>277</v>
      </c>
      <c r="C150" s="15" t="s">
        <v>36</v>
      </c>
      <c r="D150" s="15" t="s">
        <v>37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8" t="str">
        <f t="shared" ca="1" si="28"/>
        <v/>
      </c>
      <c r="U150" s="18">
        <f t="shared" ca="1" si="41"/>
        <v>0</v>
      </c>
      <c r="V150" s="18" t="str">
        <f t="shared" si="29"/>
        <v/>
      </c>
      <c r="W150" s="18" t="str">
        <f t="shared" si="30"/>
        <v/>
      </c>
      <c r="X150" s="18" t="str">
        <f t="shared" si="31"/>
        <v/>
      </c>
      <c r="Y150" s="19" t="str">
        <f>IF(OR(L150="",V150=""),"",IFERROR(INDEX(لیست‌ها!$Q$3:$Q$53,MATCH(V150,لیست‌ها!$P$3:$P$53,0))+IF(W150&lt;=6,(W150-1)*31+X150,IF(W150&lt;=11,186+(W150-7)*30+X150,336+X150))-1,""))</f>
        <v/>
      </c>
      <c r="Z150" s="18" t="str">
        <f t="shared" si="32"/>
        <v/>
      </c>
      <c r="AA150" s="18" t="str">
        <f t="shared" si="33"/>
        <v/>
      </c>
      <c r="AB150" s="18" t="str">
        <f t="shared" si="34"/>
        <v/>
      </c>
      <c r="AC150" s="18" t="str">
        <f>IF(OR(H150="",Z150=""),"",IFERROR(INDEX(لیست‌ها!$Q$3:$Q$53,MATCH(Z150,لیست‌ها!$P$3:$P$53,0))+IF(AA150&lt;=6,(AA150-1)*31+AB150,IF(AA150&lt;=11,186+(AA150-7)*30+AB150,336+AB150))-1,""))</f>
        <v/>
      </c>
      <c r="AD150" s="18" t="str">
        <f t="shared" si="35"/>
        <v/>
      </c>
      <c r="AE150" s="18" t="str">
        <f t="shared" si="36"/>
        <v/>
      </c>
      <c r="AF150" s="18" t="str">
        <f t="shared" si="37"/>
        <v/>
      </c>
      <c r="AG150" s="18" t="str">
        <f>IF(OR(O150="",AD150=""),"",IFERROR(INDEX(لیست‌ها!$Q$3:$Q$53,MATCH(AD150,لیست‌ها!$P$3:$P$53,0))+IF(AE150&lt;=6,(AE150-1)*31+AF150,IF(AE150&lt;=11,186+(AE150-7)*30+AF150,336+AF150))-1,""))</f>
        <v/>
      </c>
      <c r="AH150" s="18" t="str">
        <f t="shared" si="38"/>
        <v/>
      </c>
      <c r="AI150" s="18" t="str">
        <f t="shared" si="39"/>
        <v/>
      </c>
      <c r="AJ150" s="18" t="str">
        <f t="shared" ca="1" si="40"/>
        <v/>
      </c>
    </row>
    <row r="151" spans="1:36">
      <c r="A151" s="18">
        <v>148</v>
      </c>
      <c r="B151" s="15" t="s">
        <v>278</v>
      </c>
      <c r="C151" s="15" t="s">
        <v>36</v>
      </c>
      <c r="D151" s="15" t="s">
        <v>37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8" t="str">
        <f t="shared" ca="1" si="28"/>
        <v/>
      </c>
      <c r="U151" s="18">
        <f t="shared" ca="1" si="41"/>
        <v>0</v>
      </c>
      <c r="V151" s="18" t="str">
        <f t="shared" si="29"/>
        <v/>
      </c>
      <c r="W151" s="18" t="str">
        <f t="shared" si="30"/>
        <v/>
      </c>
      <c r="X151" s="18" t="str">
        <f t="shared" si="31"/>
        <v/>
      </c>
      <c r="Y151" s="19" t="str">
        <f>IF(OR(L151="",V151=""),"",IFERROR(INDEX(لیست‌ها!$Q$3:$Q$53,MATCH(V151,لیست‌ها!$P$3:$P$53,0))+IF(W151&lt;=6,(W151-1)*31+X151,IF(W151&lt;=11,186+(W151-7)*30+X151,336+X151))-1,""))</f>
        <v/>
      </c>
      <c r="Z151" s="18" t="str">
        <f t="shared" si="32"/>
        <v/>
      </c>
      <c r="AA151" s="18" t="str">
        <f t="shared" si="33"/>
        <v/>
      </c>
      <c r="AB151" s="18" t="str">
        <f t="shared" si="34"/>
        <v/>
      </c>
      <c r="AC151" s="18" t="str">
        <f>IF(OR(H151="",Z151=""),"",IFERROR(INDEX(لیست‌ها!$Q$3:$Q$53,MATCH(Z151,لیست‌ها!$P$3:$P$53,0))+IF(AA151&lt;=6,(AA151-1)*31+AB151,IF(AA151&lt;=11,186+(AA151-7)*30+AB151,336+AB151))-1,""))</f>
        <v/>
      </c>
      <c r="AD151" s="18" t="str">
        <f t="shared" si="35"/>
        <v/>
      </c>
      <c r="AE151" s="18" t="str">
        <f t="shared" si="36"/>
        <v/>
      </c>
      <c r="AF151" s="18" t="str">
        <f t="shared" si="37"/>
        <v/>
      </c>
      <c r="AG151" s="18" t="str">
        <f>IF(OR(O151="",AD151=""),"",IFERROR(INDEX(لیست‌ها!$Q$3:$Q$53,MATCH(AD151,لیست‌ها!$P$3:$P$53,0))+IF(AE151&lt;=6,(AE151-1)*31+AF151,IF(AE151&lt;=11,186+(AE151-7)*30+AF151,336+AF151))-1,""))</f>
        <v/>
      </c>
      <c r="AH151" s="18" t="str">
        <f t="shared" si="38"/>
        <v/>
      </c>
      <c r="AI151" s="18" t="str">
        <f t="shared" si="39"/>
        <v/>
      </c>
      <c r="AJ151" s="18" t="str">
        <f t="shared" ca="1" si="40"/>
        <v/>
      </c>
    </row>
    <row r="152" spans="1:36">
      <c r="A152" s="18">
        <v>149</v>
      </c>
      <c r="B152" s="15" t="s">
        <v>279</v>
      </c>
      <c r="C152" s="15" t="s">
        <v>36</v>
      </c>
      <c r="D152" s="15" t="s">
        <v>69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8" t="str">
        <f t="shared" ca="1" si="28"/>
        <v/>
      </c>
      <c r="U152" s="18">
        <f t="shared" ca="1" si="41"/>
        <v>0</v>
      </c>
      <c r="V152" s="18" t="str">
        <f t="shared" si="29"/>
        <v/>
      </c>
      <c r="W152" s="18" t="str">
        <f t="shared" si="30"/>
        <v/>
      </c>
      <c r="X152" s="18" t="str">
        <f t="shared" si="31"/>
        <v/>
      </c>
      <c r="Y152" s="19" t="str">
        <f>IF(OR(L152="",V152=""),"",IFERROR(INDEX(لیست‌ها!$Q$3:$Q$53,MATCH(V152,لیست‌ها!$P$3:$P$53,0))+IF(W152&lt;=6,(W152-1)*31+X152,IF(W152&lt;=11,186+(W152-7)*30+X152,336+X152))-1,""))</f>
        <v/>
      </c>
      <c r="Z152" s="18" t="str">
        <f t="shared" si="32"/>
        <v/>
      </c>
      <c r="AA152" s="18" t="str">
        <f t="shared" si="33"/>
        <v/>
      </c>
      <c r="AB152" s="18" t="str">
        <f t="shared" si="34"/>
        <v/>
      </c>
      <c r="AC152" s="18" t="str">
        <f>IF(OR(H152="",Z152=""),"",IFERROR(INDEX(لیست‌ها!$Q$3:$Q$53,MATCH(Z152,لیست‌ها!$P$3:$P$53,0))+IF(AA152&lt;=6,(AA152-1)*31+AB152,IF(AA152&lt;=11,186+(AA152-7)*30+AB152,336+AB152))-1,""))</f>
        <v/>
      </c>
      <c r="AD152" s="18" t="str">
        <f t="shared" si="35"/>
        <v/>
      </c>
      <c r="AE152" s="18" t="str">
        <f t="shared" si="36"/>
        <v/>
      </c>
      <c r="AF152" s="18" t="str">
        <f t="shared" si="37"/>
        <v/>
      </c>
      <c r="AG152" s="18" t="str">
        <f>IF(OR(O152="",AD152=""),"",IFERROR(INDEX(لیست‌ها!$Q$3:$Q$53,MATCH(AD152,لیست‌ها!$P$3:$P$53,0))+IF(AE152&lt;=6,(AE152-1)*31+AF152,IF(AE152&lt;=11,186+(AE152-7)*30+AF152,336+AF152))-1,""))</f>
        <v/>
      </c>
      <c r="AH152" s="18" t="str">
        <f t="shared" si="38"/>
        <v/>
      </c>
      <c r="AI152" s="18" t="str">
        <f t="shared" si="39"/>
        <v/>
      </c>
      <c r="AJ152" s="18" t="str">
        <f t="shared" ca="1" si="40"/>
        <v/>
      </c>
    </row>
    <row r="153" spans="1:36">
      <c r="A153" s="18">
        <v>150</v>
      </c>
      <c r="B153" s="15" t="s">
        <v>280</v>
      </c>
      <c r="C153" s="15" t="s">
        <v>36</v>
      </c>
      <c r="D153" s="15" t="s">
        <v>69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8" t="str">
        <f t="shared" ca="1" si="28"/>
        <v/>
      </c>
      <c r="U153" s="18">
        <f t="shared" ca="1" si="41"/>
        <v>0</v>
      </c>
      <c r="V153" s="18" t="str">
        <f t="shared" si="29"/>
        <v/>
      </c>
      <c r="W153" s="18" t="str">
        <f t="shared" si="30"/>
        <v/>
      </c>
      <c r="X153" s="18" t="str">
        <f t="shared" si="31"/>
        <v/>
      </c>
      <c r="Y153" s="19" t="str">
        <f>IF(OR(L153="",V153=""),"",IFERROR(INDEX(لیست‌ها!$Q$3:$Q$53,MATCH(V153,لیست‌ها!$P$3:$P$53,0))+IF(W153&lt;=6,(W153-1)*31+X153,IF(W153&lt;=11,186+(W153-7)*30+X153,336+X153))-1,""))</f>
        <v/>
      </c>
      <c r="Z153" s="18" t="str">
        <f t="shared" si="32"/>
        <v/>
      </c>
      <c r="AA153" s="18" t="str">
        <f t="shared" si="33"/>
        <v/>
      </c>
      <c r="AB153" s="18" t="str">
        <f t="shared" si="34"/>
        <v/>
      </c>
      <c r="AC153" s="18" t="str">
        <f>IF(OR(H153="",Z153=""),"",IFERROR(INDEX(لیست‌ها!$Q$3:$Q$53,MATCH(Z153,لیست‌ها!$P$3:$P$53,0))+IF(AA153&lt;=6,(AA153-1)*31+AB153,IF(AA153&lt;=11,186+(AA153-7)*30+AB153,336+AB153))-1,""))</f>
        <v/>
      </c>
      <c r="AD153" s="18" t="str">
        <f t="shared" si="35"/>
        <v/>
      </c>
      <c r="AE153" s="18" t="str">
        <f t="shared" si="36"/>
        <v/>
      </c>
      <c r="AF153" s="18" t="str">
        <f t="shared" si="37"/>
        <v/>
      </c>
      <c r="AG153" s="18" t="str">
        <f>IF(OR(O153="",AD153=""),"",IFERROR(INDEX(لیست‌ها!$Q$3:$Q$53,MATCH(AD153,لیست‌ها!$P$3:$P$53,0))+IF(AE153&lt;=6,(AE153-1)*31+AF153,IF(AE153&lt;=11,186+(AE153-7)*30+AF153,336+AF153))-1,""))</f>
        <v/>
      </c>
      <c r="AH153" s="18" t="str">
        <f t="shared" si="38"/>
        <v/>
      </c>
      <c r="AI153" s="18" t="str">
        <f t="shared" si="39"/>
        <v/>
      </c>
      <c r="AJ153" s="18" t="str">
        <f t="shared" ca="1" si="40"/>
        <v/>
      </c>
    </row>
    <row r="154" spans="1:36">
      <c r="A154" s="18">
        <v>151</v>
      </c>
      <c r="B154" s="15" t="s">
        <v>281</v>
      </c>
      <c r="C154" s="15" t="s">
        <v>36</v>
      </c>
      <c r="D154" s="15" t="s">
        <v>69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8" t="str">
        <f t="shared" ca="1" si="28"/>
        <v/>
      </c>
      <c r="U154" s="18">
        <f t="shared" ca="1" si="41"/>
        <v>0</v>
      </c>
      <c r="V154" s="18" t="str">
        <f t="shared" si="29"/>
        <v/>
      </c>
      <c r="W154" s="18" t="str">
        <f t="shared" si="30"/>
        <v/>
      </c>
      <c r="X154" s="18" t="str">
        <f t="shared" si="31"/>
        <v/>
      </c>
      <c r="Y154" s="19" t="str">
        <f>IF(OR(L154="",V154=""),"",IFERROR(INDEX(لیست‌ها!$Q$3:$Q$53,MATCH(V154,لیست‌ها!$P$3:$P$53,0))+IF(W154&lt;=6,(W154-1)*31+X154,IF(W154&lt;=11,186+(W154-7)*30+X154,336+X154))-1,""))</f>
        <v/>
      </c>
      <c r="Z154" s="18" t="str">
        <f t="shared" si="32"/>
        <v/>
      </c>
      <c r="AA154" s="18" t="str">
        <f t="shared" si="33"/>
        <v/>
      </c>
      <c r="AB154" s="18" t="str">
        <f t="shared" si="34"/>
        <v/>
      </c>
      <c r="AC154" s="18" t="str">
        <f>IF(OR(H154="",Z154=""),"",IFERROR(INDEX(لیست‌ها!$Q$3:$Q$53,MATCH(Z154,لیست‌ها!$P$3:$P$53,0))+IF(AA154&lt;=6,(AA154-1)*31+AB154,IF(AA154&lt;=11,186+(AA154-7)*30+AB154,336+AB154))-1,""))</f>
        <v/>
      </c>
      <c r="AD154" s="18" t="str">
        <f t="shared" si="35"/>
        <v/>
      </c>
      <c r="AE154" s="18" t="str">
        <f t="shared" si="36"/>
        <v/>
      </c>
      <c r="AF154" s="18" t="str">
        <f t="shared" si="37"/>
        <v/>
      </c>
      <c r="AG154" s="18" t="str">
        <f>IF(OR(O154="",AD154=""),"",IFERROR(INDEX(لیست‌ها!$Q$3:$Q$53,MATCH(AD154,لیست‌ها!$P$3:$P$53,0))+IF(AE154&lt;=6,(AE154-1)*31+AF154,IF(AE154&lt;=11,186+(AE154-7)*30+AF154,336+AF154))-1,""))</f>
        <v/>
      </c>
      <c r="AH154" s="18" t="str">
        <f t="shared" si="38"/>
        <v/>
      </c>
      <c r="AI154" s="18" t="str">
        <f t="shared" si="39"/>
        <v/>
      </c>
      <c r="AJ154" s="18" t="str">
        <f t="shared" ca="1" si="40"/>
        <v/>
      </c>
    </row>
    <row r="155" spans="1:36">
      <c r="A155" s="18">
        <v>152</v>
      </c>
      <c r="B155" s="15" t="s">
        <v>282</v>
      </c>
      <c r="C155" s="15" t="s">
        <v>36</v>
      </c>
      <c r="D155" s="15" t="s">
        <v>69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8" t="str">
        <f t="shared" ca="1" si="28"/>
        <v/>
      </c>
      <c r="U155" s="18">
        <f t="shared" ca="1" si="41"/>
        <v>0</v>
      </c>
      <c r="V155" s="18" t="str">
        <f t="shared" si="29"/>
        <v/>
      </c>
      <c r="W155" s="18" t="str">
        <f t="shared" si="30"/>
        <v/>
      </c>
      <c r="X155" s="18" t="str">
        <f t="shared" si="31"/>
        <v/>
      </c>
      <c r="Y155" s="19" t="str">
        <f>IF(OR(L155="",V155=""),"",IFERROR(INDEX(لیست‌ها!$Q$3:$Q$53,MATCH(V155,لیست‌ها!$P$3:$P$53,0))+IF(W155&lt;=6,(W155-1)*31+X155,IF(W155&lt;=11,186+(W155-7)*30+X155,336+X155))-1,""))</f>
        <v/>
      </c>
      <c r="Z155" s="18" t="str">
        <f t="shared" si="32"/>
        <v/>
      </c>
      <c r="AA155" s="18" t="str">
        <f t="shared" si="33"/>
        <v/>
      </c>
      <c r="AB155" s="18" t="str">
        <f t="shared" si="34"/>
        <v/>
      </c>
      <c r="AC155" s="18" t="str">
        <f>IF(OR(H155="",Z155=""),"",IFERROR(INDEX(لیست‌ها!$Q$3:$Q$53,MATCH(Z155,لیست‌ها!$P$3:$P$53,0))+IF(AA155&lt;=6,(AA155-1)*31+AB155,IF(AA155&lt;=11,186+(AA155-7)*30+AB155,336+AB155))-1,""))</f>
        <v/>
      </c>
      <c r="AD155" s="18" t="str">
        <f t="shared" si="35"/>
        <v/>
      </c>
      <c r="AE155" s="18" t="str">
        <f t="shared" si="36"/>
        <v/>
      </c>
      <c r="AF155" s="18" t="str">
        <f t="shared" si="37"/>
        <v/>
      </c>
      <c r="AG155" s="18" t="str">
        <f>IF(OR(O155="",AD155=""),"",IFERROR(INDEX(لیست‌ها!$Q$3:$Q$53,MATCH(AD155,لیست‌ها!$P$3:$P$53,0))+IF(AE155&lt;=6,(AE155-1)*31+AF155,IF(AE155&lt;=11,186+(AE155-7)*30+AF155,336+AF155))-1,""))</f>
        <v/>
      </c>
      <c r="AH155" s="18" t="str">
        <f t="shared" si="38"/>
        <v/>
      </c>
      <c r="AI155" s="18" t="str">
        <f t="shared" si="39"/>
        <v/>
      </c>
      <c r="AJ155" s="18" t="str">
        <f t="shared" ca="1" si="40"/>
        <v/>
      </c>
    </row>
    <row r="156" spans="1:36">
      <c r="A156" s="18">
        <v>153</v>
      </c>
      <c r="B156" s="15" t="s">
        <v>283</v>
      </c>
      <c r="C156" s="15" t="s">
        <v>36</v>
      </c>
      <c r="D156" s="15" t="s">
        <v>69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8" t="str">
        <f t="shared" ca="1" si="28"/>
        <v/>
      </c>
      <c r="U156" s="18">
        <f t="shared" ca="1" si="41"/>
        <v>0</v>
      </c>
      <c r="V156" s="18" t="str">
        <f t="shared" si="29"/>
        <v/>
      </c>
      <c r="W156" s="18" t="str">
        <f t="shared" si="30"/>
        <v/>
      </c>
      <c r="X156" s="18" t="str">
        <f t="shared" si="31"/>
        <v/>
      </c>
      <c r="Y156" s="19" t="str">
        <f>IF(OR(L156="",V156=""),"",IFERROR(INDEX(لیست‌ها!$Q$3:$Q$53,MATCH(V156,لیست‌ها!$P$3:$P$53,0))+IF(W156&lt;=6,(W156-1)*31+X156,IF(W156&lt;=11,186+(W156-7)*30+X156,336+X156))-1,""))</f>
        <v/>
      </c>
      <c r="Z156" s="18" t="str">
        <f t="shared" si="32"/>
        <v/>
      </c>
      <c r="AA156" s="18" t="str">
        <f t="shared" si="33"/>
        <v/>
      </c>
      <c r="AB156" s="18" t="str">
        <f t="shared" si="34"/>
        <v/>
      </c>
      <c r="AC156" s="18" t="str">
        <f>IF(OR(H156="",Z156=""),"",IFERROR(INDEX(لیست‌ها!$Q$3:$Q$53,MATCH(Z156,لیست‌ها!$P$3:$P$53,0))+IF(AA156&lt;=6,(AA156-1)*31+AB156,IF(AA156&lt;=11,186+(AA156-7)*30+AB156,336+AB156))-1,""))</f>
        <v/>
      </c>
      <c r="AD156" s="18" t="str">
        <f t="shared" si="35"/>
        <v/>
      </c>
      <c r="AE156" s="18" t="str">
        <f t="shared" si="36"/>
        <v/>
      </c>
      <c r="AF156" s="18" t="str">
        <f t="shared" si="37"/>
        <v/>
      </c>
      <c r="AG156" s="18" t="str">
        <f>IF(OR(O156="",AD156=""),"",IFERROR(INDEX(لیست‌ها!$Q$3:$Q$53,MATCH(AD156,لیست‌ها!$P$3:$P$53,0))+IF(AE156&lt;=6,(AE156-1)*31+AF156,IF(AE156&lt;=11,186+(AE156-7)*30+AF156,336+AF156))-1,""))</f>
        <v/>
      </c>
      <c r="AH156" s="18" t="str">
        <f t="shared" si="38"/>
        <v/>
      </c>
      <c r="AI156" s="18" t="str">
        <f t="shared" si="39"/>
        <v/>
      </c>
      <c r="AJ156" s="18" t="str">
        <f t="shared" ca="1" si="40"/>
        <v/>
      </c>
    </row>
    <row r="157" spans="1:36">
      <c r="A157" s="18">
        <v>154</v>
      </c>
      <c r="B157" s="15" t="s">
        <v>284</v>
      </c>
      <c r="C157" s="15" t="s">
        <v>36</v>
      </c>
      <c r="D157" s="15" t="s">
        <v>69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8" t="str">
        <f t="shared" ca="1" si="28"/>
        <v/>
      </c>
      <c r="U157" s="18">
        <f t="shared" ca="1" si="41"/>
        <v>0</v>
      </c>
      <c r="V157" s="18" t="str">
        <f t="shared" si="29"/>
        <v/>
      </c>
      <c r="W157" s="18" t="str">
        <f t="shared" si="30"/>
        <v/>
      </c>
      <c r="X157" s="18" t="str">
        <f t="shared" si="31"/>
        <v/>
      </c>
      <c r="Y157" s="19" t="str">
        <f>IF(OR(L157="",V157=""),"",IFERROR(INDEX(لیست‌ها!$Q$3:$Q$53,MATCH(V157,لیست‌ها!$P$3:$P$53,0))+IF(W157&lt;=6,(W157-1)*31+X157,IF(W157&lt;=11,186+(W157-7)*30+X157,336+X157))-1,""))</f>
        <v/>
      </c>
      <c r="Z157" s="18" t="str">
        <f t="shared" si="32"/>
        <v/>
      </c>
      <c r="AA157" s="18" t="str">
        <f t="shared" si="33"/>
        <v/>
      </c>
      <c r="AB157" s="18" t="str">
        <f t="shared" si="34"/>
        <v/>
      </c>
      <c r="AC157" s="18" t="str">
        <f>IF(OR(H157="",Z157=""),"",IFERROR(INDEX(لیست‌ها!$Q$3:$Q$53,MATCH(Z157,لیست‌ها!$P$3:$P$53,0))+IF(AA157&lt;=6,(AA157-1)*31+AB157,IF(AA157&lt;=11,186+(AA157-7)*30+AB157,336+AB157))-1,""))</f>
        <v/>
      </c>
      <c r="AD157" s="18" t="str">
        <f t="shared" si="35"/>
        <v/>
      </c>
      <c r="AE157" s="18" t="str">
        <f t="shared" si="36"/>
        <v/>
      </c>
      <c r="AF157" s="18" t="str">
        <f t="shared" si="37"/>
        <v/>
      </c>
      <c r="AG157" s="18" t="str">
        <f>IF(OR(O157="",AD157=""),"",IFERROR(INDEX(لیست‌ها!$Q$3:$Q$53,MATCH(AD157,لیست‌ها!$P$3:$P$53,0))+IF(AE157&lt;=6,(AE157-1)*31+AF157,IF(AE157&lt;=11,186+(AE157-7)*30+AF157,336+AF157))-1,""))</f>
        <v/>
      </c>
      <c r="AH157" s="18" t="str">
        <f t="shared" si="38"/>
        <v/>
      </c>
      <c r="AI157" s="18" t="str">
        <f t="shared" si="39"/>
        <v/>
      </c>
      <c r="AJ157" s="18" t="str">
        <f t="shared" ca="1" si="40"/>
        <v/>
      </c>
    </row>
    <row r="158" spans="1:36">
      <c r="A158" s="18">
        <v>155</v>
      </c>
      <c r="B158" s="15" t="s">
        <v>285</v>
      </c>
      <c r="C158" s="15" t="s">
        <v>36</v>
      </c>
      <c r="D158" s="15" t="s">
        <v>69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8" t="str">
        <f t="shared" ca="1" si="28"/>
        <v/>
      </c>
      <c r="U158" s="18">
        <f t="shared" ca="1" si="41"/>
        <v>0</v>
      </c>
      <c r="V158" s="18" t="str">
        <f t="shared" si="29"/>
        <v/>
      </c>
      <c r="W158" s="18" t="str">
        <f t="shared" si="30"/>
        <v/>
      </c>
      <c r="X158" s="18" t="str">
        <f t="shared" si="31"/>
        <v/>
      </c>
      <c r="Y158" s="19" t="str">
        <f>IF(OR(L158="",V158=""),"",IFERROR(INDEX(لیست‌ها!$Q$3:$Q$53,MATCH(V158,لیست‌ها!$P$3:$P$53,0))+IF(W158&lt;=6,(W158-1)*31+X158,IF(W158&lt;=11,186+(W158-7)*30+X158,336+X158))-1,""))</f>
        <v/>
      </c>
      <c r="Z158" s="18" t="str">
        <f t="shared" si="32"/>
        <v/>
      </c>
      <c r="AA158" s="18" t="str">
        <f t="shared" si="33"/>
        <v/>
      </c>
      <c r="AB158" s="18" t="str">
        <f t="shared" si="34"/>
        <v/>
      </c>
      <c r="AC158" s="18" t="str">
        <f>IF(OR(H158="",Z158=""),"",IFERROR(INDEX(لیست‌ها!$Q$3:$Q$53,MATCH(Z158,لیست‌ها!$P$3:$P$53,0))+IF(AA158&lt;=6,(AA158-1)*31+AB158,IF(AA158&lt;=11,186+(AA158-7)*30+AB158,336+AB158))-1,""))</f>
        <v/>
      </c>
      <c r="AD158" s="18" t="str">
        <f t="shared" si="35"/>
        <v/>
      </c>
      <c r="AE158" s="18" t="str">
        <f t="shared" si="36"/>
        <v/>
      </c>
      <c r="AF158" s="18" t="str">
        <f t="shared" si="37"/>
        <v/>
      </c>
      <c r="AG158" s="18" t="str">
        <f>IF(OR(O158="",AD158=""),"",IFERROR(INDEX(لیست‌ها!$Q$3:$Q$53,MATCH(AD158,لیست‌ها!$P$3:$P$53,0))+IF(AE158&lt;=6,(AE158-1)*31+AF158,IF(AE158&lt;=11,186+(AE158-7)*30+AF158,336+AF158))-1,""))</f>
        <v/>
      </c>
      <c r="AH158" s="18" t="str">
        <f t="shared" si="38"/>
        <v/>
      </c>
      <c r="AI158" s="18" t="str">
        <f t="shared" si="39"/>
        <v/>
      </c>
      <c r="AJ158" s="18" t="str">
        <f t="shared" ca="1" si="40"/>
        <v/>
      </c>
    </row>
    <row r="159" spans="1:36">
      <c r="A159" s="18">
        <v>156</v>
      </c>
      <c r="B159" s="15" t="s">
        <v>286</v>
      </c>
      <c r="C159" s="15" t="s">
        <v>36</v>
      </c>
      <c r="D159" s="15" t="s">
        <v>69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8" t="str">
        <f t="shared" ca="1" si="28"/>
        <v/>
      </c>
      <c r="U159" s="18">
        <f t="shared" ca="1" si="41"/>
        <v>0</v>
      </c>
      <c r="V159" s="18" t="str">
        <f t="shared" si="29"/>
        <v/>
      </c>
      <c r="W159" s="18" t="str">
        <f t="shared" si="30"/>
        <v/>
      </c>
      <c r="X159" s="18" t="str">
        <f t="shared" si="31"/>
        <v/>
      </c>
      <c r="Y159" s="19" t="str">
        <f>IF(OR(L159="",V159=""),"",IFERROR(INDEX(لیست‌ها!$Q$3:$Q$53,MATCH(V159,لیست‌ها!$P$3:$P$53,0))+IF(W159&lt;=6,(W159-1)*31+X159,IF(W159&lt;=11,186+(W159-7)*30+X159,336+X159))-1,""))</f>
        <v/>
      </c>
      <c r="Z159" s="18" t="str">
        <f t="shared" si="32"/>
        <v/>
      </c>
      <c r="AA159" s="18" t="str">
        <f t="shared" si="33"/>
        <v/>
      </c>
      <c r="AB159" s="18" t="str">
        <f t="shared" si="34"/>
        <v/>
      </c>
      <c r="AC159" s="18" t="str">
        <f>IF(OR(H159="",Z159=""),"",IFERROR(INDEX(لیست‌ها!$Q$3:$Q$53,MATCH(Z159,لیست‌ها!$P$3:$P$53,0))+IF(AA159&lt;=6,(AA159-1)*31+AB159,IF(AA159&lt;=11,186+(AA159-7)*30+AB159,336+AB159))-1,""))</f>
        <v/>
      </c>
      <c r="AD159" s="18" t="str">
        <f t="shared" si="35"/>
        <v/>
      </c>
      <c r="AE159" s="18" t="str">
        <f t="shared" si="36"/>
        <v/>
      </c>
      <c r="AF159" s="18" t="str">
        <f t="shared" si="37"/>
        <v/>
      </c>
      <c r="AG159" s="18" t="str">
        <f>IF(OR(O159="",AD159=""),"",IFERROR(INDEX(لیست‌ها!$Q$3:$Q$53,MATCH(AD159,لیست‌ها!$P$3:$P$53,0))+IF(AE159&lt;=6,(AE159-1)*31+AF159,IF(AE159&lt;=11,186+(AE159-7)*30+AF159,336+AF159))-1,""))</f>
        <v/>
      </c>
      <c r="AH159" s="18" t="str">
        <f t="shared" si="38"/>
        <v/>
      </c>
      <c r="AI159" s="18" t="str">
        <f t="shared" si="39"/>
        <v/>
      </c>
      <c r="AJ159" s="18" t="str">
        <f t="shared" ca="1" si="40"/>
        <v/>
      </c>
    </row>
    <row r="160" spans="1:36">
      <c r="A160" s="18">
        <v>157</v>
      </c>
      <c r="B160" s="15" t="s">
        <v>287</v>
      </c>
      <c r="C160" s="15" t="s">
        <v>36</v>
      </c>
      <c r="D160" s="15" t="s">
        <v>43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8" t="str">
        <f t="shared" ca="1" si="28"/>
        <v/>
      </c>
      <c r="U160" s="18">
        <f t="shared" ca="1" si="41"/>
        <v>0</v>
      </c>
      <c r="V160" s="18" t="str">
        <f t="shared" si="29"/>
        <v/>
      </c>
      <c r="W160" s="18" t="str">
        <f t="shared" si="30"/>
        <v/>
      </c>
      <c r="X160" s="18" t="str">
        <f t="shared" si="31"/>
        <v/>
      </c>
      <c r="Y160" s="19" t="str">
        <f>IF(OR(L160="",V160=""),"",IFERROR(INDEX(لیست‌ها!$Q$3:$Q$53,MATCH(V160,لیست‌ها!$P$3:$P$53,0))+IF(W160&lt;=6,(W160-1)*31+X160,IF(W160&lt;=11,186+(W160-7)*30+X160,336+X160))-1,""))</f>
        <v/>
      </c>
      <c r="Z160" s="18" t="str">
        <f t="shared" si="32"/>
        <v/>
      </c>
      <c r="AA160" s="18" t="str">
        <f t="shared" si="33"/>
        <v/>
      </c>
      <c r="AB160" s="18" t="str">
        <f t="shared" si="34"/>
        <v/>
      </c>
      <c r="AC160" s="18" t="str">
        <f>IF(OR(H160="",Z160=""),"",IFERROR(INDEX(لیست‌ها!$Q$3:$Q$53,MATCH(Z160,لیست‌ها!$P$3:$P$53,0))+IF(AA160&lt;=6,(AA160-1)*31+AB160,IF(AA160&lt;=11,186+(AA160-7)*30+AB160,336+AB160))-1,""))</f>
        <v/>
      </c>
      <c r="AD160" s="18" t="str">
        <f t="shared" si="35"/>
        <v/>
      </c>
      <c r="AE160" s="18" t="str">
        <f t="shared" si="36"/>
        <v/>
      </c>
      <c r="AF160" s="18" t="str">
        <f t="shared" si="37"/>
        <v/>
      </c>
      <c r="AG160" s="18" t="str">
        <f>IF(OR(O160="",AD160=""),"",IFERROR(INDEX(لیست‌ها!$Q$3:$Q$53,MATCH(AD160,لیست‌ها!$P$3:$P$53,0))+IF(AE160&lt;=6,(AE160-1)*31+AF160,IF(AE160&lt;=11,186+(AE160-7)*30+AF160,336+AF160))-1,""))</f>
        <v/>
      </c>
      <c r="AH160" s="18" t="str">
        <f t="shared" si="38"/>
        <v/>
      </c>
      <c r="AI160" s="18" t="str">
        <f t="shared" si="39"/>
        <v/>
      </c>
      <c r="AJ160" s="18" t="str">
        <f t="shared" ca="1" si="40"/>
        <v/>
      </c>
    </row>
    <row r="161" spans="1:36">
      <c r="A161" s="18">
        <v>158</v>
      </c>
      <c r="B161" s="15" t="s">
        <v>288</v>
      </c>
      <c r="C161" s="15" t="s">
        <v>36</v>
      </c>
      <c r="D161" s="15" t="s">
        <v>69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8" t="str">
        <f t="shared" ca="1" si="28"/>
        <v/>
      </c>
      <c r="U161" s="18">
        <f t="shared" ca="1" si="41"/>
        <v>0</v>
      </c>
      <c r="V161" s="18" t="str">
        <f t="shared" si="29"/>
        <v/>
      </c>
      <c r="W161" s="18" t="str">
        <f t="shared" si="30"/>
        <v/>
      </c>
      <c r="X161" s="18" t="str">
        <f t="shared" si="31"/>
        <v/>
      </c>
      <c r="Y161" s="19" t="str">
        <f>IF(OR(L161="",V161=""),"",IFERROR(INDEX(لیست‌ها!$Q$3:$Q$53,MATCH(V161,لیست‌ها!$P$3:$P$53,0))+IF(W161&lt;=6,(W161-1)*31+X161,IF(W161&lt;=11,186+(W161-7)*30+X161,336+X161))-1,""))</f>
        <v/>
      </c>
      <c r="Z161" s="18" t="str">
        <f t="shared" si="32"/>
        <v/>
      </c>
      <c r="AA161" s="18" t="str">
        <f t="shared" si="33"/>
        <v/>
      </c>
      <c r="AB161" s="18" t="str">
        <f t="shared" si="34"/>
        <v/>
      </c>
      <c r="AC161" s="19" t="str">
        <f>IF(OR(H161="",Z161=""),"",IFERROR(INDEX(لیست‌ها!$Q$3:$Q$53,MATCH(Z161,لیست‌ها!$P$3:$P$53,0))+IF(AA161&lt;=6,(AA161-1)*31+AB161,IF(AA161&lt;=11,186+(AA161-7)*30+AB161,336+AB161))-1,""))</f>
        <v/>
      </c>
      <c r="AD161" s="18" t="str">
        <f t="shared" si="35"/>
        <v/>
      </c>
      <c r="AE161" s="18" t="str">
        <f t="shared" si="36"/>
        <v/>
      </c>
      <c r="AF161" s="18" t="str">
        <f t="shared" si="37"/>
        <v/>
      </c>
      <c r="AG161" s="18" t="str">
        <f>IF(OR(O161="",AD161=""),"",IFERROR(INDEX(لیست‌ها!$Q$3:$Q$53,MATCH(AD161,لیست‌ها!$P$3:$P$53,0))+IF(AE161&lt;=6,(AE161-1)*31+AF161,IF(AE161&lt;=11,186+(AE161-7)*30+AF161,336+AF161))-1,""))</f>
        <v/>
      </c>
      <c r="AH161" s="18" t="str">
        <f t="shared" si="38"/>
        <v/>
      </c>
      <c r="AI161" s="18" t="str">
        <f t="shared" si="39"/>
        <v/>
      </c>
      <c r="AJ161" s="18" t="str">
        <f t="shared" ca="1" si="40"/>
        <v/>
      </c>
    </row>
    <row r="162" spans="1:36">
      <c r="A162" s="18">
        <v>159</v>
      </c>
      <c r="B162" s="15" t="s">
        <v>289</v>
      </c>
      <c r="C162" s="15" t="s">
        <v>36</v>
      </c>
      <c r="D162" s="15" t="s">
        <v>69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8" t="str">
        <f t="shared" ca="1" si="28"/>
        <v/>
      </c>
      <c r="U162" s="18">
        <f t="shared" ca="1" si="41"/>
        <v>0</v>
      </c>
      <c r="V162" s="18" t="str">
        <f t="shared" si="29"/>
        <v/>
      </c>
      <c r="W162" s="18" t="str">
        <f t="shared" si="30"/>
        <v/>
      </c>
      <c r="X162" s="18" t="str">
        <f t="shared" si="31"/>
        <v/>
      </c>
      <c r="Y162" s="19" t="str">
        <f>IF(OR(L162="",V162=""),"",IFERROR(INDEX(لیست‌ها!$Q$3:$Q$53,MATCH(V162,لیست‌ها!$P$3:$P$53,0))+IF(W162&lt;=6,(W162-1)*31+X162,IF(W162&lt;=11,186+(W162-7)*30+X162,336+X162))-1,""))</f>
        <v/>
      </c>
      <c r="Z162" s="18" t="str">
        <f t="shared" si="32"/>
        <v/>
      </c>
      <c r="AA162" s="18" t="str">
        <f t="shared" si="33"/>
        <v/>
      </c>
      <c r="AB162" s="18" t="str">
        <f t="shared" si="34"/>
        <v/>
      </c>
      <c r="AC162" s="18" t="str">
        <f>IF(OR(H162="",Z162=""),"",IFERROR(INDEX(لیست‌ها!$Q$3:$Q$53,MATCH(Z162,لیست‌ها!$P$3:$P$53,0))+IF(AA162&lt;=6,(AA162-1)*31+AB162,IF(AA162&lt;=11,186+(AA162-7)*30+AB162,336+AB162))-1,""))</f>
        <v/>
      </c>
      <c r="AD162" s="18" t="str">
        <f t="shared" si="35"/>
        <v/>
      </c>
      <c r="AE162" s="18" t="str">
        <f t="shared" si="36"/>
        <v/>
      </c>
      <c r="AF162" s="18" t="str">
        <f t="shared" si="37"/>
        <v/>
      </c>
      <c r="AG162" s="18" t="str">
        <f>IF(OR(O162="",AD162=""),"",IFERROR(INDEX(لیست‌ها!$Q$3:$Q$53,MATCH(AD162,لیست‌ها!$P$3:$P$53,0))+IF(AE162&lt;=6,(AE162-1)*31+AF162,IF(AE162&lt;=11,186+(AE162-7)*30+AF162,336+AF162))-1,""))</f>
        <v/>
      </c>
      <c r="AH162" s="18" t="str">
        <f t="shared" si="38"/>
        <v/>
      </c>
      <c r="AI162" s="18" t="str">
        <f t="shared" si="39"/>
        <v/>
      </c>
      <c r="AJ162" s="18" t="str">
        <f t="shared" ca="1" si="40"/>
        <v/>
      </c>
    </row>
    <row r="163" spans="1:36">
      <c r="A163" s="18">
        <v>160</v>
      </c>
      <c r="B163" s="15" t="s">
        <v>290</v>
      </c>
      <c r="C163" s="15" t="s">
        <v>36</v>
      </c>
      <c r="D163" s="15" t="s">
        <v>69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8" t="str">
        <f t="shared" ca="1" si="28"/>
        <v/>
      </c>
      <c r="U163" s="18">
        <f t="shared" ca="1" si="41"/>
        <v>0</v>
      </c>
      <c r="V163" s="18" t="str">
        <f t="shared" si="29"/>
        <v/>
      </c>
      <c r="W163" s="18" t="str">
        <f t="shared" si="30"/>
        <v/>
      </c>
      <c r="X163" s="18" t="str">
        <f t="shared" si="31"/>
        <v/>
      </c>
      <c r="Y163" s="19" t="str">
        <f>IF(OR(L163="",V163=""),"",IFERROR(INDEX(لیست‌ها!$Q$3:$Q$53,MATCH(V163,لیست‌ها!$P$3:$P$53,0))+IF(W163&lt;=6,(W163-1)*31+X163,IF(W163&lt;=11,186+(W163-7)*30+X163,336+X163))-1,""))</f>
        <v/>
      </c>
      <c r="Z163" s="18" t="str">
        <f t="shared" si="32"/>
        <v/>
      </c>
      <c r="AA163" s="18" t="str">
        <f t="shared" si="33"/>
        <v/>
      </c>
      <c r="AB163" s="18" t="str">
        <f t="shared" si="34"/>
        <v/>
      </c>
      <c r="AC163" s="18" t="str">
        <f>IF(OR(H163="",Z163=""),"",IFERROR(INDEX(لیست‌ها!$Q$3:$Q$53,MATCH(Z163,لیست‌ها!$P$3:$P$53,0))+IF(AA163&lt;=6,(AA163-1)*31+AB163,IF(AA163&lt;=11,186+(AA163-7)*30+AB163,336+AB163))-1,""))</f>
        <v/>
      </c>
      <c r="AD163" s="18" t="str">
        <f t="shared" si="35"/>
        <v/>
      </c>
      <c r="AE163" s="18" t="str">
        <f t="shared" si="36"/>
        <v/>
      </c>
      <c r="AF163" s="18" t="str">
        <f t="shared" si="37"/>
        <v/>
      </c>
      <c r="AG163" s="18" t="str">
        <f>IF(OR(O163="",AD163=""),"",IFERROR(INDEX(لیست‌ها!$Q$3:$Q$53,MATCH(AD163,لیست‌ها!$P$3:$P$53,0))+IF(AE163&lt;=6,(AE163-1)*31+AF163,IF(AE163&lt;=11,186+(AE163-7)*30+AF163,336+AF163))-1,""))</f>
        <v/>
      </c>
      <c r="AH163" s="18" t="str">
        <f t="shared" si="38"/>
        <v/>
      </c>
      <c r="AI163" s="18" t="str">
        <f t="shared" si="39"/>
        <v/>
      </c>
      <c r="AJ163" s="18" t="str">
        <f t="shared" ca="1" si="40"/>
        <v/>
      </c>
    </row>
    <row r="164" spans="1:36">
      <c r="A164" s="18">
        <v>161</v>
      </c>
      <c r="B164" s="15" t="s">
        <v>291</v>
      </c>
      <c r="C164" s="15" t="s">
        <v>36</v>
      </c>
      <c r="D164" s="15" t="s">
        <v>69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8" t="str">
        <f t="shared" ca="1" si="28"/>
        <v/>
      </c>
      <c r="U164" s="18">
        <f t="shared" ca="1" si="41"/>
        <v>0</v>
      </c>
      <c r="V164" s="18" t="str">
        <f t="shared" si="29"/>
        <v/>
      </c>
      <c r="W164" s="18" t="str">
        <f t="shared" si="30"/>
        <v/>
      </c>
      <c r="X164" s="18" t="str">
        <f t="shared" si="31"/>
        <v/>
      </c>
      <c r="Y164" s="19" t="str">
        <f>IF(OR(L164="",V164=""),"",IFERROR(INDEX(لیست‌ها!$Q$3:$Q$53,MATCH(V164,لیست‌ها!$P$3:$P$53,0))+IF(W164&lt;=6,(W164-1)*31+X164,IF(W164&lt;=11,186+(W164-7)*30+X164,336+X164))-1,""))</f>
        <v/>
      </c>
      <c r="Z164" s="18" t="str">
        <f t="shared" si="32"/>
        <v/>
      </c>
      <c r="AA164" s="18" t="str">
        <f t="shared" si="33"/>
        <v/>
      </c>
      <c r="AB164" s="18" t="str">
        <f t="shared" si="34"/>
        <v/>
      </c>
      <c r="AC164" s="18" t="str">
        <f>IF(OR(H164="",Z164=""),"",IFERROR(INDEX(لیست‌ها!$Q$3:$Q$53,MATCH(Z164,لیست‌ها!$P$3:$P$53,0))+IF(AA164&lt;=6,(AA164-1)*31+AB164,IF(AA164&lt;=11,186+(AA164-7)*30+AB164,336+AB164))-1,""))</f>
        <v/>
      </c>
      <c r="AD164" s="18" t="str">
        <f t="shared" si="35"/>
        <v/>
      </c>
      <c r="AE164" s="18" t="str">
        <f t="shared" si="36"/>
        <v/>
      </c>
      <c r="AF164" s="18" t="str">
        <f t="shared" si="37"/>
        <v/>
      </c>
      <c r="AG164" s="18" t="str">
        <f>IF(OR(O164="",AD164=""),"",IFERROR(INDEX(لیست‌ها!$Q$3:$Q$53,MATCH(AD164,لیست‌ها!$P$3:$P$53,0))+IF(AE164&lt;=6,(AE164-1)*31+AF164,IF(AE164&lt;=11,186+(AE164-7)*30+AF164,336+AF164))-1,""))</f>
        <v/>
      </c>
      <c r="AH164" s="18" t="str">
        <f t="shared" si="38"/>
        <v/>
      </c>
      <c r="AI164" s="18" t="str">
        <f t="shared" si="39"/>
        <v/>
      </c>
      <c r="AJ164" s="18" t="str">
        <f t="shared" ca="1" si="40"/>
        <v/>
      </c>
    </row>
    <row r="165" spans="1:36">
      <c r="A165" s="18">
        <v>162</v>
      </c>
      <c r="B165" s="15" t="s">
        <v>292</v>
      </c>
      <c r="C165" s="15" t="s">
        <v>36</v>
      </c>
      <c r="D165" s="15" t="s">
        <v>69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8" t="str">
        <f t="shared" ca="1" si="28"/>
        <v/>
      </c>
      <c r="U165" s="18">
        <f t="shared" ca="1" si="41"/>
        <v>0</v>
      </c>
      <c r="V165" s="18" t="str">
        <f t="shared" si="29"/>
        <v/>
      </c>
      <c r="W165" s="18" t="str">
        <f t="shared" si="30"/>
        <v/>
      </c>
      <c r="X165" s="18" t="str">
        <f t="shared" si="31"/>
        <v/>
      </c>
      <c r="Y165" s="19" t="str">
        <f>IF(OR(L165="",V165=""),"",IFERROR(INDEX(لیست‌ها!$Q$3:$Q$53,MATCH(V165,لیست‌ها!$P$3:$P$53,0))+IF(W165&lt;=6,(W165-1)*31+X165,IF(W165&lt;=11,186+(W165-7)*30+X165,336+X165))-1,""))</f>
        <v/>
      </c>
      <c r="Z165" s="18" t="str">
        <f t="shared" si="32"/>
        <v/>
      </c>
      <c r="AA165" s="18" t="str">
        <f t="shared" si="33"/>
        <v/>
      </c>
      <c r="AB165" s="18" t="str">
        <f t="shared" si="34"/>
        <v/>
      </c>
      <c r="AC165" s="18" t="str">
        <f>IF(OR(H165="",Z165=""),"",IFERROR(INDEX(لیست‌ها!$Q$3:$Q$53,MATCH(Z165,لیست‌ها!$P$3:$P$53,0))+IF(AA165&lt;=6,(AA165-1)*31+AB165,IF(AA165&lt;=11,186+(AA165-7)*30+AB165,336+AB165))-1,""))</f>
        <v/>
      </c>
      <c r="AD165" s="18" t="str">
        <f t="shared" si="35"/>
        <v/>
      </c>
      <c r="AE165" s="18" t="str">
        <f t="shared" si="36"/>
        <v/>
      </c>
      <c r="AF165" s="18" t="str">
        <f t="shared" si="37"/>
        <v/>
      </c>
      <c r="AG165" s="18" t="str">
        <f>IF(OR(O165="",AD165=""),"",IFERROR(INDEX(لیست‌ها!$Q$3:$Q$53,MATCH(AD165,لیست‌ها!$P$3:$P$53,0))+IF(AE165&lt;=6,(AE165-1)*31+AF165,IF(AE165&lt;=11,186+(AE165-7)*30+AF165,336+AF165))-1,""))</f>
        <v/>
      </c>
      <c r="AH165" s="18" t="str">
        <f t="shared" si="38"/>
        <v/>
      </c>
      <c r="AI165" s="18" t="str">
        <f t="shared" si="39"/>
        <v/>
      </c>
      <c r="AJ165" s="18" t="str">
        <f t="shared" ca="1" si="40"/>
        <v/>
      </c>
    </row>
    <row r="166" spans="1:36">
      <c r="A166" s="18">
        <v>163</v>
      </c>
      <c r="B166" s="15" t="s">
        <v>293</v>
      </c>
      <c r="C166" s="15" t="s">
        <v>36</v>
      </c>
      <c r="D166" s="15" t="s">
        <v>69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8" t="str">
        <f t="shared" ca="1" si="28"/>
        <v/>
      </c>
      <c r="U166" s="18">
        <f t="shared" ca="1" si="41"/>
        <v>0</v>
      </c>
      <c r="V166" s="18" t="str">
        <f t="shared" si="29"/>
        <v/>
      </c>
      <c r="W166" s="18" t="str">
        <f t="shared" si="30"/>
        <v/>
      </c>
      <c r="X166" s="18" t="str">
        <f t="shared" si="31"/>
        <v/>
      </c>
      <c r="Y166" s="19" t="str">
        <f>IF(OR(L166="",V166=""),"",IFERROR(INDEX(لیست‌ها!$Q$3:$Q$53,MATCH(V166,لیست‌ها!$P$3:$P$53,0))+IF(W166&lt;=6,(W166-1)*31+X166,IF(W166&lt;=11,186+(W166-7)*30+X166,336+X166))-1,""))</f>
        <v/>
      </c>
      <c r="Z166" s="18" t="str">
        <f t="shared" si="32"/>
        <v/>
      </c>
      <c r="AA166" s="18" t="str">
        <f t="shared" si="33"/>
        <v/>
      </c>
      <c r="AB166" s="18" t="str">
        <f t="shared" si="34"/>
        <v/>
      </c>
      <c r="AC166" s="18" t="str">
        <f>IF(OR(H166="",Z166=""),"",IFERROR(INDEX(لیست‌ها!$Q$3:$Q$53,MATCH(Z166,لیست‌ها!$P$3:$P$53,0))+IF(AA166&lt;=6,(AA166-1)*31+AB166,IF(AA166&lt;=11,186+(AA166-7)*30+AB166,336+AB166))-1,""))</f>
        <v/>
      </c>
      <c r="AD166" s="18" t="str">
        <f t="shared" si="35"/>
        <v/>
      </c>
      <c r="AE166" s="18" t="str">
        <f t="shared" si="36"/>
        <v/>
      </c>
      <c r="AF166" s="18" t="str">
        <f t="shared" si="37"/>
        <v/>
      </c>
      <c r="AG166" s="18" t="str">
        <f>IF(OR(O166="",AD166=""),"",IFERROR(INDEX(لیست‌ها!$Q$3:$Q$53,MATCH(AD166,لیست‌ها!$P$3:$P$53,0))+IF(AE166&lt;=6,(AE166-1)*31+AF166,IF(AE166&lt;=11,186+(AE166-7)*30+AF166,336+AF166))-1,""))</f>
        <v/>
      </c>
      <c r="AH166" s="18" t="str">
        <f t="shared" si="38"/>
        <v/>
      </c>
      <c r="AI166" s="18" t="str">
        <f t="shared" si="39"/>
        <v/>
      </c>
      <c r="AJ166" s="18" t="str">
        <f t="shared" ca="1" si="40"/>
        <v/>
      </c>
    </row>
    <row r="167" spans="1:36">
      <c r="A167" s="18">
        <v>164</v>
      </c>
      <c r="B167" s="15" t="s">
        <v>294</v>
      </c>
      <c r="C167" s="15" t="s">
        <v>36</v>
      </c>
      <c r="D167" s="15" t="s">
        <v>69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8" t="str">
        <f t="shared" ca="1" si="28"/>
        <v/>
      </c>
      <c r="U167" s="18">
        <f t="shared" ca="1" si="41"/>
        <v>0</v>
      </c>
      <c r="V167" s="18" t="str">
        <f t="shared" si="29"/>
        <v/>
      </c>
      <c r="W167" s="18" t="str">
        <f t="shared" si="30"/>
        <v/>
      </c>
      <c r="X167" s="18" t="str">
        <f t="shared" si="31"/>
        <v/>
      </c>
      <c r="Y167" s="19" t="str">
        <f>IF(OR(L167="",V167=""),"",IFERROR(INDEX(لیست‌ها!$Q$3:$Q$53,MATCH(V167,لیست‌ها!$P$3:$P$53,0))+IF(W167&lt;=6,(W167-1)*31+X167,IF(W167&lt;=11,186+(W167-7)*30+X167,336+X167))-1,""))</f>
        <v/>
      </c>
      <c r="Z167" s="18" t="str">
        <f t="shared" si="32"/>
        <v/>
      </c>
      <c r="AA167" s="18" t="str">
        <f t="shared" si="33"/>
        <v/>
      </c>
      <c r="AB167" s="18" t="str">
        <f t="shared" si="34"/>
        <v/>
      </c>
      <c r="AC167" s="18" t="str">
        <f>IF(OR(H167="",Z167=""),"",IFERROR(INDEX(لیست‌ها!$Q$3:$Q$53,MATCH(Z167,لیست‌ها!$P$3:$P$53,0))+IF(AA167&lt;=6,(AA167-1)*31+AB167,IF(AA167&lt;=11,186+(AA167-7)*30+AB167,336+AB167))-1,""))</f>
        <v/>
      </c>
      <c r="AD167" s="18" t="str">
        <f t="shared" si="35"/>
        <v/>
      </c>
      <c r="AE167" s="18" t="str">
        <f t="shared" si="36"/>
        <v/>
      </c>
      <c r="AF167" s="18" t="str">
        <f t="shared" si="37"/>
        <v/>
      </c>
      <c r="AG167" s="18" t="str">
        <f>IF(OR(O167="",AD167=""),"",IFERROR(INDEX(لیست‌ها!$Q$3:$Q$53,MATCH(AD167,لیست‌ها!$P$3:$P$53,0))+IF(AE167&lt;=6,(AE167-1)*31+AF167,IF(AE167&lt;=11,186+(AE167-7)*30+AF167,336+AF167))-1,""))</f>
        <v/>
      </c>
      <c r="AH167" s="18" t="str">
        <f t="shared" si="38"/>
        <v/>
      </c>
      <c r="AI167" s="18" t="str">
        <f t="shared" si="39"/>
        <v/>
      </c>
      <c r="AJ167" s="18" t="str">
        <f t="shared" ca="1" si="40"/>
        <v/>
      </c>
    </row>
    <row r="168" spans="1:36">
      <c r="A168" s="18">
        <v>165</v>
      </c>
      <c r="B168" s="15" t="s">
        <v>295</v>
      </c>
      <c r="C168" s="15" t="s">
        <v>36</v>
      </c>
      <c r="D168" s="15" t="s">
        <v>69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8" t="str">
        <f t="shared" ca="1" si="28"/>
        <v/>
      </c>
      <c r="U168" s="18">
        <f t="shared" ca="1" si="41"/>
        <v>0</v>
      </c>
      <c r="V168" s="18" t="str">
        <f t="shared" si="29"/>
        <v/>
      </c>
      <c r="W168" s="18" t="str">
        <f t="shared" si="30"/>
        <v/>
      </c>
      <c r="X168" s="18" t="str">
        <f t="shared" si="31"/>
        <v/>
      </c>
      <c r="Y168" s="19" t="str">
        <f>IF(OR(L168="",V168=""),"",IFERROR(INDEX(لیست‌ها!$Q$3:$Q$53,MATCH(V168,لیست‌ها!$P$3:$P$53,0))+IF(W168&lt;=6,(W168-1)*31+X168,IF(W168&lt;=11,186+(W168-7)*30+X168,336+X168))-1,""))</f>
        <v/>
      </c>
      <c r="Z168" s="18" t="str">
        <f t="shared" si="32"/>
        <v/>
      </c>
      <c r="AA168" s="18" t="str">
        <f t="shared" si="33"/>
        <v/>
      </c>
      <c r="AB168" s="18" t="str">
        <f t="shared" si="34"/>
        <v/>
      </c>
      <c r="AC168" s="18" t="str">
        <f>IF(OR(H168="",Z168=""),"",IFERROR(INDEX(لیست‌ها!$Q$3:$Q$53,MATCH(Z168,لیست‌ها!$P$3:$P$53,0))+IF(AA168&lt;=6,(AA168-1)*31+AB168,IF(AA168&lt;=11,186+(AA168-7)*30+AB168,336+AB168))-1,""))</f>
        <v/>
      </c>
      <c r="AD168" s="18" t="str">
        <f t="shared" si="35"/>
        <v/>
      </c>
      <c r="AE168" s="18" t="str">
        <f t="shared" si="36"/>
        <v/>
      </c>
      <c r="AF168" s="18" t="str">
        <f t="shared" si="37"/>
        <v/>
      </c>
      <c r="AG168" s="18" t="str">
        <f>IF(OR(O168="",AD168=""),"",IFERROR(INDEX(لیست‌ها!$Q$3:$Q$53,MATCH(AD168,لیست‌ها!$P$3:$P$53,0))+IF(AE168&lt;=6,(AE168-1)*31+AF168,IF(AE168&lt;=11,186+(AE168-7)*30+AF168,336+AF168))-1,""))</f>
        <v/>
      </c>
      <c r="AH168" s="18" t="str">
        <f t="shared" si="38"/>
        <v/>
      </c>
      <c r="AI168" s="18" t="str">
        <f t="shared" si="39"/>
        <v/>
      </c>
      <c r="AJ168" s="18" t="str">
        <f t="shared" ca="1" si="40"/>
        <v/>
      </c>
    </row>
    <row r="169" spans="1:36">
      <c r="A169" s="18">
        <v>166</v>
      </c>
      <c r="B169" s="15" t="s">
        <v>296</v>
      </c>
      <c r="C169" s="15" t="s">
        <v>36</v>
      </c>
      <c r="D169" s="15" t="s">
        <v>69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8" t="str">
        <f t="shared" ca="1" si="28"/>
        <v/>
      </c>
      <c r="U169" s="18">
        <f t="shared" ca="1" si="41"/>
        <v>0</v>
      </c>
      <c r="V169" s="18" t="str">
        <f t="shared" si="29"/>
        <v/>
      </c>
      <c r="W169" s="18" t="str">
        <f t="shared" si="30"/>
        <v/>
      </c>
      <c r="X169" s="18" t="str">
        <f t="shared" si="31"/>
        <v/>
      </c>
      <c r="Y169" s="19" t="str">
        <f>IF(OR(L169="",V169=""),"",IFERROR(INDEX(لیست‌ها!$Q$3:$Q$53,MATCH(V169,لیست‌ها!$P$3:$P$53,0))+IF(W169&lt;=6,(W169-1)*31+X169,IF(W169&lt;=11,186+(W169-7)*30+X169,336+X169))-1,""))</f>
        <v/>
      </c>
      <c r="Z169" s="18" t="str">
        <f t="shared" si="32"/>
        <v/>
      </c>
      <c r="AA169" s="18" t="str">
        <f t="shared" si="33"/>
        <v/>
      </c>
      <c r="AB169" s="18" t="str">
        <f t="shared" si="34"/>
        <v/>
      </c>
      <c r="AC169" s="18" t="str">
        <f>IF(OR(H169="",Z169=""),"",IFERROR(INDEX(لیست‌ها!$Q$3:$Q$53,MATCH(Z169,لیست‌ها!$P$3:$P$53,0))+IF(AA169&lt;=6,(AA169-1)*31+AB169,IF(AA169&lt;=11,186+(AA169-7)*30+AB169,336+AB169))-1,""))</f>
        <v/>
      </c>
      <c r="AD169" s="18" t="str">
        <f t="shared" si="35"/>
        <v/>
      </c>
      <c r="AE169" s="18" t="str">
        <f t="shared" si="36"/>
        <v/>
      </c>
      <c r="AF169" s="18" t="str">
        <f t="shared" si="37"/>
        <v/>
      </c>
      <c r="AG169" s="18" t="str">
        <f>IF(OR(O169="",AD169=""),"",IFERROR(INDEX(لیست‌ها!$Q$3:$Q$53,MATCH(AD169,لیست‌ها!$P$3:$P$53,0))+IF(AE169&lt;=6,(AE169-1)*31+AF169,IF(AE169&lt;=11,186+(AE169-7)*30+AF169,336+AF169))-1,""))</f>
        <v/>
      </c>
      <c r="AH169" s="18" t="str">
        <f t="shared" si="38"/>
        <v/>
      </c>
      <c r="AI169" s="18" t="str">
        <f t="shared" si="39"/>
        <v/>
      </c>
      <c r="AJ169" s="18" t="str">
        <f t="shared" ca="1" si="40"/>
        <v/>
      </c>
    </row>
    <row r="170" spans="1:36">
      <c r="A170" s="18">
        <v>167</v>
      </c>
      <c r="B170" s="15" t="s">
        <v>297</v>
      </c>
      <c r="C170" s="15" t="s">
        <v>36</v>
      </c>
      <c r="D170" s="15" t="s">
        <v>69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8" t="str">
        <f t="shared" ca="1" si="28"/>
        <v/>
      </c>
      <c r="U170" s="18">
        <f t="shared" ca="1" si="41"/>
        <v>0</v>
      </c>
      <c r="V170" s="18" t="str">
        <f t="shared" si="29"/>
        <v/>
      </c>
      <c r="W170" s="18" t="str">
        <f t="shared" si="30"/>
        <v/>
      </c>
      <c r="X170" s="18" t="str">
        <f t="shared" si="31"/>
        <v/>
      </c>
      <c r="Y170" s="19" t="str">
        <f>IF(OR(L170="",V170=""),"",IFERROR(INDEX(لیست‌ها!$Q$3:$Q$53,MATCH(V170,لیست‌ها!$P$3:$P$53,0))+IF(W170&lt;=6,(W170-1)*31+X170,IF(W170&lt;=11,186+(W170-7)*30+X170,336+X170))-1,""))</f>
        <v/>
      </c>
      <c r="Z170" s="18" t="str">
        <f t="shared" si="32"/>
        <v/>
      </c>
      <c r="AA170" s="18" t="str">
        <f t="shared" si="33"/>
        <v/>
      </c>
      <c r="AB170" s="18" t="str">
        <f t="shared" si="34"/>
        <v/>
      </c>
      <c r="AC170" s="18" t="str">
        <f>IF(OR(H170="",Z170=""),"",IFERROR(INDEX(لیست‌ها!$Q$3:$Q$53,MATCH(Z170,لیست‌ها!$P$3:$P$53,0))+IF(AA170&lt;=6,(AA170-1)*31+AB170,IF(AA170&lt;=11,186+(AA170-7)*30+AB170,336+AB170))-1,""))</f>
        <v/>
      </c>
      <c r="AD170" s="18" t="str">
        <f t="shared" si="35"/>
        <v/>
      </c>
      <c r="AE170" s="18" t="str">
        <f t="shared" si="36"/>
        <v/>
      </c>
      <c r="AF170" s="18" t="str">
        <f t="shared" si="37"/>
        <v/>
      </c>
      <c r="AG170" s="18" t="str">
        <f>IF(OR(O170="",AD170=""),"",IFERROR(INDEX(لیست‌ها!$Q$3:$Q$53,MATCH(AD170,لیست‌ها!$P$3:$P$53,0))+IF(AE170&lt;=6,(AE170-1)*31+AF170,IF(AE170&lt;=11,186+(AE170-7)*30+AF170,336+AF170))-1,""))</f>
        <v/>
      </c>
      <c r="AH170" s="18" t="str">
        <f t="shared" si="38"/>
        <v/>
      </c>
      <c r="AI170" s="18" t="str">
        <f t="shared" si="39"/>
        <v/>
      </c>
      <c r="AJ170" s="18" t="str">
        <f t="shared" ca="1" si="40"/>
        <v/>
      </c>
    </row>
    <row r="171" spans="1:36">
      <c r="A171" s="18">
        <v>168</v>
      </c>
      <c r="B171" s="15" t="s">
        <v>298</v>
      </c>
      <c r="C171" s="15" t="s">
        <v>36</v>
      </c>
      <c r="D171" s="15" t="s">
        <v>69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8" t="str">
        <f t="shared" ca="1" si="28"/>
        <v/>
      </c>
      <c r="U171" s="18">
        <f t="shared" ca="1" si="41"/>
        <v>0</v>
      </c>
      <c r="V171" s="18" t="str">
        <f t="shared" si="29"/>
        <v/>
      </c>
      <c r="W171" s="18" t="str">
        <f t="shared" si="30"/>
        <v/>
      </c>
      <c r="X171" s="18" t="str">
        <f t="shared" si="31"/>
        <v/>
      </c>
      <c r="Y171" s="19" t="str">
        <f>IF(OR(L171="",V171=""),"",IFERROR(INDEX(لیست‌ها!$Q$3:$Q$53,MATCH(V171,لیست‌ها!$P$3:$P$53,0))+IF(W171&lt;=6,(W171-1)*31+X171,IF(W171&lt;=11,186+(W171-7)*30+X171,336+X171))-1,""))</f>
        <v/>
      </c>
      <c r="Z171" s="18" t="str">
        <f t="shared" si="32"/>
        <v/>
      </c>
      <c r="AA171" s="18" t="str">
        <f t="shared" si="33"/>
        <v/>
      </c>
      <c r="AB171" s="18" t="str">
        <f t="shared" si="34"/>
        <v/>
      </c>
      <c r="AC171" s="18" t="str">
        <f>IF(OR(H171="",Z171=""),"",IFERROR(INDEX(لیست‌ها!$Q$3:$Q$53,MATCH(Z171,لیست‌ها!$P$3:$P$53,0))+IF(AA171&lt;=6,(AA171-1)*31+AB171,IF(AA171&lt;=11,186+(AA171-7)*30+AB171,336+AB171))-1,""))</f>
        <v/>
      </c>
      <c r="AD171" s="18" t="str">
        <f t="shared" si="35"/>
        <v/>
      </c>
      <c r="AE171" s="18" t="str">
        <f t="shared" si="36"/>
        <v/>
      </c>
      <c r="AF171" s="18" t="str">
        <f t="shared" si="37"/>
        <v/>
      </c>
      <c r="AG171" s="18" t="str">
        <f>IF(OR(O171="",AD171=""),"",IFERROR(INDEX(لیست‌ها!$Q$3:$Q$53,MATCH(AD171,لیست‌ها!$P$3:$P$53,0))+IF(AE171&lt;=6,(AE171-1)*31+AF171,IF(AE171&lt;=11,186+(AE171-7)*30+AF171,336+AF171))-1,""))</f>
        <v/>
      </c>
      <c r="AH171" s="18" t="str">
        <f t="shared" si="38"/>
        <v/>
      </c>
      <c r="AI171" s="18" t="str">
        <f t="shared" si="39"/>
        <v/>
      </c>
      <c r="AJ171" s="18" t="str">
        <f t="shared" ca="1" si="40"/>
        <v/>
      </c>
    </row>
    <row r="172" spans="1:36">
      <c r="A172" s="18">
        <v>169</v>
      </c>
      <c r="B172" s="15" t="s">
        <v>299</v>
      </c>
      <c r="C172" s="15" t="s">
        <v>36</v>
      </c>
      <c r="D172" s="15" t="s">
        <v>69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8" t="str">
        <f t="shared" ca="1" si="28"/>
        <v/>
      </c>
      <c r="U172" s="18">
        <f t="shared" ca="1" si="41"/>
        <v>0</v>
      </c>
      <c r="V172" s="18" t="str">
        <f t="shared" si="29"/>
        <v/>
      </c>
      <c r="W172" s="18" t="str">
        <f t="shared" si="30"/>
        <v/>
      </c>
      <c r="X172" s="18" t="str">
        <f t="shared" si="31"/>
        <v/>
      </c>
      <c r="Y172" s="19" t="str">
        <f>IF(OR(L172="",V172=""),"",IFERROR(INDEX(لیست‌ها!$Q$3:$Q$53,MATCH(V172,لیست‌ها!$P$3:$P$53,0))+IF(W172&lt;=6,(W172-1)*31+X172,IF(W172&lt;=11,186+(W172-7)*30+X172,336+X172))-1,""))</f>
        <v/>
      </c>
      <c r="Z172" s="18" t="str">
        <f t="shared" si="32"/>
        <v/>
      </c>
      <c r="AA172" s="18" t="str">
        <f t="shared" si="33"/>
        <v/>
      </c>
      <c r="AB172" s="18" t="str">
        <f t="shared" si="34"/>
        <v/>
      </c>
      <c r="AC172" s="18" t="str">
        <f>IF(OR(H172="",Z172=""),"",IFERROR(INDEX(لیست‌ها!$Q$3:$Q$53,MATCH(Z172,لیست‌ها!$P$3:$P$53,0))+IF(AA172&lt;=6,(AA172-1)*31+AB172,IF(AA172&lt;=11,186+(AA172-7)*30+AB172,336+AB172))-1,""))</f>
        <v/>
      </c>
      <c r="AD172" s="18" t="str">
        <f t="shared" si="35"/>
        <v/>
      </c>
      <c r="AE172" s="18" t="str">
        <f t="shared" si="36"/>
        <v/>
      </c>
      <c r="AF172" s="18" t="str">
        <f t="shared" si="37"/>
        <v/>
      </c>
      <c r="AG172" s="18" t="str">
        <f>IF(OR(O172="",AD172=""),"",IFERROR(INDEX(لیست‌ها!$Q$3:$Q$53,MATCH(AD172,لیست‌ها!$P$3:$P$53,0))+IF(AE172&lt;=6,(AE172-1)*31+AF172,IF(AE172&lt;=11,186+(AE172-7)*30+AF172,336+AF172))-1,""))</f>
        <v/>
      </c>
      <c r="AH172" s="18" t="str">
        <f t="shared" si="38"/>
        <v/>
      </c>
      <c r="AI172" s="18" t="str">
        <f t="shared" si="39"/>
        <v/>
      </c>
      <c r="AJ172" s="18" t="str">
        <f t="shared" ca="1" si="40"/>
        <v/>
      </c>
    </row>
    <row r="173" spans="1:36">
      <c r="A173" s="18">
        <v>170</v>
      </c>
      <c r="B173" s="15" t="s">
        <v>300</v>
      </c>
      <c r="C173" s="15" t="s">
        <v>36</v>
      </c>
      <c r="D173" s="15" t="s">
        <v>69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8" t="str">
        <f t="shared" ca="1" si="28"/>
        <v/>
      </c>
      <c r="U173" s="18">
        <f t="shared" ca="1" si="41"/>
        <v>0</v>
      </c>
      <c r="V173" s="18" t="str">
        <f t="shared" si="29"/>
        <v/>
      </c>
      <c r="W173" s="18" t="str">
        <f t="shared" si="30"/>
        <v/>
      </c>
      <c r="X173" s="18" t="str">
        <f t="shared" si="31"/>
        <v/>
      </c>
      <c r="Y173" s="19" t="str">
        <f>IF(OR(L173="",V173=""),"",IFERROR(INDEX(لیست‌ها!$Q$3:$Q$53,MATCH(V173,لیست‌ها!$P$3:$P$53,0))+IF(W173&lt;=6,(W173-1)*31+X173,IF(W173&lt;=11,186+(W173-7)*30+X173,336+X173))-1,""))</f>
        <v/>
      </c>
      <c r="Z173" s="18" t="str">
        <f t="shared" si="32"/>
        <v/>
      </c>
      <c r="AA173" s="18" t="str">
        <f t="shared" si="33"/>
        <v/>
      </c>
      <c r="AB173" s="18" t="str">
        <f t="shared" si="34"/>
        <v/>
      </c>
      <c r="AC173" s="18" t="str">
        <f>IF(OR(H173="",Z173=""),"",IFERROR(INDEX(لیست‌ها!$Q$3:$Q$53,MATCH(Z173,لیست‌ها!$P$3:$P$53,0))+IF(AA173&lt;=6,(AA173-1)*31+AB173,IF(AA173&lt;=11,186+(AA173-7)*30+AB173,336+AB173))-1,""))</f>
        <v/>
      </c>
      <c r="AD173" s="18" t="str">
        <f t="shared" si="35"/>
        <v/>
      </c>
      <c r="AE173" s="18" t="str">
        <f t="shared" si="36"/>
        <v/>
      </c>
      <c r="AF173" s="18" t="str">
        <f t="shared" si="37"/>
        <v/>
      </c>
      <c r="AG173" s="18" t="str">
        <f>IF(OR(O173="",AD173=""),"",IFERROR(INDEX(لیست‌ها!$Q$3:$Q$53,MATCH(AD173,لیست‌ها!$P$3:$P$53,0))+IF(AE173&lt;=6,(AE173-1)*31+AF173,IF(AE173&lt;=11,186+(AE173-7)*30+AF173,336+AF173))-1,""))</f>
        <v/>
      </c>
      <c r="AH173" s="18" t="str">
        <f t="shared" si="38"/>
        <v/>
      </c>
      <c r="AI173" s="18" t="str">
        <f t="shared" si="39"/>
        <v/>
      </c>
      <c r="AJ173" s="18" t="str">
        <f t="shared" ca="1" si="40"/>
        <v/>
      </c>
    </row>
    <row r="174" spans="1:36">
      <c r="A174" s="18">
        <v>171</v>
      </c>
      <c r="B174" s="15" t="s">
        <v>301</v>
      </c>
      <c r="C174" s="15" t="s">
        <v>36</v>
      </c>
      <c r="D174" s="15" t="s">
        <v>69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8" t="str">
        <f t="shared" ca="1" si="28"/>
        <v/>
      </c>
      <c r="U174" s="18">
        <f t="shared" ca="1" si="41"/>
        <v>0</v>
      </c>
      <c r="V174" s="18" t="str">
        <f t="shared" si="29"/>
        <v/>
      </c>
      <c r="W174" s="18" t="str">
        <f t="shared" si="30"/>
        <v/>
      </c>
      <c r="X174" s="18" t="str">
        <f t="shared" si="31"/>
        <v/>
      </c>
      <c r="Y174" s="19" t="str">
        <f>IF(OR(L174="",V174=""),"",IFERROR(INDEX(لیست‌ها!$Q$3:$Q$53,MATCH(V174,لیست‌ها!$P$3:$P$53,0))+IF(W174&lt;=6,(W174-1)*31+X174,IF(W174&lt;=11,186+(W174-7)*30+X174,336+X174))-1,""))</f>
        <v/>
      </c>
      <c r="Z174" s="18" t="str">
        <f t="shared" si="32"/>
        <v/>
      </c>
      <c r="AA174" s="18" t="str">
        <f t="shared" si="33"/>
        <v/>
      </c>
      <c r="AB174" s="18" t="str">
        <f t="shared" si="34"/>
        <v/>
      </c>
      <c r="AC174" s="18" t="str">
        <f>IF(OR(H174="",Z174=""),"",IFERROR(INDEX(لیست‌ها!$Q$3:$Q$53,MATCH(Z174,لیست‌ها!$P$3:$P$53,0))+IF(AA174&lt;=6,(AA174-1)*31+AB174,IF(AA174&lt;=11,186+(AA174-7)*30+AB174,336+AB174))-1,""))</f>
        <v/>
      </c>
      <c r="AD174" s="18" t="str">
        <f t="shared" si="35"/>
        <v/>
      </c>
      <c r="AE174" s="18" t="str">
        <f t="shared" si="36"/>
        <v/>
      </c>
      <c r="AF174" s="18" t="str">
        <f t="shared" si="37"/>
        <v/>
      </c>
      <c r="AG174" s="18" t="str">
        <f>IF(OR(O174="",AD174=""),"",IFERROR(INDEX(لیست‌ها!$Q$3:$Q$53,MATCH(AD174,لیست‌ها!$P$3:$P$53,0))+IF(AE174&lt;=6,(AE174-1)*31+AF174,IF(AE174&lt;=11,186+(AE174-7)*30+AF174,336+AF174))-1,""))</f>
        <v/>
      </c>
      <c r="AH174" s="18" t="str">
        <f t="shared" si="38"/>
        <v/>
      </c>
      <c r="AI174" s="18" t="str">
        <f t="shared" si="39"/>
        <v/>
      </c>
      <c r="AJ174" s="18" t="str">
        <f t="shared" ca="1" si="40"/>
        <v/>
      </c>
    </row>
    <row r="175" spans="1:36">
      <c r="A175" s="18">
        <v>172</v>
      </c>
      <c r="B175" s="15" t="s">
        <v>302</v>
      </c>
      <c r="C175" s="15" t="s">
        <v>36</v>
      </c>
      <c r="D175" s="15" t="s">
        <v>69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8" t="str">
        <f t="shared" ca="1" si="28"/>
        <v/>
      </c>
      <c r="U175" s="18">
        <f t="shared" ca="1" si="41"/>
        <v>0</v>
      </c>
      <c r="V175" s="18" t="str">
        <f t="shared" si="29"/>
        <v/>
      </c>
      <c r="W175" s="18" t="str">
        <f t="shared" si="30"/>
        <v/>
      </c>
      <c r="X175" s="18" t="str">
        <f t="shared" si="31"/>
        <v/>
      </c>
      <c r="Y175" s="19" t="str">
        <f>IF(OR(L175="",V175=""),"",IFERROR(INDEX(لیست‌ها!$Q$3:$Q$53,MATCH(V175,لیست‌ها!$P$3:$P$53,0))+IF(W175&lt;=6,(W175-1)*31+X175,IF(W175&lt;=11,186+(W175-7)*30+X175,336+X175))-1,""))</f>
        <v/>
      </c>
      <c r="Z175" s="18" t="str">
        <f t="shared" si="32"/>
        <v/>
      </c>
      <c r="AA175" s="18" t="str">
        <f t="shared" si="33"/>
        <v/>
      </c>
      <c r="AB175" s="18" t="str">
        <f t="shared" si="34"/>
        <v/>
      </c>
      <c r="AC175" s="19" t="str">
        <f>IF(OR(H175="",Z175=""),"",IFERROR(INDEX(لیست‌ها!$Q$3:$Q$53,MATCH(Z175,لیست‌ها!$P$3:$P$53,0))+IF(AA175&lt;=6,(AA175-1)*31+AB175,IF(AA175&lt;=11,186+(AA175-7)*30+AB175,336+AB175))-1,""))</f>
        <v/>
      </c>
      <c r="AD175" s="18" t="str">
        <f t="shared" si="35"/>
        <v/>
      </c>
      <c r="AE175" s="18" t="str">
        <f t="shared" si="36"/>
        <v/>
      </c>
      <c r="AF175" s="18" t="str">
        <f t="shared" si="37"/>
        <v/>
      </c>
      <c r="AG175" s="18" t="str">
        <f>IF(OR(O175="",AD175=""),"",IFERROR(INDEX(لیست‌ها!$Q$3:$Q$53,MATCH(AD175,لیست‌ها!$P$3:$P$53,0))+IF(AE175&lt;=6,(AE175-1)*31+AF175,IF(AE175&lt;=11,186+(AE175-7)*30+AF175,336+AF175))-1,""))</f>
        <v/>
      </c>
      <c r="AH175" s="18" t="str">
        <f t="shared" si="38"/>
        <v/>
      </c>
      <c r="AI175" s="18" t="str">
        <f t="shared" si="39"/>
        <v/>
      </c>
      <c r="AJ175" s="18" t="str">
        <f t="shared" ca="1" si="40"/>
        <v/>
      </c>
    </row>
    <row r="176" spans="1:36">
      <c r="A176" s="18">
        <v>173</v>
      </c>
      <c r="B176" s="15" t="s">
        <v>303</v>
      </c>
      <c r="C176" s="15" t="s">
        <v>36</v>
      </c>
      <c r="D176" s="15" t="s">
        <v>69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8" t="str">
        <f t="shared" ca="1" si="28"/>
        <v/>
      </c>
      <c r="U176" s="18">
        <f t="shared" ca="1" si="41"/>
        <v>0</v>
      </c>
      <c r="V176" s="18" t="str">
        <f t="shared" si="29"/>
        <v/>
      </c>
      <c r="W176" s="18" t="str">
        <f t="shared" si="30"/>
        <v/>
      </c>
      <c r="X176" s="18" t="str">
        <f t="shared" si="31"/>
        <v/>
      </c>
      <c r="Y176" s="19" t="str">
        <f>IF(OR(L176="",V176=""),"",IFERROR(INDEX(لیست‌ها!$Q$3:$Q$53,MATCH(V176,لیست‌ها!$P$3:$P$53,0))+IF(W176&lt;=6,(W176-1)*31+X176,IF(W176&lt;=11,186+(W176-7)*30+X176,336+X176))-1,""))</f>
        <v/>
      </c>
      <c r="Z176" s="18" t="str">
        <f t="shared" si="32"/>
        <v/>
      </c>
      <c r="AA176" s="18" t="str">
        <f t="shared" si="33"/>
        <v/>
      </c>
      <c r="AB176" s="18" t="str">
        <f t="shared" si="34"/>
        <v/>
      </c>
      <c r="AC176" s="18" t="str">
        <f>IF(OR(H176="",Z176=""),"",IFERROR(INDEX(لیست‌ها!$Q$3:$Q$53,MATCH(Z176,لیست‌ها!$P$3:$P$53,0))+IF(AA176&lt;=6,(AA176-1)*31+AB176,IF(AA176&lt;=11,186+(AA176-7)*30+AB176,336+AB176))-1,""))</f>
        <v/>
      </c>
      <c r="AD176" s="18" t="str">
        <f t="shared" si="35"/>
        <v/>
      </c>
      <c r="AE176" s="18" t="str">
        <f t="shared" si="36"/>
        <v/>
      </c>
      <c r="AF176" s="18" t="str">
        <f t="shared" si="37"/>
        <v/>
      </c>
      <c r="AG176" s="18" t="str">
        <f>IF(OR(O176="",AD176=""),"",IFERROR(INDEX(لیست‌ها!$Q$3:$Q$53,MATCH(AD176,لیست‌ها!$P$3:$P$53,0))+IF(AE176&lt;=6,(AE176-1)*31+AF176,IF(AE176&lt;=11,186+(AE176-7)*30+AF176,336+AF176))-1,""))</f>
        <v/>
      </c>
      <c r="AH176" s="18" t="str">
        <f t="shared" si="38"/>
        <v/>
      </c>
      <c r="AI176" s="18" t="str">
        <f t="shared" si="39"/>
        <v/>
      </c>
      <c r="AJ176" s="18" t="str">
        <f t="shared" ca="1" si="40"/>
        <v/>
      </c>
    </row>
    <row r="177" spans="1:36">
      <c r="A177" s="18">
        <v>174</v>
      </c>
      <c r="B177" s="15" t="s">
        <v>304</v>
      </c>
      <c r="C177" s="15" t="s">
        <v>36</v>
      </c>
      <c r="D177" s="15" t="s">
        <v>69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8" t="str">
        <f t="shared" ca="1" si="28"/>
        <v/>
      </c>
      <c r="U177" s="18">
        <f t="shared" ca="1" si="41"/>
        <v>0</v>
      </c>
      <c r="V177" s="18" t="str">
        <f t="shared" si="29"/>
        <v/>
      </c>
      <c r="W177" s="18" t="str">
        <f t="shared" si="30"/>
        <v/>
      </c>
      <c r="X177" s="18" t="str">
        <f t="shared" si="31"/>
        <v/>
      </c>
      <c r="Y177" s="19" t="str">
        <f>IF(OR(L177="",V177=""),"",IFERROR(INDEX(لیست‌ها!$Q$3:$Q$53,MATCH(V177,لیست‌ها!$P$3:$P$53,0))+IF(W177&lt;=6,(W177-1)*31+X177,IF(W177&lt;=11,186+(W177-7)*30+X177,336+X177))-1,""))</f>
        <v/>
      </c>
      <c r="Z177" s="18" t="str">
        <f t="shared" si="32"/>
        <v/>
      </c>
      <c r="AA177" s="18" t="str">
        <f t="shared" si="33"/>
        <v/>
      </c>
      <c r="AB177" s="18" t="str">
        <f t="shared" si="34"/>
        <v/>
      </c>
      <c r="AC177" s="18" t="str">
        <f>IF(OR(H177="",Z177=""),"",IFERROR(INDEX(لیست‌ها!$Q$3:$Q$53,MATCH(Z177,لیست‌ها!$P$3:$P$53,0))+IF(AA177&lt;=6,(AA177-1)*31+AB177,IF(AA177&lt;=11,186+(AA177-7)*30+AB177,336+AB177))-1,""))</f>
        <v/>
      </c>
      <c r="AD177" s="18" t="str">
        <f t="shared" si="35"/>
        <v/>
      </c>
      <c r="AE177" s="18" t="str">
        <f t="shared" si="36"/>
        <v/>
      </c>
      <c r="AF177" s="18" t="str">
        <f t="shared" si="37"/>
        <v/>
      </c>
      <c r="AG177" s="18" t="str">
        <f>IF(OR(O177="",AD177=""),"",IFERROR(INDEX(لیست‌ها!$Q$3:$Q$53,MATCH(AD177,لیست‌ها!$P$3:$P$53,0))+IF(AE177&lt;=6,(AE177-1)*31+AF177,IF(AE177&lt;=11,186+(AE177-7)*30+AF177,336+AF177))-1,""))</f>
        <v/>
      </c>
      <c r="AH177" s="18" t="str">
        <f t="shared" si="38"/>
        <v/>
      </c>
      <c r="AI177" s="18" t="str">
        <f t="shared" si="39"/>
        <v/>
      </c>
      <c r="AJ177" s="18" t="str">
        <f t="shared" ca="1" si="40"/>
        <v/>
      </c>
    </row>
    <row r="178" spans="1:36">
      <c r="A178" s="18">
        <v>175</v>
      </c>
      <c r="B178" s="15" t="s">
        <v>305</v>
      </c>
      <c r="C178" s="15" t="s">
        <v>36</v>
      </c>
      <c r="D178" s="15" t="s">
        <v>69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8" t="str">
        <f t="shared" ca="1" si="28"/>
        <v/>
      </c>
      <c r="U178" s="18">
        <f t="shared" ca="1" si="41"/>
        <v>0</v>
      </c>
      <c r="V178" s="18" t="str">
        <f t="shared" si="29"/>
        <v/>
      </c>
      <c r="W178" s="18" t="str">
        <f t="shared" si="30"/>
        <v/>
      </c>
      <c r="X178" s="18" t="str">
        <f t="shared" si="31"/>
        <v/>
      </c>
      <c r="Y178" s="19" t="str">
        <f>IF(OR(L178="",V178=""),"",IFERROR(INDEX(لیست‌ها!$Q$3:$Q$53,MATCH(V178,لیست‌ها!$P$3:$P$53,0))+IF(W178&lt;=6,(W178-1)*31+X178,IF(W178&lt;=11,186+(W178-7)*30+X178,336+X178))-1,""))</f>
        <v/>
      </c>
      <c r="Z178" s="18" t="str">
        <f t="shared" si="32"/>
        <v/>
      </c>
      <c r="AA178" s="18" t="str">
        <f t="shared" si="33"/>
        <v/>
      </c>
      <c r="AB178" s="18" t="str">
        <f t="shared" si="34"/>
        <v/>
      </c>
      <c r="AC178" s="18" t="str">
        <f>IF(OR(H178="",Z178=""),"",IFERROR(INDEX(لیست‌ها!$Q$3:$Q$53,MATCH(Z178,لیست‌ها!$P$3:$P$53,0))+IF(AA178&lt;=6,(AA178-1)*31+AB178,IF(AA178&lt;=11,186+(AA178-7)*30+AB178,336+AB178))-1,""))</f>
        <v/>
      </c>
      <c r="AD178" s="18" t="str">
        <f t="shared" si="35"/>
        <v/>
      </c>
      <c r="AE178" s="18" t="str">
        <f t="shared" si="36"/>
        <v/>
      </c>
      <c r="AF178" s="18" t="str">
        <f t="shared" si="37"/>
        <v/>
      </c>
      <c r="AG178" s="18" t="str">
        <f>IF(OR(O178="",AD178=""),"",IFERROR(INDEX(لیست‌ها!$Q$3:$Q$53,MATCH(AD178,لیست‌ها!$P$3:$P$53,0))+IF(AE178&lt;=6,(AE178-1)*31+AF178,IF(AE178&lt;=11,186+(AE178-7)*30+AF178,336+AF178))-1,""))</f>
        <v/>
      </c>
      <c r="AH178" s="18" t="str">
        <f t="shared" si="38"/>
        <v/>
      </c>
      <c r="AI178" s="18" t="str">
        <f t="shared" si="39"/>
        <v/>
      </c>
      <c r="AJ178" s="18" t="str">
        <f t="shared" ca="1" si="40"/>
        <v/>
      </c>
    </row>
    <row r="179" spans="1:36">
      <c r="A179" s="18">
        <v>176</v>
      </c>
      <c r="B179" s="15" t="s">
        <v>306</v>
      </c>
      <c r="C179" s="15" t="s">
        <v>36</v>
      </c>
      <c r="D179" s="15" t="s">
        <v>43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8" t="str">
        <f t="shared" ca="1" si="28"/>
        <v/>
      </c>
      <c r="U179" s="18">
        <f t="shared" ca="1" si="41"/>
        <v>0</v>
      </c>
      <c r="V179" s="18" t="str">
        <f t="shared" si="29"/>
        <v/>
      </c>
      <c r="W179" s="18" t="str">
        <f t="shared" si="30"/>
        <v/>
      </c>
      <c r="X179" s="18" t="str">
        <f t="shared" si="31"/>
        <v/>
      </c>
      <c r="Y179" s="19" t="str">
        <f>IF(OR(L179="",V179=""),"",IFERROR(INDEX(لیست‌ها!$Q$3:$Q$53,MATCH(V179,لیست‌ها!$P$3:$P$53,0))+IF(W179&lt;=6,(W179-1)*31+X179,IF(W179&lt;=11,186+(W179-7)*30+X179,336+X179))-1,""))</f>
        <v/>
      </c>
      <c r="Z179" s="18" t="str">
        <f t="shared" si="32"/>
        <v/>
      </c>
      <c r="AA179" s="18" t="str">
        <f t="shared" si="33"/>
        <v/>
      </c>
      <c r="AB179" s="18" t="str">
        <f t="shared" si="34"/>
        <v/>
      </c>
      <c r="AC179" s="18" t="str">
        <f>IF(OR(H179="",Z179=""),"",IFERROR(INDEX(لیست‌ها!$Q$3:$Q$53,MATCH(Z179,لیست‌ها!$P$3:$P$53,0))+IF(AA179&lt;=6,(AA179-1)*31+AB179,IF(AA179&lt;=11,186+(AA179-7)*30+AB179,336+AB179))-1,""))</f>
        <v/>
      </c>
      <c r="AD179" s="18" t="str">
        <f t="shared" si="35"/>
        <v/>
      </c>
      <c r="AE179" s="18" t="str">
        <f t="shared" si="36"/>
        <v/>
      </c>
      <c r="AF179" s="18" t="str">
        <f t="shared" si="37"/>
        <v/>
      </c>
      <c r="AG179" s="18" t="str">
        <f>IF(OR(O179="",AD179=""),"",IFERROR(INDEX(لیست‌ها!$Q$3:$Q$53,MATCH(AD179,لیست‌ها!$P$3:$P$53,0))+IF(AE179&lt;=6,(AE179-1)*31+AF179,IF(AE179&lt;=11,186+(AE179-7)*30+AF179,336+AF179))-1,""))</f>
        <v/>
      </c>
      <c r="AH179" s="18" t="str">
        <f t="shared" si="38"/>
        <v/>
      </c>
      <c r="AI179" s="18" t="str">
        <f t="shared" si="39"/>
        <v/>
      </c>
      <c r="AJ179" s="18" t="str">
        <f t="shared" ca="1" si="40"/>
        <v/>
      </c>
    </row>
    <row r="180" spans="1:36">
      <c r="A180" s="18">
        <v>177</v>
      </c>
      <c r="B180" s="15" t="s">
        <v>307</v>
      </c>
      <c r="C180" s="15" t="s">
        <v>36</v>
      </c>
      <c r="D180" s="15" t="s">
        <v>43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8" t="str">
        <f t="shared" ca="1" si="28"/>
        <v/>
      </c>
      <c r="U180" s="18">
        <f t="shared" ca="1" si="41"/>
        <v>0</v>
      </c>
      <c r="V180" s="18" t="str">
        <f t="shared" si="29"/>
        <v/>
      </c>
      <c r="W180" s="18" t="str">
        <f t="shared" si="30"/>
        <v/>
      </c>
      <c r="X180" s="18" t="str">
        <f t="shared" si="31"/>
        <v/>
      </c>
      <c r="Y180" s="19" t="str">
        <f>IF(OR(L180="",V180=""),"",IFERROR(INDEX(لیست‌ها!$Q$3:$Q$53,MATCH(V180,لیست‌ها!$P$3:$P$53,0))+IF(W180&lt;=6,(W180-1)*31+X180,IF(W180&lt;=11,186+(W180-7)*30+X180,336+X180))-1,""))</f>
        <v/>
      </c>
      <c r="Z180" s="18" t="str">
        <f t="shared" si="32"/>
        <v/>
      </c>
      <c r="AA180" s="18" t="str">
        <f t="shared" si="33"/>
        <v/>
      </c>
      <c r="AB180" s="18" t="str">
        <f t="shared" si="34"/>
        <v/>
      </c>
      <c r="AC180" s="18" t="str">
        <f>IF(OR(H180="",Z180=""),"",IFERROR(INDEX(لیست‌ها!$Q$3:$Q$53,MATCH(Z180,لیست‌ها!$P$3:$P$53,0))+IF(AA180&lt;=6,(AA180-1)*31+AB180,IF(AA180&lt;=11,186+(AA180-7)*30+AB180,336+AB180))-1,""))</f>
        <v/>
      </c>
      <c r="AD180" s="18" t="str">
        <f t="shared" si="35"/>
        <v/>
      </c>
      <c r="AE180" s="18" t="str">
        <f t="shared" si="36"/>
        <v/>
      </c>
      <c r="AF180" s="18" t="str">
        <f t="shared" si="37"/>
        <v/>
      </c>
      <c r="AG180" s="18" t="str">
        <f>IF(OR(O180="",AD180=""),"",IFERROR(INDEX(لیست‌ها!$Q$3:$Q$53,MATCH(AD180,لیست‌ها!$P$3:$P$53,0))+IF(AE180&lt;=6,(AE180-1)*31+AF180,IF(AE180&lt;=11,186+(AE180-7)*30+AF180,336+AF180))-1,""))</f>
        <v/>
      </c>
      <c r="AH180" s="18" t="str">
        <f t="shared" si="38"/>
        <v/>
      </c>
      <c r="AI180" s="18" t="str">
        <f t="shared" si="39"/>
        <v/>
      </c>
      <c r="AJ180" s="18" t="str">
        <f t="shared" ca="1" si="40"/>
        <v/>
      </c>
    </row>
    <row r="181" spans="1:36">
      <c r="A181" s="18">
        <v>178</v>
      </c>
      <c r="B181" s="15" t="s">
        <v>308</v>
      </c>
      <c r="C181" s="15" t="s">
        <v>36</v>
      </c>
      <c r="D181" s="15" t="s">
        <v>43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8" t="str">
        <f t="shared" ca="1" si="28"/>
        <v/>
      </c>
      <c r="U181" s="18">
        <f t="shared" ca="1" si="41"/>
        <v>0</v>
      </c>
      <c r="V181" s="18" t="str">
        <f t="shared" si="29"/>
        <v/>
      </c>
      <c r="W181" s="18" t="str">
        <f t="shared" si="30"/>
        <v/>
      </c>
      <c r="X181" s="18" t="str">
        <f t="shared" si="31"/>
        <v/>
      </c>
      <c r="Y181" s="19" t="str">
        <f>IF(OR(L181="",V181=""),"",IFERROR(INDEX(لیست‌ها!$Q$3:$Q$53,MATCH(V181,لیست‌ها!$P$3:$P$53,0))+IF(W181&lt;=6,(W181-1)*31+X181,IF(W181&lt;=11,186+(W181-7)*30+X181,336+X181))-1,""))</f>
        <v/>
      </c>
      <c r="Z181" s="18" t="str">
        <f t="shared" si="32"/>
        <v/>
      </c>
      <c r="AA181" s="18" t="str">
        <f t="shared" si="33"/>
        <v/>
      </c>
      <c r="AB181" s="18" t="str">
        <f t="shared" si="34"/>
        <v/>
      </c>
      <c r="AC181" s="18" t="str">
        <f>IF(OR(H181="",Z181=""),"",IFERROR(INDEX(لیست‌ها!$Q$3:$Q$53,MATCH(Z181,لیست‌ها!$P$3:$P$53,0))+IF(AA181&lt;=6,(AA181-1)*31+AB181,IF(AA181&lt;=11,186+(AA181-7)*30+AB181,336+AB181))-1,""))</f>
        <v/>
      </c>
      <c r="AD181" s="18" t="str">
        <f t="shared" si="35"/>
        <v/>
      </c>
      <c r="AE181" s="18" t="str">
        <f t="shared" si="36"/>
        <v/>
      </c>
      <c r="AF181" s="18" t="str">
        <f t="shared" si="37"/>
        <v/>
      </c>
      <c r="AG181" s="18" t="str">
        <f>IF(OR(O181="",AD181=""),"",IFERROR(INDEX(لیست‌ها!$Q$3:$Q$53,MATCH(AD181,لیست‌ها!$P$3:$P$53,0))+IF(AE181&lt;=6,(AE181-1)*31+AF181,IF(AE181&lt;=11,186+(AE181-7)*30+AF181,336+AF181))-1,""))</f>
        <v/>
      </c>
      <c r="AH181" s="18" t="str">
        <f t="shared" si="38"/>
        <v/>
      </c>
      <c r="AI181" s="18" t="str">
        <f t="shared" si="39"/>
        <v/>
      </c>
      <c r="AJ181" s="18" t="str">
        <f t="shared" ca="1" si="40"/>
        <v/>
      </c>
    </row>
    <row r="182" spans="1:36">
      <c r="A182" s="18">
        <v>179</v>
      </c>
      <c r="B182" s="15" t="s">
        <v>309</v>
      </c>
      <c r="C182" s="15" t="s">
        <v>36</v>
      </c>
      <c r="D182" s="15" t="s">
        <v>43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8" t="str">
        <f t="shared" ca="1" si="28"/>
        <v/>
      </c>
      <c r="U182" s="18">
        <f t="shared" ca="1" si="41"/>
        <v>0</v>
      </c>
      <c r="V182" s="18" t="str">
        <f t="shared" si="29"/>
        <v/>
      </c>
      <c r="W182" s="18" t="str">
        <f t="shared" si="30"/>
        <v/>
      </c>
      <c r="X182" s="18" t="str">
        <f t="shared" si="31"/>
        <v/>
      </c>
      <c r="Y182" s="19" t="str">
        <f>IF(OR(L182="",V182=""),"",IFERROR(INDEX(لیست‌ها!$Q$3:$Q$53,MATCH(V182,لیست‌ها!$P$3:$P$53,0))+IF(W182&lt;=6,(W182-1)*31+X182,IF(W182&lt;=11,186+(W182-7)*30+X182,336+X182))-1,""))</f>
        <v/>
      </c>
      <c r="Z182" s="18" t="str">
        <f t="shared" si="32"/>
        <v/>
      </c>
      <c r="AA182" s="18" t="str">
        <f t="shared" si="33"/>
        <v/>
      </c>
      <c r="AB182" s="18" t="str">
        <f t="shared" si="34"/>
        <v/>
      </c>
      <c r="AC182" s="18" t="str">
        <f>IF(OR(H182="",Z182=""),"",IFERROR(INDEX(لیست‌ها!$Q$3:$Q$53,MATCH(Z182,لیست‌ها!$P$3:$P$53,0))+IF(AA182&lt;=6,(AA182-1)*31+AB182,IF(AA182&lt;=11,186+(AA182-7)*30+AB182,336+AB182))-1,""))</f>
        <v/>
      </c>
      <c r="AD182" s="18" t="str">
        <f t="shared" si="35"/>
        <v/>
      </c>
      <c r="AE182" s="18" t="str">
        <f t="shared" si="36"/>
        <v/>
      </c>
      <c r="AF182" s="18" t="str">
        <f t="shared" si="37"/>
        <v/>
      </c>
      <c r="AG182" s="18" t="str">
        <f>IF(OR(O182="",AD182=""),"",IFERROR(INDEX(لیست‌ها!$Q$3:$Q$53,MATCH(AD182,لیست‌ها!$P$3:$P$53,0))+IF(AE182&lt;=6,(AE182-1)*31+AF182,IF(AE182&lt;=11,186+(AE182-7)*30+AF182,336+AF182))-1,""))</f>
        <v/>
      </c>
      <c r="AH182" s="18" t="str">
        <f t="shared" si="38"/>
        <v/>
      </c>
      <c r="AI182" s="18" t="str">
        <f t="shared" si="39"/>
        <v/>
      </c>
      <c r="AJ182" s="18" t="str">
        <f t="shared" ca="1" si="40"/>
        <v/>
      </c>
    </row>
    <row r="183" spans="1:36">
      <c r="A183" s="18">
        <v>180</v>
      </c>
      <c r="B183" s="15" t="s">
        <v>310</v>
      </c>
      <c r="C183" s="15" t="s">
        <v>36</v>
      </c>
      <c r="D183" s="15" t="s">
        <v>69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8" t="str">
        <f t="shared" ca="1" si="28"/>
        <v/>
      </c>
      <c r="U183" s="18">
        <f t="shared" ca="1" si="41"/>
        <v>0</v>
      </c>
      <c r="V183" s="18" t="str">
        <f t="shared" si="29"/>
        <v/>
      </c>
      <c r="W183" s="18" t="str">
        <f t="shared" si="30"/>
        <v/>
      </c>
      <c r="X183" s="18" t="str">
        <f t="shared" si="31"/>
        <v/>
      </c>
      <c r="Y183" s="19" t="str">
        <f>IF(OR(L183="",V183=""),"",IFERROR(INDEX(لیست‌ها!$Q$3:$Q$53,MATCH(V183,لیست‌ها!$P$3:$P$53,0))+IF(W183&lt;=6,(W183-1)*31+X183,IF(W183&lt;=11,186+(W183-7)*30+X183,336+X183))-1,""))</f>
        <v/>
      </c>
      <c r="Z183" s="18" t="str">
        <f t="shared" si="32"/>
        <v/>
      </c>
      <c r="AA183" s="18" t="str">
        <f t="shared" si="33"/>
        <v/>
      </c>
      <c r="AB183" s="18" t="str">
        <f t="shared" si="34"/>
        <v/>
      </c>
      <c r="AC183" s="18" t="str">
        <f>IF(OR(H183="",Z183=""),"",IFERROR(INDEX(لیست‌ها!$Q$3:$Q$53,MATCH(Z183,لیست‌ها!$P$3:$P$53,0))+IF(AA183&lt;=6,(AA183-1)*31+AB183,IF(AA183&lt;=11,186+(AA183-7)*30+AB183,336+AB183))-1,""))</f>
        <v/>
      </c>
      <c r="AD183" s="18" t="str">
        <f t="shared" si="35"/>
        <v/>
      </c>
      <c r="AE183" s="18" t="str">
        <f t="shared" si="36"/>
        <v/>
      </c>
      <c r="AF183" s="18" t="str">
        <f t="shared" si="37"/>
        <v/>
      </c>
      <c r="AG183" s="18" t="str">
        <f>IF(OR(O183="",AD183=""),"",IFERROR(INDEX(لیست‌ها!$Q$3:$Q$53,MATCH(AD183,لیست‌ها!$P$3:$P$53,0))+IF(AE183&lt;=6,(AE183-1)*31+AF183,IF(AE183&lt;=11,186+(AE183-7)*30+AF183,336+AF183))-1,""))</f>
        <v/>
      </c>
      <c r="AH183" s="18" t="str">
        <f t="shared" si="38"/>
        <v/>
      </c>
      <c r="AI183" s="18" t="str">
        <f t="shared" si="39"/>
        <v/>
      </c>
      <c r="AJ183" s="18" t="str">
        <f t="shared" ca="1" si="40"/>
        <v/>
      </c>
    </row>
    <row r="184" spans="1:36">
      <c r="A184" s="18">
        <v>181</v>
      </c>
      <c r="B184" s="15" t="s">
        <v>311</v>
      </c>
      <c r="C184" s="15" t="s">
        <v>36</v>
      </c>
      <c r="D184" s="15" t="s">
        <v>69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8" t="str">
        <f t="shared" ca="1" si="28"/>
        <v/>
      </c>
      <c r="U184" s="18">
        <f t="shared" ca="1" si="41"/>
        <v>0</v>
      </c>
      <c r="V184" s="18" t="str">
        <f t="shared" si="29"/>
        <v/>
      </c>
      <c r="W184" s="18" t="str">
        <f t="shared" si="30"/>
        <v/>
      </c>
      <c r="X184" s="18" t="str">
        <f t="shared" si="31"/>
        <v/>
      </c>
      <c r="Y184" s="19" t="str">
        <f>IF(OR(L184="",V184=""),"",IFERROR(INDEX(لیست‌ها!$Q$3:$Q$53,MATCH(V184,لیست‌ها!$P$3:$P$53,0))+IF(W184&lt;=6,(W184-1)*31+X184,IF(W184&lt;=11,186+(W184-7)*30+X184,336+X184))-1,""))</f>
        <v/>
      </c>
      <c r="Z184" s="18" t="str">
        <f t="shared" si="32"/>
        <v/>
      </c>
      <c r="AA184" s="18" t="str">
        <f t="shared" si="33"/>
        <v/>
      </c>
      <c r="AB184" s="18" t="str">
        <f t="shared" si="34"/>
        <v/>
      </c>
      <c r="AC184" s="18" t="str">
        <f>IF(OR(H184="",Z184=""),"",IFERROR(INDEX(لیست‌ها!$Q$3:$Q$53,MATCH(Z184,لیست‌ها!$P$3:$P$53,0))+IF(AA184&lt;=6,(AA184-1)*31+AB184,IF(AA184&lt;=11,186+(AA184-7)*30+AB184,336+AB184))-1,""))</f>
        <v/>
      </c>
      <c r="AD184" s="18" t="str">
        <f t="shared" si="35"/>
        <v/>
      </c>
      <c r="AE184" s="18" t="str">
        <f t="shared" si="36"/>
        <v/>
      </c>
      <c r="AF184" s="18" t="str">
        <f t="shared" si="37"/>
        <v/>
      </c>
      <c r="AG184" s="18" t="str">
        <f>IF(OR(O184="",AD184=""),"",IFERROR(INDEX(لیست‌ها!$Q$3:$Q$53,MATCH(AD184,لیست‌ها!$P$3:$P$53,0))+IF(AE184&lt;=6,(AE184-1)*31+AF184,IF(AE184&lt;=11,186+(AE184-7)*30+AF184,336+AF184))-1,""))</f>
        <v/>
      </c>
      <c r="AH184" s="18" t="str">
        <f t="shared" si="38"/>
        <v/>
      </c>
      <c r="AI184" s="18" t="str">
        <f t="shared" si="39"/>
        <v/>
      </c>
      <c r="AJ184" s="18" t="str">
        <f t="shared" ca="1" si="40"/>
        <v/>
      </c>
    </row>
    <row r="185" spans="1:36">
      <c r="A185" s="18">
        <v>182</v>
      </c>
      <c r="B185" s="15" t="s">
        <v>312</v>
      </c>
      <c r="C185" s="15" t="s">
        <v>36</v>
      </c>
      <c r="D185" s="15" t="s">
        <v>69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8" t="str">
        <f t="shared" ca="1" si="28"/>
        <v/>
      </c>
      <c r="U185" s="18">
        <f t="shared" ca="1" si="41"/>
        <v>0</v>
      </c>
      <c r="V185" s="18" t="str">
        <f t="shared" si="29"/>
        <v/>
      </c>
      <c r="W185" s="18" t="str">
        <f t="shared" si="30"/>
        <v/>
      </c>
      <c r="X185" s="18" t="str">
        <f t="shared" si="31"/>
        <v/>
      </c>
      <c r="Y185" s="19" t="str">
        <f>IF(OR(L185="",V185=""),"",IFERROR(INDEX(لیست‌ها!$Q$3:$Q$53,MATCH(V185,لیست‌ها!$P$3:$P$53,0))+IF(W185&lt;=6,(W185-1)*31+X185,IF(W185&lt;=11,186+(W185-7)*30+X185,336+X185))-1,""))</f>
        <v/>
      </c>
      <c r="Z185" s="18" t="str">
        <f t="shared" si="32"/>
        <v/>
      </c>
      <c r="AA185" s="18" t="str">
        <f t="shared" si="33"/>
        <v/>
      </c>
      <c r="AB185" s="18" t="str">
        <f t="shared" si="34"/>
        <v/>
      </c>
      <c r="AC185" s="18" t="str">
        <f>IF(OR(H185="",Z185=""),"",IFERROR(INDEX(لیست‌ها!$Q$3:$Q$53,MATCH(Z185,لیست‌ها!$P$3:$P$53,0))+IF(AA185&lt;=6,(AA185-1)*31+AB185,IF(AA185&lt;=11,186+(AA185-7)*30+AB185,336+AB185))-1,""))</f>
        <v/>
      </c>
      <c r="AD185" s="18" t="str">
        <f t="shared" si="35"/>
        <v/>
      </c>
      <c r="AE185" s="18" t="str">
        <f t="shared" si="36"/>
        <v/>
      </c>
      <c r="AF185" s="18" t="str">
        <f t="shared" si="37"/>
        <v/>
      </c>
      <c r="AG185" s="18" t="str">
        <f>IF(OR(O185="",AD185=""),"",IFERROR(INDEX(لیست‌ها!$Q$3:$Q$53,MATCH(AD185,لیست‌ها!$P$3:$P$53,0))+IF(AE185&lt;=6,(AE185-1)*31+AF185,IF(AE185&lt;=11,186+(AE185-7)*30+AF185,336+AF185))-1,""))</f>
        <v/>
      </c>
      <c r="AH185" s="18" t="str">
        <f t="shared" si="38"/>
        <v/>
      </c>
      <c r="AI185" s="18" t="str">
        <f t="shared" si="39"/>
        <v/>
      </c>
      <c r="AJ185" s="18" t="str">
        <f t="shared" ca="1" si="40"/>
        <v/>
      </c>
    </row>
    <row r="186" spans="1:36">
      <c r="A186" s="18">
        <v>183</v>
      </c>
      <c r="B186" s="15" t="s">
        <v>313</v>
      </c>
      <c r="C186" s="15" t="s">
        <v>36</v>
      </c>
      <c r="D186" s="15" t="s">
        <v>43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8" t="str">
        <f t="shared" ca="1" si="28"/>
        <v/>
      </c>
      <c r="U186" s="18">
        <f t="shared" ca="1" si="41"/>
        <v>0</v>
      </c>
      <c r="V186" s="18" t="str">
        <f t="shared" si="29"/>
        <v/>
      </c>
      <c r="W186" s="18" t="str">
        <f t="shared" si="30"/>
        <v/>
      </c>
      <c r="X186" s="18" t="str">
        <f t="shared" si="31"/>
        <v/>
      </c>
      <c r="Y186" s="19" t="str">
        <f>IF(OR(L186="",V186=""),"",IFERROR(INDEX(لیست‌ها!$Q$3:$Q$53,MATCH(V186,لیست‌ها!$P$3:$P$53,0))+IF(W186&lt;=6,(W186-1)*31+X186,IF(W186&lt;=11,186+(W186-7)*30+X186,336+X186))-1,""))</f>
        <v/>
      </c>
      <c r="Z186" s="18" t="str">
        <f t="shared" si="32"/>
        <v/>
      </c>
      <c r="AA186" s="18" t="str">
        <f t="shared" si="33"/>
        <v/>
      </c>
      <c r="AB186" s="18" t="str">
        <f t="shared" si="34"/>
        <v/>
      </c>
      <c r="AC186" s="18" t="str">
        <f>IF(OR(H186="",Z186=""),"",IFERROR(INDEX(لیست‌ها!$Q$3:$Q$53,MATCH(Z186,لیست‌ها!$P$3:$P$53,0))+IF(AA186&lt;=6,(AA186-1)*31+AB186,IF(AA186&lt;=11,186+(AA186-7)*30+AB186,336+AB186))-1,""))</f>
        <v/>
      </c>
      <c r="AD186" s="18" t="str">
        <f t="shared" si="35"/>
        <v/>
      </c>
      <c r="AE186" s="18" t="str">
        <f t="shared" si="36"/>
        <v/>
      </c>
      <c r="AF186" s="18" t="str">
        <f t="shared" si="37"/>
        <v/>
      </c>
      <c r="AG186" s="18" t="str">
        <f>IF(OR(O186="",AD186=""),"",IFERROR(INDEX(لیست‌ها!$Q$3:$Q$53,MATCH(AD186,لیست‌ها!$P$3:$P$53,0))+IF(AE186&lt;=6,(AE186-1)*31+AF186,IF(AE186&lt;=11,186+(AE186-7)*30+AF186,336+AF186))-1,""))</f>
        <v/>
      </c>
      <c r="AH186" s="18" t="str">
        <f t="shared" si="38"/>
        <v/>
      </c>
      <c r="AI186" s="18" t="str">
        <f t="shared" si="39"/>
        <v/>
      </c>
      <c r="AJ186" s="18" t="str">
        <f t="shared" ca="1" si="40"/>
        <v/>
      </c>
    </row>
    <row r="187" spans="1:36">
      <c r="A187" s="18">
        <v>184</v>
      </c>
      <c r="B187" s="15" t="s">
        <v>314</v>
      </c>
      <c r="C187" s="15" t="s">
        <v>36</v>
      </c>
      <c r="D187" s="15" t="s">
        <v>66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8" t="str">
        <f t="shared" ca="1" si="28"/>
        <v/>
      </c>
      <c r="U187" s="18">
        <f t="shared" ca="1" si="41"/>
        <v>0</v>
      </c>
      <c r="V187" s="18" t="str">
        <f t="shared" si="29"/>
        <v/>
      </c>
      <c r="W187" s="18" t="str">
        <f t="shared" si="30"/>
        <v/>
      </c>
      <c r="X187" s="18" t="str">
        <f t="shared" si="31"/>
        <v/>
      </c>
      <c r="Y187" s="19" t="str">
        <f>IF(OR(L187="",V187=""),"",IFERROR(INDEX(لیست‌ها!$Q$3:$Q$53,MATCH(V187,لیست‌ها!$P$3:$P$53,0))+IF(W187&lt;=6,(W187-1)*31+X187,IF(W187&lt;=11,186+(W187-7)*30+X187,336+X187))-1,""))</f>
        <v/>
      </c>
      <c r="Z187" s="18" t="str">
        <f t="shared" si="32"/>
        <v/>
      </c>
      <c r="AA187" s="18" t="str">
        <f t="shared" si="33"/>
        <v/>
      </c>
      <c r="AB187" s="18" t="str">
        <f t="shared" si="34"/>
        <v/>
      </c>
      <c r="AC187" s="18" t="str">
        <f>IF(OR(H187="",Z187=""),"",IFERROR(INDEX(لیست‌ها!$Q$3:$Q$53,MATCH(Z187,لیست‌ها!$P$3:$P$53,0))+IF(AA187&lt;=6,(AA187-1)*31+AB187,IF(AA187&lt;=11,186+(AA187-7)*30+AB187,336+AB187))-1,""))</f>
        <v/>
      </c>
      <c r="AD187" s="18" t="str">
        <f t="shared" si="35"/>
        <v/>
      </c>
      <c r="AE187" s="18" t="str">
        <f t="shared" si="36"/>
        <v/>
      </c>
      <c r="AF187" s="18" t="str">
        <f t="shared" si="37"/>
        <v/>
      </c>
      <c r="AG187" s="18" t="str">
        <f>IF(OR(O187="",AD187=""),"",IFERROR(INDEX(لیست‌ها!$Q$3:$Q$53,MATCH(AD187,لیست‌ها!$P$3:$P$53,0))+IF(AE187&lt;=6,(AE187-1)*31+AF187,IF(AE187&lt;=11,186+(AE187-7)*30+AF187,336+AF187))-1,""))</f>
        <v/>
      </c>
      <c r="AH187" s="18" t="str">
        <f t="shared" si="38"/>
        <v/>
      </c>
      <c r="AI187" s="18" t="str">
        <f t="shared" si="39"/>
        <v/>
      </c>
      <c r="AJ187" s="18" t="str">
        <f t="shared" ca="1" si="40"/>
        <v/>
      </c>
    </row>
    <row r="188" spans="1:36">
      <c r="A188" s="18">
        <v>185</v>
      </c>
      <c r="B188" s="15" t="s">
        <v>315</v>
      </c>
      <c r="C188" s="15" t="s">
        <v>36</v>
      </c>
      <c r="D188" s="15" t="s">
        <v>66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8" t="str">
        <f t="shared" ca="1" si="28"/>
        <v/>
      </c>
      <c r="U188" s="18">
        <f t="shared" ca="1" si="41"/>
        <v>0</v>
      </c>
      <c r="V188" s="18" t="str">
        <f t="shared" si="29"/>
        <v/>
      </c>
      <c r="W188" s="18" t="str">
        <f t="shared" si="30"/>
        <v/>
      </c>
      <c r="X188" s="18" t="str">
        <f t="shared" si="31"/>
        <v/>
      </c>
      <c r="Y188" s="19" t="str">
        <f>IF(OR(L188="",V188=""),"",IFERROR(INDEX(لیست‌ها!$Q$3:$Q$53,MATCH(V188,لیست‌ها!$P$3:$P$53,0))+IF(W188&lt;=6,(W188-1)*31+X188,IF(W188&lt;=11,186+(W188-7)*30+X188,336+X188))-1,""))</f>
        <v/>
      </c>
      <c r="Z188" s="18" t="str">
        <f t="shared" si="32"/>
        <v/>
      </c>
      <c r="AA188" s="18" t="str">
        <f t="shared" si="33"/>
        <v/>
      </c>
      <c r="AB188" s="18" t="str">
        <f t="shared" si="34"/>
        <v/>
      </c>
      <c r="AC188" s="18" t="str">
        <f>IF(OR(H188="",Z188=""),"",IFERROR(INDEX(لیست‌ها!$Q$3:$Q$53,MATCH(Z188,لیست‌ها!$P$3:$P$53,0))+IF(AA188&lt;=6,(AA188-1)*31+AB188,IF(AA188&lt;=11,186+(AA188-7)*30+AB188,336+AB188))-1,""))</f>
        <v/>
      </c>
      <c r="AD188" s="18" t="str">
        <f t="shared" si="35"/>
        <v/>
      </c>
      <c r="AE188" s="18" t="str">
        <f t="shared" si="36"/>
        <v/>
      </c>
      <c r="AF188" s="18" t="str">
        <f t="shared" si="37"/>
        <v/>
      </c>
      <c r="AG188" s="18" t="str">
        <f>IF(OR(O188="",AD188=""),"",IFERROR(INDEX(لیست‌ها!$Q$3:$Q$53,MATCH(AD188,لیست‌ها!$P$3:$P$53,0))+IF(AE188&lt;=6,(AE188-1)*31+AF188,IF(AE188&lt;=11,186+(AE188-7)*30+AF188,336+AF188))-1,""))</f>
        <v/>
      </c>
      <c r="AH188" s="18" t="str">
        <f t="shared" si="38"/>
        <v/>
      </c>
      <c r="AI188" s="18" t="str">
        <f t="shared" si="39"/>
        <v/>
      </c>
      <c r="AJ188" s="18" t="str">
        <f t="shared" ca="1" si="40"/>
        <v/>
      </c>
    </row>
    <row r="189" spans="1:36">
      <c r="A189" s="18">
        <v>186</v>
      </c>
      <c r="B189" s="15" t="s">
        <v>316</v>
      </c>
      <c r="C189" s="15" t="s">
        <v>36</v>
      </c>
      <c r="D189" s="15" t="s">
        <v>43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8" t="str">
        <f t="shared" ca="1" si="28"/>
        <v/>
      </c>
      <c r="U189" s="18">
        <f t="shared" ca="1" si="41"/>
        <v>0</v>
      </c>
      <c r="V189" s="18" t="str">
        <f t="shared" si="29"/>
        <v/>
      </c>
      <c r="W189" s="18" t="str">
        <f t="shared" si="30"/>
        <v/>
      </c>
      <c r="X189" s="18" t="str">
        <f t="shared" si="31"/>
        <v/>
      </c>
      <c r="Y189" s="19" t="str">
        <f>IF(OR(L189="",V189=""),"",IFERROR(INDEX(لیست‌ها!$Q$3:$Q$53,MATCH(V189,لیست‌ها!$P$3:$P$53,0))+IF(W189&lt;=6,(W189-1)*31+X189,IF(W189&lt;=11,186+(W189-7)*30+X189,336+X189))-1,""))</f>
        <v/>
      </c>
      <c r="Z189" s="18" t="str">
        <f t="shared" si="32"/>
        <v/>
      </c>
      <c r="AA189" s="18" t="str">
        <f t="shared" si="33"/>
        <v/>
      </c>
      <c r="AB189" s="18" t="str">
        <f t="shared" si="34"/>
        <v/>
      </c>
      <c r="AC189" s="18" t="str">
        <f>IF(OR(H189="",Z189=""),"",IFERROR(INDEX(لیست‌ها!$Q$3:$Q$53,MATCH(Z189,لیست‌ها!$P$3:$P$53,0))+IF(AA189&lt;=6,(AA189-1)*31+AB189,IF(AA189&lt;=11,186+(AA189-7)*30+AB189,336+AB189))-1,""))</f>
        <v/>
      </c>
      <c r="AD189" s="18" t="str">
        <f t="shared" si="35"/>
        <v/>
      </c>
      <c r="AE189" s="18" t="str">
        <f t="shared" si="36"/>
        <v/>
      </c>
      <c r="AF189" s="18" t="str">
        <f t="shared" si="37"/>
        <v/>
      </c>
      <c r="AG189" s="18" t="str">
        <f>IF(OR(O189="",AD189=""),"",IFERROR(INDEX(لیست‌ها!$Q$3:$Q$53,MATCH(AD189,لیست‌ها!$P$3:$P$53,0))+IF(AE189&lt;=6,(AE189-1)*31+AF189,IF(AE189&lt;=11,186+(AE189-7)*30+AF189,336+AF189))-1,""))</f>
        <v/>
      </c>
      <c r="AH189" s="18" t="str">
        <f t="shared" si="38"/>
        <v/>
      </c>
      <c r="AI189" s="18" t="str">
        <f t="shared" si="39"/>
        <v/>
      </c>
      <c r="AJ189" s="18" t="str">
        <f t="shared" ca="1" si="40"/>
        <v/>
      </c>
    </row>
    <row r="190" spans="1:36">
      <c r="A190" s="18">
        <v>187</v>
      </c>
      <c r="B190" s="15" t="s">
        <v>317</v>
      </c>
      <c r="C190" s="15" t="s">
        <v>36</v>
      </c>
      <c r="D190" s="15" t="s">
        <v>66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8" t="str">
        <f t="shared" ca="1" si="28"/>
        <v/>
      </c>
      <c r="U190" s="18">
        <f t="shared" ca="1" si="41"/>
        <v>0</v>
      </c>
      <c r="V190" s="18" t="str">
        <f t="shared" si="29"/>
        <v/>
      </c>
      <c r="W190" s="18" t="str">
        <f t="shared" si="30"/>
        <v/>
      </c>
      <c r="X190" s="18" t="str">
        <f t="shared" si="31"/>
        <v/>
      </c>
      <c r="Y190" s="19" t="str">
        <f>IF(OR(L190="",V190=""),"",IFERROR(INDEX(لیست‌ها!$Q$3:$Q$53,MATCH(V190,لیست‌ها!$P$3:$P$53,0))+IF(W190&lt;=6,(W190-1)*31+X190,IF(W190&lt;=11,186+(W190-7)*30+X190,336+X190))-1,""))</f>
        <v/>
      </c>
      <c r="Z190" s="18" t="str">
        <f t="shared" si="32"/>
        <v/>
      </c>
      <c r="AA190" s="18" t="str">
        <f t="shared" si="33"/>
        <v/>
      </c>
      <c r="AB190" s="18" t="str">
        <f t="shared" si="34"/>
        <v/>
      </c>
      <c r="AC190" s="18" t="str">
        <f>IF(OR(H190="",Z190=""),"",IFERROR(INDEX(لیست‌ها!$Q$3:$Q$53,MATCH(Z190,لیست‌ها!$P$3:$P$53,0))+IF(AA190&lt;=6,(AA190-1)*31+AB190,IF(AA190&lt;=11,186+(AA190-7)*30+AB190,336+AB190))-1,""))</f>
        <v/>
      </c>
      <c r="AD190" s="18" t="str">
        <f t="shared" si="35"/>
        <v/>
      </c>
      <c r="AE190" s="18" t="str">
        <f t="shared" si="36"/>
        <v/>
      </c>
      <c r="AF190" s="18" t="str">
        <f t="shared" si="37"/>
        <v/>
      </c>
      <c r="AG190" s="18" t="str">
        <f>IF(OR(O190="",AD190=""),"",IFERROR(INDEX(لیست‌ها!$Q$3:$Q$53,MATCH(AD190,لیست‌ها!$P$3:$P$53,0))+IF(AE190&lt;=6,(AE190-1)*31+AF190,IF(AE190&lt;=11,186+(AE190-7)*30+AF190,336+AF190))-1,""))</f>
        <v/>
      </c>
      <c r="AH190" s="18" t="str">
        <f t="shared" si="38"/>
        <v/>
      </c>
      <c r="AI190" s="18" t="str">
        <f t="shared" si="39"/>
        <v/>
      </c>
      <c r="AJ190" s="18" t="str">
        <f t="shared" ca="1" si="40"/>
        <v/>
      </c>
    </row>
    <row r="191" spans="1:36">
      <c r="A191" s="18">
        <v>188</v>
      </c>
      <c r="B191" s="15" t="s">
        <v>318</v>
      </c>
      <c r="C191" s="15" t="s">
        <v>36</v>
      </c>
      <c r="D191" s="15" t="s">
        <v>66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8" t="str">
        <f t="shared" ca="1" si="28"/>
        <v/>
      </c>
      <c r="U191" s="18">
        <f t="shared" ca="1" si="41"/>
        <v>0</v>
      </c>
      <c r="V191" s="18" t="str">
        <f t="shared" si="29"/>
        <v/>
      </c>
      <c r="W191" s="18" t="str">
        <f t="shared" si="30"/>
        <v/>
      </c>
      <c r="X191" s="18" t="str">
        <f t="shared" si="31"/>
        <v/>
      </c>
      <c r="Y191" s="19" t="str">
        <f>IF(OR(L191="",V191=""),"",IFERROR(INDEX(لیست‌ها!$Q$3:$Q$53,MATCH(V191,لیست‌ها!$P$3:$P$53,0))+IF(W191&lt;=6,(W191-1)*31+X191,IF(W191&lt;=11,186+(W191-7)*30+X191,336+X191))-1,""))</f>
        <v/>
      </c>
      <c r="Z191" s="18" t="str">
        <f t="shared" si="32"/>
        <v/>
      </c>
      <c r="AA191" s="18" t="str">
        <f t="shared" si="33"/>
        <v/>
      </c>
      <c r="AB191" s="18" t="str">
        <f t="shared" si="34"/>
        <v/>
      </c>
      <c r="AC191" s="18" t="str">
        <f>IF(OR(H191="",Z191=""),"",IFERROR(INDEX(لیست‌ها!$Q$3:$Q$53,MATCH(Z191,لیست‌ها!$P$3:$P$53,0))+IF(AA191&lt;=6,(AA191-1)*31+AB191,IF(AA191&lt;=11,186+(AA191-7)*30+AB191,336+AB191))-1,""))</f>
        <v/>
      </c>
      <c r="AD191" s="18" t="str">
        <f t="shared" si="35"/>
        <v/>
      </c>
      <c r="AE191" s="18" t="str">
        <f t="shared" si="36"/>
        <v/>
      </c>
      <c r="AF191" s="18" t="str">
        <f t="shared" si="37"/>
        <v/>
      </c>
      <c r="AG191" s="18" t="str">
        <f>IF(OR(O191="",AD191=""),"",IFERROR(INDEX(لیست‌ها!$Q$3:$Q$53,MATCH(AD191,لیست‌ها!$P$3:$P$53,0))+IF(AE191&lt;=6,(AE191-1)*31+AF191,IF(AE191&lt;=11,186+(AE191-7)*30+AF191,336+AF191))-1,""))</f>
        <v/>
      </c>
      <c r="AH191" s="18" t="str">
        <f t="shared" si="38"/>
        <v/>
      </c>
      <c r="AI191" s="18" t="str">
        <f t="shared" si="39"/>
        <v/>
      </c>
      <c r="AJ191" s="18" t="str">
        <f t="shared" ca="1" si="40"/>
        <v/>
      </c>
    </row>
    <row r="192" spans="1:36">
      <c r="A192" s="18">
        <v>189</v>
      </c>
      <c r="B192" s="15" t="s">
        <v>319</v>
      </c>
      <c r="C192" s="15" t="s">
        <v>36</v>
      </c>
      <c r="D192" s="15" t="s">
        <v>66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8" t="str">
        <f t="shared" ca="1" si="28"/>
        <v/>
      </c>
      <c r="U192" s="18">
        <f t="shared" ca="1" si="41"/>
        <v>0</v>
      </c>
      <c r="V192" s="18" t="str">
        <f t="shared" si="29"/>
        <v/>
      </c>
      <c r="W192" s="18" t="str">
        <f t="shared" si="30"/>
        <v/>
      </c>
      <c r="X192" s="18" t="str">
        <f t="shared" si="31"/>
        <v/>
      </c>
      <c r="Y192" s="19" t="str">
        <f>IF(OR(L192="",V192=""),"",IFERROR(INDEX(لیست‌ها!$Q$3:$Q$53,MATCH(V192,لیست‌ها!$P$3:$P$53,0))+IF(W192&lt;=6,(W192-1)*31+X192,IF(W192&lt;=11,186+(W192-7)*30+X192,336+X192))-1,""))</f>
        <v/>
      </c>
      <c r="Z192" s="18" t="str">
        <f t="shared" si="32"/>
        <v/>
      </c>
      <c r="AA192" s="18" t="str">
        <f t="shared" si="33"/>
        <v/>
      </c>
      <c r="AB192" s="18" t="str">
        <f t="shared" si="34"/>
        <v/>
      </c>
      <c r="AC192" s="18" t="str">
        <f>IF(OR(H192="",Z192=""),"",IFERROR(INDEX(لیست‌ها!$Q$3:$Q$53,MATCH(Z192,لیست‌ها!$P$3:$P$53,0))+IF(AA192&lt;=6,(AA192-1)*31+AB192,IF(AA192&lt;=11,186+(AA192-7)*30+AB192,336+AB192))-1,""))</f>
        <v/>
      </c>
      <c r="AD192" s="18" t="str">
        <f t="shared" si="35"/>
        <v/>
      </c>
      <c r="AE192" s="18" t="str">
        <f t="shared" si="36"/>
        <v/>
      </c>
      <c r="AF192" s="18" t="str">
        <f t="shared" si="37"/>
        <v/>
      </c>
      <c r="AG192" s="18" t="str">
        <f>IF(OR(O192="",AD192=""),"",IFERROR(INDEX(لیست‌ها!$Q$3:$Q$53,MATCH(AD192,لیست‌ها!$P$3:$P$53,0))+IF(AE192&lt;=6,(AE192-1)*31+AF192,IF(AE192&lt;=11,186+(AE192-7)*30+AF192,336+AF192))-1,""))</f>
        <v/>
      </c>
      <c r="AH192" s="18" t="str">
        <f t="shared" si="38"/>
        <v/>
      </c>
      <c r="AI192" s="18" t="str">
        <f t="shared" si="39"/>
        <v/>
      </c>
      <c r="AJ192" s="18" t="str">
        <f t="shared" ca="1" si="40"/>
        <v/>
      </c>
    </row>
    <row r="193" spans="1:36">
      <c r="A193" s="18">
        <v>190</v>
      </c>
      <c r="B193" s="15" t="s">
        <v>320</v>
      </c>
      <c r="C193" s="15" t="s">
        <v>36</v>
      </c>
      <c r="D193" s="15" t="s">
        <v>66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8" t="str">
        <f t="shared" ca="1" si="28"/>
        <v/>
      </c>
      <c r="U193" s="18">
        <f t="shared" ca="1" si="41"/>
        <v>0</v>
      </c>
      <c r="V193" s="18" t="str">
        <f t="shared" si="29"/>
        <v/>
      </c>
      <c r="W193" s="18" t="str">
        <f t="shared" si="30"/>
        <v/>
      </c>
      <c r="X193" s="18" t="str">
        <f t="shared" si="31"/>
        <v/>
      </c>
      <c r="Y193" s="19" t="str">
        <f>IF(OR(L193="",V193=""),"",IFERROR(INDEX(لیست‌ها!$Q$3:$Q$53,MATCH(V193,لیست‌ها!$P$3:$P$53,0))+IF(W193&lt;=6,(W193-1)*31+X193,IF(W193&lt;=11,186+(W193-7)*30+X193,336+X193))-1,""))</f>
        <v/>
      </c>
      <c r="Z193" s="18" t="str">
        <f t="shared" si="32"/>
        <v/>
      </c>
      <c r="AA193" s="18" t="str">
        <f t="shared" si="33"/>
        <v/>
      </c>
      <c r="AB193" s="18" t="str">
        <f t="shared" si="34"/>
        <v/>
      </c>
      <c r="AC193" s="18" t="str">
        <f>IF(OR(H193="",Z193=""),"",IFERROR(INDEX(لیست‌ها!$Q$3:$Q$53,MATCH(Z193,لیست‌ها!$P$3:$P$53,0))+IF(AA193&lt;=6,(AA193-1)*31+AB193,IF(AA193&lt;=11,186+(AA193-7)*30+AB193,336+AB193))-1,""))</f>
        <v/>
      </c>
      <c r="AD193" s="18" t="str">
        <f t="shared" si="35"/>
        <v/>
      </c>
      <c r="AE193" s="18" t="str">
        <f t="shared" si="36"/>
        <v/>
      </c>
      <c r="AF193" s="18" t="str">
        <f t="shared" si="37"/>
        <v/>
      </c>
      <c r="AG193" s="18" t="str">
        <f>IF(OR(O193="",AD193=""),"",IFERROR(INDEX(لیست‌ها!$Q$3:$Q$53,MATCH(AD193,لیست‌ها!$P$3:$P$53,0))+IF(AE193&lt;=6,(AE193-1)*31+AF193,IF(AE193&lt;=11,186+(AE193-7)*30+AF193,336+AF193))-1,""))</f>
        <v/>
      </c>
      <c r="AH193" s="18" t="str">
        <f t="shared" si="38"/>
        <v/>
      </c>
      <c r="AI193" s="18" t="str">
        <f t="shared" si="39"/>
        <v/>
      </c>
      <c r="AJ193" s="18" t="str">
        <f t="shared" ca="1" si="40"/>
        <v/>
      </c>
    </row>
    <row r="194" spans="1:36">
      <c r="A194" s="18">
        <v>191</v>
      </c>
      <c r="B194" s="15" t="s">
        <v>321</v>
      </c>
      <c r="C194" s="15" t="s">
        <v>36</v>
      </c>
      <c r="D194" s="15" t="s">
        <v>66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8" t="str">
        <f t="shared" ca="1" si="28"/>
        <v/>
      </c>
      <c r="U194" s="18">
        <f t="shared" ca="1" si="41"/>
        <v>0</v>
      </c>
      <c r="V194" s="18" t="str">
        <f t="shared" si="29"/>
        <v/>
      </c>
      <c r="W194" s="18" t="str">
        <f t="shared" si="30"/>
        <v/>
      </c>
      <c r="X194" s="18" t="str">
        <f t="shared" si="31"/>
        <v/>
      </c>
      <c r="Y194" s="19" t="str">
        <f>IF(OR(L194="",V194=""),"",IFERROR(INDEX(لیست‌ها!$Q$3:$Q$53,MATCH(V194,لیست‌ها!$P$3:$P$53,0))+IF(W194&lt;=6,(W194-1)*31+X194,IF(W194&lt;=11,186+(W194-7)*30+X194,336+X194))-1,""))</f>
        <v/>
      </c>
      <c r="Z194" s="18" t="str">
        <f t="shared" si="32"/>
        <v/>
      </c>
      <c r="AA194" s="18" t="str">
        <f t="shared" si="33"/>
        <v/>
      </c>
      <c r="AB194" s="18" t="str">
        <f t="shared" si="34"/>
        <v/>
      </c>
      <c r="AC194" s="18" t="str">
        <f>IF(OR(H194="",Z194=""),"",IFERROR(INDEX(لیست‌ها!$Q$3:$Q$53,MATCH(Z194,لیست‌ها!$P$3:$P$53,0))+IF(AA194&lt;=6,(AA194-1)*31+AB194,IF(AA194&lt;=11,186+(AA194-7)*30+AB194,336+AB194))-1,""))</f>
        <v/>
      </c>
      <c r="AD194" s="18" t="str">
        <f t="shared" si="35"/>
        <v/>
      </c>
      <c r="AE194" s="18" t="str">
        <f t="shared" si="36"/>
        <v/>
      </c>
      <c r="AF194" s="18" t="str">
        <f t="shared" si="37"/>
        <v/>
      </c>
      <c r="AG194" s="18" t="str">
        <f>IF(OR(O194="",AD194=""),"",IFERROR(INDEX(لیست‌ها!$Q$3:$Q$53,MATCH(AD194,لیست‌ها!$P$3:$P$53,0))+IF(AE194&lt;=6,(AE194-1)*31+AF194,IF(AE194&lt;=11,186+(AE194-7)*30+AF194,336+AF194))-1,""))</f>
        <v/>
      </c>
      <c r="AH194" s="18" t="str">
        <f t="shared" si="38"/>
        <v/>
      </c>
      <c r="AI194" s="18" t="str">
        <f t="shared" si="39"/>
        <v/>
      </c>
      <c r="AJ194" s="18" t="str">
        <f t="shared" ca="1" si="40"/>
        <v/>
      </c>
    </row>
    <row r="195" spans="1:36">
      <c r="A195" s="18">
        <v>192</v>
      </c>
      <c r="B195" s="15" t="s">
        <v>322</v>
      </c>
      <c r="C195" s="15" t="s">
        <v>36</v>
      </c>
      <c r="D195" s="15" t="s">
        <v>66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8" t="str">
        <f t="shared" ca="1" si="28"/>
        <v/>
      </c>
      <c r="U195" s="18">
        <f t="shared" ca="1" si="41"/>
        <v>0</v>
      </c>
      <c r="V195" s="18" t="str">
        <f t="shared" si="29"/>
        <v/>
      </c>
      <c r="W195" s="18" t="str">
        <f t="shared" si="30"/>
        <v/>
      </c>
      <c r="X195" s="18" t="str">
        <f t="shared" si="31"/>
        <v/>
      </c>
      <c r="Y195" s="19" t="str">
        <f>IF(OR(L195="",V195=""),"",IFERROR(INDEX(لیست‌ها!$Q$3:$Q$53,MATCH(V195,لیست‌ها!$P$3:$P$53,0))+IF(W195&lt;=6,(W195-1)*31+X195,IF(W195&lt;=11,186+(W195-7)*30+X195,336+X195))-1,""))</f>
        <v/>
      </c>
      <c r="Z195" s="18" t="str">
        <f t="shared" si="32"/>
        <v/>
      </c>
      <c r="AA195" s="18" t="str">
        <f t="shared" si="33"/>
        <v/>
      </c>
      <c r="AB195" s="18" t="str">
        <f t="shared" si="34"/>
        <v/>
      </c>
      <c r="AC195" s="18" t="str">
        <f>IF(OR(H195="",Z195=""),"",IFERROR(INDEX(لیست‌ها!$Q$3:$Q$53,MATCH(Z195,لیست‌ها!$P$3:$P$53,0))+IF(AA195&lt;=6,(AA195-1)*31+AB195,IF(AA195&lt;=11,186+(AA195-7)*30+AB195,336+AB195))-1,""))</f>
        <v/>
      </c>
      <c r="AD195" s="18" t="str">
        <f t="shared" si="35"/>
        <v/>
      </c>
      <c r="AE195" s="18" t="str">
        <f t="shared" si="36"/>
        <v/>
      </c>
      <c r="AF195" s="18" t="str">
        <f t="shared" si="37"/>
        <v/>
      </c>
      <c r="AG195" s="18" t="str">
        <f>IF(OR(O195="",AD195=""),"",IFERROR(INDEX(لیست‌ها!$Q$3:$Q$53,MATCH(AD195,لیست‌ها!$P$3:$P$53,0))+IF(AE195&lt;=6,(AE195-1)*31+AF195,IF(AE195&lt;=11,186+(AE195-7)*30+AF195,336+AF195))-1,""))</f>
        <v/>
      </c>
      <c r="AH195" s="18" t="str">
        <f t="shared" si="38"/>
        <v/>
      </c>
      <c r="AI195" s="18" t="str">
        <f t="shared" si="39"/>
        <v/>
      </c>
      <c r="AJ195" s="18" t="str">
        <f t="shared" ca="1" si="40"/>
        <v/>
      </c>
    </row>
    <row r="196" spans="1:36">
      <c r="A196" s="18">
        <v>193</v>
      </c>
      <c r="B196" s="15" t="s">
        <v>323</v>
      </c>
      <c r="C196" s="15" t="s">
        <v>36</v>
      </c>
      <c r="D196" s="15" t="s">
        <v>66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8" t="str">
        <f t="shared" ref="T196:T259" ca="1" si="42">IF(B196="","",IF(OR(I196&lt;&gt;"",O196&lt;&gt;""),"بسته",IF(AND(L196&lt;&gt;"",V196=""),"خطای فرمت تاریخ ایجاد",IF(AND(H196&lt;&gt;"",Z196=""),"خطای فرمت مهلت",IF(AND(H196&lt;&gt;"",AC196&lt;&gt;"",TODAY()&gt;AC196),"تاخیر",IF(L196&lt;&gt;"","در حال انجام",""))))))</f>
        <v/>
      </c>
      <c r="U196" s="18">
        <f t="shared" ca="1" si="41"/>
        <v>0</v>
      </c>
      <c r="V196" s="18" t="str">
        <f t="shared" ref="V196:V259" si="43">IF(L196="","",VALUE(LEFT(L196,FIND("/",L196)-1)))</f>
        <v/>
      </c>
      <c r="W196" s="18" t="str">
        <f t="shared" ref="W196:W259" si="44">IF(L196="","",VALUE(MID(L196,FIND("/",L196)+1,FIND("/",L196,FIND("/",L196)+1)-FIND("/",L196)-1)))</f>
        <v/>
      </c>
      <c r="X196" s="18" t="str">
        <f t="shared" ref="X196:X259" si="45">IF(L196="","",VALUE(MID(L196,FIND("/",L196,FIND("/",L196)+1)+1,LEN(L196)-FIND("/",L196,FIND("/",L196)+1))))</f>
        <v/>
      </c>
      <c r="Y196" s="19" t="str">
        <f>IF(OR(L196="",V196=""),"",IFERROR(INDEX(لیست‌ها!$Q$3:$Q$53,MATCH(V196,لیست‌ها!$P$3:$P$53,0))+IF(W196&lt;=6,(W196-1)*31+X196,IF(W196&lt;=11,186+(W196-7)*30+X196,336+X196))-1,""))</f>
        <v/>
      </c>
      <c r="Z196" s="18" t="str">
        <f t="shared" ref="Z196:Z259" si="46">IF(H196="","",VALUE(LEFT(H196,FIND("/",H196)-1)))</f>
        <v/>
      </c>
      <c r="AA196" s="18" t="str">
        <f t="shared" ref="AA196:AA259" si="47">IF(H196="","",VALUE(MID(H196,FIND("/",H196)+1,FIND("/",H196,FIND("/",H196)+1)-FIND("/",H196)-1)))</f>
        <v/>
      </c>
      <c r="AB196" s="18" t="str">
        <f t="shared" ref="AB196:AB259" si="48">IF(H196="","",VALUE(MID(H196,FIND("/",H196,FIND("/",H196)+1)+1,LEN(H196)-FIND("/",H196,FIND("/",H196)+1))))</f>
        <v/>
      </c>
      <c r="AC196" s="18" t="str">
        <f>IF(OR(H196="",Z196=""),"",IFERROR(INDEX(لیست‌ها!$Q$3:$Q$53,MATCH(Z196,لیست‌ها!$P$3:$P$53,0))+IF(AA196&lt;=6,(AA196-1)*31+AB196,IF(AA196&lt;=11,186+(AA196-7)*30+AB196,336+AB196))-1,""))</f>
        <v/>
      </c>
      <c r="AD196" s="18" t="str">
        <f t="shared" ref="AD196:AD259" si="49">IF(O196="","",VALUE(LEFT(O196,FIND("/",O196)-1)))</f>
        <v/>
      </c>
      <c r="AE196" s="18" t="str">
        <f t="shared" ref="AE196:AE259" si="50">IF(O196="","",VALUE(MID(O196,FIND("/",O196)+1,FIND("/",O196,FIND("/",O196)+1)-FIND("/",O196)-1)))</f>
        <v/>
      </c>
      <c r="AF196" s="18" t="str">
        <f t="shared" ref="AF196:AF259" si="51">IF(O196="","",VALUE(MID(O196,FIND("/",O196,FIND("/",O196)+1)+1,LEN(O196)-FIND("/",O196,FIND("/",O196)+1))))</f>
        <v/>
      </c>
      <c r="AG196" s="18" t="str">
        <f>IF(OR(O196="",AD196=""),"",IFERROR(INDEX(لیست‌ها!$Q$3:$Q$53,MATCH(AD196,لیست‌ها!$P$3:$P$53,0))+IF(AE196&lt;=6,(AE196-1)*31+AF196,IF(AE196&lt;=11,186+(AE196-7)*30+AF196,336+AF196))-1,""))</f>
        <v/>
      </c>
      <c r="AH196" s="18" t="str">
        <f t="shared" ref="AH196:AH259" si="52">IF(V196="","",V196&amp;"-"&amp;TEXT(W196,"00"))</f>
        <v/>
      </c>
      <c r="AI196" s="18" t="str">
        <f t="shared" ref="AI196:AI259" si="53">IF(V196="","",V196*12+W196)</f>
        <v/>
      </c>
      <c r="AJ196" s="18" t="str">
        <f t="shared" ref="AJ196:AJ259" ca="1" si="54">IF(T196="تاخیر",U196+ROW()/100000,"")</f>
        <v/>
      </c>
    </row>
    <row r="197" spans="1:36">
      <c r="A197" s="18">
        <v>194</v>
      </c>
      <c r="B197" s="15" t="s">
        <v>324</v>
      </c>
      <c r="C197" s="15" t="s">
        <v>36</v>
      </c>
      <c r="D197" s="15" t="s">
        <v>66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8" t="str">
        <f t="shared" ca="1" si="42"/>
        <v/>
      </c>
      <c r="U197" s="18">
        <f t="shared" ref="U197:U260" ca="1" si="55">IF(T197="تاخیر",TODAY()-AC197,IF(AND(T197="بسته",AG197&lt;&gt;"",AC197&lt;&gt;"",AG197&gt;AC197),AG197-AC197,0))</f>
        <v>0</v>
      </c>
      <c r="V197" s="18" t="str">
        <f t="shared" si="43"/>
        <v/>
      </c>
      <c r="W197" s="18" t="str">
        <f t="shared" si="44"/>
        <v/>
      </c>
      <c r="X197" s="18" t="str">
        <f t="shared" si="45"/>
        <v/>
      </c>
      <c r="Y197" s="19" t="str">
        <f>IF(OR(L197="",V197=""),"",IFERROR(INDEX(لیست‌ها!$Q$3:$Q$53,MATCH(V197,لیست‌ها!$P$3:$P$53,0))+IF(W197&lt;=6,(W197-1)*31+X197,IF(W197&lt;=11,186+(W197-7)*30+X197,336+X197))-1,""))</f>
        <v/>
      </c>
      <c r="Z197" s="18" t="str">
        <f t="shared" si="46"/>
        <v/>
      </c>
      <c r="AA197" s="18" t="str">
        <f t="shared" si="47"/>
        <v/>
      </c>
      <c r="AB197" s="18" t="str">
        <f t="shared" si="48"/>
        <v/>
      </c>
      <c r="AC197" s="18" t="str">
        <f>IF(OR(H197="",Z197=""),"",IFERROR(INDEX(لیست‌ها!$Q$3:$Q$53,MATCH(Z197,لیست‌ها!$P$3:$P$53,0))+IF(AA197&lt;=6,(AA197-1)*31+AB197,IF(AA197&lt;=11,186+(AA197-7)*30+AB197,336+AB197))-1,""))</f>
        <v/>
      </c>
      <c r="AD197" s="18" t="str">
        <f t="shared" si="49"/>
        <v/>
      </c>
      <c r="AE197" s="18" t="str">
        <f t="shared" si="50"/>
        <v/>
      </c>
      <c r="AF197" s="18" t="str">
        <f t="shared" si="51"/>
        <v/>
      </c>
      <c r="AG197" s="18" t="str">
        <f>IF(OR(O197="",AD197=""),"",IFERROR(INDEX(لیست‌ها!$Q$3:$Q$53,MATCH(AD197,لیست‌ها!$P$3:$P$53,0))+IF(AE197&lt;=6,(AE197-1)*31+AF197,IF(AE197&lt;=11,186+(AE197-7)*30+AF197,336+AF197))-1,""))</f>
        <v/>
      </c>
      <c r="AH197" s="18" t="str">
        <f t="shared" si="52"/>
        <v/>
      </c>
      <c r="AI197" s="18" t="str">
        <f t="shared" si="53"/>
        <v/>
      </c>
      <c r="AJ197" s="18" t="str">
        <f t="shared" ca="1" si="54"/>
        <v/>
      </c>
    </row>
    <row r="198" spans="1:36">
      <c r="A198" s="18">
        <v>195</v>
      </c>
      <c r="B198" s="15" t="s">
        <v>325</v>
      </c>
      <c r="C198" s="15" t="s">
        <v>36</v>
      </c>
      <c r="D198" s="15" t="s">
        <v>66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8" t="str">
        <f t="shared" ca="1" si="42"/>
        <v/>
      </c>
      <c r="U198" s="18">
        <f t="shared" ca="1" si="55"/>
        <v>0</v>
      </c>
      <c r="V198" s="18" t="str">
        <f t="shared" si="43"/>
        <v/>
      </c>
      <c r="W198" s="18" t="str">
        <f t="shared" si="44"/>
        <v/>
      </c>
      <c r="X198" s="18" t="str">
        <f t="shared" si="45"/>
        <v/>
      </c>
      <c r="Y198" s="19" t="str">
        <f>IF(OR(L198="",V198=""),"",IFERROR(INDEX(لیست‌ها!$Q$3:$Q$53,MATCH(V198,لیست‌ها!$P$3:$P$53,0))+IF(W198&lt;=6,(W198-1)*31+X198,IF(W198&lt;=11,186+(W198-7)*30+X198,336+X198))-1,""))</f>
        <v/>
      </c>
      <c r="Z198" s="18" t="str">
        <f t="shared" si="46"/>
        <v/>
      </c>
      <c r="AA198" s="18" t="str">
        <f t="shared" si="47"/>
        <v/>
      </c>
      <c r="AB198" s="18" t="str">
        <f t="shared" si="48"/>
        <v/>
      </c>
      <c r="AC198" s="18" t="str">
        <f>IF(OR(H198="",Z198=""),"",IFERROR(INDEX(لیست‌ها!$Q$3:$Q$53,MATCH(Z198,لیست‌ها!$P$3:$P$53,0))+IF(AA198&lt;=6,(AA198-1)*31+AB198,IF(AA198&lt;=11,186+(AA198-7)*30+AB198,336+AB198))-1,""))</f>
        <v/>
      </c>
      <c r="AD198" s="18" t="str">
        <f t="shared" si="49"/>
        <v/>
      </c>
      <c r="AE198" s="18" t="str">
        <f t="shared" si="50"/>
        <v/>
      </c>
      <c r="AF198" s="18" t="str">
        <f t="shared" si="51"/>
        <v/>
      </c>
      <c r="AG198" s="18" t="str">
        <f>IF(OR(O198="",AD198=""),"",IFERROR(INDEX(لیست‌ها!$Q$3:$Q$53,MATCH(AD198,لیست‌ها!$P$3:$P$53,0))+IF(AE198&lt;=6,(AE198-1)*31+AF198,IF(AE198&lt;=11,186+(AE198-7)*30+AF198,336+AF198))-1,""))</f>
        <v/>
      </c>
      <c r="AH198" s="18" t="str">
        <f t="shared" si="52"/>
        <v/>
      </c>
      <c r="AI198" s="18" t="str">
        <f t="shared" si="53"/>
        <v/>
      </c>
      <c r="AJ198" s="18" t="str">
        <f t="shared" ca="1" si="54"/>
        <v/>
      </c>
    </row>
    <row r="199" spans="1:36">
      <c r="A199" s="18">
        <v>196</v>
      </c>
      <c r="B199" s="15" t="s">
        <v>326</v>
      </c>
      <c r="C199" s="15" t="s">
        <v>36</v>
      </c>
      <c r="D199" s="15" t="s">
        <v>66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8" t="str">
        <f t="shared" ca="1" si="42"/>
        <v/>
      </c>
      <c r="U199" s="18">
        <f t="shared" ca="1" si="55"/>
        <v>0</v>
      </c>
      <c r="V199" s="18" t="str">
        <f t="shared" si="43"/>
        <v/>
      </c>
      <c r="W199" s="18" t="str">
        <f t="shared" si="44"/>
        <v/>
      </c>
      <c r="X199" s="18" t="str">
        <f t="shared" si="45"/>
        <v/>
      </c>
      <c r="Y199" s="19" t="str">
        <f>IF(OR(L199="",V199=""),"",IFERROR(INDEX(لیست‌ها!$Q$3:$Q$53,MATCH(V199,لیست‌ها!$P$3:$P$53,0))+IF(W199&lt;=6,(W199-1)*31+X199,IF(W199&lt;=11,186+(W199-7)*30+X199,336+X199))-1,""))</f>
        <v/>
      </c>
      <c r="Z199" s="18" t="str">
        <f t="shared" si="46"/>
        <v/>
      </c>
      <c r="AA199" s="18" t="str">
        <f t="shared" si="47"/>
        <v/>
      </c>
      <c r="AB199" s="18" t="str">
        <f t="shared" si="48"/>
        <v/>
      </c>
      <c r="AC199" s="18" t="str">
        <f>IF(OR(H199="",Z199=""),"",IFERROR(INDEX(لیست‌ها!$Q$3:$Q$53,MATCH(Z199,لیست‌ها!$P$3:$P$53,0))+IF(AA199&lt;=6,(AA199-1)*31+AB199,IF(AA199&lt;=11,186+(AA199-7)*30+AB199,336+AB199))-1,""))</f>
        <v/>
      </c>
      <c r="AD199" s="18" t="str">
        <f t="shared" si="49"/>
        <v/>
      </c>
      <c r="AE199" s="18" t="str">
        <f t="shared" si="50"/>
        <v/>
      </c>
      <c r="AF199" s="18" t="str">
        <f t="shared" si="51"/>
        <v/>
      </c>
      <c r="AG199" s="18" t="str">
        <f>IF(OR(O199="",AD199=""),"",IFERROR(INDEX(لیست‌ها!$Q$3:$Q$53,MATCH(AD199,لیست‌ها!$P$3:$P$53,0))+IF(AE199&lt;=6,(AE199-1)*31+AF199,IF(AE199&lt;=11,186+(AE199-7)*30+AF199,336+AF199))-1,""))</f>
        <v/>
      </c>
      <c r="AH199" s="18" t="str">
        <f t="shared" si="52"/>
        <v/>
      </c>
      <c r="AI199" s="18" t="str">
        <f t="shared" si="53"/>
        <v/>
      </c>
      <c r="AJ199" s="18" t="str">
        <f t="shared" ca="1" si="54"/>
        <v/>
      </c>
    </row>
    <row r="200" spans="1:36">
      <c r="A200" s="18">
        <v>197</v>
      </c>
      <c r="B200" s="15" t="s">
        <v>327</v>
      </c>
      <c r="C200" s="15" t="s">
        <v>36</v>
      </c>
      <c r="D200" s="15" t="s">
        <v>43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8" t="str">
        <f t="shared" ca="1" si="42"/>
        <v/>
      </c>
      <c r="U200" s="18">
        <f t="shared" ca="1" si="55"/>
        <v>0</v>
      </c>
      <c r="V200" s="18" t="str">
        <f t="shared" si="43"/>
        <v/>
      </c>
      <c r="W200" s="18" t="str">
        <f t="shared" si="44"/>
        <v/>
      </c>
      <c r="X200" s="18" t="str">
        <f t="shared" si="45"/>
        <v/>
      </c>
      <c r="Y200" s="19" t="str">
        <f>IF(OR(L200="",V200=""),"",IFERROR(INDEX(لیست‌ها!$Q$3:$Q$53,MATCH(V200,لیست‌ها!$P$3:$P$53,0))+IF(W200&lt;=6,(W200-1)*31+X200,IF(W200&lt;=11,186+(W200-7)*30+X200,336+X200))-1,""))</f>
        <v/>
      </c>
      <c r="Z200" s="18" t="str">
        <f t="shared" si="46"/>
        <v/>
      </c>
      <c r="AA200" s="18" t="str">
        <f t="shared" si="47"/>
        <v/>
      </c>
      <c r="AB200" s="18" t="str">
        <f t="shared" si="48"/>
        <v/>
      </c>
      <c r="AC200" s="18" t="str">
        <f>IF(OR(H200="",Z200=""),"",IFERROR(INDEX(لیست‌ها!$Q$3:$Q$53,MATCH(Z200,لیست‌ها!$P$3:$P$53,0))+IF(AA200&lt;=6,(AA200-1)*31+AB200,IF(AA200&lt;=11,186+(AA200-7)*30+AB200,336+AB200))-1,""))</f>
        <v/>
      </c>
      <c r="AD200" s="18" t="str">
        <f t="shared" si="49"/>
        <v/>
      </c>
      <c r="AE200" s="18" t="str">
        <f t="shared" si="50"/>
        <v/>
      </c>
      <c r="AF200" s="18" t="str">
        <f t="shared" si="51"/>
        <v/>
      </c>
      <c r="AG200" s="18" t="str">
        <f>IF(OR(O200="",AD200=""),"",IFERROR(INDEX(لیست‌ها!$Q$3:$Q$53,MATCH(AD200,لیست‌ها!$P$3:$P$53,0))+IF(AE200&lt;=6,(AE200-1)*31+AF200,IF(AE200&lt;=11,186+(AE200-7)*30+AF200,336+AF200))-1,""))</f>
        <v/>
      </c>
      <c r="AH200" s="18" t="str">
        <f t="shared" si="52"/>
        <v/>
      </c>
      <c r="AI200" s="18" t="str">
        <f t="shared" si="53"/>
        <v/>
      </c>
      <c r="AJ200" s="18" t="str">
        <f t="shared" ca="1" si="54"/>
        <v/>
      </c>
    </row>
    <row r="201" spans="1:36">
      <c r="A201" s="18">
        <v>198</v>
      </c>
      <c r="B201" s="15" t="s">
        <v>328</v>
      </c>
      <c r="C201" s="15" t="s">
        <v>36</v>
      </c>
      <c r="D201" s="15" t="s">
        <v>43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8" t="str">
        <f t="shared" ca="1" si="42"/>
        <v/>
      </c>
      <c r="U201" s="18">
        <f t="shared" ca="1" si="55"/>
        <v>0</v>
      </c>
      <c r="V201" s="18" t="str">
        <f t="shared" si="43"/>
        <v/>
      </c>
      <c r="W201" s="18" t="str">
        <f t="shared" si="44"/>
        <v/>
      </c>
      <c r="X201" s="18" t="str">
        <f t="shared" si="45"/>
        <v/>
      </c>
      <c r="Y201" s="19" t="str">
        <f>IF(OR(L201="",V201=""),"",IFERROR(INDEX(لیست‌ها!$Q$3:$Q$53,MATCH(V201,لیست‌ها!$P$3:$P$53,0))+IF(W201&lt;=6,(W201-1)*31+X201,IF(W201&lt;=11,186+(W201-7)*30+X201,336+X201))-1,""))</f>
        <v/>
      </c>
      <c r="Z201" s="18" t="str">
        <f t="shared" si="46"/>
        <v/>
      </c>
      <c r="AA201" s="18" t="str">
        <f t="shared" si="47"/>
        <v/>
      </c>
      <c r="AB201" s="18" t="str">
        <f t="shared" si="48"/>
        <v/>
      </c>
      <c r="AC201" s="18" t="str">
        <f>IF(OR(H201="",Z201=""),"",IFERROR(INDEX(لیست‌ها!$Q$3:$Q$53,MATCH(Z201,لیست‌ها!$P$3:$P$53,0))+IF(AA201&lt;=6,(AA201-1)*31+AB201,IF(AA201&lt;=11,186+(AA201-7)*30+AB201,336+AB201))-1,""))</f>
        <v/>
      </c>
      <c r="AD201" s="18" t="str">
        <f t="shared" si="49"/>
        <v/>
      </c>
      <c r="AE201" s="18" t="str">
        <f t="shared" si="50"/>
        <v/>
      </c>
      <c r="AF201" s="18" t="str">
        <f t="shared" si="51"/>
        <v/>
      </c>
      <c r="AG201" s="18" t="str">
        <f>IF(OR(O201="",AD201=""),"",IFERROR(INDEX(لیست‌ها!$Q$3:$Q$53,MATCH(AD201,لیست‌ها!$P$3:$P$53,0))+IF(AE201&lt;=6,(AE201-1)*31+AF201,IF(AE201&lt;=11,186+(AE201-7)*30+AF201,336+AF201))-1,""))</f>
        <v/>
      </c>
      <c r="AH201" s="18" t="str">
        <f t="shared" si="52"/>
        <v/>
      </c>
      <c r="AI201" s="18" t="str">
        <f t="shared" si="53"/>
        <v/>
      </c>
      <c r="AJ201" s="18" t="str">
        <f t="shared" ca="1" si="54"/>
        <v/>
      </c>
    </row>
    <row r="202" spans="1:36">
      <c r="A202" s="18">
        <v>199</v>
      </c>
      <c r="B202" s="15" t="s">
        <v>329</v>
      </c>
      <c r="C202" s="15" t="s">
        <v>68</v>
      </c>
      <c r="D202" s="15" t="s">
        <v>66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8" t="str">
        <f t="shared" ca="1" si="42"/>
        <v/>
      </c>
      <c r="U202" s="18">
        <f t="shared" ca="1" si="55"/>
        <v>0</v>
      </c>
      <c r="V202" s="18" t="str">
        <f t="shared" si="43"/>
        <v/>
      </c>
      <c r="W202" s="18" t="str">
        <f t="shared" si="44"/>
        <v/>
      </c>
      <c r="X202" s="18" t="str">
        <f t="shared" si="45"/>
        <v/>
      </c>
      <c r="Y202" s="19" t="str">
        <f>IF(OR(L202="",V202=""),"",IFERROR(INDEX(لیست‌ها!$Q$3:$Q$53,MATCH(V202,لیست‌ها!$P$3:$P$53,0))+IF(W202&lt;=6,(W202-1)*31+X202,IF(W202&lt;=11,186+(W202-7)*30+X202,336+X202))-1,""))</f>
        <v/>
      </c>
      <c r="Z202" s="18" t="str">
        <f t="shared" si="46"/>
        <v/>
      </c>
      <c r="AA202" s="18" t="str">
        <f t="shared" si="47"/>
        <v/>
      </c>
      <c r="AB202" s="18" t="str">
        <f t="shared" si="48"/>
        <v/>
      </c>
      <c r="AC202" s="18" t="str">
        <f>IF(OR(H202="",Z202=""),"",IFERROR(INDEX(لیست‌ها!$Q$3:$Q$53,MATCH(Z202,لیست‌ها!$P$3:$P$53,0))+IF(AA202&lt;=6,(AA202-1)*31+AB202,IF(AA202&lt;=11,186+(AA202-7)*30+AB202,336+AB202))-1,""))</f>
        <v/>
      </c>
      <c r="AD202" s="18" t="str">
        <f t="shared" si="49"/>
        <v/>
      </c>
      <c r="AE202" s="18" t="str">
        <f t="shared" si="50"/>
        <v/>
      </c>
      <c r="AF202" s="18" t="str">
        <f t="shared" si="51"/>
        <v/>
      </c>
      <c r="AG202" s="18" t="str">
        <f>IF(OR(O202="",AD202=""),"",IFERROR(INDEX(لیست‌ها!$Q$3:$Q$53,MATCH(AD202,لیست‌ها!$P$3:$P$53,0))+IF(AE202&lt;=6,(AE202-1)*31+AF202,IF(AE202&lt;=11,186+(AE202-7)*30+AF202,336+AF202))-1,""))</f>
        <v/>
      </c>
      <c r="AH202" s="18" t="str">
        <f t="shared" si="52"/>
        <v/>
      </c>
      <c r="AI202" s="18" t="str">
        <f t="shared" si="53"/>
        <v/>
      </c>
      <c r="AJ202" s="18" t="str">
        <f t="shared" ca="1" si="54"/>
        <v/>
      </c>
    </row>
    <row r="203" spans="1:36">
      <c r="A203" s="18">
        <v>200</v>
      </c>
      <c r="B203" s="15" t="s">
        <v>330</v>
      </c>
      <c r="C203" s="15" t="s">
        <v>36</v>
      </c>
      <c r="D203" s="15" t="s">
        <v>43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8" t="str">
        <f t="shared" ca="1" si="42"/>
        <v/>
      </c>
      <c r="U203" s="18">
        <f t="shared" ca="1" si="55"/>
        <v>0</v>
      </c>
      <c r="V203" s="18" t="str">
        <f t="shared" si="43"/>
        <v/>
      </c>
      <c r="W203" s="18" t="str">
        <f t="shared" si="44"/>
        <v/>
      </c>
      <c r="X203" s="18" t="str">
        <f t="shared" si="45"/>
        <v/>
      </c>
      <c r="Y203" s="19" t="str">
        <f>IF(OR(L203="",V203=""),"",IFERROR(INDEX(لیست‌ها!$Q$3:$Q$53,MATCH(V203,لیست‌ها!$P$3:$P$53,0))+IF(W203&lt;=6,(W203-1)*31+X203,IF(W203&lt;=11,186+(W203-7)*30+X203,336+X203))-1,""))</f>
        <v/>
      </c>
      <c r="Z203" s="18" t="str">
        <f t="shared" si="46"/>
        <v/>
      </c>
      <c r="AA203" s="18" t="str">
        <f t="shared" si="47"/>
        <v/>
      </c>
      <c r="AB203" s="18" t="str">
        <f t="shared" si="48"/>
        <v/>
      </c>
      <c r="AC203" s="18" t="str">
        <f>IF(OR(H203="",Z203=""),"",IFERROR(INDEX(لیست‌ها!$Q$3:$Q$53,MATCH(Z203,لیست‌ها!$P$3:$P$53,0))+IF(AA203&lt;=6,(AA203-1)*31+AB203,IF(AA203&lt;=11,186+(AA203-7)*30+AB203,336+AB203))-1,""))</f>
        <v/>
      </c>
      <c r="AD203" s="18" t="str">
        <f t="shared" si="49"/>
        <v/>
      </c>
      <c r="AE203" s="18" t="str">
        <f t="shared" si="50"/>
        <v/>
      </c>
      <c r="AF203" s="18" t="str">
        <f t="shared" si="51"/>
        <v/>
      </c>
      <c r="AG203" s="18" t="str">
        <f>IF(OR(O203="",AD203=""),"",IFERROR(INDEX(لیست‌ها!$Q$3:$Q$53,MATCH(AD203,لیست‌ها!$P$3:$P$53,0))+IF(AE203&lt;=6,(AE203-1)*31+AF203,IF(AE203&lt;=11,186+(AE203-7)*30+AF203,336+AF203))-1,""))</f>
        <v/>
      </c>
      <c r="AH203" s="18" t="str">
        <f t="shared" si="52"/>
        <v/>
      </c>
      <c r="AI203" s="18" t="str">
        <f t="shared" si="53"/>
        <v/>
      </c>
      <c r="AJ203" s="18" t="str">
        <f t="shared" ca="1" si="54"/>
        <v/>
      </c>
    </row>
    <row r="204" spans="1:36">
      <c r="A204" s="18">
        <v>201</v>
      </c>
      <c r="B204" s="15" t="s">
        <v>331</v>
      </c>
      <c r="C204" s="15" t="s">
        <v>68</v>
      </c>
      <c r="D204" s="15" t="s">
        <v>66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8" t="str">
        <f t="shared" ca="1" si="42"/>
        <v/>
      </c>
      <c r="U204" s="18">
        <f t="shared" ca="1" si="55"/>
        <v>0</v>
      </c>
      <c r="V204" s="18" t="str">
        <f t="shared" si="43"/>
        <v/>
      </c>
      <c r="W204" s="18" t="str">
        <f t="shared" si="44"/>
        <v/>
      </c>
      <c r="X204" s="18" t="str">
        <f t="shared" si="45"/>
        <v/>
      </c>
      <c r="Y204" s="19" t="str">
        <f>IF(OR(L204="",V204=""),"",IFERROR(INDEX(لیست‌ها!$Q$3:$Q$53,MATCH(V204,لیست‌ها!$P$3:$P$53,0))+IF(W204&lt;=6,(W204-1)*31+X204,IF(W204&lt;=11,186+(W204-7)*30+X204,336+X204))-1,""))</f>
        <v/>
      </c>
      <c r="Z204" s="18" t="str">
        <f t="shared" si="46"/>
        <v/>
      </c>
      <c r="AA204" s="18" t="str">
        <f t="shared" si="47"/>
        <v/>
      </c>
      <c r="AB204" s="18" t="str">
        <f t="shared" si="48"/>
        <v/>
      </c>
      <c r="AC204" s="18" t="str">
        <f>IF(OR(H204="",Z204=""),"",IFERROR(INDEX(لیست‌ها!$Q$3:$Q$53,MATCH(Z204,لیست‌ها!$P$3:$P$53,0))+IF(AA204&lt;=6,(AA204-1)*31+AB204,IF(AA204&lt;=11,186+(AA204-7)*30+AB204,336+AB204))-1,""))</f>
        <v/>
      </c>
      <c r="AD204" s="18" t="str">
        <f t="shared" si="49"/>
        <v/>
      </c>
      <c r="AE204" s="18" t="str">
        <f t="shared" si="50"/>
        <v/>
      </c>
      <c r="AF204" s="18" t="str">
        <f t="shared" si="51"/>
        <v/>
      </c>
      <c r="AG204" s="18" t="str">
        <f>IF(OR(O204="",AD204=""),"",IFERROR(INDEX(لیست‌ها!$Q$3:$Q$53,MATCH(AD204,لیست‌ها!$P$3:$P$53,0))+IF(AE204&lt;=6,(AE204-1)*31+AF204,IF(AE204&lt;=11,186+(AE204-7)*30+AF204,336+AF204))-1,""))</f>
        <v/>
      </c>
      <c r="AH204" s="18" t="str">
        <f t="shared" si="52"/>
        <v/>
      </c>
      <c r="AI204" s="18" t="str">
        <f t="shared" si="53"/>
        <v/>
      </c>
      <c r="AJ204" s="18" t="str">
        <f t="shared" ca="1" si="54"/>
        <v/>
      </c>
    </row>
    <row r="205" spans="1:36">
      <c r="A205" s="18">
        <v>202</v>
      </c>
      <c r="B205" s="15" t="s">
        <v>332</v>
      </c>
      <c r="C205" s="15" t="s">
        <v>36</v>
      </c>
      <c r="D205" s="15" t="s">
        <v>43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8" t="str">
        <f t="shared" ca="1" si="42"/>
        <v/>
      </c>
      <c r="U205" s="18">
        <f t="shared" ca="1" si="55"/>
        <v>0</v>
      </c>
      <c r="V205" s="18" t="str">
        <f t="shared" si="43"/>
        <v/>
      </c>
      <c r="W205" s="18" t="str">
        <f t="shared" si="44"/>
        <v/>
      </c>
      <c r="X205" s="18" t="str">
        <f t="shared" si="45"/>
        <v/>
      </c>
      <c r="Y205" s="19" t="str">
        <f>IF(OR(L205="",V205=""),"",IFERROR(INDEX(لیست‌ها!$Q$3:$Q$53,MATCH(V205,لیست‌ها!$P$3:$P$53,0))+IF(W205&lt;=6,(W205-1)*31+X205,IF(W205&lt;=11,186+(W205-7)*30+X205,336+X205))-1,""))</f>
        <v/>
      </c>
      <c r="Z205" s="18" t="str">
        <f t="shared" si="46"/>
        <v/>
      </c>
      <c r="AA205" s="18" t="str">
        <f t="shared" si="47"/>
        <v/>
      </c>
      <c r="AB205" s="18" t="str">
        <f t="shared" si="48"/>
        <v/>
      </c>
      <c r="AC205" s="18" t="str">
        <f>IF(OR(H205="",Z205=""),"",IFERROR(INDEX(لیست‌ها!$Q$3:$Q$53,MATCH(Z205,لیست‌ها!$P$3:$P$53,0))+IF(AA205&lt;=6,(AA205-1)*31+AB205,IF(AA205&lt;=11,186+(AA205-7)*30+AB205,336+AB205))-1,""))</f>
        <v/>
      </c>
      <c r="AD205" s="18" t="str">
        <f t="shared" si="49"/>
        <v/>
      </c>
      <c r="AE205" s="18" t="str">
        <f t="shared" si="50"/>
        <v/>
      </c>
      <c r="AF205" s="18" t="str">
        <f t="shared" si="51"/>
        <v/>
      </c>
      <c r="AG205" s="18" t="str">
        <f>IF(OR(O205="",AD205=""),"",IFERROR(INDEX(لیست‌ها!$Q$3:$Q$53,MATCH(AD205,لیست‌ها!$P$3:$P$53,0))+IF(AE205&lt;=6,(AE205-1)*31+AF205,IF(AE205&lt;=11,186+(AE205-7)*30+AF205,336+AF205))-1,""))</f>
        <v/>
      </c>
      <c r="AH205" s="18" t="str">
        <f t="shared" si="52"/>
        <v/>
      </c>
      <c r="AI205" s="18" t="str">
        <f t="shared" si="53"/>
        <v/>
      </c>
      <c r="AJ205" s="18" t="str">
        <f t="shared" ca="1" si="54"/>
        <v/>
      </c>
    </row>
    <row r="206" spans="1:36">
      <c r="A206" s="18">
        <v>203</v>
      </c>
      <c r="B206" s="15" t="s">
        <v>333</v>
      </c>
      <c r="C206" s="15" t="s">
        <v>68</v>
      </c>
      <c r="D206" s="15" t="s">
        <v>66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8" t="str">
        <f t="shared" ca="1" si="42"/>
        <v/>
      </c>
      <c r="U206" s="18">
        <f t="shared" ca="1" si="55"/>
        <v>0</v>
      </c>
      <c r="V206" s="18" t="str">
        <f t="shared" si="43"/>
        <v/>
      </c>
      <c r="W206" s="18" t="str">
        <f t="shared" si="44"/>
        <v/>
      </c>
      <c r="X206" s="18" t="str">
        <f t="shared" si="45"/>
        <v/>
      </c>
      <c r="Y206" s="19" t="str">
        <f>IF(OR(L206="",V206=""),"",IFERROR(INDEX(لیست‌ها!$Q$3:$Q$53,MATCH(V206,لیست‌ها!$P$3:$P$53,0))+IF(W206&lt;=6,(W206-1)*31+X206,IF(W206&lt;=11,186+(W206-7)*30+X206,336+X206))-1,""))</f>
        <v/>
      </c>
      <c r="Z206" s="18" t="str">
        <f t="shared" si="46"/>
        <v/>
      </c>
      <c r="AA206" s="18" t="str">
        <f t="shared" si="47"/>
        <v/>
      </c>
      <c r="AB206" s="18" t="str">
        <f t="shared" si="48"/>
        <v/>
      </c>
      <c r="AC206" s="18" t="str">
        <f>IF(OR(H206="",Z206=""),"",IFERROR(INDEX(لیست‌ها!$Q$3:$Q$53,MATCH(Z206,لیست‌ها!$P$3:$P$53,0))+IF(AA206&lt;=6,(AA206-1)*31+AB206,IF(AA206&lt;=11,186+(AA206-7)*30+AB206,336+AB206))-1,""))</f>
        <v/>
      </c>
      <c r="AD206" s="18" t="str">
        <f t="shared" si="49"/>
        <v/>
      </c>
      <c r="AE206" s="18" t="str">
        <f t="shared" si="50"/>
        <v/>
      </c>
      <c r="AF206" s="18" t="str">
        <f t="shared" si="51"/>
        <v/>
      </c>
      <c r="AG206" s="18" t="str">
        <f>IF(OR(O206="",AD206=""),"",IFERROR(INDEX(لیست‌ها!$Q$3:$Q$53,MATCH(AD206,لیست‌ها!$P$3:$P$53,0))+IF(AE206&lt;=6,(AE206-1)*31+AF206,IF(AE206&lt;=11,186+(AE206-7)*30+AF206,336+AF206))-1,""))</f>
        <v/>
      </c>
      <c r="AH206" s="18" t="str">
        <f t="shared" si="52"/>
        <v/>
      </c>
      <c r="AI206" s="18" t="str">
        <f t="shared" si="53"/>
        <v/>
      </c>
      <c r="AJ206" s="18" t="str">
        <f t="shared" ca="1" si="54"/>
        <v/>
      </c>
    </row>
    <row r="207" spans="1:36">
      <c r="A207" s="18">
        <v>204</v>
      </c>
      <c r="B207" s="15" t="s">
        <v>334</v>
      </c>
      <c r="C207" s="15" t="s">
        <v>36</v>
      </c>
      <c r="D207" s="15" t="s">
        <v>43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8" t="str">
        <f t="shared" ca="1" si="42"/>
        <v/>
      </c>
      <c r="U207" s="18">
        <f t="shared" ca="1" si="55"/>
        <v>0</v>
      </c>
      <c r="V207" s="18" t="str">
        <f t="shared" si="43"/>
        <v/>
      </c>
      <c r="W207" s="18" t="str">
        <f t="shared" si="44"/>
        <v/>
      </c>
      <c r="X207" s="18" t="str">
        <f t="shared" si="45"/>
        <v/>
      </c>
      <c r="Y207" s="19" t="str">
        <f>IF(OR(L207="",V207=""),"",IFERROR(INDEX(لیست‌ها!$Q$3:$Q$53,MATCH(V207,لیست‌ها!$P$3:$P$53,0))+IF(W207&lt;=6,(W207-1)*31+X207,IF(W207&lt;=11,186+(W207-7)*30+X207,336+X207))-1,""))</f>
        <v/>
      </c>
      <c r="Z207" s="18" t="str">
        <f t="shared" si="46"/>
        <v/>
      </c>
      <c r="AA207" s="18" t="str">
        <f t="shared" si="47"/>
        <v/>
      </c>
      <c r="AB207" s="18" t="str">
        <f t="shared" si="48"/>
        <v/>
      </c>
      <c r="AC207" s="18" t="str">
        <f>IF(OR(H207="",Z207=""),"",IFERROR(INDEX(لیست‌ها!$Q$3:$Q$53,MATCH(Z207,لیست‌ها!$P$3:$P$53,0))+IF(AA207&lt;=6,(AA207-1)*31+AB207,IF(AA207&lt;=11,186+(AA207-7)*30+AB207,336+AB207))-1,""))</f>
        <v/>
      </c>
      <c r="AD207" s="18" t="str">
        <f t="shared" si="49"/>
        <v/>
      </c>
      <c r="AE207" s="18" t="str">
        <f t="shared" si="50"/>
        <v/>
      </c>
      <c r="AF207" s="18" t="str">
        <f t="shared" si="51"/>
        <v/>
      </c>
      <c r="AG207" s="18" t="str">
        <f>IF(OR(O207="",AD207=""),"",IFERROR(INDEX(لیست‌ها!$Q$3:$Q$53,MATCH(AD207,لیست‌ها!$P$3:$P$53,0))+IF(AE207&lt;=6,(AE207-1)*31+AF207,IF(AE207&lt;=11,186+(AE207-7)*30+AF207,336+AF207))-1,""))</f>
        <v/>
      </c>
      <c r="AH207" s="18" t="str">
        <f t="shared" si="52"/>
        <v/>
      </c>
      <c r="AI207" s="18" t="str">
        <f t="shared" si="53"/>
        <v/>
      </c>
      <c r="AJ207" s="18" t="str">
        <f t="shared" ca="1" si="54"/>
        <v/>
      </c>
    </row>
    <row r="208" spans="1:36">
      <c r="A208" s="18">
        <v>205</v>
      </c>
      <c r="B208" s="15" t="s">
        <v>335</v>
      </c>
      <c r="C208" s="15" t="s">
        <v>36</v>
      </c>
      <c r="D208" s="15" t="s">
        <v>43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8" t="str">
        <f t="shared" ca="1" si="42"/>
        <v/>
      </c>
      <c r="U208" s="18">
        <f t="shared" ca="1" si="55"/>
        <v>0</v>
      </c>
      <c r="V208" s="18" t="str">
        <f t="shared" si="43"/>
        <v/>
      </c>
      <c r="W208" s="18" t="str">
        <f t="shared" si="44"/>
        <v/>
      </c>
      <c r="X208" s="18" t="str">
        <f t="shared" si="45"/>
        <v/>
      </c>
      <c r="Y208" s="19" t="str">
        <f>IF(OR(L208="",V208=""),"",IFERROR(INDEX(لیست‌ها!$Q$3:$Q$53,MATCH(V208,لیست‌ها!$P$3:$P$53,0))+IF(W208&lt;=6,(W208-1)*31+X208,IF(W208&lt;=11,186+(W208-7)*30+X208,336+X208))-1,""))</f>
        <v/>
      </c>
      <c r="Z208" s="18" t="str">
        <f t="shared" si="46"/>
        <v/>
      </c>
      <c r="AA208" s="18" t="str">
        <f t="shared" si="47"/>
        <v/>
      </c>
      <c r="AB208" s="18" t="str">
        <f t="shared" si="48"/>
        <v/>
      </c>
      <c r="AC208" s="18" t="str">
        <f>IF(OR(H208="",Z208=""),"",IFERROR(INDEX(لیست‌ها!$Q$3:$Q$53,MATCH(Z208,لیست‌ها!$P$3:$P$53,0))+IF(AA208&lt;=6,(AA208-1)*31+AB208,IF(AA208&lt;=11,186+(AA208-7)*30+AB208,336+AB208))-1,""))</f>
        <v/>
      </c>
      <c r="AD208" s="18" t="str">
        <f t="shared" si="49"/>
        <v/>
      </c>
      <c r="AE208" s="18" t="str">
        <f t="shared" si="50"/>
        <v/>
      </c>
      <c r="AF208" s="18" t="str">
        <f t="shared" si="51"/>
        <v/>
      </c>
      <c r="AG208" s="18" t="str">
        <f>IF(OR(O208="",AD208=""),"",IFERROR(INDEX(لیست‌ها!$Q$3:$Q$53,MATCH(AD208,لیست‌ها!$P$3:$P$53,0))+IF(AE208&lt;=6,(AE208-1)*31+AF208,IF(AE208&lt;=11,186+(AE208-7)*30+AF208,336+AF208))-1,""))</f>
        <v/>
      </c>
      <c r="AH208" s="18" t="str">
        <f t="shared" si="52"/>
        <v/>
      </c>
      <c r="AI208" s="18" t="str">
        <f t="shared" si="53"/>
        <v/>
      </c>
      <c r="AJ208" s="18" t="str">
        <f t="shared" ca="1" si="54"/>
        <v/>
      </c>
    </row>
    <row r="209" spans="1:36">
      <c r="A209" s="18">
        <v>206</v>
      </c>
      <c r="B209" s="15" t="s">
        <v>336</v>
      </c>
      <c r="C209" s="15" t="s">
        <v>36</v>
      </c>
      <c r="D209" s="15" t="s">
        <v>43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8" t="str">
        <f t="shared" ca="1" si="42"/>
        <v/>
      </c>
      <c r="U209" s="18">
        <f t="shared" ca="1" si="55"/>
        <v>0</v>
      </c>
      <c r="V209" s="18" t="str">
        <f t="shared" si="43"/>
        <v/>
      </c>
      <c r="W209" s="18" t="str">
        <f t="shared" si="44"/>
        <v/>
      </c>
      <c r="X209" s="18" t="str">
        <f t="shared" si="45"/>
        <v/>
      </c>
      <c r="Y209" s="19" t="str">
        <f>IF(OR(L209="",V209=""),"",IFERROR(INDEX(لیست‌ها!$Q$3:$Q$53,MATCH(V209,لیست‌ها!$P$3:$P$53,0))+IF(W209&lt;=6,(W209-1)*31+X209,IF(W209&lt;=11,186+(W209-7)*30+X209,336+X209))-1,""))</f>
        <v/>
      </c>
      <c r="Z209" s="18" t="str">
        <f t="shared" si="46"/>
        <v/>
      </c>
      <c r="AA209" s="18" t="str">
        <f t="shared" si="47"/>
        <v/>
      </c>
      <c r="AB209" s="18" t="str">
        <f t="shared" si="48"/>
        <v/>
      </c>
      <c r="AC209" s="18" t="str">
        <f>IF(OR(H209="",Z209=""),"",IFERROR(INDEX(لیست‌ها!$Q$3:$Q$53,MATCH(Z209,لیست‌ها!$P$3:$P$53,0))+IF(AA209&lt;=6,(AA209-1)*31+AB209,IF(AA209&lt;=11,186+(AA209-7)*30+AB209,336+AB209))-1,""))</f>
        <v/>
      </c>
      <c r="AD209" s="18" t="str">
        <f t="shared" si="49"/>
        <v/>
      </c>
      <c r="AE209" s="18" t="str">
        <f t="shared" si="50"/>
        <v/>
      </c>
      <c r="AF209" s="18" t="str">
        <f t="shared" si="51"/>
        <v/>
      </c>
      <c r="AG209" s="18" t="str">
        <f>IF(OR(O209="",AD209=""),"",IFERROR(INDEX(لیست‌ها!$Q$3:$Q$53,MATCH(AD209,لیست‌ها!$P$3:$P$53,0))+IF(AE209&lt;=6,(AE209-1)*31+AF209,IF(AE209&lt;=11,186+(AE209-7)*30+AF209,336+AF209))-1,""))</f>
        <v/>
      </c>
      <c r="AH209" s="18" t="str">
        <f t="shared" si="52"/>
        <v/>
      </c>
      <c r="AI209" s="18" t="str">
        <f t="shared" si="53"/>
        <v/>
      </c>
      <c r="AJ209" s="18" t="str">
        <f t="shared" ca="1" si="54"/>
        <v/>
      </c>
    </row>
    <row r="210" spans="1:36">
      <c r="A210" s="18">
        <v>207</v>
      </c>
      <c r="B210" s="15" t="s">
        <v>337</v>
      </c>
      <c r="C210" s="15" t="s">
        <v>36</v>
      </c>
      <c r="D210" s="15" t="s">
        <v>43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8" t="str">
        <f t="shared" ca="1" si="42"/>
        <v/>
      </c>
      <c r="U210" s="18">
        <f t="shared" ca="1" si="55"/>
        <v>0</v>
      </c>
      <c r="V210" s="18" t="str">
        <f t="shared" si="43"/>
        <v/>
      </c>
      <c r="W210" s="18" t="str">
        <f t="shared" si="44"/>
        <v/>
      </c>
      <c r="X210" s="18" t="str">
        <f t="shared" si="45"/>
        <v/>
      </c>
      <c r="Y210" s="19" t="str">
        <f>IF(OR(L210="",V210=""),"",IFERROR(INDEX(لیست‌ها!$Q$3:$Q$53,MATCH(V210,لیست‌ها!$P$3:$P$53,0))+IF(W210&lt;=6,(W210-1)*31+X210,IF(W210&lt;=11,186+(W210-7)*30+X210,336+X210))-1,""))</f>
        <v/>
      </c>
      <c r="Z210" s="18" t="str">
        <f t="shared" si="46"/>
        <v/>
      </c>
      <c r="AA210" s="18" t="str">
        <f t="shared" si="47"/>
        <v/>
      </c>
      <c r="AB210" s="18" t="str">
        <f t="shared" si="48"/>
        <v/>
      </c>
      <c r="AC210" s="18" t="str">
        <f>IF(OR(H210="",Z210=""),"",IFERROR(INDEX(لیست‌ها!$Q$3:$Q$53,MATCH(Z210,لیست‌ها!$P$3:$P$53,0))+IF(AA210&lt;=6,(AA210-1)*31+AB210,IF(AA210&lt;=11,186+(AA210-7)*30+AB210,336+AB210))-1,""))</f>
        <v/>
      </c>
      <c r="AD210" s="18" t="str">
        <f t="shared" si="49"/>
        <v/>
      </c>
      <c r="AE210" s="18" t="str">
        <f t="shared" si="50"/>
        <v/>
      </c>
      <c r="AF210" s="18" t="str">
        <f t="shared" si="51"/>
        <v/>
      </c>
      <c r="AG210" s="18" t="str">
        <f>IF(OR(O210="",AD210=""),"",IFERROR(INDEX(لیست‌ها!$Q$3:$Q$53,MATCH(AD210,لیست‌ها!$P$3:$P$53,0))+IF(AE210&lt;=6,(AE210-1)*31+AF210,IF(AE210&lt;=11,186+(AE210-7)*30+AF210,336+AF210))-1,""))</f>
        <v/>
      </c>
      <c r="AH210" s="18" t="str">
        <f t="shared" si="52"/>
        <v/>
      </c>
      <c r="AI210" s="18" t="str">
        <f t="shared" si="53"/>
        <v/>
      </c>
      <c r="AJ210" s="18" t="str">
        <f t="shared" ca="1" si="54"/>
        <v/>
      </c>
    </row>
    <row r="211" spans="1:36">
      <c r="A211" s="18">
        <v>208</v>
      </c>
      <c r="B211" s="15" t="s">
        <v>385</v>
      </c>
      <c r="C211" s="15" t="s">
        <v>36</v>
      </c>
      <c r="D211" s="15" t="s">
        <v>66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8" t="str">
        <f t="shared" ca="1" si="42"/>
        <v/>
      </c>
      <c r="U211" s="18">
        <f t="shared" ca="1" si="55"/>
        <v>0</v>
      </c>
      <c r="V211" s="18" t="str">
        <f t="shared" si="43"/>
        <v/>
      </c>
      <c r="W211" s="18" t="str">
        <f t="shared" si="44"/>
        <v/>
      </c>
      <c r="X211" s="18" t="str">
        <f t="shared" si="45"/>
        <v/>
      </c>
      <c r="Y211" s="19" t="str">
        <f>IF(OR(L211="",V211=""),"",IFERROR(INDEX(لیست‌ها!$Q$3:$Q$53,MATCH(V211,لیست‌ها!$P$3:$P$53,0))+IF(W211&lt;=6,(W211-1)*31+X211,IF(W211&lt;=11,186+(W211-7)*30+X211,336+X211))-1,""))</f>
        <v/>
      </c>
      <c r="Z211" s="18" t="str">
        <f t="shared" si="46"/>
        <v/>
      </c>
      <c r="AA211" s="18" t="str">
        <f t="shared" si="47"/>
        <v/>
      </c>
      <c r="AB211" s="18" t="str">
        <f t="shared" si="48"/>
        <v/>
      </c>
      <c r="AC211" s="18" t="str">
        <f>IF(OR(H211="",Z211=""),"",IFERROR(INDEX(لیست‌ها!$Q$3:$Q$53,MATCH(Z211,لیست‌ها!$P$3:$P$53,0))+IF(AA211&lt;=6,(AA211-1)*31+AB211,IF(AA211&lt;=11,186+(AA211-7)*30+AB211,336+AB211))-1,""))</f>
        <v/>
      </c>
      <c r="AD211" s="18" t="str">
        <f t="shared" si="49"/>
        <v/>
      </c>
      <c r="AE211" s="18" t="str">
        <f t="shared" si="50"/>
        <v/>
      </c>
      <c r="AF211" s="18" t="str">
        <f t="shared" si="51"/>
        <v/>
      </c>
      <c r="AG211" s="18" t="str">
        <f>IF(OR(O211="",AD211=""),"",IFERROR(INDEX(لیست‌ها!$Q$3:$Q$53,MATCH(AD211,لیست‌ها!$P$3:$P$53,0))+IF(AE211&lt;=6,(AE211-1)*31+AF211,IF(AE211&lt;=11,186+(AE211-7)*30+AF211,336+AF211))-1,""))</f>
        <v/>
      </c>
      <c r="AH211" s="18" t="str">
        <f t="shared" si="52"/>
        <v/>
      </c>
      <c r="AI211" s="18" t="str">
        <f t="shared" si="53"/>
        <v/>
      </c>
      <c r="AJ211" s="18" t="str">
        <f t="shared" ca="1" si="54"/>
        <v/>
      </c>
    </row>
    <row r="212" spans="1:36">
      <c r="A212" s="18">
        <v>209</v>
      </c>
      <c r="B212" s="15" t="s">
        <v>338</v>
      </c>
      <c r="C212" s="15" t="s">
        <v>36</v>
      </c>
      <c r="D212" s="15" t="s">
        <v>43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8" t="str">
        <f t="shared" ca="1" si="42"/>
        <v/>
      </c>
      <c r="U212" s="18">
        <f t="shared" ca="1" si="55"/>
        <v>0</v>
      </c>
      <c r="V212" s="18" t="str">
        <f t="shared" si="43"/>
        <v/>
      </c>
      <c r="W212" s="18" t="str">
        <f t="shared" si="44"/>
        <v/>
      </c>
      <c r="X212" s="18" t="str">
        <f t="shared" si="45"/>
        <v/>
      </c>
      <c r="Y212" s="19" t="str">
        <f>IF(OR(L212="",V212=""),"",IFERROR(INDEX(لیست‌ها!$Q$3:$Q$53,MATCH(V212,لیست‌ها!$P$3:$P$53,0))+IF(W212&lt;=6,(W212-1)*31+X212,IF(W212&lt;=11,186+(W212-7)*30+X212,336+X212))-1,""))</f>
        <v/>
      </c>
      <c r="Z212" s="18" t="str">
        <f t="shared" si="46"/>
        <v/>
      </c>
      <c r="AA212" s="18" t="str">
        <f t="shared" si="47"/>
        <v/>
      </c>
      <c r="AB212" s="18" t="str">
        <f t="shared" si="48"/>
        <v/>
      </c>
      <c r="AC212" s="18" t="str">
        <f>IF(OR(H212="",Z212=""),"",IFERROR(INDEX(لیست‌ها!$Q$3:$Q$53,MATCH(Z212,لیست‌ها!$P$3:$P$53,0))+IF(AA212&lt;=6,(AA212-1)*31+AB212,IF(AA212&lt;=11,186+(AA212-7)*30+AB212,336+AB212))-1,""))</f>
        <v/>
      </c>
      <c r="AD212" s="18" t="str">
        <f t="shared" si="49"/>
        <v/>
      </c>
      <c r="AE212" s="18" t="str">
        <f t="shared" si="50"/>
        <v/>
      </c>
      <c r="AF212" s="18" t="str">
        <f t="shared" si="51"/>
        <v/>
      </c>
      <c r="AG212" s="18" t="str">
        <f>IF(OR(O212="",AD212=""),"",IFERROR(INDEX(لیست‌ها!$Q$3:$Q$53,MATCH(AD212,لیست‌ها!$P$3:$P$53,0))+IF(AE212&lt;=6,(AE212-1)*31+AF212,IF(AE212&lt;=11,186+(AE212-7)*30+AF212,336+AF212))-1,""))</f>
        <v/>
      </c>
      <c r="AH212" s="18" t="str">
        <f t="shared" si="52"/>
        <v/>
      </c>
      <c r="AI212" s="18" t="str">
        <f t="shared" si="53"/>
        <v/>
      </c>
      <c r="AJ212" s="18" t="str">
        <f t="shared" ca="1" si="54"/>
        <v/>
      </c>
    </row>
    <row r="213" spans="1:36">
      <c r="A213" s="18">
        <v>210</v>
      </c>
      <c r="B213" s="15" t="s">
        <v>339</v>
      </c>
      <c r="C213" s="15" t="s">
        <v>68</v>
      </c>
      <c r="D213" s="15" t="s">
        <v>66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8" t="str">
        <f t="shared" ca="1" si="42"/>
        <v/>
      </c>
      <c r="U213" s="18">
        <f t="shared" ca="1" si="55"/>
        <v>0</v>
      </c>
      <c r="V213" s="18" t="str">
        <f t="shared" si="43"/>
        <v/>
      </c>
      <c r="W213" s="18" t="str">
        <f t="shared" si="44"/>
        <v/>
      </c>
      <c r="X213" s="18" t="str">
        <f t="shared" si="45"/>
        <v/>
      </c>
      <c r="Y213" s="19" t="str">
        <f>IF(OR(L213="",V213=""),"",IFERROR(INDEX(لیست‌ها!$Q$3:$Q$53,MATCH(V213,لیست‌ها!$P$3:$P$53,0))+IF(W213&lt;=6,(W213-1)*31+X213,IF(W213&lt;=11,186+(W213-7)*30+X213,336+X213))-1,""))</f>
        <v/>
      </c>
      <c r="Z213" s="18" t="str">
        <f t="shared" si="46"/>
        <v/>
      </c>
      <c r="AA213" s="18" t="str">
        <f t="shared" si="47"/>
        <v/>
      </c>
      <c r="AB213" s="18" t="str">
        <f t="shared" si="48"/>
        <v/>
      </c>
      <c r="AC213" s="18" t="str">
        <f>IF(OR(H213="",Z213=""),"",IFERROR(INDEX(لیست‌ها!$Q$3:$Q$53,MATCH(Z213,لیست‌ها!$P$3:$P$53,0))+IF(AA213&lt;=6,(AA213-1)*31+AB213,IF(AA213&lt;=11,186+(AA213-7)*30+AB213,336+AB213))-1,""))</f>
        <v/>
      </c>
      <c r="AD213" s="18" t="str">
        <f t="shared" si="49"/>
        <v/>
      </c>
      <c r="AE213" s="18" t="str">
        <f t="shared" si="50"/>
        <v/>
      </c>
      <c r="AF213" s="18" t="str">
        <f t="shared" si="51"/>
        <v/>
      </c>
      <c r="AG213" s="18" t="str">
        <f>IF(OR(O213="",AD213=""),"",IFERROR(INDEX(لیست‌ها!$Q$3:$Q$53,MATCH(AD213,لیست‌ها!$P$3:$P$53,0))+IF(AE213&lt;=6,(AE213-1)*31+AF213,IF(AE213&lt;=11,186+(AE213-7)*30+AF213,336+AF213))-1,""))</f>
        <v/>
      </c>
      <c r="AH213" s="18" t="str">
        <f t="shared" si="52"/>
        <v/>
      </c>
      <c r="AI213" s="18" t="str">
        <f t="shared" si="53"/>
        <v/>
      </c>
      <c r="AJ213" s="18" t="str">
        <f t="shared" ca="1" si="54"/>
        <v/>
      </c>
    </row>
    <row r="214" spans="1:36">
      <c r="A214" s="18">
        <v>211</v>
      </c>
      <c r="B214" s="15" t="s">
        <v>340</v>
      </c>
      <c r="C214" s="15" t="s">
        <v>36</v>
      </c>
      <c r="D214" s="15" t="s">
        <v>43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8" t="str">
        <f t="shared" ca="1" si="42"/>
        <v/>
      </c>
      <c r="U214" s="18">
        <f t="shared" ca="1" si="55"/>
        <v>0</v>
      </c>
      <c r="V214" s="18" t="str">
        <f t="shared" si="43"/>
        <v/>
      </c>
      <c r="W214" s="18" t="str">
        <f t="shared" si="44"/>
        <v/>
      </c>
      <c r="X214" s="18" t="str">
        <f t="shared" si="45"/>
        <v/>
      </c>
      <c r="Y214" s="19" t="str">
        <f>IF(OR(L214="",V214=""),"",IFERROR(INDEX(لیست‌ها!$Q$3:$Q$53,MATCH(V214,لیست‌ها!$P$3:$P$53,0))+IF(W214&lt;=6,(W214-1)*31+X214,IF(W214&lt;=11,186+(W214-7)*30+X214,336+X214))-1,""))</f>
        <v/>
      </c>
      <c r="Z214" s="18" t="str">
        <f t="shared" si="46"/>
        <v/>
      </c>
      <c r="AA214" s="18" t="str">
        <f t="shared" si="47"/>
        <v/>
      </c>
      <c r="AB214" s="18" t="str">
        <f t="shared" si="48"/>
        <v/>
      </c>
      <c r="AC214" s="18" t="str">
        <f>IF(OR(H214="",Z214=""),"",IFERROR(INDEX(لیست‌ها!$Q$3:$Q$53,MATCH(Z214,لیست‌ها!$P$3:$P$53,0))+IF(AA214&lt;=6,(AA214-1)*31+AB214,IF(AA214&lt;=11,186+(AA214-7)*30+AB214,336+AB214))-1,""))</f>
        <v/>
      </c>
      <c r="AD214" s="18" t="str">
        <f t="shared" si="49"/>
        <v/>
      </c>
      <c r="AE214" s="18" t="str">
        <f t="shared" si="50"/>
        <v/>
      </c>
      <c r="AF214" s="18" t="str">
        <f t="shared" si="51"/>
        <v/>
      </c>
      <c r="AG214" s="18" t="str">
        <f>IF(OR(O214="",AD214=""),"",IFERROR(INDEX(لیست‌ها!$Q$3:$Q$53,MATCH(AD214,لیست‌ها!$P$3:$P$53,0))+IF(AE214&lt;=6,(AE214-1)*31+AF214,IF(AE214&lt;=11,186+(AE214-7)*30+AF214,336+AF214))-1,""))</f>
        <v/>
      </c>
      <c r="AH214" s="18" t="str">
        <f t="shared" si="52"/>
        <v/>
      </c>
      <c r="AI214" s="18" t="str">
        <f t="shared" si="53"/>
        <v/>
      </c>
      <c r="AJ214" s="18" t="str">
        <f t="shared" ca="1" si="54"/>
        <v/>
      </c>
    </row>
    <row r="215" spans="1:36">
      <c r="A215" s="18">
        <v>212</v>
      </c>
      <c r="B215" s="15" t="s">
        <v>341</v>
      </c>
      <c r="C215" s="15" t="s">
        <v>68</v>
      </c>
      <c r="D215" s="15" t="s">
        <v>43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8" t="str">
        <f t="shared" ca="1" si="42"/>
        <v/>
      </c>
      <c r="U215" s="18">
        <f t="shared" ca="1" si="55"/>
        <v>0</v>
      </c>
      <c r="V215" s="18" t="str">
        <f t="shared" si="43"/>
        <v/>
      </c>
      <c r="W215" s="18" t="str">
        <f t="shared" si="44"/>
        <v/>
      </c>
      <c r="X215" s="18" t="str">
        <f t="shared" si="45"/>
        <v/>
      </c>
      <c r="Y215" s="19" t="str">
        <f>IF(OR(L215="",V215=""),"",IFERROR(INDEX(لیست‌ها!$Q$3:$Q$53,MATCH(V215,لیست‌ها!$P$3:$P$53,0))+IF(W215&lt;=6,(W215-1)*31+X215,IF(W215&lt;=11,186+(W215-7)*30+X215,336+X215))-1,""))</f>
        <v/>
      </c>
      <c r="Z215" s="18" t="str">
        <f t="shared" si="46"/>
        <v/>
      </c>
      <c r="AA215" s="18" t="str">
        <f t="shared" si="47"/>
        <v/>
      </c>
      <c r="AB215" s="18" t="str">
        <f t="shared" si="48"/>
        <v/>
      </c>
      <c r="AC215" s="18" t="str">
        <f>IF(OR(H215="",Z215=""),"",IFERROR(INDEX(لیست‌ها!$Q$3:$Q$53,MATCH(Z215,لیست‌ها!$P$3:$P$53,0))+IF(AA215&lt;=6,(AA215-1)*31+AB215,IF(AA215&lt;=11,186+(AA215-7)*30+AB215,336+AB215))-1,""))</f>
        <v/>
      </c>
      <c r="AD215" s="18" t="str">
        <f t="shared" si="49"/>
        <v/>
      </c>
      <c r="AE215" s="18" t="str">
        <f t="shared" si="50"/>
        <v/>
      </c>
      <c r="AF215" s="18" t="str">
        <f t="shared" si="51"/>
        <v/>
      </c>
      <c r="AG215" s="18" t="str">
        <f>IF(OR(O215="",AD215=""),"",IFERROR(INDEX(لیست‌ها!$Q$3:$Q$53,MATCH(AD215,لیست‌ها!$P$3:$P$53,0))+IF(AE215&lt;=6,(AE215-1)*31+AF215,IF(AE215&lt;=11,186+(AE215-7)*30+AF215,336+AF215))-1,""))</f>
        <v/>
      </c>
      <c r="AH215" s="18" t="str">
        <f t="shared" si="52"/>
        <v/>
      </c>
      <c r="AI215" s="18" t="str">
        <f t="shared" si="53"/>
        <v/>
      </c>
      <c r="AJ215" s="18" t="str">
        <f t="shared" ca="1" si="54"/>
        <v/>
      </c>
    </row>
    <row r="216" spans="1:36">
      <c r="A216" s="18">
        <v>213</v>
      </c>
      <c r="B216" s="15" t="s">
        <v>342</v>
      </c>
      <c r="C216" s="15" t="s">
        <v>36</v>
      </c>
      <c r="D216" s="15" t="s">
        <v>37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8" t="str">
        <f t="shared" ca="1" si="42"/>
        <v/>
      </c>
      <c r="U216" s="18">
        <f t="shared" ca="1" si="55"/>
        <v>0</v>
      </c>
      <c r="V216" s="18" t="str">
        <f t="shared" si="43"/>
        <v/>
      </c>
      <c r="W216" s="18" t="str">
        <f t="shared" si="44"/>
        <v/>
      </c>
      <c r="X216" s="18" t="str">
        <f t="shared" si="45"/>
        <v/>
      </c>
      <c r="Y216" s="19" t="str">
        <f>IF(OR(L216="",V216=""),"",IFERROR(INDEX(لیست‌ها!$Q$3:$Q$53,MATCH(V216,لیست‌ها!$P$3:$P$53,0))+IF(W216&lt;=6,(W216-1)*31+X216,IF(W216&lt;=11,186+(W216-7)*30+X216,336+X216))-1,""))</f>
        <v/>
      </c>
      <c r="Z216" s="18" t="str">
        <f t="shared" si="46"/>
        <v/>
      </c>
      <c r="AA216" s="18" t="str">
        <f t="shared" si="47"/>
        <v/>
      </c>
      <c r="AB216" s="18" t="str">
        <f t="shared" si="48"/>
        <v/>
      </c>
      <c r="AC216" s="18" t="str">
        <f>IF(OR(H216="",Z216=""),"",IFERROR(INDEX(لیست‌ها!$Q$3:$Q$53,MATCH(Z216,لیست‌ها!$P$3:$P$53,0))+IF(AA216&lt;=6,(AA216-1)*31+AB216,IF(AA216&lt;=11,186+(AA216-7)*30+AB216,336+AB216))-1,""))</f>
        <v/>
      </c>
      <c r="AD216" s="18" t="str">
        <f t="shared" si="49"/>
        <v/>
      </c>
      <c r="AE216" s="18" t="str">
        <f t="shared" si="50"/>
        <v/>
      </c>
      <c r="AF216" s="18" t="str">
        <f t="shared" si="51"/>
        <v/>
      </c>
      <c r="AG216" s="18" t="str">
        <f>IF(OR(O216="",AD216=""),"",IFERROR(INDEX(لیست‌ها!$Q$3:$Q$53,MATCH(AD216,لیست‌ها!$P$3:$P$53,0))+IF(AE216&lt;=6,(AE216-1)*31+AF216,IF(AE216&lt;=11,186+(AE216-7)*30+AF216,336+AF216))-1,""))</f>
        <v/>
      </c>
      <c r="AH216" s="18" t="str">
        <f t="shared" si="52"/>
        <v/>
      </c>
      <c r="AI216" s="18" t="str">
        <f t="shared" si="53"/>
        <v/>
      </c>
      <c r="AJ216" s="18" t="str">
        <f t="shared" ca="1" si="54"/>
        <v/>
      </c>
    </row>
    <row r="217" spans="1:36">
      <c r="A217" s="18">
        <v>214</v>
      </c>
      <c r="B217" s="15" t="s">
        <v>343</v>
      </c>
      <c r="C217" s="15" t="s">
        <v>36</v>
      </c>
      <c r="D217" s="15" t="s">
        <v>37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8" t="str">
        <f t="shared" ca="1" si="42"/>
        <v/>
      </c>
      <c r="U217" s="18">
        <f t="shared" ca="1" si="55"/>
        <v>0</v>
      </c>
      <c r="V217" s="18" t="str">
        <f t="shared" si="43"/>
        <v/>
      </c>
      <c r="W217" s="18" t="str">
        <f t="shared" si="44"/>
        <v/>
      </c>
      <c r="X217" s="18" t="str">
        <f t="shared" si="45"/>
        <v/>
      </c>
      <c r="Y217" s="19" t="str">
        <f>IF(OR(L217="",V217=""),"",IFERROR(INDEX(لیست‌ها!$Q$3:$Q$53,MATCH(V217,لیست‌ها!$P$3:$P$53,0))+IF(W217&lt;=6,(W217-1)*31+X217,IF(W217&lt;=11,186+(W217-7)*30+X217,336+X217))-1,""))</f>
        <v/>
      </c>
      <c r="Z217" s="18" t="str">
        <f t="shared" si="46"/>
        <v/>
      </c>
      <c r="AA217" s="18" t="str">
        <f t="shared" si="47"/>
        <v/>
      </c>
      <c r="AB217" s="18" t="str">
        <f t="shared" si="48"/>
        <v/>
      </c>
      <c r="AC217" s="18" t="str">
        <f>IF(OR(H217="",Z217=""),"",IFERROR(INDEX(لیست‌ها!$Q$3:$Q$53,MATCH(Z217,لیست‌ها!$P$3:$P$53,0))+IF(AA217&lt;=6,(AA217-1)*31+AB217,IF(AA217&lt;=11,186+(AA217-7)*30+AB217,336+AB217))-1,""))</f>
        <v/>
      </c>
      <c r="AD217" s="18" t="str">
        <f t="shared" si="49"/>
        <v/>
      </c>
      <c r="AE217" s="18" t="str">
        <f t="shared" si="50"/>
        <v/>
      </c>
      <c r="AF217" s="18" t="str">
        <f t="shared" si="51"/>
        <v/>
      </c>
      <c r="AG217" s="18" t="str">
        <f>IF(OR(O217="",AD217=""),"",IFERROR(INDEX(لیست‌ها!$Q$3:$Q$53,MATCH(AD217,لیست‌ها!$P$3:$P$53,0))+IF(AE217&lt;=6,(AE217-1)*31+AF217,IF(AE217&lt;=11,186+(AE217-7)*30+AF217,336+AF217))-1,""))</f>
        <v/>
      </c>
      <c r="AH217" s="18" t="str">
        <f t="shared" si="52"/>
        <v/>
      </c>
      <c r="AI217" s="18" t="str">
        <f t="shared" si="53"/>
        <v/>
      </c>
      <c r="AJ217" s="18" t="str">
        <f t="shared" ca="1" si="54"/>
        <v/>
      </c>
    </row>
    <row r="218" spans="1:36">
      <c r="A218" s="18">
        <v>215</v>
      </c>
      <c r="B218" s="15" t="s">
        <v>344</v>
      </c>
      <c r="C218" s="15" t="s">
        <v>36</v>
      </c>
      <c r="D218" s="15" t="s">
        <v>37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8" t="str">
        <f t="shared" ca="1" si="42"/>
        <v/>
      </c>
      <c r="U218" s="18">
        <f t="shared" ca="1" si="55"/>
        <v>0</v>
      </c>
      <c r="V218" s="18" t="str">
        <f t="shared" si="43"/>
        <v/>
      </c>
      <c r="W218" s="18" t="str">
        <f t="shared" si="44"/>
        <v/>
      </c>
      <c r="X218" s="18" t="str">
        <f t="shared" si="45"/>
        <v/>
      </c>
      <c r="Y218" s="19" t="str">
        <f>IF(OR(L218="",V218=""),"",IFERROR(INDEX(لیست‌ها!$Q$3:$Q$53,MATCH(V218,لیست‌ها!$P$3:$P$53,0))+IF(W218&lt;=6,(W218-1)*31+X218,IF(W218&lt;=11,186+(W218-7)*30+X218,336+X218))-1,""))</f>
        <v/>
      </c>
      <c r="Z218" s="18" t="str">
        <f t="shared" si="46"/>
        <v/>
      </c>
      <c r="AA218" s="18" t="str">
        <f t="shared" si="47"/>
        <v/>
      </c>
      <c r="AB218" s="18" t="str">
        <f t="shared" si="48"/>
        <v/>
      </c>
      <c r="AC218" s="18" t="str">
        <f>IF(OR(H218="",Z218=""),"",IFERROR(INDEX(لیست‌ها!$Q$3:$Q$53,MATCH(Z218,لیست‌ها!$P$3:$P$53,0))+IF(AA218&lt;=6,(AA218-1)*31+AB218,IF(AA218&lt;=11,186+(AA218-7)*30+AB218,336+AB218))-1,""))</f>
        <v/>
      </c>
      <c r="AD218" s="18" t="str">
        <f t="shared" si="49"/>
        <v/>
      </c>
      <c r="AE218" s="18" t="str">
        <f t="shared" si="50"/>
        <v/>
      </c>
      <c r="AF218" s="18" t="str">
        <f t="shared" si="51"/>
        <v/>
      </c>
      <c r="AG218" s="18" t="str">
        <f>IF(OR(O218="",AD218=""),"",IFERROR(INDEX(لیست‌ها!$Q$3:$Q$53,MATCH(AD218,لیست‌ها!$P$3:$P$53,0))+IF(AE218&lt;=6,(AE218-1)*31+AF218,IF(AE218&lt;=11,186+(AE218-7)*30+AF218,336+AF218))-1,""))</f>
        <v/>
      </c>
      <c r="AH218" s="18" t="str">
        <f t="shared" si="52"/>
        <v/>
      </c>
      <c r="AI218" s="18" t="str">
        <f t="shared" si="53"/>
        <v/>
      </c>
      <c r="AJ218" s="18" t="str">
        <f t="shared" ca="1" si="54"/>
        <v/>
      </c>
    </row>
    <row r="219" spans="1:36">
      <c r="A219" s="18">
        <v>216</v>
      </c>
      <c r="B219" s="15" t="s">
        <v>345</v>
      </c>
      <c r="C219" s="15" t="s">
        <v>36</v>
      </c>
      <c r="D219" s="15" t="s">
        <v>43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8" t="str">
        <f t="shared" ca="1" si="42"/>
        <v/>
      </c>
      <c r="U219" s="18">
        <f t="shared" ca="1" si="55"/>
        <v>0</v>
      </c>
      <c r="V219" s="18" t="str">
        <f t="shared" si="43"/>
        <v/>
      </c>
      <c r="W219" s="18" t="str">
        <f t="shared" si="44"/>
        <v/>
      </c>
      <c r="X219" s="18" t="str">
        <f t="shared" si="45"/>
        <v/>
      </c>
      <c r="Y219" s="19" t="str">
        <f>IF(OR(L219="",V219=""),"",IFERROR(INDEX(لیست‌ها!$Q$3:$Q$53,MATCH(V219,لیست‌ها!$P$3:$P$53,0))+IF(W219&lt;=6,(W219-1)*31+X219,IF(W219&lt;=11,186+(W219-7)*30+X219,336+X219))-1,""))</f>
        <v/>
      </c>
      <c r="Z219" s="18" t="str">
        <f t="shared" si="46"/>
        <v/>
      </c>
      <c r="AA219" s="18" t="str">
        <f t="shared" si="47"/>
        <v/>
      </c>
      <c r="AB219" s="18" t="str">
        <f t="shared" si="48"/>
        <v/>
      </c>
      <c r="AC219" s="18" t="str">
        <f>IF(OR(H219="",Z219=""),"",IFERROR(INDEX(لیست‌ها!$Q$3:$Q$53,MATCH(Z219,لیست‌ها!$P$3:$P$53,0))+IF(AA219&lt;=6,(AA219-1)*31+AB219,IF(AA219&lt;=11,186+(AA219-7)*30+AB219,336+AB219))-1,""))</f>
        <v/>
      </c>
      <c r="AD219" s="18" t="str">
        <f t="shared" si="49"/>
        <v/>
      </c>
      <c r="AE219" s="18" t="str">
        <f t="shared" si="50"/>
        <v/>
      </c>
      <c r="AF219" s="18" t="str">
        <f t="shared" si="51"/>
        <v/>
      </c>
      <c r="AG219" s="18" t="str">
        <f>IF(OR(O219="",AD219=""),"",IFERROR(INDEX(لیست‌ها!$Q$3:$Q$53,MATCH(AD219,لیست‌ها!$P$3:$P$53,0))+IF(AE219&lt;=6,(AE219-1)*31+AF219,IF(AE219&lt;=11,186+(AE219-7)*30+AF219,336+AF219))-1,""))</f>
        <v/>
      </c>
      <c r="AH219" s="18" t="str">
        <f t="shared" si="52"/>
        <v/>
      </c>
      <c r="AI219" s="18" t="str">
        <f t="shared" si="53"/>
        <v/>
      </c>
      <c r="AJ219" s="18" t="str">
        <f t="shared" ca="1" si="54"/>
        <v/>
      </c>
    </row>
    <row r="220" spans="1:36">
      <c r="A220" s="18">
        <v>217</v>
      </c>
      <c r="B220" s="15" t="s">
        <v>346</v>
      </c>
      <c r="C220" s="15" t="s">
        <v>36</v>
      </c>
      <c r="D220" s="15" t="s">
        <v>386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8" t="str">
        <f t="shared" ca="1" si="42"/>
        <v/>
      </c>
      <c r="U220" s="18">
        <f t="shared" ca="1" si="55"/>
        <v>0</v>
      </c>
      <c r="V220" s="18" t="str">
        <f t="shared" si="43"/>
        <v/>
      </c>
      <c r="W220" s="18" t="str">
        <f t="shared" si="44"/>
        <v/>
      </c>
      <c r="X220" s="18" t="str">
        <f t="shared" si="45"/>
        <v/>
      </c>
      <c r="Y220" s="19" t="str">
        <f>IF(OR(L220="",V220=""),"",IFERROR(INDEX(لیست‌ها!$Q$3:$Q$53,MATCH(V220,لیست‌ها!$P$3:$P$53,0))+IF(W220&lt;=6,(W220-1)*31+X220,IF(W220&lt;=11,186+(W220-7)*30+X220,336+X220))-1,""))</f>
        <v/>
      </c>
      <c r="Z220" s="18" t="str">
        <f t="shared" si="46"/>
        <v/>
      </c>
      <c r="AA220" s="18" t="str">
        <f t="shared" si="47"/>
        <v/>
      </c>
      <c r="AB220" s="18" t="str">
        <f t="shared" si="48"/>
        <v/>
      </c>
      <c r="AC220" s="18" t="str">
        <f>IF(OR(H220="",Z220=""),"",IFERROR(INDEX(لیست‌ها!$Q$3:$Q$53,MATCH(Z220,لیست‌ها!$P$3:$P$53,0))+IF(AA220&lt;=6,(AA220-1)*31+AB220,IF(AA220&lt;=11,186+(AA220-7)*30+AB220,336+AB220))-1,""))</f>
        <v/>
      </c>
      <c r="AD220" s="18" t="str">
        <f t="shared" si="49"/>
        <v/>
      </c>
      <c r="AE220" s="18" t="str">
        <f t="shared" si="50"/>
        <v/>
      </c>
      <c r="AF220" s="18" t="str">
        <f t="shared" si="51"/>
        <v/>
      </c>
      <c r="AG220" s="18" t="str">
        <f>IF(OR(O220="",AD220=""),"",IFERROR(INDEX(لیست‌ها!$Q$3:$Q$53,MATCH(AD220,لیست‌ها!$P$3:$P$53,0))+IF(AE220&lt;=6,(AE220-1)*31+AF220,IF(AE220&lt;=11,186+(AE220-7)*30+AF220,336+AF220))-1,""))</f>
        <v/>
      </c>
      <c r="AH220" s="18" t="str">
        <f t="shared" si="52"/>
        <v/>
      </c>
      <c r="AI220" s="18" t="str">
        <f t="shared" si="53"/>
        <v/>
      </c>
      <c r="AJ220" s="18" t="str">
        <f t="shared" ca="1" si="54"/>
        <v/>
      </c>
    </row>
    <row r="221" spans="1:36">
      <c r="A221" s="18">
        <v>218</v>
      </c>
      <c r="B221" s="15" t="s">
        <v>347</v>
      </c>
      <c r="C221" s="15" t="s">
        <v>36</v>
      </c>
      <c r="D221" s="15" t="s">
        <v>66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8" t="str">
        <f t="shared" ca="1" si="42"/>
        <v/>
      </c>
      <c r="U221" s="18">
        <f t="shared" ca="1" si="55"/>
        <v>0</v>
      </c>
      <c r="V221" s="18" t="str">
        <f t="shared" si="43"/>
        <v/>
      </c>
      <c r="W221" s="18" t="str">
        <f t="shared" si="44"/>
        <v/>
      </c>
      <c r="X221" s="18" t="str">
        <f t="shared" si="45"/>
        <v/>
      </c>
      <c r="Y221" s="19" t="str">
        <f>IF(OR(L221="",V221=""),"",IFERROR(INDEX(لیست‌ها!$Q$3:$Q$53,MATCH(V221,لیست‌ها!$P$3:$P$53,0))+IF(W221&lt;=6,(W221-1)*31+X221,IF(W221&lt;=11,186+(W221-7)*30+X221,336+X221))-1,""))</f>
        <v/>
      </c>
      <c r="Z221" s="18" t="str">
        <f t="shared" si="46"/>
        <v/>
      </c>
      <c r="AA221" s="18" t="str">
        <f t="shared" si="47"/>
        <v/>
      </c>
      <c r="AB221" s="18" t="str">
        <f t="shared" si="48"/>
        <v/>
      </c>
      <c r="AC221" s="18" t="str">
        <f>IF(OR(H221="",Z221=""),"",IFERROR(INDEX(لیست‌ها!$Q$3:$Q$53,MATCH(Z221,لیست‌ها!$P$3:$P$53,0))+IF(AA221&lt;=6,(AA221-1)*31+AB221,IF(AA221&lt;=11,186+(AA221-7)*30+AB221,336+AB221))-1,""))</f>
        <v/>
      </c>
      <c r="AD221" s="18" t="str">
        <f t="shared" si="49"/>
        <v/>
      </c>
      <c r="AE221" s="18" t="str">
        <f t="shared" si="50"/>
        <v/>
      </c>
      <c r="AF221" s="18" t="str">
        <f t="shared" si="51"/>
        <v/>
      </c>
      <c r="AG221" s="18" t="str">
        <f>IF(OR(O221="",AD221=""),"",IFERROR(INDEX(لیست‌ها!$Q$3:$Q$53,MATCH(AD221,لیست‌ها!$P$3:$P$53,0))+IF(AE221&lt;=6,(AE221-1)*31+AF221,IF(AE221&lt;=11,186+(AE221-7)*30+AF221,336+AF221))-1,""))</f>
        <v/>
      </c>
      <c r="AH221" s="18" t="str">
        <f t="shared" si="52"/>
        <v/>
      </c>
      <c r="AI221" s="18" t="str">
        <f t="shared" si="53"/>
        <v/>
      </c>
      <c r="AJ221" s="18" t="str">
        <f t="shared" ca="1" si="54"/>
        <v/>
      </c>
    </row>
    <row r="222" spans="1:36">
      <c r="A222" s="18">
        <v>219</v>
      </c>
      <c r="B222" s="15" t="s">
        <v>348</v>
      </c>
      <c r="C222" s="15" t="s">
        <v>36</v>
      </c>
      <c r="D222" s="15" t="s">
        <v>66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8" t="str">
        <f t="shared" ca="1" si="42"/>
        <v/>
      </c>
      <c r="U222" s="18">
        <f t="shared" ca="1" si="55"/>
        <v>0</v>
      </c>
      <c r="V222" s="18" t="str">
        <f t="shared" si="43"/>
        <v/>
      </c>
      <c r="W222" s="18" t="str">
        <f t="shared" si="44"/>
        <v/>
      </c>
      <c r="X222" s="18" t="str">
        <f t="shared" si="45"/>
        <v/>
      </c>
      <c r="Y222" s="19" t="str">
        <f>IF(OR(L222="",V222=""),"",IFERROR(INDEX(لیست‌ها!$Q$3:$Q$53,MATCH(V222,لیست‌ها!$P$3:$P$53,0))+IF(W222&lt;=6,(W222-1)*31+X222,IF(W222&lt;=11,186+(W222-7)*30+X222,336+X222))-1,""))</f>
        <v/>
      </c>
      <c r="Z222" s="18" t="str">
        <f t="shared" si="46"/>
        <v/>
      </c>
      <c r="AA222" s="18" t="str">
        <f t="shared" si="47"/>
        <v/>
      </c>
      <c r="AB222" s="18" t="str">
        <f t="shared" si="48"/>
        <v/>
      </c>
      <c r="AC222" s="18" t="str">
        <f>IF(OR(H222="",Z222=""),"",IFERROR(INDEX(لیست‌ها!$Q$3:$Q$53,MATCH(Z222,لیست‌ها!$P$3:$P$53,0))+IF(AA222&lt;=6,(AA222-1)*31+AB222,IF(AA222&lt;=11,186+(AA222-7)*30+AB222,336+AB222))-1,""))</f>
        <v/>
      </c>
      <c r="AD222" s="18" t="str">
        <f t="shared" si="49"/>
        <v/>
      </c>
      <c r="AE222" s="18" t="str">
        <f t="shared" si="50"/>
        <v/>
      </c>
      <c r="AF222" s="18" t="str">
        <f t="shared" si="51"/>
        <v/>
      </c>
      <c r="AG222" s="18" t="str">
        <f>IF(OR(O222="",AD222=""),"",IFERROR(INDEX(لیست‌ها!$Q$3:$Q$53,MATCH(AD222,لیست‌ها!$P$3:$P$53,0))+IF(AE222&lt;=6,(AE222-1)*31+AF222,IF(AE222&lt;=11,186+(AE222-7)*30+AF222,336+AF222))-1,""))</f>
        <v/>
      </c>
      <c r="AH222" s="18" t="str">
        <f t="shared" si="52"/>
        <v/>
      </c>
      <c r="AI222" s="18" t="str">
        <f t="shared" si="53"/>
        <v/>
      </c>
      <c r="AJ222" s="18" t="str">
        <f t="shared" ca="1" si="54"/>
        <v/>
      </c>
    </row>
    <row r="223" spans="1:36">
      <c r="A223" s="18">
        <v>220</v>
      </c>
      <c r="B223" s="15" t="s">
        <v>349</v>
      </c>
      <c r="C223" s="15" t="s">
        <v>36</v>
      </c>
      <c r="D223" s="15" t="s">
        <v>43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8" t="str">
        <f t="shared" ca="1" si="42"/>
        <v/>
      </c>
      <c r="U223" s="18">
        <f t="shared" ca="1" si="55"/>
        <v>0</v>
      </c>
      <c r="V223" s="18" t="str">
        <f t="shared" si="43"/>
        <v/>
      </c>
      <c r="W223" s="18" t="str">
        <f t="shared" si="44"/>
        <v/>
      </c>
      <c r="X223" s="18" t="str">
        <f t="shared" si="45"/>
        <v/>
      </c>
      <c r="Y223" s="19" t="str">
        <f>IF(OR(L223="",V223=""),"",IFERROR(INDEX(لیست‌ها!$Q$3:$Q$53,MATCH(V223,لیست‌ها!$P$3:$P$53,0))+IF(W223&lt;=6,(W223-1)*31+X223,IF(W223&lt;=11,186+(W223-7)*30+X223,336+X223))-1,""))</f>
        <v/>
      </c>
      <c r="Z223" s="18" t="str">
        <f t="shared" si="46"/>
        <v/>
      </c>
      <c r="AA223" s="18" t="str">
        <f t="shared" si="47"/>
        <v/>
      </c>
      <c r="AB223" s="18" t="str">
        <f t="shared" si="48"/>
        <v/>
      </c>
      <c r="AC223" s="18" t="str">
        <f>IF(OR(H223="",Z223=""),"",IFERROR(INDEX(لیست‌ها!$Q$3:$Q$53,MATCH(Z223,لیست‌ها!$P$3:$P$53,0))+IF(AA223&lt;=6,(AA223-1)*31+AB223,IF(AA223&lt;=11,186+(AA223-7)*30+AB223,336+AB223))-1,""))</f>
        <v/>
      </c>
      <c r="AD223" s="18" t="str">
        <f t="shared" si="49"/>
        <v/>
      </c>
      <c r="AE223" s="18" t="str">
        <f t="shared" si="50"/>
        <v/>
      </c>
      <c r="AF223" s="18" t="str">
        <f t="shared" si="51"/>
        <v/>
      </c>
      <c r="AG223" s="18" t="str">
        <f>IF(OR(O223="",AD223=""),"",IFERROR(INDEX(لیست‌ها!$Q$3:$Q$53,MATCH(AD223,لیست‌ها!$P$3:$P$53,0))+IF(AE223&lt;=6,(AE223-1)*31+AF223,IF(AE223&lt;=11,186+(AE223-7)*30+AF223,336+AF223))-1,""))</f>
        <v/>
      </c>
      <c r="AH223" s="18" t="str">
        <f t="shared" si="52"/>
        <v/>
      </c>
      <c r="AI223" s="18" t="str">
        <f t="shared" si="53"/>
        <v/>
      </c>
      <c r="AJ223" s="18" t="str">
        <f t="shared" ca="1" si="54"/>
        <v/>
      </c>
    </row>
    <row r="224" spans="1:36">
      <c r="A224" s="18">
        <v>221</v>
      </c>
      <c r="B224" s="15" t="s">
        <v>350</v>
      </c>
      <c r="C224" s="15" t="s">
        <v>36</v>
      </c>
      <c r="D224" s="15" t="s">
        <v>43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8" t="str">
        <f t="shared" ca="1" si="42"/>
        <v/>
      </c>
      <c r="U224" s="18">
        <f t="shared" ca="1" si="55"/>
        <v>0</v>
      </c>
      <c r="V224" s="18" t="str">
        <f t="shared" si="43"/>
        <v/>
      </c>
      <c r="W224" s="18" t="str">
        <f t="shared" si="44"/>
        <v/>
      </c>
      <c r="X224" s="18" t="str">
        <f t="shared" si="45"/>
        <v/>
      </c>
      <c r="Y224" s="19" t="str">
        <f>IF(OR(L224="",V224=""),"",IFERROR(INDEX(لیست‌ها!$Q$3:$Q$53,MATCH(V224,لیست‌ها!$P$3:$P$53,0))+IF(W224&lt;=6,(W224-1)*31+X224,IF(W224&lt;=11,186+(W224-7)*30+X224,336+X224))-1,""))</f>
        <v/>
      </c>
      <c r="Z224" s="18" t="str">
        <f t="shared" si="46"/>
        <v/>
      </c>
      <c r="AA224" s="18" t="str">
        <f t="shared" si="47"/>
        <v/>
      </c>
      <c r="AB224" s="18" t="str">
        <f t="shared" si="48"/>
        <v/>
      </c>
      <c r="AC224" s="18" t="str">
        <f>IF(OR(H224="",Z224=""),"",IFERROR(INDEX(لیست‌ها!$Q$3:$Q$53,MATCH(Z224,لیست‌ها!$P$3:$P$53,0))+IF(AA224&lt;=6,(AA224-1)*31+AB224,IF(AA224&lt;=11,186+(AA224-7)*30+AB224,336+AB224))-1,""))</f>
        <v/>
      </c>
      <c r="AD224" s="18" t="str">
        <f t="shared" si="49"/>
        <v/>
      </c>
      <c r="AE224" s="18" t="str">
        <f t="shared" si="50"/>
        <v/>
      </c>
      <c r="AF224" s="18" t="str">
        <f t="shared" si="51"/>
        <v/>
      </c>
      <c r="AG224" s="18" t="str">
        <f>IF(OR(O224="",AD224=""),"",IFERROR(INDEX(لیست‌ها!$Q$3:$Q$53,MATCH(AD224,لیست‌ها!$P$3:$P$53,0))+IF(AE224&lt;=6,(AE224-1)*31+AF224,IF(AE224&lt;=11,186+(AE224-7)*30+AF224,336+AF224))-1,""))</f>
        <v/>
      </c>
      <c r="AH224" s="18" t="str">
        <f t="shared" si="52"/>
        <v/>
      </c>
      <c r="AI224" s="18" t="str">
        <f t="shared" si="53"/>
        <v/>
      </c>
      <c r="AJ224" s="18" t="str">
        <f t="shared" ca="1" si="54"/>
        <v/>
      </c>
    </row>
    <row r="225" spans="1:36">
      <c r="A225" s="18">
        <v>222</v>
      </c>
      <c r="B225" s="15" t="s">
        <v>351</v>
      </c>
      <c r="C225" s="15" t="s">
        <v>36</v>
      </c>
      <c r="D225" s="15" t="s">
        <v>43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8" t="str">
        <f t="shared" ca="1" si="42"/>
        <v/>
      </c>
      <c r="U225" s="18">
        <f t="shared" ca="1" si="55"/>
        <v>0</v>
      </c>
      <c r="V225" s="18" t="str">
        <f t="shared" si="43"/>
        <v/>
      </c>
      <c r="W225" s="18" t="str">
        <f t="shared" si="44"/>
        <v/>
      </c>
      <c r="X225" s="18" t="str">
        <f t="shared" si="45"/>
        <v/>
      </c>
      <c r="Y225" s="19" t="str">
        <f>IF(OR(L225="",V225=""),"",IFERROR(INDEX(لیست‌ها!$Q$3:$Q$53,MATCH(V225,لیست‌ها!$P$3:$P$53,0))+IF(W225&lt;=6,(W225-1)*31+X225,IF(W225&lt;=11,186+(W225-7)*30+X225,336+X225))-1,""))</f>
        <v/>
      </c>
      <c r="Z225" s="18" t="str">
        <f t="shared" si="46"/>
        <v/>
      </c>
      <c r="AA225" s="18" t="str">
        <f t="shared" si="47"/>
        <v/>
      </c>
      <c r="AB225" s="18" t="str">
        <f t="shared" si="48"/>
        <v/>
      </c>
      <c r="AC225" s="18" t="str">
        <f>IF(OR(H225="",Z225=""),"",IFERROR(INDEX(لیست‌ها!$Q$3:$Q$53,MATCH(Z225,لیست‌ها!$P$3:$P$53,0))+IF(AA225&lt;=6,(AA225-1)*31+AB225,IF(AA225&lt;=11,186+(AA225-7)*30+AB225,336+AB225))-1,""))</f>
        <v/>
      </c>
      <c r="AD225" s="18" t="str">
        <f t="shared" si="49"/>
        <v/>
      </c>
      <c r="AE225" s="18" t="str">
        <f t="shared" si="50"/>
        <v/>
      </c>
      <c r="AF225" s="18" t="str">
        <f t="shared" si="51"/>
        <v/>
      </c>
      <c r="AG225" s="18" t="str">
        <f>IF(OR(O225="",AD225=""),"",IFERROR(INDEX(لیست‌ها!$Q$3:$Q$53,MATCH(AD225,لیست‌ها!$P$3:$P$53,0))+IF(AE225&lt;=6,(AE225-1)*31+AF225,IF(AE225&lt;=11,186+(AE225-7)*30+AF225,336+AF225))-1,""))</f>
        <v/>
      </c>
      <c r="AH225" s="18" t="str">
        <f t="shared" si="52"/>
        <v/>
      </c>
      <c r="AI225" s="18" t="str">
        <f t="shared" si="53"/>
        <v/>
      </c>
      <c r="AJ225" s="18" t="str">
        <f t="shared" ca="1" si="54"/>
        <v/>
      </c>
    </row>
    <row r="226" spans="1:36">
      <c r="A226" s="18">
        <v>223</v>
      </c>
      <c r="B226" s="15" t="s">
        <v>352</v>
      </c>
      <c r="C226" s="15" t="s">
        <v>36</v>
      </c>
      <c r="D226" s="15" t="s">
        <v>43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8" t="str">
        <f t="shared" ca="1" si="42"/>
        <v/>
      </c>
      <c r="U226" s="18">
        <f t="shared" ca="1" si="55"/>
        <v>0</v>
      </c>
      <c r="V226" s="18" t="str">
        <f t="shared" si="43"/>
        <v/>
      </c>
      <c r="W226" s="18" t="str">
        <f t="shared" si="44"/>
        <v/>
      </c>
      <c r="X226" s="18" t="str">
        <f t="shared" si="45"/>
        <v/>
      </c>
      <c r="Y226" s="19" t="str">
        <f>IF(OR(L226="",V226=""),"",IFERROR(INDEX(لیست‌ها!$Q$3:$Q$53,MATCH(V226,لیست‌ها!$P$3:$P$53,0))+IF(W226&lt;=6,(W226-1)*31+X226,IF(W226&lt;=11,186+(W226-7)*30+X226,336+X226))-1,""))</f>
        <v/>
      </c>
      <c r="Z226" s="18" t="str">
        <f t="shared" si="46"/>
        <v/>
      </c>
      <c r="AA226" s="18" t="str">
        <f t="shared" si="47"/>
        <v/>
      </c>
      <c r="AB226" s="18" t="str">
        <f t="shared" si="48"/>
        <v/>
      </c>
      <c r="AC226" s="18" t="str">
        <f>IF(OR(H226="",Z226=""),"",IFERROR(INDEX(لیست‌ها!$Q$3:$Q$53,MATCH(Z226,لیست‌ها!$P$3:$P$53,0))+IF(AA226&lt;=6,(AA226-1)*31+AB226,IF(AA226&lt;=11,186+(AA226-7)*30+AB226,336+AB226))-1,""))</f>
        <v/>
      </c>
      <c r="AD226" s="18" t="str">
        <f t="shared" si="49"/>
        <v/>
      </c>
      <c r="AE226" s="18" t="str">
        <f t="shared" si="50"/>
        <v/>
      </c>
      <c r="AF226" s="18" t="str">
        <f t="shared" si="51"/>
        <v/>
      </c>
      <c r="AG226" s="18" t="str">
        <f>IF(OR(O226="",AD226=""),"",IFERROR(INDEX(لیست‌ها!$Q$3:$Q$53,MATCH(AD226,لیست‌ها!$P$3:$P$53,0))+IF(AE226&lt;=6,(AE226-1)*31+AF226,IF(AE226&lt;=11,186+(AE226-7)*30+AF226,336+AF226))-1,""))</f>
        <v/>
      </c>
      <c r="AH226" s="18" t="str">
        <f t="shared" si="52"/>
        <v/>
      </c>
      <c r="AI226" s="18" t="str">
        <f t="shared" si="53"/>
        <v/>
      </c>
      <c r="AJ226" s="18" t="str">
        <f t="shared" ca="1" si="54"/>
        <v/>
      </c>
    </row>
    <row r="227" spans="1:36">
      <c r="A227" s="18">
        <v>224</v>
      </c>
      <c r="B227" s="15" t="s">
        <v>353</v>
      </c>
      <c r="C227" s="15" t="s">
        <v>36</v>
      </c>
      <c r="D227" s="15" t="s">
        <v>43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8" t="str">
        <f t="shared" ca="1" si="42"/>
        <v/>
      </c>
      <c r="U227" s="18">
        <f t="shared" ca="1" si="55"/>
        <v>0</v>
      </c>
      <c r="V227" s="18" t="str">
        <f t="shared" si="43"/>
        <v/>
      </c>
      <c r="W227" s="18" t="str">
        <f t="shared" si="44"/>
        <v/>
      </c>
      <c r="X227" s="18" t="str">
        <f t="shared" si="45"/>
        <v/>
      </c>
      <c r="Y227" s="19" t="str">
        <f>IF(OR(L227="",V227=""),"",IFERROR(INDEX(لیست‌ها!$Q$3:$Q$53,MATCH(V227,لیست‌ها!$P$3:$P$53,0))+IF(W227&lt;=6,(W227-1)*31+X227,IF(W227&lt;=11,186+(W227-7)*30+X227,336+X227))-1,""))</f>
        <v/>
      </c>
      <c r="Z227" s="18" t="str">
        <f t="shared" si="46"/>
        <v/>
      </c>
      <c r="AA227" s="18" t="str">
        <f t="shared" si="47"/>
        <v/>
      </c>
      <c r="AB227" s="18" t="str">
        <f t="shared" si="48"/>
        <v/>
      </c>
      <c r="AC227" s="18" t="str">
        <f>IF(OR(H227="",Z227=""),"",IFERROR(INDEX(لیست‌ها!$Q$3:$Q$53,MATCH(Z227,لیست‌ها!$P$3:$P$53,0))+IF(AA227&lt;=6,(AA227-1)*31+AB227,IF(AA227&lt;=11,186+(AA227-7)*30+AB227,336+AB227))-1,""))</f>
        <v/>
      </c>
      <c r="AD227" s="18" t="str">
        <f t="shared" si="49"/>
        <v/>
      </c>
      <c r="AE227" s="18" t="str">
        <f t="shared" si="50"/>
        <v/>
      </c>
      <c r="AF227" s="18" t="str">
        <f t="shared" si="51"/>
        <v/>
      </c>
      <c r="AG227" s="18" t="str">
        <f>IF(OR(O227="",AD227=""),"",IFERROR(INDEX(لیست‌ها!$Q$3:$Q$53,MATCH(AD227,لیست‌ها!$P$3:$P$53,0))+IF(AE227&lt;=6,(AE227-1)*31+AF227,IF(AE227&lt;=11,186+(AE227-7)*30+AF227,336+AF227))-1,""))</f>
        <v/>
      </c>
      <c r="AH227" s="18" t="str">
        <f t="shared" si="52"/>
        <v/>
      </c>
      <c r="AI227" s="18" t="str">
        <f t="shared" si="53"/>
        <v/>
      </c>
      <c r="AJ227" s="18" t="str">
        <f t="shared" ca="1" si="54"/>
        <v/>
      </c>
    </row>
    <row r="228" spans="1:36">
      <c r="A228" s="18">
        <v>225</v>
      </c>
      <c r="B228" s="15" t="s">
        <v>354</v>
      </c>
      <c r="C228" s="15" t="s">
        <v>36</v>
      </c>
      <c r="D228" s="15" t="s">
        <v>43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8" t="str">
        <f t="shared" ca="1" si="42"/>
        <v/>
      </c>
      <c r="U228" s="18">
        <f t="shared" ca="1" si="55"/>
        <v>0</v>
      </c>
      <c r="V228" s="18" t="str">
        <f t="shared" si="43"/>
        <v/>
      </c>
      <c r="W228" s="18" t="str">
        <f t="shared" si="44"/>
        <v/>
      </c>
      <c r="X228" s="18" t="str">
        <f t="shared" si="45"/>
        <v/>
      </c>
      <c r="Y228" s="19" t="str">
        <f>IF(OR(L228="",V228=""),"",IFERROR(INDEX(لیست‌ها!$Q$3:$Q$53,MATCH(V228,لیست‌ها!$P$3:$P$53,0))+IF(W228&lt;=6,(W228-1)*31+X228,IF(W228&lt;=11,186+(W228-7)*30+X228,336+X228))-1,""))</f>
        <v/>
      </c>
      <c r="Z228" s="18" t="str">
        <f t="shared" si="46"/>
        <v/>
      </c>
      <c r="AA228" s="18" t="str">
        <f t="shared" si="47"/>
        <v/>
      </c>
      <c r="AB228" s="18" t="str">
        <f t="shared" si="48"/>
        <v/>
      </c>
      <c r="AC228" s="18" t="str">
        <f>IF(OR(H228="",Z228=""),"",IFERROR(INDEX(لیست‌ها!$Q$3:$Q$53,MATCH(Z228,لیست‌ها!$P$3:$P$53,0))+IF(AA228&lt;=6,(AA228-1)*31+AB228,IF(AA228&lt;=11,186+(AA228-7)*30+AB228,336+AB228))-1,""))</f>
        <v/>
      </c>
      <c r="AD228" s="18" t="str">
        <f t="shared" si="49"/>
        <v/>
      </c>
      <c r="AE228" s="18" t="str">
        <f t="shared" si="50"/>
        <v/>
      </c>
      <c r="AF228" s="18" t="str">
        <f t="shared" si="51"/>
        <v/>
      </c>
      <c r="AG228" s="18" t="str">
        <f>IF(OR(O228="",AD228=""),"",IFERROR(INDEX(لیست‌ها!$Q$3:$Q$53,MATCH(AD228,لیست‌ها!$P$3:$P$53,0))+IF(AE228&lt;=6,(AE228-1)*31+AF228,IF(AE228&lt;=11,186+(AE228-7)*30+AF228,336+AF228))-1,""))</f>
        <v/>
      </c>
      <c r="AH228" s="18" t="str">
        <f t="shared" si="52"/>
        <v/>
      </c>
      <c r="AI228" s="18" t="str">
        <f t="shared" si="53"/>
        <v/>
      </c>
      <c r="AJ228" s="18" t="str">
        <f t="shared" ca="1" si="54"/>
        <v/>
      </c>
    </row>
    <row r="229" spans="1:36">
      <c r="A229" s="18">
        <v>226</v>
      </c>
      <c r="B229" s="15" t="s">
        <v>355</v>
      </c>
      <c r="C229" s="15" t="s">
        <v>36</v>
      </c>
      <c r="D229" s="15" t="s">
        <v>43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8" t="str">
        <f t="shared" ca="1" si="42"/>
        <v/>
      </c>
      <c r="U229" s="18">
        <f t="shared" ca="1" si="55"/>
        <v>0</v>
      </c>
      <c r="V229" s="18" t="str">
        <f t="shared" si="43"/>
        <v/>
      </c>
      <c r="W229" s="18" t="str">
        <f t="shared" si="44"/>
        <v/>
      </c>
      <c r="X229" s="18" t="str">
        <f t="shared" si="45"/>
        <v/>
      </c>
      <c r="Y229" s="19" t="str">
        <f>IF(OR(L229="",V229=""),"",IFERROR(INDEX(لیست‌ها!$Q$3:$Q$53,MATCH(V229,لیست‌ها!$P$3:$P$53,0))+IF(W229&lt;=6,(W229-1)*31+X229,IF(W229&lt;=11,186+(W229-7)*30+X229,336+X229))-1,""))</f>
        <v/>
      </c>
      <c r="Z229" s="18" t="str">
        <f t="shared" si="46"/>
        <v/>
      </c>
      <c r="AA229" s="18" t="str">
        <f t="shared" si="47"/>
        <v/>
      </c>
      <c r="AB229" s="18" t="str">
        <f t="shared" si="48"/>
        <v/>
      </c>
      <c r="AC229" s="18" t="str">
        <f>IF(OR(H229="",Z229=""),"",IFERROR(INDEX(لیست‌ها!$Q$3:$Q$53,MATCH(Z229,لیست‌ها!$P$3:$P$53,0))+IF(AA229&lt;=6,(AA229-1)*31+AB229,IF(AA229&lt;=11,186+(AA229-7)*30+AB229,336+AB229))-1,""))</f>
        <v/>
      </c>
      <c r="AD229" s="18" t="str">
        <f t="shared" si="49"/>
        <v/>
      </c>
      <c r="AE229" s="18" t="str">
        <f t="shared" si="50"/>
        <v/>
      </c>
      <c r="AF229" s="18" t="str">
        <f t="shared" si="51"/>
        <v/>
      </c>
      <c r="AG229" s="18" t="str">
        <f>IF(OR(O229="",AD229=""),"",IFERROR(INDEX(لیست‌ها!$Q$3:$Q$53,MATCH(AD229,لیست‌ها!$P$3:$P$53,0))+IF(AE229&lt;=6,(AE229-1)*31+AF229,IF(AE229&lt;=11,186+(AE229-7)*30+AF229,336+AF229))-1,""))</f>
        <v/>
      </c>
      <c r="AH229" s="18" t="str">
        <f t="shared" si="52"/>
        <v/>
      </c>
      <c r="AI229" s="18" t="str">
        <f t="shared" si="53"/>
        <v/>
      </c>
      <c r="AJ229" s="18" t="str">
        <f t="shared" ca="1" si="54"/>
        <v/>
      </c>
    </row>
    <row r="230" spans="1:36">
      <c r="A230" s="18">
        <v>227</v>
      </c>
      <c r="B230" s="15" t="s">
        <v>356</v>
      </c>
      <c r="C230" s="15" t="s">
        <v>36</v>
      </c>
      <c r="D230" s="15" t="s">
        <v>64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8" t="str">
        <f t="shared" ca="1" si="42"/>
        <v/>
      </c>
      <c r="U230" s="18">
        <f t="shared" ca="1" si="55"/>
        <v>0</v>
      </c>
      <c r="V230" s="18" t="str">
        <f t="shared" si="43"/>
        <v/>
      </c>
      <c r="W230" s="18" t="str">
        <f t="shared" si="44"/>
        <v/>
      </c>
      <c r="X230" s="18" t="str">
        <f t="shared" si="45"/>
        <v/>
      </c>
      <c r="Y230" s="19" t="str">
        <f>IF(OR(L230="",V230=""),"",IFERROR(INDEX(لیست‌ها!$Q$3:$Q$53,MATCH(V230,لیست‌ها!$P$3:$P$53,0))+IF(W230&lt;=6,(W230-1)*31+X230,IF(W230&lt;=11,186+(W230-7)*30+X230,336+X230))-1,""))</f>
        <v/>
      </c>
      <c r="Z230" s="18" t="str">
        <f t="shared" si="46"/>
        <v/>
      </c>
      <c r="AA230" s="18" t="str">
        <f t="shared" si="47"/>
        <v/>
      </c>
      <c r="AB230" s="18" t="str">
        <f t="shared" si="48"/>
        <v/>
      </c>
      <c r="AC230" s="18" t="str">
        <f>IF(OR(H230="",Z230=""),"",IFERROR(INDEX(لیست‌ها!$Q$3:$Q$53,MATCH(Z230,لیست‌ها!$P$3:$P$53,0))+IF(AA230&lt;=6,(AA230-1)*31+AB230,IF(AA230&lt;=11,186+(AA230-7)*30+AB230,336+AB230))-1,""))</f>
        <v/>
      </c>
      <c r="AD230" s="18" t="str">
        <f t="shared" si="49"/>
        <v/>
      </c>
      <c r="AE230" s="18" t="str">
        <f t="shared" si="50"/>
        <v/>
      </c>
      <c r="AF230" s="18" t="str">
        <f t="shared" si="51"/>
        <v/>
      </c>
      <c r="AG230" s="18" t="str">
        <f>IF(OR(O230="",AD230=""),"",IFERROR(INDEX(لیست‌ها!$Q$3:$Q$53,MATCH(AD230,لیست‌ها!$P$3:$P$53,0))+IF(AE230&lt;=6,(AE230-1)*31+AF230,IF(AE230&lt;=11,186+(AE230-7)*30+AF230,336+AF230))-1,""))</f>
        <v/>
      </c>
      <c r="AH230" s="18" t="str">
        <f t="shared" si="52"/>
        <v/>
      </c>
      <c r="AI230" s="18" t="str">
        <f t="shared" si="53"/>
        <v/>
      </c>
      <c r="AJ230" s="18" t="str">
        <f t="shared" ca="1" si="54"/>
        <v/>
      </c>
    </row>
    <row r="231" spans="1:36">
      <c r="A231" s="18">
        <v>228</v>
      </c>
      <c r="B231" s="15" t="s">
        <v>357</v>
      </c>
      <c r="C231" s="15" t="s">
        <v>36</v>
      </c>
      <c r="D231" s="15" t="s">
        <v>43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8" t="str">
        <f t="shared" ca="1" si="42"/>
        <v/>
      </c>
      <c r="U231" s="18">
        <f t="shared" ca="1" si="55"/>
        <v>0</v>
      </c>
      <c r="V231" s="18" t="str">
        <f t="shared" si="43"/>
        <v/>
      </c>
      <c r="W231" s="18" t="str">
        <f t="shared" si="44"/>
        <v/>
      </c>
      <c r="X231" s="18" t="str">
        <f t="shared" si="45"/>
        <v/>
      </c>
      <c r="Y231" s="19" t="str">
        <f>IF(OR(L231="",V231=""),"",IFERROR(INDEX(لیست‌ها!$Q$3:$Q$53,MATCH(V231,لیست‌ها!$P$3:$P$53,0))+IF(W231&lt;=6,(W231-1)*31+X231,IF(W231&lt;=11,186+(W231-7)*30+X231,336+X231))-1,""))</f>
        <v/>
      </c>
      <c r="Z231" s="18" t="str">
        <f t="shared" si="46"/>
        <v/>
      </c>
      <c r="AA231" s="18" t="str">
        <f t="shared" si="47"/>
        <v/>
      </c>
      <c r="AB231" s="18" t="str">
        <f t="shared" si="48"/>
        <v/>
      </c>
      <c r="AC231" s="18" t="str">
        <f>IF(OR(H231="",Z231=""),"",IFERROR(INDEX(لیست‌ها!$Q$3:$Q$53,MATCH(Z231,لیست‌ها!$P$3:$P$53,0))+IF(AA231&lt;=6,(AA231-1)*31+AB231,IF(AA231&lt;=11,186+(AA231-7)*30+AB231,336+AB231))-1,""))</f>
        <v/>
      </c>
      <c r="AD231" s="18" t="str">
        <f t="shared" si="49"/>
        <v/>
      </c>
      <c r="AE231" s="18" t="str">
        <f t="shared" si="50"/>
        <v/>
      </c>
      <c r="AF231" s="18" t="str">
        <f t="shared" si="51"/>
        <v/>
      </c>
      <c r="AG231" s="18" t="str">
        <f>IF(OR(O231="",AD231=""),"",IFERROR(INDEX(لیست‌ها!$Q$3:$Q$53,MATCH(AD231,لیست‌ها!$P$3:$P$53,0))+IF(AE231&lt;=6,(AE231-1)*31+AF231,IF(AE231&lt;=11,186+(AE231-7)*30+AF231,336+AF231))-1,""))</f>
        <v/>
      </c>
      <c r="AH231" s="18" t="str">
        <f t="shared" si="52"/>
        <v/>
      </c>
      <c r="AI231" s="18" t="str">
        <f t="shared" si="53"/>
        <v/>
      </c>
      <c r="AJ231" s="18" t="str">
        <f t="shared" ca="1" si="54"/>
        <v/>
      </c>
    </row>
    <row r="232" spans="1:36">
      <c r="A232" s="18">
        <v>229</v>
      </c>
      <c r="B232" s="15" t="s">
        <v>358</v>
      </c>
      <c r="C232" s="15" t="s">
        <v>36</v>
      </c>
      <c r="D232" s="15" t="s">
        <v>43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8" t="str">
        <f t="shared" ca="1" si="42"/>
        <v/>
      </c>
      <c r="U232" s="18">
        <f t="shared" ca="1" si="55"/>
        <v>0</v>
      </c>
      <c r="V232" s="18" t="str">
        <f t="shared" si="43"/>
        <v/>
      </c>
      <c r="W232" s="18" t="str">
        <f t="shared" si="44"/>
        <v/>
      </c>
      <c r="X232" s="18" t="str">
        <f t="shared" si="45"/>
        <v/>
      </c>
      <c r="Y232" s="19" t="str">
        <f>IF(OR(L232="",V232=""),"",IFERROR(INDEX(لیست‌ها!$Q$3:$Q$53,MATCH(V232,لیست‌ها!$P$3:$P$53,0))+IF(W232&lt;=6,(W232-1)*31+X232,IF(W232&lt;=11,186+(W232-7)*30+X232,336+X232))-1,""))</f>
        <v/>
      </c>
      <c r="Z232" s="18" t="str">
        <f t="shared" si="46"/>
        <v/>
      </c>
      <c r="AA232" s="18" t="str">
        <f t="shared" si="47"/>
        <v/>
      </c>
      <c r="AB232" s="18" t="str">
        <f t="shared" si="48"/>
        <v/>
      </c>
      <c r="AC232" s="18" t="str">
        <f>IF(OR(H232="",Z232=""),"",IFERROR(INDEX(لیست‌ها!$Q$3:$Q$53,MATCH(Z232,لیست‌ها!$P$3:$P$53,0))+IF(AA232&lt;=6,(AA232-1)*31+AB232,IF(AA232&lt;=11,186+(AA232-7)*30+AB232,336+AB232))-1,""))</f>
        <v/>
      </c>
      <c r="AD232" s="18" t="str">
        <f t="shared" si="49"/>
        <v/>
      </c>
      <c r="AE232" s="18" t="str">
        <f t="shared" si="50"/>
        <v/>
      </c>
      <c r="AF232" s="18" t="str">
        <f t="shared" si="51"/>
        <v/>
      </c>
      <c r="AG232" s="18" t="str">
        <f>IF(OR(O232="",AD232=""),"",IFERROR(INDEX(لیست‌ها!$Q$3:$Q$53,MATCH(AD232,لیست‌ها!$P$3:$P$53,0))+IF(AE232&lt;=6,(AE232-1)*31+AF232,IF(AE232&lt;=11,186+(AE232-7)*30+AF232,336+AF232))-1,""))</f>
        <v/>
      </c>
      <c r="AH232" s="18" t="str">
        <f t="shared" si="52"/>
        <v/>
      </c>
      <c r="AI232" s="18" t="str">
        <f t="shared" si="53"/>
        <v/>
      </c>
      <c r="AJ232" s="18" t="str">
        <f t="shared" ca="1" si="54"/>
        <v/>
      </c>
    </row>
    <row r="233" spans="1:36">
      <c r="A233" s="18">
        <v>230</v>
      </c>
      <c r="B233" s="15" t="s">
        <v>359</v>
      </c>
      <c r="C233" s="15" t="s">
        <v>36</v>
      </c>
      <c r="D233" s="15" t="s">
        <v>43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8" t="str">
        <f t="shared" ca="1" si="42"/>
        <v/>
      </c>
      <c r="U233" s="18">
        <f t="shared" ca="1" si="55"/>
        <v>0</v>
      </c>
      <c r="V233" s="18" t="str">
        <f t="shared" si="43"/>
        <v/>
      </c>
      <c r="W233" s="18" t="str">
        <f t="shared" si="44"/>
        <v/>
      </c>
      <c r="X233" s="18" t="str">
        <f t="shared" si="45"/>
        <v/>
      </c>
      <c r="Y233" s="19" t="str">
        <f>IF(OR(L233="",V233=""),"",IFERROR(INDEX(لیست‌ها!$Q$3:$Q$53,MATCH(V233,لیست‌ها!$P$3:$P$53,0))+IF(W233&lt;=6,(W233-1)*31+X233,IF(W233&lt;=11,186+(W233-7)*30+X233,336+X233))-1,""))</f>
        <v/>
      </c>
      <c r="Z233" s="18" t="str">
        <f t="shared" si="46"/>
        <v/>
      </c>
      <c r="AA233" s="18" t="str">
        <f t="shared" si="47"/>
        <v/>
      </c>
      <c r="AB233" s="18" t="str">
        <f t="shared" si="48"/>
        <v/>
      </c>
      <c r="AC233" s="18" t="str">
        <f>IF(OR(H233="",Z233=""),"",IFERROR(INDEX(لیست‌ها!$Q$3:$Q$53,MATCH(Z233,لیست‌ها!$P$3:$P$53,0))+IF(AA233&lt;=6,(AA233-1)*31+AB233,IF(AA233&lt;=11,186+(AA233-7)*30+AB233,336+AB233))-1,""))</f>
        <v/>
      </c>
      <c r="AD233" s="18" t="str">
        <f t="shared" si="49"/>
        <v/>
      </c>
      <c r="AE233" s="18" t="str">
        <f t="shared" si="50"/>
        <v/>
      </c>
      <c r="AF233" s="18" t="str">
        <f t="shared" si="51"/>
        <v/>
      </c>
      <c r="AG233" s="18" t="str">
        <f>IF(OR(O233="",AD233=""),"",IFERROR(INDEX(لیست‌ها!$Q$3:$Q$53,MATCH(AD233,لیست‌ها!$P$3:$P$53,0))+IF(AE233&lt;=6,(AE233-1)*31+AF233,IF(AE233&lt;=11,186+(AE233-7)*30+AF233,336+AF233))-1,""))</f>
        <v/>
      </c>
      <c r="AH233" s="18" t="str">
        <f t="shared" si="52"/>
        <v/>
      </c>
      <c r="AI233" s="18" t="str">
        <f t="shared" si="53"/>
        <v/>
      </c>
      <c r="AJ233" s="18" t="str">
        <f t="shared" ca="1" si="54"/>
        <v/>
      </c>
    </row>
    <row r="234" spans="1:36">
      <c r="A234" s="18">
        <v>231</v>
      </c>
      <c r="B234" s="15" t="s">
        <v>360</v>
      </c>
      <c r="C234" s="15" t="s">
        <v>36</v>
      </c>
      <c r="D234" s="15" t="s">
        <v>43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8" t="str">
        <f t="shared" ca="1" si="42"/>
        <v/>
      </c>
      <c r="U234" s="18">
        <f t="shared" ca="1" si="55"/>
        <v>0</v>
      </c>
      <c r="V234" s="18" t="str">
        <f t="shared" si="43"/>
        <v/>
      </c>
      <c r="W234" s="18" t="str">
        <f t="shared" si="44"/>
        <v/>
      </c>
      <c r="X234" s="18" t="str">
        <f t="shared" si="45"/>
        <v/>
      </c>
      <c r="Y234" s="19" t="str">
        <f>IF(OR(L234="",V234=""),"",IFERROR(INDEX(لیست‌ها!$Q$3:$Q$53,MATCH(V234,لیست‌ها!$P$3:$P$53,0))+IF(W234&lt;=6,(W234-1)*31+X234,IF(W234&lt;=11,186+(W234-7)*30+X234,336+X234))-1,""))</f>
        <v/>
      </c>
      <c r="Z234" s="18" t="str">
        <f t="shared" si="46"/>
        <v/>
      </c>
      <c r="AA234" s="18" t="str">
        <f t="shared" si="47"/>
        <v/>
      </c>
      <c r="AB234" s="18" t="str">
        <f t="shared" si="48"/>
        <v/>
      </c>
      <c r="AC234" s="18" t="str">
        <f>IF(OR(H234="",Z234=""),"",IFERROR(INDEX(لیست‌ها!$Q$3:$Q$53,MATCH(Z234,لیست‌ها!$P$3:$P$53,0))+IF(AA234&lt;=6,(AA234-1)*31+AB234,IF(AA234&lt;=11,186+(AA234-7)*30+AB234,336+AB234))-1,""))</f>
        <v/>
      </c>
      <c r="AD234" s="18" t="str">
        <f t="shared" si="49"/>
        <v/>
      </c>
      <c r="AE234" s="18" t="str">
        <f t="shared" si="50"/>
        <v/>
      </c>
      <c r="AF234" s="18" t="str">
        <f t="shared" si="51"/>
        <v/>
      </c>
      <c r="AG234" s="18" t="str">
        <f>IF(OR(O234="",AD234=""),"",IFERROR(INDEX(لیست‌ها!$Q$3:$Q$53,MATCH(AD234,لیست‌ها!$P$3:$P$53,0))+IF(AE234&lt;=6,(AE234-1)*31+AF234,IF(AE234&lt;=11,186+(AE234-7)*30+AF234,336+AF234))-1,""))</f>
        <v/>
      </c>
      <c r="AH234" s="18" t="str">
        <f t="shared" si="52"/>
        <v/>
      </c>
      <c r="AI234" s="18" t="str">
        <f t="shared" si="53"/>
        <v/>
      </c>
      <c r="AJ234" s="18" t="str">
        <f t="shared" ca="1" si="54"/>
        <v/>
      </c>
    </row>
    <row r="235" spans="1:36">
      <c r="A235" s="18">
        <v>232</v>
      </c>
      <c r="B235" s="15" t="s">
        <v>361</v>
      </c>
      <c r="C235" s="15" t="s">
        <v>36</v>
      </c>
      <c r="D235" s="15" t="s">
        <v>43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8" t="str">
        <f t="shared" ca="1" si="42"/>
        <v/>
      </c>
      <c r="U235" s="18">
        <f t="shared" ca="1" si="55"/>
        <v>0</v>
      </c>
      <c r="V235" s="18" t="str">
        <f t="shared" si="43"/>
        <v/>
      </c>
      <c r="W235" s="18" t="str">
        <f t="shared" si="44"/>
        <v/>
      </c>
      <c r="X235" s="18" t="str">
        <f t="shared" si="45"/>
        <v/>
      </c>
      <c r="Y235" s="19" t="str">
        <f>IF(OR(L235="",V235=""),"",IFERROR(INDEX(لیست‌ها!$Q$3:$Q$53,MATCH(V235,لیست‌ها!$P$3:$P$53,0))+IF(W235&lt;=6,(W235-1)*31+X235,IF(W235&lt;=11,186+(W235-7)*30+X235,336+X235))-1,""))</f>
        <v/>
      </c>
      <c r="Z235" s="18" t="str">
        <f t="shared" si="46"/>
        <v/>
      </c>
      <c r="AA235" s="18" t="str">
        <f t="shared" si="47"/>
        <v/>
      </c>
      <c r="AB235" s="18" t="str">
        <f t="shared" si="48"/>
        <v/>
      </c>
      <c r="AC235" s="18" t="str">
        <f>IF(OR(H235="",Z235=""),"",IFERROR(INDEX(لیست‌ها!$Q$3:$Q$53,MATCH(Z235,لیست‌ها!$P$3:$P$53,0))+IF(AA235&lt;=6,(AA235-1)*31+AB235,IF(AA235&lt;=11,186+(AA235-7)*30+AB235,336+AB235))-1,""))</f>
        <v/>
      </c>
      <c r="AD235" s="18" t="str">
        <f t="shared" si="49"/>
        <v/>
      </c>
      <c r="AE235" s="18" t="str">
        <f t="shared" si="50"/>
        <v/>
      </c>
      <c r="AF235" s="18" t="str">
        <f t="shared" si="51"/>
        <v/>
      </c>
      <c r="AG235" s="18" t="str">
        <f>IF(OR(O235="",AD235=""),"",IFERROR(INDEX(لیست‌ها!$Q$3:$Q$53,MATCH(AD235,لیست‌ها!$P$3:$P$53,0))+IF(AE235&lt;=6,(AE235-1)*31+AF235,IF(AE235&lt;=11,186+(AE235-7)*30+AF235,336+AF235))-1,""))</f>
        <v/>
      </c>
      <c r="AH235" s="18" t="str">
        <f t="shared" si="52"/>
        <v/>
      </c>
      <c r="AI235" s="18" t="str">
        <f t="shared" si="53"/>
        <v/>
      </c>
      <c r="AJ235" s="18" t="str">
        <f t="shared" ca="1" si="54"/>
        <v/>
      </c>
    </row>
    <row r="236" spans="1:36">
      <c r="A236" s="18">
        <v>233</v>
      </c>
      <c r="B236" s="15" t="s">
        <v>362</v>
      </c>
      <c r="C236" s="15" t="s">
        <v>36</v>
      </c>
      <c r="D236" s="15" t="s">
        <v>43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8" t="str">
        <f t="shared" ca="1" si="42"/>
        <v/>
      </c>
      <c r="U236" s="18">
        <f t="shared" ca="1" si="55"/>
        <v>0</v>
      </c>
      <c r="V236" s="18" t="str">
        <f t="shared" si="43"/>
        <v/>
      </c>
      <c r="W236" s="18" t="str">
        <f t="shared" si="44"/>
        <v/>
      </c>
      <c r="X236" s="18" t="str">
        <f t="shared" si="45"/>
        <v/>
      </c>
      <c r="Y236" s="19" t="str">
        <f>IF(OR(L236="",V236=""),"",IFERROR(INDEX(لیست‌ها!$Q$3:$Q$53,MATCH(V236,لیست‌ها!$P$3:$P$53,0))+IF(W236&lt;=6,(W236-1)*31+X236,IF(W236&lt;=11,186+(W236-7)*30+X236,336+X236))-1,""))</f>
        <v/>
      </c>
      <c r="Z236" s="18" t="str">
        <f t="shared" si="46"/>
        <v/>
      </c>
      <c r="AA236" s="18" t="str">
        <f t="shared" si="47"/>
        <v/>
      </c>
      <c r="AB236" s="18" t="str">
        <f t="shared" si="48"/>
        <v/>
      </c>
      <c r="AC236" s="18" t="str">
        <f>IF(OR(H236="",Z236=""),"",IFERROR(INDEX(لیست‌ها!$Q$3:$Q$53,MATCH(Z236,لیست‌ها!$P$3:$P$53,0))+IF(AA236&lt;=6,(AA236-1)*31+AB236,IF(AA236&lt;=11,186+(AA236-7)*30+AB236,336+AB236))-1,""))</f>
        <v/>
      </c>
      <c r="AD236" s="18" t="str">
        <f t="shared" si="49"/>
        <v/>
      </c>
      <c r="AE236" s="18" t="str">
        <f t="shared" si="50"/>
        <v/>
      </c>
      <c r="AF236" s="18" t="str">
        <f t="shared" si="51"/>
        <v/>
      </c>
      <c r="AG236" s="18" t="str">
        <f>IF(OR(O236="",AD236=""),"",IFERROR(INDEX(لیست‌ها!$Q$3:$Q$53,MATCH(AD236,لیست‌ها!$P$3:$P$53,0))+IF(AE236&lt;=6,(AE236-1)*31+AF236,IF(AE236&lt;=11,186+(AE236-7)*30+AF236,336+AF236))-1,""))</f>
        <v/>
      </c>
      <c r="AH236" s="18" t="str">
        <f t="shared" si="52"/>
        <v/>
      </c>
      <c r="AI236" s="18" t="str">
        <f t="shared" si="53"/>
        <v/>
      </c>
      <c r="AJ236" s="18" t="str">
        <f t="shared" ca="1" si="54"/>
        <v/>
      </c>
    </row>
    <row r="237" spans="1:36">
      <c r="A237" s="18">
        <v>234</v>
      </c>
      <c r="B237" s="15" t="s">
        <v>363</v>
      </c>
      <c r="C237" s="15" t="s">
        <v>36</v>
      </c>
      <c r="D237" s="15" t="s">
        <v>43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8" t="str">
        <f t="shared" ca="1" si="42"/>
        <v/>
      </c>
      <c r="U237" s="18">
        <f t="shared" ca="1" si="55"/>
        <v>0</v>
      </c>
      <c r="V237" s="18" t="str">
        <f t="shared" si="43"/>
        <v/>
      </c>
      <c r="W237" s="18" t="str">
        <f t="shared" si="44"/>
        <v/>
      </c>
      <c r="X237" s="18" t="str">
        <f t="shared" si="45"/>
        <v/>
      </c>
      <c r="Y237" s="19" t="str">
        <f>IF(OR(L237="",V237=""),"",IFERROR(INDEX(لیست‌ها!$Q$3:$Q$53,MATCH(V237,لیست‌ها!$P$3:$P$53,0))+IF(W237&lt;=6,(W237-1)*31+X237,IF(W237&lt;=11,186+(W237-7)*30+X237,336+X237))-1,""))</f>
        <v/>
      </c>
      <c r="Z237" s="18" t="str">
        <f t="shared" si="46"/>
        <v/>
      </c>
      <c r="AA237" s="18" t="str">
        <f t="shared" si="47"/>
        <v/>
      </c>
      <c r="AB237" s="18" t="str">
        <f t="shared" si="48"/>
        <v/>
      </c>
      <c r="AC237" s="18" t="str">
        <f>IF(OR(H237="",Z237=""),"",IFERROR(INDEX(لیست‌ها!$Q$3:$Q$53,MATCH(Z237,لیست‌ها!$P$3:$P$53,0))+IF(AA237&lt;=6,(AA237-1)*31+AB237,IF(AA237&lt;=11,186+(AA237-7)*30+AB237,336+AB237))-1,""))</f>
        <v/>
      </c>
      <c r="AD237" s="18" t="str">
        <f t="shared" si="49"/>
        <v/>
      </c>
      <c r="AE237" s="18" t="str">
        <f t="shared" si="50"/>
        <v/>
      </c>
      <c r="AF237" s="18" t="str">
        <f t="shared" si="51"/>
        <v/>
      </c>
      <c r="AG237" s="18" t="str">
        <f>IF(OR(O237="",AD237=""),"",IFERROR(INDEX(لیست‌ها!$Q$3:$Q$53,MATCH(AD237,لیست‌ها!$P$3:$P$53,0))+IF(AE237&lt;=6,(AE237-1)*31+AF237,IF(AE237&lt;=11,186+(AE237-7)*30+AF237,336+AF237))-1,""))</f>
        <v/>
      </c>
      <c r="AH237" s="18" t="str">
        <f t="shared" si="52"/>
        <v/>
      </c>
      <c r="AI237" s="18" t="str">
        <f t="shared" si="53"/>
        <v/>
      </c>
      <c r="AJ237" s="18" t="str">
        <f t="shared" ca="1" si="54"/>
        <v/>
      </c>
    </row>
    <row r="238" spans="1:36">
      <c r="A238" s="18">
        <v>235</v>
      </c>
      <c r="B238" s="15" t="s">
        <v>364</v>
      </c>
      <c r="C238" s="15" t="s">
        <v>36</v>
      </c>
      <c r="D238" s="15" t="s">
        <v>66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8" t="str">
        <f t="shared" ca="1" si="42"/>
        <v/>
      </c>
      <c r="U238" s="18">
        <f t="shared" ca="1" si="55"/>
        <v>0</v>
      </c>
      <c r="V238" s="18" t="str">
        <f t="shared" si="43"/>
        <v/>
      </c>
      <c r="W238" s="18" t="str">
        <f t="shared" si="44"/>
        <v/>
      </c>
      <c r="X238" s="18" t="str">
        <f t="shared" si="45"/>
        <v/>
      </c>
      <c r="Y238" s="19" t="str">
        <f>IF(OR(L238="",V238=""),"",IFERROR(INDEX(لیست‌ها!$Q$3:$Q$53,MATCH(V238,لیست‌ها!$P$3:$P$53,0))+IF(W238&lt;=6,(W238-1)*31+X238,IF(W238&lt;=11,186+(W238-7)*30+X238,336+X238))-1,""))</f>
        <v/>
      </c>
      <c r="Z238" s="18" t="str">
        <f t="shared" si="46"/>
        <v/>
      </c>
      <c r="AA238" s="18" t="str">
        <f t="shared" si="47"/>
        <v/>
      </c>
      <c r="AB238" s="18" t="str">
        <f t="shared" si="48"/>
        <v/>
      </c>
      <c r="AC238" s="18" t="str">
        <f>IF(OR(H238="",Z238=""),"",IFERROR(INDEX(لیست‌ها!$Q$3:$Q$53,MATCH(Z238,لیست‌ها!$P$3:$P$53,0))+IF(AA238&lt;=6,(AA238-1)*31+AB238,IF(AA238&lt;=11,186+(AA238-7)*30+AB238,336+AB238))-1,""))</f>
        <v/>
      </c>
      <c r="AD238" s="18" t="str">
        <f t="shared" si="49"/>
        <v/>
      </c>
      <c r="AE238" s="18" t="str">
        <f t="shared" si="50"/>
        <v/>
      </c>
      <c r="AF238" s="18" t="str">
        <f t="shared" si="51"/>
        <v/>
      </c>
      <c r="AG238" s="18" t="str">
        <f>IF(OR(O238="",AD238=""),"",IFERROR(INDEX(لیست‌ها!$Q$3:$Q$53,MATCH(AD238,لیست‌ها!$P$3:$P$53,0))+IF(AE238&lt;=6,(AE238-1)*31+AF238,IF(AE238&lt;=11,186+(AE238-7)*30+AF238,336+AF238))-1,""))</f>
        <v/>
      </c>
      <c r="AH238" s="18" t="str">
        <f t="shared" si="52"/>
        <v/>
      </c>
      <c r="AI238" s="18" t="str">
        <f t="shared" si="53"/>
        <v/>
      </c>
      <c r="AJ238" s="18" t="str">
        <f t="shared" ca="1" si="54"/>
        <v/>
      </c>
    </row>
    <row r="239" spans="1:36">
      <c r="A239" s="18">
        <v>236</v>
      </c>
      <c r="B239" s="15" t="s">
        <v>365</v>
      </c>
      <c r="C239" s="15" t="s">
        <v>36</v>
      </c>
      <c r="D239" s="15" t="s">
        <v>43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8" t="str">
        <f t="shared" ca="1" si="42"/>
        <v/>
      </c>
      <c r="U239" s="18">
        <f t="shared" ca="1" si="55"/>
        <v>0</v>
      </c>
      <c r="V239" s="18" t="str">
        <f t="shared" si="43"/>
        <v/>
      </c>
      <c r="W239" s="18" t="str">
        <f t="shared" si="44"/>
        <v/>
      </c>
      <c r="X239" s="18" t="str">
        <f t="shared" si="45"/>
        <v/>
      </c>
      <c r="Y239" s="19" t="str">
        <f>IF(OR(L239="",V239=""),"",IFERROR(INDEX(لیست‌ها!$Q$3:$Q$53,MATCH(V239,لیست‌ها!$P$3:$P$53,0))+IF(W239&lt;=6,(W239-1)*31+X239,IF(W239&lt;=11,186+(W239-7)*30+X239,336+X239))-1,""))</f>
        <v/>
      </c>
      <c r="Z239" s="18" t="str">
        <f t="shared" si="46"/>
        <v/>
      </c>
      <c r="AA239" s="18" t="str">
        <f t="shared" si="47"/>
        <v/>
      </c>
      <c r="AB239" s="18" t="str">
        <f t="shared" si="48"/>
        <v/>
      </c>
      <c r="AC239" s="18" t="str">
        <f>IF(OR(H239="",Z239=""),"",IFERROR(INDEX(لیست‌ها!$Q$3:$Q$53,MATCH(Z239,لیست‌ها!$P$3:$P$53,0))+IF(AA239&lt;=6,(AA239-1)*31+AB239,IF(AA239&lt;=11,186+(AA239-7)*30+AB239,336+AB239))-1,""))</f>
        <v/>
      </c>
      <c r="AD239" s="18" t="str">
        <f t="shared" si="49"/>
        <v/>
      </c>
      <c r="AE239" s="18" t="str">
        <f t="shared" si="50"/>
        <v/>
      </c>
      <c r="AF239" s="18" t="str">
        <f t="shared" si="51"/>
        <v/>
      </c>
      <c r="AG239" s="18" t="str">
        <f>IF(OR(O239="",AD239=""),"",IFERROR(INDEX(لیست‌ها!$Q$3:$Q$53,MATCH(AD239,لیست‌ها!$P$3:$P$53,0))+IF(AE239&lt;=6,(AE239-1)*31+AF239,IF(AE239&lt;=11,186+(AE239-7)*30+AF239,336+AF239))-1,""))</f>
        <v/>
      </c>
      <c r="AH239" s="18" t="str">
        <f t="shared" si="52"/>
        <v/>
      </c>
      <c r="AI239" s="18" t="str">
        <f t="shared" si="53"/>
        <v/>
      </c>
      <c r="AJ239" s="18" t="str">
        <f t="shared" ca="1" si="54"/>
        <v/>
      </c>
    </row>
    <row r="240" spans="1:36">
      <c r="A240" s="18">
        <v>237</v>
      </c>
      <c r="B240" s="15" t="s">
        <v>366</v>
      </c>
      <c r="C240" s="15" t="s">
        <v>36</v>
      </c>
      <c r="D240" s="15" t="s">
        <v>37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8" t="str">
        <f t="shared" ca="1" si="42"/>
        <v/>
      </c>
      <c r="U240" s="18">
        <f t="shared" ca="1" si="55"/>
        <v>0</v>
      </c>
      <c r="V240" s="18" t="str">
        <f t="shared" si="43"/>
        <v/>
      </c>
      <c r="W240" s="18" t="str">
        <f t="shared" si="44"/>
        <v/>
      </c>
      <c r="X240" s="18" t="str">
        <f t="shared" si="45"/>
        <v/>
      </c>
      <c r="Y240" s="19" t="str">
        <f>IF(OR(L240="",V240=""),"",IFERROR(INDEX(لیست‌ها!$Q$3:$Q$53,MATCH(V240,لیست‌ها!$P$3:$P$53,0))+IF(W240&lt;=6,(W240-1)*31+X240,IF(W240&lt;=11,186+(W240-7)*30+X240,336+X240))-1,""))</f>
        <v/>
      </c>
      <c r="Z240" s="18" t="str">
        <f t="shared" si="46"/>
        <v/>
      </c>
      <c r="AA240" s="18" t="str">
        <f t="shared" si="47"/>
        <v/>
      </c>
      <c r="AB240" s="18" t="str">
        <f t="shared" si="48"/>
        <v/>
      </c>
      <c r="AC240" s="18" t="str">
        <f>IF(OR(H240="",Z240=""),"",IFERROR(INDEX(لیست‌ها!$Q$3:$Q$53,MATCH(Z240,لیست‌ها!$P$3:$P$53,0))+IF(AA240&lt;=6,(AA240-1)*31+AB240,IF(AA240&lt;=11,186+(AA240-7)*30+AB240,336+AB240))-1,""))</f>
        <v/>
      </c>
      <c r="AD240" s="18" t="str">
        <f t="shared" si="49"/>
        <v/>
      </c>
      <c r="AE240" s="18" t="str">
        <f t="shared" si="50"/>
        <v/>
      </c>
      <c r="AF240" s="18" t="str">
        <f t="shared" si="51"/>
        <v/>
      </c>
      <c r="AG240" s="18" t="str">
        <f>IF(OR(O240="",AD240=""),"",IFERROR(INDEX(لیست‌ها!$Q$3:$Q$53,MATCH(AD240,لیست‌ها!$P$3:$P$53,0))+IF(AE240&lt;=6,(AE240-1)*31+AF240,IF(AE240&lt;=11,186+(AE240-7)*30+AF240,336+AF240))-1,""))</f>
        <v/>
      </c>
      <c r="AH240" s="18" t="str">
        <f t="shared" si="52"/>
        <v/>
      </c>
      <c r="AI240" s="18" t="str">
        <f t="shared" si="53"/>
        <v/>
      </c>
      <c r="AJ240" s="18" t="str">
        <f t="shared" ca="1" si="54"/>
        <v/>
      </c>
    </row>
    <row r="241" spans="1:36">
      <c r="A241" s="18">
        <v>238</v>
      </c>
      <c r="B241" s="15" t="s">
        <v>367</v>
      </c>
      <c r="C241" s="15" t="s">
        <v>36</v>
      </c>
      <c r="D241" s="15" t="s">
        <v>43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8" t="str">
        <f t="shared" ca="1" si="42"/>
        <v/>
      </c>
      <c r="U241" s="18">
        <f t="shared" ca="1" si="55"/>
        <v>0</v>
      </c>
      <c r="V241" s="18" t="str">
        <f t="shared" si="43"/>
        <v/>
      </c>
      <c r="W241" s="18" t="str">
        <f t="shared" si="44"/>
        <v/>
      </c>
      <c r="X241" s="18" t="str">
        <f t="shared" si="45"/>
        <v/>
      </c>
      <c r="Y241" s="19" t="str">
        <f>IF(OR(L241="",V241=""),"",IFERROR(INDEX(لیست‌ها!$Q$3:$Q$53,MATCH(V241,لیست‌ها!$P$3:$P$53,0))+IF(W241&lt;=6,(W241-1)*31+X241,IF(W241&lt;=11,186+(W241-7)*30+X241,336+X241))-1,""))</f>
        <v/>
      </c>
      <c r="Z241" s="18" t="str">
        <f t="shared" si="46"/>
        <v/>
      </c>
      <c r="AA241" s="18" t="str">
        <f t="shared" si="47"/>
        <v/>
      </c>
      <c r="AB241" s="18" t="str">
        <f t="shared" si="48"/>
        <v/>
      </c>
      <c r="AC241" s="18" t="str">
        <f>IF(OR(H241="",Z241=""),"",IFERROR(INDEX(لیست‌ها!$Q$3:$Q$53,MATCH(Z241,لیست‌ها!$P$3:$P$53,0))+IF(AA241&lt;=6,(AA241-1)*31+AB241,IF(AA241&lt;=11,186+(AA241-7)*30+AB241,336+AB241))-1,""))</f>
        <v/>
      </c>
      <c r="AD241" s="18" t="str">
        <f t="shared" si="49"/>
        <v/>
      </c>
      <c r="AE241" s="18" t="str">
        <f t="shared" si="50"/>
        <v/>
      </c>
      <c r="AF241" s="18" t="str">
        <f t="shared" si="51"/>
        <v/>
      </c>
      <c r="AG241" s="18" t="str">
        <f>IF(OR(O241="",AD241=""),"",IFERROR(INDEX(لیست‌ها!$Q$3:$Q$53,MATCH(AD241,لیست‌ها!$P$3:$P$53,0))+IF(AE241&lt;=6,(AE241-1)*31+AF241,IF(AE241&lt;=11,186+(AE241-7)*30+AF241,336+AF241))-1,""))</f>
        <v/>
      </c>
      <c r="AH241" s="18" t="str">
        <f t="shared" si="52"/>
        <v/>
      </c>
      <c r="AI241" s="18" t="str">
        <f t="shared" si="53"/>
        <v/>
      </c>
      <c r="AJ241" s="18" t="str">
        <f t="shared" ca="1" si="54"/>
        <v/>
      </c>
    </row>
    <row r="242" spans="1:36">
      <c r="A242" s="18">
        <v>239</v>
      </c>
      <c r="B242" s="15" t="s">
        <v>368</v>
      </c>
      <c r="C242" s="15" t="s">
        <v>36</v>
      </c>
      <c r="D242" s="15" t="s">
        <v>37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8" t="str">
        <f t="shared" ca="1" si="42"/>
        <v/>
      </c>
      <c r="U242" s="18">
        <f t="shared" ca="1" si="55"/>
        <v>0</v>
      </c>
      <c r="V242" s="18" t="str">
        <f t="shared" si="43"/>
        <v/>
      </c>
      <c r="W242" s="18" t="str">
        <f t="shared" si="44"/>
        <v/>
      </c>
      <c r="X242" s="18" t="str">
        <f t="shared" si="45"/>
        <v/>
      </c>
      <c r="Y242" s="19" t="str">
        <f>IF(OR(L242="",V242=""),"",IFERROR(INDEX(لیست‌ها!$Q$3:$Q$53,MATCH(V242,لیست‌ها!$P$3:$P$53,0))+IF(W242&lt;=6,(W242-1)*31+X242,IF(W242&lt;=11,186+(W242-7)*30+X242,336+X242))-1,""))</f>
        <v/>
      </c>
      <c r="Z242" s="18" t="str">
        <f t="shared" si="46"/>
        <v/>
      </c>
      <c r="AA242" s="18" t="str">
        <f t="shared" si="47"/>
        <v/>
      </c>
      <c r="AB242" s="18" t="str">
        <f t="shared" si="48"/>
        <v/>
      </c>
      <c r="AC242" s="18" t="str">
        <f>IF(OR(H242="",Z242=""),"",IFERROR(INDEX(لیست‌ها!$Q$3:$Q$53,MATCH(Z242,لیست‌ها!$P$3:$P$53,0))+IF(AA242&lt;=6,(AA242-1)*31+AB242,IF(AA242&lt;=11,186+(AA242-7)*30+AB242,336+AB242))-1,""))</f>
        <v/>
      </c>
      <c r="AD242" s="18" t="str">
        <f t="shared" si="49"/>
        <v/>
      </c>
      <c r="AE242" s="18" t="str">
        <f t="shared" si="50"/>
        <v/>
      </c>
      <c r="AF242" s="18" t="str">
        <f t="shared" si="51"/>
        <v/>
      </c>
      <c r="AG242" s="18" t="str">
        <f>IF(OR(O242="",AD242=""),"",IFERROR(INDEX(لیست‌ها!$Q$3:$Q$53,MATCH(AD242,لیست‌ها!$P$3:$P$53,0))+IF(AE242&lt;=6,(AE242-1)*31+AF242,IF(AE242&lt;=11,186+(AE242-7)*30+AF242,336+AF242))-1,""))</f>
        <v/>
      </c>
      <c r="AH242" s="18" t="str">
        <f t="shared" si="52"/>
        <v/>
      </c>
      <c r="AI242" s="18" t="str">
        <f t="shared" si="53"/>
        <v/>
      </c>
      <c r="AJ242" s="18" t="str">
        <f t="shared" ca="1" si="54"/>
        <v/>
      </c>
    </row>
    <row r="243" spans="1:36">
      <c r="A243" s="18">
        <v>240</v>
      </c>
      <c r="B243" s="15" t="s">
        <v>369</v>
      </c>
      <c r="C243" s="15" t="s">
        <v>36</v>
      </c>
      <c r="D243" s="15" t="s">
        <v>43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8" t="str">
        <f t="shared" ca="1" si="42"/>
        <v/>
      </c>
      <c r="U243" s="18">
        <f t="shared" ca="1" si="55"/>
        <v>0</v>
      </c>
      <c r="V243" s="18" t="str">
        <f t="shared" si="43"/>
        <v/>
      </c>
      <c r="W243" s="18" t="str">
        <f t="shared" si="44"/>
        <v/>
      </c>
      <c r="X243" s="18" t="str">
        <f t="shared" si="45"/>
        <v/>
      </c>
      <c r="Y243" s="19" t="str">
        <f>IF(OR(L243="",V243=""),"",IFERROR(INDEX(لیست‌ها!$Q$3:$Q$53,MATCH(V243,لیست‌ها!$P$3:$P$53,0))+IF(W243&lt;=6,(W243-1)*31+X243,IF(W243&lt;=11,186+(W243-7)*30+X243,336+X243))-1,""))</f>
        <v/>
      </c>
      <c r="Z243" s="18" t="str">
        <f t="shared" si="46"/>
        <v/>
      </c>
      <c r="AA243" s="18" t="str">
        <f t="shared" si="47"/>
        <v/>
      </c>
      <c r="AB243" s="18" t="str">
        <f t="shared" si="48"/>
        <v/>
      </c>
      <c r="AC243" s="18" t="str">
        <f>IF(OR(H243="",Z243=""),"",IFERROR(INDEX(لیست‌ها!$Q$3:$Q$53,MATCH(Z243,لیست‌ها!$P$3:$P$53,0))+IF(AA243&lt;=6,(AA243-1)*31+AB243,IF(AA243&lt;=11,186+(AA243-7)*30+AB243,336+AB243))-1,""))</f>
        <v/>
      </c>
      <c r="AD243" s="18" t="str">
        <f t="shared" si="49"/>
        <v/>
      </c>
      <c r="AE243" s="18" t="str">
        <f t="shared" si="50"/>
        <v/>
      </c>
      <c r="AF243" s="18" t="str">
        <f t="shared" si="51"/>
        <v/>
      </c>
      <c r="AG243" s="18" t="str">
        <f>IF(OR(O243="",AD243=""),"",IFERROR(INDEX(لیست‌ها!$Q$3:$Q$53,MATCH(AD243,لیست‌ها!$P$3:$P$53,0))+IF(AE243&lt;=6,(AE243-1)*31+AF243,IF(AE243&lt;=11,186+(AE243-7)*30+AF243,336+AF243))-1,""))</f>
        <v/>
      </c>
      <c r="AH243" s="18" t="str">
        <f t="shared" si="52"/>
        <v/>
      </c>
      <c r="AI243" s="18" t="str">
        <f t="shared" si="53"/>
        <v/>
      </c>
      <c r="AJ243" s="18" t="str">
        <f t="shared" ca="1" si="54"/>
        <v/>
      </c>
    </row>
    <row r="244" spans="1:36">
      <c r="A244" s="18">
        <v>241</v>
      </c>
      <c r="B244" s="15" t="s">
        <v>370</v>
      </c>
      <c r="C244" s="15" t="s">
        <v>36</v>
      </c>
      <c r="D244" s="15" t="s">
        <v>43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8" t="str">
        <f t="shared" ca="1" si="42"/>
        <v/>
      </c>
      <c r="U244" s="18">
        <f t="shared" ca="1" si="55"/>
        <v>0</v>
      </c>
      <c r="V244" s="18" t="str">
        <f t="shared" si="43"/>
        <v/>
      </c>
      <c r="W244" s="18" t="str">
        <f t="shared" si="44"/>
        <v/>
      </c>
      <c r="X244" s="18" t="str">
        <f t="shared" si="45"/>
        <v/>
      </c>
      <c r="Y244" s="19" t="str">
        <f>IF(OR(L244="",V244=""),"",IFERROR(INDEX(لیست‌ها!$Q$3:$Q$53,MATCH(V244,لیست‌ها!$P$3:$P$53,0))+IF(W244&lt;=6,(W244-1)*31+X244,IF(W244&lt;=11,186+(W244-7)*30+X244,336+X244))-1,""))</f>
        <v/>
      </c>
      <c r="Z244" s="18" t="str">
        <f t="shared" si="46"/>
        <v/>
      </c>
      <c r="AA244" s="18" t="str">
        <f t="shared" si="47"/>
        <v/>
      </c>
      <c r="AB244" s="18" t="str">
        <f t="shared" si="48"/>
        <v/>
      </c>
      <c r="AC244" s="18" t="str">
        <f>IF(OR(H244="",Z244=""),"",IFERROR(INDEX(لیست‌ها!$Q$3:$Q$53,MATCH(Z244,لیست‌ها!$P$3:$P$53,0))+IF(AA244&lt;=6,(AA244-1)*31+AB244,IF(AA244&lt;=11,186+(AA244-7)*30+AB244,336+AB244))-1,""))</f>
        <v/>
      </c>
      <c r="AD244" s="18" t="str">
        <f t="shared" si="49"/>
        <v/>
      </c>
      <c r="AE244" s="18" t="str">
        <f t="shared" si="50"/>
        <v/>
      </c>
      <c r="AF244" s="18" t="str">
        <f t="shared" si="51"/>
        <v/>
      </c>
      <c r="AG244" s="18" t="str">
        <f>IF(OR(O244="",AD244=""),"",IFERROR(INDEX(لیست‌ها!$Q$3:$Q$53,MATCH(AD244,لیست‌ها!$P$3:$P$53,0))+IF(AE244&lt;=6,(AE244-1)*31+AF244,IF(AE244&lt;=11,186+(AE244-7)*30+AF244,336+AF244))-1,""))</f>
        <v/>
      </c>
      <c r="AH244" s="18" t="str">
        <f t="shared" si="52"/>
        <v/>
      </c>
      <c r="AI244" s="18" t="str">
        <f t="shared" si="53"/>
        <v/>
      </c>
      <c r="AJ244" s="18" t="str">
        <f t="shared" ca="1" si="54"/>
        <v/>
      </c>
    </row>
    <row r="245" spans="1:36">
      <c r="A245" s="18">
        <v>242</v>
      </c>
      <c r="B245" s="15" t="s">
        <v>371</v>
      </c>
      <c r="C245" s="15" t="s">
        <v>36</v>
      </c>
      <c r="D245" s="15" t="s">
        <v>43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8" t="str">
        <f t="shared" ca="1" si="42"/>
        <v/>
      </c>
      <c r="U245" s="18">
        <f t="shared" ca="1" si="55"/>
        <v>0</v>
      </c>
      <c r="V245" s="18" t="str">
        <f t="shared" si="43"/>
        <v/>
      </c>
      <c r="W245" s="18" t="str">
        <f t="shared" si="44"/>
        <v/>
      </c>
      <c r="X245" s="18" t="str">
        <f t="shared" si="45"/>
        <v/>
      </c>
      <c r="Y245" s="19" t="str">
        <f>IF(OR(L245="",V245=""),"",IFERROR(INDEX(لیست‌ها!$Q$3:$Q$53,MATCH(V245,لیست‌ها!$P$3:$P$53,0))+IF(W245&lt;=6,(W245-1)*31+X245,IF(W245&lt;=11,186+(W245-7)*30+X245,336+X245))-1,""))</f>
        <v/>
      </c>
      <c r="Z245" s="18" t="str">
        <f t="shared" si="46"/>
        <v/>
      </c>
      <c r="AA245" s="18" t="str">
        <f t="shared" si="47"/>
        <v/>
      </c>
      <c r="AB245" s="18" t="str">
        <f t="shared" si="48"/>
        <v/>
      </c>
      <c r="AC245" s="18" t="str">
        <f>IF(OR(H245="",Z245=""),"",IFERROR(INDEX(لیست‌ها!$Q$3:$Q$53,MATCH(Z245,لیست‌ها!$P$3:$P$53,0))+IF(AA245&lt;=6,(AA245-1)*31+AB245,IF(AA245&lt;=11,186+(AA245-7)*30+AB245,336+AB245))-1,""))</f>
        <v/>
      </c>
      <c r="AD245" s="18" t="str">
        <f t="shared" si="49"/>
        <v/>
      </c>
      <c r="AE245" s="18" t="str">
        <f t="shared" si="50"/>
        <v/>
      </c>
      <c r="AF245" s="18" t="str">
        <f t="shared" si="51"/>
        <v/>
      </c>
      <c r="AG245" s="18" t="str">
        <f>IF(OR(O245="",AD245=""),"",IFERROR(INDEX(لیست‌ها!$Q$3:$Q$53,MATCH(AD245,لیست‌ها!$P$3:$P$53,0))+IF(AE245&lt;=6,(AE245-1)*31+AF245,IF(AE245&lt;=11,186+(AE245-7)*30+AF245,336+AF245))-1,""))</f>
        <v/>
      </c>
      <c r="AH245" s="18" t="str">
        <f t="shared" si="52"/>
        <v/>
      </c>
      <c r="AI245" s="18" t="str">
        <f t="shared" si="53"/>
        <v/>
      </c>
      <c r="AJ245" s="18" t="str">
        <f t="shared" ca="1" si="54"/>
        <v/>
      </c>
    </row>
    <row r="246" spans="1:36">
      <c r="A246" s="18">
        <v>243</v>
      </c>
      <c r="B246" s="15" t="s">
        <v>372</v>
      </c>
      <c r="C246" s="15" t="s">
        <v>36</v>
      </c>
      <c r="D246" s="15" t="s">
        <v>43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8" t="str">
        <f t="shared" ca="1" si="42"/>
        <v/>
      </c>
      <c r="U246" s="18">
        <f t="shared" ca="1" si="55"/>
        <v>0</v>
      </c>
      <c r="V246" s="18" t="str">
        <f t="shared" si="43"/>
        <v/>
      </c>
      <c r="W246" s="18" t="str">
        <f t="shared" si="44"/>
        <v/>
      </c>
      <c r="X246" s="18" t="str">
        <f t="shared" si="45"/>
        <v/>
      </c>
      <c r="Y246" s="19" t="str">
        <f>IF(OR(L246="",V246=""),"",IFERROR(INDEX(لیست‌ها!$Q$3:$Q$53,MATCH(V246,لیست‌ها!$P$3:$P$53,0))+IF(W246&lt;=6,(W246-1)*31+X246,IF(W246&lt;=11,186+(W246-7)*30+X246,336+X246))-1,""))</f>
        <v/>
      </c>
      <c r="Z246" s="18" t="str">
        <f t="shared" si="46"/>
        <v/>
      </c>
      <c r="AA246" s="18" t="str">
        <f t="shared" si="47"/>
        <v/>
      </c>
      <c r="AB246" s="18" t="str">
        <f t="shared" si="48"/>
        <v/>
      </c>
      <c r="AC246" s="18" t="str">
        <f>IF(OR(H246="",Z246=""),"",IFERROR(INDEX(لیست‌ها!$Q$3:$Q$53,MATCH(Z246,لیست‌ها!$P$3:$P$53,0))+IF(AA246&lt;=6,(AA246-1)*31+AB246,IF(AA246&lt;=11,186+(AA246-7)*30+AB246,336+AB246))-1,""))</f>
        <v/>
      </c>
      <c r="AD246" s="18" t="str">
        <f t="shared" si="49"/>
        <v/>
      </c>
      <c r="AE246" s="18" t="str">
        <f t="shared" si="50"/>
        <v/>
      </c>
      <c r="AF246" s="18" t="str">
        <f t="shared" si="51"/>
        <v/>
      </c>
      <c r="AG246" s="18" t="str">
        <f>IF(OR(O246="",AD246=""),"",IFERROR(INDEX(لیست‌ها!$Q$3:$Q$53,MATCH(AD246,لیست‌ها!$P$3:$P$53,0))+IF(AE246&lt;=6,(AE246-1)*31+AF246,IF(AE246&lt;=11,186+(AE246-7)*30+AF246,336+AF246))-1,""))</f>
        <v/>
      </c>
      <c r="AH246" s="18" t="str">
        <f t="shared" si="52"/>
        <v/>
      </c>
      <c r="AI246" s="18" t="str">
        <f t="shared" si="53"/>
        <v/>
      </c>
      <c r="AJ246" s="18" t="str">
        <f t="shared" ca="1" si="54"/>
        <v/>
      </c>
    </row>
    <row r="247" spans="1:36">
      <c r="A247" s="18">
        <v>244</v>
      </c>
      <c r="B247" s="15" t="s">
        <v>373</v>
      </c>
      <c r="C247" s="15" t="s">
        <v>36</v>
      </c>
      <c r="D247" s="15" t="s">
        <v>43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8" t="str">
        <f t="shared" ca="1" si="42"/>
        <v/>
      </c>
      <c r="U247" s="18">
        <f t="shared" ca="1" si="55"/>
        <v>0</v>
      </c>
      <c r="V247" s="18" t="str">
        <f t="shared" si="43"/>
        <v/>
      </c>
      <c r="W247" s="18" t="str">
        <f t="shared" si="44"/>
        <v/>
      </c>
      <c r="X247" s="18" t="str">
        <f t="shared" si="45"/>
        <v/>
      </c>
      <c r="Y247" s="19" t="str">
        <f>IF(OR(L247="",V247=""),"",IFERROR(INDEX(لیست‌ها!$Q$3:$Q$53,MATCH(V247,لیست‌ها!$P$3:$P$53,0))+IF(W247&lt;=6,(W247-1)*31+X247,IF(W247&lt;=11,186+(W247-7)*30+X247,336+X247))-1,""))</f>
        <v/>
      </c>
      <c r="Z247" s="18" t="str">
        <f t="shared" si="46"/>
        <v/>
      </c>
      <c r="AA247" s="18" t="str">
        <f t="shared" si="47"/>
        <v/>
      </c>
      <c r="AB247" s="18" t="str">
        <f t="shared" si="48"/>
        <v/>
      </c>
      <c r="AC247" s="18" t="str">
        <f>IF(OR(H247="",Z247=""),"",IFERROR(INDEX(لیست‌ها!$Q$3:$Q$53,MATCH(Z247,لیست‌ها!$P$3:$P$53,0))+IF(AA247&lt;=6,(AA247-1)*31+AB247,IF(AA247&lt;=11,186+(AA247-7)*30+AB247,336+AB247))-1,""))</f>
        <v/>
      </c>
      <c r="AD247" s="18" t="str">
        <f t="shared" si="49"/>
        <v/>
      </c>
      <c r="AE247" s="18" t="str">
        <f t="shared" si="50"/>
        <v/>
      </c>
      <c r="AF247" s="18" t="str">
        <f t="shared" si="51"/>
        <v/>
      </c>
      <c r="AG247" s="18" t="str">
        <f>IF(OR(O247="",AD247=""),"",IFERROR(INDEX(لیست‌ها!$Q$3:$Q$53,MATCH(AD247,لیست‌ها!$P$3:$P$53,0))+IF(AE247&lt;=6,(AE247-1)*31+AF247,IF(AE247&lt;=11,186+(AE247-7)*30+AF247,336+AF247))-1,""))</f>
        <v/>
      </c>
      <c r="AH247" s="18" t="str">
        <f t="shared" si="52"/>
        <v/>
      </c>
      <c r="AI247" s="18" t="str">
        <f t="shared" si="53"/>
        <v/>
      </c>
      <c r="AJ247" s="18" t="str">
        <f t="shared" ca="1" si="54"/>
        <v/>
      </c>
    </row>
    <row r="248" spans="1:36">
      <c r="A248" s="18">
        <v>245</v>
      </c>
      <c r="B248" s="15" t="s">
        <v>374</v>
      </c>
      <c r="C248" s="15" t="s">
        <v>36</v>
      </c>
      <c r="D248" s="15" t="s">
        <v>43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8" t="str">
        <f t="shared" ca="1" si="42"/>
        <v/>
      </c>
      <c r="U248" s="18">
        <f t="shared" ca="1" si="55"/>
        <v>0</v>
      </c>
      <c r="V248" s="18" t="str">
        <f t="shared" si="43"/>
        <v/>
      </c>
      <c r="W248" s="18" t="str">
        <f t="shared" si="44"/>
        <v/>
      </c>
      <c r="X248" s="18" t="str">
        <f t="shared" si="45"/>
        <v/>
      </c>
      <c r="Y248" s="19" t="str">
        <f>IF(OR(L248="",V248=""),"",IFERROR(INDEX(لیست‌ها!$Q$3:$Q$53,MATCH(V248,لیست‌ها!$P$3:$P$53,0))+IF(W248&lt;=6,(W248-1)*31+X248,IF(W248&lt;=11,186+(W248-7)*30+X248,336+X248))-1,""))</f>
        <v/>
      </c>
      <c r="Z248" s="18" t="str">
        <f t="shared" si="46"/>
        <v/>
      </c>
      <c r="AA248" s="18" t="str">
        <f t="shared" si="47"/>
        <v/>
      </c>
      <c r="AB248" s="18" t="str">
        <f t="shared" si="48"/>
        <v/>
      </c>
      <c r="AC248" s="18" t="str">
        <f>IF(OR(H248="",Z248=""),"",IFERROR(INDEX(لیست‌ها!$Q$3:$Q$53,MATCH(Z248,لیست‌ها!$P$3:$P$53,0))+IF(AA248&lt;=6,(AA248-1)*31+AB248,IF(AA248&lt;=11,186+(AA248-7)*30+AB248,336+AB248))-1,""))</f>
        <v/>
      </c>
      <c r="AD248" s="18" t="str">
        <f t="shared" si="49"/>
        <v/>
      </c>
      <c r="AE248" s="18" t="str">
        <f t="shared" si="50"/>
        <v/>
      </c>
      <c r="AF248" s="18" t="str">
        <f t="shared" si="51"/>
        <v/>
      </c>
      <c r="AG248" s="18" t="str">
        <f>IF(OR(O248="",AD248=""),"",IFERROR(INDEX(لیست‌ها!$Q$3:$Q$53,MATCH(AD248,لیست‌ها!$P$3:$P$53,0))+IF(AE248&lt;=6,(AE248-1)*31+AF248,IF(AE248&lt;=11,186+(AE248-7)*30+AF248,336+AF248))-1,""))</f>
        <v/>
      </c>
      <c r="AH248" s="18" t="str">
        <f t="shared" si="52"/>
        <v/>
      </c>
      <c r="AI248" s="18" t="str">
        <f t="shared" si="53"/>
        <v/>
      </c>
      <c r="AJ248" s="18" t="str">
        <f t="shared" ca="1" si="54"/>
        <v/>
      </c>
    </row>
    <row r="249" spans="1:36">
      <c r="A249" s="18">
        <v>246</v>
      </c>
      <c r="B249" s="15" t="s">
        <v>375</v>
      </c>
      <c r="C249" s="15" t="s">
        <v>36</v>
      </c>
      <c r="D249" s="15" t="s">
        <v>43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8" t="str">
        <f t="shared" ca="1" si="42"/>
        <v/>
      </c>
      <c r="U249" s="18">
        <f t="shared" ca="1" si="55"/>
        <v>0</v>
      </c>
      <c r="V249" s="18" t="str">
        <f t="shared" si="43"/>
        <v/>
      </c>
      <c r="W249" s="18" t="str">
        <f t="shared" si="44"/>
        <v/>
      </c>
      <c r="X249" s="18" t="str">
        <f t="shared" si="45"/>
        <v/>
      </c>
      <c r="Y249" s="19" t="str">
        <f>IF(OR(L249="",V249=""),"",IFERROR(INDEX(لیست‌ها!$Q$3:$Q$53,MATCH(V249,لیست‌ها!$P$3:$P$53,0))+IF(W249&lt;=6,(W249-1)*31+X249,IF(W249&lt;=11,186+(W249-7)*30+X249,336+X249))-1,""))</f>
        <v/>
      </c>
      <c r="Z249" s="18" t="str">
        <f t="shared" si="46"/>
        <v/>
      </c>
      <c r="AA249" s="18" t="str">
        <f t="shared" si="47"/>
        <v/>
      </c>
      <c r="AB249" s="18" t="str">
        <f t="shared" si="48"/>
        <v/>
      </c>
      <c r="AC249" s="18" t="str">
        <f>IF(OR(H249="",Z249=""),"",IFERROR(INDEX(لیست‌ها!$Q$3:$Q$53,MATCH(Z249,لیست‌ها!$P$3:$P$53,0))+IF(AA249&lt;=6,(AA249-1)*31+AB249,IF(AA249&lt;=11,186+(AA249-7)*30+AB249,336+AB249))-1,""))</f>
        <v/>
      </c>
      <c r="AD249" s="18" t="str">
        <f t="shared" si="49"/>
        <v/>
      </c>
      <c r="AE249" s="18" t="str">
        <f t="shared" si="50"/>
        <v/>
      </c>
      <c r="AF249" s="18" t="str">
        <f t="shared" si="51"/>
        <v/>
      </c>
      <c r="AG249" s="18" t="str">
        <f>IF(OR(O249="",AD249=""),"",IFERROR(INDEX(لیست‌ها!$Q$3:$Q$53,MATCH(AD249,لیست‌ها!$P$3:$P$53,0))+IF(AE249&lt;=6,(AE249-1)*31+AF249,IF(AE249&lt;=11,186+(AE249-7)*30+AF249,336+AF249))-1,""))</f>
        <v/>
      </c>
      <c r="AH249" s="18" t="str">
        <f t="shared" si="52"/>
        <v/>
      </c>
      <c r="AI249" s="18" t="str">
        <f t="shared" si="53"/>
        <v/>
      </c>
      <c r="AJ249" s="18" t="str">
        <f t="shared" ca="1" si="54"/>
        <v/>
      </c>
    </row>
    <row r="250" spans="1:36">
      <c r="A250" s="18">
        <v>247</v>
      </c>
      <c r="B250" s="15" t="s">
        <v>376</v>
      </c>
      <c r="C250" s="15" t="s">
        <v>36</v>
      </c>
      <c r="D250" s="15" t="s">
        <v>43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8" t="str">
        <f t="shared" ca="1" si="42"/>
        <v/>
      </c>
      <c r="U250" s="18">
        <f t="shared" ca="1" si="55"/>
        <v>0</v>
      </c>
      <c r="V250" s="18" t="str">
        <f t="shared" si="43"/>
        <v/>
      </c>
      <c r="W250" s="18" t="str">
        <f t="shared" si="44"/>
        <v/>
      </c>
      <c r="X250" s="18" t="str">
        <f t="shared" si="45"/>
        <v/>
      </c>
      <c r="Y250" s="19" t="str">
        <f>IF(OR(L250="",V250=""),"",IFERROR(INDEX(لیست‌ها!$Q$3:$Q$53,MATCH(V250,لیست‌ها!$P$3:$P$53,0))+IF(W250&lt;=6,(W250-1)*31+X250,IF(W250&lt;=11,186+(W250-7)*30+X250,336+X250))-1,""))</f>
        <v/>
      </c>
      <c r="Z250" s="18" t="str">
        <f t="shared" si="46"/>
        <v/>
      </c>
      <c r="AA250" s="18" t="str">
        <f t="shared" si="47"/>
        <v/>
      </c>
      <c r="AB250" s="18" t="str">
        <f t="shared" si="48"/>
        <v/>
      </c>
      <c r="AC250" s="18" t="str">
        <f>IF(OR(H250="",Z250=""),"",IFERROR(INDEX(لیست‌ها!$Q$3:$Q$53,MATCH(Z250,لیست‌ها!$P$3:$P$53,0))+IF(AA250&lt;=6,(AA250-1)*31+AB250,IF(AA250&lt;=11,186+(AA250-7)*30+AB250,336+AB250))-1,""))</f>
        <v/>
      </c>
      <c r="AD250" s="18" t="str">
        <f t="shared" si="49"/>
        <v/>
      </c>
      <c r="AE250" s="18" t="str">
        <f t="shared" si="50"/>
        <v/>
      </c>
      <c r="AF250" s="18" t="str">
        <f t="shared" si="51"/>
        <v/>
      </c>
      <c r="AG250" s="18" t="str">
        <f>IF(OR(O250="",AD250=""),"",IFERROR(INDEX(لیست‌ها!$Q$3:$Q$53,MATCH(AD250,لیست‌ها!$P$3:$P$53,0))+IF(AE250&lt;=6,(AE250-1)*31+AF250,IF(AE250&lt;=11,186+(AE250-7)*30+AF250,336+AF250))-1,""))</f>
        <v/>
      </c>
      <c r="AH250" s="18" t="str">
        <f t="shared" si="52"/>
        <v/>
      </c>
      <c r="AI250" s="18" t="str">
        <f t="shared" si="53"/>
        <v/>
      </c>
      <c r="AJ250" s="18" t="str">
        <f t="shared" ca="1" si="54"/>
        <v/>
      </c>
    </row>
    <row r="251" spans="1:36">
      <c r="A251" s="18">
        <v>248</v>
      </c>
      <c r="B251" s="15" t="s">
        <v>377</v>
      </c>
      <c r="C251" s="15" t="s">
        <v>36</v>
      </c>
      <c r="D251" s="15" t="s">
        <v>43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8" t="str">
        <f t="shared" ca="1" si="42"/>
        <v/>
      </c>
      <c r="U251" s="18">
        <f t="shared" ca="1" si="55"/>
        <v>0</v>
      </c>
      <c r="V251" s="18" t="str">
        <f t="shared" si="43"/>
        <v/>
      </c>
      <c r="W251" s="18" t="str">
        <f t="shared" si="44"/>
        <v/>
      </c>
      <c r="X251" s="18" t="str">
        <f t="shared" si="45"/>
        <v/>
      </c>
      <c r="Y251" s="19" t="str">
        <f>IF(OR(L251="",V251=""),"",IFERROR(INDEX(لیست‌ها!$Q$3:$Q$53,MATCH(V251,لیست‌ها!$P$3:$P$53,0))+IF(W251&lt;=6,(W251-1)*31+X251,IF(W251&lt;=11,186+(W251-7)*30+X251,336+X251))-1,""))</f>
        <v/>
      </c>
      <c r="Z251" s="18" t="str">
        <f t="shared" si="46"/>
        <v/>
      </c>
      <c r="AA251" s="18" t="str">
        <f t="shared" si="47"/>
        <v/>
      </c>
      <c r="AB251" s="18" t="str">
        <f t="shared" si="48"/>
        <v/>
      </c>
      <c r="AC251" s="18" t="str">
        <f>IF(OR(H251="",Z251=""),"",IFERROR(INDEX(لیست‌ها!$Q$3:$Q$53,MATCH(Z251,لیست‌ها!$P$3:$P$53,0))+IF(AA251&lt;=6,(AA251-1)*31+AB251,IF(AA251&lt;=11,186+(AA251-7)*30+AB251,336+AB251))-1,""))</f>
        <v/>
      </c>
      <c r="AD251" s="18" t="str">
        <f t="shared" si="49"/>
        <v/>
      </c>
      <c r="AE251" s="18" t="str">
        <f t="shared" si="50"/>
        <v/>
      </c>
      <c r="AF251" s="18" t="str">
        <f t="shared" si="51"/>
        <v/>
      </c>
      <c r="AG251" s="18" t="str">
        <f>IF(OR(O251="",AD251=""),"",IFERROR(INDEX(لیست‌ها!$Q$3:$Q$53,MATCH(AD251,لیست‌ها!$P$3:$P$53,0))+IF(AE251&lt;=6,(AE251-1)*31+AF251,IF(AE251&lt;=11,186+(AE251-7)*30+AF251,336+AF251))-1,""))</f>
        <v/>
      </c>
      <c r="AH251" s="18" t="str">
        <f t="shared" si="52"/>
        <v/>
      </c>
      <c r="AI251" s="18" t="str">
        <f t="shared" si="53"/>
        <v/>
      </c>
      <c r="AJ251" s="18" t="str">
        <f t="shared" ca="1" si="54"/>
        <v/>
      </c>
    </row>
    <row r="252" spans="1:36">
      <c r="A252" s="18">
        <v>249</v>
      </c>
      <c r="B252" s="15" t="s">
        <v>378</v>
      </c>
      <c r="C252" s="15" t="s">
        <v>36</v>
      </c>
      <c r="D252" s="15" t="s">
        <v>43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8" t="str">
        <f t="shared" ca="1" si="42"/>
        <v/>
      </c>
      <c r="U252" s="18">
        <f t="shared" ca="1" si="55"/>
        <v>0</v>
      </c>
      <c r="V252" s="18" t="str">
        <f t="shared" si="43"/>
        <v/>
      </c>
      <c r="W252" s="18" t="str">
        <f t="shared" si="44"/>
        <v/>
      </c>
      <c r="X252" s="18" t="str">
        <f t="shared" si="45"/>
        <v/>
      </c>
      <c r="Y252" s="19" t="str">
        <f>IF(OR(L252="",V252=""),"",IFERROR(INDEX(لیست‌ها!$Q$3:$Q$53,MATCH(V252,لیست‌ها!$P$3:$P$53,0))+IF(W252&lt;=6,(W252-1)*31+X252,IF(W252&lt;=11,186+(W252-7)*30+X252,336+X252))-1,""))</f>
        <v/>
      </c>
      <c r="Z252" s="18" t="str">
        <f t="shared" si="46"/>
        <v/>
      </c>
      <c r="AA252" s="18" t="str">
        <f t="shared" si="47"/>
        <v/>
      </c>
      <c r="AB252" s="18" t="str">
        <f t="shared" si="48"/>
        <v/>
      </c>
      <c r="AC252" s="18" t="str">
        <f>IF(OR(H252="",Z252=""),"",IFERROR(INDEX(لیست‌ها!$Q$3:$Q$53,MATCH(Z252,لیست‌ها!$P$3:$P$53,0))+IF(AA252&lt;=6,(AA252-1)*31+AB252,IF(AA252&lt;=11,186+(AA252-7)*30+AB252,336+AB252))-1,""))</f>
        <v/>
      </c>
      <c r="AD252" s="18" t="str">
        <f t="shared" si="49"/>
        <v/>
      </c>
      <c r="AE252" s="18" t="str">
        <f t="shared" si="50"/>
        <v/>
      </c>
      <c r="AF252" s="18" t="str">
        <f t="shared" si="51"/>
        <v/>
      </c>
      <c r="AG252" s="18" t="str">
        <f>IF(OR(O252="",AD252=""),"",IFERROR(INDEX(لیست‌ها!$Q$3:$Q$53,MATCH(AD252,لیست‌ها!$P$3:$P$53,0))+IF(AE252&lt;=6,(AE252-1)*31+AF252,IF(AE252&lt;=11,186+(AE252-7)*30+AF252,336+AF252))-1,""))</f>
        <v/>
      </c>
      <c r="AH252" s="18" t="str">
        <f t="shared" si="52"/>
        <v/>
      </c>
      <c r="AI252" s="18" t="str">
        <f t="shared" si="53"/>
        <v/>
      </c>
      <c r="AJ252" s="18" t="str">
        <f t="shared" ca="1" si="54"/>
        <v/>
      </c>
    </row>
    <row r="253" spans="1:36">
      <c r="A253" s="18">
        <v>250</v>
      </c>
      <c r="B253" s="15" t="s">
        <v>379</v>
      </c>
      <c r="C253" s="15" t="s">
        <v>36</v>
      </c>
      <c r="D253" s="15" t="s">
        <v>43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8" t="str">
        <f t="shared" ca="1" si="42"/>
        <v/>
      </c>
      <c r="U253" s="18">
        <f t="shared" ca="1" si="55"/>
        <v>0</v>
      </c>
      <c r="V253" s="18" t="str">
        <f t="shared" si="43"/>
        <v/>
      </c>
      <c r="W253" s="18" t="str">
        <f t="shared" si="44"/>
        <v/>
      </c>
      <c r="X253" s="18" t="str">
        <f t="shared" si="45"/>
        <v/>
      </c>
      <c r="Y253" s="19" t="str">
        <f>IF(OR(L253="",V253=""),"",IFERROR(INDEX(لیست‌ها!$Q$3:$Q$53,MATCH(V253,لیست‌ها!$P$3:$P$53,0))+IF(W253&lt;=6,(W253-1)*31+X253,IF(W253&lt;=11,186+(W253-7)*30+X253,336+X253))-1,""))</f>
        <v/>
      </c>
      <c r="Z253" s="18" t="str">
        <f t="shared" si="46"/>
        <v/>
      </c>
      <c r="AA253" s="18" t="str">
        <f t="shared" si="47"/>
        <v/>
      </c>
      <c r="AB253" s="18" t="str">
        <f t="shared" si="48"/>
        <v/>
      </c>
      <c r="AC253" s="18" t="str">
        <f>IF(OR(H253="",Z253=""),"",IFERROR(INDEX(لیست‌ها!$Q$3:$Q$53,MATCH(Z253,لیست‌ها!$P$3:$P$53,0))+IF(AA253&lt;=6,(AA253-1)*31+AB253,IF(AA253&lt;=11,186+(AA253-7)*30+AB253,336+AB253))-1,""))</f>
        <v/>
      </c>
      <c r="AD253" s="18" t="str">
        <f t="shared" si="49"/>
        <v/>
      </c>
      <c r="AE253" s="18" t="str">
        <f t="shared" si="50"/>
        <v/>
      </c>
      <c r="AF253" s="18" t="str">
        <f t="shared" si="51"/>
        <v/>
      </c>
      <c r="AG253" s="18" t="str">
        <f>IF(OR(O253="",AD253=""),"",IFERROR(INDEX(لیست‌ها!$Q$3:$Q$53,MATCH(AD253,لیست‌ها!$P$3:$P$53,0))+IF(AE253&lt;=6,(AE253-1)*31+AF253,IF(AE253&lt;=11,186+(AE253-7)*30+AF253,336+AF253))-1,""))</f>
        <v/>
      </c>
      <c r="AH253" s="18" t="str">
        <f t="shared" si="52"/>
        <v/>
      </c>
      <c r="AI253" s="18" t="str">
        <f t="shared" si="53"/>
        <v/>
      </c>
      <c r="AJ253" s="18" t="str">
        <f t="shared" ca="1" si="54"/>
        <v/>
      </c>
    </row>
    <row r="254" spans="1:36">
      <c r="A254" s="18">
        <v>251</v>
      </c>
      <c r="B254" s="15" t="s">
        <v>380</v>
      </c>
      <c r="C254" s="15" t="s">
        <v>36</v>
      </c>
      <c r="D254" s="15" t="s">
        <v>43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8" t="str">
        <f t="shared" ca="1" si="42"/>
        <v/>
      </c>
      <c r="U254" s="18">
        <f t="shared" ca="1" si="55"/>
        <v>0</v>
      </c>
      <c r="V254" s="18" t="str">
        <f t="shared" si="43"/>
        <v/>
      </c>
      <c r="W254" s="18" t="str">
        <f t="shared" si="44"/>
        <v/>
      </c>
      <c r="X254" s="18" t="str">
        <f t="shared" si="45"/>
        <v/>
      </c>
      <c r="Y254" s="19" t="str">
        <f>IF(OR(L254="",V254=""),"",IFERROR(INDEX(لیست‌ها!$Q$3:$Q$53,MATCH(V254,لیست‌ها!$P$3:$P$53,0))+IF(W254&lt;=6,(W254-1)*31+X254,IF(W254&lt;=11,186+(W254-7)*30+X254,336+X254))-1,""))</f>
        <v/>
      </c>
      <c r="Z254" s="18" t="str">
        <f t="shared" si="46"/>
        <v/>
      </c>
      <c r="AA254" s="18" t="str">
        <f t="shared" si="47"/>
        <v/>
      </c>
      <c r="AB254" s="18" t="str">
        <f t="shared" si="48"/>
        <v/>
      </c>
      <c r="AC254" s="18" t="str">
        <f>IF(OR(H254="",Z254=""),"",IFERROR(INDEX(لیست‌ها!$Q$3:$Q$53,MATCH(Z254,لیست‌ها!$P$3:$P$53,0))+IF(AA254&lt;=6,(AA254-1)*31+AB254,IF(AA254&lt;=11,186+(AA254-7)*30+AB254,336+AB254))-1,""))</f>
        <v/>
      </c>
      <c r="AD254" s="18" t="str">
        <f t="shared" si="49"/>
        <v/>
      </c>
      <c r="AE254" s="18" t="str">
        <f t="shared" si="50"/>
        <v/>
      </c>
      <c r="AF254" s="18" t="str">
        <f t="shared" si="51"/>
        <v/>
      </c>
      <c r="AG254" s="18" t="str">
        <f>IF(OR(O254="",AD254=""),"",IFERROR(INDEX(لیست‌ها!$Q$3:$Q$53,MATCH(AD254,لیست‌ها!$P$3:$P$53,0))+IF(AE254&lt;=6,(AE254-1)*31+AF254,IF(AE254&lt;=11,186+(AE254-7)*30+AF254,336+AF254))-1,""))</f>
        <v/>
      </c>
      <c r="AH254" s="18" t="str">
        <f t="shared" si="52"/>
        <v/>
      </c>
      <c r="AI254" s="18" t="str">
        <f t="shared" si="53"/>
        <v/>
      </c>
      <c r="AJ254" s="18" t="str">
        <f t="shared" ca="1" si="54"/>
        <v/>
      </c>
    </row>
    <row r="255" spans="1:36">
      <c r="A255" s="18">
        <v>252</v>
      </c>
      <c r="B255" s="15" t="s">
        <v>381</v>
      </c>
      <c r="C255" s="15" t="s">
        <v>36</v>
      </c>
      <c r="D255" s="15" t="s">
        <v>43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8" t="str">
        <f t="shared" ca="1" si="42"/>
        <v/>
      </c>
      <c r="U255" s="18">
        <f t="shared" ca="1" si="55"/>
        <v>0</v>
      </c>
      <c r="V255" s="18" t="str">
        <f t="shared" si="43"/>
        <v/>
      </c>
      <c r="W255" s="18" t="str">
        <f t="shared" si="44"/>
        <v/>
      </c>
      <c r="X255" s="18" t="str">
        <f t="shared" si="45"/>
        <v/>
      </c>
      <c r="Y255" s="19" t="str">
        <f>IF(OR(L255="",V255=""),"",IFERROR(INDEX(لیست‌ها!$Q$3:$Q$53,MATCH(V255,لیست‌ها!$P$3:$P$53,0))+IF(W255&lt;=6,(W255-1)*31+X255,IF(W255&lt;=11,186+(W255-7)*30+X255,336+X255))-1,""))</f>
        <v/>
      </c>
      <c r="Z255" s="18" t="str">
        <f t="shared" si="46"/>
        <v/>
      </c>
      <c r="AA255" s="18" t="str">
        <f t="shared" si="47"/>
        <v/>
      </c>
      <c r="AB255" s="18" t="str">
        <f t="shared" si="48"/>
        <v/>
      </c>
      <c r="AC255" s="19" t="str">
        <f>IF(OR(H255="",Z255=""),"",IFERROR(INDEX(لیست‌ها!$Q$3:$Q$53,MATCH(Z255,لیست‌ها!$P$3:$P$53,0))+IF(AA255&lt;=6,(AA255-1)*31+AB255,IF(AA255&lt;=11,186+(AA255-7)*30+AB255,336+AB255))-1,""))</f>
        <v/>
      </c>
      <c r="AD255" s="18" t="str">
        <f t="shared" si="49"/>
        <v/>
      </c>
      <c r="AE255" s="18" t="str">
        <f t="shared" si="50"/>
        <v/>
      </c>
      <c r="AF255" s="18" t="str">
        <f t="shared" si="51"/>
        <v/>
      </c>
      <c r="AG255" s="18" t="str">
        <f>IF(OR(O255="",AD255=""),"",IFERROR(INDEX(لیست‌ها!$Q$3:$Q$53,MATCH(AD255,لیست‌ها!$P$3:$P$53,0))+IF(AE255&lt;=6,(AE255-1)*31+AF255,IF(AE255&lt;=11,186+(AE255-7)*30+AF255,336+AF255))-1,""))</f>
        <v/>
      </c>
      <c r="AH255" s="18" t="str">
        <f t="shared" si="52"/>
        <v/>
      </c>
      <c r="AI255" s="18" t="str">
        <f t="shared" si="53"/>
        <v/>
      </c>
      <c r="AJ255" s="18" t="str">
        <f t="shared" ca="1" si="54"/>
        <v/>
      </c>
    </row>
    <row r="256" spans="1:36">
      <c r="A256" s="18">
        <v>253</v>
      </c>
      <c r="B256" s="15" t="s">
        <v>382</v>
      </c>
      <c r="C256" s="15" t="s">
        <v>36</v>
      </c>
      <c r="D256" s="15" t="s">
        <v>43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8" t="str">
        <f t="shared" ca="1" si="42"/>
        <v/>
      </c>
      <c r="U256" s="18">
        <f t="shared" ca="1" si="55"/>
        <v>0</v>
      </c>
      <c r="V256" s="18" t="str">
        <f t="shared" si="43"/>
        <v/>
      </c>
      <c r="W256" s="18" t="str">
        <f t="shared" si="44"/>
        <v/>
      </c>
      <c r="X256" s="18" t="str">
        <f t="shared" si="45"/>
        <v/>
      </c>
      <c r="Y256" s="19" t="str">
        <f>IF(OR(L256="",V256=""),"",IFERROR(INDEX(لیست‌ها!$Q$3:$Q$53,MATCH(V256,لیست‌ها!$P$3:$P$53,0))+IF(W256&lt;=6,(W256-1)*31+X256,IF(W256&lt;=11,186+(W256-7)*30+X256,336+X256))-1,""))</f>
        <v/>
      </c>
      <c r="Z256" s="18" t="str">
        <f t="shared" si="46"/>
        <v/>
      </c>
      <c r="AA256" s="18" t="str">
        <f t="shared" si="47"/>
        <v/>
      </c>
      <c r="AB256" s="18" t="str">
        <f t="shared" si="48"/>
        <v/>
      </c>
      <c r="AC256" s="18" t="str">
        <f>IF(OR(H256="",Z256=""),"",IFERROR(INDEX(لیست‌ها!$Q$3:$Q$53,MATCH(Z256,لیست‌ها!$P$3:$P$53,0))+IF(AA256&lt;=6,(AA256-1)*31+AB256,IF(AA256&lt;=11,186+(AA256-7)*30+AB256,336+AB256))-1,""))</f>
        <v/>
      </c>
      <c r="AD256" s="18" t="str">
        <f t="shared" si="49"/>
        <v/>
      </c>
      <c r="AE256" s="18" t="str">
        <f t="shared" si="50"/>
        <v/>
      </c>
      <c r="AF256" s="18" t="str">
        <f t="shared" si="51"/>
        <v/>
      </c>
      <c r="AG256" s="18" t="str">
        <f>IF(OR(O256="",AD256=""),"",IFERROR(INDEX(لیست‌ها!$Q$3:$Q$53,MATCH(AD256,لیست‌ها!$P$3:$P$53,0))+IF(AE256&lt;=6,(AE256-1)*31+AF256,IF(AE256&lt;=11,186+(AE256-7)*30+AF256,336+AF256))-1,""))</f>
        <v/>
      </c>
      <c r="AH256" s="18" t="str">
        <f t="shared" si="52"/>
        <v/>
      </c>
      <c r="AI256" s="18" t="str">
        <f t="shared" si="53"/>
        <v/>
      </c>
      <c r="AJ256" s="18" t="str">
        <f t="shared" ca="1" si="54"/>
        <v/>
      </c>
    </row>
    <row r="257" spans="1:36">
      <c r="A257" s="18">
        <v>254</v>
      </c>
      <c r="B257" s="15" t="s">
        <v>383</v>
      </c>
      <c r="C257" s="15" t="s">
        <v>36</v>
      </c>
      <c r="D257" s="15" t="s">
        <v>64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8" t="str">
        <f t="shared" ca="1" si="42"/>
        <v/>
      </c>
      <c r="U257" s="18">
        <f t="shared" ca="1" si="55"/>
        <v>0</v>
      </c>
      <c r="V257" s="18" t="str">
        <f t="shared" si="43"/>
        <v/>
      </c>
      <c r="W257" s="18" t="str">
        <f t="shared" si="44"/>
        <v/>
      </c>
      <c r="X257" s="18" t="str">
        <f t="shared" si="45"/>
        <v/>
      </c>
      <c r="Y257" s="19" t="str">
        <f>IF(OR(L257="",V257=""),"",IFERROR(INDEX(لیست‌ها!$Q$3:$Q$53,MATCH(V257,لیست‌ها!$P$3:$P$53,0))+IF(W257&lt;=6,(W257-1)*31+X257,IF(W257&lt;=11,186+(W257-7)*30+X257,336+X257))-1,""))</f>
        <v/>
      </c>
      <c r="Z257" s="18" t="str">
        <f t="shared" si="46"/>
        <v/>
      </c>
      <c r="AA257" s="18" t="str">
        <f t="shared" si="47"/>
        <v/>
      </c>
      <c r="AB257" s="18" t="str">
        <f t="shared" si="48"/>
        <v/>
      </c>
      <c r="AC257" s="18" t="str">
        <f>IF(OR(H257="",Z257=""),"",IFERROR(INDEX(لیست‌ها!$Q$3:$Q$53,MATCH(Z257,لیست‌ها!$P$3:$P$53,0))+IF(AA257&lt;=6,(AA257-1)*31+AB257,IF(AA257&lt;=11,186+(AA257-7)*30+AB257,336+AB257))-1,""))</f>
        <v/>
      </c>
      <c r="AD257" s="18" t="str">
        <f t="shared" si="49"/>
        <v/>
      </c>
      <c r="AE257" s="18" t="str">
        <f t="shared" si="50"/>
        <v/>
      </c>
      <c r="AF257" s="18" t="str">
        <f t="shared" si="51"/>
        <v/>
      </c>
      <c r="AG257" s="18" t="str">
        <f>IF(OR(O257="",AD257=""),"",IFERROR(INDEX(لیست‌ها!$Q$3:$Q$53,MATCH(AD257,لیست‌ها!$P$3:$P$53,0))+IF(AE257&lt;=6,(AE257-1)*31+AF257,IF(AE257&lt;=11,186+(AE257-7)*30+AF257,336+AF257))-1,""))</f>
        <v/>
      </c>
      <c r="AH257" s="18" t="str">
        <f t="shared" si="52"/>
        <v/>
      </c>
      <c r="AI257" s="18" t="str">
        <f t="shared" si="53"/>
        <v/>
      </c>
      <c r="AJ257" s="18" t="str">
        <f t="shared" ca="1" si="54"/>
        <v/>
      </c>
    </row>
    <row r="258" spans="1:36">
      <c r="A258" s="18">
        <v>255</v>
      </c>
      <c r="B258" s="15" t="s">
        <v>384</v>
      </c>
      <c r="C258" s="15" t="s">
        <v>36</v>
      </c>
      <c r="D258" s="15" t="s">
        <v>64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8" t="str">
        <f t="shared" ca="1" si="42"/>
        <v/>
      </c>
      <c r="U258" s="18">
        <f t="shared" ca="1" si="55"/>
        <v>0</v>
      </c>
      <c r="V258" s="18" t="str">
        <f t="shared" si="43"/>
        <v/>
      </c>
      <c r="W258" s="18" t="str">
        <f t="shared" si="44"/>
        <v/>
      </c>
      <c r="X258" s="18" t="str">
        <f t="shared" si="45"/>
        <v/>
      </c>
      <c r="Y258" s="19" t="str">
        <f>IF(OR(L258="",V258=""),"",IFERROR(INDEX(لیست‌ها!$Q$3:$Q$53,MATCH(V258,لیست‌ها!$P$3:$P$53,0))+IF(W258&lt;=6,(W258-1)*31+X258,IF(W258&lt;=11,186+(W258-7)*30+X258,336+X258))-1,""))</f>
        <v/>
      </c>
      <c r="Z258" s="18" t="str">
        <f t="shared" si="46"/>
        <v/>
      </c>
      <c r="AA258" s="18" t="str">
        <f t="shared" si="47"/>
        <v/>
      </c>
      <c r="AB258" s="18" t="str">
        <f t="shared" si="48"/>
        <v/>
      </c>
      <c r="AC258" s="18" t="str">
        <f>IF(OR(H258="",Z258=""),"",IFERROR(INDEX(لیست‌ها!$Q$3:$Q$53,MATCH(Z258,لیست‌ها!$P$3:$P$53,0))+IF(AA258&lt;=6,(AA258-1)*31+AB258,IF(AA258&lt;=11,186+(AA258-7)*30+AB258,336+AB258))-1,""))</f>
        <v/>
      </c>
      <c r="AD258" s="18" t="str">
        <f t="shared" si="49"/>
        <v/>
      </c>
      <c r="AE258" s="18" t="str">
        <f t="shared" si="50"/>
        <v/>
      </c>
      <c r="AF258" s="18" t="str">
        <f t="shared" si="51"/>
        <v/>
      </c>
      <c r="AG258" s="18" t="str">
        <f>IF(OR(O258="",AD258=""),"",IFERROR(INDEX(لیست‌ها!$Q$3:$Q$53,MATCH(AD258,لیست‌ها!$P$3:$P$53,0))+IF(AE258&lt;=6,(AE258-1)*31+AF258,IF(AE258&lt;=11,186+(AE258-7)*30+AF258,336+AF258))-1,""))</f>
        <v/>
      </c>
      <c r="AH258" s="18" t="str">
        <f t="shared" si="52"/>
        <v/>
      </c>
      <c r="AI258" s="18" t="str">
        <f t="shared" si="53"/>
        <v/>
      </c>
      <c r="AJ258" s="18" t="str">
        <f t="shared" ca="1" si="54"/>
        <v/>
      </c>
    </row>
    <row r="259" spans="1:36">
      <c r="A259" s="18">
        <v>256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8" t="str">
        <f t="shared" ca="1" si="42"/>
        <v/>
      </c>
      <c r="U259" s="18">
        <f t="shared" ca="1" si="55"/>
        <v>0</v>
      </c>
      <c r="V259" s="18" t="str">
        <f t="shared" si="43"/>
        <v/>
      </c>
      <c r="W259" s="18" t="str">
        <f t="shared" si="44"/>
        <v/>
      </c>
      <c r="X259" s="18" t="str">
        <f t="shared" si="45"/>
        <v/>
      </c>
      <c r="Y259" s="19" t="str">
        <f>IF(OR(L259="",V259=""),"",IFERROR(INDEX(لیست‌ها!$Q$3:$Q$53,MATCH(V259,لیست‌ها!$P$3:$P$53,0))+IF(W259&lt;=6,(W259-1)*31+X259,IF(W259&lt;=11,186+(W259-7)*30+X259,336+X259))-1,""))</f>
        <v/>
      </c>
      <c r="Z259" s="18" t="str">
        <f t="shared" si="46"/>
        <v/>
      </c>
      <c r="AA259" s="18" t="str">
        <f t="shared" si="47"/>
        <v/>
      </c>
      <c r="AB259" s="18" t="str">
        <f t="shared" si="48"/>
        <v/>
      </c>
      <c r="AC259" s="18" t="str">
        <f>IF(OR(H259="",Z259=""),"",IFERROR(INDEX(لیست‌ها!$Q$3:$Q$53,MATCH(Z259,لیست‌ها!$P$3:$P$53,0))+IF(AA259&lt;=6,(AA259-1)*31+AB259,IF(AA259&lt;=11,186+(AA259-7)*30+AB259,336+AB259))-1,""))</f>
        <v/>
      </c>
      <c r="AD259" s="18" t="str">
        <f t="shared" si="49"/>
        <v/>
      </c>
      <c r="AE259" s="18" t="str">
        <f t="shared" si="50"/>
        <v/>
      </c>
      <c r="AF259" s="18" t="str">
        <f t="shared" si="51"/>
        <v/>
      </c>
      <c r="AG259" s="18" t="str">
        <f>IF(OR(O259="",AD259=""),"",IFERROR(INDEX(لیست‌ها!$Q$3:$Q$53,MATCH(AD259,لیست‌ها!$P$3:$P$53,0))+IF(AE259&lt;=6,(AE259-1)*31+AF259,IF(AE259&lt;=11,186+(AE259-7)*30+AF259,336+AF259))-1,""))</f>
        <v/>
      </c>
      <c r="AH259" s="18" t="str">
        <f t="shared" si="52"/>
        <v/>
      </c>
      <c r="AI259" s="18" t="str">
        <f t="shared" si="53"/>
        <v/>
      </c>
      <c r="AJ259" s="18" t="str">
        <f t="shared" ca="1" si="54"/>
        <v/>
      </c>
    </row>
    <row r="260" spans="1:36">
      <c r="A260" s="18">
        <v>257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8" t="str">
        <f t="shared" ref="T260:T323" ca="1" si="56">IF(B260="","",IF(OR(I260&lt;&gt;"",O260&lt;&gt;""),"بسته",IF(AND(L260&lt;&gt;"",V260=""),"خطای فرمت تاریخ ایجاد",IF(AND(H260&lt;&gt;"",Z260=""),"خطای فرمت مهلت",IF(AND(H260&lt;&gt;"",AC260&lt;&gt;"",TODAY()&gt;AC260),"تاخیر",IF(L260&lt;&gt;"","در حال انجام",""))))))</f>
        <v/>
      </c>
      <c r="U260" s="18">
        <f t="shared" ca="1" si="55"/>
        <v>0</v>
      </c>
      <c r="V260" s="18" t="str">
        <f t="shared" ref="V260:V323" si="57">IF(L260="","",VALUE(LEFT(L260,FIND("/",L260)-1)))</f>
        <v/>
      </c>
      <c r="W260" s="18" t="str">
        <f t="shared" ref="W260:W323" si="58">IF(L260="","",VALUE(MID(L260,FIND("/",L260)+1,FIND("/",L260,FIND("/",L260)+1)-FIND("/",L260)-1)))</f>
        <v/>
      </c>
      <c r="X260" s="18" t="str">
        <f t="shared" ref="X260:X323" si="59">IF(L260="","",VALUE(MID(L260,FIND("/",L260,FIND("/",L260)+1)+1,LEN(L260)-FIND("/",L260,FIND("/",L260)+1))))</f>
        <v/>
      </c>
      <c r="Y260" s="19" t="str">
        <f>IF(OR(L260="",V260=""),"",IFERROR(INDEX(لیست‌ها!$Q$3:$Q$53,MATCH(V260,لیست‌ها!$P$3:$P$53,0))+IF(W260&lt;=6,(W260-1)*31+X260,IF(W260&lt;=11,186+(W260-7)*30+X260,336+X260))-1,""))</f>
        <v/>
      </c>
      <c r="Z260" s="18" t="str">
        <f t="shared" ref="Z260:Z323" si="60">IF(H260="","",VALUE(LEFT(H260,FIND("/",H260)-1)))</f>
        <v/>
      </c>
      <c r="AA260" s="18" t="str">
        <f t="shared" ref="AA260:AA323" si="61">IF(H260="","",VALUE(MID(H260,FIND("/",H260)+1,FIND("/",H260,FIND("/",H260)+1)-FIND("/",H260)-1)))</f>
        <v/>
      </c>
      <c r="AB260" s="18" t="str">
        <f t="shared" ref="AB260:AB323" si="62">IF(H260="","",VALUE(MID(H260,FIND("/",H260,FIND("/",H260)+1)+1,LEN(H260)-FIND("/",H260,FIND("/",H260)+1))))</f>
        <v/>
      </c>
      <c r="AC260" s="18" t="str">
        <f>IF(OR(H260="",Z260=""),"",IFERROR(INDEX(لیست‌ها!$Q$3:$Q$53,MATCH(Z260,لیست‌ها!$P$3:$P$53,0))+IF(AA260&lt;=6,(AA260-1)*31+AB260,IF(AA260&lt;=11,186+(AA260-7)*30+AB260,336+AB260))-1,""))</f>
        <v/>
      </c>
      <c r="AD260" s="18" t="str">
        <f t="shared" ref="AD260:AD323" si="63">IF(O260="","",VALUE(LEFT(O260,FIND("/",O260)-1)))</f>
        <v/>
      </c>
      <c r="AE260" s="18" t="str">
        <f t="shared" ref="AE260:AE323" si="64">IF(O260="","",VALUE(MID(O260,FIND("/",O260)+1,FIND("/",O260,FIND("/",O260)+1)-FIND("/",O260)-1)))</f>
        <v/>
      </c>
      <c r="AF260" s="18" t="str">
        <f t="shared" ref="AF260:AF323" si="65">IF(O260="","",VALUE(MID(O260,FIND("/",O260,FIND("/",O260)+1)+1,LEN(O260)-FIND("/",O260,FIND("/",O260)+1))))</f>
        <v/>
      </c>
      <c r="AG260" s="18" t="str">
        <f>IF(OR(O260="",AD260=""),"",IFERROR(INDEX(لیست‌ها!$Q$3:$Q$53,MATCH(AD260,لیست‌ها!$P$3:$P$53,0))+IF(AE260&lt;=6,(AE260-1)*31+AF260,IF(AE260&lt;=11,186+(AE260-7)*30+AF260,336+AF260))-1,""))</f>
        <v/>
      </c>
      <c r="AH260" s="18" t="str">
        <f t="shared" ref="AH260:AH323" si="66">IF(V260="","",V260&amp;"-"&amp;TEXT(W260,"00"))</f>
        <v/>
      </c>
      <c r="AI260" s="18" t="str">
        <f t="shared" ref="AI260:AI323" si="67">IF(V260="","",V260*12+W260)</f>
        <v/>
      </c>
      <c r="AJ260" s="18" t="str">
        <f t="shared" ref="AJ260:AJ323" ca="1" si="68">IF(T260="تاخیر",U260+ROW()/100000,"")</f>
        <v/>
      </c>
    </row>
    <row r="261" spans="1:36">
      <c r="A261" s="18">
        <v>258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8" t="str">
        <f t="shared" ca="1" si="56"/>
        <v/>
      </c>
      <c r="U261" s="18">
        <f t="shared" ref="U261:U324" ca="1" si="69">IF(T261="تاخیر",TODAY()-AC261,IF(AND(T261="بسته",AG261&lt;&gt;"",AC261&lt;&gt;"",AG261&gt;AC261),AG261-AC261,0))</f>
        <v>0</v>
      </c>
      <c r="V261" s="18" t="str">
        <f t="shared" si="57"/>
        <v/>
      </c>
      <c r="W261" s="18" t="str">
        <f t="shared" si="58"/>
        <v/>
      </c>
      <c r="X261" s="18" t="str">
        <f t="shared" si="59"/>
        <v/>
      </c>
      <c r="Y261" s="19" t="str">
        <f>IF(OR(L261="",V261=""),"",IFERROR(INDEX(لیست‌ها!$Q$3:$Q$53,MATCH(V261,لیست‌ها!$P$3:$P$53,0))+IF(W261&lt;=6,(W261-1)*31+X261,IF(W261&lt;=11,186+(W261-7)*30+X261,336+X261))-1,""))</f>
        <v/>
      </c>
      <c r="Z261" s="18" t="str">
        <f t="shared" si="60"/>
        <v/>
      </c>
      <c r="AA261" s="18" t="str">
        <f t="shared" si="61"/>
        <v/>
      </c>
      <c r="AB261" s="18" t="str">
        <f t="shared" si="62"/>
        <v/>
      </c>
      <c r="AC261" s="18" t="str">
        <f>IF(OR(H261="",Z261=""),"",IFERROR(INDEX(لیست‌ها!$Q$3:$Q$53,MATCH(Z261,لیست‌ها!$P$3:$P$53,0))+IF(AA261&lt;=6,(AA261-1)*31+AB261,IF(AA261&lt;=11,186+(AA261-7)*30+AB261,336+AB261))-1,""))</f>
        <v/>
      </c>
      <c r="AD261" s="18" t="str">
        <f t="shared" si="63"/>
        <v/>
      </c>
      <c r="AE261" s="18" t="str">
        <f t="shared" si="64"/>
        <v/>
      </c>
      <c r="AF261" s="18" t="str">
        <f t="shared" si="65"/>
        <v/>
      </c>
      <c r="AG261" s="18" t="str">
        <f>IF(OR(O261="",AD261=""),"",IFERROR(INDEX(لیست‌ها!$Q$3:$Q$53,MATCH(AD261,لیست‌ها!$P$3:$P$53,0))+IF(AE261&lt;=6,(AE261-1)*31+AF261,IF(AE261&lt;=11,186+(AE261-7)*30+AF261,336+AF261))-1,""))</f>
        <v/>
      </c>
      <c r="AH261" s="18" t="str">
        <f t="shared" si="66"/>
        <v/>
      </c>
      <c r="AI261" s="18" t="str">
        <f t="shared" si="67"/>
        <v/>
      </c>
      <c r="AJ261" s="18" t="str">
        <f t="shared" ca="1" si="68"/>
        <v/>
      </c>
    </row>
    <row r="262" spans="1:36">
      <c r="A262" s="18">
        <v>259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8" t="str">
        <f t="shared" ca="1" si="56"/>
        <v/>
      </c>
      <c r="U262" s="18">
        <f t="shared" ca="1" si="69"/>
        <v>0</v>
      </c>
      <c r="V262" s="18" t="str">
        <f t="shared" si="57"/>
        <v/>
      </c>
      <c r="W262" s="18" t="str">
        <f t="shared" si="58"/>
        <v/>
      </c>
      <c r="X262" s="18" t="str">
        <f t="shared" si="59"/>
        <v/>
      </c>
      <c r="Y262" s="19" t="str">
        <f>IF(OR(L262="",V262=""),"",IFERROR(INDEX(لیست‌ها!$Q$3:$Q$53,MATCH(V262,لیست‌ها!$P$3:$P$53,0))+IF(W262&lt;=6,(W262-1)*31+X262,IF(W262&lt;=11,186+(W262-7)*30+X262,336+X262))-1,""))</f>
        <v/>
      </c>
      <c r="Z262" s="18" t="str">
        <f t="shared" si="60"/>
        <v/>
      </c>
      <c r="AA262" s="18" t="str">
        <f t="shared" si="61"/>
        <v/>
      </c>
      <c r="AB262" s="18" t="str">
        <f t="shared" si="62"/>
        <v/>
      </c>
      <c r="AC262" s="18" t="str">
        <f>IF(OR(H262="",Z262=""),"",IFERROR(INDEX(لیست‌ها!$Q$3:$Q$53,MATCH(Z262,لیست‌ها!$P$3:$P$53,0))+IF(AA262&lt;=6,(AA262-1)*31+AB262,IF(AA262&lt;=11,186+(AA262-7)*30+AB262,336+AB262))-1,""))</f>
        <v/>
      </c>
      <c r="AD262" s="18" t="str">
        <f t="shared" si="63"/>
        <v/>
      </c>
      <c r="AE262" s="18" t="str">
        <f t="shared" si="64"/>
        <v/>
      </c>
      <c r="AF262" s="18" t="str">
        <f t="shared" si="65"/>
        <v/>
      </c>
      <c r="AG262" s="18" t="str">
        <f>IF(OR(O262="",AD262=""),"",IFERROR(INDEX(لیست‌ها!$Q$3:$Q$53,MATCH(AD262,لیست‌ها!$P$3:$P$53,0))+IF(AE262&lt;=6,(AE262-1)*31+AF262,IF(AE262&lt;=11,186+(AE262-7)*30+AF262,336+AF262))-1,""))</f>
        <v/>
      </c>
      <c r="AH262" s="18" t="str">
        <f t="shared" si="66"/>
        <v/>
      </c>
      <c r="AI262" s="18" t="str">
        <f t="shared" si="67"/>
        <v/>
      </c>
      <c r="AJ262" s="18" t="str">
        <f t="shared" ca="1" si="68"/>
        <v/>
      </c>
    </row>
    <row r="263" spans="1:36">
      <c r="A263" s="18">
        <v>260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8" t="str">
        <f t="shared" ca="1" si="56"/>
        <v/>
      </c>
      <c r="U263" s="18">
        <f t="shared" ca="1" si="69"/>
        <v>0</v>
      </c>
      <c r="V263" s="18" t="str">
        <f t="shared" si="57"/>
        <v/>
      </c>
      <c r="W263" s="18" t="str">
        <f t="shared" si="58"/>
        <v/>
      </c>
      <c r="X263" s="18" t="str">
        <f t="shared" si="59"/>
        <v/>
      </c>
      <c r="Y263" s="19" t="str">
        <f>IF(OR(L263="",V263=""),"",IFERROR(INDEX(لیست‌ها!$Q$3:$Q$53,MATCH(V263,لیست‌ها!$P$3:$P$53,0))+IF(W263&lt;=6,(W263-1)*31+X263,IF(W263&lt;=11,186+(W263-7)*30+X263,336+X263))-1,""))</f>
        <v/>
      </c>
      <c r="Z263" s="18" t="str">
        <f t="shared" si="60"/>
        <v/>
      </c>
      <c r="AA263" s="18" t="str">
        <f t="shared" si="61"/>
        <v/>
      </c>
      <c r="AB263" s="18" t="str">
        <f t="shared" si="62"/>
        <v/>
      </c>
      <c r="AC263" s="18" t="str">
        <f>IF(OR(H263="",Z263=""),"",IFERROR(INDEX(لیست‌ها!$Q$3:$Q$53,MATCH(Z263,لیست‌ها!$P$3:$P$53,0))+IF(AA263&lt;=6,(AA263-1)*31+AB263,IF(AA263&lt;=11,186+(AA263-7)*30+AB263,336+AB263))-1,""))</f>
        <v/>
      </c>
      <c r="AD263" s="18" t="str">
        <f t="shared" si="63"/>
        <v/>
      </c>
      <c r="AE263" s="18" t="str">
        <f t="shared" si="64"/>
        <v/>
      </c>
      <c r="AF263" s="18" t="str">
        <f t="shared" si="65"/>
        <v/>
      </c>
      <c r="AG263" s="18" t="str">
        <f>IF(OR(O263="",AD263=""),"",IFERROR(INDEX(لیست‌ها!$Q$3:$Q$53,MATCH(AD263,لیست‌ها!$P$3:$P$53,0))+IF(AE263&lt;=6,(AE263-1)*31+AF263,IF(AE263&lt;=11,186+(AE263-7)*30+AF263,336+AF263))-1,""))</f>
        <v/>
      </c>
      <c r="AH263" s="18" t="str">
        <f t="shared" si="66"/>
        <v/>
      </c>
      <c r="AI263" s="18" t="str">
        <f t="shared" si="67"/>
        <v/>
      </c>
      <c r="AJ263" s="18" t="str">
        <f t="shared" ca="1" si="68"/>
        <v/>
      </c>
    </row>
    <row r="264" spans="1:36">
      <c r="A264" s="18">
        <v>261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8" t="str">
        <f t="shared" ca="1" si="56"/>
        <v/>
      </c>
      <c r="U264" s="18">
        <f t="shared" ca="1" si="69"/>
        <v>0</v>
      </c>
      <c r="V264" s="18" t="str">
        <f t="shared" si="57"/>
        <v/>
      </c>
      <c r="W264" s="18" t="str">
        <f t="shared" si="58"/>
        <v/>
      </c>
      <c r="X264" s="18" t="str">
        <f t="shared" si="59"/>
        <v/>
      </c>
      <c r="Y264" s="19" t="str">
        <f>IF(OR(L264="",V264=""),"",IFERROR(INDEX(لیست‌ها!$Q$3:$Q$53,MATCH(V264,لیست‌ها!$P$3:$P$53,0))+IF(W264&lt;=6,(W264-1)*31+X264,IF(W264&lt;=11,186+(W264-7)*30+X264,336+X264))-1,""))</f>
        <v/>
      </c>
      <c r="Z264" s="18" t="str">
        <f t="shared" si="60"/>
        <v/>
      </c>
      <c r="AA264" s="18" t="str">
        <f t="shared" si="61"/>
        <v/>
      </c>
      <c r="AB264" s="18" t="str">
        <f t="shared" si="62"/>
        <v/>
      </c>
      <c r="AC264" s="18" t="str">
        <f>IF(OR(H264="",Z264=""),"",IFERROR(INDEX(لیست‌ها!$Q$3:$Q$53,MATCH(Z264,لیست‌ها!$P$3:$P$53,0))+IF(AA264&lt;=6,(AA264-1)*31+AB264,IF(AA264&lt;=11,186+(AA264-7)*30+AB264,336+AB264))-1,""))</f>
        <v/>
      </c>
      <c r="AD264" s="18" t="str">
        <f t="shared" si="63"/>
        <v/>
      </c>
      <c r="AE264" s="18" t="str">
        <f t="shared" si="64"/>
        <v/>
      </c>
      <c r="AF264" s="18" t="str">
        <f t="shared" si="65"/>
        <v/>
      </c>
      <c r="AG264" s="18" t="str">
        <f>IF(OR(O264="",AD264=""),"",IFERROR(INDEX(لیست‌ها!$Q$3:$Q$53,MATCH(AD264,لیست‌ها!$P$3:$P$53,0))+IF(AE264&lt;=6,(AE264-1)*31+AF264,IF(AE264&lt;=11,186+(AE264-7)*30+AF264,336+AF264))-1,""))</f>
        <v/>
      </c>
      <c r="AH264" s="18" t="str">
        <f t="shared" si="66"/>
        <v/>
      </c>
      <c r="AI264" s="18" t="str">
        <f t="shared" si="67"/>
        <v/>
      </c>
      <c r="AJ264" s="18" t="str">
        <f t="shared" ca="1" si="68"/>
        <v/>
      </c>
    </row>
    <row r="265" spans="1:36">
      <c r="A265" s="18">
        <v>262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8" t="str">
        <f t="shared" ca="1" si="56"/>
        <v/>
      </c>
      <c r="U265" s="18">
        <f t="shared" ca="1" si="69"/>
        <v>0</v>
      </c>
      <c r="V265" s="18" t="str">
        <f t="shared" si="57"/>
        <v/>
      </c>
      <c r="W265" s="18" t="str">
        <f t="shared" si="58"/>
        <v/>
      </c>
      <c r="X265" s="18" t="str">
        <f t="shared" si="59"/>
        <v/>
      </c>
      <c r="Y265" s="19" t="str">
        <f>IF(OR(L265="",V265=""),"",IFERROR(INDEX(لیست‌ها!$Q$3:$Q$53,MATCH(V265,لیست‌ها!$P$3:$P$53,0))+IF(W265&lt;=6,(W265-1)*31+X265,IF(W265&lt;=11,186+(W265-7)*30+X265,336+X265))-1,""))</f>
        <v/>
      </c>
      <c r="Z265" s="18" t="str">
        <f t="shared" si="60"/>
        <v/>
      </c>
      <c r="AA265" s="18" t="str">
        <f t="shared" si="61"/>
        <v/>
      </c>
      <c r="AB265" s="18" t="str">
        <f t="shared" si="62"/>
        <v/>
      </c>
      <c r="AC265" s="18" t="str">
        <f>IF(OR(H265="",Z265=""),"",IFERROR(INDEX(لیست‌ها!$Q$3:$Q$53,MATCH(Z265,لیست‌ها!$P$3:$P$53,0))+IF(AA265&lt;=6,(AA265-1)*31+AB265,IF(AA265&lt;=11,186+(AA265-7)*30+AB265,336+AB265))-1,""))</f>
        <v/>
      </c>
      <c r="AD265" s="18" t="str">
        <f t="shared" si="63"/>
        <v/>
      </c>
      <c r="AE265" s="18" t="str">
        <f t="shared" si="64"/>
        <v/>
      </c>
      <c r="AF265" s="18" t="str">
        <f t="shared" si="65"/>
        <v/>
      </c>
      <c r="AG265" s="18" t="str">
        <f>IF(OR(O265="",AD265=""),"",IFERROR(INDEX(لیست‌ها!$Q$3:$Q$53,MATCH(AD265,لیست‌ها!$P$3:$P$53,0))+IF(AE265&lt;=6,(AE265-1)*31+AF265,IF(AE265&lt;=11,186+(AE265-7)*30+AF265,336+AF265))-1,""))</f>
        <v/>
      </c>
      <c r="AH265" s="18" t="str">
        <f t="shared" si="66"/>
        <v/>
      </c>
      <c r="AI265" s="18" t="str">
        <f t="shared" si="67"/>
        <v/>
      </c>
      <c r="AJ265" s="18" t="str">
        <f t="shared" ca="1" si="68"/>
        <v/>
      </c>
    </row>
    <row r="266" spans="1:36">
      <c r="A266" s="18">
        <v>263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8" t="str">
        <f t="shared" ca="1" si="56"/>
        <v/>
      </c>
      <c r="U266" s="18">
        <f t="shared" ca="1" si="69"/>
        <v>0</v>
      </c>
      <c r="V266" s="18" t="str">
        <f t="shared" si="57"/>
        <v/>
      </c>
      <c r="W266" s="18" t="str">
        <f t="shared" si="58"/>
        <v/>
      </c>
      <c r="X266" s="18" t="str">
        <f t="shared" si="59"/>
        <v/>
      </c>
      <c r="Y266" s="19" t="str">
        <f>IF(OR(L266="",V266=""),"",IFERROR(INDEX(لیست‌ها!$Q$3:$Q$53,MATCH(V266,لیست‌ها!$P$3:$P$53,0))+IF(W266&lt;=6,(W266-1)*31+X266,IF(W266&lt;=11,186+(W266-7)*30+X266,336+X266))-1,""))</f>
        <v/>
      </c>
      <c r="Z266" s="18" t="str">
        <f t="shared" si="60"/>
        <v/>
      </c>
      <c r="AA266" s="18" t="str">
        <f t="shared" si="61"/>
        <v/>
      </c>
      <c r="AB266" s="18" t="str">
        <f t="shared" si="62"/>
        <v/>
      </c>
      <c r="AC266" s="18" t="str">
        <f>IF(OR(H266="",Z266=""),"",IFERROR(INDEX(لیست‌ها!$Q$3:$Q$53,MATCH(Z266,لیست‌ها!$P$3:$P$53,0))+IF(AA266&lt;=6,(AA266-1)*31+AB266,IF(AA266&lt;=11,186+(AA266-7)*30+AB266,336+AB266))-1,""))</f>
        <v/>
      </c>
      <c r="AD266" s="18" t="str">
        <f t="shared" si="63"/>
        <v/>
      </c>
      <c r="AE266" s="18" t="str">
        <f t="shared" si="64"/>
        <v/>
      </c>
      <c r="AF266" s="18" t="str">
        <f t="shared" si="65"/>
        <v/>
      </c>
      <c r="AG266" s="18" t="str">
        <f>IF(OR(O266="",AD266=""),"",IFERROR(INDEX(لیست‌ها!$Q$3:$Q$53,MATCH(AD266,لیست‌ها!$P$3:$P$53,0))+IF(AE266&lt;=6,(AE266-1)*31+AF266,IF(AE266&lt;=11,186+(AE266-7)*30+AF266,336+AF266))-1,""))</f>
        <v/>
      </c>
      <c r="AH266" s="18" t="str">
        <f t="shared" si="66"/>
        <v/>
      </c>
      <c r="AI266" s="18" t="str">
        <f t="shared" si="67"/>
        <v/>
      </c>
      <c r="AJ266" s="18" t="str">
        <f t="shared" ca="1" si="68"/>
        <v/>
      </c>
    </row>
    <row r="267" spans="1:36">
      <c r="A267" s="18">
        <v>264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8" t="str">
        <f t="shared" ca="1" si="56"/>
        <v/>
      </c>
      <c r="U267" s="18">
        <f t="shared" ca="1" si="69"/>
        <v>0</v>
      </c>
      <c r="V267" s="18" t="str">
        <f t="shared" si="57"/>
        <v/>
      </c>
      <c r="W267" s="18" t="str">
        <f t="shared" si="58"/>
        <v/>
      </c>
      <c r="X267" s="18" t="str">
        <f t="shared" si="59"/>
        <v/>
      </c>
      <c r="Y267" s="19" t="str">
        <f>IF(OR(L267="",V267=""),"",IFERROR(INDEX(لیست‌ها!$Q$3:$Q$53,MATCH(V267,لیست‌ها!$P$3:$P$53,0))+IF(W267&lt;=6,(W267-1)*31+X267,IF(W267&lt;=11,186+(W267-7)*30+X267,336+X267))-1,""))</f>
        <v/>
      </c>
      <c r="Z267" s="18" t="str">
        <f t="shared" si="60"/>
        <v/>
      </c>
      <c r="AA267" s="18" t="str">
        <f t="shared" si="61"/>
        <v/>
      </c>
      <c r="AB267" s="18" t="str">
        <f t="shared" si="62"/>
        <v/>
      </c>
      <c r="AC267" s="18" t="str">
        <f>IF(OR(H267="",Z267=""),"",IFERROR(INDEX(لیست‌ها!$Q$3:$Q$53,MATCH(Z267,لیست‌ها!$P$3:$P$53,0))+IF(AA267&lt;=6,(AA267-1)*31+AB267,IF(AA267&lt;=11,186+(AA267-7)*30+AB267,336+AB267))-1,""))</f>
        <v/>
      </c>
      <c r="AD267" s="18" t="str">
        <f t="shared" si="63"/>
        <v/>
      </c>
      <c r="AE267" s="18" t="str">
        <f t="shared" si="64"/>
        <v/>
      </c>
      <c r="AF267" s="18" t="str">
        <f t="shared" si="65"/>
        <v/>
      </c>
      <c r="AG267" s="18" t="str">
        <f>IF(OR(O267="",AD267=""),"",IFERROR(INDEX(لیست‌ها!$Q$3:$Q$53,MATCH(AD267,لیست‌ها!$P$3:$P$53,0))+IF(AE267&lt;=6,(AE267-1)*31+AF267,IF(AE267&lt;=11,186+(AE267-7)*30+AF267,336+AF267))-1,""))</f>
        <v/>
      </c>
      <c r="AH267" s="18" t="str">
        <f t="shared" si="66"/>
        <v/>
      </c>
      <c r="AI267" s="18" t="str">
        <f t="shared" si="67"/>
        <v/>
      </c>
      <c r="AJ267" s="18" t="str">
        <f t="shared" ca="1" si="68"/>
        <v/>
      </c>
    </row>
    <row r="268" spans="1:36">
      <c r="A268" s="18">
        <v>265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8" t="str">
        <f t="shared" ca="1" si="56"/>
        <v/>
      </c>
      <c r="U268" s="18">
        <f t="shared" ca="1" si="69"/>
        <v>0</v>
      </c>
      <c r="V268" s="18" t="str">
        <f t="shared" si="57"/>
        <v/>
      </c>
      <c r="W268" s="18" t="str">
        <f t="shared" si="58"/>
        <v/>
      </c>
      <c r="X268" s="18" t="str">
        <f t="shared" si="59"/>
        <v/>
      </c>
      <c r="Y268" s="19" t="str">
        <f>IF(OR(L268="",V268=""),"",IFERROR(INDEX(لیست‌ها!$Q$3:$Q$53,MATCH(V268,لیست‌ها!$P$3:$P$53,0))+IF(W268&lt;=6,(W268-1)*31+X268,IF(W268&lt;=11,186+(W268-7)*30+X268,336+X268))-1,""))</f>
        <v/>
      </c>
      <c r="Z268" s="18" t="str">
        <f t="shared" si="60"/>
        <v/>
      </c>
      <c r="AA268" s="18" t="str">
        <f t="shared" si="61"/>
        <v/>
      </c>
      <c r="AB268" s="18" t="str">
        <f t="shared" si="62"/>
        <v/>
      </c>
      <c r="AC268" s="18" t="str">
        <f>IF(OR(H268="",Z268=""),"",IFERROR(INDEX(لیست‌ها!$Q$3:$Q$53,MATCH(Z268,لیست‌ها!$P$3:$P$53,0))+IF(AA268&lt;=6,(AA268-1)*31+AB268,IF(AA268&lt;=11,186+(AA268-7)*30+AB268,336+AB268))-1,""))</f>
        <v/>
      </c>
      <c r="AD268" s="18" t="str">
        <f t="shared" si="63"/>
        <v/>
      </c>
      <c r="AE268" s="18" t="str">
        <f t="shared" si="64"/>
        <v/>
      </c>
      <c r="AF268" s="18" t="str">
        <f t="shared" si="65"/>
        <v/>
      </c>
      <c r="AG268" s="18" t="str">
        <f>IF(OR(O268="",AD268=""),"",IFERROR(INDEX(لیست‌ها!$Q$3:$Q$53,MATCH(AD268,لیست‌ها!$P$3:$P$53,0))+IF(AE268&lt;=6,(AE268-1)*31+AF268,IF(AE268&lt;=11,186+(AE268-7)*30+AF268,336+AF268))-1,""))</f>
        <v/>
      </c>
      <c r="AH268" s="18" t="str">
        <f t="shared" si="66"/>
        <v/>
      </c>
      <c r="AI268" s="18" t="str">
        <f t="shared" si="67"/>
        <v/>
      </c>
      <c r="AJ268" s="18" t="str">
        <f t="shared" ca="1" si="68"/>
        <v/>
      </c>
    </row>
    <row r="269" spans="1:36">
      <c r="A269" s="18">
        <v>266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8" t="str">
        <f t="shared" ca="1" si="56"/>
        <v/>
      </c>
      <c r="U269" s="18">
        <f t="shared" ca="1" si="69"/>
        <v>0</v>
      </c>
      <c r="V269" s="18" t="str">
        <f t="shared" si="57"/>
        <v/>
      </c>
      <c r="W269" s="18" t="str">
        <f t="shared" si="58"/>
        <v/>
      </c>
      <c r="X269" s="18" t="str">
        <f t="shared" si="59"/>
        <v/>
      </c>
      <c r="Y269" s="19" t="str">
        <f>IF(OR(L269="",V269=""),"",IFERROR(INDEX(لیست‌ها!$Q$3:$Q$53,MATCH(V269,لیست‌ها!$P$3:$P$53,0))+IF(W269&lt;=6,(W269-1)*31+X269,IF(W269&lt;=11,186+(W269-7)*30+X269,336+X269))-1,""))</f>
        <v/>
      </c>
      <c r="Z269" s="18" t="str">
        <f t="shared" si="60"/>
        <v/>
      </c>
      <c r="AA269" s="18" t="str">
        <f t="shared" si="61"/>
        <v/>
      </c>
      <c r="AB269" s="18" t="str">
        <f t="shared" si="62"/>
        <v/>
      </c>
      <c r="AC269" s="18" t="str">
        <f>IF(OR(H269="",Z269=""),"",IFERROR(INDEX(لیست‌ها!$Q$3:$Q$53,MATCH(Z269,لیست‌ها!$P$3:$P$53,0))+IF(AA269&lt;=6,(AA269-1)*31+AB269,IF(AA269&lt;=11,186+(AA269-7)*30+AB269,336+AB269))-1,""))</f>
        <v/>
      </c>
      <c r="AD269" s="18" t="str">
        <f t="shared" si="63"/>
        <v/>
      </c>
      <c r="AE269" s="18" t="str">
        <f t="shared" si="64"/>
        <v/>
      </c>
      <c r="AF269" s="18" t="str">
        <f t="shared" si="65"/>
        <v/>
      </c>
      <c r="AG269" s="18" t="str">
        <f>IF(OR(O269="",AD269=""),"",IFERROR(INDEX(لیست‌ها!$Q$3:$Q$53,MATCH(AD269,لیست‌ها!$P$3:$P$53,0))+IF(AE269&lt;=6,(AE269-1)*31+AF269,IF(AE269&lt;=11,186+(AE269-7)*30+AF269,336+AF269))-1,""))</f>
        <v/>
      </c>
      <c r="AH269" s="18" t="str">
        <f t="shared" si="66"/>
        <v/>
      </c>
      <c r="AI269" s="18" t="str">
        <f t="shared" si="67"/>
        <v/>
      </c>
      <c r="AJ269" s="18" t="str">
        <f t="shared" ca="1" si="68"/>
        <v/>
      </c>
    </row>
    <row r="270" spans="1:36">
      <c r="A270" s="18">
        <v>267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8" t="str">
        <f t="shared" ca="1" si="56"/>
        <v/>
      </c>
      <c r="U270" s="18">
        <f t="shared" ca="1" si="69"/>
        <v>0</v>
      </c>
      <c r="V270" s="18" t="str">
        <f t="shared" si="57"/>
        <v/>
      </c>
      <c r="W270" s="18" t="str">
        <f t="shared" si="58"/>
        <v/>
      </c>
      <c r="X270" s="18" t="str">
        <f t="shared" si="59"/>
        <v/>
      </c>
      <c r="Y270" s="19" t="str">
        <f>IF(OR(L270="",V270=""),"",IFERROR(INDEX(لیست‌ها!$Q$3:$Q$53,MATCH(V270,لیست‌ها!$P$3:$P$53,0))+IF(W270&lt;=6,(W270-1)*31+X270,IF(W270&lt;=11,186+(W270-7)*30+X270,336+X270))-1,""))</f>
        <v/>
      </c>
      <c r="Z270" s="18" t="str">
        <f t="shared" si="60"/>
        <v/>
      </c>
      <c r="AA270" s="18" t="str">
        <f t="shared" si="61"/>
        <v/>
      </c>
      <c r="AB270" s="18" t="str">
        <f t="shared" si="62"/>
        <v/>
      </c>
      <c r="AC270" s="18" t="str">
        <f>IF(OR(H270="",Z270=""),"",IFERROR(INDEX(لیست‌ها!$Q$3:$Q$53,MATCH(Z270,لیست‌ها!$P$3:$P$53,0))+IF(AA270&lt;=6,(AA270-1)*31+AB270,IF(AA270&lt;=11,186+(AA270-7)*30+AB270,336+AB270))-1,""))</f>
        <v/>
      </c>
      <c r="AD270" s="18" t="str">
        <f t="shared" si="63"/>
        <v/>
      </c>
      <c r="AE270" s="18" t="str">
        <f t="shared" si="64"/>
        <v/>
      </c>
      <c r="AF270" s="18" t="str">
        <f t="shared" si="65"/>
        <v/>
      </c>
      <c r="AG270" s="18" t="str">
        <f>IF(OR(O270="",AD270=""),"",IFERROR(INDEX(لیست‌ها!$Q$3:$Q$53,MATCH(AD270,لیست‌ها!$P$3:$P$53,0))+IF(AE270&lt;=6,(AE270-1)*31+AF270,IF(AE270&lt;=11,186+(AE270-7)*30+AF270,336+AF270))-1,""))</f>
        <v/>
      </c>
      <c r="AH270" s="18" t="str">
        <f t="shared" si="66"/>
        <v/>
      </c>
      <c r="AI270" s="18" t="str">
        <f t="shared" si="67"/>
        <v/>
      </c>
      <c r="AJ270" s="18" t="str">
        <f t="shared" ca="1" si="68"/>
        <v/>
      </c>
    </row>
    <row r="271" spans="1:36">
      <c r="A271" s="18">
        <v>268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8" t="str">
        <f t="shared" ca="1" si="56"/>
        <v/>
      </c>
      <c r="U271" s="18">
        <f t="shared" ca="1" si="69"/>
        <v>0</v>
      </c>
      <c r="V271" s="18" t="str">
        <f t="shared" si="57"/>
        <v/>
      </c>
      <c r="W271" s="18" t="str">
        <f t="shared" si="58"/>
        <v/>
      </c>
      <c r="X271" s="18" t="str">
        <f t="shared" si="59"/>
        <v/>
      </c>
      <c r="Y271" s="19" t="str">
        <f>IF(OR(L271="",V271=""),"",IFERROR(INDEX(لیست‌ها!$Q$3:$Q$53,MATCH(V271,لیست‌ها!$P$3:$P$53,0))+IF(W271&lt;=6,(W271-1)*31+X271,IF(W271&lt;=11,186+(W271-7)*30+X271,336+X271))-1,""))</f>
        <v/>
      </c>
      <c r="Z271" s="18" t="str">
        <f t="shared" si="60"/>
        <v/>
      </c>
      <c r="AA271" s="18" t="str">
        <f t="shared" si="61"/>
        <v/>
      </c>
      <c r="AB271" s="18" t="str">
        <f t="shared" si="62"/>
        <v/>
      </c>
      <c r="AC271" s="18" t="str">
        <f>IF(OR(H271="",Z271=""),"",IFERROR(INDEX(لیست‌ها!$Q$3:$Q$53,MATCH(Z271,لیست‌ها!$P$3:$P$53,0))+IF(AA271&lt;=6,(AA271-1)*31+AB271,IF(AA271&lt;=11,186+(AA271-7)*30+AB271,336+AB271))-1,""))</f>
        <v/>
      </c>
      <c r="AD271" s="18" t="str">
        <f t="shared" si="63"/>
        <v/>
      </c>
      <c r="AE271" s="18" t="str">
        <f t="shared" si="64"/>
        <v/>
      </c>
      <c r="AF271" s="18" t="str">
        <f t="shared" si="65"/>
        <v/>
      </c>
      <c r="AG271" s="18" t="str">
        <f>IF(OR(O271="",AD271=""),"",IFERROR(INDEX(لیست‌ها!$Q$3:$Q$53,MATCH(AD271,لیست‌ها!$P$3:$P$53,0))+IF(AE271&lt;=6,(AE271-1)*31+AF271,IF(AE271&lt;=11,186+(AE271-7)*30+AF271,336+AF271))-1,""))</f>
        <v/>
      </c>
      <c r="AH271" s="18" t="str">
        <f t="shared" si="66"/>
        <v/>
      </c>
      <c r="AI271" s="18" t="str">
        <f t="shared" si="67"/>
        <v/>
      </c>
      <c r="AJ271" s="18" t="str">
        <f t="shared" ca="1" si="68"/>
        <v/>
      </c>
    </row>
    <row r="272" spans="1:36">
      <c r="A272" s="18">
        <v>269</v>
      </c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8" t="str">
        <f t="shared" ca="1" si="56"/>
        <v/>
      </c>
      <c r="U272" s="18">
        <f t="shared" ca="1" si="69"/>
        <v>0</v>
      </c>
      <c r="V272" s="18" t="str">
        <f t="shared" si="57"/>
        <v/>
      </c>
      <c r="W272" s="18" t="str">
        <f t="shared" si="58"/>
        <v/>
      </c>
      <c r="X272" s="18" t="str">
        <f t="shared" si="59"/>
        <v/>
      </c>
      <c r="Y272" s="19" t="str">
        <f>IF(OR(L272="",V272=""),"",IFERROR(INDEX(لیست‌ها!$Q$3:$Q$53,MATCH(V272,لیست‌ها!$P$3:$P$53,0))+IF(W272&lt;=6,(W272-1)*31+X272,IF(W272&lt;=11,186+(W272-7)*30+X272,336+X272))-1,""))</f>
        <v/>
      </c>
      <c r="Z272" s="18" t="str">
        <f t="shared" si="60"/>
        <v/>
      </c>
      <c r="AA272" s="18" t="str">
        <f t="shared" si="61"/>
        <v/>
      </c>
      <c r="AB272" s="18" t="str">
        <f t="shared" si="62"/>
        <v/>
      </c>
      <c r="AC272" s="18" t="str">
        <f>IF(OR(H272="",Z272=""),"",IFERROR(INDEX(لیست‌ها!$Q$3:$Q$53,MATCH(Z272,لیست‌ها!$P$3:$P$53,0))+IF(AA272&lt;=6,(AA272-1)*31+AB272,IF(AA272&lt;=11,186+(AA272-7)*30+AB272,336+AB272))-1,""))</f>
        <v/>
      </c>
      <c r="AD272" s="18" t="str">
        <f t="shared" si="63"/>
        <v/>
      </c>
      <c r="AE272" s="18" t="str">
        <f t="shared" si="64"/>
        <v/>
      </c>
      <c r="AF272" s="18" t="str">
        <f t="shared" si="65"/>
        <v/>
      </c>
      <c r="AG272" s="18" t="str">
        <f>IF(OR(O272="",AD272=""),"",IFERROR(INDEX(لیست‌ها!$Q$3:$Q$53,MATCH(AD272,لیست‌ها!$P$3:$P$53,0))+IF(AE272&lt;=6,(AE272-1)*31+AF272,IF(AE272&lt;=11,186+(AE272-7)*30+AF272,336+AF272))-1,""))</f>
        <v/>
      </c>
      <c r="AH272" s="18" t="str">
        <f t="shared" si="66"/>
        <v/>
      </c>
      <c r="AI272" s="18" t="str">
        <f t="shared" si="67"/>
        <v/>
      </c>
      <c r="AJ272" s="18" t="str">
        <f t="shared" ca="1" si="68"/>
        <v/>
      </c>
    </row>
    <row r="273" spans="1:36">
      <c r="A273" s="18">
        <v>270</v>
      </c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8" t="str">
        <f t="shared" ca="1" si="56"/>
        <v/>
      </c>
      <c r="U273" s="18">
        <f t="shared" ca="1" si="69"/>
        <v>0</v>
      </c>
      <c r="V273" s="18" t="str">
        <f t="shared" si="57"/>
        <v/>
      </c>
      <c r="W273" s="18" t="str">
        <f t="shared" si="58"/>
        <v/>
      </c>
      <c r="X273" s="18" t="str">
        <f t="shared" si="59"/>
        <v/>
      </c>
      <c r="Y273" s="19" t="str">
        <f>IF(OR(L273="",V273=""),"",IFERROR(INDEX(لیست‌ها!$Q$3:$Q$53,MATCH(V273,لیست‌ها!$P$3:$P$53,0))+IF(W273&lt;=6,(W273-1)*31+X273,IF(W273&lt;=11,186+(W273-7)*30+X273,336+X273))-1,""))</f>
        <v/>
      </c>
      <c r="Z273" s="18" t="str">
        <f t="shared" si="60"/>
        <v/>
      </c>
      <c r="AA273" s="18" t="str">
        <f t="shared" si="61"/>
        <v/>
      </c>
      <c r="AB273" s="18" t="str">
        <f t="shared" si="62"/>
        <v/>
      </c>
      <c r="AC273" s="18" t="str">
        <f>IF(OR(H273="",Z273=""),"",IFERROR(INDEX(لیست‌ها!$Q$3:$Q$53,MATCH(Z273,لیست‌ها!$P$3:$P$53,0))+IF(AA273&lt;=6,(AA273-1)*31+AB273,IF(AA273&lt;=11,186+(AA273-7)*30+AB273,336+AB273))-1,""))</f>
        <v/>
      </c>
      <c r="AD273" s="18" t="str">
        <f t="shared" si="63"/>
        <v/>
      </c>
      <c r="AE273" s="18" t="str">
        <f t="shared" si="64"/>
        <v/>
      </c>
      <c r="AF273" s="18" t="str">
        <f t="shared" si="65"/>
        <v/>
      </c>
      <c r="AG273" s="18" t="str">
        <f>IF(OR(O273="",AD273=""),"",IFERROR(INDEX(لیست‌ها!$Q$3:$Q$53,MATCH(AD273,لیست‌ها!$P$3:$P$53,0))+IF(AE273&lt;=6,(AE273-1)*31+AF273,IF(AE273&lt;=11,186+(AE273-7)*30+AF273,336+AF273))-1,""))</f>
        <v/>
      </c>
      <c r="AH273" s="18" t="str">
        <f t="shared" si="66"/>
        <v/>
      </c>
      <c r="AI273" s="18" t="str">
        <f t="shared" si="67"/>
        <v/>
      </c>
      <c r="AJ273" s="18" t="str">
        <f t="shared" ca="1" si="68"/>
        <v/>
      </c>
    </row>
    <row r="274" spans="1:36">
      <c r="A274" s="18">
        <v>271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8" t="str">
        <f t="shared" ca="1" si="56"/>
        <v/>
      </c>
      <c r="U274" s="18">
        <f t="shared" ca="1" si="69"/>
        <v>0</v>
      </c>
      <c r="V274" s="18" t="str">
        <f t="shared" si="57"/>
        <v/>
      </c>
      <c r="W274" s="18" t="str">
        <f t="shared" si="58"/>
        <v/>
      </c>
      <c r="X274" s="18" t="str">
        <f t="shared" si="59"/>
        <v/>
      </c>
      <c r="Y274" s="19" t="str">
        <f>IF(OR(L274="",V274=""),"",IFERROR(INDEX(لیست‌ها!$Q$3:$Q$53,MATCH(V274,لیست‌ها!$P$3:$P$53,0))+IF(W274&lt;=6,(W274-1)*31+X274,IF(W274&lt;=11,186+(W274-7)*30+X274,336+X274))-1,""))</f>
        <v/>
      </c>
      <c r="Z274" s="18" t="str">
        <f t="shared" si="60"/>
        <v/>
      </c>
      <c r="AA274" s="18" t="str">
        <f t="shared" si="61"/>
        <v/>
      </c>
      <c r="AB274" s="18" t="str">
        <f t="shared" si="62"/>
        <v/>
      </c>
      <c r="AC274" s="18" t="str">
        <f>IF(OR(H274="",Z274=""),"",IFERROR(INDEX(لیست‌ها!$Q$3:$Q$53,MATCH(Z274,لیست‌ها!$P$3:$P$53,0))+IF(AA274&lt;=6,(AA274-1)*31+AB274,IF(AA274&lt;=11,186+(AA274-7)*30+AB274,336+AB274))-1,""))</f>
        <v/>
      </c>
      <c r="AD274" s="18" t="str">
        <f t="shared" si="63"/>
        <v/>
      </c>
      <c r="AE274" s="18" t="str">
        <f t="shared" si="64"/>
        <v/>
      </c>
      <c r="AF274" s="18" t="str">
        <f t="shared" si="65"/>
        <v/>
      </c>
      <c r="AG274" s="18" t="str">
        <f>IF(OR(O274="",AD274=""),"",IFERROR(INDEX(لیست‌ها!$Q$3:$Q$53,MATCH(AD274,لیست‌ها!$P$3:$P$53,0))+IF(AE274&lt;=6,(AE274-1)*31+AF274,IF(AE274&lt;=11,186+(AE274-7)*30+AF274,336+AF274))-1,""))</f>
        <v/>
      </c>
      <c r="AH274" s="18" t="str">
        <f t="shared" si="66"/>
        <v/>
      </c>
      <c r="AI274" s="18" t="str">
        <f t="shared" si="67"/>
        <v/>
      </c>
      <c r="AJ274" s="18" t="str">
        <f t="shared" ca="1" si="68"/>
        <v/>
      </c>
    </row>
    <row r="275" spans="1:36">
      <c r="A275" s="18">
        <v>272</v>
      </c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8" t="str">
        <f t="shared" ca="1" si="56"/>
        <v/>
      </c>
      <c r="U275" s="18">
        <f t="shared" ca="1" si="69"/>
        <v>0</v>
      </c>
      <c r="V275" s="18" t="str">
        <f t="shared" si="57"/>
        <v/>
      </c>
      <c r="W275" s="18" t="str">
        <f t="shared" si="58"/>
        <v/>
      </c>
      <c r="X275" s="18" t="str">
        <f t="shared" si="59"/>
        <v/>
      </c>
      <c r="Y275" s="19" t="str">
        <f>IF(OR(L275="",V275=""),"",IFERROR(INDEX(لیست‌ها!$Q$3:$Q$53,MATCH(V275,لیست‌ها!$P$3:$P$53,0))+IF(W275&lt;=6,(W275-1)*31+X275,IF(W275&lt;=11,186+(W275-7)*30+X275,336+X275))-1,""))</f>
        <v/>
      </c>
      <c r="Z275" s="18" t="str">
        <f t="shared" si="60"/>
        <v/>
      </c>
      <c r="AA275" s="18" t="str">
        <f t="shared" si="61"/>
        <v/>
      </c>
      <c r="AB275" s="18" t="str">
        <f t="shared" si="62"/>
        <v/>
      </c>
      <c r="AC275" s="18" t="str">
        <f>IF(OR(H275="",Z275=""),"",IFERROR(INDEX(لیست‌ها!$Q$3:$Q$53,MATCH(Z275,لیست‌ها!$P$3:$P$53,0))+IF(AA275&lt;=6,(AA275-1)*31+AB275,IF(AA275&lt;=11,186+(AA275-7)*30+AB275,336+AB275))-1,""))</f>
        <v/>
      </c>
      <c r="AD275" s="18" t="str">
        <f t="shared" si="63"/>
        <v/>
      </c>
      <c r="AE275" s="18" t="str">
        <f t="shared" si="64"/>
        <v/>
      </c>
      <c r="AF275" s="18" t="str">
        <f t="shared" si="65"/>
        <v/>
      </c>
      <c r="AG275" s="18" t="str">
        <f>IF(OR(O275="",AD275=""),"",IFERROR(INDEX(لیست‌ها!$Q$3:$Q$53,MATCH(AD275,لیست‌ها!$P$3:$P$53,0))+IF(AE275&lt;=6,(AE275-1)*31+AF275,IF(AE275&lt;=11,186+(AE275-7)*30+AF275,336+AF275))-1,""))</f>
        <v/>
      </c>
      <c r="AH275" s="18" t="str">
        <f t="shared" si="66"/>
        <v/>
      </c>
      <c r="AI275" s="18" t="str">
        <f t="shared" si="67"/>
        <v/>
      </c>
      <c r="AJ275" s="18" t="str">
        <f t="shared" ca="1" si="68"/>
        <v/>
      </c>
    </row>
    <row r="276" spans="1:36">
      <c r="A276" s="18">
        <v>273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8" t="str">
        <f t="shared" ca="1" si="56"/>
        <v/>
      </c>
      <c r="U276" s="18">
        <f t="shared" ca="1" si="69"/>
        <v>0</v>
      </c>
      <c r="V276" s="18" t="str">
        <f t="shared" si="57"/>
        <v/>
      </c>
      <c r="W276" s="18" t="str">
        <f t="shared" si="58"/>
        <v/>
      </c>
      <c r="X276" s="18" t="str">
        <f t="shared" si="59"/>
        <v/>
      </c>
      <c r="Y276" s="19" t="str">
        <f>IF(OR(L276="",V276=""),"",IFERROR(INDEX(لیست‌ها!$Q$3:$Q$53,MATCH(V276,لیست‌ها!$P$3:$P$53,0))+IF(W276&lt;=6,(W276-1)*31+X276,IF(W276&lt;=11,186+(W276-7)*30+X276,336+X276))-1,""))</f>
        <v/>
      </c>
      <c r="Z276" s="18" t="str">
        <f t="shared" si="60"/>
        <v/>
      </c>
      <c r="AA276" s="18" t="str">
        <f t="shared" si="61"/>
        <v/>
      </c>
      <c r="AB276" s="18" t="str">
        <f t="shared" si="62"/>
        <v/>
      </c>
      <c r="AC276" s="18" t="str">
        <f>IF(OR(H276="",Z276=""),"",IFERROR(INDEX(لیست‌ها!$Q$3:$Q$53,MATCH(Z276,لیست‌ها!$P$3:$P$53,0))+IF(AA276&lt;=6,(AA276-1)*31+AB276,IF(AA276&lt;=11,186+(AA276-7)*30+AB276,336+AB276))-1,""))</f>
        <v/>
      </c>
      <c r="AD276" s="18" t="str">
        <f t="shared" si="63"/>
        <v/>
      </c>
      <c r="AE276" s="18" t="str">
        <f t="shared" si="64"/>
        <v/>
      </c>
      <c r="AF276" s="18" t="str">
        <f t="shared" si="65"/>
        <v/>
      </c>
      <c r="AG276" s="18" t="str">
        <f>IF(OR(O276="",AD276=""),"",IFERROR(INDEX(لیست‌ها!$Q$3:$Q$53,MATCH(AD276,لیست‌ها!$P$3:$P$53,0))+IF(AE276&lt;=6,(AE276-1)*31+AF276,IF(AE276&lt;=11,186+(AE276-7)*30+AF276,336+AF276))-1,""))</f>
        <v/>
      </c>
      <c r="AH276" s="18" t="str">
        <f t="shared" si="66"/>
        <v/>
      </c>
      <c r="AI276" s="18" t="str">
        <f t="shared" si="67"/>
        <v/>
      </c>
      <c r="AJ276" s="18" t="str">
        <f t="shared" ca="1" si="68"/>
        <v/>
      </c>
    </row>
    <row r="277" spans="1:36">
      <c r="A277" s="18">
        <v>274</v>
      </c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8" t="str">
        <f t="shared" ca="1" si="56"/>
        <v/>
      </c>
      <c r="U277" s="18">
        <f t="shared" ca="1" si="69"/>
        <v>0</v>
      </c>
      <c r="V277" s="18" t="str">
        <f t="shared" si="57"/>
        <v/>
      </c>
      <c r="W277" s="18" t="str">
        <f t="shared" si="58"/>
        <v/>
      </c>
      <c r="X277" s="18" t="str">
        <f t="shared" si="59"/>
        <v/>
      </c>
      <c r="Y277" s="19" t="str">
        <f>IF(OR(L277="",V277=""),"",IFERROR(INDEX(لیست‌ها!$Q$3:$Q$53,MATCH(V277,لیست‌ها!$P$3:$P$53,0))+IF(W277&lt;=6,(W277-1)*31+X277,IF(W277&lt;=11,186+(W277-7)*30+X277,336+X277))-1,""))</f>
        <v/>
      </c>
      <c r="Z277" s="18" t="str">
        <f t="shared" si="60"/>
        <v/>
      </c>
      <c r="AA277" s="18" t="str">
        <f t="shared" si="61"/>
        <v/>
      </c>
      <c r="AB277" s="18" t="str">
        <f t="shared" si="62"/>
        <v/>
      </c>
      <c r="AC277" s="19" t="str">
        <f>IF(OR(H277="",Z277=""),"",IFERROR(INDEX(لیست‌ها!$Q$3:$Q$53,MATCH(Z277,لیست‌ها!$P$3:$P$53,0))+IF(AA277&lt;=6,(AA277-1)*31+AB277,IF(AA277&lt;=11,186+(AA277-7)*30+AB277,336+AB277))-1,""))</f>
        <v/>
      </c>
      <c r="AD277" s="18" t="str">
        <f t="shared" si="63"/>
        <v/>
      </c>
      <c r="AE277" s="18" t="str">
        <f t="shared" si="64"/>
        <v/>
      </c>
      <c r="AF277" s="18" t="str">
        <f t="shared" si="65"/>
        <v/>
      </c>
      <c r="AG277" s="18" t="str">
        <f>IF(OR(O277="",AD277=""),"",IFERROR(INDEX(لیست‌ها!$Q$3:$Q$53,MATCH(AD277,لیست‌ها!$P$3:$P$53,0))+IF(AE277&lt;=6,(AE277-1)*31+AF277,IF(AE277&lt;=11,186+(AE277-7)*30+AF277,336+AF277))-1,""))</f>
        <v/>
      </c>
      <c r="AH277" s="18" t="str">
        <f t="shared" si="66"/>
        <v/>
      </c>
      <c r="AI277" s="18" t="str">
        <f t="shared" si="67"/>
        <v/>
      </c>
      <c r="AJ277" s="18" t="str">
        <f t="shared" ca="1" si="68"/>
        <v/>
      </c>
    </row>
    <row r="278" spans="1:36">
      <c r="A278" s="18">
        <v>275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8" t="str">
        <f t="shared" ca="1" si="56"/>
        <v/>
      </c>
      <c r="U278" s="18">
        <f t="shared" ca="1" si="69"/>
        <v>0</v>
      </c>
      <c r="V278" s="18" t="str">
        <f t="shared" si="57"/>
        <v/>
      </c>
      <c r="W278" s="18" t="str">
        <f t="shared" si="58"/>
        <v/>
      </c>
      <c r="X278" s="18" t="str">
        <f t="shared" si="59"/>
        <v/>
      </c>
      <c r="Y278" s="19" t="str">
        <f>IF(OR(L278="",V278=""),"",IFERROR(INDEX(لیست‌ها!$Q$3:$Q$53,MATCH(V278,لیست‌ها!$P$3:$P$53,0))+IF(W278&lt;=6,(W278-1)*31+X278,IF(W278&lt;=11,186+(W278-7)*30+X278,336+X278))-1,""))</f>
        <v/>
      </c>
      <c r="Z278" s="18" t="str">
        <f t="shared" si="60"/>
        <v/>
      </c>
      <c r="AA278" s="18" t="str">
        <f t="shared" si="61"/>
        <v/>
      </c>
      <c r="AB278" s="18" t="str">
        <f t="shared" si="62"/>
        <v/>
      </c>
      <c r="AC278" s="18" t="str">
        <f>IF(OR(H278="",Z278=""),"",IFERROR(INDEX(لیست‌ها!$Q$3:$Q$53,MATCH(Z278,لیست‌ها!$P$3:$P$53,0))+IF(AA278&lt;=6,(AA278-1)*31+AB278,IF(AA278&lt;=11,186+(AA278-7)*30+AB278,336+AB278))-1,""))</f>
        <v/>
      </c>
      <c r="AD278" s="18" t="str">
        <f t="shared" si="63"/>
        <v/>
      </c>
      <c r="AE278" s="18" t="str">
        <f t="shared" si="64"/>
        <v/>
      </c>
      <c r="AF278" s="18" t="str">
        <f t="shared" si="65"/>
        <v/>
      </c>
      <c r="AG278" s="18" t="str">
        <f>IF(OR(O278="",AD278=""),"",IFERROR(INDEX(لیست‌ها!$Q$3:$Q$53,MATCH(AD278,لیست‌ها!$P$3:$P$53,0))+IF(AE278&lt;=6,(AE278-1)*31+AF278,IF(AE278&lt;=11,186+(AE278-7)*30+AF278,336+AF278))-1,""))</f>
        <v/>
      </c>
      <c r="AH278" s="18" t="str">
        <f t="shared" si="66"/>
        <v/>
      </c>
      <c r="AI278" s="18" t="str">
        <f t="shared" si="67"/>
        <v/>
      </c>
      <c r="AJ278" s="18" t="str">
        <f t="shared" ca="1" si="68"/>
        <v/>
      </c>
    </row>
    <row r="279" spans="1:36">
      <c r="A279" s="18">
        <v>276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8" t="str">
        <f t="shared" ca="1" si="56"/>
        <v/>
      </c>
      <c r="U279" s="18">
        <f t="shared" ca="1" si="69"/>
        <v>0</v>
      </c>
      <c r="V279" s="18" t="str">
        <f t="shared" si="57"/>
        <v/>
      </c>
      <c r="W279" s="18" t="str">
        <f t="shared" si="58"/>
        <v/>
      </c>
      <c r="X279" s="18" t="str">
        <f t="shared" si="59"/>
        <v/>
      </c>
      <c r="Y279" s="19" t="str">
        <f>IF(OR(L279="",V279=""),"",IFERROR(INDEX(لیست‌ها!$Q$3:$Q$53,MATCH(V279,لیست‌ها!$P$3:$P$53,0))+IF(W279&lt;=6,(W279-1)*31+X279,IF(W279&lt;=11,186+(W279-7)*30+X279,336+X279))-1,""))</f>
        <v/>
      </c>
      <c r="Z279" s="18" t="str">
        <f t="shared" si="60"/>
        <v/>
      </c>
      <c r="AA279" s="18" t="str">
        <f t="shared" si="61"/>
        <v/>
      </c>
      <c r="AB279" s="18" t="str">
        <f t="shared" si="62"/>
        <v/>
      </c>
      <c r="AC279" s="18" t="str">
        <f>IF(OR(H279="",Z279=""),"",IFERROR(INDEX(لیست‌ها!$Q$3:$Q$53,MATCH(Z279,لیست‌ها!$P$3:$P$53,0))+IF(AA279&lt;=6,(AA279-1)*31+AB279,IF(AA279&lt;=11,186+(AA279-7)*30+AB279,336+AB279))-1,""))</f>
        <v/>
      </c>
      <c r="AD279" s="18" t="str">
        <f t="shared" si="63"/>
        <v/>
      </c>
      <c r="AE279" s="18" t="str">
        <f t="shared" si="64"/>
        <v/>
      </c>
      <c r="AF279" s="18" t="str">
        <f t="shared" si="65"/>
        <v/>
      </c>
      <c r="AG279" s="18" t="str">
        <f>IF(OR(O279="",AD279=""),"",IFERROR(INDEX(لیست‌ها!$Q$3:$Q$53,MATCH(AD279,لیست‌ها!$P$3:$P$53,0))+IF(AE279&lt;=6,(AE279-1)*31+AF279,IF(AE279&lt;=11,186+(AE279-7)*30+AF279,336+AF279))-1,""))</f>
        <v/>
      </c>
      <c r="AH279" s="18" t="str">
        <f t="shared" si="66"/>
        <v/>
      </c>
      <c r="AI279" s="18" t="str">
        <f t="shared" si="67"/>
        <v/>
      </c>
      <c r="AJ279" s="18" t="str">
        <f t="shared" ca="1" si="68"/>
        <v/>
      </c>
    </row>
    <row r="280" spans="1:36">
      <c r="A280" s="18">
        <v>277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8" t="str">
        <f t="shared" ca="1" si="56"/>
        <v/>
      </c>
      <c r="U280" s="18">
        <f t="shared" ca="1" si="69"/>
        <v>0</v>
      </c>
      <c r="V280" s="18" t="str">
        <f t="shared" si="57"/>
        <v/>
      </c>
      <c r="W280" s="18" t="str">
        <f t="shared" si="58"/>
        <v/>
      </c>
      <c r="X280" s="18" t="str">
        <f t="shared" si="59"/>
        <v/>
      </c>
      <c r="Y280" s="19" t="str">
        <f>IF(OR(L280="",V280=""),"",IFERROR(INDEX(لیست‌ها!$Q$3:$Q$53,MATCH(V280,لیست‌ها!$P$3:$P$53,0))+IF(W280&lt;=6,(W280-1)*31+X280,IF(W280&lt;=11,186+(W280-7)*30+X280,336+X280))-1,""))</f>
        <v/>
      </c>
      <c r="Z280" s="18" t="str">
        <f t="shared" si="60"/>
        <v/>
      </c>
      <c r="AA280" s="18" t="str">
        <f t="shared" si="61"/>
        <v/>
      </c>
      <c r="AB280" s="18" t="str">
        <f t="shared" si="62"/>
        <v/>
      </c>
      <c r="AC280" s="18" t="str">
        <f>IF(OR(H280="",Z280=""),"",IFERROR(INDEX(لیست‌ها!$Q$3:$Q$53,MATCH(Z280,لیست‌ها!$P$3:$P$53,0))+IF(AA280&lt;=6,(AA280-1)*31+AB280,IF(AA280&lt;=11,186+(AA280-7)*30+AB280,336+AB280))-1,""))</f>
        <v/>
      </c>
      <c r="AD280" s="18" t="str">
        <f t="shared" si="63"/>
        <v/>
      </c>
      <c r="AE280" s="18" t="str">
        <f t="shared" si="64"/>
        <v/>
      </c>
      <c r="AF280" s="18" t="str">
        <f t="shared" si="65"/>
        <v/>
      </c>
      <c r="AG280" s="18" t="str">
        <f>IF(OR(O280="",AD280=""),"",IFERROR(INDEX(لیست‌ها!$Q$3:$Q$53,MATCH(AD280,لیست‌ها!$P$3:$P$53,0))+IF(AE280&lt;=6,(AE280-1)*31+AF280,IF(AE280&lt;=11,186+(AE280-7)*30+AF280,336+AF280))-1,""))</f>
        <v/>
      </c>
      <c r="AH280" s="18" t="str">
        <f t="shared" si="66"/>
        <v/>
      </c>
      <c r="AI280" s="18" t="str">
        <f t="shared" si="67"/>
        <v/>
      </c>
      <c r="AJ280" s="18" t="str">
        <f t="shared" ca="1" si="68"/>
        <v/>
      </c>
    </row>
    <row r="281" spans="1:36">
      <c r="A281" s="18">
        <v>278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8" t="str">
        <f t="shared" ca="1" si="56"/>
        <v/>
      </c>
      <c r="U281" s="18">
        <f t="shared" ca="1" si="69"/>
        <v>0</v>
      </c>
      <c r="V281" s="18" t="str">
        <f t="shared" si="57"/>
        <v/>
      </c>
      <c r="W281" s="18" t="str">
        <f t="shared" si="58"/>
        <v/>
      </c>
      <c r="X281" s="18" t="str">
        <f t="shared" si="59"/>
        <v/>
      </c>
      <c r="Y281" s="19" t="str">
        <f>IF(OR(L281="",V281=""),"",IFERROR(INDEX(لیست‌ها!$Q$3:$Q$53,MATCH(V281,لیست‌ها!$P$3:$P$53,0))+IF(W281&lt;=6,(W281-1)*31+X281,IF(W281&lt;=11,186+(W281-7)*30+X281,336+X281))-1,""))</f>
        <v/>
      </c>
      <c r="Z281" s="18" t="str">
        <f t="shared" si="60"/>
        <v/>
      </c>
      <c r="AA281" s="18" t="str">
        <f t="shared" si="61"/>
        <v/>
      </c>
      <c r="AB281" s="18" t="str">
        <f t="shared" si="62"/>
        <v/>
      </c>
      <c r="AC281" s="19" t="str">
        <f>IF(OR(H281="",Z281=""),"",IFERROR(INDEX(لیست‌ها!$Q$3:$Q$53,MATCH(Z281,لیست‌ها!$P$3:$P$53,0))+IF(AA281&lt;=6,(AA281-1)*31+AB281,IF(AA281&lt;=11,186+(AA281-7)*30+AB281,336+AB281))-1,""))</f>
        <v/>
      </c>
      <c r="AD281" s="18" t="str">
        <f t="shared" si="63"/>
        <v/>
      </c>
      <c r="AE281" s="18" t="str">
        <f t="shared" si="64"/>
        <v/>
      </c>
      <c r="AF281" s="18" t="str">
        <f t="shared" si="65"/>
        <v/>
      </c>
      <c r="AG281" s="18" t="str">
        <f>IF(OR(O281="",AD281=""),"",IFERROR(INDEX(لیست‌ها!$Q$3:$Q$53,MATCH(AD281,لیست‌ها!$P$3:$P$53,0))+IF(AE281&lt;=6,(AE281-1)*31+AF281,IF(AE281&lt;=11,186+(AE281-7)*30+AF281,336+AF281))-1,""))</f>
        <v/>
      </c>
      <c r="AH281" s="18" t="str">
        <f t="shared" si="66"/>
        <v/>
      </c>
      <c r="AI281" s="18" t="str">
        <f t="shared" si="67"/>
        <v/>
      </c>
      <c r="AJ281" s="18" t="str">
        <f t="shared" ca="1" si="68"/>
        <v/>
      </c>
    </row>
    <row r="282" spans="1:36">
      <c r="A282" s="18">
        <v>279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8" t="str">
        <f t="shared" ca="1" si="56"/>
        <v/>
      </c>
      <c r="U282" s="18">
        <f t="shared" ca="1" si="69"/>
        <v>0</v>
      </c>
      <c r="V282" s="18" t="str">
        <f t="shared" si="57"/>
        <v/>
      </c>
      <c r="W282" s="18" t="str">
        <f t="shared" si="58"/>
        <v/>
      </c>
      <c r="X282" s="18" t="str">
        <f t="shared" si="59"/>
        <v/>
      </c>
      <c r="Y282" s="19" t="str">
        <f>IF(OR(L282="",V282=""),"",IFERROR(INDEX(لیست‌ها!$Q$3:$Q$53,MATCH(V282,لیست‌ها!$P$3:$P$53,0))+IF(W282&lt;=6,(W282-1)*31+X282,IF(W282&lt;=11,186+(W282-7)*30+X282,336+X282))-1,""))</f>
        <v/>
      </c>
      <c r="Z282" s="18" t="str">
        <f t="shared" si="60"/>
        <v/>
      </c>
      <c r="AA282" s="18" t="str">
        <f t="shared" si="61"/>
        <v/>
      </c>
      <c r="AB282" s="18" t="str">
        <f t="shared" si="62"/>
        <v/>
      </c>
      <c r="AC282" s="19" t="str">
        <f>IF(OR(H282="",Z282=""),"",IFERROR(INDEX(لیست‌ها!$Q$3:$Q$53,MATCH(Z282,لیست‌ها!$P$3:$P$53,0))+IF(AA282&lt;=6,(AA282-1)*31+AB282,IF(AA282&lt;=11,186+(AA282-7)*30+AB282,336+AB282))-1,""))</f>
        <v/>
      </c>
      <c r="AD282" s="18" t="str">
        <f t="shared" si="63"/>
        <v/>
      </c>
      <c r="AE282" s="18" t="str">
        <f t="shared" si="64"/>
        <v/>
      </c>
      <c r="AF282" s="18" t="str">
        <f t="shared" si="65"/>
        <v/>
      </c>
      <c r="AG282" s="18" t="str">
        <f>IF(OR(O282="",AD282=""),"",IFERROR(INDEX(لیست‌ها!$Q$3:$Q$53,MATCH(AD282,لیست‌ها!$P$3:$P$53,0))+IF(AE282&lt;=6,(AE282-1)*31+AF282,IF(AE282&lt;=11,186+(AE282-7)*30+AF282,336+AF282))-1,""))</f>
        <v/>
      </c>
      <c r="AH282" s="18" t="str">
        <f t="shared" si="66"/>
        <v/>
      </c>
      <c r="AI282" s="18" t="str">
        <f t="shared" si="67"/>
        <v/>
      </c>
      <c r="AJ282" s="18" t="str">
        <f t="shared" ca="1" si="68"/>
        <v/>
      </c>
    </row>
    <row r="283" spans="1:36">
      <c r="A283" s="18">
        <v>280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8" t="str">
        <f t="shared" ca="1" si="56"/>
        <v/>
      </c>
      <c r="U283" s="18">
        <f t="shared" ca="1" si="69"/>
        <v>0</v>
      </c>
      <c r="V283" s="18" t="str">
        <f t="shared" si="57"/>
        <v/>
      </c>
      <c r="W283" s="18" t="str">
        <f t="shared" si="58"/>
        <v/>
      </c>
      <c r="X283" s="18" t="str">
        <f t="shared" si="59"/>
        <v/>
      </c>
      <c r="Y283" s="19" t="str">
        <f>IF(OR(L283="",V283=""),"",IFERROR(INDEX(لیست‌ها!$Q$3:$Q$53,MATCH(V283,لیست‌ها!$P$3:$P$53,0))+IF(W283&lt;=6,(W283-1)*31+X283,IF(W283&lt;=11,186+(W283-7)*30+X283,336+X283))-1,""))</f>
        <v/>
      </c>
      <c r="Z283" s="18" t="str">
        <f t="shared" si="60"/>
        <v/>
      </c>
      <c r="AA283" s="18" t="str">
        <f t="shared" si="61"/>
        <v/>
      </c>
      <c r="AB283" s="18" t="str">
        <f t="shared" si="62"/>
        <v/>
      </c>
      <c r="AC283" s="18" t="str">
        <f>IF(OR(H283="",Z283=""),"",IFERROR(INDEX(لیست‌ها!$Q$3:$Q$53,MATCH(Z283,لیست‌ها!$P$3:$P$53,0))+IF(AA283&lt;=6,(AA283-1)*31+AB283,IF(AA283&lt;=11,186+(AA283-7)*30+AB283,336+AB283))-1,""))</f>
        <v/>
      </c>
      <c r="AD283" s="18" t="str">
        <f t="shared" si="63"/>
        <v/>
      </c>
      <c r="AE283" s="18" t="str">
        <f t="shared" si="64"/>
        <v/>
      </c>
      <c r="AF283" s="18" t="str">
        <f t="shared" si="65"/>
        <v/>
      </c>
      <c r="AG283" s="18" t="str">
        <f>IF(OR(O283="",AD283=""),"",IFERROR(INDEX(لیست‌ها!$Q$3:$Q$53,MATCH(AD283,لیست‌ها!$P$3:$P$53,0))+IF(AE283&lt;=6,(AE283-1)*31+AF283,IF(AE283&lt;=11,186+(AE283-7)*30+AF283,336+AF283))-1,""))</f>
        <v/>
      </c>
      <c r="AH283" s="18" t="str">
        <f t="shared" si="66"/>
        <v/>
      </c>
      <c r="AI283" s="18" t="str">
        <f t="shared" si="67"/>
        <v/>
      </c>
      <c r="AJ283" s="18" t="str">
        <f t="shared" ca="1" si="68"/>
        <v/>
      </c>
    </row>
    <row r="284" spans="1:36">
      <c r="A284" s="18">
        <v>281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8" t="str">
        <f t="shared" ca="1" si="56"/>
        <v/>
      </c>
      <c r="U284" s="18">
        <f t="shared" ca="1" si="69"/>
        <v>0</v>
      </c>
      <c r="V284" s="18" t="str">
        <f t="shared" si="57"/>
        <v/>
      </c>
      <c r="W284" s="18" t="str">
        <f t="shared" si="58"/>
        <v/>
      </c>
      <c r="X284" s="18" t="str">
        <f t="shared" si="59"/>
        <v/>
      </c>
      <c r="Y284" s="19" t="str">
        <f>IF(OR(L284="",V284=""),"",IFERROR(INDEX(لیست‌ها!$Q$3:$Q$53,MATCH(V284,لیست‌ها!$P$3:$P$53,0))+IF(W284&lt;=6,(W284-1)*31+X284,IF(W284&lt;=11,186+(W284-7)*30+X284,336+X284))-1,""))</f>
        <v/>
      </c>
      <c r="Z284" s="18" t="str">
        <f t="shared" si="60"/>
        <v/>
      </c>
      <c r="AA284" s="18" t="str">
        <f t="shared" si="61"/>
        <v/>
      </c>
      <c r="AB284" s="18" t="str">
        <f t="shared" si="62"/>
        <v/>
      </c>
      <c r="AC284" s="19" t="str">
        <f>IF(OR(H284="",Z284=""),"",IFERROR(INDEX(لیست‌ها!$Q$3:$Q$53,MATCH(Z284,لیست‌ها!$P$3:$P$53,0))+IF(AA284&lt;=6,(AA284-1)*31+AB284,IF(AA284&lt;=11,186+(AA284-7)*30+AB284,336+AB284))-1,""))</f>
        <v/>
      </c>
      <c r="AD284" s="18" t="str">
        <f t="shared" si="63"/>
        <v/>
      </c>
      <c r="AE284" s="18" t="str">
        <f t="shared" si="64"/>
        <v/>
      </c>
      <c r="AF284" s="18" t="str">
        <f t="shared" si="65"/>
        <v/>
      </c>
      <c r="AG284" s="18" t="str">
        <f>IF(OR(O284="",AD284=""),"",IFERROR(INDEX(لیست‌ها!$Q$3:$Q$53,MATCH(AD284,لیست‌ها!$P$3:$P$53,0))+IF(AE284&lt;=6,(AE284-1)*31+AF284,IF(AE284&lt;=11,186+(AE284-7)*30+AF284,336+AF284))-1,""))</f>
        <v/>
      </c>
      <c r="AH284" s="18" t="str">
        <f t="shared" si="66"/>
        <v/>
      </c>
      <c r="AI284" s="18" t="str">
        <f t="shared" si="67"/>
        <v/>
      </c>
      <c r="AJ284" s="18" t="str">
        <f t="shared" ca="1" si="68"/>
        <v/>
      </c>
    </row>
    <row r="285" spans="1:36">
      <c r="A285" s="18">
        <v>282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8" t="str">
        <f t="shared" ca="1" si="56"/>
        <v/>
      </c>
      <c r="U285" s="18">
        <f t="shared" ca="1" si="69"/>
        <v>0</v>
      </c>
      <c r="V285" s="18" t="str">
        <f t="shared" si="57"/>
        <v/>
      </c>
      <c r="W285" s="18" t="str">
        <f t="shared" si="58"/>
        <v/>
      </c>
      <c r="X285" s="18" t="str">
        <f t="shared" si="59"/>
        <v/>
      </c>
      <c r="Y285" s="19" t="str">
        <f>IF(OR(L285="",V285=""),"",IFERROR(INDEX(لیست‌ها!$Q$3:$Q$53,MATCH(V285,لیست‌ها!$P$3:$P$53,0))+IF(W285&lt;=6,(W285-1)*31+X285,IF(W285&lt;=11,186+(W285-7)*30+X285,336+X285))-1,""))</f>
        <v/>
      </c>
      <c r="Z285" s="18" t="str">
        <f t="shared" si="60"/>
        <v/>
      </c>
      <c r="AA285" s="18" t="str">
        <f t="shared" si="61"/>
        <v/>
      </c>
      <c r="AB285" s="18" t="str">
        <f t="shared" si="62"/>
        <v/>
      </c>
      <c r="AC285" s="19" t="str">
        <f>IF(OR(H285="",Z285=""),"",IFERROR(INDEX(لیست‌ها!$Q$3:$Q$53,MATCH(Z285,لیست‌ها!$P$3:$P$53,0))+IF(AA285&lt;=6,(AA285-1)*31+AB285,IF(AA285&lt;=11,186+(AA285-7)*30+AB285,336+AB285))-1,""))</f>
        <v/>
      </c>
      <c r="AD285" s="18" t="str">
        <f t="shared" si="63"/>
        <v/>
      </c>
      <c r="AE285" s="18" t="str">
        <f t="shared" si="64"/>
        <v/>
      </c>
      <c r="AF285" s="18" t="str">
        <f t="shared" si="65"/>
        <v/>
      </c>
      <c r="AG285" s="18" t="str">
        <f>IF(OR(O285="",AD285=""),"",IFERROR(INDEX(لیست‌ها!$Q$3:$Q$53,MATCH(AD285,لیست‌ها!$P$3:$P$53,0))+IF(AE285&lt;=6,(AE285-1)*31+AF285,IF(AE285&lt;=11,186+(AE285-7)*30+AF285,336+AF285))-1,""))</f>
        <v/>
      </c>
      <c r="AH285" s="18" t="str">
        <f t="shared" si="66"/>
        <v/>
      </c>
      <c r="AI285" s="18" t="str">
        <f t="shared" si="67"/>
        <v/>
      </c>
      <c r="AJ285" s="18" t="str">
        <f t="shared" ca="1" si="68"/>
        <v/>
      </c>
    </row>
    <row r="286" spans="1:36">
      <c r="A286" s="18">
        <v>283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8" t="str">
        <f t="shared" ca="1" si="56"/>
        <v/>
      </c>
      <c r="U286" s="18">
        <f t="shared" ca="1" si="69"/>
        <v>0</v>
      </c>
      <c r="V286" s="18" t="str">
        <f t="shared" si="57"/>
        <v/>
      </c>
      <c r="W286" s="18" t="str">
        <f t="shared" si="58"/>
        <v/>
      </c>
      <c r="X286" s="18" t="str">
        <f t="shared" si="59"/>
        <v/>
      </c>
      <c r="Y286" s="19" t="str">
        <f>IF(OR(L286="",V286=""),"",IFERROR(INDEX(لیست‌ها!$Q$3:$Q$53,MATCH(V286,لیست‌ها!$P$3:$P$53,0))+IF(W286&lt;=6,(W286-1)*31+X286,IF(W286&lt;=11,186+(W286-7)*30+X286,336+X286))-1,""))</f>
        <v/>
      </c>
      <c r="Z286" s="18" t="str">
        <f t="shared" si="60"/>
        <v/>
      </c>
      <c r="AA286" s="18" t="str">
        <f t="shared" si="61"/>
        <v/>
      </c>
      <c r="AB286" s="18" t="str">
        <f t="shared" si="62"/>
        <v/>
      </c>
      <c r="AC286" s="19" t="str">
        <f>IF(OR(H286="",Z286=""),"",IFERROR(INDEX(لیست‌ها!$Q$3:$Q$53,MATCH(Z286,لیست‌ها!$P$3:$P$53,0))+IF(AA286&lt;=6,(AA286-1)*31+AB286,IF(AA286&lt;=11,186+(AA286-7)*30+AB286,336+AB286))-1,""))</f>
        <v/>
      </c>
      <c r="AD286" s="18" t="str">
        <f t="shared" si="63"/>
        <v/>
      </c>
      <c r="AE286" s="18" t="str">
        <f t="shared" si="64"/>
        <v/>
      </c>
      <c r="AF286" s="18" t="str">
        <f t="shared" si="65"/>
        <v/>
      </c>
      <c r="AG286" s="18" t="str">
        <f>IF(OR(O286="",AD286=""),"",IFERROR(INDEX(لیست‌ها!$Q$3:$Q$53,MATCH(AD286,لیست‌ها!$P$3:$P$53,0))+IF(AE286&lt;=6,(AE286-1)*31+AF286,IF(AE286&lt;=11,186+(AE286-7)*30+AF286,336+AF286))-1,""))</f>
        <v/>
      </c>
      <c r="AH286" s="18" t="str">
        <f t="shared" si="66"/>
        <v/>
      </c>
      <c r="AI286" s="18" t="str">
        <f t="shared" si="67"/>
        <v/>
      </c>
      <c r="AJ286" s="18" t="str">
        <f t="shared" ca="1" si="68"/>
        <v/>
      </c>
    </row>
    <row r="287" spans="1:36">
      <c r="A287" s="18">
        <v>284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8" t="str">
        <f t="shared" ca="1" si="56"/>
        <v/>
      </c>
      <c r="U287" s="18">
        <f t="shared" ca="1" si="69"/>
        <v>0</v>
      </c>
      <c r="V287" s="18" t="str">
        <f t="shared" si="57"/>
        <v/>
      </c>
      <c r="W287" s="18" t="str">
        <f t="shared" si="58"/>
        <v/>
      </c>
      <c r="X287" s="18" t="str">
        <f t="shared" si="59"/>
        <v/>
      </c>
      <c r="Y287" s="19" t="str">
        <f>IF(OR(L287="",V287=""),"",IFERROR(INDEX(لیست‌ها!$Q$3:$Q$53,MATCH(V287,لیست‌ها!$P$3:$P$53,0))+IF(W287&lt;=6,(W287-1)*31+X287,IF(W287&lt;=11,186+(W287-7)*30+X287,336+X287))-1,""))</f>
        <v/>
      </c>
      <c r="Z287" s="18" t="str">
        <f t="shared" si="60"/>
        <v/>
      </c>
      <c r="AA287" s="18" t="str">
        <f t="shared" si="61"/>
        <v/>
      </c>
      <c r="AB287" s="18" t="str">
        <f t="shared" si="62"/>
        <v/>
      </c>
      <c r="AC287" s="18" t="str">
        <f>IF(OR(H287="",Z287=""),"",IFERROR(INDEX(لیست‌ها!$Q$3:$Q$53,MATCH(Z287,لیست‌ها!$P$3:$P$53,0))+IF(AA287&lt;=6,(AA287-1)*31+AB287,IF(AA287&lt;=11,186+(AA287-7)*30+AB287,336+AB287))-1,""))</f>
        <v/>
      </c>
      <c r="AD287" s="18" t="str">
        <f t="shared" si="63"/>
        <v/>
      </c>
      <c r="AE287" s="18" t="str">
        <f t="shared" si="64"/>
        <v/>
      </c>
      <c r="AF287" s="18" t="str">
        <f t="shared" si="65"/>
        <v/>
      </c>
      <c r="AG287" s="18" t="str">
        <f>IF(OR(O287="",AD287=""),"",IFERROR(INDEX(لیست‌ها!$Q$3:$Q$53,MATCH(AD287,لیست‌ها!$P$3:$P$53,0))+IF(AE287&lt;=6,(AE287-1)*31+AF287,IF(AE287&lt;=11,186+(AE287-7)*30+AF287,336+AF287))-1,""))</f>
        <v/>
      </c>
      <c r="AH287" s="18" t="str">
        <f t="shared" si="66"/>
        <v/>
      </c>
      <c r="AI287" s="18" t="str">
        <f t="shared" si="67"/>
        <v/>
      </c>
      <c r="AJ287" s="18" t="str">
        <f t="shared" ca="1" si="68"/>
        <v/>
      </c>
    </row>
    <row r="288" spans="1:36">
      <c r="A288" s="18">
        <v>285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8" t="str">
        <f t="shared" ca="1" si="56"/>
        <v/>
      </c>
      <c r="U288" s="18">
        <f t="shared" ca="1" si="69"/>
        <v>0</v>
      </c>
      <c r="V288" s="18" t="str">
        <f t="shared" si="57"/>
        <v/>
      </c>
      <c r="W288" s="18" t="str">
        <f t="shared" si="58"/>
        <v/>
      </c>
      <c r="X288" s="18" t="str">
        <f t="shared" si="59"/>
        <v/>
      </c>
      <c r="Y288" s="19" t="str">
        <f>IF(OR(L288="",V288=""),"",IFERROR(INDEX(لیست‌ها!$Q$3:$Q$53,MATCH(V288,لیست‌ها!$P$3:$P$53,0))+IF(W288&lt;=6,(W288-1)*31+X288,IF(W288&lt;=11,186+(W288-7)*30+X288,336+X288))-1,""))</f>
        <v/>
      </c>
      <c r="Z288" s="18" t="str">
        <f t="shared" si="60"/>
        <v/>
      </c>
      <c r="AA288" s="18" t="str">
        <f t="shared" si="61"/>
        <v/>
      </c>
      <c r="AB288" s="18" t="str">
        <f t="shared" si="62"/>
        <v/>
      </c>
      <c r="AC288" s="18" t="str">
        <f>IF(OR(H288="",Z288=""),"",IFERROR(INDEX(لیست‌ها!$Q$3:$Q$53,MATCH(Z288,لیست‌ها!$P$3:$P$53,0))+IF(AA288&lt;=6,(AA288-1)*31+AB288,IF(AA288&lt;=11,186+(AA288-7)*30+AB288,336+AB288))-1,""))</f>
        <v/>
      </c>
      <c r="AD288" s="18" t="str">
        <f t="shared" si="63"/>
        <v/>
      </c>
      <c r="AE288" s="18" t="str">
        <f t="shared" si="64"/>
        <v/>
      </c>
      <c r="AF288" s="18" t="str">
        <f t="shared" si="65"/>
        <v/>
      </c>
      <c r="AG288" s="18" t="str">
        <f>IF(OR(O288="",AD288=""),"",IFERROR(INDEX(لیست‌ها!$Q$3:$Q$53,MATCH(AD288,لیست‌ها!$P$3:$P$53,0))+IF(AE288&lt;=6,(AE288-1)*31+AF288,IF(AE288&lt;=11,186+(AE288-7)*30+AF288,336+AF288))-1,""))</f>
        <v/>
      </c>
      <c r="AH288" s="18" t="str">
        <f t="shared" si="66"/>
        <v/>
      </c>
      <c r="AI288" s="18" t="str">
        <f t="shared" si="67"/>
        <v/>
      </c>
      <c r="AJ288" s="18" t="str">
        <f t="shared" ca="1" si="68"/>
        <v/>
      </c>
    </row>
    <row r="289" spans="1:36">
      <c r="A289" s="18">
        <v>286</v>
      </c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8" t="str">
        <f t="shared" ca="1" si="56"/>
        <v/>
      </c>
      <c r="U289" s="18">
        <f t="shared" ca="1" si="69"/>
        <v>0</v>
      </c>
      <c r="V289" s="18" t="str">
        <f t="shared" si="57"/>
        <v/>
      </c>
      <c r="W289" s="18" t="str">
        <f t="shared" si="58"/>
        <v/>
      </c>
      <c r="X289" s="18" t="str">
        <f t="shared" si="59"/>
        <v/>
      </c>
      <c r="Y289" s="19" t="str">
        <f>IF(OR(L289="",V289=""),"",IFERROR(INDEX(لیست‌ها!$Q$3:$Q$53,MATCH(V289,لیست‌ها!$P$3:$P$53,0))+IF(W289&lt;=6,(W289-1)*31+X289,IF(W289&lt;=11,186+(W289-7)*30+X289,336+X289))-1,""))</f>
        <v/>
      </c>
      <c r="Z289" s="18" t="str">
        <f t="shared" si="60"/>
        <v/>
      </c>
      <c r="AA289" s="18" t="str">
        <f t="shared" si="61"/>
        <v/>
      </c>
      <c r="AB289" s="18" t="str">
        <f t="shared" si="62"/>
        <v/>
      </c>
      <c r="AC289" s="18" t="str">
        <f>IF(OR(H289="",Z289=""),"",IFERROR(INDEX(لیست‌ها!$Q$3:$Q$53,MATCH(Z289,لیست‌ها!$P$3:$P$53,0))+IF(AA289&lt;=6,(AA289-1)*31+AB289,IF(AA289&lt;=11,186+(AA289-7)*30+AB289,336+AB289))-1,""))</f>
        <v/>
      </c>
      <c r="AD289" s="18" t="str">
        <f t="shared" si="63"/>
        <v/>
      </c>
      <c r="AE289" s="18" t="str">
        <f t="shared" si="64"/>
        <v/>
      </c>
      <c r="AF289" s="18" t="str">
        <f t="shared" si="65"/>
        <v/>
      </c>
      <c r="AG289" s="18" t="str">
        <f>IF(OR(O289="",AD289=""),"",IFERROR(INDEX(لیست‌ها!$Q$3:$Q$53,MATCH(AD289,لیست‌ها!$P$3:$P$53,0))+IF(AE289&lt;=6,(AE289-1)*31+AF289,IF(AE289&lt;=11,186+(AE289-7)*30+AF289,336+AF289))-1,""))</f>
        <v/>
      </c>
      <c r="AH289" s="18" t="str">
        <f t="shared" si="66"/>
        <v/>
      </c>
      <c r="AI289" s="18" t="str">
        <f t="shared" si="67"/>
        <v/>
      </c>
      <c r="AJ289" s="18" t="str">
        <f t="shared" ca="1" si="68"/>
        <v/>
      </c>
    </row>
    <row r="290" spans="1:36">
      <c r="A290" s="18">
        <v>287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8" t="str">
        <f t="shared" ca="1" si="56"/>
        <v/>
      </c>
      <c r="U290" s="18">
        <f t="shared" ca="1" si="69"/>
        <v>0</v>
      </c>
      <c r="V290" s="18" t="str">
        <f t="shared" si="57"/>
        <v/>
      </c>
      <c r="W290" s="18" t="str">
        <f t="shared" si="58"/>
        <v/>
      </c>
      <c r="X290" s="18" t="str">
        <f t="shared" si="59"/>
        <v/>
      </c>
      <c r="Y290" s="19" t="str">
        <f>IF(OR(L290="",V290=""),"",IFERROR(INDEX(لیست‌ها!$Q$3:$Q$53,MATCH(V290,لیست‌ها!$P$3:$P$53,0))+IF(W290&lt;=6,(W290-1)*31+X290,IF(W290&lt;=11,186+(W290-7)*30+X290,336+X290))-1,""))</f>
        <v/>
      </c>
      <c r="Z290" s="18" t="str">
        <f t="shared" si="60"/>
        <v/>
      </c>
      <c r="AA290" s="18" t="str">
        <f t="shared" si="61"/>
        <v/>
      </c>
      <c r="AB290" s="18" t="str">
        <f t="shared" si="62"/>
        <v/>
      </c>
      <c r="AC290" s="18" t="str">
        <f>IF(OR(H290="",Z290=""),"",IFERROR(INDEX(لیست‌ها!$Q$3:$Q$53,MATCH(Z290,لیست‌ها!$P$3:$P$53,0))+IF(AA290&lt;=6,(AA290-1)*31+AB290,IF(AA290&lt;=11,186+(AA290-7)*30+AB290,336+AB290))-1,""))</f>
        <v/>
      </c>
      <c r="AD290" s="18" t="str">
        <f t="shared" si="63"/>
        <v/>
      </c>
      <c r="AE290" s="18" t="str">
        <f t="shared" si="64"/>
        <v/>
      </c>
      <c r="AF290" s="18" t="str">
        <f t="shared" si="65"/>
        <v/>
      </c>
      <c r="AG290" s="18" t="str">
        <f>IF(OR(O290="",AD290=""),"",IFERROR(INDEX(لیست‌ها!$Q$3:$Q$53,MATCH(AD290,لیست‌ها!$P$3:$P$53,0))+IF(AE290&lt;=6,(AE290-1)*31+AF290,IF(AE290&lt;=11,186+(AE290-7)*30+AF290,336+AF290))-1,""))</f>
        <v/>
      </c>
      <c r="AH290" s="18" t="str">
        <f t="shared" si="66"/>
        <v/>
      </c>
      <c r="AI290" s="18" t="str">
        <f t="shared" si="67"/>
        <v/>
      </c>
      <c r="AJ290" s="18" t="str">
        <f t="shared" ca="1" si="68"/>
        <v/>
      </c>
    </row>
    <row r="291" spans="1:36">
      <c r="A291" s="18">
        <v>288</v>
      </c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8" t="str">
        <f t="shared" ca="1" si="56"/>
        <v/>
      </c>
      <c r="U291" s="18">
        <f t="shared" ca="1" si="69"/>
        <v>0</v>
      </c>
      <c r="V291" s="18" t="str">
        <f t="shared" si="57"/>
        <v/>
      </c>
      <c r="W291" s="18" t="str">
        <f t="shared" si="58"/>
        <v/>
      </c>
      <c r="X291" s="18" t="str">
        <f t="shared" si="59"/>
        <v/>
      </c>
      <c r="Y291" s="19" t="str">
        <f>IF(OR(L291="",V291=""),"",IFERROR(INDEX(لیست‌ها!$Q$3:$Q$53,MATCH(V291,لیست‌ها!$P$3:$P$53,0))+IF(W291&lt;=6,(W291-1)*31+X291,IF(W291&lt;=11,186+(W291-7)*30+X291,336+X291))-1,""))</f>
        <v/>
      </c>
      <c r="Z291" s="18" t="str">
        <f t="shared" si="60"/>
        <v/>
      </c>
      <c r="AA291" s="18" t="str">
        <f t="shared" si="61"/>
        <v/>
      </c>
      <c r="AB291" s="18" t="str">
        <f t="shared" si="62"/>
        <v/>
      </c>
      <c r="AC291" s="19" t="str">
        <f>IF(OR(H291="",Z291=""),"",IFERROR(INDEX(لیست‌ها!$Q$3:$Q$53,MATCH(Z291,لیست‌ها!$P$3:$P$53,0))+IF(AA291&lt;=6,(AA291-1)*31+AB291,IF(AA291&lt;=11,186+(AA291-7)*30+AB291,336+AB291))-1,""))</f>
        <v/>
      </c>
      <c r="AD291" s="18" t="str">
        <f t="shared" si="63"/>
        <v/>
      </c>
      <c r="AE291" s="18" t="str">
        <f t="shared" si="64"/>
        <v/>
      </c>
      <c r="AF291" s="18" t="str">
        <f t="shared" si="65"/>
        <v/>
      </c>
      <c r="AG291" s="18" t="str">
        <f>IF(OR(O291="",AD291=""),"",IFERROR(INDEX(لیست‌ها!$Q$3:$Q$53,MATCH(AD291,لیست‌ها!$P$3:$P$53,0))+IF(AE291&lt;=6,(AE291-1)*31+AF291,IF(AE291&lt;=11,186+(AE291-7)*30+AF291,336+AF291))-1,""))</f>
        <v/>
      </c>
      <c r="AH291" s="18" t="str">
        <f t="shared" si="66"/>
        <v/>
      </c>
      <c r="AI291" s="18" t="str">
        <f t="shared" si="67"/>
        <v/>
      </c>
      <c r="AJ291" s="18" t="str">
        <f t="shared" ca="1" si="68"/>
        <v/>
      </c>
    </row>
    <row r="292" spans="1:36">
      <c r="A292" s="18">
        <v>289</v>
      </c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8" t="str">
        <f t="shared" ca="1" si="56"/>
        <v/>
      </c>
      <c r="U292" s="18">
        <f t="shared" ca="1" si="69"/>
        <v>0</v>
      </c>
      <c r="V292" s="18" t="str">
        <f t="shared" si="57"/>
        <v/>
      </c>
      <c r="W292" s="18" t="str">
        <f t="shared" si="58"/>
        <v/>
      </c>
      <c r="X292" s="18" t="str">
        <f t="shared" si="59"/>
        <v/>
      </c>
      <c r="Y292" s="19" t="str">
        <f>IF(OR(L292="",V292=""),"",IFERROR(INDEX(لیست‌ها!$Q$3:$Q$53,MATCH(V292,لیست‌ها!$P$3:$P$53,0))+IF(W292&lt;=6,(W292-1)*31+X292,IF(W292&lt;=11,186+(W292-7)*30+X292,336+X292))-1,""))</f>
        <v/>
      </c>
      <c r="Z292" s="18" t="str">
        <f t="shared" si="60"/>
        <v/>
      </c>
      <c r="AA292" s="18" t="str">
        <f t="shared" si="61"/>
        <v/>
      </c>
      <c r="AB292" s="18" t="str">
        <f t="shared" si="62"/>
        <v/>
      </c>
      <c r="AC292" s="18" t="str">
        <f>IF(OR(H292="",Z292=""),"",IFERROR(INDEX(لیست‌ها!$Q$3:$Q$53,MATCH(Z292,لیست‌ها!$P$3:$P$53,0))+IF(AA292&lt;=6,(AA292-1)*31+AB292,IF(AA292&lt;=11,186+(AA292-7)*30+AB292,336+AB292))-1,""))</f>
        <v/>
      </c>
      <c r="AD292" s="18" t="str">
        <f t="shared" si="63"/>
        <v/>
      </c>
      <c r="AE292" s="18" t="str">
        <f t="shared" si="64"/>
        <v/>
      </c>
      <c r="AF292" s="18" t="str">
        <f t="shared" si="65"/>
        <v/>
      </c>
      <c r="AG292" s="18" t="str">
        <f>IF(OR(O292="",AD292=""),"",IFERROR(INDEX(لیست‌ها!$Q$3:$Q$53,MATCH(AD292,لیست‌ها!$P$3:$P$53,0))+IF(AE292&lt;=6,(AE292-1)*31+AF292,IF(AE292&lt;=11,186+(AE292-7)*30+AF292,336+AF292))-1,""))</f>
        <v/>
      </c>
      <c r="AH292" s="18" t="str">
        <f t="shared" si="66"/>
        <v/>
      </c>
      <c r="AI292" s="18" t="str">
        <f t="shared" si="67"/>
        <v/>
      </c>
      <c r="AJ292" s="18" t="str">
        <f t="shared" ca="1" si="68"/>
        <v/>
      </c>
    </row>
    <row r="293" spans="1:36">
      <c r="A293" s="18">
        <v>290</v>
      </c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8" t="str">
        <f t="shared" ca="1" si="56"/>
        <v/>
      </c>
      <c r="U293" s="18">
        <f t="shared" ca="1" si="69"/>
        <v>0</v>
      </c>
      <c r="V293" s="18" t="str">
        <f t="shared" si="57"/>
        <v/>
      </c>
      <c r="W293" s="18" t="str">
        <f t="shared" si="58"/>
        <v/>
      </c>
      <c r="X293" s="18" t="str">
        <f t="shared" si="59"/>
        <v/>
      </c>
      <c r="Y293" s="19" t="str">
        <f>IF(OR(L293="",V293=""),"",IFERROR(INDEX(لیست‌ها!$Q$3:$Q$53,MATCH(V293,لیست‌ها!$P$3:$P$53,0))+IF(W293&lt;=6,(W293-1)*31+X293,IF(W293&lt;=11,186+(W293-7)*30+X293,336+X293))-1,""))</f>
        <v/>
      </c>
      <c r="Z293" s="18" t="str">
        <f t="shared" si="60"/>
        <v/>
      </c>
      <c r="AA293" s="18" t="str">
        <f t="shared" si="61"/>
        <v/>
      </c>
      <c r="AB293" s="18" t="str">
        <f t="shared" si="62"/>
        <v/>
      </c>
      <c r="AC293" s="19" t="str">
        <f>IF(OR(H293="",Z293=""),"",IFERROR(INDEX(لیست‌ها!$Q$3:$Q$53,MATCH(Z293,لیست‌ها!$P$3:$P$53,0))+IF(AA293&lt;=6,(AA293-1)*31+AB293,IF(AA293&lt;=11,186+(AA293-7)*30+AB293,336+AB293))-1,""))</f>
        <v/>
      </c>
      <c r="AD293" s="18" t="str">
        <f t="shared" si="63"/>
        <v/>
      </c>
      <c r="AE293" s="18" t="str">
        <f t="shared" si="64"/>
        <v/>
      </c>
      <c r="AF293" s="18" t="str">
        <f t="shared" si="65"/>
        <v/>
      </c>
      <c r="AG293" s="18" t="str">
        <f>IF(OR(O293="",AD293=""),"",IFERROR(INDEX(لیست‌ها!$Q$3:$Q$53,MATCH(AD293,لیست‌ها!$P$3:$P$53,0))+IF(AE293&lt;=6,(AE293-1)*31+AF293,IF(AE293&lt;=11,186+(AE293-7)*30+AF293,336+AF293))-1,""))</f>
        <v/>
      </c>
      <c r="AH293" s="18" t="str">
        <f t="shared" si="66"/>
        <v/>
      </c>
      <c r="AI293" s="18" t="str">
        <f t="shared" si="67"/>
        <v/>
      </c>
      <c r="AJ293" s="18" t="str">
        <f t="shared" ca="1" si="68"/>
        <v/>
      </c>
    </row>
    <row r="294" spans="1:36">
      <c r="A294" s="18">
        <v>291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8" t="str">
        <f t="shared" ca="1" si="56"/>
        <v/>
      </c>
      <c r="U294" s="18">
        <f t="shared" ca="1" si="69"/>
        <v>0</v>
      </c>
      <c r="V294" s="18" t="str">
        <f t="shared" si="57"/>
        <v/>
      </c>
      <c r="W294" s="18" t="str">
        <f t="shared" si="58"/>
        <v/>
      </c>
      <c r="X294" s="18" t="str">
        <f t="shared" si="59"/>
        <v/>
      </c>
      <c r="Y294" s="19" t="str">
        <f>IF(OR(L294="",V294=""),"",IFERROR(INDEX(لیست‌ها!$Q$3:$Q$53,MATCH(V294,لیست‌ها!$P$3:$P$53,0))+IF(W294&lt;=6,(W294-1)*31+X294,IF(W294&lt;=11,186+(W294-7)*30+X294,336+X294))-1,""))</f>
        <v/>
      </c>
      <c r="Z294" s="18" t="str">
        <f t="shared" si="60"/>
        <v/>
      </c>
      <c r="AA294" s="18" t="str">
        <f t="shared" si="61"/>
        <v/>
      </c>
      <c r="AB294" s="18" t="str">
        <f t="shared" si="62"/>
        <v/>
      </c>
      <c r="AC294" s="19" t="str">
        <f>IF(OR(H294="",Z294=""),"",IFERROR(INDEX(لیست‌ها!$Q$3:$Q$53,MATCH(Z294,لیست‌ها!$P$3:$P$53,0))+IF(AA294&lt;=6,(AA294-1)*31+AB294,IF(AA294&lt;=11,186+(AA294-7)*30+AB294,336+AB294))-1,""))</f>
        <v/>
      </c>
      <c r="AD294" s="18" t="str">
        <f t="shared" si="63"/>
        <v/>
      </c>
      <c r="AE294" s="18" t="str">
        <f t="shared" si="64"/>
        <v/>
      </c>
      <c r="AF294" s="18" t="str">
        <f t="shared" si="65"/>
        <v/>
      </c>
      <c r="AG294" s="18" t="str">
        <f>IF(OR(O294="",AD294=""),"",IFERROR(INDEX(لیست‌ها!$Q$3:$Q$53,MATCH(AD294,لیست‌ها!$P$3:$P$53,0))+IF(AE294&lt;=6,(AE294-1)*31+AF294,IF(AE294&lt;=11,186+(AE294-7)*30+AF294,336+AF294))-1,""))</f>
        <v/>
      </c>
      <c r="AH294" s="18" t="str">
        <f t="shared" si="66"/>
        <v/>
      </c>
      <c r="AI294" s="18" t="str">
        <f t="shared" si="67"/>
        <v/>
      </c>
      <c r="AJ294" s="18" t="str">
        <f t="shared" ca="1" si="68"/>
        <v/>
      </c>
    </row>
    <row r="295" spans="1:36">
      <c r="A295" s="18">
        <v>292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8" t="str">
        <f t="shared" ca="1" si="56"/>
        <v/>
      </c>
      <c r="U295" s="18">
        <f t="shared" ca="1" si="69"/>
        <v>0</v>
      </c>
      <c r="V295" s="18" t="str">
        <f t="shared" si="57"/>
        <v/>
      </c>
      <c r="W295" s="18" t="str">
        <f t="shared" si="58"/>
        <v/>
      </c>
      <c r="X295" s="18" t="str">
        <f t="shared" si="59"/>
        <v/>
      </c>
      <c r="Y295" s="19" t="str">
        <f>IF(OR(L295="",V295=""),"",IFERROR(INDEX(لیست‌ها!$Q$3:$Q$53,MATCH(V295,لیست‌ها!$P$3:$P$53,0))+IF(W295&lt;=6,(W295-1)*31+X295,IF(W295&lt;=11,186+(W295-7)*30+X295,336+X295))-1,""))</f>
        <v/>
      </c>
      <c r="Z295" s="18" t="str">
        <f t="shared" si="60"/>
        <v/>
      </c>
      <c r="AA295" s="18" t="str">
        <f t="shared" si="61"/>
        <v/>
      </c>
      <c r="AB295" s="18" t="str">
        <f t="shared" si="62"/>
        <v/>
      </c>
      <c r="AC295" s="19" t="str">
        <f>IF(OR(H295="",Z295=""),"",IFERROR(INDEX(لیست‌ها!$Q$3:$Q$53,MATCH(Z295,لیست‌ها!$P$3:$P$53,0))+IF(AA295&lt;=6,(AA295-1)*31+AB295,IF(AA295&lt;=11,186+(AA295-7)*30+AB295,336+AB295))-1,""))</f>
        <v/>
      </c>
      <c r="AD295" s="18" t="str">
        <f t="shared" si="63"/>
        <v/>
      </c>
      <c r="AE295" s="18" t="str">
        <f t="shared" si="64"/>
        <v/>
      </c>
      <c r="AF295" s="18" t="str">
        <f t="shared" si="65"/>
        <v/>
      </c>
      <c r="AG295" s="18" t="str">
        <f>IF(OR(O295="",AD295=""),"",IFERROR(INDEX(لیست‌ها!$Q$3:$Q$53,MATCH(AD295,لیست‌ها!$P$3:$P$53,0))+IF(AE295&lt;=6,(AE295-1)*31+AF295,IF(AE295&lt;=11,186+(AE295-7)*30+AF295,336+AF295))-1,""))</f>
        <v/>
      </c>
      <c r="AH295" s="18" t="str">
        <f t="shared" si="66"/>
        <v/>
      </c>
      <c r="AI295" s="18" t="str">
        <f t="shared" si="67"/>
        <v/>
      </c>
      <c r="AJ295" s="18" t="str">
        <f t="shared" ca="1" si="68"/>
        <v/>
      </c>
    </row>
    <row r="296" spans="1:36">
      <c r="A296" s="18">
        <v>293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8" t="str">
        <f t="shared" ca="1" si="56"/>
        <v/>
      </c>
      <c r="U296" s="18">
        <f t="shared" ca="1" si="69"/>
        <v>0</v>
      </c>
      <c r="V296" s="18" t="str">
        <f t="shared" si="57"/>
        <v/>
      </c>
      <c r="W296" s="18" t="str">
        <f t="shared" si="58"/>
        <v/>
      </c>
      <c r="X296" s="18" t="str">
        <f t="shared" si="59"/>
        <v/>
      </c>
      <c r="Y296" s="19" t="str">
        <f>IF(OR(L296="",V296=""),"",IFERROR(INDEX(لیست‌ها!$Q$3:$Q$53,MATCH(V296,لیست‌ها!$P$3:$P$53,0))+IF(W296&lt;=6,(W296-1)*31+X296,IF(W296&lt;=11,186+(W296-7)*30+X296,336+X296))-1,""))</f>
        <v/>
      </c>
      <c r="Z296" s="18" t="str">
        <f t="shared" si="60"/>
        <v/>
      </c>
      <c r="AA296" s="18" t="str">
        <f t="shared" si="61"/>
        <v/>
      </c>
      <c r="AB296" s="18" t="str">
        <f t="shared" si="62"/>
        <v/>
      </c>
      <c r="AC296" s="18" t="str">
        <f>IF(OR(H296="",Z296=""),"",IFERROR(INDEX(لیست‌ها!$Q$3:$Q$53,MATCH(Z296,لیست‌ها!$P$3:$P$53,0))+IF(AA296&lt;=6,(AA296-1)*31+AB296,IF(AA296&lt;=11,186+(AA296-7)*30+AB296,336+AB296))-1,""))</f>
        <v/>
      </c>
      <c r="AD296" s="18" t="str">
        <f t="shared" si="63"/>
        <v/>
      </c>
      <c r="AE296" s="18" t="str">
        <f t="shared" si="64"/>
        <v/>
      </c>
      <c r="AF296" s="18" t="str">
        <f t="shared" si="65"/>
        <v/>
      </c>
      <c r="AG296" s="18" t="str">
        <f>IF(OR(O296="",AD296=""),"",IFERROR(INDEX(لیست‌ها!$Q$3:$Q$53,MATCH(AD296,لیست‌ها!$P$3:$P$53,0))+IF(AE296&lt;=6,(AE296-1)*31+AF296,IF(AE296&lt;=11,186+(AE296-7)*30+AF296,336+AF296))-1,""))</f>
        <v/>
      </c>
      <c r="AH296" s="18" t="str">
        <f t="shared" si="66"/>
        <v/>
      </c>
      <c r="AI296" s="18" t="str">
        <f t="shared" si="67"/>
        <v/>
      </c>
      <c r="AJ296" s="18" t="str">
        <f t="shared" ca="1" si="68"/>
        <v/>
      </c>
    </row>
    <row r="297" spans="1:36">
      <c r="A297" s="18">
        <v>294</v>
      </c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8" t="str">
        <f t="shared" ca="1" si="56"/>
        <v/>
      </c>
      <c r="U297" s="18">
        <f t="shared" ca="1" si="69"/>
        <v>0</v>
      </c>
      <c r="V297" s="18" t="str">
        <f t="shared" si="57"/>
        <v/>
      </c>
      <c r="W297" s="18" t="str">
        <f t="shared" si="58"/>
        <v/>
      </c>
      <c r="X297" s="18" t="str">
        <f t="shared" si="59"/>
        <v/>
      </c>
      <c r="Y297" s="19" t="str">
        <f>IF(OR(L297="",V297=""),"",IFERROR(INDEX(لیست‌ها!$Q$3:$Q$53,MATCH(V297,لیست‌ها!$P$3:$P$53,0))+IF(W297&lt;=6,(W297-1)*31+X297,IF(W297&lt;=11,186+(W297-7)*30+X297,336+X297))-1,""))</f>
        <v/>
      </c>
      <c r="Z297" s="18" t="str">
        <f t="shared" si="60"/>
        <v/>
      </c>
      <c r="AA297" s="18" t="str">
        <f t="shared" si="61"/>
        <v/>
      </c>
      <c r="AB297" s="18" t="str">
        <f t="shared" si="62"/>
        <v/>
      </c>
      <c r="AC297" s="19" t="str">
        <f>IF(OR(H297="",Z297=""),"",IFERROR(INDEX(لیست‌ها!$Q$3:$Q$53,MATCH(Z297,لیست‌ها!$P$3:$P$53,0))+IF(AA297&lt;=6,(AA297-1)*31+AB297,IF(AA297&lt;=11,186+(AA297-7)*30+AB297,336+AB297))-1,""))</f>
        <v/>
      </c>
      <c r="AD297" s="18" t="str">
        <f t="shared" si="63"/>
        <v/>
      </c>
      <c r="AE297" s="18" t="str">
        <f t="shared" si="64"/>
        <v/>
      </c>
      <c r="AF297" s="18" t="str">
        <f t="shared" si="65"/>
        <v/>
      </c>
      <c r="AG297" s="18" t="str">
        <f>IF(OR(O297="",AD297=""),"",IFERROR(INDEX(لیست‌ها!$Q$3:$Q$53,MATCH(AD297,لیست‌ها!$P$3:$P$53,0))+IF(AE297&lt;=6,(AE297-1)*31+AF297,IF(AE297&lt;=11,186+(AE297-7)*30+AF297,336+AF297))-1,""))</f>
        <v/>
      </c>
      <c r="AH297" s="18" t="str">
        <f t="shared" si="66"/>
        <v/>
      </c>
      <c r="AI297" s="18" t="str">
        <f t="shared" si="67"/>
        <v/>
      </c>
      <c r="AJ297" s="18" t="str">
        <f t="shared" ca="1" si="68"/>
        <v/>
      </c>
    </row>
    <row r="298" spans="1:36">
      <c r="A298" s="18">
        <v>295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8" t="str">
        <f t="shared" ca="1" si="56"/>
        <v/>
      </c>
      <c r="U298" s="18">
        <f t="shared" ca="1" si="69"/>
        <v>0</v>
      </c>
      <c r="V298" s="18" t="str">
        <f t="shared" si="57"/>
        <v/>
      </c>
      <c r="W298" s="18" t="str">
        <f t="shared" si="58"/>
        <v/>
      </c>
      <c r="X298" s="18" t="str">
        <f t="shared" si="59"/>
        <v/>
      </c>
      <c r="Y298" s="19" t="str">
        <f>IF(OR(L298="",V298=""),"",IFERROR(INDEX(لیست‌ها!$Q$3:$Q$53,MATCH(V298,لیست‌ها!$P$3:$P$53,0))+IF(W298&lt;=6,(W298-1)*31+X298,IF(W298&lt;=11,186+(W298-7)*30+X298,336+X298))-1,""))</f>
        <v/>
      </c>
      <c r="Z298" s="18" t="str">
        <f t="shared" si="60"/>
        <v/>
      </c>
      <c r="AA298" s="18" t="str">
        <f t="shared" si="61"/>
        <v/>
      </c>
      <c r="AB298" s="18" t="str">
        <f t="shared" si="62"/>
        <v/>
      </c>
      <c r="AC298" s="18" t="str">
        <f>IF(OR(H298="",Z298=""),"",IFERROR(INDEX(لیست‌ها!$Q$3:$Q$53,MATCH(Z298,لیست‌ها!$P$3:$P$53,0))+IF(AA298&lt;=6,(AA298-1)*31+AB298,IF(AA298&lt;=11,186+(AA298-7)*30+AB298,336+AB298))-1,""))</f>
        <v/>
      </c>
      <c r="AD298" s="18" t="str">
        <f t="shared" si="63"/>
        <v/>
      </c>
      <c r="AE298" s="18" t="str">
        <f t="shared" si="64"/>
        <v/>
      </c>
      <c r="AF298" s="18" t="str">
        <f t="shared" si="65"/>
        <v/>
      </c>
      <c r="AG298" s="18" t="str">
        <f>IF(OR(O298="",AD298=""),"",IFERROR(INDEX(لیست‌ها!$Q$3:$Q$53,MATCH(AD298,لیست‌ها!$P$3:$P$53,0))+IF(AE298&lt;=6,(AE298-1)*31+AF298,IF(AE298&lt;=11,186+(AE298-7)*30+AF298,336+AF298))-1,""))</f>
        <v/>
      </c>
      <c r="AH298" s="18" t="str">
        <f t="shared" si="66"/>
        <v/>
      </c>
      <c r="AI298" s="18" t="str">
        <f t="shared" si="67"/>
        <v/>
      </c>
      <c r="AJ298" s="18" t="str">
        <f t="shared" ca="1" si="68"/>
        <v/>
      </c>
    </row>
    <row r="299" spans="1:36">
      <c r="A299" s="18">
        <v>296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8" t="str">
        <f t="shared" ca="1" si="56"/>
        <v/>
      </c>
      <c r="U299" s="18">
        <f t="shared" ca="1" si="69"/>
        <v>0</v>
      </c>
      <c r="V299" s="18" t="str">
        <f t="shared" si="57"/>
        <v/>
      </c>
      <c r="W299" s="18" t="str">
        <f t="shared" si="58"/>
        <v/>
      </c>
      <c r="X299" s="18" t="str">
        <f t="shared" si="59"/>
        <v/>
      </c>
      <c r="Y299" s="19" t="str">
        <f>IF(OR(L299="",V299=""),"",IFERROR(INDEX(لیست‌ها!$Q$3:$Q$53,MATCH(V299,لیست‌ها!$P$3:$P$53,0))+IF(W299&lt;=6,(W299-1)*31+X299,IF(W299&lt;=11,186+(W299-7)*30+X299,336+X299))-1,""))</f>
        <v/>
      </c>
      <c r="Z299" s="18" t="str">
        <f t="shared" si="60"/>
        <v/>
      </c>
      <c r="AA299" s="18" t="str">
        <f t="shared" si="61"/>
        <v/>
      </c>
      <c r="AB299" s="18" t="str">
        <f t="shared" si="62"/>
        <v/>
      </c>
      <c r="AC299" s="18" t="str">
        <f>IF(OR(H299="",Z299=""),"",IFERROR(INDEX(لیست‌ها!$Q$3:$Q$53,MATCH(Z299,لیست‌ها!$P$3:$P$53,0))+IF(AA299&lt;=6,(AA299-1)*31+AB299,IF(AA299&lt;=11,186+(AA299-7)*30+AB299,336+AB299))-1,""))</f>
        <v/>
      </c>
      <c r="AD299" s="18" t="str">
        <f t="shared" si="63"/>
        <v/>
      </c>
      <c r="AE299" s="18" t="str">
        <f t="shared" si="64"/>
        <v/>
      </c>
      <c r="AF299" s="18" t="str">
        <f t="shared" si="65"/>
        <v/>
      </c>
      <c r="AG299" s="18" t="str">
        <f>IF(OR(O299="",AD299=""),"",IFERROR(INDEX(لیست‌ها!$Q$3:$Q$53,MATCH(AD299,لیست‌ها!$P$3:$P$53,0))+IF(AE299&lt;=6,(AE299-1)*31+AF299,IF(AE299&lt;=11,186+(AE299-7)*30+AF299,336+AF299))-1,""))</f>
        <v/>
      </c>
      <c r="AH299" s="18" t="str">
        <f t="shared" si="66"/>
        <v/>
      </c>
      <c r="AI299" s="18" t="str">
        <f t="shared" si="67"/>
        <v/>
      </c>
      <c r="AJ299" s="18" t="str">
        <f t="shared" ca="1" si="68"/>
        <v/>
      </c>
    </row>
    <row r="300" spans="1:36">
      <c r="A300" s="18">
        <v>297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8" t="str">
        <f t="shared" ca="1" si="56"/>
        <v/>
      </c>
      <c r="U300" s="18">
        <f t="shared" ca="1" si="69"/>
        <v>0</v>
      </c>
      <c r="V300" s="18" t="str">
        <f t="shared" si="57"/>
        <v/>
      </c>
      <c r="W300" s="18" t="str">
        <f t="shared" si="58"/>
        <v/>
      </c>
      <c r="X300" s="18" t="str">
        <f t="shared" si="59"/>
        <v/>
      </c>
      <c r="Y300" s="19" t="str">
        <f>IF(OR(L300="",V300=""),"",IFERROR(INDEX(لیست‌ها!$Q$3:$Q$53,MATCH(V300,لیست‌ها!$P$3:$P$53,0))+IF(W300&lt;=6,(W300-1)*31+X300,IF(W300&lt;=11,186+(W300-7)*30+X300,336+X300))-1,""))</f>
        <v/>
      </c>
      <c r="Z300" s="18" t="str">
        <f t="shared" si="60"/>
        <v/>
      </c>
      <c r="AA300" s="18" t="str">
        <f t="shared" si="61"/>
        <v/>
      </c>
      <c r="AB300" s="18" t="str">
        <f t="shared" si="62"/>
        <v/>
      </c>
      <c r="AC300" s="19" t="str">
        <f>IF(OR(H300="",Z300=""),"",IFERROR(INDEX(لیست‌ها!$Q$3:$Q$53,MATCH(Z300,لیست‌ها!$P$3:$P$53,0))+IF(AA300&lt;=6,(AA300-1)*31+AB300,IF(AA300&lt;=11,186+(AA300-7)*30+AB300,336+AB300))-1,""))</f>
        <v/>
      </c>
      <c r="AD300" s="18" t="str">
        <f t="shared" si="63"/>
        <v/>
      </c>
      <c r="AE300" s="18" t="str">
        <f t="shared" si="64"/>
        <v/>
      </c>
      <c r="AF300" s="18" t="str">
        <f t="shared" si="65"/>
        <v/>
      </c>
      <c r="AG300" s="18" t="str">
        <f>IF(OR(O300="",AD300=""),"",IFERROR(INDEX(لیست‌ها!$Q$3:$Q$53,MATCH(AD300,لیست‌ها!$P$3:$P$53,0))+IF(AE300&lt;=6,(AE300-1)*31+AF300,IF(AE300&lt;=11,186+(AE300-7)*30+AF300,336+AF300))-1,""))</f>
        <v/>
      </c>
      <c r="AH300" s="18" t="str">
        <f t="shared" si="66"/>
        <v/>
      </c>
      <c r="AI300" s="18" t="str">
        <f t="shared" si="67"/>
        <v/>
      </c>
      <c r="AJ300" s="18" t="str">
        <f t="shared" ca="1" si="68"/>
        <v/>
      </c>
    </row>
    <row r="301" spans="1:36">
      <c r="A301" s="18">
        <v>298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8" t="str">
        <f t="shared" ca="1" si="56"/>
        <v/>
      </c>
      <c r="U301" s="18">
        <f t="shared" ca="1" si="69"/>
        <v>0</v>
      </c>
      <c r="V301" s="18" t="str">
        <f t="shared" si="57"/>
        <v/>
      </c>
      <c r="W301" s="18" t="str">
        <f t="shared" si="58"/>
        <v/>
      </c>
      <c r="X301" s="18" t="str">
        <f t="shared" si="59"/>
        <v/>
      </c>
      <c r="Y301" s="19" t="str">
        <f>IF(OR(L301="",V301=""),"",IFERROR(INDEX(لیست‌ها!$Q$3:$Q$53,MATCH(V301,لیست‌ها!$P$3:$P$53,0))+IF(W301&lt;=6,(W301-1)*31+X301,IF(W301&lt;=11,186+(W301-7)*30+X301,336+X301))-1,""))</f>
        <v/>
      </c>
      <c r="Z301" s="18" t="str">
        <f t="shared" si="60"/>
        <v/>
      </c>
      <c r="AA301" s="18" t="str">
        <f t="shared" si="61"/>
        <v/>
      </c>
      <c r="AB301" s="18" t="str">
        <f t="shared" si="62"/>
        <v/>
      </c>
      <c r="AC301" s="18" t="str">
        <f>IF(OR(H301="",Z301=""),"",IFERROR(INDEX(لیست‌ها!$Q$3:$Q$53,MATCH(Z301,لیست‌ها!$P$3:$P$53,0))+IF(AA301&lt;=6,(AA301-1)*31+AB301,IF(AA301&lt;=11,186+(AA301-7)*30+AB301,336+AB301))-1,""))</f>
        <v/>
      </c>
      <c r="AD301" s="18" t="str">
        <f t="shared" si="63"/>
        <v/>
      </c>
      <c r="AE301" s="18" t="str">
        <f t="shared" si="64"/>
        <v/>
      </c>
      <c r="AF301" s="18" t="str">
        <f t="shared" si="65"/>
        <v/>
      </c>
      <c r="AG301" s="18" t="str">
        <f>IF(OR(O301="",AD301=""),"",IFERROR(INDEX(لیست‌ها!$Q$3:$Q$53,MATCH(AD301,لیست‌ها!$P$3:$P$53,0))+IF(AE301&lt;=6,(AE301-1)*31+AF301,IF(AE301&lt;=11,186+(AE301-7)*30+AF301,336+AF301))-1,""))</f>
        <v/>
      </c>
      <c r="AH301" s="18" t="str">
        <f t="shared" si="66"/>
        <v/>
      </c>
      <c r="AI301" s="18" t="str">
        <f t="shared" si="67"/>
        <v/>
      </c>
      <c r="AJ301" s="18" t="str">
        <f t="shared" ca="1" si="68"/>
        <v/>
      </c>
    </row>
    <row r="302" spans="1:36">
      <c r="A302" s="18">
        <v>299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8" t="str">
        <f t="shared" ca="1" si="56"/>
        <v/>
      </c>
      <c r="U302" s="18">
        <f t="shared" ca="1" si="69"/>
        <v>0</v>
      </c>
      <c r="V302" s="18" t="str">
        <f t="shared" si="57"/>
        <v/>
      </c>
      <c r="W302" s="18" t="str">
        <f t="shared" si="58"/>
        <v/>
      </c>
      <c r="X302" s="18" t="str">
        <f t="shared" si="59"/>
        <v/>
      </c>
      <c r="Y302" s="19" t="str">
        <f>IF(OR(L302="",V302=""),"",IFERROR(INDEX(لیست‌ها!$Q$3:$Q$53,MATCH(V302,لیست‌ها!$P$3:$P$53,0))+IF(W302&lt;=6,(W302-1)*31+X302,IF(W302&lt;=11,186+(W302-7)*30+X302,336+X302))-1,""))</f>
        <v/>
      </c>
      <c r="Z302" s="18" t="str">
        <f t="shared" si="60"/>
        <v/>
      </c>
      <c r="AA302" s="18" t="str">
        <f t="shared" si="61"/>
        <v/>
      </c>
      <c r="AB302" s="18" t="str">
        <f t="shared" si="62"/>
        <v/>
      </c>
      <c r="AC302" s="19" t="str">
        <f>IF(OR(H302="",Z302=""),"",IFERROR(INDEX(لیست‌ها!$Q$3:$Q$53,MATCH(Z302,لیست‌ها!$P$3:$P$53,0))+IF(AA302&lt;=6,(AA302-1)*31+AB302,IF(AA302&lt;=11,186+(AA302-7)*30+AB302,336+AB302))-1,""))</f>
        <v/>
      </c>
      <c r="AD302" s="18" t="str">
        <f t="shared" si="63"/>
        <v/>
      </c>
      <c r="AE302" s="18" t="str">
        <f t="shared" si="64"/>
        <v/>
      </c>
      <c r="AF302" s="18" t="str">
        <f t="shared" si="65"/>
        <v/>
      </c>
      <c r="AG302" s="18" t="str">
        <f>IF(OR(O302="",AD302=""),"",IFERROR(INDEX(لیست‌ها!$Q$3:$Q$53,MATCH(AD302,لیست‌ها!$P$3:$P$53,0))+IF(AE302&lt;=6,(AE302-1)*31+AF302,IF(AE302&lt;=11,186+(AE302-7)*30+AF302,336+AF302))-1,""))</f>
        <v/>
      </c>
      <c r="AH302" s="18" t="str">
        <f t="shared" si="66"/>
        <v/>
      </c>
      <c r="AI302" s="18" t="str">
        <f t="shared" si="67"/>
        <v/>
      </c>
      <c r="AJ302" s="18" t="str">
        <f t="shared" ca="1" si="68"/>
        <v/>
      </c>
    </row>
    <row r="303" spans="1:36">
      <c r="A303" s="18">
        <v>300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8" t="str">
        <f t="shared" ca="1" si="56"/>
        <v/>
      </c>
      <c r="U303" s="18">
        <f t="shared" ca="1" si="69"/>
        <v>0</v>
      </c>
      <c r="V303" s="18" t="str">
        <f t="shared" si="57"/>
        <v/>
      </c>
      <c r="W303" s="18" t="str">
        <f t="shared" si="58"/>
        <v/>
      </c>
      <c r="X303" s="18" t="str">
        <f t="shared" si="59"/>
        <v/>
      </c>
      <c r="Y303" s="19" t="str">
        <f>IF(OR(L303="",V303=""),"",IFERROR(INDEX(لیست‌ها!$Q$3:$Q$53,MATCH(V303,لیست‌ها!$P$3:$P$53,0))+IF(W303&lt;=6,(W303-1)*31+X303,IF(W303&lt;=11,186+(W303-7)*30+X303,336+X303))-1,""))</f>
        <v/>
      </c>
      <c r="Z303" s="18" t="str">
        <f t="shared" si="60"/>
        <v/>
      </c>
      <c r="AA303" s="18" t="str">
        <f t="shared" si="61"/>
        <v/>
      </c>
      <c r="AB303" s="18" t="str">
        <f t="shared" si="62"/>
        <v/>
      </c>
      <c r="AC303" s="18" t="str">
        <f>IF(OR(H303="",Z303=""),"",IFERROR(INDEX(لیست‌ها!$Q$3:$Q$53,MATCH(Z303,لیست‌ها!$P$3:$P$53,0))+IF(AA303&lt;=6,(AA303-1)*31+AB303,IF(AA303&lt;=11,186+(AA303-7)*30+AB303,336+AB303))-1,""))</f>
        <v/>
      </c>
      <c r="AD303" s="18" t="str">
        <f t="shared" si="63"/>
        <v/>
      </c>
      <c r="AE303" s="18" t="str">
        <f t="shared" si="64"/>
        <v/>
      </c>
      <c r="AF303" s="18" t="str">
        <f t="shared" si="65"/>
        <v/>
      </c>
      <c r="AG303" s="18" t="str">
        <f>IF(OR(O303="",AD303=""),"",IFERROR(INDEX(لیست‌ها!$Q$3:$Q$53,MATCH(AD303,لیست‌ها!$P$3:$P$53,0))+IF(AE303&lt;=6,(AE303-1)*31+AF303,IF(AE303&lt;=11,186+(AE303-7)*30+AF303,336+AF303))-1,""))</f>
        <v/>
      </c>
      <c r="AH303" s="18" t="str">
        <f t="shared" si="66"/>
        <v/>
      </c>
      <c r="AI303" s="18" t="str">
        <f t="shared" si="67"/>
        <v/>
      </c>
      <c r="AJ303" s="18" t="str">
        <f t="shared" ca="1" si="68"/>
        <v/>
      </c>
    </row>
    <row r="304" spans="1:36">
      <c r="A304" s="18">
        <v>301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8" t="str">
        <f t="shared" ca="1" si="56"/>
        <v/>
      </c>
      <c r="U304" s="18">
        <f t="shared" ca="1" si="69"/>
        <v>0</v>
      </c>
      <c r="V304" s="18" t="str">
        <f t="shared" si="57"/>
        <v/>
      </c>
      <c r="W304" s="18" t="str">
        <f t="shared" si="58"/>
        <v/>
      </c>
      <c r="X304" s="18" t="str">
        <f t="shared" si="59"/>
        <v/>
      </c>
      <c r="Y304" s="19" t="str">
        <f>IF(OR(L304="",V304=""),"",IFERROR(INDEX(لیست‌ها!$Q$3:$Q$53,MATCH(V304,لیست‌ها!$P$3:$P$53,0))+IF(W304&lt;=6,(W304-1)*31+X304,IF(W304&lt;=11,186+(W304-7)*30+X304,336+X304))-1,""))</f>
        <v/>
      </c>
      <c r="Z304" s="18" t="str">
        <f t="shared" si="60"/>
        <v/>
      </c>
      <c r="AA304" s="18" t="str">
        <f t="shared" si="61"/>
        <v/>
      </c>
      <c r="AB304" s="18" t="str">
        <f t="shared" si="62"/>
        <v/>
      </c>
      <c r="AC304" s="18" t="str">
        <f>IF(OR(H304="",Z304=""),"",IFERROR(INDEX(لیست‌ها!$Q$3:$Q$53,MATCH(Z304,لیست‌ها!$P$3:$P$53,0))+IF(AA304&lt;=6,(AA304-1)*31+AB304,IF(AA304&lt;=11,186+(AA304-7)*30+AB304,336+AB304))-1,""))</f>
        <v/>
      </c>
      <c r="AD304" s="18" t="str">
        <f t="shared" si="63"/>
        <v/>
      </c>
      <c r="AE304" s="18" t="str">
        <f t="shared" si="64"/>
        <v/>
      </c>
      <c r="AF304" s="18" t="str">
        <f t="shared" si="65"/>
        <v/>
      </c>
      <c r="AG304" s="18" t="str">
        <f>IF(OR(O304="",AD304=""),"",IFERROR(INDEX(لیست‌ها!$Q$3:$Q$53,MATCH(AD304,لیست‌ها!$P$3:$P$53,0))+IF(AE304&lt;=6,(AE304-1)*31+AF304,IF(AE304&lt;=11,186+(AE304-7)*30+AF304,336+AF304))-1,""))</f>
        <v/>
      </c>
      <c r="AH304" s="18" t="str">
        <f t="shared" si="66"/>
        <v/>
      </c>
      <c r="AI304" s="18" t="str">
        <f t="shared" si="67"/>
        <v/>
      </c>
      <c r="AJ304" s="18" t="str">
        <f t="shared" ca="1" si="68"/>
        <v/>
      </c>
    </row>
    <row r="305" spans="1:36">
      <c r="A305" s="18">
        <v>302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8" t="str">
        <f t="shared" ca="1" si="56"/>
        <v/>
      </c>
      <c r="U305" s="18">
        <f t="shared" ca="1" si="69"/>
        <v>0</v>
      </c>
      <c r="V305" s="18" t="str">
        <f t="shared" si="57"/>
        <v/>
      </c>
      <c r="W305" s="18" t="str">
        <f t="shared" si="58"/>
        <v/>
      </c>
      <c r="X305" s="18" t="str">
        <f t="shared" si="59"/>
        <v/>
      </c>
      <c r="Y305" s="19" t="str">
        <f>IF(OR(L305="",V305=""),"",IFERROR(INDEX(لیست‌ها!$Q$3:$Q$53,MATCH(V305,لیست‌ها!$P$3:$P$53,0))+IF(W305&lt;=6,(W305-1)*31+X305,IF(W305&lt;=11,186+(W305-7)*30+X305,336+X305))-1,""))</f>
        <v/>
      </c>
      <c r="Z305" s="18" t="str">
        <f t="shared" si="60"/>
        <v/>
      </c>
      <c r="AA305" s="18" t="str">
        <f t="shared" si="61"/>
        <v/>
      </c>
      <c r="AB305" s="18" t="str">
        <f t="shared" si="62"/>
        <v/>
      </c>
      <c r="AC305" s="19" t="str">
        <f>IF(OR(H305="",Z305=""),"",IFERROR(INDEX(لیست‌ها!$Q$3:$Q$53,MATCH(Z305,لیست‌ها!$P$3:$P$53,0))+IF(AA305&lt;=6,(AA305-1)*31+AB305,IF(AA305&lt;=11,186+(AA305-7)*30+AB305,336+AB305))-1,""))</f>
        <v/>
      </c>
      <c r="AD305" s="18" t="str">
        <f t="shared" si="63"/>
        <v/>
      </c>
      <c r="AE305" s="18" t="str">
        <f t="shared" si="64"/>
        <v/>
      </c>
      <c r="AF305" s="18" t="str">
        <f t="shared" si="65"/>
        <v/>
      </c>
      <c r="AG305" s="18" t="str">
        <f>IF(OR(O305="",AD305=""),"",IFERROR(INDEX(لیست‌ها!$Q$3:$Q$53,MATCH(AD305,لیست‌ها!$P$3:$P$53,0))+IF(AE305&lt;=6,(AE305-1)*31+AF305,IF(AE305&lt;=11,186+(AE305-7)*30+AF305,336+AF305))-1,""))</f>
        <v/>
      </c>
      <c r="AH305" s="18" t="str">
        <f t="shared" si="66"/>
        <v/>
      </c>
      <c r="AI305" s="18" t="str">
        <f t="shared" si="67"/>
        <v/>
      </c>
      <c r="AJ305" s="18" t="str">
        <f t="shared" ca="1" si="68"/>
        <v/>
      </c>
    </row>
    <row r="306" spans="1:36">
      <c r="A306" s="18">
        <v>303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8" t="str">
        <f t="shared" ca="1" si="56"/>
        <v/>
      </c>
      <c r="U306" s="18">
        <f t="shared" ca="1" si="69"/>
        <v>0</v>
      </c>
      <c r="V306" s="18" t="str">
        <f t="shared" si="57"/>
        <v/>
      </c>
      <c r="W306" s="18" t="str">
        <f t="shared" si="58"/>
        <v/>
      </c>
      <c r="X306" s="18" t="str">
        <f t="shared" si="59"/>
        <v/>
      </c>
      <c r="Y306" s="19" t="str">
        <f>IF(OR(L306="",V306=""),"",IFERROR(INDEX(لیست‌ها!$Q$3:$Q$53,MATCH(V306,لیست‌ها!$P$3:$P$53,0))+IF(W306&lt;=6,(W306-1)*31+X306,IF(W306&lt;=11,186+(W306-7)*30+X306,336+X306))-1,""))</f>
        <v/>
      </c>
      <c r="Z306" s="18" t="str">
        <f t="shared" si="60"/>
        <v/>
      </c>
      <c r="AA306" s="18" t="str">
        <f t="shared" si="61"/>
        <v/>
      </c>
      <c r="AB306" s="18" t="str">
        <f t="shared" si="62"/>
        <v/>
      </c>
      <c r="AC306" s="18" t="str">
        <f>IF(OR(H306="",Z306=""),"",IFERROR(INDEX(لیست‌ها!$Q$3:$Q$53,MATCH(Z306,لیست‌ها!$P$3:$P$53,0))+IF(AA306&lt;=6,(AA306-1)*31+AB306,IF(AA306&lt;=11,186+(AA306-7)*30+AB306,336+AB306))-1,""))</f>
        <v/>
      </c>
      <c r="AD306" s="18" t="str">
        <f t="shared" si="63"/>
        <v/>
      </c>
      <c r="AE306" s="18" t="str">
        <f t="shared" si="64"/>
        <v/>
      </c>
      <c r="AF306" s="18" t="str">
        <f t="shared" si="65"/>
        <v/>
      </c>
      <c r="AG306" s="18" t="str">
        <f>IF(OR(O306="",AD306=""),"",IFERROR(INDEX(لیست‌ها!$Q$3:$Q$53,MATCH(AD306,لیست‌ها!$P$3:$P$53,0))+IF(AE306&lt;=6,(AE306-1)*31+AF306,IF(AE306&lt;=11,186+(AE306-7)*30+AF306,336+AF306))-1,""))</f>
        <v/>
      </c>
      <c r="AH306" s="18" t="str">
        <f t="shared" si="66"/>
        <v/>
      </c>
      <c r="AI306" s="18" t="str">
        <f t="shared" si="67"/>
        <v/>
      </c>
      <c r="AJ306" s="18" t="str">
        <f t="shared" ca="1" si="68"/>
        <v/>
      </c>
    </row>
    <row r="307" spans="1:36">
      <c r="A307" s="18">
        <v>304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8" t="str">
        <f t="shared" ca="1" si="56"/>
        <v/>
      </c>
      <c r="U307" s="18">
        <f t="shared" ca="1" si="69"/>
        <v>0</v>
      </c>
      <c r="V307" s="18" t="str">
        <f t="shared" si="57"/>
        <v/>
      </c>
      <c r="W307" s="18" t="str">
        <f t="shared" si="58"/>
        <v/>
      </c>
      <c r="X307" s="18" t="str">
        <f t="shared" si="59"/>
        <v/>
      </c>
      <c r="Y307" s="19" t="str">
        <f>IF(OR(L307="",V307=""),"",IFERROR(INDEX(لیست‌ها!$Q$3:$Q$53,MATCH(V307,لیست‌ها!$P$3:$P$53,0))+IF(W307&lt;=6,(W307-1)*31+X307,IF(W307&lt;=11,186+(W307-7)*30+X307,336+X307))-1,""))</f>
        <v/>
      </c>
      <c r="Z307" s="18" t="str">
        <f t="shared" si="60"/>
        <v/>
      </c>
      <c r="AA307" s="18" t="str">
        <f t="shared" si="61"/>
        <v/>
      </c>
      <c r="AB307" s="18" t="str">
        <f t="shared" si="62"/>
        <v/>
      </c>
      <c r="AC307" s="18" t="str">
        <f>IF(OR(H307="",Z307=""),"",IFERROR(INDEX(لیست‌ها!$Q$3:$Q$53,MATCH(Z307,لیست‌ها!$P$3:$P$53,0))+IF(AA307&lt;=6,(AA307-1)*31+AB307,IF(AA307&lt;=11,186+(AA307-7)*30+AB307,336+AB307))-1,""))</f>
        <v/>
      </c>
      <c r="AD307" s="18" t="str">
        <f t="shared" si="63"/>
        <v/>
      </c>
      <c r="AE307" s="18" t="str">
        <f t="shared" si="64"/>
        <v/>
      </c>
      <c r="AF307" s="18" t="str">
        <f t="shared" si="65"/>
        <v/>
      </c>
      <c r="AG307" s="18" t="str">
        <f>IF(OR(O307="",AD307=""),"",IFERROR(INDEX(لیست‌ها!$Q$3:$Q$53,MATCH(AD307,لیست‌ها!$P$3:$P$53,0))+IF(AE307&lt;=6,(AE307-1)*31+AF307,IF(AE307&lt;=11,186+(AE307-7)*30+AF307,336+AF307))-1,""))</f>
        <v/>
      </c>
      <c r="AH307" s="18" t="str">
        <f t="shared" si="66"/>
        <v/>
      </c>
      <c r="AI307" s="18" t="str">
        <f t="shared" si="67"/>
        <v/>
      </c>
      <c r="AJ307" s="18" t="str">
        <f t="shared" ca="1" si="68"/>
        <v/>
      </c>
    </row>
    <row r="308" spans="1:36">
      <c r="A308" s="18">
        <v>305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8" t="str">
        <f t="shared" ca="1" si="56"/>
        <v/>
      </c>
      <c r="U308" s="18">
        <f t="shared" ca="1" si="69"/>
        <v>0</v>
      </c>
      <c r="V308" s="18" t="str">
        <f t="shared" si="57"/>
        <v/>
      </c>
      <c r="W308" s="18" t="str">
        <f t="shared" si="58"/>
        <v/>
      </c>
      <c r="X308" s="18" t="str">
        <f t="shared" si="59"/>
        <v/>
      </c>
      <c r="Y308" s="19" t="str">
        <f>IF(OR(L308="",V308=""),"",IFERROR(INDEX(لیست‌ها!$Q$3:$Q$53,MATCH(V308,لیست‌ها!$P$3:$P$53,0))+IF(W308&lt;=6,(W308-1)*31+X308,IF(W308&lt;=11,186+(W308-7)*30+X308,336+X308))-1,""))</f>
        <v/>
      </c>
      <c r="Z308" s="18" t="str">
        <f t="shared" si="60"/>
        <v/>
      </c>
      <c r="AA308" s="18" t="str">
        <f t="shared" si="61"/>
        <v/>
      </c>
      <c r="AB308" s="18" t="str">
        <f t="shared" si="62"/>
        <v/>
      </c>
      <c r="AC308" s="19" t="str">
        <f>IF(OR(H308="",Z308=""),"",IFERROR(INDEX(لیست‌ها!$Q$3:$Q$53,MATCH(Z308,لیست‌ها!$P$3:$P$53,0))+IF(AA308&lt;=6,(AA308-1)*31+AB308,IF(AA308&lt;=11,186+(AA308-7)*30+AB308,336+AB308))-1,""))</f>
        <v/>
      </c>
      <c r="AD308" s="18" t="str">
        <f t="shared" si="63"/>
        <v/>
      </c>
      <c r="AE308" s="18" t="str">
        <f t="shared" si="64"/>
        <v/>
      </c>
      <c r="AF308" s="18" t="str">
        <f t="shared" si="65"/>
        <v/>
      </c>
      <c r="AG308" s="18" t="str">
        <f>IF(OR(O308="",AD308=""),"",IFERROR(INDEX(لیست‌ها!$Q$3:$Q$53,MATCH(AD308,لیست‌ها!$P$3:$P$53,0))+IF(AE308&lt;=6,(AE308-1)*31+AF308,IF(AE308&lt;=11,186+(AE308-7)*30+AF308,336+AF308))-1,""))</f>
        <v/>
      </c>
      <c r="AH308" s="18" t="str">
        <f t="shared" si="66"/>
        <v/>
      </c>
      <c r="AI308" s="18" t="str">
        <f t="shared" si="67"/>
        <v/>
      </c>
      <c r="AJ308" s="18" t="str">
        <f t="shared" ca="1" si="68"/>
        <v/>
      </c>
    </row>
    <row r="309" spans="1:36">
      <c r="A309" s="18">
        <v>306</v>
      </c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8" t="str">
        <f t="shared" ca="1" si="56"/>
        <v/>
      </c>
      <c r="U309" s="18">
        <f t="shared" ca="1" si="69"/>
        <v>0</v>
      </c>
      <c r="V309" s="18" t="str">
        <f t="shared" si="57"/>
        <v/>
      </c>
      <c r="W309" s="18" t="str">
        <f t="shared" si="58"/>
        <v/>
      </c>
      <c r="X309" s="18" t="str">
        <f t="shared" si="59"/>
        <v/>
      </c>
      <c r="Y309" s="19" t="str">
        <f>IF(OR(L309="",V309=""),"",IFERROR(INDEX(لیست‌ها!$Q$3:$Q$53,MATCH(V309,لیست‌ها!$P$3:$P$53,0))+IF(W309&lt;=6,(W309-1)*31+X309,IF(W309&lt;=11,186+(W309-7)*30+X309,336+X309))-1,""))</f>
        <v/>
      </c>
      <c r="Z309" s="18" t="str">
        <f t="shared" si="60"/>
        <v/>
      </c>
      <c r="AA309" s="18" t="str">
        <f t="shared" si="61"/>
        <v/>
      </c>
      <c r="AB309" s="18" t="str">
        <f t="shared" si="62"/>
        <v/>
      </c>
      <c r="AC309" s="19" t="str">
        <f>IF(OR(H309="",Z309=""),"",IFERROR(INDEX(لیست‌ها!$Q$3:$Q$53,MATCH(Z309,لیست‌ها!$P$3:$P$53,0))+IF(AA309&lt;=6,(AA309-1)*31+AB309,IF(AA309&lt;=11,186+(AA309-7)*30+AB309,336+AB309))-1,""))</f>
        <v/>
      </c>
      <c r="AD309" s="18" t="str">
        <f t="shared" si="63"/>
        <v/>
      </c>
      <c r="AE309" s="18" t="str">
        <f t="shared" si="64"/>
        <v/>
      </c>
      <c r="AF309" s="18" t="str">
        <f t="shared" si="65"/>
        <v/>
      </c>
      <c r="AG309" s="18" t="str">
        <f>IF(OR(O309="",AD309=""),"",IFERROR(INDEX(لیست‌ها!$Q$3:$Q$53,MATCH(AD309,لیست‌ها!$P$3:$P$53,0))+IF(AE309&lt;=6,(AE309-1)*31+AF309,IF(AE309&lt;=11,186+(AE309-7)*30+AF309,336+AF309))-1,""))</f>
        <v/>
      </c>
      <c r="AH309" s="18" t="str">
        <f t="shared" si="66"/>
        <v/>
      </c>
      <c r="AI309" s="18" t="str">
        <f t="shared" si="67"/>
        <v/>
      </c>
      <c r="AJ309" s="18" t="str">
        <f t="shared" ca="1" si="68"/>
        <v/>
      </c>
    </row>
    <row r="310" spans="1:36">
      <c r="A310" s="18">
        <v>307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8" t="str">
        <f t="shared" ca="1" si="56"/>
        <v/>
      </c>
      <c r="U310" s="18">
        <f t="shared" ca="1" si="69"/>
        <v>0</v>
      </c>
      <c r="V310" s="18" t="str">
        <f t="shared" si="57"/>
        <v/>
      </c>
      <c r="W310" s="18" t="str">
        <f t="shared" si="58"/>
        <v/>
      </c>
      <c r="X310" s="18" t="str">
        <f t="shared" si="59"/>
        <v/>
      </c>
      <c r="Y310" s="19" t="str">
        <f>IF(OR(L310="",V310=""),"",IFERROR(INDEX(لیست‌ها!$Q$3:$Q$53,MATCH(V310,لیست‌ها!$P$3:$P$53,0))+IF(W310&lt;=6,(W310-1)*31+X310,IF(W310&lt;=11,186+(W310-7)*30+X310,336+X310))-1,""))</f>
        <v/>
      </c>
      <c r="Z310" s="18" t="str">
        <f t="shared" si="60"/>
        <v/>
      </c>
      <c r="AA310" s="18" t="str">
        <f t="shared" si="61"/>
        <v/>
      </c>
      <c r="AB310" s="18" t="str">
        <f t="shared" si="62"/>
        <v/>
      </c>
      <c r="AC310" s="19" t="str">
        <f>IF(OR(H310="",Z310=""),"",IFERROR(INDEX(لیست‌ها!$Q$3:$Q$53,MATCH(Z310,لیست‌ها!$P$3:$P$53,0))+IF(AA310&lt;=6,(AA310-1)*31+AB310,IF(AA310&lt;=11,186+(AA310-7)*30+AB310,336+AB310))-1,""))</f>
        <v/>
      </c>
      <c r="AD310" s="18" t="str">
        <f t="shared" si="63"/>
        <v/>
      </c>
      <c r="AE310" s="18" t="str">
        <f t="shared" si="64"/>
        <v/>
      </c>
      <c r="AF310" s="18" t="str">
        <f t="shared" si="65"/>
        <v/>
      </c>
      <c r="AG310" s="18" t="str">
        <f>IF(OR(O310="",AD310=""),"",IFERROR(INDEX(لیست‌ها!$Q$3:$Q$53,MATCH(AD310,لیست‌ها!$P$3:$P$53,0))+IF(AE310&lt;=6,(AE310-1)*31+AF310,IF(AE310&lt;=11,186+(AE310-7)*30+AF310,336+AF310))-1,""))</f>
        <v/>
      </c>
      <c r="AH310" s="18" t="str">
        <f t="shared" si="66"/>
        <v/>
      </c>
      <c r="AI310" s="18" t="str">
        <f t="shared" si="67"/>
        <v/>
      </c>
      <c r="AJ310" s="18" t="str">
        <f t="shared" ca="1" si="68"/>
        <v/>
      </c>
    </row>
    <row r="311" spans="1:36">
      <c r="A311" s="18">
        <v>308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8" t="str">
        <f t="shared" ca="1" si="56"/>
        <v/>
      </c>
      <c r="U311" s="18">
        <f t="shared" ca="1" si="69"/>
        <v>0</v>
      </c>
      <c r="V311" s="18" t="str">
        <f t="shared" si="57"/>
        <v/>
      </c>
      <c r="W311" s="18" t="str">
        <f t="shared" si="58"/>
        <v/>
      </c>
      <c r="X311" s="18" t="str">
        <f t="shared" si="59"/>
        <v/>
      </c>
      <c r="Y311" s="19" t="str">
        <f>IF(OR(L311="",V311=""),"",IFERROR(INDEX(لیست‌ها!$Q$3:$Q$53,MATCH(V311,لیست‌ها!$P$3:$P$53,0))+IF(W311&lt;=6,(W311-1)*31+X311,IF(W311&lt;=11,186+(W311-7)*30+X311,336+X311))-1,""))</f>
        <v/>
      </c>
      <c r="Z311" s="18" t="str">
        <f t="shared" si="60"/>
        <v/>
      </c>
      <c r="AA311" s="18" t="str">
        <f t="shared" si="61"/>
        <v/>
      </c>
      <c r="AB311" s="18" t="str">
        <f t="shared" si="62"/>
        <v/>
      </c>
      <c r="AC311" s="19" t="str">
        <f>IF(OR(H311="",Z311=""),"",IFERROR(INDEX(لیست‌ها!$Q$3:$Q$53,MATCH(Z311,لیست‌ها!$P$3:$P$53,0))+IF(AA311&lt;=6,(AA311-1)*31+AB311,IF(AA311&lt;=11,186+(AA311-7)*30+AB311,336+AB311))-1,""))</f>
        <v/>
      </c>
      <c r="AD311" s="18" t="str">
        <f t="shared" si="63"/>
        <v/>
      </c>
      <c r="AE311" s="18" t="str">
        <f t="shared" si="64"/>
        <v/>
      </c>
      <c r="AF311" s="18" t="str">
        <f t="shared" si="65"/>
        <v/>
      </c>
      <c r="AG311" s="18" t="str">
        <f>IF(OR(O311="",AD311=""),"",IFERROR(INDEX(لیست‌ها!$Q$3:$Q$53,MATCH(AD311,لیست‌ها!$P$3:$P$53,0))+IF(AE311&lt;=6,(AE311-1)*31+AF311,IF(AE311&lt;=11,186+(AE311-7)*30+AF311,336+AF311))-1,""))</f>
        <v/>
      </c>
      <c r="AH311" s="18" t="str">
        <f t="shared" si="66"/>
        <v/>
      </c>
      <c r="AI311" s="18" t="str">
        <f t="shared" si="67"/>
        <v/>
      </c>
      <c r="AJ311" s="18" t="str">
        <f t="shared" ca="1" si="68"/>
        <v/>
      </c>
    </row>
    <row r="312" spans="1:36">
      <c r="A312" s="18">
        <v>309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8" t="str">
        <f t="shared" ca="1" si="56"/>
        <v/>
      </c>
      <c r="U312" s="18">
        <f t="shared" ca="1" si="69"/>
        <v>0</v>
      </c>
      <c r="V312" s="18" t="str">
        <f t="shared" si="57"/>
        <v/>
      </c>
      <c r="W312" s="18" t="str">
        <f t="shared" si="58"/>
        <v/>
      </c>
      <c r="X312" s="18" t="str">
        <f t="shared" si="59"/>
        <v/>
      </c>
      <c r="Y312" s="19" t="str">
        <f>IF(OR(L312="",V312=""),"",IFERROR(INDEX(لیست‌ها!$Q$3:$Q$53,MATCH(V312,لیست‌ها!$P$3:$P$53,0))+IF(W312&lt;=6,(W312-1)*31+X312,IF(W312&lt;=11,186+(W312-7)*30+X312,336+X312))-1,""))</f>
        <v/>
      </c>
      <c r="Z312" s="18" t="str">
        <f t="shared" si="60"/>
        <v/>
      </c>
      <c r="AA312" s="18" t="str">
        <f t="shared" si="61"/>
        <v/>
      </c>
      <c r="AB312" s="18" t="str">
        <f t="shared" si="62"/>
        <v/>
      </c>
      <c r="AC312" s="19" t="str">
        <f>IF(OR(H312="",Z312=""),"",IFERROR(INDEX(لیست‌ها!$Q$3:$Q$53,MATCH(Z312,لیست‌ها!$P$3:$P$53,0))+IF(AA312&lt;=6,(AA312-1)*31+AB312,IF(AA312&lt;=11,186+(AA312-7)*30+AB312,336+AB312))-1,""))</f>
        <v/>
      </c>
      <c r="AD312" s="18" t="str">
        <f t="shared" si="63"/>
        <v/>
      </c>
      <c r="AE312" s="18" t="str">
        <f t="shared" si="64"/>
        <v/>
      </c>
      <c r="AF312" s="18" t="str">
        <f t="shared" si="65"/>
        <v/>
      </c>
      <c r="AG312" s="18" t="str">
        <f>IF(OR(O312="",AD312=""),"",IFERROR(INDEX(لیست‌ها!$Q$3:$Q$53,MATCH(AD312,لیست‌ها!$P$3:$P$53,0))+IF(AE312&lt;=6,(AE312-1)*31+AF312,IF(AE312&lt;=11,186+(AE312-7)*30+AF312,336+AF312))-1,""))</f>
        <v/>
      </c>
      <c r="AH312" s="18" t="str">
        <f t="shared" si="66"/>
        <v/>
      </c>
      <c r="AI312" s="18" t="str">
        <f t="shared" si="67"/>
        <v/>
      </c>
      <c r="AJ312" s="18" t="str">
        <f t="shared" ca="1" si="68"/>
        <v/>
      </c>
    </row>
    <row r="313" spans="1:36">
      <c r="A313" s="18">
        <v>310</v>
      </c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8" t="str">
        <f t="shared" ca="1" si="56"/>
        <v/>
      </c>
      <c r="U313" s="18">
        <f t="shared" ca="1" si="69"/>
        <v>0</v>
      </c>
      <c r="V313" s="18" t="str">
        <f t="shared" si="57"/>
        <v/>
      </c>
      <c r="W313" s="18" t="str">
        <f t="shared" si="58"/>
        <v/>
      </c>
      <c r="X313" s="18" t="str">
        <f t="shared" si="59"/>
        <v/>
      </c>
      <c r="Y313" s="19" t="str">
        <f>IF(OR(L313="",V313=""),"",IFERROR(INDEX(لیست‌ها!$Q$3:$Q$53,MATCH(V313,لیست‌ها!$P$3:$P$53,0))+IF(W313&lt;=6,(W313-1)*31+X313,IF(W313&lt;=11,186+(W313-7)*30+X313,336+X313))-1,""))</f>
        <v/>
      </c>
      <c r="Z313" s="18" t="str">
        <f t="shared" si="60"/>
        <v/>
      </c>
      <c r="AA313" s="18" t="str">
        <f t="shared" si="61"/>
        <v/>
      </c>
      <c r="AB313" s="18" t="str">
        <f t="shared" si="62"/>
        <v/>
      </c>
      <c r="AC313" s="19" t="str">
        <f>IF(OR(H313="",Z313=""),"",IFERROR(INDEX(لیست‌ها!$Q$3:$Q$53,MATCH(Z313,لیست‌ها!$P$3:$P$53,0))+IF(AA313&lt;=6,(AA313-1)*31+AB313,IF(AA313&lt;=11,186+(AA313-7)*30+AB313,336+AB313))-1,""))</f>
        <v/>
      </c>
      <c r="AD313" s="18" t="str">
        <f t="shared" si="63"/>
        <v/>
      </c>
      <c r="AE313" s="18" t="str">
        <f t="shared" si="64"/>
        <v/>
      </c>
      <c r="AF313" s="18" t="str">
        <f t="shared" si="65"/>
        <v/>
      </c>
      <c r="AG313" s="18" t="str">
        <f>IF(OR(O313="",AD313=""),"",IFERROR(INDEX(لیست‌ها!$Q$3:$Q$53,MATCH(AD313,لیست‌ها!$P$3:$P$53,0))+IF(AE313&lt;=6,(AE313-1)*31+AF313,IF(AE313&lt;=11,186+(AE313-7)*30+AF313,336+AF313))-1,""))</f>
        <v/>
      </c>
      <c r="AH313" s="18" t="str">
        <f t="shared" si="66"/>
        <v/>
      </c>
      <c r="AI313" s="18" t="str">
        <f t="shared" si="67"/>
        <v/>
      </c>
      <c r="AJ313" s="18" t="str">
        <f t="shared" ca="1" si="68"/>
        <v/>
      </c>
    </row>
    <row r="314" spans="1:36">
      <c r="A314" s="18">
        <v>311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8" t="str">
        <f t="shared" ca="1" si="56"/>
        <v/>
      </c>
      <c r="U314" s="18">
        <f t="shared" ca="1" si="69"/>
        <v>0</v>
      </c>
      <c r="V314" s="18" t="str">
        <f t="shared" si="57"/>
        <v/>
      </c>
      <c r="W314" s="18" t="str">
        <f t="shared" si="58"/>
        <v/>
      </c>
      <c r="X314" s="18" t="str">
        <f t="shared" si="59"/>
        <v/>
      </c>
      <c r="Y314" s="19" t="str">
        <f>IF(OR(L314="",V314=""),"",IFERROR(INDEX(لیست‌ها!$Q$3:$Q$53,MATCH(V314,لیست‌ها!$P$3:$P$53,0))+IF(W314&lt;=6,(W314-1)*31+X314,IF(W314&lt;=11,186+(W314-7)*30+X314,336+X314))-1,""))</f>
        <v/>
      </c>
      <c r="Z314" s="18" t="str">
        <f t="shared" si="60"/>
        <v/>
      </c>
      <c r="AA314" s="18" t="str">
        <f t="shared" si="61"/>
        <v/>
      </c>
      <c r="AB314" s="18" t="str">
        <f t="shared" si="62"/>
        <v/>
      </c>
      <c r="AC314" s="19" t="str">
        <f>IF(OR(H314="",Z314=""),"",IFERROR(INDEX(لیست‌ها!$Q$3:$Q$53,MATCH(Z314,لیست‌ها!$P$3:$P$53,0))+IF(AA314&lt;=6,(AA314-1)*31+AB314,IF(AA314&lt;=11,186+(AA314-7)*30+AB314,336+AB314))-1,""))</f>
        <v/>
      </c>
      <c r="AD314" s="18" t="str">
        <f t="shared" si="63"/>
        <v/>
      </c>
      <c r="AE314" s="18" t="str">
        <f t="shared" si="64"/>
        <v/>
      </c>
      <c r="AF314" s="18" t="str">
        <f t="shared" si="65"/>
        <v/>
      </c>
      <c r="AG314" s="18" t="str">
        <f>IF(OR(O314="",AD314=""),"",IFERROR(INDEX(لیست‌ها!$Q$3:$Q$53,MATCH(AD314,لیست‌ها!$P$3:$P$53,0))+IF(AE314&lt;=6,(AE314-1)*31+AF314,IF(AE314&lt;=11,186+(AE314-7)*30+AF314,336+AF314))-1,""))</f>
        <v/>
      </c>
      <c r="AH314" s="18" t="str">
        <f t="shared" si="66"/>
        <v/>
      </c>
      <c r="AI314" s="18" t="str">
        <f t="shared" si="67"/>
        <v/>
      </c>
      <c r="AJ314" s="18" t="str">
        <f t="shared" ca="1" si="68"/>
        <v/>
      </c>
    </row>
    <row r="315" spans="1:36">
      <c r="A315" s="18">
        <v>312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8" t="str">
        <f t="shared" ca="1" si="56"/>
        <v/>
      </c>
      <c r="U315" s="18">
        <f t="shared" ca="1" si="69"/>
        <v>0</v>
      </c>
      <c r="V315" s="18" t="str">
        <f t="shared" si="57"/>
        <v/>
      </c>
      <c r="W315" s="18" t="str">
        <f t="shared" si="58"/>
        <v/>
      </c>
      <c r="X315" s="18" t="str">
        <f t="shared" si="59"/>
        <v/>
      </c>
      <c r="Y315" s="19" t="str">
        <f>IF(OR(L315="",V315=""),"",IFERROR(INDEX(لیست‌ها!$Q$3:$Q$53,MATCH(V315,لیست‌ها!$P$3:$P$53,0))+IF(W315&lt;=6,(W315-1)*31+X315,IF(W315&lt;=11,186+(W315-7)*30+X315,336+X315))-1,""))</f>
        <v/>
      </c>
      <c r="Z315" s="18" t="str">
        <f t="shared" si="60"/>
        <v/>
      </c>
      <c r="AA315" s="18" t="str">
        <f t="shared" si="61"/>
        <v/>
      </c>
      <c r="AB315" s="18" t="str">
        <f t="shared" si="62"/>
        <v/>
      </c>
      <c r="AC315" s="19" t="str">
        <f>IF(OR(H315="",Z315=""),"",IFERROR(INDEX(لیست‌ها!$Q$3:$Q$53,MATCH(Z315,لیست‌ها!$P$3:$P$53,0))+IF(AA315&lt;=6,(AA315-1)*31+AB315,IF(AA315&lt;=11,186+(AA315-7)*30+AB315,336+AB315))-1,""))</f>
        <v/>
      </c>
      <c r="AD315" s="18" t="str">
        <f t="shared" si="63"/>
        <v/>
      </c>
      <c r="AE315" s="18" t="str">
        <f t="shared" si="64"/>
        <v/>
      </c>
      <c r="AF315" s="18" t="str">
        <f t="shared" si="65"/>
        <v/>
      </c>
      <c r="AG315" s="18" t="str">
        <f>IF(OR(O315="",AD315=""),"",IFERROR(INDEX(لیست‌ها!$Q$3:$Q$53,MATCH(AD315,لیست‌ها!$P$3:$P$53,0))+IF(AE315&lt;=6,(AE315-1)*31+AF315,IF(AE315&lt;=11,186+(AE315-7)*30+AF315,336+AF315))-1,""))</f>
        <v/>
      </c>
      <c r="AH315" s="18" t="str">
        <f t="shared" si="66"/>
        <v/>
      </c>
      <c r="AI315" s="18" t="str">
        <f t="shared" si="67"/>
        <v/>
      </c>
      <c r="AJ315" s="18" t="str">
        <f t="shared" ca="1" si="68"/>
        <v/>
      </c>
    </row>
    <row r="316" spans="1:36">
      <c r="A316" s="18">
        <v>313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8" t="str">
        <f t="shared" ca="1" si="56"/>
        <v/>
      </c>
      <c r="U316" s="18">
        <f t="shared" ca="1" si="69"/>
        <v>0</v>
      </c>
      <c r="V316" s="18" t="str">
        <f t="shared" si="57"/>
        <v/>
      </c>
      <c r="W316" s="18" t="str">
        <f t="shared" si="58"/>
        <v/>
      </c>
      <c r="X316" s="18" t="str">
        <f t="shared" si="59"/>
        <v/>
      </c>
      <c r="Y316" s="19" t="str">
        <f>IF(OR(L316="",V316=""),"",IFERROR(INDEX(لیست‌ها!$Q$3:$Q$53,MATCH(V316,لیست‌ها!$P$3:$P$53,0))+IF(W316&lt;=6,(W316-1)*31+X316,IF(W316&lt;=11,186+(W316-7)*30+X316,336+X316))-1,""))</f>
        <v/>
      </c>
      <c r="Z316" s="18" t="str">
        <f t="shared" si="60"/>
        <v/>
      </c>
      <c r="AA316" s="18" t="str">
        <f t="shared" si="61"/>
        <v/>
      </c>
      <c r="AB316" s="18" t="str">
        <f t="shared" si="62"/>
        <v/>
      </c>
      <c r="AC316" s="19" t="str">
        <f>IF(OR(H316="",Z316=""),"",IFERROR(INDEX(لیست‌ها!$Q$3:$Q$53,MATCH(Z316,لیست‌ها!$P$3:$P$53,0))+IF(AA316&lt;=6,(AA316-1)*31+AB316,IF(AA316&lt;=11,186+(AA316-7)*30+AB316,336+AB316))-1,""))</f>
        <v/>
      </c>
      <c r="AD316" s="18" t="str">
        <f t="shared" si="63"/>
        <v/>
      </c>
      <c r="AE316" s="18" t="str">
        <f t="shared" si="64"/>
        <v/>
      </c>
      <c r="AF316" s="18" t="str">
        <f t="shared" si="65"/>
        <v/>
      </c>
      <c r="AG316" s="18" t="str">
        <f>IF(OR(O316="",AD316=""),"",IFERROR(INDEX(لیست‌ها!$Q$3:$Q$53,MATCH(AD316,لیست‌ها!$P$3:$P$53,0))+IF(AE316&lt;=6,(AE316-1)*31+AF316,IF(AE316&lt;=11,186+(AE316-7)*30+AF316,336+AF316))-1,""))</f>
        <v/>
      </c>
      <c r="AH316" s="18" t="str">
        <f t="shared" si="66"/>
        <v/>
      </c>
      <c r="AI316" s="18" t="str">
        <f t="shared" si="67"/>
        <v/>
      </c>
      <c r="AJ316" s="18" t="str">
        <f t="shared" ca="1" si="68"/>
        <v/>
      </c>
    </row>
    <row r="317" spans="1:36">
      <c r="A317" s="18">
        <v>314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8" t="str">
        <f t="shared" ca="1" si="56"/>
        <v/>
      </c>
      <c r="U317" s="18">
        <f t="shared" ca="1" si="69"/>
        <v>0</v>
      </c>
      <c r="V317" s="18" t="str">
        <f t="shared" si="57"/>
        <v/>
      </c>
      <c r="W317" s="18" t="str">
        <f t="shared" si="58"/>
        <v/>
      </c>
      <c r="X317" s="18" t="str">
        <f t="shared" si="59"/>
        <v/>
      </c>
      <c r="Y317" s="19" t="str">
        <f>IF(OR(L317="",V317=""),"",IFERROR(INDEX(لیست‌ها!$Q$3:$Q$53,MATCH(V317,لیست‌ها!$P$3:$P$53,0))+IF(W317&lt;=6,(W317-1)*31+X317,IF(W317&lt;=11,186+(W317-7)*30+X317,336+X317))-1,""))</f>
        <v/>
      </c>
      <c r="Z317" s="18" t="str">
        <f t="shared" si="60"/>
        <v/>
      </c>
      <c r="AA317" s="18" t="str">
        <f t="shared" si="61"/>
        <v/>
      </c>
      <c r="AB317" s="18" t="str">
        <f t="shared" si="62"/>
        <v/>
      </c>
      <c r="AC317" s="19" t="str">
        <f>IF(OR(H317="",Z317=""),"",IFERROR(INDEX(لیست‌ها!$Q$3:$Q$53,MATCH(Z317,لیست‌ها!$P$3:$P$53,0))+IF(AA317&lt;=6,(AA317-1)*31+AB317,IF(AA317&lt;=11,186+(AA317-7)*30+AB317,336+AB317))-1,""))</f>
        <v/>
      </c>
      <c r="AD317" s="18" t="str">
        <f t="shared" si="63"/>
        <v/>
      </c>
      <c r="AE317" s="18" t="str">
        <f t="shared" si="64"/>
        <v/>
      </c>
      <c r="AF317" s="18" t="str">
        <f t="shared" si="65"/>
        <v/>
      </c>
      <c r="AG317" s="18" t="str">
        <f>IF(OR(O317="",AD317=""),"",IFERROR(INDEX(لیست‌ها!$Q$3:$Q$53,MATCH(AD317,لیست‌ها!$P$3:$P$53,0))+IF(AE317&lt;=6,(AE317-1)*31+AF317,IF(AE317&lt;=11,186+(AE317-7)*30+AF317,336+AF317))-1,""))</f>
        <v/>
      </c>
      <c r="AH317" s="18" t="str">
        <f t="shared" si="66"/>
        <v/>
      </c>
      <c r="AI317" s="18" t="str">
        <f t="shared" si="67"/>
        <v/>
      </c>
      <c r="AJ317" s="18" t="str">
        <f t="shared" ca="1" si="68"/>
        <v/>
      </c>
    </row>
    <row r="318" spans="1:36">
      <c r="A318" s="18">
        <v>315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8" t="str">
        <f t="shared" ca="1" si="56"/>
        <v/>
      </c>
      <c r="U318" s="18">
        <f t="shared" ca="1" si="69"/>
        <v>0</v>
      </c>
      <c r="V318" s="18" t="str">
        <f t="shared" si="57"/>
        <v/>
      </c>
      <c r="W318" s="18" t="str">
        <f t="shared" si="58"/>
        <v/>
      </c>
      <c r="X318" s="18" t="str">
        <f t="shared" si="59"/>
        <v/>
      </c>
      <c r="Y318" s="19" t="str">
        <f>IF(OR(L318="",V318=""),"",IFERROR(INDEX(لیست‌ها!$Q$3:$Q$53,MATCH(V318,لیست‌ها!$P$3:$P$53,0))+IF(W318&lt;=6,(W318-1)*31+X318,IF(W318&lt;=11,186+(W318-7)*30+X318,336+X318))-1,""))</f>
        <v/>
      </c>
      <c r="Z318" s="18" t="str">
        <f t="shared" si="60"/>
        <v/>
      </c>
      <c r="AA318" s="18" t="str">
        <f t="shared" si="61"/>
        <v/>
      </c>
      <c r="AB318" s="18" t="str">
        <f t="shared" si="62"/>
        <v/>
      </c>
      <c r="AC318" s="19" t="str">
        <f>IF(OR(H318="",Z318=""),"",IFERROR(INDEX(لیست‌ها!$Q$3:$Q$53,MATCH(Z318,لیست‌ها!$P$3:$P$53,0))+IF(AA318&lt;=6,(AA318-1)*31+AB318,IF(AA318&lt;=11,186+(AA318-7)*30+AB318,336+AB318))-1,""))</f>
        <v/>
      </c>
      <c r="AD318" s="18" t="str">
        <f t="shared" si="63"/>
        <v/>
      </c>
      <c r="AE318" s="18" t="str">
        <f t="shared" si="64"/>
        <v/>
      </c>
      <c r="AF318" s="18" t="str">
        <f t="shared" si="65"/>
        <v/>
      </c>
      <c r="AG318" s="18" t="str">
        <f>IF(OR(O318="",AD318=""),"",IFERROR(INDEX(لیست‌ها!$Q$3:$Q$53,MATCH(AD318,لیست‌ها!$P$3:$P$53,0))+IF(AE318&lt;=6,(AE318-1)*31+AF318,IF(AE318&lt;=11,186+(AE318-7)*30+AF318,336+AF318))-1,""))</f>
        <v/>
      </c>
      <c r="AH318" s="18" t="str">
        <f t="shared" si="66"/>
        <v/>
      </c>
      <c r="AI318" s="18" t="str">
        <f t="shared" si="67"/>
        <v/>
      </c>
      <c r="AJ318" s="18" t="str">
        <f t="shared" ca="1" si="68"/>
        <v/>
      </c>
    </row>
    <row r="319" spans="1:36">
      <c r="A319" s="18">
        <v>316</v>
      </c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8" t="str">
        <f t="shared" ca="1" si="56"/>
        <v/>
      </c>
      <c r="U319" s="18">
        <f t="shared" ca="1" si="69"/>
        <v>0</v>
      </c>
      <c r="V319" s="18" t="str">
        <f t="shared" si="57"/>
        <v/>
      </c>
      <c r="W319" s="18" t="str">
        <f t="shared" si="58"/>
        <v/>
      </c>
      <c r="X319" s="18" t="str">
        <f t="shared" si="59"/>
        <v/>
      </c>
      <c r="Y319" s="19" t="str">
        <f>IF(OR(L319="",V319=""),"",IFERROR(INDEX(لیست‌ها!$Q$3:$Q$53,MATCH(V319,لیست‌ها!$P$3:$P$53,0))+IF(W319&lt;=6,(W319-1)*31+X319,IF(W319&lt;=11,186+(W319-7)*30+X319,336+X319))-1,""))</f>
        <v/>
      </c>
      <c r="Z319" s="18" t="str">
        <f t="shared" si="60"/>
        <v/>
      </c>
      <c r="AA319" s="18" t="str">
        <f t="shared" si="61"/>
        <v/>
      </c>
      <c r="AB319" s="18" t="str">
        <f t="shared" si="62"/>
        <v/>
      </c>
      <c r="AC319" s="19" t="str">
        <f>IF(OR(H319="",Z319=""),"",IFERROR(INDEX(لیست‌ها!$Q$3:$Q$53,MATCH(Z319,لیست‌ها!$P$3:$P$53,0))+IF(AA319&lt;=6,(AA319-1)*31+AB319,IF(AA319&lt;=11,186+(AA319-7)*30+AB319,336+AB319))-1,""))</f>
        <v/>
      </c>
      <c r="AD319" s="18" t="str">
        <f t="shared" si="63"/>
        <v/>
      </c>
      <c r="AE319" s="18" t="str">
        <f t="shared" si="64"/>
        <v/>
      </c>
      <c r="AF319" s="18" t="str">
        <f t="shared" si="65"/>
        <v/>
      </c>
      <c r="AG319" s="18" t="str">
        <f>IF(OR(O319="",AD319=""),"",IFERROR(INDEX(لیست‌ها!$Q$3:$Q$53,MATCH(AD319,لیست‌ها!$P$3:$P$53,0))+IF(AE319&lt;=6,(AE319-1)*31+AF319,IF(AE319&lt;=11,186+(AE319-7)*30+AF319,336+AF319))-1,""))</f>
        <v/>
      </c>
      <c r="AH319" s="18" t="str">
        <f t="shared" si="66"/>
        <v/>
      </c>
      <c r="AI319" s="18" t="str">
        <f t="shared" si="67"/>
        <v/>
      </c>
      <c r="AJ319" s="18" t="str">
        <f t="shared" ca="1" si="68"/>
        <v/>
      </c>
    </row>
    <row r="320" spans="1:36">
      <c r="A320" s="18">
        <v>317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8" t="str">
        <f t="shared" ca="1" si="56"/>
        <v/>
      </c>
      <c r="U320" s="18">
        <f t="shared" ca="1" si="69"/>
        <v>0</v>
      </c>
      <c r="V320" s="18" t="str">
        <f t="shared" si="57"/>
        <v/>
      </c>
      <c r="W320" s="18" t="str">
        <f t="shared" si="58"/>
        <v/>
      </c>
      <c r="X320" s="18" t="str">
        <f t="shared" si="59"/>
        <v/>
      </c>
      <c r="Y320" s="19" t="str">
        <f>IF(OR(L320="",V320=""),"",IFERROR(INDEX(لیست‌ها!$Q$3:$Q$53,MATCH(V320,لیست‌ها!$P$3:$P$53,0))+IF(W320&lt;=6,(W320-1)*31+X320,IF(W320&lt;=11,186+(W320-7)*30+X320,336+X320))-1,""))</f>
        <v/>
      </c>
      <c r="Z320" s="18" t="str">
        <f t="shared" si="60"/>
        <v/>
      </c>
      <c r="AA320" s="18" t="str">
        <f t="shared" si="61"/>
        <v/>
      </c>
      <c r="AB320" s="18" t="str">
        <f t="shared" si="62"/>
        <v/>
      </c>
      <c r="AC320" s="19" t="str">
        <f>IF(OR(H320="",Z320=""),"",IFERROR(INDEX(لیست‌ها!$Q$3:$Q$53,MATCH(Z320,لیست‌ها!$P$3:$P$53,0))+IF(AA320&lt;=6,(AA320-1)*31+AB320,IF(AA320&lt;=11,186+(AA320-7)*30+AB320,336+AB320))-1,""))</f>
        <v/>
      </c>
      <c r="AD320" s="18" t="str">
        <f t="shared" si="63"/>
        <v/>
      </c>
      <c r="AE320" s="18" t="str">
        <f t="shared" si="64"/>
        <v/>
      </c>
      <c r="AF320" s="18" t="str">
        <f t="shared" si="65"/>
        <v/>
      </c>
      <c r="AG320" s="18" t="str">
        <f>IF(OR(O320="",AD320=""),"",IFERROR(INDEX(لیست‌ها!$Q$3:$Q$53,MATCH(AD320,لیست‌ها!$P$3:$P$53,0))+IF(AE320&lt;=6,(AE320-1)*31+AF320,IF(AE320&lt;=11,186+(AE320-7)*30+AF320,336+AF320))-1,""))</f>
        <v/>
      </c>
      <c r="AH320" s="18" t="str">
        <f t="shared" si="66"/>
        <v/>
      </c>
      <c r="AI320" s="18" t="str">
        <f t="shared" si="67"/>
        <v/>
      </c>
      <c r="AJ320" s="18" t="str">
        <f t="shared" ca="1" si="68"/>
        <v/>
      </c>
    </row>
    <row r="321" spans="1:36">
      <c r="A321" s="18">
        <v>318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8" t="str">
        <f t="shared" ca="1" si="56"/>
        <v/>
      </c>
      <c r="U321" s="18">
        <f t="shared" ca="1" si="69"/>
        <v>0</v>
      </c>
      <c r="V321" s="18" t="str">
        <f t="shared" si="57"/>
        <v/>
      </c>
      <c r="W321" s="18" t="str">
        <f t="shared" si="58"/>
        <v/>
      </c>
      <c r="X321" s="18" t="str">
        <f t="shared" si="59"/>
        <v/>
      </c>
      <c r="Y321" s="19" t="str">
        <f>IF(OR(L321="",V321=""),"",IFERROR(INDEX(لیست‌ها!$Q$3:$Q$53,MATCH(V321,لیست‌ها!$P$3:$P$53,0))+IF(W321&lt;=6,(W321-1)*31+X321,IF(W321&lt;=11,186+(W321-7)*30+X321,336+X321))-1,""))</f>
        <v/>
      </c>
      <c r="Z321" s="18" t="str">
        <f t="shared" si="60"/>
        <v/>
      </c>
      <c r="AA321" s="18" t="str">
        <f t="shared" si="61"/>
        <v/>
      </c>
      <c r="AB321" s="18" t="str">
        <f t="shared" si="62"/>
        <v/>
      </c>
      <c r="AC321" s="19" t="str">
        <f>IF(OR(H321="",Z321=""),"",IFERROR(INDEX(لیست‌ها!$Q$3:$Q$53,MATCH(Z321,لیست‌ها!$P$3:$P$53,0))+IF(AA321&lt;=6,(AA321-1)*31+AB321,IF(AA321&lt;=11,186+(AA321-7)*30+AB321,336+AB321))-1,""))</f>
        <v/>
      </c>
      <c r="AD321" s="18" t="str">
        <f t="shared" si="63"/>
        <v/>
      </c>
      <c r="AE321" s="18" t="str">
        <f t="shared" si="64"/>
        <v/>
      </c>
      <c r="AF321" s="18" t="str">
        <f t="shared" si="65"/>
        <v/>
      </c>
      <c r="AG321" s="18" t="str">
        <f>IF(OR(O321="",AD321=""),"",IFERROR(INDEX(لیست‌ها!$Q$3:$Q$53,MATCH(AD321,لیست‌ها!$P$3:$P$53,0))+IF(AE321&lt;=6,(AE321-1)*31+AF321,IF(AE321&lt;=11,186+(AE321-7)*30+AF321,336+AF321))-1,""))</f>
        <v/>
      </c>
      <c r="AH321" s="18" t="str">
        <f t="shared" si="66"/>
        <v/>
      </c>
      <c r="AI321" s="18" t="str">
        <f t="shared" si="67"/>
        <v/>
      </c>
      <c r="AJ321" s="18" t="str">
        <f t="shared" ca="1" si="68"/>
        <v/>
      </c>
    </row>
    <row r="322" spans="1:36">
      <c r="A322" s="18">
        <v>319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8" t="str">
        <f t="shared" ca="1" si="56"/>
        <v/>
      </c>
      <c r="U322" s="18">
        <f t="shared" ca="1" si="69"/>
        <v>0</v>
      </c>
      <c r="V322" s="18" t="str">
        <f t="shared" si="57"/>
        <v/>
      </c>
      <c r="W322" s="18" t="str">
        <f t="shared" si="58"/>
        <v/>
      </c>
      <c r="X322" s="18" t="str">
        <f t="shared" si="59"/>
        <v/>
      </c>
      <c r="Y322" s="19" t="str">
        <f>IF(OR(L322="",V322=""),"",IFERROR(INDEX(لیست‌ها!$Q$3:$Q$53,MATCH(V322,لیست‌ها!$P$3:$P$53,0))+IF(W322&lt;=6,(W322-1)*31+X322,IF(W322&lt;=11,186+(W322-7)*30+X322,336+X322))-1,""))</f>
        <v/>
      </c>
      <c r="Z322" s="18" t="str">
        <f t="shared" si="60"/>
        <v/>
      </c>
      <c r="AA322" s="18" t="str">
        <f t="shared" si="61"/>
        <v/>
      </c>
      <c r="AB322" s="18" t="str">
        <f t="shared" si="62"/>
        <v/>
      </c>
      <c r="AC322" s="19" t="str">
        <f>IF(OR(H322="",Z322=""),"",IFERROR(INDEX(لیست‌ها!$Q$3:$Q$53,MATCH(Z322,لیست‌ها!$P$3:$P$53,0))+IF(AA322&lt;=6,(AA322-1)*31+AB322,IF(AA322&lt;=11,186+(AA322-7)*30+AB322,336+AB322))-1,""))</f>
        <v/>
      </c>
      <c r="AD322" s="18" t="str">
        <f t="shared" si="63"/>
        <v/>
      </c>
      <c r="AE322" s="18" t="str">
        <f t="shared" si="64"/>
        <v/>
      </c>
      <c r="AF322" s="18" t="str">
        <f t="shared" si="65"/>
        <v/>
      </c>
      <c r="AG322" s="18" t="str">
        <f>IF(OR(O322="",AD322=""),"",IFERROR(INDEX(لیست‌ها!$Q$3:$Q$53,MATCH(AD322,لیست‌ها!$P$3:$P$53,0))+IF(AE322&lt;=6,(AE322-1)*31+AF322,IF(AE322&lt;=11,186+(AE322-7)*30+AF322,336+AF322))-1,""))</f>
        <v/>
      </c>
      <c r="AH322" s="18" t="str">
        <f t="shared" si="66"/>
        <v/>
      </c>
      <c r="AI322" s="18" t="str">
        <f t="shared" si="67"/>
        <v/>
      </c>
      <c r="AJ322" s="18" t="str">
        <f t="shared" ca="1" si="68"/>
        <v/>
      </c>
    </row>
    <row r="323" spans="1:36">
      <c r="A323" s="18">
        <v>320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8" t="str">
        <f t="shared" ca="1" si="56"/>
        <v/>
      </c>
      <c r="U323" s="18">
        <f t="shared" ca="1" si="69"/>
        <v>0</v>
      </c>
      <c r="V323" s="18" t="str">
        <f t="shared" si="57"/>
        <v/>
      </c>
      <c r="W323" s="18" t="str">
        <f t="shared" si="58"/>
        <v/>
      </c>
      <c r="X323" s="18" t="str">
        <f t="shared" si="59"/>
        <v/>
      </c>
      <c r="Y323" s="19" t="str">
        <f>IF(OR(L323="",V323=""),"",IFERROR(INDEX(لیست‌ها!$Q$3:$Q$53,MATCH(V323,لیست‌ها!$P$3:$P$53,0))+IF(W323&lt;=6,(W323-1)*31+X323,IF(W323&lt;=11,186+(W323-7)*30+X323,336+X323))-1,""))</f>
        <v/>
      </c>
      <c r="Z323" s="18" t="str">
        <f t="shared" si="60"/>
        <v/>
      </c>
      <c r="AA323" s="18" t="str">
        <f t="shared" si="61"/>
        <v/>
      </c>
      <c r="AB323" s="18" t="str">
        <f t="shared" si="62"/>
        <v/>
      </c>
      <c r="AC323" s="19" t="str">
        <f>IF(OR(H323="",Z323=""),"",IFERROR(INDEX(لیست‌ها!$Q$3:$Q$53,MATCH(Z323,لیست‌ها!$P$3:$P$53,0))+IF(AA323&lt;=6,(AA323-1)*31+AB323,IF(AA323&lt;=11,186+(AA323-7)*30+AB323,336+AB323))-1,""))</f>
        <v/>
      </c>
      <c r="AD323" s="18" t="str">
        <f t="shared" si="63"/>
        <v/>
      </c>
      <c r="AE323" s="18" t="str">
        <f t="shared" si="64"/>
        <v/>
      </c>
      <c r="AF323" s="18" t="str">
        <f t="shared" si="65"/>
        <v/>
      </c>
      <c r="AG323" s="18" t="str">
        <f>IF(OR(O323="",AD323=""),"",IFERROR(INDEX(لیست‌ها!$Q$3:$Q$53,MATCH(AD323,لیست‌ها!$P$3:$P$53,0))+IF(AE323&lt;=6,(AE323-1)*31+AF323,IF(AE323&lt;=11,186+(AE323-7)*30+AF323,336+AF323))-1,""))</f>
        <v/>
      </c>
      <c r="AH323" s="18" t="str">
        <f t="shared" si="66"/>
        <v/>
      </c>
      <c r="AI323" s="18" t="str">
        <f t="shared" si="67"/>
        <v/>
      </c>
      <c r="AJ323" s="18" t="str">
        <f t="shared" ca="1" si="68"/>
        <v/>
      </c>
    </row>
    <row r="324" spans="1:36">
      <c r="A324" s="18">
        <v>321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8" t="str">
        <f t="shared" ref="T324:T387" ca="1" si="70">IF(B324="","",IF(OR(I324&lt;&gt;"",O324&lt;&gt;""),"بسته",IF(AND(L324&lt;&gt;"",V324=""),"خطای فرمت تاریخ ایجاد",IF(AND(H324&lt;&gt;"",Z324=""),"خطای فرمت مهلت",IF(AND(H324&lt;&gt;"",AC324&lt;&gt;"",TODAY()&gt;AC324),"تاخیر",IF(L324&lt;&gt;"","در حال انجام",""))))))</f>
        <v/>
      </c>
      <c r="U324" s="18">
        <f t="shared" ca="1" si="69"/>
        <v>0</v>
      </c>
      <c r="V324" s="18" t="str">
        <f t="shared" ref="V324:V387" si="71">IF(L324="","",VALUE(LEFT(L324,FIND("/",L324)-1)))</f>
        <v/>
      </c>
      <c r="W324" s="18" t="str">
        <f t="shared" ref="W324:W387" si="72">IF(L324="","",VALUE(MID(L324,FIND("/",L324)+1,FIND("/",L324,FIND("/",L324)+1)-FIND("/",L324)-1)))</f>
        <v/>
      </c>
      <c r="X324" s="18" t="str">
        <f t="shared" ref="X324:X387" si="73">IF(L324="","",VALUE(MID(L324,FIND("/",L324,FIND("/",L324)+1)+1,LEN(L324)-FIND("/",L324,FIND("/",L324)+1))))</f>
        <v/>
      </c>
      <c r="Y324" s="19" t="str">
        <f>IF(OR(L324="",V324=""),"",IFERROR(INDEX(لیست‌ها!$Q$3:$Q$53,MATCH(V324,لیست‌ها!$P$3:$P$53,0))+IF(W324&lt;=6,(W324-1)*31+X324,IF(W324&lt;=11,186+(W324-7)*30+X324,336+X324))-1,""))</f>
        <v/>
      </c>
      <c r="Z324" s="18" t="str">
        <f t="shared" ref="Z324:Z387" si="74">IF(H324="","",VALUE(LEFT(H324,FIND("/",H324)-1)))</f>
        <v/>
      </c>
      <c r="AA324" s="18" t="str">
        <f t="shared" ref="AA324:AA387" si="75">IF(H324="","",VALUE(MID(H324,FIND("/",H324)+1,FIND("/",H324,FIND("/",H324)+1)-FIND("/",H324)-1)))</f>
        <v/>
      </c>
      <c r="AB324" s="18" t="str">
        <f t="shared" ref="AB324:AB387" si="76">IF(H324="","",VALUE(MID(H324,FIND("/",H324,FIND("/",H324)+1)+1,LEN(H324)-FIND("/",H324,FIND("/",H324)+1))))</f>
        <v/>
      </c>
      <c r="AC324" s="19" t="str">
        <f>IF(OR(H324="",Z324=""),"",IFERROR(INDEX(لیست‌ها!$Q$3:$Q$53,MATCH(Z324,لیست‌ها!$P$3:$P$53,0))+IF(AA324&lt;=6,(AA324-1)*31+AB324,IF(AA324&lt;=11,186+(AA324-7)*30+AB324,336+AB324))-1,""))</f>
        <v/>
      </c>
      <c r="AD324" s="18" t="str">
        <f t="shared" ref="AD324:AD387" si="77">IF(O324="","",VALUE(LEFT(O324,FIND("/",O324)-1)))</f>
        <v/>
      </c>
      <c r="AE324" s="18" t="str">
        <f t="shared" ref="AE324:AE387" si="78">IF(O324="","",VALUE(MID(O324,FIND("/",O324)+1,FIND("/",O324,FIND("/",O324)+1)-FIND("/",O324)-1)))</f>
        <v/>
      </c>
      <c r="AF324" s="18" t="str">
        <f t="shared" ref="AF324:AF387" si="79">IF(O324="","",VALUE(MID(O324,FIND("/",O324,FIND("/",O324)+1)+1,LEN(O324)-FIND("/",O324,FIND("/",O324)+1))))</f>
        <v/>
      </c>
      <c r="AG324" s="18" t="str">
        <f>IF(OR(O324="",AD324=""),"",IFERROR(INDEX(لیست‌ها!$Q$3:$Q$53,MATCH(AD324,لیست‌ها!$P$3:$P$53,0))+IF(AE324&lt;=6,(AE324-1)*31+AF324,IF(AE324&lt;=11,186+(AE324-7)*30+AF324,336+AF324))-1,""))</f>
        <v/>
      </c>
      <c r="AH324" s="18" t="str">
        <f t="shared" ref="AH324:AH387" si="80">IF(V324="","",V324&amp;"-"&amp;TEXT(W324,"00"))</f>
        <v/>
      </c>
      <c r="AI324" s="18" t="str">
        <f t="shared" ref="AI324:AI387" si="81">IF(V324="","",V324*12+W324)</f>
        <v/>
      </c>
      <c r="AJ324" s="18" t="str">
        <f t="shared" ref="AJ324:AJ387" ca="1" si="82">IF(T324="تاخیر",U324+ROW()/100000,"")</f>
        <v/>
      </c>
    </row>
    <row r="325" spans="1:36">
      <c r="A325" s="18">
        <v>322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8" t="str">
        <f t="shared" ca="1" si="70"/>
        <v/>
      </c>
      <c r="U325" s="18">
        <f t="shared" ref="U325:U388" ca="1" si="83">IF(T325="تاخیر",TODAY()-AC325,IF(AND(T325="بسته",AG325&lt;&gt;"",AC325&lt;&gt;"",AG325&gt;AC325),AG325-AC325,0))</f>
        <v>0</v>
      </c>
      <c r="V325" s="18" t="str">
        <f t="shared" si="71"/>
        <v/>
      </c>
      <c r="W325" s="18" t="str">
        <f t="shared" si="72"/>
        <v/>
      </c>
      <c r="X325" s="18" t="str">
        <f t="shared" si="73"/>
        <v/>
      </c>
      <c r="Y325" s="19" t="str">
        <f>IF(OR(L325="",V325=""),"",IFERROR(INDEX(لیست‌ها!$Q$3:$Q$53,MATCH(V325,لیست‌ها!$P$3:$P$53,0))+IF(W325&lt;=6,(W325-1)*31+X325,IF(W325&lt;=11,186+(W325-7)*30+X325,336+X325))-1,""))</f>
        <v/>
      </c>
      <c r="Z325" s="18" t="str">
        <f t="shared" si="74"/>
        <v/>
      </c>
      <c r="AA325" s="18" t="str">
        <f t="shared" si="75"/>
        <v/>
      </c>
      <c r="AB325" s="18" t="str">
        <f t="shared" si="76"/>
        <v/>
      </c>
      <c r="AC325" s="19" t="str">
        <f>IF(OR(H325="",Z325=""),"",IFERROR(INDEX(لیست‌ها!$Q$3:$Q$53,MATCH(Z325,لیست‌ها!$P$3:$P$53,0))+IF(AA325&lt;=6,(AA325-1)*31+AB325,IF(AA325&lt;=11,186+(AA325-7)*30+AB325,336+AB325))-1,""))</f>
        <v/>
      </c>
      <c r="AD325" s="18" t="str">
        <f t="shared" si="77"/>
        <v/>
      </c>
      <c r="AE325" s="18" t="str">
        <f t="shared" si="78"/>
        <v/>
      </c>
      <c r="AF325" s="18" t="str">
        <f t="shared" si="79"/>
        <v/>
      </c>
      <c r="AG325" s="18" t="str">
        <f>IF(OR(O325="",AD325=""),"",IFERROR(INDEX(لیست‌ها!$Q$3:$Q$53,MATCH(AD325,لیست‌ها!$P$3:$P$53,0))+IF(AE325&lt;=6,(AE325-1)*31+AF325,IF(AE325&lt;=11,186+(AE325-7)*30+AF325,336+AF325))-1,""))</f>
        <v/>
      </c>
      <c r="AH325" s="18" t="str">
        <f t="shared" si="80"/>
        <v/>
      </c>
      <c r="AI325" s="18" t="str">
        <f t="shared" si="81"/>
        <v/>
      </c>
      <c r="AJ325" s="18" t="str">
        <f t="shared" ca="1" si="82"/>
        <v/>
      </c>
    </row>
    <row r="326" spans="1:36">
      <c r="A326" s="18">
        <v>323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8" t="str">
        <f t="shared" ca="1" si="70"/>
        <v/>
      </c>
      <c r="U326" s="18">
        <f t="shared" ca="1" si="83"/>
        <v>0</v>
      </c>
      <c r="V326" s="18" t="str">
        <f t="shared" si="71"/>
        <v/>
      </c>
      <c r="W326" s="18" t="str">
        <f t="shared" si="72"/>
        <v/>
      </c>
      <c r="X326" s="18" t="str">
        <f t="shared" si="73"/>
        <v/>
      </c>
      <c r="Y326" s="19" t="str">
        <f>IF(OR(L326="",V326=""),"",IFERROR(INDEX(لیست‌ها!$Q$3:$Q$53,MATCH(V326,لیست‌ها!$P$3:$P$53,0))+IF(W326&lt;=6,(W326-1)*31+X326,IF(W326&lt;=11,186+(W326-7)*30+X326,336+X326))-1,""))</f>
        <v/>
      </c>
      <c r="Z326" s="18" t="str">
        <f t="shared" si="74"/>
        <v/>
      </c>
      <c r="AA326" s="18" t="str">
        <f t="shared" si="75"/>
        <v/>
      </c>
      <c r="AB326" s="18" t="str">
        <f t="shared" si="76"/>
        <v/>
      </c>
      <c r="AC326" s="19" t="str">
        <f>IF(OR(H326="",Z326=""),"",IFERROR(INDEX(لیست‌ها!$Q$3:$Q$53,MATCH(Z326,لیست‌ها!$P$3:$P$53,0))+IF(AA326&lt;=6,(AA326-1)*31+AB326,IF(AA326&lt;=11,186+(AA326-7)*30+AB326,336+AB326))-1,""))</f>
        <v/>
      </c>
      <c r="AD326" s="18" t="str">
        <f t="shared" si="77"/>
        <v/>
      </c>
      <c r="AE326" s="18" t="str">
        <f t="shared" si="78"/>
        <v/>
      </c>
      <c r="AF326" s="18" t="str">
        <f t="shared" si="79"/>
        <v/>
      </c>
      <c r="AG326" s="18" t="str">
        <f>IF(OR(O326="",AD326=""),"",IFERROR(INDEX(لیست‌ها!$Q$3:$Q$53,MATCH(AD326,لیست‌ها!$P$3:$P$53,0))+IF(AE326&lt;=6,(AE326-1)*31+AF326,IF(AE326&lt;=11,186+(AE326-7)*30+AF326,336+AF326))-1,""))</f>
        <v/>
      </c>
      <c r="AH326" s="18" t="str">
        <f t="shared" si="80"/>
        <v/>
      </c>
      <c r="AI326" s="18" t="str">
        <f t="shared" si="81"/>
        <v/>
      </c>
      <c r="AJ326" s="18" t="str">
        <f t="shared" ca="1" si="82"/>
        <v/>
      </c>
    </row>
    <row r="327" spans="1:36">
      <c r="A327" s="18">
        <v>324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8" t="str">
        <f t="shared" ca="1" si="70"/>
        <v/>
      </c>
      <c r="U327" s="18">
        <f t="shared" ca="1" si="83"/>
        <v>0</v>
      </c>
      <c r="V327" s="18" t="str">
        <f t="shared" si="71"/>
        <v/>
      </c>
      <c r="W327" s="18" t="str">
        <f t="shared" si="72"/>
        <v/>
      </c>
      <c r="X327" s="18" t="str">
        <f t="shared" si="73"/>
        <v/>
      </c>
      <c r="Y327" s="19" t="str">
        <f>IF(OR(L327="",V327=""),"",IFERROR(INDEX(لیست‌ها!$Q$3:$Q$53,MATCH(V327,لیست‌ها!$P$3:$P$53,0))+IF(W327&lt;=6,(W327-1)*31+X327,IF(W327&lt;=11,186+(W327-7)*30+X327,336+X327))-1,""))</f>
        <v/>
      </c>
      <c r="Z327" s="18" t="str">
        <f t="shared" si="74"/>
        <v/>
      </c>
      <c r="AA327" s="18" t="str">
        <f t="shared" si="75"/>
        <v/>
      </c>
      <c r="AB327" s="18" t="str">
        <f t="shared" si="76"/>
        <v/>
      </c>
      <c r="AC327" s="19" t="str">
        <f>IF(OR(H327="",Z327=""),"",IFERROR(INDEX(لیست‌ها!$Q$3:$Q$53,MATCH(Z327,لیست‌ها!$P$3:$P$53,0))+IF(AA327&lt;=6,(AA327-1)*31+AB327,IF(AA327&lt;=11,186+(AA327-7)*30+AB327,336+AB327))-1,""))</f>
        <v/>
      </c>
      <c r="AD327" s="18" t="str">
        <f t="shared" si="77"/>
        <v/>
      </c>
      <c r="AE327" s="18" t="str">
        <f t="shared" si="78"/>
        <v/>
      </c>
      <c r="AF327" s="18" t="str">
        <f t="shared" si="79"/>
        <v/>
      </c>
      <c r="AG327" s="18" t="str">
        <f>IF(OR(O327="",AD327=""),"",IFERROR(INDEX(لیست‌ها!$Q$3:$Q$53,MATCH(AD327,لیست‌ها!$P$3:$P$53,0))+IF(AE327&lt;=6,(AE327-1)*31+AF327,IF(AE327&lt;=11,186+(AE327-7)*30+AF327,336+AF327))-1,""))</f>
        <v/>
      </c>
      <c r="AH327" s="18" t="str">
        <f t="shared" si="80"/>
        <v/>
      </c>
      <c r="AI327" s="18" t="str">
        <f t="shared" si="81"/>
        <v/>
      </c>
      <c r="AJ327" s="18" t="str">
        <f t="shared" ca="1" si="82"/>
        <v/>
      </c>
    </row>
    <row r="328" spans="1:36">
      <c r="A328" s="18">
        <v>325</v>
      </c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8" t="str">
        <f t="shared" ca="1" si="70"/>
        <v/>
      </c>
      <c r="U328" s="18">
        <f t="shared" ca="1" si="83"/>
        <v>0</v>
      </c>
      <c r="V328" s="18" t="str">
        <f t="shared" si="71"/>
        <v/>
      </c>
      <c r="W328" s="18" t="str">
        <f t="shared" si="72"/>
        <v/>
      </c>
      <c r="X328" s="18" t="str">
        <f t="shared" si="73"/>
        <v/>
      </c>
      <c r="Y328" s="19" t="str">
        <f>IF(OR(L328="",V328=""),"",IFERROR(INDEX(لیست‌ها!$Q$3:$Q$53,MATCH(V328,لیست‌ها!$P$3:$P$53,0))+IF(W328&lt;=6,(W328-1)*31+X328,IF(W328&lt;=11,186+(W328-7)*30+X328,336+X328))-1,""))</f>
        <v/>
      </c>
      <c r="Z328" s="18" t="str">
        <f t="shared" si="74"/>
        <v/>
      </c>
      <c r="AA328" s="18" t="str">
        <f t="shared" si="75"/>
        <v/>
      </c>
      <c r="AB328" s="18" t="str">
        <f t="shared" si="76"/>
        <v/>
      </c>
      <c r="AC328" s="19" t="str">
        <f>IF(OR(H328="",Z328=""),"",IFERROR(INDEX(لیست‌ها!$Q$3:$Q$53,MATCH(Z328,لیست‌ها!$P$3:$P$53,0))+IF(AA328&lt;=6,(AA328-1)*31+AB328,IF(AA328&lt;=11,186+(AA328-7)*30+AB328,336+AB328))-1,""))</f>
        <v/>
      </c>
      <c r="AD328" s="18" t="str">
        <f t="shared" si="77"/>
        <v/>
      </c>
      <c r="AE328" s="18" t="str">
        <f t="shared" si="78"/>
        <v/>
      </c>
      <c r="AF328" s="18" t="str">
        <f t="shared" si="79"/>
        <v/>
      </c>
      <c r="AG328" s="18" t="str">
        <f>IF(OR(O328="",AD328=""),"",IFERROR(INDEX(لیست‌ها!$Q$3:$Q$53,MATCH(AD328,لیست‌ها!$P$3:$P$53,0))+IF(AE328&lt;=6,(AE328-1)*31+AF328,IF(AE328&lt;=11,186+(AE328-7)*30+AF328,336+AF328))-1,""))</f>
        <v/>
      </c>
      <c r="AH328" s="18" t="str">
        <f t="shared" si="80"/>
        <v/>
      </c>
      <c r="AI328" s="18" t="str">
        <f t="shared" si="81"/>
        <v/>
      </c>
      <c r="AJ328" s="18" t="str">
        <f t="shared" ca="1" si="82"/>
        <v/>
      </c>
    </row>
    <row r="329" spans="1:36">
      <c r="A329" s="18">
        <v>326</v>
      </c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8" t="str">
        <f t="shared" ca="1" si="70"/>
        <v/>
      </c>
      <c r="U329" s="18">
        <f t="shared" ca="1" si="83"/>
        <v>0</v>
      </c>
      <c r="V329" s="18" t="str">
        <f t="shared" si="71"/>
        <v/>
      </c>
      <c r="W329" s="18" t="str">
        <f t="shared" si="72"/>
        <v/>
      </c>
      <c r="X329" s="18" t="str">
        <f t="shared" si="73"/>
        <v/>
      </c>
      <c r="Y329" s="19" t="str">
        <f>IF(OR(L329="",V329=""),"",IFERROR(INDEX(لیست‌ها!$Q$3:$Q$53,MATCH(V329,لیست‌ها!$P$3:$P$53,0))+IF(W329&lt;=6,(W329-1)*31+X329,IF(W329&lt;=11,186+(W329-7)*30+X329,336+X329))-1,""))</f>
        <v/>
      </c>
      <c r="Z329" s="18" t="str">
        <f t="shared" si="74"/>
        <v/>
      </c>
      <c r="AA329" s="18" t="str">
        <f t="shared" si="75"/>
        <v/>
      </c>
      <c r="AB329" s="18" t="str">
        <f t="shared" si="76"/>
        <v/>
      </c>
      <c r="AC329" s="19" t="str">
        <f>IF(OR(H329="",Z329=""),"",IFERROR(INDEX(لیست‌ها!$Q$3:$Q$53,MATCH(Z329,لیست‌ها!$P$3:$P$53,0))+IF(AA329&lt;=6,(AA329-1)*31+AB329,IF(AA329&lt;=11,186+(AA329-7)*30+AB329,336+AB329))-1,""))</f>
        <v/>
      </c>
      <c r="AD329" s="18" t="str">
        <f t="shared" si="77"/>
        <v/>
      </c>
      <c r="AE329" s="18" t="str">
        <f t="shared" si="78"/>
        <v/>
      </c>
      <c r="AF329" s="18" t="str">
        <f t="shared" si="79"/>
        <v/>
      </c>
      <c r="AG329" s="18" t="str">
        <f>IF(OR(O329="",AD329=""),"",IFERROR(INDEX(لیست‌ها!$Q$3:$Q$53,MATCH(AD329,لیست‌ها!$P$3:$P$53,0))+IF(AE329&lt;=6,(AE329-1)*31+AF329,IF(AE329&lt;=11,186+(AE329-7)*30+AF329,336+AF329))-1,""))</f>
        <v/>
      </c>
      <c r="AH329" s="18" t="str">
        <f t="shared" si="80"/>
        <v/>
      </c>
      <c r="AI329" s="18" t="str">
        <f t="shared" si="81"/>
        <v/>
      </c>
      <c r="AJ329" s="18" t="str">
        <f t="shared" ca="1" si="82"/>
        <v/>
      </c>
    </row>
    <row r="330" spans="1:36">
      <c r="A330" s="18">
        <v>327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8" t="str">
        <f t="shared" ca="1" si="70"/>
        <v/>
      </c>
      <c r="U330" s="18">
        <f t="shared" ca="1" si="83"/>
        <v>0</v>
      </c>
      <c r="V330" s="18" t="str">
        <f t="shared" si="71"/>
        <v/>
      </c>
      <c r="W330" s="18" t="str">
        <f t="shared" si="72"/>
        <v/>
      </c>
      <c r="X330" s="18" t="str">
        <f t="shared" si="73"/>
        <v/>
      </c>
      <c r="Y330" s="19" t="str">
        <f>IF(OR(L330="",V330=""),"",IFERROR(INDEX(لیست‌ها!$Q$3:$Q$53,MATCH(V330,لیست‌ها!$P$3:$P$53,0))+IF(W330&lt;=6,(W330-1)*31+X330,IF(W330&lt;=11,186+(W330-7)*30+X330,336+X330))-1,""))</f>
        <v/>
      </c>
      <c r="Z330" s="18" t="str">
        <f t="shared" si="74"/>
        <v/>
      </c>
      <c r="AA330" s="18" t="str">
        <f t="shared" si="75"/>
        <v/>
      </c>
      <c r="AB330" s="18" t="str">
        <f t="shared" si="76"/>
        <v/>
      </c>
      <c r="AC330" s="19" t="str">
        <f>IF(OR(H330="",Z330=""),"",IFERROR(INDEX(لیست‌ها!$Q$3:$Q$53,MATCH(Z330,لیست‌ها!$P$3:$P$53,0))+IF(AA330&lt;=6,(AA330-1)*31+AB330,IF(AA330&lt;=11,186+(AA330-7)*30+AB330,336+AB330))-1,""))</f>
        <v/>
      </c>
      <c r="AD330" s="18" t="str">
        <f t="shared" si="77"/>
        <v/>
      </c>
      <c r="AE330" s="18" t="str">
        <f t="shared" si="78"/>
        <v/>
      </c>
      <c r="AF330" s="18" t="str">
        <f t="shared" si="79"/>
        <v/>
      </c>
      <c r="AG330" s="18" t="str">
        <f>IF(OR(O330="",AD330=""),"",IFERROR(INDEX(لیست‌ها!$Q$3:$Q$53,MATCH(AD330,لیست‌ها!$P$3:$P$53,0))+IF(AE330&lt;=6,(AE330-1)*31+AF330,IF(AE330&lt;=11,186+(AE330-7)*30+AF330,336+AF330))-1,""))</f>
        <v/>
      </c>
      <c r="AH330" s="18" t="str">
        <f t="shared" si="80"/>
        <v/>
      </c>
      <c r="AI330" s="18" t="str">
        <f t="shared" si="81"/>
        <v/>
      </c>
      <c r="AJ330" s="18" t="str">
        <f t="shared" ca="1" si="82"/>
        <v/>
      </c>
    </row>
    <row r="331" spans="1:36">
      <c r="A331" s="18">
        <v>328</v>
      </c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8" t="str">
        <f t="shared" ca="1" si="70"/>
        <v/>
      </c>
      <c r="U331" s="18">
        <f t="shared" ca="1" si="83"/>
        <v>0</v>
      </c>
      <c r="V331" s="18" t="str">
        <f t="shared" si="71"/>
        <v/>
      </c>
      <c r="W331" s="18" t="str">
        <f t="shared" si="72"/>
        <v/>
      </c>
      <c r="X331" s="18" t="str">
        <f t="shared" si="73"/>
        <v/>
      </c>
      <c r="Y331" s="19" t="str">
        <f>IF(OR(L331="",V331=""),"",IFERROR(INDEX(لیست‌ها!$Q$3:$Q$53,MATCH(V331,لیست‌ها!$P$3:$P$53,0))+IF(W331&lt;=6,(W331-1)*31+X331,IF(W331&lt;=11,186+(W331-7)*30+X331,336+X331))-1,""))</f>
        <v/>
      </c>
      <c r="Z331" s="18" t="str">
        <f t="shared" si="74"/>
        <v/>
      </c>
      <c r="AA331" s="18" t="str">
        <f t="shared" si="75"/>
        <v/>
      </c>
      <c r="AB331" s="18" t="str">
        <f t="shared" si="76"/>
        <v/>
      </c>
      <c r="AC331" s="19" t="str">
        <f>IF(OR(H331="",Z331=""),"",IFERROR(INDEX(لیست‌ها!$Q$3:$Q$53,MATCH(Z331,لیست‌ها!$P$3:$P$53,0))+IF(AA331&lt;=6,(AA331-1)*31+AB331,IF(AA331&lt;=11,186+(AA331-7)*30+AB331,336+AB331))-1,""))</f>
        <v/>
      </c>
      <c r="AD331" s="18" t="str">
        <f t="shared" si="77"/>
        <v/>
      </c>
      <c r="AE331" s="18" t="str">
        <f t="shared" si="78"/>
        <v/>
      </c>
      <c r="AF331" s="18" t="str">
        <f t="shared" si="79"/>
        <v/>
      </c>
      <c r="AG331" s="18" t="str">
        <f>IF(OR(O331="",AD331=""),"",IFERROR(INDEX(لیست‌ها!$Q$3:$Q$53,MATCH(AD331,لیست‌ها!$P$3:$P$53,0))+IF(AE331&lt;=6,(AE331-1)*31+AF331,IF(AE331&lt;=11,186+(AE331-7)*30+AF331,336+AF331))-1,""))</f>
        <v/>
      </c>
      <c r="AH331" s="18" t="str">
        <f t="shared" si="80"/>
        <v/>
      </c>
      <c r="AI331" s="18" t="str">
        <f t="shared" si="81"/>
        <v/>
      </c>
      <c r="AJ331" s="18" t="str">
        <f t="shared" ca="1" si="82"/>
        <v/>
      </c>
    </row>
    <row r="332" spans="1:36">
      <c r="A332" s="18">
        <v>329</v>
      </c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8" t="str">
        <f t="shared" ca="1" si="70"/>
        <v/>
      </c>
      <c r="U332" s="18">
        <f t="shared" ca="1" si="83"/>
        <v>0</v>
      </c>
      <c r="V332" s="18" t="str">
        <f t="shared" si="71"/>
        <v/>
      </c>
      <c r="W332" s="18" t="str">
        <f t="shared" si="72"/>
        <v/>
      </c>
      <c r="X332" s="18" t="str">
        <f t="shared" si="73"/>
        <v/>
      </c>
      <c r="Y332" s="19" t="str">
        <f>IF(OR(L332="",V332=""),"",IFERROR(INDEX(لیست‌ها!$Q$3:$Q$53,MATCH(V332,لیست‌ها!$P$3:$P$53,0))+IF(W332&lt;=6,(W332-1)*31+X332,IF(W332&lt;=11,186+(W332-7)*30+X332,336+X332))-1,""))</f>
        <v/>
      </c>
      <c r="Z332" s="18" t="str">
        <f t="shared" si="74"/>
        <v/>
      </c>
      <c r="AA332" s="18" t="str">
        <f t="shared" si="75"/>
        <v/>
      </c>
      <c r="AB332" s="18" t="str">
        <f t="shared" si="76"/>
        <v/>
      </c>
      <c r="AC332" s="19" t="str">
        <f>IF(OR(H332="",Z332=""),"",IFERROR(INDEX(لیست‌ها!$Q$3:$Q$53,MATCH(Z332,لیست‌ها!$P$3:$P$53,0))+IF(AA332&lt;=6,(AA332-1)*31+AB332,IF(AA332&lt;=11,186+(AA332-7)*30+AB332,336+AB332))-1,""))</f>
        <v/>
      </c>
      <c r="AD332" s="18" t="str">
        <f t="shared" si="77"/>
        <v/>
      </c>
      <c r="AE332" s="18" t="str">
        <f t="shared" si="78"/>
        <v/>
      </c>
      <c r="AF332" s="18" t="str">
        <f t="shared" si="79"/>
        <v/>
      </c>
      <c r="AG332" s="18" t="str">
        <f>IF(OR(O332="",AD332=""),"",IFERROR(INDEX(لیست‌ها!$Q$3:$Q$53,MATCH(AD332,لیست‌ها!$P$3:$P$53,0))+IF(AE332&lt;=6,(AE332-1)*31+AF332,IF(AE332&lt;=11,186+(AE332-7)*30+AF332,336+AF332))-1,""))</f>
        <v/>
      </c>
      <c r="AH332" s="18" t="str">
        <f t="shared" si="80"/>
        <v/>
      </c>
      <c r="AI332" s="18" t="str">
        <f t="shared" si="81"/>
        <v/>
      </c>
      <c r="AJ332" s="18" t="str">
        <f t="shared" ca="1" si="82"/>
        <v/>
      </c>
    </row>
    <row r="333" spans="1:36">
      <c r="A333" s="18">
        <v>330</v>
      </c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8" t="str">
        <f t="shared" ca="1" si="70"/>
        <v/>
      </c>
      <c r="U333" s="18">
        <f t="shared" ca="1" si="83"/>
        <v>0</v>
      </c>
      <c r="V333" s="18" t="str">
        <f t="shared" si="71"/>
        <v/>
      </c>
      <c r="W333" s="18" t="str">
        <f t="shared" si="72"/>
        <v/>
      </c>
      <c r="X333" s="18" t="str">
        <f t="shared" si="73"/>
        <v/>
      </c>
      <c r="Y333" s="19" t="str">
        <f>IF(OR(L333="",V333=""),"",IFERROR(INDEX(لیست‌ها!$Q$3:$Q$53,MATCH(V333,لیست‌ها!$P$3:$P$53,0))+IF(W333&lt;=6,(W333-1)*31+X333,IF(W333&lt;=11,186+(W333-7)*30+X333,336+X333))-1,""))</f>
        <v/>
      </c>
      <c r="Z333" s="18" t="str">
        <f t="shared" si="74"/>
        <v/>
      </c>
      <c r="AA333" s="18" t="str">
        <f t="shared" si="75"/>
        <v/>
      </c>
      <c r="AB333" s="18" t="str">
        <f t="shared" si="76"/>
        <v/>
      </c>
      <c r="AC333" s="19" t="str">
        <f>IF(OR(H333="",Z333=""),"",IFERROR(INDEX(لیست‌ها!$Q$3:$Q$53,MATCH(Z333,لیست‌ها!$P$3:$P$53,0))+IF(AA333&lt;=6,(AA333-1)*31+AB333,IF(AA333&lt;=11,186+(AA333-7)*30+AB333,336+AB333))-1,""))</f>
        <v/>
      </c>
      <c r="AD333" s="18" t="str">
        <f t="shared" si="77"/>
        <v/>
      </c>
      <c r="AE333" s="18" t="str">
        <f t="shared" si="78"/>
        <v/>
      </c>
      <c r="AF333" s="18" t="str">
        <f t="shared" si="79"/>
        <v/>
      </c>
      <c r="AG333" s="18" t="str">
        <f>IF(OR(O333="",AD333=""),"",IFERROR(INDEX(لیست‌ها!$Q$3:$Q$53,MATCH(AD333,لیست‌ها!$P$3:$P$53,0))+IF(AE333&lt;=6,(AE333-1)*31+AF333,IF(AE333&lt;=11,186+(AE333-7)*30+AF333,336+AF333))-1,""))</f>
        <v/>
      </c>
      <c r="AH333" s="18" t="str">
        <f t="shared" si="80"/>
        <v/>
      </c>
      <c r="AI333" s="18" t="str">
        <f t="shared" si="81"/>
        <v/>
      </c>
      <c r="AJ333" s="18" t="str">
        <f t="shared" ca="1" si="82"/>
        <v/>
      </c>
    </row>
    <row r="334" spans="1:36">
      <c r="A334" s="18">
        <v>331</v>
      </c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8" t="str">
        <f t="shared" ca="1" si="70"/>
        <v/>
      </c>
      <c r="U334" s="18">
        <f t="shared" ca="1" si="83"/>
        <v>0</v>
      </c>
      <c r="V334" s="18" t="str">
        <f t="shared" si="71"/>
        <v/>
      </c>
      <c r="W334" s="18" t="str">
        <f t="shared" si="72"/>
        <v/>
      </c>
      <c r="X334" s="18" t="str">
        <f t="shared" si="73"/>
        <v/>
      </c>
      <c r="Y334" s="19" t="str">
        <f>IF(OR(L334="",V334=""),"",IFERROR(INDEX(لیست‌ها!$Q$3:$Q$53,MATCH(V334,لیست‌ها!$P$3:$P$53,0))+IF(W334&lt;=6,(W334-1)*31+X334,IF(W334&lt;=11,186+(W334-7)*30+X334,336+X334))-1,""))</f>
        <v/>
      </c>
      <c r="Z334" s="18" t="str">
        <f t="shared" si="74"/>
        <v/>
      </c>
      <c r="AA334" s="18" t="str">
        <f t="shared" si="75"/>
        <v/>
      </c>
      <c r="AB334" s="18" t="str">
        <f t="shared" si="76"/>
        <v/>
      </c>
      <c r="AC334" s="19" t="str">
        <f>IF(OR(H334="",Z334=""),"",IFERROR(INDEX(لیست‌ها!$Q$3:$Q$53,MATCH(Z334,لیست‌ها!$P$3:$P$53,0))+IF(AA334&lt;=6,(AA334-1)*31+AB334,IF(AA334&lt;=11,186+(AA334-7)*30+AB334,336+AB334))-1,""))</f>
        <v/>
      </c>
      <c r="AD334" s="18" t="str">
        <f t="shared" si="77"/>
        <v/>
      </c>
      <c r="AE334" s="18" t="str">
        <f t="shared" si="78"/>
        <v/>
      </c>
      <c r="AF334" s="18" t="str">
        <f t="shared" si="79"/>
        <v/>
      </c>
      <c r="AG334" s="18" t="str">
        <f>IF(OR(O334="",AD334=""),"",IFERROR(INDEX(لیست‌ها!$Q$3:$Q$53,MATCH(AD334,لیست‌ها!$P$3:$P$53,0))+IF(AE334&lt;=6,(AE334-1)*31+AF334,IF(AE334&lt;=11,186+(AE334-7)*30+AF334,336+AF334))-1,""))</f>
        <v/>
      </c>
      <c r="AH334" s="18" t="str">
        <f t="shared" si="80"/>
        <v/>
      </c>
      <c r="AI334" s="18" t="str">
        <f t="shared" si="81"/>
        <v/>
      </c>
      <c r="AJ334" s="18" t="str">
        <f t="shared" ca="1" si="82"/>
        <v/>
      </c>
    </row>
    <row r="335" spans="1:36">
      <c r="A335" s="18">
        <v>332</v>
      </c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8" t="str">
        <f t="shared" ca="1" si="70"/>
        <v/>
      </c>
      <c r="U335" s="18">
        <f t="shared" ca="1" si="83"/>
        <v>0</v>
      </c>
      <c r="V335" s="18" t="str">
        <f t="shared" si="71"/>
        <v/>
      </c>
      <c r="W335" s="18" t="str">
        <f t="shared" si="72"/>
        <v/>
      </c>
      <c r="X335" s="18" t="str">
        <f t="shared" si="73"/>
        <v/>
      </c>
      <c r="Y335" s="19" t="str">
        <f>IF(OR(L335="",V335=""),"",IFERROR(INDEX(لیست‌ها!$Q$3:$Q$53,MATCH(V335,لیست‌ها!$P$3:$P$53,0))+IF(W335&lt;=6,(W335-1)*31+X335,IF(W335&lt;=11,186+(W335-7)*30+X335,336+X335))-1,""))</f>
        <v/>
      </c>
      <c r="Z335" s="18" t="str">
        <f t="shared" si="74"/>
        <v/>
      </c>
      <c r="AA335" s="18" t="str">
        <f t="shared" si="75"/>
        <v/>
      </c>
      <c r="AB335" s="18" t="str">
        <f t="shared" si="76"/>
        <v/>
      </c>
      <c r="AC335" s="19" t="str">
        <f>IF(OR(H335="",Z335=""),"",IFERROR(INDEX(لیست‌ها!$Q$3:$Q$53,MATCH(Z335,لیست‌ها!$P$3:$P$53,0))+IF(AA335&lt;=6,(AA335-1)*31+AB335,IF(AA335&lt;=11,186+(AA335-7)*30+AB335,336+AB335))-1,""))</f>
        <v/>
      </c>
      <c r="AD335" s="18" t="str">
        <f t="shared" si="77"/>
        <v/>
      </c>
      <c r="AE335" s="18" t="str">
        <f t="shared" si="78"/>
        <v/>
      </c>
      <c r="AF335" s="18" t="str">
        <f t="shared" si="79"/>
        <v/>
      </c>
      <c r="AG335" s="18" t="str">
        <f>IF(OR(O335="",AD335=""),"",IFERROR(INDEX(لیست‌ها!$Q$3:$Q$53,MATCH(AD335,لیست‌ها!$P$3:$P$53,0))+IF(AE335&lt;=6,(AE335-1)*31+AF335,IF(AE335&lt;=11,186+(AE335-7)*30+AF335,336+AF335))-1,""))</f>
        <v/>
      </c>
      <c r="AH335" s="18" t="str">
        <f t="shared" si="80"/>
        <v/>
      </c>
      <c r="AI335" s="18" t="str">
        <f t="shared" si="81"/>
        <v/>
      </c>
      <c r="AJ335" s="18" t="str">
        <f t="shared" ca="1" si="82"/>
        <v/>
      </c>
    </row>
    <row r="336" spans="1:36">
      <c r="A336" s="18">
        <v>333</v>
      </c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8" t="str">
        <f t="shared" ca="1" si="70"/>
        <v/>
      </c>
      <c r="U336" s="18">
        <f t="shared" ca="1" si="83"/>
        <v>0</v>
      </c>
      <c r="V336" s="18" t="str">
        <f t="shared" si="71"/>
        <v/>
      </c>
      <c r="W336" s="18" t="str">
        <f t="shared" si="72"/>
        <v/>
      </c>
      <c r="X336" s="18" t="str">
        <f t="shared" si="73"/>
        <v/>
      </c>
      <c r="Y336" s="19" t="str">
        <f>IF(OR(L336="",V336=""),"",IFERROR(INDEX(لیست‌ها!$Q$3:$Q$53,MATCH(V336,لیست‌ها!$P$3:$P$53,0))+IF(W336&lt;=6,(W336-1)*31+X336,IF(W336&lt;=11,186+(W336-7)*30+X336,336+X336))-1,""))</f>
        <v/>
      </c>
      <c r="Z336" s="18" t="str">
        <f t="shared" si="74"/>
        <v/>
      </c>
      <c r="AA336" s="18" t="str">
        <f t="shared" si="75"/>
        <v/>
      </c>
      <c r="AB336" s="18" t="str">
        <f t="shared" si="76"/>
        <v/>
      </c>
      <c r="AC336" s="19" t="str">
        <f>IF(OR(H336="",Z336=""),"",IFERROR(INDEX(لیست‌ها!$Q$3:$Q$53,MATCH(Z336,لیست‌ها!$P$3:$P$53,0))+IF(AA336&lt;=6,(AA336-1)*31+AB336,IF(AA336&lt;=11,186+(AA336-7)*30+AB336,336+AB336))-1,""))</f>
        <v/>
      </c>
      <c r="AD336" s="18" t="str">
        <f t="shared" si="77"/>
        <v/>
      </c>
      <c r="AE336" s="18" t="str">
        <f t="shared" si="78"/>
        <v/>
      </c>
      <c r="AF336" s="18" t="str">
        <f t="shared" si="79"/>
        <v/>
      </c>
      <c r="AG336" s="18" t="str">
        <f>IF(OR(O336="",AD336=""),"",IFERROR(INDEX(لیست‌ها!$Q$3:$Q$53,MATCH(AD336,لیست‌ها!$P$3:$P$53,0))+IF(AE336&lt;=6,(AE336-1)*31+AF336,IF(AE336&lt;=11,186+(AE336-7)*30+AF336,336+AF336))-1,""))</f>
        <v/>
      </c>
      <c r="AH336" s="18" t="str">
        <f t="shared" si="80"/>
        <v/>
      </c>
      <c r="AI336" s="18" t="str">
        <f t="shared" si="81"/>
        <v/>
      </c>
      <c r="AJ336" s="18" t="str">
        <f t="shared" ca="1" si="82"/>
        <v/>
      </c>
    </row>
    <row r="337" spans="1:36">
      <c r="A337" s="18">
        <v>334</v>
      </c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8" t="str">
        <f t="shared" ca="1" si="70"/>
        <v/>
      </c>
      <c r="U337" s="18">
        <f t="shared" ca="1" si="83"/>
        <v>0</v>
      </c>
      <c r="V337" s="18" t="str">
        <f t="shared" si="71"/>
        <v/>
      </c>
      <c r="W337" s="18" t="str">
        <f t="shared" si="72"/>
        <v/>
      </c>
      <c r="X337" s="18" t="str">
        <f t="shared" si="73"/>
        <v/>
      </c>
      <c r="Y337" s="19" t="str">
        <f>IF(OR(L337="",V337=""),"",IFERROR(INDEX(لیست‌ها!$Q$3:$Q$53,MATCH(V337,لیست‌ها!$P$3:$P$53,0))+IF(W337&lt;=6,(W337-1)*31+X337,IF(W337&lt;=11,186+(W337-7)*30+X337,336+X337))-1,""))</f>
        <v/>
      </c>
      <c r="Z337" s="18" t="str">
        <f t="shared" si="74"/>
        <v/>
      </c>
      <c r="AA337" s="18" t="str">
        <f t="shared" si="75"/>
        <v/>
      </c>
      <c r="AB337" s="18" t="str">
        <f t="shared" si="76"/>
        <v/>
      </c>
      <c r="AC337" s="19" t="str">
        <f>IF(OR(H337="",Z337=""),"",IFERROR(INDEX(لیست‌ها!$Q$3:$Q$53,MATCH(Z337,لیست‌ها!$P$3:$P$53,0))+IF(AA337&lt;=6,(AA337-1)*31+AB337,IF(AA337&lt;=11,186+(AA337-7)*30+AB337,336+AB337))-1,""))</f>
        <v/>
      </c>
      <c r="AD337" s="18" t="str">
        <f t="shared" si="77"/>
        <v/>
      </c>
      <c r="AE337" s="18" t="str">
        <f t="shared" si="78"/>
        <v/>
      </c>
      <c r="AF337" s="18" t="str">
        <f t="shared" si="79"/>
        <v/>
      </c>
      <c r="AG337" s="18" t="str">
        <f>IF(OR(O337="",AD337=""),"",IFERROR(INDEX(لیست‌ها!$Q$3:$Q$53,MATCH(AD337,لیست‌ها!$P$3:$P$53,0))+IF(AE337&lt;=6,(AE337-1)*31+AF337,IF(AE337&lt;=11,186+(AE337-7)*30+AF337,336+AF337))-1,""))</f>
        <v/>
      </c>
      <c r="AH337" s="18" t="str">
        <f t="shared" si="80"/>
        <v/>
      </c>
      <c r="AI337" s="18" t="str">
        <f t="shared" si="81"/>
        <v/>
      </c>
      <c r="AJ337" s="18" t="str">
        <f t="shared" ca="1" si="82"/>
        <v/>
      </c>
    </row>
    <row r="338" spans="1:36">
      <c r="A338" s="18">
        <v>335</v>
      </c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8" t="str">
        <f t="shared" ca="1" si="70"/>
        <v/>
      </c>
      <c r="U338" s="18">
        <f t="shared" ca="1" si="83"/>
        <v>0</v>
      </c>
      <c r="V338" s="18" t="str">
        <f t="shared" si="71"/>
        <v/>
      </c>
      <c r="W338" s="18" t="str">
        <f t="shared" si="72"/>
        <v/>
      </c>
      <c r="X338" s="18" t="str">
        <f t="shared" si="73"/>
        <v/>
      </c>
      <c r="Y338" s="19" t="str">
        <f>IF(OR(L338="",V338=""),"",IFERROR(INDEX(لیست‌ها!$Q$3:$Q$53,MATCH(V338,لیست‌ها!$P$3:$P$53,0))+IF(W338&lt;=6,(W338-1)*31+X338,IF(W338&lt;=11,186+(W338-7)*30+X338,336+X338))-1,""))</f>
        <v/>
      </c>
      <c r="Z338" s="18" t="str">
        <f t="shared" si="74"/>
        <v/>
      </c>
      <c r="AA338" s="18" t="str">
        <f t="shared" si="75"/>
        <v/>
      </c>
      <c r="AB338" s="18" t="str">
        <f t="shared" si="76"/>
        <v/>
      </c>
      <c r="AC338" s="19" t="str">
        <f>IF(OR(H338="",Z338=""),"",IFERROR(INDEX(لیست‌ها!$Q$3:$Q$53,MATCH(Z338,لیست‌ها!$P$3:$P$53,0))+IF(AA338&lt;=6,(AA338-1)*31+AB338,IF(AA338&lt;=11,186+(AA338-7)*30+AB338,336+AB338))-1,""))</f>
        <v/>
      </c>
      <c r="AD338" s="18" t="str">
        <f t="shared" si="77"/>
        <v/>
      </c>
      <c r="AE338" s="18" t="str">
        <f t="shared" si="78"/>
        <v/>
      </c>
      <c r="AF338" s="18" t="str">
        <f t="shared" si="79"/>
        <v/>
      </c>
      <c r="AG338" s="18" t="str">
        <f>IF(OR(O338="",AD338=""),"",IFERROR(INDEX(لیست‌ها!$Q$3:$Q$53,MATCH(AD338,لیست‌ها!$P$3:$P$53,0))+IF(AE338&lt;=6,(AE338-1)*31+AF338,IF(AE338&lt;=11,186+(AE338-7)*30+AF338,336+AF338))-1,""))</f>
        <v/>
      </c>
      <c r="AH338" s="18" t="str">
        <f t="shared" si="80"/>
        <v/>
      </c>
      <c r="AI338" s="18" t="str">
        <f t="shared" si="81"/>
        <v/>
      </c>
      <c r="AJ338" s="18" t="str">
        <f t="shared" ca="1" si="82"/>
        <v/>
      </c>
    </row>
    <row r="339" spans="1:36">
      <c r="A339" s="18">
        <v>336</v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8" t="str">
        <f t="shared" ca="1" si="70"/>
        <v/>
      </c>
      <c r="U339" s="18">
        <f t="shared" ca="1" si="83"/>
        <v>0</v>
      </c>
      <c r="V339" s="18" t="str">
        <f t="shared" si="71"/>
        <v/>
      </c>
      <c r="W339" s="18" t="str">
        <f t="shared" si="72"/>
        <v/>
      </c>
      <c r="X339" s="18" t="str">
        <f t="shared" si="73"/>
        <v/>
      </c>
      <c r="Y339" s="19" t="str">
        <f>IF(OR(L339="",V339=""),"",IFERROR(INDEX(لیست‌ها!$Q$3:$Q$53,MATCH(V339,لیست‌ها!$P$3:$P$53,0))+IF(W339&lt;=6,(W339-1)*31+X339,IF(W339&lt;=11,186+(W339-7)*30+X339,336+X339))-1,""))</f>
        <v/>
      </c>
      <c r="Z339" s="18" t="str">
        <f t="shared" si="74"/>
        <v/>
      </c>
      <c r="AA339" s="18" t="str">
        <f t="shared" si="75"/>
        <v/>
      </c>
      <c r="AB339" s="18" t="str">
        <f t="shared" si="76"/>
        <v/>
      </c>
      <c r="AC339" s="19" t="str">
        <f>IF(OR(H339="",Z339=""),"",IFERROR(INDEX(لیست‌ها!$Q$3:$Q$53,MATCH(Z339,لیست‌ها!$P$3:$P$53,0))+IF(AA339&lt;=6,(AA339-1)*31+AB339,IF(AA339&lt;=11,186+(AA339-7)*30+AB339,336+AB339))-1,""))</f>
        <v/>
      </c>
      <c r="AD339" s="18" t="str">
        <f t="shared" si="77"/>
        <v/>
      </c>
      <c r="AE339" s="18" t="str">
        <f t="shared" si="78"/>
        <v/>
      </c>
      <c r="AF339" s="18" t="str">
        <f t="shared" si="79"/>
        <v/>
      </c>
      <c r="AG339" s="18" t="str">
        <f>IF(OR(O339="",AD339=""),"",IFERROR(INDEX(لیست‌ها!$Q$3:$Q$53,MATCH(AD339,لیست‌ها!$P$3:$P$53,0))+IF(AE339&lt;=6,(AE339-1)*31+AF339,IF(AE339&lt;=11,186+(AE339-7)*30+AF339,336+AF339))-1,""))</f>
        <v/>
      </c>
      <c r="AH339" s="18" t="str">
        <f t="shared" si="80"/>
        <v/>
      </c>
      <c r="AI339" s="18" t="str">
        <f t="shared" si="81"/>
        <v/>
      </c>
      <c r="AJ339" s="18" t="str">
        <f t="shared" ca="1" si="82"/>
        <v/>
      </c>
    </row>
    <row r="340" spans="1:36">
      <c r="A340" s="18">
        <v>337</v>
      </c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8" t="str">
        <f t="shared" ca="1" si="70"/>
        <v/>
      </c>
      <c r="U340" s="18">
        <f t="shared" ca="1" si="83"/>
        <v>0</v>
      </c>
      <c r="V340" s="18" t="str">
        <f t="shared" si="71"/>
        <v/>
      </c>
      <c r="W340" s="18" t="str">
        <f t="shared" si="72"/>
        <v/>
      </c>
      <c r="X340" s="18" t="str">
        <f t="shared" si="73"/>
        <v/>
      </c>
      <c r="Y340" s="19" t="str">
        <f>IF(OR(L340="",V340=""),"",IFERROR(INDEX(لیست‌ها!$Q$3:$Q$53,MATCH(V340,لیست‌ها!$P$3:$P$53,0))+IF(W340&lt;=6,(W340-1)*31+X340,IF(W340&lt;=11,186+(W340-7)*30+X340,336+X340))-1,""))</f>
        <v/>
      </c>
      <c r="Z340" s="18" t="str">
        <f t="shared" si="74"/>
        <v/>
      </c>
      <c r="AA340" s="18" t="str">
        <f t="shared" si="75"/>
        <v/>
      </c>
      <c r="AB340" s="18" t="str">
        <f t="shared" si="76"/>
        <v/>
      </c>
      <c r="AC340" s="19" t="str">
        <f>IF(OR(H340="",Z340=""),"",IFERROR(INDEX(لیست‌ها!$Q$3:$Q$53,MATCH(Z340,لیست‌ها!$P$3:$P$53,0))+IF(AA340&lt;=6,(AA340-1)*31+AB340,IF(AA340&lt;=11,186+(AA340-7)*30+AB340,336+AB340))-1,""))</f>
        <v/>
      </c>
      <c r="AD340" s="18" t="str">
        <f t="shared" si="77"/>
        <v/>
      </c>
      <c r="AE340" s="18" t="str">
        <f t="shared" si="78"/>
        <v/>
      </c>
      <c r="AF340" s="18" t="str">
        <f t="shared" si="79"/>
        <v/>
      </c>
      <c r="AG340" s="18" t="str">
        <f>IF(OR(O340="",AD340=""),"",IFERROR(INDEX(لیست‌ها!$Q$3:$Q$53,MATCH(AD340,لیست‌ها!$P$3:$P$53,0))+IF(AE340&lt;=6,(AE340-1)*31+AF340,IF(AE340&lt;=11,186+(AE340-7)*30+AF340,336+AF340))-1,""))</f>
        <v/>
      </c>
      <c r="AH340" s="18" t="str">
        <f t="shared" si="80"/>
        <v/>
      </c>
      <c r="AI340" s="18" t="str">
        <f t="shared" si="81"/>
        <v/>
      </c>
      <c r="AJ340" s="18" t="str">
        <f t="shared" ca="1" si="82"/>
        <v/>
      </c>
    </row>
    <row r="341" spans="1:36">
      <c r="A341" s="18">
        <v>338</v>
      </c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8" t="str">
        <f t="shared" ca="1" si="70"/>
        <v/>
      </c>
      <c r="U341" s="18">
        <f t="shared" ca="1" si="83"/>
        <v>0</v>
      </c>
      <c r="V341" s="18" t="str">
        <f t="shared" si="71"/>
        <v/>
      </c>
      <c r="W341" s="18" t="str">
        <f t="shared" si="72"/>
        <v/>
      </c>
      <c r="X341" s="18" t="str">
        <f t="shared" si="73"/>
        <v/>
      </c>
      <c r="Y341" s="19" t="str">
        <f>IF(OR(L341="",V341=""),"",IFERROR(INDEX(لیست‌ها!$Q$3:$Q$53,MATCH(V341,لیست‌ها!$P$3:$P$53,0))+IF(W341&lt;=6,(W341-1)*31+X341,IF(W341&lt;=11,186+(W341-7)*30+X341,336+X341))-1,""))</f>
        <v/>
      </c>
      <c r="Z341" s="18" t="str">
        <f t="shared" si="74"/>
        <v/>
      </c>
      <c r="AA341" s="18" t="str">
        <f t="shared" si="75"/>
        <v/>
      </c>
      <c r="AB341" s="18" t="str">
        <f t="shared" si="76"/>
        <v/>
      </c>
      <c r="AC341" s="19" t="str">
        <f>IF(OR(H341="",Z341=""),"",IFERROR(INDEX(لیست‌ها!$Q$3:$Q$53,MATCH(Z341,لیست‌ها!$P$3:$P$53,0))+IF(AA341&lt;=6,(AA341-1)*31+AB341,IF(AA341&lt;=11,186+(AA341-7)*30+AB341,336+AB341))-1,""))</f>
        <v/>
      </c>
      <c r="AD341" s="18" t="str">
        <f t="shared" si="77"/>
        <v/>
      </c>
      <c r="AE341" s="18" t="str">
        <f t="shared" si="78"/>
        <v/>
      </c>
      <c r="AF341" s="18" t="str">
        <f t="shared" si="79"/>
        <v/>
      </c>
      <c r="AG341" s="18" t="str">
        <f>IF(OR(O341="",AD341=""),"",IFERROR(INDEX(لیست‌ها!$Q$3:$Q$53,MATCH(AD341,لیست‌ها!$P$3:$P$53,0))+IF(AE341&lt;=6,(AE341-1)*31+AF341,IF(AE341&lt;=11,186+(AE341-7)*30+AF341,336+AF341))-1,""))</f>
        <v/>
      </c>
      <c r="AH341" s="18" t="str">
        <f t="shared" si="80"/>
        <v/>
      </c>
      <c r="AI341" s="18" t="str">
        <f t="shared" si="81"/>
        <v/>
      </c>
      <c r="AJ341" s="18" t="str">
        <f t="shared" ca="1" si="82"/>
        <v/>
      </c>
    </row>
    <row r="342" spans="1:36">
      <c r="A342" s="18">
        <v>339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8" t="str">
        <f t="shared" ca="1" si="70"/>
        <v/>
      </c>
      <c r="U342" s="18">
        <f t="shared" ca="1" si="83"/>
        <v>0</v>
      </c>
      <c r="V342" s="18" t="str">
        <f t="shared" si="71"/>
        <v/>
      </c>
      <c r="W342" s="18" t="str">
        <f t="shared" si="72"/>
        <v/>
      </c>
      <c r="X342" s="18" t="str">
        <f t="shared" si="73"/>
        <v/>
      </c>
      <c r="Y342" s="19" t="str">
        <f>IF(OR(L342="",V342=""),"",IFERROR(INDEX(لیست‌ها!$Q$3:$Q$53,MATCH(V342,لیست‌ها!$P$3:$P$53,0))+IF(W342&lt;=6,(W342-1)*31+X342,IF(W342&lt;=11,186+(W342-7)*30+X342,336+X342))-1,""))</f>
        <v/>
      </c>
      <c r="Z342" s="18" t="str">
        <f t="shared" si="74"/>
        <v/>
      </c>
      <c r="AA342" s="18" t="str">
        <f t="shared" si="75"/>
        <v/>
      </c>
      <c r="AB342" s="18" t="str">
        <f t="shared" si="76"/>
        <v/>
      </c>
      <c r="AC342" s="19" t="str">
        <f>IF(OR(H342="",Z342=""),"",IFERROR(INDEX(لیست‌ها!$Q$3:$Q$53,MATCH(Z342,لیست‌ها!$P$3:$P$53,0))+IF(AA342&lt;=6,(AA342-1)*31+AB342,IF(AA342&lt;=11,186+(AA342-7)*30+AB342,336+AB342))-1,""))</f>
        <v/>
      </c>
      <c r="AD342" s="18" t="str">
        <f t="shared" si="77"/>
        <v/>
      </c>
      <c r="AE342" s="18" t="str">
        <f t="shared" si="78"/>
        <v/>
      </c>
      <c r="AF342" s="18" t="str">
        <f t="shared" si="79"/>
        <v/>
      </c>
      <c r="AG342" s="18" t="str">
        <f>IF(OR(O342="",AD342=""),"",IFERROR(INDEX(لیست‌ها!$Q$3:$Q$53,MATCH(AD342,لیست‌ها!$P$3:$P$53,0))+IF(AE342&lt;=6,(AE342-1)*31+AF342,IF(AE342&lt;=11,186+(AE342-7)*30+AF342,336+AF342))-1,""))</f>
        <v/>
      </c>
      <c r="AH342" s="18" t="str">
        <f t="shared" si="80"/>
        <v/>
      </c>
      <c r="AI342" s="18" t="str">
        <f t="shared" si="81"/>
        <v/>
      </c>
      <c r="AJ342" s="18" t="str">
        <f t="shared" ca="1" si="82"/>
        <v/>
      </c>
    </row>
    <row r="343" spans="1:36">
      <c r="A343" s="18">
        <v>340</v>
      </c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8" t="str">
        <f t="shared" ca="1" si="70"/>
        <v/>
      </c>
      <c r="U343" s="18">
        <f t="shared" ca="1" si="83"/>
        <v>0</v>
      </c>
      <c r="V343" s="18" t="str">
        <f t="shared" si="71"/>
        <v/>
      </c>
      <c r="W343" s="18" t="str">
        <f t="shared" si="72"/>
        <v/>
      </c>
      <c r="X343" s="18" t="str">
        <f t="shared" si="73"/>
        <v/>
      </c>
      <c r="Y343" s="19" t="str">
        <f>IF(OR(L343="",V343=""),"",IFERROR(INDEX(لیست‌ها!$Q$3:$Q$53,MATCH(V343,لیست‌ها!$P$3:$P$53,0))+IF(W343&lt;=6,(W343-1)*31+X343,IF(W343&lt;=11,186+(W343-7)*30+X343,336+X343))-1,""))</f>
        <v/>
      </c>
      <c r="Z343" s="18" t="str">
        <f t="shared" si="74"/>
        <v/>
      </c>
      <c r="AA343" s="18" t="str">
        <f t="shared" si="75"/>
        <v/>
      </c>
      <c r="AB343" s="18" t="str">
        <f t="shared" si="76"/>
        <v/>
      </c>
      <c r="AC343" s="19" t="str">
        <f>IF(OR(H343="",Z343=""),"",IFERROR(INDEX(لیست‌ها!$Q$3:$Q$53,MATCH(Z343,لیست‌ها!$P$3:$P$53,0))+IF(AA343&lt;=6,(AA343-1)*31+AB343,IF(AA343&lt;=11,186+(AA343-7)*30+AB343,336+AB343))-1,""))</f>
        <v/>
      </c>
      <c r="AD343" s="18" t="str">
        <f t="shared" si="77"/>
        <v/>
      </c>
      <c r="AE343" s="18" t="str">
        <f t="shared" si="78"/>
        <v/>
      </c>
      <c r="AF343" s="18" t="str">
        <f t="shared" si="79"/>
        <v/>
      </c>
      <c r="AG343" s="18" t="str">
        <f>IF(OR(O343="",AD343=""),"",IFERROR(INDEX(لیست‌ها!$Q$3:$Q$53,MATCH(AD343,لیست‌ها!$P$3:$P$53,0))+IF(AE343&lt;=6,(AE343-1)*31+AF343,IF(AE343&lt;=11,186+(AE343-7)*30+AF343,336+AF343))-1,""))</f>
        <v/>
      </c>
      <c r="AH343" s="18" t="str">
        <f t="shared" si="80"/>
        <v/>
      </c>
      <c r="AI343" s="18" t="str">
        <f t="shared" si="81"/>
        <v/>
      </c>
      <c r="AJ343" s="18" t="str">
        <f t="shared" ca="1" si="82"/>
        <v/>
      </c>
    </row>
    <row r="344" spans="1:36">
      <c r="A344" s="18">
        <v>341</v>
      </c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8" t="str">
        <f t="shared" ca="1" si="70"/>
        <v/>
      </c>
      <c r="U344" s="18">
        <f t="shared" ca="1" si="83"/>
        <v>0</v>
      </c>
      <c r="V344" s="18" t="str">
        <f t="shared" si="71"/>
        <v/>
      </c>
      <c r="W344" s="18" t="str">
        <f t="shared" si="72"/>
        <v/>
      </c>
      <c r="X344" s="18" t="str">
        <f t="shared" si="73"/>
        <v/>
      </c>
      <c r="Y344" s="19" t="str">
        <f>IF(OR(L344="",V344=""),"",IFERROR(INDEX(لیست‌ها!$Q$3:$Q$53,MATCH(V344,لیست‌ها!$P$3:$P$53,0))+IF(W344&lt;=6,(W344-1)*31+X344,IF(W344&lt;=11,186+(W344-7)*30+X344,336+X344))-1,""))</f>
        <v/>
      </c>
      <c r="Z344" s="18" t="str">
        <f t="shared" si="74"/>
        <v/>
      </c>
      <c r="AA344" s="18" t="str">
        <f t="shared" si="75"/>
        <v/>
      </c>
      <c r="AB344" s="18" t="str">
        <f t="shared" si="76"/>
        <v/>
      </c>
      <c r="AC344" s="19" t="str">
        <f>IF(OR(H344="",Z344=""),"",IFERROR(INDEX(لیست‌ها!$Q$3:$Q$53,MATCH(Z344,لیست‌ها!$P$3:$P$53,0))+IF(AA344&lt;=6,(AA344-1)*31+AB344,IF(AA344&lt;=11,186+(AA344-7)*30+AB344,336+AB344))-1,""))</f>
        <v/>
      </c>
      <c r="AD344" s="18" t="str">
        <f t="shared" si="77"/>
        <v/>
      </c>
      <c r="AE344" s="18" t="str">
        <f t="shared" si="78"/>
        <v/>
      </c>
      <c r="AF344" s="18" t="str">
        <f t="shared" si="79"/>
        <v/>
      </c>
      <c r="AG344" s="18" t="str">
        <f>IF(OR(O344="",AD344=""),"",IFERROR(INDEX(لیست‌ها!$Q$3:$Q$53,MATCH(AD344,لیست‌ها!$P$3:$P$53,0))+IF(AE344&lt;=6,(AE344-1)*31+AF344,IF(AE344&lt;=11,186+(AE344-7)*30+AF344,336+AF344))-1,""))</f>
        <v/>
      </c>
      <c r="AH344" s="18" t="str">
        <f t="shared" si="80"/>
        <v/>
      </c>
      <c r="AI344" s="18" t="str">
        <f t="shared" si="81"/>
        <v/>
      </c>
      <c r="AJ344" s="18" t="str">
        <f t="shared" ca="1" si="82"/>
        <v/>
      </c>
    </row>
    <row r="345" spans="1:36">
      <c r="A345" s="18">
        <v>342</v>
      </c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8" t="str">
        <f t="shared" ca="1" si="70"/>
        <v/>
      </c>
      <c r="U345" s="18">
        <f t="shared" ca="1" si="83"/>
        <v>0</v>
      </c>
      <c r="V345" s="18" t="str">
        <f t="shared" si="71"/>
        <v/>
      </c>
      <c r="W345" s="18" t="str">
        <f t="shared" si="72"/>
        <v/>
      </c>
      <c r="X345" s="18" t="str">
        <f t="shared" si="73"/>
        <v/>
      </c>
      <c r="Y345" s="19" t="str">
        <f>IF(OR(L345="",V345=""),"",IFERROR(INDEX(لیست‌ها!$Q$3:$Q$53,MATCH(V345,لیست‌ها!$P$3:$P$53,0))+IF(W345&lt;=6,(W345-1)*31+X345,IF(W345&lt;=11,186+(W345-7)*30+X345,336+X345))-1,""))</f>
        <v/>
      </c>
      <c r="Z345" s="18" t="str">
        <f t="shared" si="74"/>
        <v/>
      </c>
      <c r="AA345" s="18" t="str">
        <f t="shared" si="75"/>
        <v/>
      </c>
      <c r="AB345" s="18" t="str">
        <f t="shared" si="76"/>
        <v/>
      </c>
      <c r="AC345" s="19" t="str">
        <f>IF(OR(H345="",Z345=""),"",IFERROR(INDEX(لیست‌ها!$Q$3:$Q$53,MATCH(Z345,لیست‌ها!$P$3:$P$53,0))+IF(AA345&lt;=6,(AA345-1)*31+AB345,IF(AA345&lt;=11,186+(AA345-7)*30+AB345,336+AB345))-1,""))</f>
        <v/>
      </c>
      <c r="AD345" s="18" t="str">
        <f t="shared" si="77"/>
        <v/>
      </c>
      <c r="AE345" s="18" t="str">
        <f t="shared" si="78"/>
        <v/>
      </c>
      <c r="AF345" s="18" t="str">
        <f t="shared" si="79"/>
        <v/>
      </c>
      <c r="AG345" s="18" t="str">
        <f>IF(OR(O345="",AD345=""),"",IFERROR(INDEX(لیست‌ها!$Q$3:$Q$53,MATCH(AD345,لیست‌ها!$P$3:$P$53,0))+IF(AE345&lt;=6,(AE345-1)*31+AF345,IF(AE345&lt;=11,186+(AE345-7)*30+AF345,336+AF345))-1,""))</f>
        <v/>
      </c>
      <c r="AH345" s="18" t="str">
        <f t="shared" si="80"/>
        <v/>
      </c>
      <c r="AI345" s="18" t="str">
        <f t="shared" si="81"/>
        <v/>
      </c>
      <c r="AJ345" s="18" t="str">
        <f t="shared" ca="1" si="82"/>
        <v/>
      </c>
    </row>
    <row r="346" spans="1:36">
      <c r="A346" s="18">
        <v>343</v>
      </c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8" t="str">
        <f t="shared" ca="1" si="70"/>
        <v/>
      </c>
      <c r="U346" s="18">
        <f t="shared" ca="1" si="83"/>
        <v>0</v>
      </c>
      <c r="V346" s="18" t="str">
        <f t="shared" si="71"/>
        <v/>
      </c>
      <c r="W346" s="18" t="str">
        <f t="shared" si="72"/>
        <v/>
      </c>
      <c r="X346" s="18" t="str">
        <f t="shared" si="73"/>
        <v/>
      </c>
      <c r="Y346" s="19" t="str">
        <f>IF(OR(L346="",V346=""),"",IFERROR(INDEX(لیست‌ها!$Q$3:$Q$53,MATCH(V346,لیست‌ها!$P$3:$P$53,0))+IF(W346&lt;=6,(W346-1)*31+X346,IF(W346&lt;=11,186+(W346-7)*30+X346,336+X346))-1,""))</f>
        <v/>
      </c>
      <c r="Z346" s="18" t="str">
        <f t="shared" si="74"/>
        <v/>
      </c>
      <c r="AA346" s="18" t="str">
        <f t="shared" si="75"/>
        <v/>
      </c>
      <c r="AB346" s="18" t="str">
        <f t="shared" si="76"/>
        <v/>
      </c>
      <c r="AC346" s="19" t="str">
        <f>IF(OR(H346="",Z346=""),"",IFERROR(INDEX(لیست‌ها!$Q$3:$Q$53,MATCH(Z346,لیست‌ها!$P$3:$P$53,0))+IF(AA346&lt;=6,(AA346-1)*31+AB346,IF(AA346&lt;=11,186+(AA346-7)*30+AB346,336+AB346))-1,""))</f>
        <v/>
      </c>
      <c r="AD346" s="18" t="str">
        <f t="shared" si="77"/>
        <v/>
      </c>
      <c r="AE346" s="18" t="str">
        <f t="shared" si="78"/>
        <v/>
      </c>
      <c r="AF346" s="18" t="str">
        <f t="shared" si="79"/>
        <v/>
      </c>
      <c r="AG346" s="18" t="str">
        <f>IF(OR(O346="",AD346=""),"",IFERROR(INDEX(لیست‌ها!$Q$3:$Q$53,MATCH(AD346,لیست‌ها!$P$3:$P$53,0))+IF(AE346&lt;=6,(AE346-1)*31+AF346,IF(AE346&lt;=11,186+(AE346-7)*30+AF346,336+AF346))-1,""))</f>
        <v/>
      </c>
      <c r="AH346" s="18" t="str">
        <f t="shared" si="80"/>
        <v/>
      </c>
      <c r="AI346" s="18" t="str">
        <f t="shared" si="81"/>
        <v/>
      </c>
      <c r="AJ346" s="18" t="str">
        <f t="shared" ca="1" si="82"/>
        <v/>
      </c>
    </row>
    <row r="347" spans="1:36">
      <c r="A347" s="18">
        <v>344</v>
      </c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8" t="str">
        <f t="shared" ca="1" si="70"/>
        <v/>
      </c>
      <c r="U347" s="18">
        <f t="shared" ca="1" si="83"/>
        <v>0</v>
      </c>
      <c r="V347" s="18" t="str">
        <f t="shared" si="71"/>
        <v/>
      </c>
      <c r="W347" s="18" t="str">
        <f t="shared" si="72"/>
        <v/>
      </c>
      <c r="X347" s="18" t="str">
        <f t="shared" si="73"/>
        <v/>
      </c>
      <c r="Y347" s="19" t="str">
        <f>IF(OR(L347="",V347=""),"",IFERROR(INDEX(لیست‌ها!$Q$3:$Q$53,MATCH(V347,لیست‌ها!$P$3:$P$53,0))+IF(W347&lt;=6,(W347-1)*31+X347,IF(W347&lt;=11,186+(W347-7)*30+X347,336+X347))-1,""))</f>
        <v/>
      </c>
      <c r="Z347" s="18" t="str">
        <f t="shared" si="74"/>
        <v/>
      </c>
      <c r="AA347" s="18" t="str">
        <f t="shared" si="75"/>
        <v/>
      </c>
      <c r="AB347" s="18" t="str">
        <f t="shared" si="76"/>
        <v/>
      </c>
      <c r="AC347" s="19" t="str">
        <f>IF(OR(H347="",Z347=""),"",IFERROR(INDEX(لیست‌ها!$Q$3:$Q$53,MATCH(Z347,لیست‌ها!$P$3:$P$53,0))+IF(AA347&lt;=6,(AA347-1)*31+AB347,IF(AA347&lt;=11,186+(AA347-7)*30+AB347,336+AB347))-1,""))</f>
        <v/>
      </c>
      <c r="AD347" s="18" t="str">
        <f t="shared" si="77"/>
        <v/>
      </c>
      <c r="AE347" s="18" t="str">
        <f t="shared" si="78"/>
        <v/>
      </c>
      <c r="AF347" s="18" t="str">
        <f t="shared" si="79"/>
        <v/>
      </c>
      <c r="AG347" s="18" t="str">
        <f>IF(OR(O347="",AD347=""),"",IFERROR(INDEX(لیست‌ها!$Q$3:$Q$53,MATCH(AD347,لیست‌ها!$P$3:$P$53,0))+IF(AE347&lt;=6,(AE347-1)*31+AF347,IF(AE347&lt;=11,186+(AE347-7)*30+AF347,336+AF347))-1,""))</f>
        <v/>
      </c>
      <c r="AH347" s="18" t="str">
        <f t="shared" si="80"/>
        <v/>
      </c>
      <c r="AI347" s="18" t="str">
        <f t="shared" si="81"/>
        <v/>
      </c>
      <c r="AJ347" s="18" t="str">
        <f t="shared" ca="1" si="82"/>
        <v/>
      </c>
    </row>
    <row r="348" spans="1:36">
      <c r="A348" s="18">
        <v>345</v>
      </c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8" t="str">
        <f t="shared" ca="1" si="70"/>
        <v/>
      </c>
      <c r="U348" s="18">
        <f t="shared" ca="1" si="83"/>
        <v>0</v>
      </c>
      <c r="V348" s="18" t="str">
        <f t="shared" si="71"/>
        <v/>
      </c>
      <c r="W348" s="18" t="str">
        <f t="shared" si="72"/>
        <v/>
      </c>
      <c r="X348" s="18" t="str">
        <f t="shared" si="73"/>
        <v/>
      </c>
      <c r="Y348" s="19" t="str">
        <f>IF(OR(L348="",V348=""),"",IFERROR(INDEX(لیست‌ها!$Q$3:$Q$53,MATCH(V348,لیست‌ها!$P$3:$P$53,0))+IF(W348&lt;=6,(W348-1)*31+X348,IF(W348&lt;=11,186+(W348-7)*30+X348,336+X348))-1,""))</f>
        <v/>
      </c>
      <c r="Z348" s="18" t="str">
        <f t="shared" si="74"/>
        <v/>
      </c>
      <c r="AA348" s="18" t="str">
        <f t="shared" si="75"/>
        <v/>
      </c>
      <c r="AB348" s="18" t="str">
        <f t="shared" si="76"/>
        <v/>
      </c>
      <c r="AC348" s="19" t="str">
        <f>IF(OR(H348="",Z348=""),"",IFERROR(INDEX(لیست‌ها!$Q$3:$Q$53,MATCH(Z348,لیست‌ها!$P$3:$P$53,0))+IF(AA348&lt;=6,(AA348-1)*31+AB348,IF(AA348&lt;=11,186+(AA348-7)*30+AB348,336+AB348))-1,""))</f>
        <v/>
      </c>
      <c r="AD348" s="18" t="str">
        <f t="shared" si="77"/>
        <v/>
      </c>
      <c r="AE348" s="18" t="str">
        <f t="shared" si="78"/>
        <v/>
      </c>
      <c r="AF348" s="18" t="str">
        <f t="shared" si="79"/>
        <v/>
      </c>
      <c r="AG348" s="18" t="str">
        <f>IF(OR(O348="",AD348=""),"",IFERROR(INDEX(لیست‌ها!$Q$3:$Q$53,MATCH(AD348,لیست‌ها!$P$3:$P$53,0))+IF(AE348&lt;=6,(AE348-1)*31+AF348,IF(AE348&lt;=11,186+(AE348-7)*30+AF348,336+AF348))-1,""))</f>
        <v/>
      </c>
      <c r="AH348" s="18" t="str">
        <f t="shared" si="80"/>
        <v/>
      </c>
      <c r="AI348" s="18" t="str">
        <f t="shared" si="81"/>
        <v/>
      </c>
      <c r="AJ348" s="18" t="str">
        <f t="shared" ca="1" si="82"/>
        <v/>
      </c>
    </row>
    <row r="349" spans="1:36">
      <c r="A349" s="18">
        <v>346</v>
      </c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8" t="str">
        <f t="shared" ca="1" si="70"/>
        <v/>
      </c>
      <c r="U349" s="18">
        <f t="shared" ca="1" si="83"/>
        <v>0</v>
      </c>
      <c r="V349" s="18" t="str">
        <f t="shared" si="71"/>
        <v/>
      </c>
      <c r="W349" s="18" t="str">
        <f t="shared" si="72"/>
        <v/>
      </c>
      <c r="X349" s="18" t="str">
        <f t="shared" si="73"/>
        <v/>
      </c>
      <c r="Y349" s="19" t="str">
        <f>IF(OR(L349="",V349=""),"",IFERROR(INDEX(لیست‌ها!$Q$3:$Q$53,MATCH(V349,لیست‌ها!$P$3:$P$53,0))+IF(W349&lt;=6,(W349-1)*31+X349,IF(W349&lt;=11,186+(W349-7)*30+X349,336+X349))-1,""))</f>
        <v/>
      </c>
      <c r="Z349" s="18" t="str">
        <f t="shared" si="74"/>
        <v/>
      </c>
      <c r="AA349" s="18" t="str">
        <f t="shared" si="75"/>
        <v/>
      </c>
      <c r="AB349" s="18" t="str">
        <f t="shared" si="76"/>
        <v/>
      </c>
      <c r="AC349" s="19" t="str">
        <f>IF(OR(H349="",Z349=""),"",IFERROR(INDEX(لیست‌ها!$Q$3:$Q$53,MATCH(Z349,لیست‌ها!$P$3:$P$53,0))+IF(AA349&lt;=6,(AA349-1)*31+AB349,IF(AA349&lt;=11,186+(AA349-7)*30+AB349,336+AB349))-1,""))</f>
        <v/>
      </c>
      <c r="AD349" s="18" t="str">
        <f t="shared" si="77"/>
        <v/>
      </c>
      <c r="AE349" s="18" t="str">
        <f t="shared" si="78"/>
        <v/>
      </c>
      <c r="AF349" s="18" t="str">
        <f t="shared" si="79"/>
        <v/>
      </c>
      <c r="AG349" s="18" t="str">
        <f>IF(OR(O349="",AD349=""),"",IFERROR(INDEX(لیست‌ها!$Q$3:$Q$53,MATCH(AD349,لیست‌ها!$P$3:$P$53,0))+IF(AE349&lt;=6,(AE349-1)*31+AF349,IF(AE349&lt;=11,186+(AE349-7)*30+AF349,336+AF349))-1,""))</f>
        <v/>
      </c>
      <c r="AH349" s="18" t="str">
        <f t="shared" si="80"/>
        <v/>
      </c>
      <c r="AI349" s="18" t="str">
        <f t="shared" si="81"/>
        <v/>
      </c>
      <c r="AJ349" s="18" t="str">
        <f t="shared" ca="1" si="82"/>
        <v/>
      </c>
    </row>
    <row r="350" spans="1:36">
      <c r="A350" s="18">
        <v>347</v>
      </c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8" t="str">
        <f t="shared" ca="1" si="70"/>
        <v/>
      </c>
      <c r="U350" s="18">
        <f t="shared" ca="1" si="83"/>
        <v>0</v>
      </c>
      <c r="V350" s="18" t="str">
        <f t="shared" si="71"/>
        <v/>
      </c>
      <c r="W350" s="18" t="str">
        <f t="shared" si="72"/>
        <v/>
      </c>
      <c r="X350" s="18" t="str">
        <f t="shared" si="73"/>
        <v/>
      </c>
      <c r="Y350" s="19" t="str">
        <f>IF(OR(L350="",V350=""),"",IFERROR(INDEX(لیست‌ها!$Q$3:$Q$53,MATCH(V350,لیست‌ها!$P$3:$P$53,0))+IF(W350&lt;=6,(W350-1)*31+X350,IF(W350&lt;=11,186+(W350-7)*30+X350,336+X350))-1,""))</f>
        <v/>
      </c>
      <c r="Z350" s="18" t="str">
        <f t="shared" si="74"/>
        <v/>
      </c>
      <c r="AA350" s="18" t="str">
        <f t="shared" si="75"/>
        <v/>
      </c>
      <c r="AB350" s="18" t="str">
        <f t="shared" si="76"/>
        <v/>
      </c>
      <c r="AC350" s="19" t="str">
        <f>IF(OR(H350="",Z350=""),"",IFERROR(INDEX(لیست‌ها!$Q$3:$Q$53,MATCH(Z350,لیست‌ها!$P$3:$P$53,0))+IF(AA350&lt;=6,(AA350-1)*31+AB350,IF(AA350&lt;=11,186+(AA350-7)*30+AB350,336+AB350))-1,""))</f>
        <v/>
      </c>
      <c r="AD350" s="18" t="str">
        <f t="shared" si="77"/>
        <v/>
      </c>
      <c r="AE350" s="18" t="str">
        <f t="shared" si="78"/>
        <v/>
      </c>
      <c r="AF350" s="18" t="str">
        <f t="shared" si="79"/>
        <v/>
      </c>
      <c r="AG350" s="18" t="str">
        <f>IF(OR(O350="",AD350=""),"",IFERROR(INDEX(لیست‌ها!$Q$3:$Q$53,MATCH(AD350,لیست‌ها!$P$3:$P$53,0))+IF(AE350&lt;=6,(AE350-1)*31+AF350,IF(AE350&lt;=11,186+(AE350-7)*30+AF350,336+AF350))-1,""))</f>
        <v/>
      </c>
      <c r="AH350" s="18" t="str">
        <f t="shared" si="80"/>
        <v/>
      </c>
      <c r="AI350" s="18" t="str">
        <f t="shared" si="81"/>
        <v/>
      </c>
      <c r="AJ350" s="18" t="str">
        <f t="shared" ca="1" si="82"/>
        <v/>
      </c>
    </row>
    <row r="351" spans="1:36">
      <c r="A351" s="18">
        <v>348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8" t="str">
        <f t="shared" ca="1" si="70"/>
        <v/>
      </c>
      <c r="U351" s="18">
        <f t="shared" ca="1" si="83"/>
        <v>0</v>
      </c>
      <c r="V351" s="18" t="str">
        <f t="shared" si="71"/>
        <v/>
      </c>
      <c r="W351" s="18" t="str">
        <f t="shared" si="72"/>
        <v/>
      </c>
      <c r="X351" s="18" t="str">
        <f t="shared" si="73"/>
        <v/>
      </c>
      <c r="Y351" s="19" t="str">
        <f>IF(OR(L351="",V351=""),"",IFERROR(INDEX(لیست‌ها!$Q$3:$Q$53,MATCH(V351,لیست‌ها!$P$3:$P$53,0))+IF(W351&lt;=6,(W351-1)*31+X351,IF(W351&lt;=11,186+(W351-7)*30+X351,336+X351))-1,""))</f>
        <v/>
      </c>
      <c r="Z351" s="18" t="str">
        <f t="shared" si="74"/>
        <v/>
      </c>
      <c r="AA351" s="18" t="str">
        <f t="shared" si="75"/>
        <v/>
      </c>
      <c r="AB351" s="18" t="str">
        <f t="shared" si="76"/>
        <v/>
      </c>
      <c r="AC351" s="19" t="str">
        <f>IF(OR(H351="",Z351=""),"",IFERROR(INDEX(لیست‌ها!$Q$3:$Q$53,MATCH(Z351,لیست‌ها!$P$3:$P$53,0))+IF(AA351&lt;=6,(AA351-1)*31+AB351,IF(AA351&lt;=11,186+(AA351-7)*30+AB351,336+AB351))-1,""))</f>
        <v/>
      </c>
      <c r="AD351" s="18" t="str">
        <f t="shared" si="77"/>
        <v/>
      </c>
      <c r="AE351" s="18" t="str">
        <f t="shared" si="78"/>
        <v/>
      </c>
      <c r="AF351" s="18" t="str">
        <f t="shared" si="79"/>
        <v/>
      </c>
      <c r="AG351" s="18" t="str">
        <f>IF(OR(O351="",AD351=""),"",IFERROR(INDEX(لیست‌ها!$Q$3:$Q$53,MATCH(AD351,لیست‌ها!$P$3:$P$53,0))+IF(AE351&lt;=6,(AE351-1)*31+AF351,IF(AE351&lt;=11,186+(AE351-7)*30+AF351,336+AF351))-1,""))</f>
        <v/>
      </c>
      <c r="AH351" s="18" t="str">
        <f t="shared" si="80"/>
        <v/>
      </c>
      <c r="AI351" s="18" t="str">
        <f t="shared" si="81"/>
        <v/>
      </c>
      <c r="AJ351" s="18" t="str">
        <f t="shared" ca="1" si="82"/>
        <v/>
      </c>
    </row>
    <row r="352" spans="1:36">
      <c r="A352" s="18">
        <v>349</v>
      </c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8" t="str">
        <f t="shared" ca="1" si="70"/>
        <v/>
      </c>
      <c r="U352" s="18">
        <f t="shared" ca="1" si="83"/>
        <v>0</v>
      </c>
      <c r="V352" s="18" t="str">
        <f t="shared" si="71"/>
        <v/>
      </c>
      <c r="W352" s="18" t="str">
        <f t="shared" si="72"/>
        <v/>
      </c>
      <c r="X352" s="18" t="str">
        <f t="shared" si="73"/>
        <v/>
      </c>
      <c r="Y352" s="19" t="str">
        <f>IF(OR(L352="",V352=""),"",IFERROR(INDEX(لیست‌ها!$Q$3:$Q$53,MATCH(V352,لیست‌ها!$P$3:$P$53,0))+IF(W352&lt;=6,(W352-1)*31+X352,IF(W352&lt;=11,186+(W352-7)*30+X352,336+X352))-1,""))</f>
        <v/>
      </c>
      <c r="Z352" s="18" t="str">
        <f t="shared" si="74"/>
        <v/>
      </c>
      <c r="AA352" s="18" t="str">
        <f t="shared" si="75"/>
        <v/>
      </c>
      <c r="AB352" s="18" t="str">
        <f t="shared" si="76"/>
        <v/>
      </c>
      <c r="AC352" s="19" t="str">
        <f>IF(OR(H352="",Z352=""),"",IFERROR(INDEX(لیست‌ها!$Q$3:$Q$53,MATCH(Z352,لیست‌ها!$P$3:$P$53,0))+IF(AA352&lt;=6,(AA352-1)*31+AB352,IF(AA352&lt;=11,186+(AA352-7)*30+AB352,336+AB352))-1,""))</f>
        <v/>
      </c>
      <c r="AD352" s="18" t="str">
        <f t="shared" si="77"/>
        <v/>
      </c>
      <c r="AE352" s="18" t="str">
        <f t="shared" si="78"/>
        <v/>
      </c>
      <c r="AF352" s="18" t="str">
        <f t="shared" si="79"/>
        <v/>
      </c>
      <c r="AG352" s="18" t="str">
        <f>IF(OR(O352="",AD352=""),"",IFERROR(INDEX(لیست‌ها!$Q$3:$Q$53,MATCH(AD352,لیست‌ها!$P$3:$P$53,0))+IF(AE352&lt;=6,(AE352-1)*31+AF352,IF(AE352&lt;=11,186+(AE352-7)*30+AF352,336+AF352))-1,""))</f>
        <v/>
      </c>
      <c r="AH352" s="18" t="str">
        <f t="shared" si="80"/>
        <v/>
      </c>
      <c r="AI352" s="18" t="str">
        <f t="shared" si="81"/>
        <v/>
      </c>
      <c r="AJ352" s="18" t="str">
        <f t="shared" ca="1" si="82"/>
        <v/>
      </c>
    </row>
    <row r="353" spans="1:36">
      <c r="A353" s="18">
        <v>350</v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8" t="str">
        <f t="shared" ca="1" si="70"/>
        <v/>
      </c>
      <c r="U353" s="18">
        <f t="shared" ca="1" si="83"/>
        <v>0</v>
      </c>
      <c r="V353" s="18" t="str">
        <f t="shared" si="71"/>
        <v/>
      </c>
      <c r="W353" s="18" t="str">
        <f t="shared" si="72"/>
        <v/>
      </c>
      <c r="X353" s="18" t="str">
        <f t="shared" si="73"/>
        <v/>
      </c>
      <c r="Y353" s="19" t="str">
        <f>IF(OR(L353="",V353=""),"",IFERROR(INDEX(لیست‌ها!$Q$3:$Q$53,MATCH(V353,لیست‌ها!$P$3:$P$53,0))+IF(W353&lt;=6,(W353-1)*31+X353,IF(W353&lt;=11,186+(W353-7)*30+X353,336+X353))-1,""))</f>
        <v/>
      </c>
      <c r="Z353" s="18" t="str">
        <f t="shared" si="74"/>
        <v/>
      </c>
      <c r="AA353" s="18" t="str">
        <f t="shared" si="75"/>
        <v/>
      </c>
      <c r="AB353" s="18" t="str">
        <f t="shared" si="76"/>
        <v/>
      </c>
      <c r="AC353" s="19" t="str">
        <f>IF(OR(H353="",Z353=""),"",IFERROR(INDEX(لیست‌ها!$Q$3:$Q$53,MATCH(Z353,لیست‌ها!$P$3:$P$53,0))+IF(AA353&lt;=6,(AA353-1)*31+AB353,IF(AA353&lt;=11,186+(AA353-7)*30+AB353,336+AB353))-1,""))</f>
        <v/>
      </c>
      <c r="AD353" s="18" t="str">
        <f t="shared" si="77"/>
        <v/>
      </c>
      <c r="AE353" s="18" t="str">
        <f t="shared" si="78"/>
        <v/>
      </c>
      <c r="AF353" s="18" t="str">
        <f t="shared" si="79"/>
        <v/>
      </c>
      <c r="AG353" s="18" t="str">
        <f>IF(OR(O353="",AD353=""),"",IFERROR(INDEX(لیست‌ها!$Q$3:$Q$53,MATCH(AD353,لیست‌ها!$P$3:$P$53,0))+IF(AE353&lt;=6,(AE353-1)*31+AF353,IF(AE353&lt;=11,186+(AE353-7)*30+AF353,336+AF353))-1,""))</f>
        <v/>
      </c>
      <c r="AH353" s="18" t="str">
        <f t="shared" si="80"/>
        <v/>
      </c>
      <c r="AI353" s="18" t="str">
        <f t="shared" si="81"/>
        <v/>
      </c>
      <c r="AJ353" s="18" t="str">
        <f t="shared" ca="1" si="82"/>
        <v/>
      </c>
    </row>
    <row r="354" spans="1:36">
      <c r="A354" s="18">
        <v>351</v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8" t="str">
        <f t="shared" ca="1" si="70"/>
        <v/>
      </c>
      <c r="U354" s="18">
        <f t="shared" ca="1" si="83"/>
        <v>0</v>
      </c>
      <c r="V354" s="18" t="str">
        <f t="shared" si="71"/>
        <v/>
      </c>
      <c r="W354" s="18" t="str">
        <f t="shared" si="72"/>
        <v/>
      </c>
      <c r="X354" s="18" t="str">
        <f t="shared" si="73"/>
        <v/>
      </c>
      <c r="Y354" s="19" t="str">
        <f>IF(OR(L354="",V354=""),"",IFERROR(INDEX(لیست‌ها!$Q$3:$Q$53,MATCH(V354,لیست‌ها!$P$3:$P$53,0))+IF(W354&lt;=6,(W354-1)*31+X354,IF(W354&lt;=11,186+(W354-7)*30+X354,336+X354))-1,""))</f>
        <v/>
      </c>
      <c r="Z354" s="18" t="str">
        <f t="shared" si="74"/>
        <v/>
      </c>
      <c r="AA354" s="18" t="str">
        <f t="shared" si="75"/>
        <v/>
      </c>
      <c r="AB354" s="18" t="str">
        <f t="shared" si="76"/>
        <v/>
      </c>
      <c r="AC354" s="19" t="str">
        <f>IF(OR(H354="",Z354=""),"",IFERROR(INDEX(لیست‌ها!$Q$3:$Q$53,MATCH(Z354,لیست‌ها!$P$3:$P$53,0))+IF(AA354&lt;=6,(AA354-1)*31+AB354,IF(AA354&lt;=11,186+(AA354-7)*30+AB354,336+AB354))-1,""))</f>
        <v/>
      </c>
      <c r="AD354" s="18" t="str">
        <f t="shared" si="77"/>
        <v/>
      </c>
      <c r="AE354" s="18" t="str">
        <f t="shared" si="78"/>
        <v/>
      </c>
      <c r="AF354" s="18" t="str">
        <f t="shared" si="79"/>
        <v/>
      </c>
      <c r="AG354" s="18" t="str">
        <f>IF(OR(O354="",AD354=""),"",IFERROR(INDEX(لیست‌ها!$Q$3:$Q$53,MATCH(AD354,لیست‌ها!$P$3:$P$53,0))+IF(AE354&lt;=6,(AE354-1)*31+AF354,IF(AE354&lt;=11,186+(AE354-7)*30+AF354,336+AF354))-1,""))</f>
        <v/>
      </c>
      <c r="AH354" s="18" t="str">
        <f t="shared" si="80"/>
        <v/>
      </c>
      <c r="AI354" s="18" t="str">
        <f t="shared" si="81"/>
        <v/>
      </c>
      <c r="AJ354" s="18" t="str">
        <f t="shared" ca="1" si="82"/>
        <v/>
      </c>
    </row>
    <row r="355" spans="1:36">
      <c r="A355" s="18">
        <v>352</v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8" t="str">
        <f t="shared" ca="1" si="70"/>
        <v/>
      </c>
      <c r="U355" s="18">
        <f t="shared" ca="1" si="83"/>
        <v>0</v>
      </c>
      <c r="V355" s="18" t="str">
        <f t="shared" si="71"/>
        <v/>
      </c>
      <c r="W355" s="18" t="str">
        <f t="shared" si="72"/>
        <v/>
      </c>
      <c r="X355" s="18" t="str">
        <f t="shared" si="73"/>
        <v/>
      </c>
      <c r="Y355" s="19" t="str">
        <f>IF(OR(L355="",V355=""),"",IFERROR(INDEX(لیست‌ها!$Q$3:$Q$53,MATCH(V355,لیست‌ها!$P$3:$P$53,0))+IF(W355&lt;=6,(W355-1)*31+X355,IF(W355&lt;=11,186+(W355-7)*30+X355,336+X355))-1,""))</f>
        <v/>
      </c>
      <c r="Z355" s="18" t="str">
        <f t="shared" si="74"/>
        <v/>
      </c>
      <c r="AA355" s="18" t="str">
        <f t="shared" si="75"/>
        <v/>
      </c>
      <c r="AB355" s="18" t="str">
        <f t="shared" si="76"/>
        <v/>
      </c>
      <c r="AC355" s="19" t="str">
        <f>IF(OR(H355="",Z355=""),"",IFERROR(INDEX(لیست‌ها!$Q$3:$Q$53,MATCH(Z355,لیست‌ها!$P$3:$P$53,0))+IF(AA355&lt;=6,(AA355-1)*31+AB355,IF(AA355&lt;=11,186+(AA355-7)*30+AB355,336+AB355))-1,""))</f>
        <v/>
      </c>
      <c r="AD355" s="18" t="str">
        <f t="shared" si="77"/>
        <v/>
      </c>
      <c r="AE355" s="18" t="str">
        <f t="shared" si="78"/>
        <v/>
      </c>
      <c r="AF355" s="18" t="str">
        <f t="shared" si="79"/>
        <v/>
      </c>
      <c r="AG355" s="18" t="str">
        <f>IF(OR(O355="",AD355=""),"",IFERROR(INDEX(لیست‌ها!$Q$3:$Q$53,MATCH(AD355,لیست‌ها!$P$3:$P$53,0))+IF(AE355&lt;=6,(AE355-1)*31+AF355,IF(AE355&lt;=11,186+(AE355-7)*30+AF355,336+AF355))-1,""))</f>
        <v/>
      </c>
      <c r="AH355" s="18" t="str">
        <f t="shared" si="80"/>
        <v/>
      </c>
      <c r="AI355" s="18" t="str">
        <f t="shared" si="81"/>
        <v/>
      </c>
      <c r="AJ355" s="18" t="str">
        <f t="shared" ca="1" si="82"/>
        <v/>
      </c>
    </row>
    <row r="356" spans="1:36">
      <c r="A356" s="18">
        <v>353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8" t="str">
        <f t="shared" ca="1" si="70"/>
        <v/>
      </c>
      <c r="U356" s="18">
        <f t="shared" ca="1" si="83"/>
        <v>0</v>
      </c>
      <c r="V356" s="18" t="str">
        <f t="shared" si="71"/>
        <v/>
      </c>
      <c r="W356" s="18" t="str">
        <f t="shared" si="72"/>
        <v/>
      </c>
      <c r="X356" s="18" t="str">
        <f t="shared" si="73"/>
        <v/>
      </c>
      <c r="Y356" s="19" t="str">
        <f>IF(OR(L356="",V356=""),"",IFERROR(INDEX(لیست‌ها!$Q$3:$Q$53,MATCH(V356,لیست‌ها!$P$3:$P$53,0))+IF(W356&lt;=6,(W356-1)*31+X356,IF(W356&lt;=11,186+(W356-7)*30+X356,336+X356))-1,""))</f>
        <v/>
      </c>
      <c r="Z356" s="18" t="str">
        <f t="shared" si="74"/>
        <v/>
      </c>
      <c r="AA356" s="18" t="str">
        <f t="shared" si="75"/>
        <v/>
      </c>
      <c r="AB356" s="18" t="str">
        <f t="shared" si="76"/>
        <v/>
      </c>
      <c r="AC356" s="19" t="str">
        <f>IF(OR(H356="",Z356=""),"",IFERROR(INDEX(لیست‌ها!$Q$3:$Q$53,MATCH(Z356,لیست‌ها!$P$3:$P$53,0))+IF(AA356&lt;=6,(AA356-1)*31+AB356,IF(AA356&lt;=11,186+(AA356-7)*30+AB356,336+AB356))-1,""))</f>
        <v/>
      </c>
      <c r="AD356" s="18" t="str">
        <f t="shared" si="77"/>
        <v/>
      </c>
      <c r="AE356" s="18" t="str">
        <f t="shared" si="78"/>
        <v/>
      </c>
      <c r="AF356" s="18" t="str">
        <f t="shared" si="79"/>
        <v/>
      </c>
      <c r="AG356" s="18" t="str">
        <f>IF(OR(O356="",AD356=""),"",IFERROR(INDEX(لیست‌ها!$Q$3:$Q$53,MATCH(AD356,لیست‌ها!$P$3:$P$53,0))+IF(AE356&lt;=6,(AE356-1)*31+AF356,IF(AE356&lt;=11,186+(AE356-7)*30+AF356,336+AF356))-1,""))</f>
        <v/>
      </c>
      <c r="AH356" s="18" t="str">
        <f t="shared" si="80"/>
        <v/>
      </c>
      <c r="AI356" s="18" t="str">
        <f t="shared" si="81"/>
        <v/>
      </c>
      <c r="AJ356" s="18" t="str">
        <f t="shared" ca="1" si="82"/>
        <v/>
      </c>
    </row>
    <row r="357" spans="1:36">
      <c r="A357" s="18">
        <v>354</v>
      </c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8" t="str">
        <f t="shared" ca="1" si="70"/>
        <v/>
      </c>
      <c r="U357" s="18">
        <f t="shared" ca="1" si="83"/>
        <v>0</v>
      </c>
      <c r="V357" s="18" t="str">
        <f t="shared" si="71"/>
        <v/>
      </c>
      <c r="W357" s="18" t="str">
        <f t="shared" si="72"/>
        <v/>
      </c>
      <c r="X357" s="18" t="str">
        <f t="shared" si="73"/>
        <v/>
      </c>
      <c r="Y357" s="19" t="str">
        <f>IF(OR(L357="",V357=""),"",IFERROR(INDEX(لیست‌ها!$Q$3:$Q$53,MATCH(V357,لیست‌ها!$P$3:$P$53,0))+IF(W357&lt;=6,(W357-1)*31+X357,IF(W357&lt;=11,186+(W357-7)*30+X357,336+X357))-1,""))</f>
        <v/>
      </c>
      <c r="Z357" s="18" t="str">
        <f t="shared" si="74"/>
        <v/>
      </c>
      <c r="AA357" s="18" t="str">
        <f t="shared" si="75"/>
        <v/>
      </c>
      <c r="AB357" s="18" t="str">
        <f t="shared" si="76"/>
        <v/>
      </c>
      <c r="AC357" s="19" t="str">
        <f>IF(OR(H357="",Z357=""),"",IFERROR(INDEX(لیست‌ها!$Q$3:$Q$53,MATCH(Z357,لیست‌ها!$P$3:$P$53,0))+IF(AA357&lt;=6,(AA357-1)*31+AB357,IF(AA357&lt;=11,186+(AA357-7)*30+AB357,336+AB357))-1,""))</f>
        <v/>
      </c>
      <c r="AD357" s="18" t="str">
        <f t="shared" si="77"/>
        <v/>
      </c>
      <c r="AE357" s="18" t="str">
        <f t="shared" si="78"/>
        <v/>
      </c>
      <c r="AF357" s="18" t="str">
        <f t="shared" si="79"/>
        <v/>
      </c>
      <c r="AG357" s="18" t="str">
        <f>IF(OR(O357="",AD357=""),"",IFERROR(INDEX(لیست‌ها!$Q$3:$Q$53,MATCH(AD357,لیست‌ها!$P$3:$P$53,0))+IF(AE357&lt;=6,(AE357-1)*31+AF357,IF(AE357&lt;=11,186+(AE357-7)*30+AF357,336+AF357))-1,""))</f>
        <v/>
      </c>
      <c r="AH357" s="18" t="str">
        <f t="shared" si="80"/>
        <v/>
      </c>
      <c r="AI357" s="18" t="str">
        <f t="shared" si="81"/>
        <v/>
      </c>
      <c r="AJ357" s="18" t="str">
        <f t="shared" ca="1" si="82"/>
        <v/>
      </c>
    </row>
    <row r="358" spans="1:36">
      <c r="A358" s="18">
        <v>355</v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8" t="str">
        <f t="shared" ca="1" si="70"/>
        <v/>
      </c>
      <c r="U358" s="18">
        <f t="shared" ca="1" si="83"/>
        <v>0</v>
      </c>
      <c r="V358" s="18" t="str">
        <f t="shared" si="71"/>
        <v/>
      </c>
      <c r="W358" s="18" t="str">
        <f t="shared" si="72"/>
        <v/>
      </c>
      <c r="X358" s="18" t="str">
        <f t="shared" si="73"/>
        <v/>
      </c>
      <c r="Y358" s="19" t="str">
        <f>IF(OR(L358="",V358=""),"",IFERROR(INDEX(لیست‌ها!$Q$3:$Q$53,MATCH(V358,لیست‌ها!$P$3:$P$53,0))+IF(W358&lt;=6,(W358-1)*31+X358,IF(W358&lt;=11,186+(W358-7)*30+X358,336+X358))-1,""))</f>
        <v/>
      </c>
      <c r="Z358" s="18" t="str">
        <f t="shared" si="74"/>
        <v/>
      </c>
      <c r="AA358" s="18" t="str">
        <f t="shared" si="75"/>
        <v/>
      </c>
      <c r="AB358" s="18" t="str">
        <f t="shared" si="76"/>
        <v/>
      </c>
      <c r="AC358" s="19" t="str">
        <f>IF(OR(H358="",Z358=""),"",IFERROR(INDEX(لیست‌ها!$Q$3:$Q$53,MATCH(Z358,لیست‌ها!$P$3:$P$53,0))+IF(AA358&lt;=6,(AA358-1)*31+AB358,IF(AA358&lt;=11,186+(AA358-7)*30+AB358,336+AB358))-1,""))</f>
        <v/>
      </c>
      <c r="AD358" s="18" t="str">
        <f t="shared" si="77"/>
        <v/>
      </c>
      <c r="AE358" s="18" t="str">
        <f t="shared" si="78"/>
        <v/>
      </c>
      <c r="AF358" s="18" t="str">
        <f t="shared" si="79"/>
        <v/>
      </c>
      <c r="AG358" s="18" t="str">
        <f>IF(OR(O358="",AD358=""),"",IFERROR(INDEX(لیست‌ها!$Q$3:$Q$53,MATCH(AD358,لیست‌ها!$P$3:$P$53,0))+IF(AE358&lt;=6,(AE358-1)*31+AF358,IF(AE358&lt;=11,186+(AE358-7)*30+AF358,336+AF358))-1,""))</f>
        <v/>
      </c>
      <c r="AH358" s="18" t="str">
        <f t="shared" si="80"/>
        <v/>
      </c>
      <c r="AI358" s="18" t="str">
        <f t="shared" si="81"/>
        <v/>
      </c>
      <c r="AJ358" s="18" t="str">
        <f t="shared" ca="1" si="82"/>
        <v/>
      </c>
    </row>
    <row r="359" spans="1:36">
      <c r="A359" s="18">
        <v>356</v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8" t="str">
        <f t="shared" ca="1" si="70"/>
        <v/>
      </c>
      <c r="U359" s="18">
        <f t="shared" ca="1" si="83"/>
        <v>0</v>
      </c>
      <c r="V359" s="18" t="str">
        <f t="shared" si="71"/>
        <v/>
      </c>
      <c r="W359" s="18" t="str">
        <f t="shared" si="72"/>
        <v/>
      </c>
      <c r="X359" s="18" t="str">
        <f t="shared" si="73"/>
        <v/>
      </c>
      <c r="Y359" s="19" t="str">
        <f>IF(OR(L359="",V359=""),"",IFERROR(INDEX(لیست‌ها!$Q$3:$Q$53,MATCH(V359,لیست‌ها!$P$3:$P$53,0))+IF(W359&lt;=6,(W359-1)*31+X359,IF(W359&lt;=11,186+(W359-7)*30+X359,336+X359))-1,""))</f>
        <v/>
      </c>
      <c r="Z359" s="18" t="str">
        <f t="shared" si="74"/>
        <v/>
      </c>
      <c r="AA359" s="18" t="str">
        <f t="shared" si="75"/>
        <v/>
      </c>
      <c r="AB359" s="18" t="str">
        <f t="shared" si="76"/>
        <v/>
      </c>
      <c r="AC359" s="19" t="str">
        <f>IF(OR(H359="",Z359=""),"",IFERROR(INDEX(لیست‌ها!$Q$3:$Q$53,MATCH(Z359,لیست‌ها!$P$3:$P$53,0))+IF(AA359&lt;=6,(AA359-1)*31+AB359,IF(AA359&lt;=11,186+(AA359-7)*30+AB359,336+AB359))-1,""))</f>
        <v/>
      </c>
      <c r="AD359" s="18" t="str">
        <f t="shared" si="77"/>
        <v/>
      </c>
      <c r="AE359" s="18" t="str">
        <f t="shared" si="78"/>
        <v/>
      </c>
      <c r="AF359" s="18" t="str">
        <f t="shared" si="79"/>
        <v/>
      </c>
      <c r="AG359" s="18" t="str">
        <f>IF(OR(O359="",AD359=""),"",IFERROR(INDEX(لیست‌ها!$Q$3:$Q$53,MATCH(AD359,لیست‌ها!$P$3:$P$53,0))+IF(AE359&lt;=6,(AE359-1)*31+AF359,IF(AE359&lt;=11,186+(AE359-7)*30+AF359,336+AF359))-1,""))</f>
        <v/>
      </c>
      <c r="AH359" s="18" t="str">
        <f t="shared" si="80"/>
        <v/>
      </c>
      <c r="AI359" s="18" t="str">
        <f t="shared" si="81"/>
        <v/>
      </c>
      <c r="AJ359" s="18" t="str">
        <f t="shared" ca="1" si="82"/>
        <v/>
      </c>
    </row>
    <row r="360" spans="1:36">
      <c r="A360" s="18">
        <v>357</v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8" t="str">
        <f t="shared" ca="1" si="70"/>
        <v/>
      </c>
      <c r="U360" s="18">
        <f t="shared" ca="1" si="83"/>
        <v>0</v>
      </c>
      <c r="V360" s="18" t="str">
        <f t="shared" si="71"/>
        <v/>
      </c>
      <c r="W360" s="18" t="str">
        <f t="shared" si="72"/>
        <v/>
      </c>
      <c r="X360" s="18" t="str">
        <f t="shared" si="73"/>
        <v/>
      </c>
      <c r="Y360" s="19" t="str">
        <f>IF(OR(L360="",V360=""),"",IFERROR(INDEX(لیست‌ها!$Q$3:$Q$53,MATCH(V360,لیست‌ها!$P$3:$P$53,0))+IF(W360&lt;=6,(W360-1)*31+X360,IF(W360&lt;=11,186+(W360-7)*30+X360,336+X360))-1,""))</f>
        <v/>
      </c>
      <c r="Z360" s="18" t="str">
        <f t="shared" si="74"/>
        <v/>
      </c>
      <c r="AA360" s="18" t="str">
        <f t="shared" si="75"/>
        <v/>
      </c>
      <c r="AB360" s="18" t="str">
        <f t="shared" si="76"/>
        <v/>
      </c>
      <c r="AC360" s="19" t="str">
        <f>IF(OR(H360="",Z360=""),"",IFERROR(INDEX(لیست‌ها!$Q$3:$Q$53,MATCH(Z360,لیست‌ها!$P$3:$P$53,0))+IF(AA360&lt;=6,(AA360-1)*31+AB360,IF(AA360&lt;=11,186+(AA360-7)*30+AB360,336+AB360))-1,""))</f>
        <v/>
      </c>
      <c r="AD360" s="18" t="str">
        <f t="shared" si="77"/>
        <v/>
      </c>
      <c r="AE360" s="18" t="str">
        <f t="shared" si="78"/>
        <v/>
      </c>
      <c r="AF360" s="18" t="str">
        <f t="shared" si="79"/>
        <v/>
      </c>
      <c r="AG360" s="18" t="str">
        <f>IF(OR(O360="",AD360=""),"",IFERROR(INDEX(لیست‌ها!$Q$3:$Q$53,MATCH(AD360,لیست‌ها!$P$3:$P$53,0))+IF(AE360&lt;=6,(AE360-1)*31+AF360,IF(AE360&lt;=11,186+(AE360-7)*30+AF360,336+AF360))-1,""))</f>
        <v/>
      </c>
      <c r="AH360" s="18" t="str">
        <f t="shared" si="80"/>
        <v/>
      </c>
      <c r="AI360" s="18" t="str">
        <f t="shared" si="81"/>
        <v/>
      </c>
      <c r="AJ360" s="18" t="str">
        <f t="shared" ca="1" si="82"/>
        <v/>
      </c>
    </row>
    <row r="361" spans="1:36">
      <c r="A361" s="18">
        <v>358</v>
      </c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8" t="str">
        <f t="shared" ca="1" si="70"/>
        <v/>
      </c>
      <c r="U361" s="18">
        <f t="shared" ca="1" si="83"/>
        <v>0</v>
      </c>
      <c r="V361" s="18" t="str">
        <f t="shared" si="71"/>
        <v/>
      </c>
      <c r="W361" s="18" t="str">
        <f t="shared" si="72"/>
        <v/>
      </c>
      <c r="X361" s="18" t="str">
        <f t="shared" si="73"/>
        <v/>
      </c>
      <c r="Y361" s="19" t="str">
        <f>IF(OR(L361="",V361=""),"",IFERROR(INDEX(لیست‌ها!$Q$3:$Q$53,MATCH(V361,لیست‌ها!$P$3:$P$53,0))+IF(W361&lt;=6,(W361-1)*31+X361,IF(W361&lt;=11,186+(W361-7)*30+X361,336+X361))-1,""))</f>
        <v/>
      </c>
      <c r="Z361" s="18" t="str">
        <f t="shared" si="74"/>
        <v/>
      </c>
      <c r="AA361" s="18" t="str">
        <f t="shared" si="75"/>
        <v/>
      </c>
      <c r="AB361" s="18" t="str">
        <f t="shared" si="76"/>
        <v/>
      </c>
      <c r="AC361" s="19" t="str">
        <f>IF(OR(H361="",Z361=""),"",IFERROR(INDEX(لیست‌ها!$Q$3:$Q$53,MATCH(Z361,لیست‌ها!$P$3:$P$53,0))+IF(AA361&lt;=6,(AA361-1)*31+AB361,IF(AA361&lt;=11,186+(AA361-7)*30+AB361,336+AB361))-1,""))</f>
        <v/>
      </c>
      <c r="AD361" s="18" t="str">
        <f t="shared" si="77"/>
        <v/>
      </c>
      <c r="AE361" s="18" t="str">
        <f t="shared" si="78"/>
        <v/>
      </c>
      <c r="AF361" s="18" t="str">
        <f t="shared" si="79"/>
        <v/>
      </c>
      <c r="AG361" s="18" t="str">
        <f>IF(OR(O361="",AD361=""),"",IFERROR(INDEX(لیست‌ها!$Q$3:$Q$53,MATCH(AD361,لیست‌ها!$P$3:$P$53,0))+IF(AE361&lt;=6,(AE361-1)*31+AF361,IF(AE361&lt;=11,186+(AE361-7)*30+AF361,336+AF361))-1,""))</f>
        <v/>
      </c>
      <c r="AH361" s="18" t="str">
        <f t="shared" si="80"/>
        <v/>
      </c>
      <c r="AI361" s="18" t="str">
        <f t="shared" si="81"/>
        <v/>
      </c>
      <c r="AJ361" s="18" t="str">
        <f t="shared" ca="1" si="82"/>
        <v/>
      </c>
    </row>
    <row r="362" spans="1:36">
      <c r="A362" s="18">
        <v>359</v>
      </c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8" t="str">
        <f t="shared" ca="1" si="70"/>
        <v/>
      </c>
      <c r="U362" s="18">
        <f t="shared" ca="1" si="83"/>
        <v>0</v>
      </c>
      <c r="V362" s="18" t="str">
        <f t="shared" si="71"/>
        <v/>
      </c>
      <c r="W362" s="18" t="str">
        <f t="shared" si="72"/>
        <v/>
      </c>
      <c r="X362" s="18" t="str">
        <f t="shared" si="73"/>
        <v/>
      </c>
      <c r="Y362" s="19" t="str">
        <f>IF(OR(L362="",V362=""),"",IFERROR(INDEX(لیست‌ها!$Q$3:$Q$53,MATCH(V362,لیست‌ها!$P$3:$P$53,0))+IF(W362&lt;=6,(W362-1)*31+X362,IF(W362&lt;=11,186+(W362-7)*30+X362,336+X362))-1,""))</f>
        <v/>
      </c>
      <c r="Z362" s="18" t="str">
        <f t="shared" si="74"/>
        <v/>
      </c>
      <c r="AA362" s="18" t="str">
        <f t="shared" si="75"/>
        <v/>
      </c>
      <c r="AB362" s="18" t="str">
        <f t="shared" si="76"/>
        <v/>
      </c>
      <c r="AC362" s="19" t="str">
        <f>IF(OR(H362="",Z362=""),"",IFERROR(INDEX(لیست‌ها!$Q$3:$Q$53,MATCH(Z362,لیست‌ها!$P$3:$P$53,0))+IF(AA362&lt;=6,(AA362-1)*31+AB362,IF(AA362&lt;=11,186+(AA362-7)*30+AB362,336+AB362))-1,""))</f>
        <v/>
      </c>
      <c r="AD362" s="18" t="str">
        <f t="shared" si="77"/>
        <v/>
      </c>
      <c r="AE362" s="18" t="str">
        <f t="shared" si="78"/>
        <v/>
      </c>
      <c r="AF362" s="18" t="str">
        <f t="shared" si="79"/>
        <v/>
      </c>
      <c r="AG362" s="18" t="str">
        <f>IF(OR(O362="",AD362=""),"",IFERROR(INDEX(لیست‌ها!$Q$3:$Q$53,MATCH(AD362,لیست‌ها!$P$3:$P$53,0))+IF(AE362&lt;=6,(AE362-1)*31+AF362,IF(AE362&lt;=11,186+(AE362-7)*30+AF362,336+AF362))-1,""))</f>
        <v/>
      </c>
      <c r="AH362" s="18" t="str">
        <f t="shared" si="80"/>
        <v/>
      </c>
      <c r="AI362" s="18" t="str">
        <f t="shared" si="81"/>
        <v/>
      </c>
      <c r="AJ362" s="18" t="str">
        <f t="shared" ca="1" si="82"/>
        <v/>
      </c>
    </row>
    <row r="363" spans="1:36">
      <c r="A363" s="18">
        <v>360</v>
      </c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8" t="str">
        <f t="shared" ca="1" si="70"/>
        <v/>
      </c>
      <c r="U363" s="18">
        <f t="shared" ca="1" si="83"/>
        <v>0</v>
      </c>
      <c r="V363" s="18" t="str">
        <f t="shared" si="71"/>
        <v/>
      </c>
      <c r="W363" s="18" t="str">
        <f t="shared" si="72"/>
        <v/>
      </c>
      <c r="X363" s="18" t="str">
        <f t="shared" si="73"/>
        <v/>
      </c>
      <c r="Y363" s="19" t="str">
        <f>IF(OR(L363="",V363=""),"",IFERROR(INDEX(لیست‌ها!$Q$3:$Q$53,MATCH(V363,لیست‌ها!$P$3:$P$53,0))+IF(W363&lt;=6,(W363-1)*31+X363,IF(W363&lt;=11,186+(W363-7)*30+X363,336+X363))-1,""))</f>
        <v/>
      </c>
      <c r="Z363" s="18" t="str">
        <f t="shared" si="74"/>
        <v/>
      </c>
      <c r="AA363" s="18" t="str">
        <f t="shared" si="75"/>
        <v/>
      </c>
      <c r="AB363" s="18" t="str">
        <f t="shared" si="76"/>
        <v/>
      </c>
      <c r="AC363" s="19" t="str">
        <f>IF(OR(H363="",Z363=""),"",IFERROR(INDEX(لیست‌ها!$Q$3:$Q$53,MATCH(Z363,لیست‌ها!$P$3:$P$53,0))+IF(AA363&lt;=6,(AA363-1)*31+AB363,IF(AA363&lt;=11,186+(AA363-7)*30+AB363,336+AB363))-1,""))</f>
        <v/>
      </c>
      <c r="AD363" s="18" t="str">
        <f t="shared" si="77"/>
        <v/>
      </c>
      <c r="AE363" s="18" t="str">
        <f t="shared" si="78"/>
        <v/>
      </c>
      <c r="AF363" s="18" t="str">
        <f t="shared" si="79"/>
        <v/>
      </c>
      <c r="AG363" s="18" t="str">
        <f>IF(OR(O363="",AD363=""),"",IFERROR(INDEX(لیست‌ها!$Q$3:$Q$53,MATCH(AD363,لیست‌ها!$P$3:$P$53,0))+IF(AE363&lt;=6,(AE363-1)*31+AF363,IF(AE363&lt;=11,186+(AE363-7)*30+AF363,336+AF363))-1,""))</f>
        <v/>
      </c>
      <c r="AH363" s="18" t="str">
        <f t="shared" si="80"/>
        <v/>
      </c>
      <c r="AI363" s="18" t="str">
        <f t="shared" si="81"/>
        <v/>
      </c>
      <c r="AJ363" s="18" t="str">
        <f t="shared" ca="1" si="82"/>
        <v/>
      </c>
    </row>
    <row r="364" spans="1:36">
      <c r="A364" s="18">
        <v>361</v>
      </c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8" t="str">
        <f t="shared" ca="1" si="70"/>
        <v/>
      </c>
      <c r="U364" s="18">
        <f t="shared" ca="1" si="83"/>
        <v>0</v>
      </c>
      <c r="V364" s="18" t="str">
        <f t="shared" si="71"/>
        <v/>
      </c>
      <c r="W364" s="18" t="str">
        <f t="shared" si="72"/>
        <v/>
      </c>
      <c r="X364" s="18" t="str">
        <f t="shared" si="73"/>
        <v/>
      </c>
      <c r="Y364" s="19" t="str">
        <f>IF(OR(L364="",V364=""),"",IFERROR(INDEX(لیست‌ها!$Q$3:$Q$53,MATCH(V364,لیست‌ها!$P$3:$P$53,0))+IF(W364&lt;=6,(W364-1)*31+X364,IF(W364&lt;=11,186+(W364-7)*30+X364,336+X364))-1,""))</f>
        <v/>
      </c>
      <c r="Z364" s="18" t="str">
        <f t="shared" si="74"/>
        <v/>
      </c>
      <c r="AA364" s="18" t="str">
        <f t="shared" si="75"/>
        <v/>
      </c>
      <c r="AB364" s="18" t="str">
        <f t="shared" si="76"/>
        <v/>
      </c>
      <c r="AC364" s="19" t="str">
        <f>IF(OR(H364="",Z364=""),"",IFERROR(INDEX(لیست‌ها!$Q$3:$Q$53,MATCH(Z364,لیست‌ها!$P$3:$P$53,0))+IF(AA364&lt;=6,(AA364-1)*31+AB364,IF(AA364&lt;=11,186+(AA364-7)*30+AB364,336+AB364))-1,""))</f>
        <v/>
      </c>
      <c r="AD364" s="18" t="str">
        <f t="shared" si="77"/>
        <v/>
      </c>
      <c r="AE364" s="18" t="str">
        <f t="shared" si="78"/>
        <v/>
      </c>
      <c r="AF364" s="18" t="str">
        <f t="shared" si="79"/>
        <v/>
      </c>
      <c r="AG364" s="18" t="str">
        <f>IF(OR(O364="",AD364=""),"",IFERROR(INDEX(لیست‌ها!$Q$3:$Q$53,MATCH(AD364,لیست‌ها!$P$3:$P$53,0))+IF(AE364&lt;=6,(AE364-1)*31+AF364,IF(AE364&lt;=11,186+(AE364-7)*30+AF364,336+AF364))-1,""))</f>
        <v/>
      </c>
      <c r="AH364" s="18" t="str">
        <f t="shared" si="80"/>
        <v/>
      </c>
      <c r="AI364" s="18" t="str">
        <f t="shared" si="81"/>
        <v/>
      </c>
      <c r="AJ364" s="18" t="str">
        <f t="shared" ca="1" si="82"/>
        <v/>
      </c>
    </row>
    <row r="365" spans="1:36">
      <c r="A365" s="18">
        <v>362</v>
      </c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8" t="str">
        <f t="shared" ca="1" si="70"/>
        <v/>
      </c>
      <c r="U365" s="18">
        <f t="shared" ca="1" si="83"/>
        <v>0</v>
      </c>
      <c r="V365" s="18" t="str">
        <f t="shared" si="71"/>
        <v/>
      </c>
      <c r="W365" s="18" t="str">
        <f t="shared" si="72"/>
        <v/>
      </c>
      <c r="X365" s="18" t="str">
        <f t="shared" si="73"/>
        <v/>
      </c>
      <c r="Y365" s="19" t="str">
        <f>IF(OR(L365="",V365=""),"",IFERROR(INDEX(لیست‌ها!$Q$3:$Q$53,MATCH(V365,لیست‌ها!$P$3:$P$53,0))+IF(W365&lt;=6,(W365-1)*31+X365,IF(W365&lt;=11,186+(W365-7)*30+X365,336+X365))-1,""))</f>
        <v/>
      </c>
      <c r="Z365" s="18" t="str">
        <f t="shared" si="74"/>
        <v/>
      </c>
      <c r="AA365" s="18" t="str">
        <f t="shared" si="75"/>
        <v/>
      </c>
      <c r="AB365" s="18" t="str">
        <f t="shared" si="76"/>
        <v/>
      </c>
      <c r="AC365" s="19" t="str">
        <f>IF(OR(H365="",Z365=""),"",IFERROR(INDEX(لیست‌ها!$Q$3:$Q$53,MATCH(Z365,لیست‌ها!$P$3:$P$53,0))+IF(AA365&lt;=6,(AA365-1)*31+AB365,IF(AA365&lt;=11,186+(AA365-7)*30+AB365,336+AB365))-1,""))</f>
        <v/>
      </c>
      <c r="AD365" s="18" t="str">
        <f t="shared" si="77"/>
        <v/>
      </c>
      <c r="AE365" s="18" t="str">
        <f t="shared" si="78"/>
        <v/>
      </c>
      <c r="AF365" s="18" t="str">
        <f t="shared" si="79"/>
        <v/>
      </c>
      <c r="AG365" s="18" t="str">
        <f>IF(OR(O365="",AD365=""),"",IFERROR(INDEX(لیست‌ها!$Q$3:$Q$53,MATCH(AD365,لیست‌ها!$P$3:$P$53,0))+IF(AE365&lt;=6,(AE365-1)*31+AF365,IF(AE365&lt;=11,186+(AE365-7)*30+AF365,336+AF365))-1,""))</f>
        <v/>
      </c>
      <c r="AH365" s="18" t="str">
        <f t="shared" si="80"/>
        <v/>
      </c>
      <c r="AI365" s="18" t="str">
        <f t="shared" si="81"/>
        <v/>
      </c>
      <c r="AJ365" s="18" t="str">
        <f t="shared" ca="1" si="82"/>
        <v/>
      </c>
    </row>
    <row r="366" spans="1:36">
      <c r="A366" s="18">
        <v>363</v>
      </c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8" t="str">
        <f t="shared" ca="1" si="70"/>
        <v/>
      </c>
      <c r="U366" s="18">
        <f t="shared" ca="1" si="83"/>
        <v>0</v>
      </c>
      <c r="V366" s="18" t="str">
        <f t="shared" si="71"/>
        <v/>
      </c>
      <c r="W366" s="18" t="str">
        <f t="shared" si="72"/>
        <v/>
      </c>
      <c r="X366" s="18" t="str">
        <f t="shared" si="73"/>
        <v/>
      </c>
      <c r="Y366" s="19" t="str">
        <f>IF(OR(L366="",V366=""),"",IFERROR(INDEX(لیست‌ها!$Q$3:$Q$53,MATCH(V366,لیست‌ها!$P$3:$P$53,0))+IF(W366&lt;=6,(W366-1)*31+X366,IF(W366&lt;=11,186+(W366-7)*30+X366,336+X366))-1,""))</f>
        <v/>
      </c>
      <c r="Z366" s="18" t="str">
        <f t="shared" si="74"/>
        <v/>
      </c>
      <c r="AA366" s="18" t="str">
        <f t="shared" si="75"/>
        <v/>
      </c>
      <c r="AB366" s="18" t="str">
        <f t="shared" si="76"/>
        <v/>
      </c>
      <c r="AC366" s="19" t="str">
        <f>IF(OR(H366="",Z366=""),"",IFERROR(INDEX(لیست‌ها!$Q$3:$Q$53,MATCH(Z366,لیست‌ها!$P$3:$P$53,0))+IF(AA366&lt;=6,(AA366-1)*31+AB366,IF(AA366&lt;=11,186+(AA366-7)*30+AB366,336+AB366))-1,""))</f>
        <v/>
      </c>
      <c r="AD366" s="18" t="str">
        <f t="shared" si="77"/>
        <v/>
      </c>
      <c r="AE366" s="18" t="str">
        <f t="shared" si="78"/>
        <v/>
      </c>
      <c r="AF366" s="18" t="str">
        <f t="shared" si="79"/>
        <v/>
      </c>
      <c r="AG366" s="18" t="str">
        <f>IF(OR(O366="",AD366=""),"",IFERROR(INDEX(لیست‌ها!$Q$3:$Q$53,MATCH(AD366,لیست‌ها!$P$3:$P$53,0))+IF(AE366&lt;=6,(AE366-1)*31+AF366,IF(AE366&lt;=11,186+(AE366-7)*30+AF366,336+AF366))-1,""))</f>
        <v/>
      </c>
      <c r="AH366" s="18" t="str">
        <f t="shared" si="80"/>
        <v/>
      </c>
      <c r="AI366" s="18" t="str">
        <f t="shared" si="81"/>
        <v/>
      </c>
      <c r="AJ366" s="18" t="str">
        <f t="shared" ca="1" si="82"/>
        <v/>
      </c>
    </row>
    <row r="367" spans="1:36">
      <c r="A367" s="18">
        <v>364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8" t="str">
        <f t="shared" ca="1" si="70"/>
        <v/>
      </c>
      <c r="U367" s="18">
        <f t="shared" ca="1" si="83"/>
        <v>0</v>
      </c>
      <c r="V367" s="18" t="str">
        <f t="shared" si="71"/>
        <v/>
      </c>
      <c r="W367" s="18" t="str">
        <f t="shared" si="72"/>
        <v/>
      </c>
      <c r="X367" s="18" t="str">
        <f t="shared" si="73"/>
        <v/>
      </c>
      <c r="Y367" s="19" t="str">
        <f>IF(OR(L367="",V367=""),"",IFERROR(INDEX(لیست‌ها!$Q$3:$Q$53,MATCH(V367,لیست‌ها!$P$3:$P$53,0))+IF(W367&lt;=6,(W367-1)*31+X367,IF(W367&lt;=11,186+(W367-7)*30+X367,336+X367))-1,""))</f>
        <v/>
      </c>
      <c r="Z367" s="18" t="str">
        <f t="shared" si="74"/>
        <v/>
      </c>
      <c r="AA367" s="18" t="str">
        <f t="shared" si="75"/>
        <v/>
      </c>
      <c r="AB367" s="18" t="str">
        <f t="shared" si="76"/>
        <v/>
      </c>
      <c r="AC367" s="19" t="str">
        <f>IF(OR(H367="",Z367=""),"",IFERROR(INDEX(لیست‌ها!$Q$3:$Q$53,MATCH(Z367,لیست‌ها!$P$3:$P$53,0))+IF(AA367&lt;=6,(AA367-1)*31+AB367,IF(AA367&lt;=11,186+(AA367-7)*30+AB367,336+AB367))-1,""))</f>
        <v/>
      </c>
      <c r="AD367" s="18" t="str">
        <f t="shared" si="77"/>
        <v/>
      </c>
      <c r="AE367" s="18" t="str">
        <f t="shared" si="78"/>
        <v/>
      </c>
      <c r="AF367" s="18" t="str">
        <f t="shared" si="79"/>
        <v/>
      </c>
      <c r="AG367" s="18" t="str">
        <f>IF(OR(O367="",AD367=""),"",IFERROR(INDEX(لیست‌ها!$Q$3:$Q$53,MATCH(AD367,لیست‌ها!$P$3:$P$53,0))+IF(AE367&lt;=6,(AE367-1)*31+AF367,IF(AE367&lt;=11,186+(AE367-7)*30+AF367,336+AF367))-1,""))</f>
        <v/>
      </c>
      <c r="AH367" s="18" t="str">
        <f t="shared" si="80"/>
        <v/>
      </c>
      <c r="AI367" s="18" t="str">
        <f t="shared" si="81"/>
        <v/>
      </c>
      <c r="AJ367" s="18" t="str">
        <f t="shared" ca="1" si="82"/>
        <v/>
      </c>
    </row>
    <row r="368" spans="1:36">
      <c r="A368" s="18">
        <v>365</v>
      </c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8" t="str">
        <f t="shared" ca="1" si="70"/>
        <v/>
      </c>
      <c r="U368" s="18">
        <f t="shared" ca="1" si="83"/>
        <v>0</v>
      </c>
      <c r="V368" s="18" t="str">
        <f t="shared" si="71"/>
        <v/>
      </c>
      <c r="W368" s="18" t="str">
        <f t="shared" si="72"/>
        <v/>
      </c>
      <c r="X368" s="18" t="str">
        <f t="shared" si="73"/>
        <v/>
      </c>
      <c r="Y368" s="19" t="str">
        <f>IF(OR(L368="",V368=""),"",IFERROR(INDEX(لیست‌ها!$Q$3:$Q$53,MATCH(V368,لیست‌ها!$P$3:$P$53,0))+IF(W368&lt;=6,(W368-1)*31+X368,IF(W368&lt;=11,186+(W368-7)*30+X368,336+X368))-1,""))</f>
        <v/>
      </c>
      <c r="Z368" s="18" t="str">
        <f t="shared" si="74"/>
        <v/>
      </c>
      <c r="AA368" s="18" t="str">
        <f t="shared" si="75"/>
        <v/>
      </c>
      <c r="AB368" s="18" t="str">
        <f t="shared" si="76"/>
        <v/>
      </c>
      <c r="AC368" s="19" t="str">
        <f>IF(OR(H368="",Z368=""),"",IFERROR(INDEX(لیست‌ها!$Q$3:$Q$53,MATCH(Z368,لیست‌ها!$P$3:$P$53,0))+IF(AA368&lt;=6,(AA368-1)*31+AB368,IF(AA368&lt;=11,186+(AA368-7)*30+AB368,336+AB368))-1,""))</f>
        <v/>
      </c>
      <c r="AD368" s="18" t="str">
        <f t="shared" si="77"/>
        <v/>
      </c>
      <c r="AE368" s="18" t="str">
        <f t="shared" si="78"/>
        <v/>
      </c>
      <c r="AF368" s="18" t="str">
        <f t="shared" si="79"/>
        <v/>
      </c>
      <c r="AG368" s="18" t="str">
        <f>IF(OR(O368="",AD368=""),"",IFERROR(INDEX(لیست‌ها!$Q$3:$Q$53,MATCH(AD368,لیست‌ها!$P$3:$P$53,0))+IF(AE368&lt;=6,(AE368-1)*31+AF368,IF(AE368&lt;=11,186+(AE368-7)*30+AF368,336+AF368))-1,""))</f>
        <v/>
      </c>
      <c r="AH368" s="18" t="str">
        <f t="shared" si="80"/>
        <v/>
      </c>
      <c r="AI368" s="18" t="str">
        <f t="shared" si="81"/>
        <v/>
      </c>
      <c r="AJ368" s="18" t="str">
        <f t="shared" ca="1" si="82"/>
        <v/>
      </c>
    </row>
    <row r="369" spans="1:36">
      <c r="A369" s="18">
        <v>366</v>
      </c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8" t="str">
        <f t="shared" ca="1" si="70"/>
        <v/>
      </c>
      <c r="U369" s="18">
        <f t="shared" ca="1" si="83"/>
        <v>0</v>
      </c>
      <c r="V369" s="18" t="str">
        <f t="shared" si="71"/>
        <v/>
      </c>
      <c r="W369" s="18" t="str">
        <f t="shared" si="72"/>
        <v/>
      </c>
      <c r="X369" s="18" t="str">
        <f t="shared" si="73"/>
        <v/>
      </c>
      <c r="Y369" s="19" t="str">
        <f>IF(OR(L369="",V369=""),"",IFERROR(INDEX(لیست‌ها!$Q$3:$Q$53,MATCH(V369,لیست‌ها!$P$3:$P$53,0))+IF(W369&lt;=6,(W369-1)*31+X369,IF(W369&lt;=11,186+(W369-7)*30+X369,336+X369))-1,""))</f>
        <v/>
      </c>
      <c r="Z369" s="18" t="str">
        <f t="shared" si="74"/>
        <v/>
      </c>
      <c r="AA369" s="18" t="str">
        <f t="shared" si="75"/>
        <v/>
      </c>
      <c r="AB369" s="18" t="str">
        <f t="shared" si="76"/>
        <v/>
      </c>
      <c r="AC369" s="19" t="str">
        <f>IF(OR(H369="",Z369=""),"",IFERROR(INDEX(لیست‌ها!$Q$3:$Q$53,MATCH(Z369,لیست‌ها!$P$3:$P$53,0))+IF(AA369&lt;=6,(AA369-1)*31+AB369,IF(AA369&lt;=11,186+(AA369-7)*30+AB369,336+AB369))-1,""))</f>
        <v/>
      </c>
      <c r="AD369" s="18" t="str">
        <f t="shared" si="77"/>
        <v/>
      </c>
      <c r="AE369" s="18" t="str">
        <f t="shared" si="78"/>
        <v/>
      </c>
      <c r="AF369" s="18" t="str">
        <f t="shared" si="79"/>
        <v/>
      </c>
      <c r="AG369" s="18" t="str">
        <f>IF(OR(O369="",AD369=""),"",IFERROR(INDEX(لیست‌ها!$Q$3:$Q$53,MATCH(AD369,لیست‌ها!$P$3:$P$53,0))+IF(AE369&lt;=6,(AE369-1)*31+AF369,IF(AE369&lt;=11,186+(AE369-7)*30+AF369,336+AF369))-1,""))</f>
        <v/>
      </c>
      <c r="AH369" s="18" t="str">
        <f t="shared" si="80"/>
        <v/>
      </c>
      <c r="AI369" s="18" t="str">
        <f t="shared" si="81"/>
        <v/>
      </c>
      <c r="AJ369" s="18" t="str">
        <f t="shared" ca="1" si="82"/>
        <v/>
      </c>
    </row>
    <row r="370" spans="1:36">
      <c r="A370" s="18">
        <v>367</v>
      </c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8" t="str">
        <f t="shared" ca="1" si="70"/>
        <v/>
      </c>
      <c r="U370" s="18">
        <f t="shared" ca="1" si="83"/>
        <v>0</v>
      </c>
      <c r="V370" s="18" t="str">
        <f t="shared" si="71"/>
        <v/>
      </c>
      <c r="W370" s="18" t="str">
        <f t="shared" si="72"/>
        <v/>
      </c>
      <c r="X370" s="18" t="str">
        <f t="shared" si="73"/>
        <v/>
      </c>
      <c r="Y370" s="19" t="str">
        <f>IF(OR(L370="",V370=""),"",IFERROR(INDEX(لیست‌ها!$Q$3:$Q$53,MATCH(V370,لیست‌ها!$P$3:$P$53,0))+IF(W370&lt;=6,(W370-1)*31+X370,IF(W370&lt;=11,186+(W370-7)*30+X370,336+X370))-1,""))</f>
        <v/>
      </c>
      <c r="Z370" s="18" t="str">
        <f t="shared" si="74"/>
        <v/>
      </c>
      <c r="AA370" s="18" t="str">
        <f t="shared" si="75"/>
        <v/>
      </c>
      <c r="AB370" s="18" t="str">
        <f t="shared" si="76"/>
        <v/>
      </c>
      <c r="AC370" s="19" t="str">
        <f>IF(OR(H370="",Z370=""),"",IFERROR(INDEX(لیست‌ها!$Q$3:$Q$53,MATCH(Z370,لیست‌ها!$P$3:$P$53,0))+IF(AA370&lt;=6,(AA370-1)*31+AB370,IF(AA370&lt;=11,186+(AA370-7)*30+AB370,336+AB370))-1,""))</f>
        <v/>
      </c>
      <c r="AD370" s="18" t="str">
        <f t="shared" si="77"/>
        <v/>
      </c>
      <c r="AE370" s="18" t="str">
        <f t="shared" si="78"/>
        <v/>
      </c>
      <c r="AF370" s="18" t="str">
        <f t="shared" si="79"/>
        <v/>
      </c>
      <c r="AG370" s="18" t="str">
        <f>IF(OR(O370="",AD370=""),"",IFERROR(INDEX(لیست‌ها!$Q$3:$Q$53,MATCH(AD370,لیست‌ها!$P$3:$P$53,0))+IF(AE370&lt;=6,(AE370-1)*31+AF370,IF(AE370&lt;=11,186+(AE370-7)*30+AF370,336+AF370))-1,""))</f>
        <v/>
      </c>
      <c r="AH370" s="18" t="str">
        <f t="shared" si="80"/>
        <v/>
      </c>
      <c r="AI370" s="18" t="str">
        <f t="shared" si="81"/>
        <v/>
      </c>
      <c r="AJ370" s="18" t="str">
        <f t="shared" ca="1" si="82"/>
        <v/>
      </c>
    </row>
    <row r="371" spans="1:36">
      <c r="A371" s="18">
        <v>368</v>
      </c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8" t="str">
        <f t="shared" ca="1" si="70"/>
        <v/>
      </c>
      <c r="U371" s="18">
        <f t="shared" ca="1" si="83"/>
        <v>0</v>
      </c>
      <c r="V371" s="18" t="str">
        <f t="shared" si="71"/>
        <v/>
      </c>
      <c r="W371" s="18" t="str">
        <f t="shared" si="72"/>
        <v/>
      </c>
      <c r="X371" s="18" t="str">
        <f t="shared" si="73"/>
        <v/>
      </c>
      <c r="Y371" s="19" t="str">
        <f>IF(OR(L371="",V371=""),"",IFERROR(INDEX(لیست‌ها!$Q$3:$Q$53,MATCH(V371,لیست‌ها!$P$3:$P$53,0))+IF(W371&lt;=6,(W371-1)*31+X371,IF(W371&lt;=11,186+(W371-7)*30+X371,336+X371))-1,""))</f>
        <v/>
      </c>
      <c r="Z371" s="18" t="str">
        <f t="shared" si="74"/>
        <v/>
      </c>
      <c r="AA371" s="18" t="str">
        <f t="shared" si="75"/>
        <v/>
      </c>
      <c r="AB371" s="18" t="str">
        <f t="shared" si="76"/>
        <v/>
      </c>
      <c r="AC371" s="19" t="str">
        <f>IF(OR(H371="",Z371=""),"",IFERROR(INDEX(لیست‌ها!$Q$3:$Q$53,MATCH(Z371,لیست‌ها!$P$3:$P$53,0))+IF(AA371&lt;=6,(AA371-1)*31+AB371,IF(AA371&lt;=11,186+(AA371-7)*30+AB371,336+AB371))-1,""))</f>
        <v/>
      </c>
      <c r="AD371" s="18" t="str">
        <f t="shared" si="77"/>
        <v/>
      </c>
      <c r="AE371" s="18" t="str">
        <f t="shared" si="78"/>
        <v/>
      </c>
      <c r="AF371" s="18" t="str">
        <f t="shared" si="79"/>
        <v/>
      </c>
      <c r="AG371" s="18" t="str">
        <f>IF(OR(O371="",AD371=""),"",IFERROR(INDEX(لیست‌ها!$Q$3:$Q$53,MATCH(AD371,لیست‌ها!$P$3:$P$53,0))+IF(AE371&lt;=6,(AE371-1)*31+AF371,IF(AE371&lt;=11,186+(AE371-7)*30+AF371,336+AF371))-1,""))</f>
        <v/>
      </c>
      <c r="AH371" s="18" t="str">
        <f t="shared" si="80"/>
        <v/>
      </c>
      <c r="AI371" s="18" t="str">
        <f t="shared" si="81"/>
        <v/>
      </c>
      <c r="AJ371" s="18" t="str">
        <f t="shared" ca="1" si="82"/>
        <v/>
      </c>
    </row>
    <row r="372" spans="1:36">
      <c r="A372" s="18">
        <v>369</v>
      </c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8" t="str">
        <f t="shared" ca="1" si="70"/>
        <v/>
      </c>
      <c r="U372" s="18">
        <f t="shared" ca="1" si="83"/>
        <v>0</v>
      </c>
      <c r="V372" s="18" t="str">
        <f t="shared" si="71"/>
        <v/>
      </c>
      <c r="W372" s="18" t="str">
        <f t="shared" si="72"/>
        <v/>
      </c>
      <c r="X372" s="18" t="str">
        <f t="shared" si="73"/>
        <v/>
      </c>
      <c r="Y372" s="19" t="str">
        <f>IF(OR(L372="",V372=""),"",IFERROR(INDEX(لیست‌ها!$Q$3:$Q$53,MATCH(V372,لیست‌ها!$P$3:$P$53,0))+IF(W372&lt;=6,(W372-1)*31+X372,IF(W372&lt;=11,186+(W372-7)*30+X372,336+X372))-1,""))</f>
        <v/>
      </c>
      <c r="Z372" s="18" t="str">
        <f t="shared" si="74"/>
        <v/>
      </c>
      <c r="AA372" s="18" t="str">
        <f t="shared" si="75"/>
        <v/>
      </c>
      <c r="AB372" s="18" t="str">
        <f t="shared" si="76"/>
        <v/>
      </c>
      <c r="AC372" s="19" t="str">
        <f>IF(OR(H372="",Z372=""),"",IFERROR(INDEX(لیست‌ها!$Q$3:$Q$53,MATCH(Z372,لیست‌ها!$P$3:$P$53,0))+IF(AA372&lt;=6,(AA372-1)*31+AB372,IF(AA372&lt;=11,186+(AA372-7)*30+AB372,336+AB372))-1,""))</f>
        <v/>
      </c>
      <c r="AD372" s="18" t="str">
        <f t="shared" si="77"/>
        <v/>
      </c>
      <c r="AE372" s="18" t="str">
        <f t="shared" si="78"/>
        <v/>
      </c>
      <c r="AF372" s="18" t="str">
        <f t="shared" si="79"/>
        <v/>
      </c>
      <c r="AG372" s="18" t="str">
        <f>IF(OR(O372="",AD372=""),"",IFERROR(INDEX(لیست‌ها!$Q$3:$Q$53,MATCH(AD372,لیست‌ها!$P$3:$P$53,0))+IF(AE372&lt;=6,(AE372-1)*31+AF372,IF(AE372&lt;=11,186+(AE372-7)*30+AF372,336+AF372))-1,""))</f>
        <v/>
      </c>
      <c r="AH372" s="18" t="str">
        <f t="shared" si="80"/>
        <v/>
      </c>
      <c r="AI372" s="18" t="str">
        <f t="shared" si="81"/>
        <v/>
      </c>
      <c r="AJ372" s="18" t="str">
        <f t="shared" ca="1" si="82"/>
        <v/>
      </c>
    </row>
    <row r="373" spans="1:36">
      <c r="A373" s="18">
        <v>370</v>
      </c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8" t="str">
        <f t="shared" ca="1" si="70"/>
        <v/>
      </c>
      <c r="U373" s="18">
        <f t="shared" ca="1" si="83"/>
        <v>0</v>
      </c>
      <c r="V373" s="18" t="str">
        <f t="shared" si="71"/>
        <v/>
      </c>
      <c r="W373" s="18" t="str">
        <f t="shared" si="72"/>
        <v/>
      </c>
      <c r="X373" s="18" t="str">
        <f t="shared" si="73"/>
        <v/>
      </c>
      <c r="Y373" s="19" t="str">
        <f>IF(OR(L373="",V373=""),"",IFERROR(INDEX(لیست‌ها!$Q$3:$Q$53,MATCH(V373,لیست‌ها!$P$3:$P$53,0))+IF(W373&lt;=6,(W373-1)*31+X373,IF(W373&lt;=11,186+(W373-7)*30+X373,336+X373))-1,""))</f>
        <v/>
      </c>
      <c r="Z373" s="18" t="str">
        <f t="shared" si="74"/>
        <v/>
      </c>
      <c r="AA373" s="18" t="str">
        <f t="shared" si="75"/>
        <v/>
      </c>
      <c r="AB373" s="18" t="str">
        <f t="shared" si="76"/>
        <v/>
      </c>
      <c r="AC373" s="19" t="str">
        <f>IF(OR(H373="",Z373=""),"",IFERROR(INDEX(لیست‌ها!$Q$3:$Q$53,MATCH(Z373,لیست‌ها!$P$3:$P$53,0))+IF(AA373&lt;=6,(AA373-1)*31+AB373,IF(AA373&lt;=11,186+(AA373-7)*30+AB373,336+AB373))-1,""))</f>
        <v/>
      </c>
      <c r="AD373" s="18" t="str">
        <f t="shared" si="77"/>
        <v/>
      </c>
      <c r="AE373" s="18" t="str">
        <f t="shared" si="78"/>
        <v/>
      </c>
      <c r="AF373" s="18" t="str">
        <f t="shared" si="79"/>
        <v/>
      </c>
      <c r="AG373" s="18" t="str">
        <f>IF(OR(O373="",AD373=""),"",IFERROR(INDEX(لیست‌ها!$Q$3:$Q$53,MATCH(AD373,لیست‌ها!$P$3:$P$53,0))+IF(AE373&lt;=6,(AE373-1)*31+AF373,IF(AE373&lt;=11,186+(AE373-7)*30+AF373,336+AF373))-1,""))</f>
        <v/>
      </c>
      <c r="AH373" s="18" t="str">
        <f t="shared" si="80"/>
        <v/>
      </c>
      <c r="AI373" s="18" t="str">
        <f t="shared" si="81"/>
        <v/>
      </c>
      <c r="AJ373" s="18" t="str">
        <f t="shared" ca="1" si="82"/>
        <v/>
      </c>
    </row>
    <row r="374" spans="1:36">
      <c r="A374" s="18">
        <v>371</v>
      </c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8" t="str">
        <f t="shared" ca="1" si="70"/>
        <v/>
      </c>
      <c r="U374" s="18">
        <f t="shared" ca="1" si="83"/>
        <v>0</v>
      </c>
      <c r="V374" s="18" t="str">
        <f t="shared" si="71"/>
        <v/>
      </c>
      <c r="W374" s="18" t="str">
        <f t="shared" si="72"/>
        <v/>
      </c>
      <c r="X374" s="18" t="str">
        <f t="shared" si="73"/>
        <v/>
      </c>
      <c r="Y374" s="19" t="str">
        <f>IF(OR(L374="",V374=""),"",IFERROR(INDEX(لیست‌ها!$Q$3:$Q$53,MATCH(V374,لیست‌ها!$P$3:$P$53,0))+IF(W374&lt;=6,(W374-1)*31+X374,IF(W374&lt;=11,186+(W374-7)*30+X374,336+X374))-1,""))</f>
        <v/>
      </c>
      <c r="Z374" s="18" t="str">
        <f t="shared" si="74"/>
        <v/>
      </c>
      <c r="AA374" s="18" t="str">
        <f t="shared" si="75"/>
        <v/>
      </c>
      <c r="AB374" s="18" t="str">
        <f t="shared" si="76"/>
        <v/>
      </c>
      <c r="AC374" s="19" t="str">
        <f>IF(OR(H374="",Z374=""),"",IFERROR(INDEX(لیست‌ها!$Q$3:$Q$53,MATCH(Z374,لیست‌ها!$P$3:$P$53,0))+IF(AA374&lt;=6,(AA374-1)*31+AB374,IF(AA374&lt;=11,186+(AA374-7)*30+AB374,336+AB374))-1,""))</f>
        <v/>
      </c>
      <c r="AD374" s="18" t="str">
        <f t="shared" si="77"/>
        <v/>
      </c>
      <c r="AE374" s="18" t="str">
        <f t="shared" si="78"/>
        <v/>
      </c>
      <c r="AF374" s="18" t="str">
        <f t="shared" si="79"/>
        <v/>
      </c>
      <c r="AG374" s="18" t="str">
        <f>IF(OR(O374="",AD374=""),"",IFERROR(INDEX(لیست‌ها!$Q$3:$Q$53,MATCH(AD374,لیست‌ها!$P$3:$P$53,0))+IF(AE374&lt;=6,(AE374-1)*31+AF374,IF(AE374&lt;=11,186+(AE374-7)*30+AF374,336+AF374))-1,""))</f>
        <v/>
      </c>
      <c r="AH374" s="18" t="str">
        <f t="shared" si="80"/>
        <v/>
      </c>
      <c r="AI374" s="18" t="str">
        <f t="shared" si="81"/>
        <v/>
      </c>
      <c r="AJ374" s="18" t="str">
        <f t="shared" ca="1" si="82"/>
        <v/>
      </c>
    </row>
    <row r="375" spans="1:36">
      <c r="A375" s="18">
        <v>372</v>
      </c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8" t="str">
        <f t="shared" ca="1" si="70"/>
        <v/>
      </c>
      <c r="U375" s="18">
        <f t="shared" ca="1" si="83"/>
        <v>0</v>
      </c>
      <c r="V375" s="18" t="str">
        <f t="shared" si="71"/>
        <v/>
      </c>
      <c r="W375" s="18" t="str">
        <f t="shared" si="72"/>
        <v/>
      </c>
      <c r="X375" s="18" t="str">
        <f t="shared" si="73"/>
        <v/>
      </c>
      <c r="Y375" s="19" t="str">
        <f>IF(OR(L375="",V375=""),"",IFERROR(INDEX(لیست‌ها!$Q$3:$Q$53,MATCH(V375,لیست‌ها!$P$3:$P$53,0))+IF(W375&lt;=6,(W375-1)*31+X375,IF(W375&lt;=11,186+(W375-7)*30+X375,336+X375))-1,""))</f>
        <v/>
      </c>
      <c r="Z375" s="18" t="str">
        <f t="shared" si="74"/>
        <v/>
      </c>
      <c r="AA375" s="18" t="str">
        <f t="shared" si="75"/>
        <v/>
      </c>
      <c r="AB375" s="18" t="str">
        <f t="shared" si="76"/>
        <v/>
      </c>
      <c r="AC375" s="19" t="str">
        <f>IF(OR(H375="",Z375=""),"",IFERROR(INDEX(لیست‌ها!$Q$3:$Q$53,MATCH(Z375,لیست‌ها!$P$3:$P$53,0))+IF(AA375&lt;=6,(AA375-1)*31+AB375,IF(AA375&lt;=11,186+(AA375-7)*30+AB375,336+AB375))-1,""))</f>
        <v/>
      </c>
      <c r="AD375" s="18" t="str">
        <f t="shared" si="77"/>
        <v/>
      </c>
      <c r="AE375" s="18" t="str">
        <f t="shared" si="78"/>
        <v/>
      </c>
      <c r="AF375" s="18" t="str">
        <f t="shared" si="79"/>
        <v/>
      </c>
      <c r="AG375" s="18" t="str">
        <f>IF(OR(O375="",AD375=""),"",IFERROR(INDEX(لیست‌ها!$Q$3:$Q$53,MATCH(AD375,لیست‌ها!$P$3:$P$53,0))+IF(AE375&lt;=6,(AE375-1)*31+AF375,IF(AE375&lt;=11,186+(AE375-7)*30+AF375,336+AF375))-1,""))</f>
        <v/>
      </c>
      <c r="AH375" s="18" t="str">
        <f t="shared" si="80"/>
        <v/>
      </c>
      <c r="AI375" s="18" t="str">
        <f t="shared" si="81"/>
        <v/>
      </c>
      <c r="AJ375" s="18" t="str">
        <f t="shared" ca="1" si="82"/>
        <v/>
      </c>
    </row>
    <row r="376" spans="1:36">
      <c r="A376" s="18">
        <v>373</v>
      </c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8" t="str">
        <f t="shared" ca="1" si="70"/>
        <v/>
      </c>
      <c r="U376" s="18">
        <f t="shared" ca="1" si="83"/>
        <v>0</v>
      </c>
      <c r="V376" s="18" t="str">
        <f t="shared" si="71"/>
        <v/>
      </c>
      <c r="W376" s="18" t="str">
        <f t="shared" si="72"/>
        <v/>
      </c>
      <c r="X376" s="18" t="str">
        <f t="shared" si="73"/>
        <v/>
      </c>
      <c r="Y376" s="19" t="str">
        <f>IF(OR(L376="",V376=""),"",IFERROR(INDEX(لیست‌ها!$Q$3:$Q$53,MATCH(V376,لیست‌ها!$P$3:$P$53,0))+IF(W376&lt;=6,(W376-1)*31+X376,IF(W376&lt;=11,186+(W376-7)*30+X376,336+X376))-1,""))</f>
        <v/>
      </c>
      <c r="Z376" s="18" t="str">
        <f t="shared" si="74"/>
        <v/>
      </c>
      <c r="AA376" s="18" t="str">
        <f t="shared" si="75"/>
        <v/>
      </c>
      <c r="AB376" s="18" t="str">
        <f t="shared" si="76"/>
        <v/>
      </c>
      <c r="AC376" s="19" t="str">
        <f>IF(OR(H376="",Z376=""),"",IFERROR(INDEX(لیست‌ها!$Q$3:$Q$53,MATCH(Z376,لیست‌ها!$P$3:$P$53,0))+IF(AA376&lt;=6,(AA376-1)*31+AB376,IF(AA376&lt;=11,186+(AA376-7)*30+AB376,336+AB376))-1,""))</f>
        <v/>
      </c>
      <c r="AD376" s="18" t="str">
        <f t="shared" si="77"/>
        <v/>
      </c>
      <c r="AE376" s="18" t="str">
        <f t="shared" si="78"/>
        <v/>
      </c>
      <c r="AF376" s="18" t="str">
        <f t="shared" si="79"/>
        <v/>
      </c>
      <c r="AG376" s="18" t="str">
        <f>IF(OR(O376="",AD376=""),"",IFERROR(INDEX(لیست‌ها!$Q$3:$Q$53,MATCH(AD376,لیست‌ها!$P$3:$P$53,0))+IF(AE376&lt;=6,(AE376-1)*31+AF376,IF(AE376&lt;=11,186+(AE376-7)*30+AF376,336+AF376))-1,""))</f>
        <v/>
      </c>
      <c r="AH376" s="18" t="str">
        <f t="shared" si="80"/>
        <v/>
      </c>
      <c r="AI376" s="18" t="str">
        <f t="shared" si="81"/>
        <v/>
      </c>
      <c r="AJ376" s="18" t="str">
        <f t="shared" ca="1" si="82"/>
        <v/>
      </c>
    </row>
    <row r="377" spans="1:36">
      <c r="A377" s="18">
        <v>374</v>
      </c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8" t="str">
        <f t="shared" ca="1" si="70"/>
        <v/>
      </c>
      <c r="U377" s="18">
        <f t="shared" ca="1" si="83"/>
        <v>0</v>
      </c>
      <c r="V377" s="18" t="str">
        <f t="shared" si="71"/>
        <v/>
      </c>
      <c r="W377" s="18" t="str">
        <f t="shared" si="72"/>
        <v/>
      </c>
      <c r="X377" s="18" t="str">
        <f t="shared" si="73"/>
        <v/>
      </c>
      <c r="Y377" s="19" t="str">
        <f>IF(OR(L377="",V377=""),"",IFERROR(INDEX(لیست‌ها!$Q$3:$Q$53,MATCH(V377,لیست‌ها!$P$3:$P$53,0))+IF(W377&lt;=6,(W377-1)*31+X377,IF(W377&lt;=11,186+(W377-7)*30+X377,336+X377))-1,""))</f>
        <v/>
      </c>
      <c r="Z377" s="18" t="str">
        <f t="shared" si="74"/>
        <v/>
      </c>
      <c r="AA377" s="18" t="str">
        <f t="shared" si="75"/>
        <v/>
      </c>
      <c r="AB377" s="18" t="str">
        <f t="shared" si="76"/>
        <v/>
      </c>
      <c r="AC377" s="19" t="str">
        <f>IF(OR(H377="",Z377=""),"",IFERROR(INDEX(لیست‌ها!$Q$3:$Q$53,MATCH(Z377,لیست‌ها!$P$3:$P$53,0))+IF(AA377&lt;=6,(AA377-1)*31+AB377,IF(AA377&lt;=11,186+(AA377-7)*30+AB377,336+AB377))-1,""))</f>
        <v/>
      </c>
      <c r="AD377" s="18" t="str">
        <f t="shared" si="77"/>
        <v/>
      </c>
      <c r="AE377" s="18" t="str">
        <f t="shared" si="78"/>
        <v/>
      </c>
      <c r="AF377" s="18" t="str">
        <f t="shared" si="79"/>
        <v/>
      </c>
      <c r="AG377" s="18" t="str">
        <f>IF(OR(O377="",AD377=""),"",IFERROR(INDEX(لیست‌ها!$Q$3:$Q$53,MATCH(AD377,لیست‌ها!$P$3:$P$53,0))+IF(AE377&lt;=6,(AE377-1)*31+AF377,IF(AE377&lt;=11,186+(AE377-7)*30+AF377,336+AF377))-1,""))</f>
        <v/>
      </c>
      <c r="AH377" s="18" t="str">
        <f t="shared" si="80"/>
        <v/>
      </c>
      <c r="AI377" s="18" t="str">
        <f t="shared" si="81"/>
        <v/>
      </c>
      <c r="AJ377" s="18" t="str">
        <f t="shared" ca="1" si="82"/>
        <v/>
      </c>
    </row>
    <row r="378" spans="1:36">
      <c r="A378" s="18">
        <v>375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8" t="str">
        <f t="shared" ca="1" si="70"/>
        <v/>
      </c>
      <c r="U378" s="18">
        <f t="shared" ca="1" si="83"/>
        <v>0</v>
      </c>
      <c r="V378" s="18" t="str">
        <f t="shared" si="71"/>
        <v/>
      </c>
      <c r="W378" s="18" t="str">
        <f t="shared" si="72"/>
        <v/>
      </c>
      <c r="X378" s="18" t="str">
        <f t="shared" si="73"/>
        <v/>
      </c>
      <c r="Y378" s="19" t="str">
        <f>IF(OR(L378="",V378=""),"",IFERROR(INDEX(لیست‌ها!$Q$3:$Q$53,MATCH(V378,لیست‌ها!$P$3:$P$53,0))+IF(W378&lt;=6,(W378-1)*31+X378,IF(W378&lt;=11,186+(W378-7)*30+X378,336+X378))-1,""))</f>
        <v/>
      </c>
      <c r="Z378" s="18" t="str">
        <f t="shared" si="74"/>
        <v/>
      </c>
      <c r="AA378" s="18" t="str">
        <f t="shared" si="75"/>
        <v/>
      </c>
      <c r="AB378" s="18" t="str">
        <f t="shared" si="76"/>
        <v/>
      </c>
      <c r="AC378" s="19" t="str">
        <f>IF(OR(H378="",Z378=""),"",IFERROR(INDEX(لیست‌ها!$Q$3:$Q$53,MATCH(Z378,لیست‌ها!$P$3:$P$53,0))+IF(AA378&lt;=6,(AA378-1)*31+AB378,IF(AA378&lt;=11,186+(AA378-7)*30+AB378,336+AB378))-1,""))</f>
        <v/>
      </c>
      <c r="AD378" s="18" t="str">
        <f t="shared" si="77"/>
        <v/>
      </c>
      <c r="AE378" s="18" t="str">
        <f t="shared" si="78"/>
        <v/>
      </c>
      <c r="AF378" s="18" t="str">
        <f t="shared" si="79"/>
        <v/>
      </c>
      <c r="AG378" s="18" t="str">
        <f>IF(OR(O378="",AD378=""),"",IFERROR(INDEX(لیست‌ها!$Q$3:$Q$53,MATCH(AD378,لیست‌ها!$P$3:$P$53,0))+IF(AE378&lt;=6,(AE378-1)*31+AF378,IF(AE378&lt;=11,186+(AE378-7)*30+AF378,336+AF378))-1,""))</f>
        <v/>
      </c>
      <c r="AH378" s="18" t="str">
        <f t="shared" si="80"/>
        <v/>
      </c>
      <c r="AI378" s="18" t="str">
        <f t="shared" si="81"/>
        <v/>
      </c>
      <c r="AJ378" s="18" t="str">
        <f t="shared" ca="1" si="82"/>
        <v/>
      </c>
    </row>
    <row r="379" spans="1:36">
      <c r="A379" s="18">
        <v>376</v>
      </c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8" t="str">
        <f t="shared" ca="1" si="70"/>
        <v/>
      </c>
      <c r="U379" s="18">
        <f t="shared" ca="1" si="83"/>
        <v>0</v>
      </c>
      <c r="V379" s="18" t="str">
        <f t="shared" si="71"/>
        <v/>
      </c>
      <c r="W379" s="18" t="str">
        <f t="shared" si="72"/>
        <v/>
      </c>
      <c r="X379" s="18" t="str">
        <f t="shared" si="73"/>
        <v/>
      </c>
      <c r="Y379" s="19" t="str">
        <f>IF(OR(L379="",V379=""),"",IFERROR(INDEX(لیست‌ها!$Q$3:$Q$53,MATCH(V379,لیست‌ها!$P$3:$P$53,0))+IF(W379&lt;=6,(W379-1)*31+X379,IF(W379&lt;=11,186+(W379-7)*30+X379,336+X379))-1,""))</f>
        <v/>
      </c>
      <c r="Z379" s="18" t="str">
        <f t="shared" si="74"/>
        <v/>
      </c>
      <c r="AA379" s="18" t="str">
        <f t="shared" si="75"/>
        <v/>
      </c>
      <c r="AB379" s="18" t="str">
        <f t="shared" si="76"/>
        <v/>
      </c>
      <c r="AC379" s="19" t="str">
        <f>IF(OR(H379="",Z379=""),"",IFERROR(INDEX(لیست‌ها!$Q$3:$Q$53,MATCH(Z379,لیست‌ها!$P$3:$P$53,0))+IF(AA379&lt;=6,(AA379-1)*31+AB379,IF(AA379&lt;=11,186+(AA379-7)*30+AB379,336+AB379))-1,""))</f>
        <v/>
      </c>
      <c r="AD379" s="18" t="str">
        <f t="shared" si="77"/>
        <v/>
      </c>
      <c r="AE379" s="18" t="str">
        <f t="shared" si="78"/>
        <v/>
      </c>
      <c r="AF379" s="18" t="str">
        <f t="shared" si="79"/>
        <v/>
      </c>
      <c r="AG379" s="18" t="str">
        <f>IF(OR(O379="",AD379=""),"",IFERROR(INDEX(لیست‌ها!$Q$3:$Q$53,MATCH(AD379,لیست‌ها!$P$3:$P$53,0))+IF(AE379&lt;=6,(AE379-1)*31+AF379,IF(AE379&lt;=11,186+(AE379-7)*30+AF379,336+AF379))-1,""))</f>
        <v/>
      </c>
      <c r="AH379" s="18" t="str">
        <f t="shared" si="80"/>
        <v/>
      </c>
      <c r="AI379" s="18" t="str">
        <f t="shared" si="81"/>
        <v/>
      </c>
      <c r="AJ379" s="18" t="str">
        <f t="shared" ca="1" si="82"/>
        <v/>
      </c>
    </row>
    <row r="380" spans="1:36">
      <c r="A380" s="18">
        <v>377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8" t="str">
        <f t="shared" ca="1" si="70"/>
        <v/>
      </c>
      <c r="U380" s="18">
        <f t="shared" ca="1" si="83"/>
        <v>0</v>
      </c>
      <c r="V380" s="18" t="str">
        <f t="shared" si="71"/>
        <v/>
      </c>
      <c r="W380" s="18" t="str">
        <f t="shared" si="72"/>
        <v/>
      </c>
      <c r="X380" s="18" t="str">
        <f t="shared" si="73"/>
        <v/>
      </c>
      <c r="Y380" s="19" t="str">
        <f>IF(OR(L380="",V380=""),"",IFERROR(INDEX(لیست‌ها!$Q$3:$Q$53,MATCH(V380,لیست‌ها!$P$3:$P$53,0))+IF(W380&lt;=6,(W380-1)*31+X380,IF(W380&lt;=11,186+(W380-7)*30+X380,336+X380))-1,""))</f>
        <v/>
      </c>
      <c r="Z380" s="18" t="str">
        <f t="shared" si="74"/>
        <v/>
      </c>
      <c r="AA380" s="18" t="str">
        <f t="shared" si="75"/>
        <v/>
      </c>
      <c r="AB380" s="18" t="str">
        <f t="shared" si="76"/>
        <v/>
      </c>
      <c r="AC380" s="19" t="str">
        <f>IF(OR(H380="",Z380=""),"",IFERROR(INDEX(لیست‌ها!$Q$3:$Q$53,MATCH(Z380,لیست‌ها!$P$3:$P$53,0))+IF(AA380&lt;=6,(AA380-1)*31+AB380,IF(AA380&lt;=11,186+(AA380-7)*30+AB380,336+AB380))-1,""))</f>
        <v/>
      </c>
      <c r="AD380" s="18" t="str">
        <f t="shared" si="77"/>
        <v/>
      </c>
      <c r="AE380" s="18" t="str">
        <f t="shared" si="78"/>
        <v/>
      </c>
      <c r="AF380" s="18" t="str">
        <f t="shared" si="79"/>
        <v/>
      </c>
      <c r="AG380" s="18" t="str">
        <f>IF(OR(O380="",AD380=""),"",IFERROR(INDEX(لیست‌ها!$Q$3:$Q$53,MATCH(AD380,لیست‌ها!$P$3:$P$53,0))+IF(AE380&lt;=6,(AE380-1)*31+AF380,IF(AE380&lt;=11,186+(AE380-7)*30+AF380,336+AF380))-1,""))</f>
        <v/>
      </c>
      <c r="AH380" s="18" t="str">
        <f t="shared" si="80"/>
        <v/>
      </c>
      <c r="AI380" s="18" t="str">
        <f t="shared" si="81"/>
        <v/>
      </c>
      <c r="AJ380" s="18" t="str">
        <f t="shared" ca="1" si="82"/>
        <v/>
      </c>
    </row>
    <row r="381" spans="1:36">
      <c r="A381" s="18">
        <v>378</v>
      </c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8" t="str">
        <f t="shared" ca="1" si="70"/>
        <v/>
      </c>
      <c r="U381" s="18">
        <f t="shared" ca="1" si="83"/>
        <v>0</v>
      </c>
      <c r="V381" s="18" t="str">
        <f t="shared" si="71"/>
        <v/>
      </c>
      <c r="W381" s="18" t="str">
        <f t="shared" si="72"/>
        <v/>
      </c>
      <c r="X381" s="18" t="str">
        <f t="shared" si="73"/>
        <v/>
      </c>
      <c r="Y381" s="19" t="str">
        <f>IF(OR(L381="",V381=""),"",IFERROR(INDEX(لیست‌ها!$Q$3:$Q$53,MATCH(V381,لیست‌ها!$P$3:$P$53,0))+IF(W381&lt;=6,(W381-1)*31+X381,IF(W381&lt;=11,186+(W381-7)*30+X381,336+X381))-1,""))</f>
        <v/>
      </c>
      <c r="Z381" s="18" t="str">
        <f t="shared" si="74"/>
        <v/>
      </c>
      <c r="AA381" s="18" t="str">
        <f t="shared" si="75"/>
        <v/>
      </c>
      <c r="AB381" s="18" t="str">
        <f t="shared" si="76"/>
        <v/>
      </c>
      <c r="AC381" s="19" t="str">
        <f>IF(OR(H381="",Z381=""),"",IFERROR(INDEX(لیست‌ها!$Q$3:$Q$53,MATCH(Z381,لیست‌ها!$P$3:$P$53,0))+IF(AA381&lt;=6,(AA381-1)*31+AB381,IF(AA381&lt;=11,186+(AA381-7)*30+AB381,336+AB381))-1,""))</f>
        <v/>
      </c>
      <c r="AD381" s="18" t="str">
        <f t="shared" si="77"/>
        <v/>
      </c>
      <c r="AE381" s="18" t="str">
        <f t="shared" si="78"/>
        <v/>
      </c>
      <c r="AF381" s="18" t="str">
        <f t="shared" si="79"/>
        <v/>
      </c>
      <c r="AG381" s="18" t="str">
        <f>IF(OR(O381="",AD381=""),"",IFERROR(INDEX(لیست‌ها!$Q$3:$Q$53,MATCH(AD381,لیست‌ها!$P$3:$P$53,0))+IF(AE381&lt;=6,(AE381-1)*31+AF381,IF(AE381&lt;=11,186+(AE381-7)*30+AF381,336+AF381))-1,""))</f>
        <v/>
      </c>
      <c r="AH381" s="18" t="str">
        <f t="shared" si="80"/>
        <v/>
      </c>
      <c r="AI381" s="18" t="str">
        <f t="shared" si="81"/>
        <v/>
      </c>
      <c r="AJ381" s="18" t="str">
        <f t="shared" ca="1" si="82"/>
        <v/>
      </c>
    </row>
    <row r="382" spans="1:36">
      <c r="A382" s="18">
        <v>379</v>
      </c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8" t="str">
        <f t="shared" ca="1" si="70"/>
        <v/>
      </c>
      <c r="U382" s="18">
        <f t="shared" ca="1" si="83"/>
        <v>0</v>
      </c>
      <c r="V382" s="18" t="str">
        <f t="shared" si="71"/>
        <v/>
      </c>
      <c r="W382" s="18" t="str">
        <f t="shared" si="72"/>
        <v/>
      </c>
      <c r="X382" s="18" t="str">
        <f t="shared" si="73"/>
        <v/>
      </c>
      <c r="Y382" s="19" t="str">
        <f>IF(OR(L382="",V382=""),"",IFERROR(INDEX(لیست‌ها!$Q$3:$Q$53,MATCH(V382,لیست‌ها!$P$3:$P$53,0))+IF(W382&lt;=6,(W382-1)*31+X382,IF(W382&lt;=11,186+(W382-7)*30+X382,336+X382))-1,""))</f>
        <v/>
      </c>
      <c r="Z382" s="18" t="str">
        <f t="shared" si="74"/>
        <v/>
      </c>
      <c r="AA382" s="18" t="str">
        <f t="shared" si="75"/>
        <v/>
      </c>
      <c r="AB382" s="18" t="str">
        <f t="shared" si="76"/>
        <v/>
      </c>
      <c r="AC382" s="19" t="str">
        <f>IF(OR(H382="",Z382=""),"",IFERROR(INDEX(لیست‌ها!$Q$3:$Q$53,MATCH(Z382,لیست‌ها!$P$3:$P$53,0))+IF(AA382&lt;=6,(AA382-1)*31+AB382,IF(AA382&lt;=11,186+(AA382-7)*30+AB382,336+AB382))-1,""))</f>
        <v/>
      </c>
      <c r="AD382" s="18" t="str">
        <f t="shared" si="77"/>
        <v/>
      </c>
      <c r="AE382" s="18" t="str">
        <f t="shared" si="78"/>
        <v/>
      </c>
      <c r="AF382" s="18" t="str">
        <f t="shared" si="79"/>
        <v/>
      </c>
      <c r="AG382" s="18" t="str">
        <f>IF(OR(O382="",AD382=""),"",IFERROR(INDEX(لیست‌ها!$Q$3:$Q$53,MATCH(AD382,لیست‌ها!$P$3:$P$53,0))+IF(AE382&lt;=6,(AE382-1)*31+AF382,IF(AE382&lt;=11,186+(AE382-7)*30+AF382,336+AF382))-1,""))</f>
        <v/>
      </c>
      <c r="AH382" s="18" t="str">
        <f t="shared" si="80"/>
        <v/>
      </c>
      <c r="AI382" s="18" t="str">
        <f t="shared" si="81"/>
        <v/>
      </c>
      <c r="AJ382" s="18" t="str">
        <f t="shared" ca="1" si="82"/>
        <v/>
      </c>
    </row>
    <row r="383" spans="1:36">
      <c r="A383" s="18">
        <v>380</v>
      </c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8" t="str">
        <f t="shared" ca="1" si="70"/>
        <v/>
      </c>
      <c r="U383" s="18">
        <f t="shared" ca="1" si="83"/>
        <v>0</v>
      </c>
      <c r="V383" s="18" t="str">
        <f t="shared" si="71"/>
        <v/>
      </c>
      <c r="W383" s="18" t="str">
        <f t="shared" si="72"/>
        <v/>
      </c>
      <c r="X383" s="18" t="str">
        <f t="shared" si="73"/>
        <v/>
      </c>
      <c r="Y383" s="19" t="str">
        <f>IF(OR(L383="",V383=""),"",IFERROR(INDEX(لیست‌ها!$Q$3:$Q$53,MATCH(V383,لیست‌ها!$P$3:$P$53,0))+IF(W383&lt;=6,(W383-1)*31+X383,IF(W383&lt;=11,186+(W383-7)*30+X383,336+X383))-1,""))</f>
        <v/>
      </c>
      <c r="Z383" s="18" t="str">
        <f t="shared" si="74"/>
        <v/>
      </c>
      <c r="AA383" s="18" t="str">
        <f t="shared" si="75"/>
        <v/>
      </c>
      <c r="AB383" s="18" t="str">
        <f t="shared" si="76"/>
        <v/>
      </c>
      <c r="AC383" s="19" t="str">
        <f>IF(OR(H383="",Z383=""),"",IFERROR(INDEX(لیست‌ها!$Q$3:$Q$53,MATCH(Z383,لیست‌ها!$P$3:$P$53,0))+IF(AA383&lt;=6,(AA383-1)*31+AB383,IF(AA383&lt;=11,186+(AA383-7)*30+AB383,336+AB383))-1,""))</f>
        <v/>
      </c>
      <c r="AD383" s="18" t="str">
        <f t="shared" si="77"/>
        <v/>
      </c>
      <c r="AE383" s="18" t="str">
        <f t="shared" si="78"/>
        <v/>
      </c>
      <c r="AF383" s="18" t="str">
        <f t="shared" si="79"/>
        <v/>
      </c>
      <c r="AG383" s="18" t="str">
        <f>IF(OR(O383="",AD383=""),"",IFERROR(INDEX(لیست‌ها!$Q$3:$Q$53,MATCH(AD383,لیست‌ها!$P$3:$P$53,0))+IF(AE383&lt;=6,(AE383-1)*31+AF383,IF(AE383&lt;=11,186+(AE383-7)*30+AF383,336+AF383))-1,""))</f>
        <v/>
      </c>
      <c r="AH383" s="18" t="str">
        <f t="shared" si="80"/>
        <v/>
      </c>
      <c r="AI383" s="18" t="str">
        <f t="shared" si="81"/>
        <v/>
      </c>
      <c r="AJ383" s="18" t="str">
        <f t="shared" ca="1" si="82"/>
        <v/>
      </c>
    </row>
    <row r="384" spans="1:36">
      <c r="A384" s="18">
        <v>381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8" t="str">
        <f t="shared" ca="1" si="70"/>
        <v/>
      </c>
      <c r="U384" s="18">
        <f t="shared" ca="1" si="83"/>
        <v>0</v>
      </c>
      <c r="V384" s="18" t="str">
        <f t="shared" si="71"/>
        <v/>
      </c>
      <c r="W384" s="18" t="str">
        <f t="shared" si="72"/>
        <v/>
      </c>
      <c r="X384" s="18" t="str">
        <f t="shared" si="73"/>
        <v/>
      </c>
      <c r="Y384" s="19" t="str">
        <f>IF(OR(L384="",V384=""),"",IFERROR(INDEX(لیست‌ها!$Q$3:$Q$53,MATCH(V384,لیست‌ها!$P$3:$P$53,0))+IF(W384&lt;=6,(W384-1)*31+X384,IF(W384&lt;=11,186+(W384-7)*30+X384,336+X384))-1,""))</f>
        <v/>
      </c>
      <c r="Z384" s="18" t="str">
        <f t="shared" si="74"/>
        <v/>
      </c>
      <c r="AA384" s="18" t="str">
        <f t="shared" si="75"/>
        <v/>
      </c>
      <c r="AB384" s="18" t="str">
        <f t="shared" si="76"/>
        <v/>
      </c>
      <c r="AC384" s="19" t="str">
        <f>IF(OR(H384="",Z384=""),"",IFERROR(INDEX(لیست‌ها!$Q$3:$Q$53,MATCH(Z384,لیست‌ها!$P$3:$P$53,0))+IF(AA384&lt;=6,(AA384-1)*31+AB384,IF(AA384&lt;=11,186+(AA384-7)*30+AB384,336+AB384))-1,""))</f>
        <v/>
      </c>
      <c r="AD384" s="18" t="str">
        <f t="shared" si="77"/>
        <v/>
      </c>
      <c r="AE384" s="18" t="str">
        <f t="shared" si="78"/>
        <v/>
      </c>
      <c r="AF384" s="18" t="str">
        <f t="shared" si="79"/>
        <v/>
      </c>
      <c r="AG384" s="18" t="str">
        <f>IF(OR(O384="",AD384=""),"",IFERROR(INDEX(لیست‌ها!$Q$3:$Q$53,MATCH(AD384,لیست‌ها!$P$3:$P$53,0))+IF(AE384&lt;=6,(AE384-1)*31+AF384,IF(AE384&lt;=11,186+(AE384-7)*30+AF384,336+AF384))-1,""))</f>
        <v/>
      </c>
      <c r="AH384" s="18" t="str">
        <f t="shared" si="80"/>
        <v/>
      </c>
      <c r="AI384" s="18" t="str">
        <f t="shared" si="81"/>
        <v/>
      </c>
      <c r="AJ384" s="18" t="str">
        <f t="shared" ca="1" si="82"/>
        <v/>
      </c>
    </row>
    <row r="385" spans="1:36">
      <c r="A385" s="18">
        <v>382</v>
      </c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8" t="str">
        <f t="shared" ca="1" si="70"/>
        <v/>
      </c>
      <c r="U385" s="18">
        <f t="shared" ca="1" si="83"/>
        <v>0</v>
      </c>
      <c r="V385" s="18" t="str">
        <f t="shared" si="71"/>
        <v/>
      </c>
      <c r="W385" s="18" t="str">
        <f t="shared" si="72"/>
        <v/>
      </c>
      <c r="X385" s="18" t="str">
        <f t="shared" si="73"/>
        <v/>
      </c>
      <c r="Y385" s="19" t="str">
        <f>IF(OR(L385="",V385=""),"",IFERROR(INDEX(لیست‌ها!$Q$3:$Q$53,MATCH(V385,لیست‌ها!$P$3:$P$53,0))+IF(W385&lt;=6,(W385-1)*31+X385,IF(W385&lt;=11,186+(W385-7)*30+X385,336+X385))-1,""))</f>
        <v/>
      </c>
      <c r="Z385" s="18" t="str">
        <f t="shared" si="74"/>
        <v/>
      </c>
      <c r="AA385" s="18" t="str">
        <f t="shared" si="75"/>
        <v/>
      </c>
      <c r="AB385" s="18" t="str">
        <f t="shared" si="76"/>
        <v/>
      </c>
      <c r="AC385" s="19" t="str">
        <f>IF(OR(H385="",Z385=""),"",IFERROR(INDEX(لیست‌ها!$Q$3:$Q$53,MATCH(Z385,لیست‌ها!$P$3:$P$53,0))+IF(AA385&lt;=6,(AA385-1)*31+AB385,IF(AA385&lt;=11,186+(AA385-7)*30+AB385,336+AB385))-1,""))</f>
        <v/>
      </c>
      <c r="AD385" s="18" t="str">
        <f t="shared" si="77"/>
        <v/>
      </c>
      <c r="AE385" s="18" t="str">
        <f t="shared" si="78"/>
        <v/>
      </c>
      <c r="AF385" s="18" t="str">
        <f t="shared" si="79"/>
        <v/>
      </c>
      <c r="AG385" s="18" t="str">
        <f>IF(OR(O385="",AD385=""),"",IFERROR(INDEX(لیست‌ها!$Q$3:$Q$53,MATCH(AD385,لیست‌ها!$P$3:$P$53,0))+IF(AE385&lt;=6,(AE385-1)*31+AF385,IF(AE385&lt;=11,186+(AE385-7)*30+AF385,336+AF385))-1,""))</f>
        <v/>
      </c>
      <c r="AH385" s="18" t="str">
        <f t="shared" si="80"/>
        <v/>
      </c>
      <c r="AI385" s="18" t="str">
        <f t="shared" si="81"/>
        <v/>
      </c>
      <c r="AJ385" s="18" t="str">
        <f t="shared" ca="1" si="82"/>
        <v/>
      </c>
    </row>
    <row r="386" spans="1:36">
      <c r="A386" s="18">
        <v>383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8" t="str">
        <f t="shared" ca="1" si="70"/>
        <v/>
      </c>
      <c r="U386" s="18">
        <f t="shared" ca="1" si="83"/>
        <v>0</v>
      </c>
      <c r="V386" s="18" t="str">
        <f t="shared" si="71"/>
        <v/>
      </c>
      <c r="W386" s="18" t="str">
        <f t="shared" si="72"/>
        <v/>
      </c>
      <c r="X386" s="18" t="str">
        <f t="shared" si="73"/>
        <v/>
      </c>
      <c r="Y386" s="19" t="str">
        <f>IF(OR(L386="",V386=""),"",IFERROR(INDEX(لیست‌ها!$Q$3:$Q$53,MATCH(V386,لیست‌ها!$P$3:$P$53,0))+IF(W386&lt;=6,(W386-1)*31+X386,IF(W386&lt;=11,186+(W386-7)*30+X386,336+X386))-1,""))</f>
        <v/>
      </c>
      <c r="Z386" s="18" t="str">
        <f t="shared" si="74"/>
        <v/>
      </c>
      <c r="AA386" s="18" t="str">
        <f t="shared" si="75"/>
        <v/>
      </c>
      <c r="AB386" s="18" t="str">
        <f t="shared" si="76"/>
        <v/>
      </c>
      <c r="AC386" s="19" t="str">
        <f>IF(OR(H386="",Z386=""),"",IFERROR(INDEX(لیست‌ها!$Q$3:$Q$53,MATCH(Z386,لیست‌ها!$P$3:$P$53,0))+IF(AA386&lt;=6,(AA386-1)*31+AB386,IF(AA386&lt;=11,186+(AA386-7)*30+AB386,336+AB386))-1,""))</f>
        <v/>
      </c>
      <c r="AD386" s="18" t="str">
        <f t="shared" si="77"/>
        <v/>
      </c>
      <c r="AE386" s="18" t="str">
        <f t="shared" si="78"/>
        <v/>
      </c>
      <c r="AF386" s="18" t="str">
        <f t="shared" si="79"/>
        <v/>
      </c>
      <c r="AG386" s="18" t="str">
        <f>IF(OR(O386="",AD386=""),"",IFERROR(INDEX(لیست‌ها!$Q$3:$Q$53,MATCH(AD386,لیست‌ها!$P$3:$P$53,0))+IF(AE386&lt;=6,(AE386-1)*31+AF386,IF(AE386&lt;=11,186+(AE386-7)*30+AF386,336+AF386))-1,""))</f>
        <v/>
      </c>
      <c r="AH386" s="18" t="str">
        <f t="shared" si="80"/>
        <v/>
      </c>
      <c r="AI386" s="18" t="str">
        <f t="shared" si="81"/>
        <v/>
      </c>
      <c r="AJ386" s="18" t="str">
        <f t="shared" ca="1" si="82"/>
        <v/>
      </c>
    </row>
    <row r="387" spans="1:36">
      <c r="A387" s="18">
        <v>384</v>
      </c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8" t="str">
        <f t="shared" ca="1" si="70"/>
        <v/>
      </c>
      <c r="U387" s="18">
        <f t="shared" ca="1" si="83"/>
        <v>0</v>
      </c>
      <c r="V387" s="18" t="str">
        <f t="shared" si="71"/>
        <v/>
      </c>
      <c r="W387" s="18" t="str">
        <f t="shared" si="72"/>
        <v/>
      </c>
      <c r="X387" s="18" t="str">
        <f t="shared" si="73"/>
        <v/>
      </c>
      <c r="Y387" s="19" t="str">
        <f>IF(OR(L387="",V387=""),"",IFERROR(INDEX(لیست‌ها!$Q$3:$Q$53,MATCH(V387,لیست‌ها!$P$3:$P$53,0))+IF(W387&lt;=6,(W387-1)*31+X387,IF(W387&lt;=11,186+(W387-7)*30+X387,336+X387))-1,""))</f>
        <v/>
      </c>
      <c r="Z387" s="18" t="str">
        <f t="shared" si="74"/>
        <v/>
      </c>
      <c r="AA387" s="18" t="str">
        <f t="shared" si="75"/>
        <v/>
      </c>
      <c r="AB387" s="18" t="str">
        <f t="shared" si="76"/>
        <v/>
      </c>
      <c r="AC387" s="19" t="str">
        <f>IF(OR(H387="",Z387=""),"",IFERROR(INDEX(لیست‌ها!$Q$3:$Q$53,MATCH(Z387,لیست‌ها!$P$3:$P$53,0))+IF(AA387&lt;=6,(AA387-1)*31+AB387,IF(AA387&lt;=11,186+(AA387-7)*30+AB387,336+AB387))-1,""))</f>
        <v/>
      </c>
      <c r="AD387" s="18" t="str">
        <f t="shared" si="77"/>
        <v/>
      </c>
      <c r="AE387" s="18" t="str">
        <f t="shared" si="78"/>
        <v/>
      </c>
      <c r="AF387" s="18" t="str">
        <f t="shared" si="79"/>
        <v/>
      </c>
      <c r="AG387" s="18" t="str">
        <f>IF(OR(O387="",AD387=""),"",IFERROR(INDEX(لیست‌ها!$Q$3:$Q$53,MATCH(AD387,لیست‌ها!$P$3:$P$53,0))+IF(AE387&lt;=6,(AE387-1)*31+AF387,IF(AE387&lt;=11,186+(AE387-7)*30+AF387,336+AF387))-1,""))</f>
        <v/>
      </c>
      <c r="AH387" s="18" t="str">
        <f t="shared" si="80"/>
        <v/>
      </c>
      <c r="AI387" s="18" t="str">
        <f t="shared" si="81"/>
        <v/>
      </c>
      <c r="AJ387" s="18" t="str">
        <f t="shared" ca="1" si="82"/>
        <v/>
      </c>
    </row>
    <row r="388" spans="1:36">
      <c r="A388" s="18">
        <v>385</v>
      </c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8" t="str">
        <f t="shared" ref="T388:T451" ca="1" si="84">IF(B388="","",IF(OR(I388&lt;&gt;"",O388&lt;&gt;""),"بسته",IF(AND(L388&lt;&gt;"",V388=""),"خطای فرمت تاریخ ایجاد",IF(AND(H388&lt;&gt;"",Z388=""),"خطای فرمت مهلت",IF(AND(H388&lt;&gt;"",AC388&lt;&gt;"",TODAY()&gt;AC388),"تاخیر",IF(L388&lt;&gt;"","در حال انجام",""))))))</f>
        <v/>
      </c>
      <c r="U388" s="18">
        <f t="shared" ca="1" si="83"/>
        <v>0</v>
      </c>
      <c r="V388" s="18" t="str">
        <f t="shared" ref="V388:V451" si="85">IF(L388="","",VALUE(LEFT(L388,FIND("/",L388)-1)))</f>
        <v/>
      </c>
      <c r="W388" s="18" t="str">
        <f t="shared" ref="W388:W451" si="86">IF(L388="","",VALUE(MID(L388,FIND("/",L388)+1,FIND("/",L388,FIND("/",L388)+1)-FIND("/",L388)-1)))</f>
        <v/>
      </c>
      <c r="X388" s="18" t="str">
        <f t="shared" ref="X388:X451" si="87">IF(L388="","",VALUE(MID(L388,FIND("/",L388,FIND("/",L388)+1)+1,LEN(L388)-FIND("/",L388,FIND("/",L388)+1))))</f>
        <v/>
      </c>
      <c r="Y388" s="19" t="str">
        <f>IF(OR(L388="",V388=""),"",IFERROR(INDEX(لیست‌ها!$Q$3:$Q$53,MATCH(V388,لیست‌ها!$P$3:$P$53,0))+IF(W388&lt;=6,(W388-1)*31+X388,IF(W388&lt;=11,186+(W388-7)*30+X388,336+X388))-1,""))</f>
        <v/>
      </c>
      <c r="Z388" s="18" t="str">
        <f t="shared" ref="Z388:Z451" si="88">IF(H388="","",VALUE(LEFT(H388,FIND("/",H388)-1)))</f>
        <v/>
      </c>
      <c r="AA388" s="18" t="str">
        <f t="shared" ref="AA388:AA451" si="89">IF(H388="","",VALUE(MID(H388,FIND("/",H388)+1,FIND("/",H388,FIND("/",H388)+1)-FIND("/",H388)-1)))</f>
        <v/>
      </c>
      <c r="AB388" s="18" t="str">
        <f t="shared" ref="AB388:AB451" si="90">IF(H388="","",VALUE(MID(H388,FIND("/",H388,FIND("/",H388)+1)+1,LEN(H388)-FIND("/",H388,FIND("/",H388)+1))))</f>
        <v/>
      </c>
      <c r="AC388" s="19" t="str">
        <f>IF(OR(H388="",Z388=""),"",IFERROR(INDEX(لیست‌ها!$Q$3:$Q$53,MATCH(Z388,لیست‌ها!$P$3:$P$53,0))+IF(AA388&lt;=6,(AA388-1)*31+AB388,IF(AA388&lt;=11,186+(AA388-7)*30+AB388,336+AB388))-1,""))</f>
        <v/>
      </c>
      <c r="AD388" s="18" t="str">
        <f t="shared" ref="AD388:AD451" si="91">IF(O388="","",VALUE(LEFT(O388,FIND("/",O388)-1)))</f>
        <v/>
      </c>
      <c r="AE388" s="18" t="str">
        <f t="shared" ref="AE388:AE451" si="92">IF(O388="","",VALUE(MID(O388,FIND("/",O388)+1,FIND("/",O388,FIND("/",O388)+1)-FIND("/",O388)-1)))</f>
        <v/>
      </c>
      <c r="AF388" s="18" t="str">
        <f t="shared" ref="AF388:AF451" si="93">IF(O388="","",VALUE(MID(O388,FIND("/",O388,FIND("/",O388)+1)+1,LEN(O388)-FIND("/",O388,FIND("/",O388)+1))))</f>
        <v/>
      </c>
      <c r="AG388" s="18" t="str">
        <f>IF(OR(O388="",AD388=""),"",IFERROR(INDEX(لیست‌ها!$Q$3:$Q$53,MATCH(AD388,لیست‌ها!$P$3:$P$53,0))+IF(AE388&lt;=6,(AE388-1)*31+AF388,IF(AE388&lt;=11,186+(AE388-7)*30+AF388,336+AF388))-1,""))</f>
        <v/>
      </c>
      <c r="AH388" s="18" t="str">
        <f t="shared" ref="AH388:AH451" si="94">IF(V388="","",V388&amp;"-"&amp;TEXT(W388,"00"))</f>
        <v/>
      </c>
      <c r="AI388" s="18" t="str">
        <f t="shared" ref="AI388:AI451" si="95">IF(V388="","",V388*12+W388)</f>
        <v/>
      </c>
      <c r="AJ388" s="18" t="str">
        <f t="shared" ref="AJ388:AJ451" ca="1" si="96">IF(T388="تاخیر",U388+ROW()/100000,"")</f>
        <v/>
      </c>
    </row>
    <row r="389" spans="1:36">
      <c r="A389" s="18">
        <v>386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8" t="str">
        <f t="shared" ca="1" si="84"/>
        <v/>
      </c>
      <c r="U389" s="18">
        <f t="shared" ref="U389:U452" ca="1" si="97">IF(T389="تاخیر",TODAY()-AC389,IF(AND(T389="بسته",AG389&lt;&gt;"",AC389&lt;&gt;"",AG389&gt;AC389),AG389-AC389,0))</f>
        <v>0</v>
      </c>
      <c r="V389" s="18" t="str">
        <f t="shared" si="85"/>
        <v/>
      </c>
      <c r="W389" s="18" t="str">
        <f t="shared" si="86"/>
        <v/>
      </c>
      <c r="X389" s="18" t="str">
        <f t="shared" si="87"/>
        <v/>
      </c>
      <c r="Y389" s="19" t="str">
        <f>IF(OR(L389="",V389=""),"",IFERROR(INDEX(لیست‌ها!$Q$3:$Q$53,MATCH(V389,لیست‌ها!$P$3:$P$53,0))+IF(W389&lt;=6,(W389-1)*31+X389,IF(W389&lt;=11,186+(W389-7)*30+X389,336+X389))-1,""))</f>
        <v/>
      </c>
      <c r="Z389" s="18" t="str">
        <f t="shared" si="88"/>
        <v/>
      </c>
      <c r="AA389" s="18" t="str">
        <f t="shared" si="89"/>
        <v/>
      </c>
      <c r="AB389" s="18" t="str">
        <f t="shared" si="90"/>
        <v/>
      </c>
      <c r="AC389" s="19" t="str">
        <f>IF(OR(H389="",Z389=""),"",IFERROR(INDEX(لیست‌ها!$Q$3:$Q$53,MATCH(Z389,لیست‌ها!$P$3:$P$53,0))+IF(AA389&lt;=6,(AA389-1)*31+AB389,IF(AA389&lt;=11,186+(AA389-7)*30+AB389,336+AB389))-1,""))</f>
        <v/>
      </c>
      <c r="AD389" s="18" t="str">
        <f t="shared" si="91"/>
        <v/>
      </c>
      <c r="AE389" s="18" t="str">
        <f t="shared" si="92"/>
        <v/>
      </c>
      <c r="AF389" s="18" t="str">
        <f t="shared" si="93"/>
        <v/>
      </c>
      <c r="AG389" s="18" t="str">
        <f>IF(OR(O389="",AD389=""),"",IFERROR(INDEX(لیست‌ها!$Q$3:$Q$53,MATCH(AD389,لیست‌ها!$P$3:$P$53,0))+IF(AE389&lt;=6,(AE389-1)*31+AF389,IF(AE389&lt;=11,186+(AE389-7)*30+AF389,336+AF389))-1,""))</f>
        <v/>
      </c>
      <c r="AH389" s="18" t="str">
        <f t="shared" si="94"/>
        <v/>
      </c>
      <c r="AI389" s="18" t="str">
        <f t="shared" si="95"/>
        <v/>
      </c>
      <c r="AJ389" s="18" t="str">
        <f t="shared" ca="1" si="96"/>
        <v/>
      </c>
    </row>
    <row r="390" spans="1:36">
      <c r="A390" s="18">
        <v>387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8" t="str">
        <f t="shared" ca="1" si="84"/>
        <v/>
      </c>
      <c r="U390" s="18">
        <f t="shared" ca="1" si="97"/>
        <v>0</v>
      </c>
      <c r="V390" s="18" t="str">
        <f t="shared" si="85"/>
        <v/>
      </c>
      <c r="W390" s="18" t="str">
        <f t="shared" si="86"/>
        <v/>
      </c>
      <c r="X390" s="18" t="str">
        <f t="shared" si="87"/>
        <v/>
      </c>
      <c r="Y390" s="19" t="str">
        <f>IF(OR(L390="",V390=""),"",IFERROR(INDEX(لیست‌ها!$Q$3:$Q$53,MATCH(V390,لیست‌ها!$P$3:$P$53,0))+IF(W390&lt;=6,(W390-1)*31+X390,IF(W390&lt;=11,186+(W390-7)*30+X390,336+X390))-1,""))</f>
        <v/>
      </c>
      <c r="Z390" s="18" t="str">
        <f t="shared" si="88"/>
        <v/>
      </c>
      <c r="AA390" s="18" t="str">
        <f t="shared" si="89"/>
        <v/>
      </c>
      <c r="AB390" s="18" t="str">
        <f t="shared" si="90"/>
        <v/>
      </c>
      <c r="AC390" s="19" t="str">
        <f>IF(OR(H390="",Z390=""),"",IFERROR(INDEX(لیست‌ها!$Q$3:$Q$53,MATCH(Z390,لیست‌ها!$P$3:$P$53,0))+IF(AA390&lt;=6,(AA390-1)*31+AB390,IF(AA390&lt;=11,186+(AA390-7)*30+AB390,336+AB390))-1,""))</f>
        <v/>
      </c>
      <c r="AD390" s="18" t="str">
        <f t="shared" si="91"/>
        <v/>
      </c>
      <c r="AE390" s="18" t="str">
        <f t="shared" si="92"/>
        <v/>
      </c>
      <c r="AF390" s="18" t="str">
        <f t="shared" si="93"/>
        <v/>
      </c>
      <c r="AG390" s="18" t="str">
        <f>IF(OR(O390="",AD390=""),"",IFERROR(INDEX(لیست‌ها!$Q$3:$Q$53,MATCH(AD390,لیست‌ها!$P$3:$P$53,0))+IF(AE390&lt;=6,(AE390-1)*31+AF390,IF(AE390&lt;=11,186+(AE390-7)*30+AF390,336+AF390))-1,""))</f>
        <v/>
      </c>
      <c r="AH390" s="18" t="str">
        <f t="shared" si="94"/>
        <v/>
      </c>
      <c r="AI390" s="18" t="str">
        <f t="shared" si="95"/>
        <v/>
      </c>
      <c r="AJ390" s="18" t="str">
        <f t="shared" ca="1" si="96"/>
        <v/>
      </c>
    </row>
    <row r="391" spans="1:36">
      <c r="A391" s="18">
        <v>388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8" t="str">
        <f t="shared" ca="1" si="84"/>
        <v/>
      </c>
      <c r="U391" s="18">
        <f t="shared" ca="1" si="97"/>
        <v>0</v>
      </c>
      <c r="V391" s="18" t="str">
        <f t="shared" si="85"/>
        <v/>
      </c>
      <c r="W391" s="18" t="str">
        <f t="shared" si="86"/>
        <v/>
      </c>
      <c r="X391" s="18" t="str">
        <f t="shared" si="87"/>
        <v/>
      </c>
      <c r="Y391" s="19" t="str">
        <f>IF(OR(L391="",V391=""),"",IFERROR(INDEX(لیست‌ها!$Q$3:$Q$53,MATCH(V391,لیست‌ها!$P$3:$P$53,0))+IF(W391&lt;=6,(W391-1)*31+X391,IF(W391&lt;=11,186+(W391-7)*30+X391,336+X391))-1,""))</f>
        <v/>
      </c>
      <c r="Z391" s="18" t="str">
        <f t="shared" si="88"/>
        <v/>
      </c>
      <c r="AA391" s="18" t="str">
        <f t="shared" si="89"/>
        <v/>
      </c>
      <c r="AB391" s="18" t="str">
        <f t="shared" si="90"/>
        <v/>
      </c>
      <c r="AC391" s="19" t="str">
        <f>IF(OR(H391="",Z391=""),"",IFERROR(INDEX(لیست‌ها!$Q$3:$Q$53,MATCH(Z391,لیست‌ها!$P$3:$P$53,0))+IF(AA391&lt;=6,(AA391-1)*31+AB391,IF(AA391&lt;=11,186+(AA391-7)*30+AB391,336+AB391))-1,""))</f>
        <v/>
      </c>
      <c r="AD391" s="18" t="str">
        <f t="shared" si="91"/>
        <v/>
      </c>
      <c r="AE391" s="18" t="str">
        <f t="shared" si="92"/>
        <v/>
      </c>
      <c r="AF391" s="18" t="str">
        <f t="shared" si="93"/>
        <v/>
      </c>
      <c r="AG391" s="18" t="str">
        <f>IF(OR(O391="",AD391=""),"",IFERROR(INDEX(لیست‌ها!$Q$3:$Q$53,MATCH(AD391,لیست‌ها!$P$3:$P$53,0))+IF(AE391&lt;=6,(AE391-1)*31+AF391,IF(AE391&lt;=11,186+(AE391-7)*30+AF391,336+AF391))-1,""))</f>
        <v/>
      </c>
      <c r="AH391" s="18" t="str">
        <f t="shared" si="94"/>
        <v/>
      </c>
      <c r="AI391" s="18" t="str">
        <f t="shared" si="95"/>
        <v/>
      </c>
      <c r="AJ391" s="18" t="str">
        <f t="shared" ca="1" si="96"/>
        <v/>
      </c>
    </row>
    <row r="392" spans="1:36">
      <c r="A392" s="18">
        <v>389</v>
      </c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8" t="str">
        <f t="shared" ca="1" si="84"/>
        <v/>
      </c>
      <c r="U392" s="18">
        <f t="shared" ca="1" si="97"/>
        <v>0</v>
      </c>
      <c r="V392" s="18" t="str">
        <f t="shared" si="85"/>
        <v/>
      </c>
      <c r="W392" s="18" t="str">
        <f t="shared" si="86"/>
        <v/>
      </c>
      <c r="X392" s="18" t="str">
        <f t="shared" si="87"/>
        <v/>
      </c>
      <c r="Y392" s="19" t="str">
        <f>IF(OR(L392="",V392=""),"",IFERROR(INDEX(لیست‌ها!$Q$3:$Q$53,MATCH(V392,لیست‌ها!$P$3:$P$53,0))+IF(W392&lt;=6,(W392-1)*31+X392,IF(W392&lt;=11,186+(W392-7)*30+X392,336+X392))-1,""))</f>
        <v/>
      </c>
      <c r="Z392" s="18" t="str">
        <f t="shared" si="88"/>
        <v/>
      </c>
      <c r="AA392" s="18" t="str">
        <f t="shared" si="89"/>
        <v/>
      </c>
      <c r="AB392" s="18" t="str">
        <f t="shared" si="90"/>
        <v/>
      </c>
      <c r="AC392" s="19" t="str">
        <f>IF(OR(H392="",Z392=""),"",IFERROR(INDEX(لیست‌ها!$Q$3:$Q$53,MATCH(Z392,لیست‌ها!$P$3:$P$53,0))+IF(AA392&lt;=6,(AA392-1)*31+AB392,IF(AA392&lt;=11,186+(AA392-7)*30+AB392,336+AB392))-1,""))</f>
        <v/>
      </c>
      <c r="AD392" s="18" t="str">
        <f t="shared" si="91"/>
        <v/>
      </c>
      <c r="AE392" s="18" t="str">
        <f t="shared" si="92"/>
        <v/>
      </c>
      <c r="AF392" s="18" t="str">
        <f t="shared" si="93"/>
        <v/>
      </c>
      <c r="AG392" s="18" t="str">
        <f>IF(OR(O392="",AD392=""),"",IFERROR(INDEX(لیست‌ها!$Q$3:$Q$53,MATCH(AD392,لیست‌ها!$P$3:$P$53,0))+IF(AE392&lt;=6,(AE392-1)*31+AF392,IF(AE392&lt;=11,186+(AE392-7)*30+AF392,336+AF392))-1,""))</f>
        <v/>
      </c>
      <c r="AH392" s="18" t="str">
        <f t="shared" si="94"/>
        <v/>
      </c>
      <c r="AI392" s="18" t="str">
        <f t="shared" si="95"/>
        <v/>
      </c>
      <c r="AJ392" s="18" t="str">
        <f t="shared" ca="1" si="96"/>
        <v/>
      </c>
    </row>
    <row r="393" spans="1:36">
      <c r="A393" s="18">
        <v>390</v>
      </c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8" t="str">
        <f t="shared" ca="1" si="84"/>
        <v/>
      </c>
      <c r="U393" s="18">
        <f t="shared" ca="1" si="97"/>
        <v>0</v>
      </c>
      <c r="V393" s="18" t="str">
        <f t="shared" si="85"/>
        <v/>
      </c>
      <c r="W393" s="18" t="str">
        <f t="shared" si="86"/>
        <v/>
      </c>
      <c r="X393" s="18" t="str">
        <f t="shared" si="87"/>
        <v/>
      </c>
      <c r="Y393" s="19" t="str">
        <f>IF(OR(L393="",V393=""),"",IFERROR(INDEX(لیست‌ها!$Q$3:$Q$53,MATCH(V393,لیست‌ها!$P$3:$P$53,0))+IF(W393&lt;=6,(W393-1)*31+X393,IF(W393&lt;=11,186+(W393-7)*30+X393,336+X393))-1,""))</f>
        <v/>
      </c>
      <c r="Z393" s="18" t="str">
        <f t="shared" si="88"/>
        <v/>
      </c>
      <c r="AA393" s="18" t="str">
        <f t="shared" si="89"/>
        <v/>
      </c>
      <c r="AB393" s="18" t="str">
        <f t="shared" si="90"/>
        <v/>
      </c>
      <c r="AC393" s="19" t="str">
        <f>IF(OR(H393="",Z393=""),"",IFERROR(INDEX(لیست‌ها!$Q$3:$Q$53,MATCH(Z393,لیست‌ها!$P$3:$P$53,0))+IF(AA393&lt;=6,(AA393-1)*31+AB393,IF(AA393&lt;=11,186+(AA393-7)*30+AB393,336+AB393))-1,""))</f>
        <v/>
      </c>
      <c r="AD393" s="18" t="str">
        <f t="shared" si="91"/>
        <v/>
      </c>
      <c r="AE393" s="18" t="str">
        <f t="shared" si="92"/>
        <v/>
      </c>
      <c r="AF393" s="18" t="str">
        <f t="shared" si="93"/>
        <v/>
      </c>
      <c r="AG393" s="18" t="str">
        <f>IF(OR(O393="",AD393=""),"",IFERROR(INDEX(لیست‌ها!$Q$3:$Q$53,MATCH(AD393,لیست‌ها!$P$3:$P$53,0))+IF(AE393&lt;=6,(AE393-1)*31+AF393,IF(AE393&lt;=11,186+(AE393-7)*30+AF393,336+AF393))-1,""))</f>
        <v/>
      </c>
      <c r="AH393" s="18" t="str">
        <f t="shared" si="94"/>
        <v/>
      </c>
      <c r="AI393" s="18" t="str">
        <f t="shared" si="95"/>
        <v/>
      </c>
      <c r="AJ393" s="18" t="str">
        <f t="shared" ca="1" si="96"/>
        <v/>
      </c>
    </row>
    <row r="394" spans="1:36">
      <c r="A394" s="18">
        <v>391</v>
      </c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8" t="str">
        <f t="shared" ca="1" si="84"/>
        <v/>
      </c>
      <c r="U394" s="18">
        <f t="shared" ca="1" si="97"/>
        <v>0</v>
      </c>
      <c r="V394" s="18" t="str">
        <f t="shared" si="85"/>
        <v/>
      </c>
      <c r="W394" s="18" t="str">
        <f t="shared" si="86"/>
        <v/>
      </c>
      <c r="X394" s="18" t="str">
        <f t="shared" si="87"/>
        <v/>
      </c>
      <c r="Y394" s="19" t="str">
        <f>IF(OR(L394="",V394=""),"",IFERROR(INDEX(لیست‌ها!$Q$3:$Q$53,MATCH(V394,لیست‌ها!$P$3:$P$53,0))+IF(W394&lt;=6,(W394-1)*31+X394,IF(W394&lt;=11,186+(W394-7)*30+X394,336+X394))-1,""))</f>
        <v/>
      </c>
      <c r="Z394" s="18" t="str">
        <f t="shared" si="88"/>
        <v/>
      </c>
      <c r="AA394" s="18" t="str">
        <f t="shared" si="89"/>
        <v/>
      </c>
      <c r="AB394" s="18" t="str">
        <f t="shared" si="90"/>
        <v/>
      </c>
      <c r="AC394" s="19" t="str">
        <f>IF(OR(H394="",Z394=""),"",IFERROR(INDEX(لیست‌ها!$Q$3:$Q$53,MATCH(Z394,لیست‌ها!$P$3:$P$53,0))+IF(AA394&lt;=6,(AA394-1)*31+AB394,IF(AA394&lt;=11,186+(AA394-7)*30+AB394,336+AB394))-1,""))</f>
        <v/>
      </c>
      <c r="AD394" s="18" t="str">
        <f t="shared" si="91"/>
        <v/>
      </c>
      <c r="AE394" s="18" t="str">
        <f t="shared" si="92"/>
        <v/>
      </c>
      <c r="AF394" s="18" t="str">
        <f t="shared" si="93"/>
        <v/>
      </c>
      <c r="AG394" s="18" t="str">
        <f>IF(OR(O394="",AD394=""),"",IFERROR(INDEX(لیست‌ها!$Q$3:$Q$53,MATCH(AD394,لیست‌ها!$P$3:$P$53,0))+IF(AE394&lt;=6,(AE394-1)*31+AF394,IF(AE394&lt;=11,186+(AE394-7)*30+AF394,336+AF394))-1,""))</f>
        <v/>
      </c>
      <c r="AH394" s="18" t="str">
        <f t="shared" si="94"/>
        <v/>
      </c>
      <c r="AI394" s="18" t="str">
        <f t="shared" si="95"/>
        <v/>
      </c>
      <c r="AJ394" s="18" t="str">
        <f t="shared" ca="1" si="96"/>
        <v/>
      </c>
    </row>
    <row r="395" spans="1:36">
      <c r="A395" s="18">
        <v>392</v>
      </c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8" t="str">
        <f t="shared" ca="1" si="84"/>
        <v/>
      </c>
      <c r="U395" s="18">
        <f t="shared" ca="1" si="97"/>
        <v>0</v>
      </c>
      <c r="V395" s="18" t="str">
        <f t="shared" si="85"/>
        <v/>
      </c>
      <c r="W395" s="18" t="str">
        <f t="shared" si="86"/>
        <v/>
      </c>
      <c r="X395" s="18" t="str">
        <f t="shared" si="87"/>
        <v/>
      </c>
      <c r="Y395" s="19" t="str">
        <f>IF(OR(L395="",V395=""),"",IFERROR(INDEX(لیست‌ها!$Q$3:$Q$53,MATCH(V395,لیست‌ها!$P$3:$P$53,0))+IF(W395&lt;=6,(W395-1)*31+X395,IF(W395&lt;=11,186+(W395-7)*30+X395,336+X395))-1,""))</f>
        <v/>
      </c>
      <c r="Z395" s="18" t="str">
        <f t="shared" si="88"/>
        <v/>
      </c>
      <c r="AA395" s="18" t="str">
        <f t="shared" si="89"/>
        <v/>
      </c>
      <c r="AB395" s="18" t="str">
        <f t="shared" si="90"/>
        <v/>
      </c>
      <c r="AC395" s="19" t="str">
        <f>IF(OR(H395="",Z395=""),"",IFERROR(INDEX(لیست‌ها!$Q$3:$Q$53,MATCH(Z395,لیست‌ها!$P$3:$P$53,0))+IF(AA395&lt;=6,(AA395-1)*31+AB395,IF(AA395&lt;=11,186+(AA395-7)*30+AB395,336+AB395))-1,""))</f>
        <v/>
      </c>
      <c r="AD395" s="18" t="str">
        <f t="shared" si="91"/>
        <v/>
      </c>
      <c r="AE395" s="18" t="str">
        <f t="shared" si="92"/>
        <v/>
      </c>
      <c r="AF395" s="18" t="str">
        <f t="shared" si="93"/>
        <v/>
      </c>
      <c r="AG395" s="18" t="str">
        <f>IF(OR(O395="",AD395=""),"",IFERROR(INDEX(لیست‌ها!$Q$3:$Q$53,MATCH(AD395,لیست‌ها!$P$3:$P$53,0))+IF(AE395&lt;=6,(AE395-1)*31+AF395,IF(AE395&lt;=11,186+(AE395-7)*30+AF395,336+AF395))-1,""))</f>
        <v/>
      </c>
      <c r="AH395" s="18" t="str">
        <f t="shared" si="94"/>
        <v/>
      </c>
      <c r="AI395" s="18" t="str">
        <f t="shared" si="95"/>
        <v/>
      </c>
      <c r="AJ395" s="18" t="str">
        <f t="shared" ca="1" si="96"/>
        <v/>
      </c>
    </row>
    <row r="396" spans="1:36">
      <c r="A396" s="18">
        <v>393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8" t="str">
        <f t="shared" ca="1" si="84"/>
        <v/>
      </c>
      <c r="U396" s="18">
        <f t="shared" ca="1" si="97"/>
        <v>0</v>
      </c>
      <c r="V396" s="18" t="str">
        <f t="shared" si="85"/>
        <v/>
      </c>
      <c r="W396" s="18" t="str">
        <f t="shared" si="86"/>
        <v/>
      </c>
      <c r="X396" s="18" t="str">
        <f t="shared" si="87"/>
        <v/>
      </c>
      <c r="Y396" s="19" t="str">
        <f>IF(OR(L396="",V396=""),"",IFERROR(INDEX(لیست‌ها!$Q$3:$Q$53,MATCH(V396,لیست‌ها!$P$3:$P$53,0))+IF(W396&lt;=6,(W396-1)*31+X396,IF(W396&lt;=11,186+(W396-7)*30+X396,336+X396))-1,""))</f>
        <v/>
      </c>
      <c r="Z396" s="18" t="str">
        <f t="shared" si="88"/>
        <v/>
      </c>
      <c r="AA396" s="18" t="str">
        <f t="shared" si="89"/>
        <v/>
      </c>
      <c r="AB396" s="18" t="str">
        <f t="shared" si="90"/>
        <v/>
      </c>
      <c r="AC396" s="19" t="str">
        <f>IF(OR(H396="",Z396=""),"",IFERROR(INDEX(لیست‌ها!$Q$3:$Q$53,MATCH(Z396,لیست‌ها!$P$3:$P$53,0))+IF(AA396&lt;=6,(AA396-1)*31+AB396,IF(AA396&lt;=11,186+(AA396-7)*30+AB396,336+AB396))-1,""))</f>
        <v/>
      </c>
      <c r="AD396" s="18" t="str">
        <f t="shared" si="91"/>
        <v/>
      </c>
      <c r="AE396" s="18" t="str">
        <f t="shared" si="92"/>
        <v/>
      </c>
      <c r="AF396" s="18" t="str">
        <f t="shared" si="93"/>
        <v/>
      </c>
      <c r="AG396" s="18" t="str">
        <f>IF(OR(O396="",AD396=""),"",IFERROR(INDEX(لیست‌ها!$Q$3:$Q$53,MATCH(AD396,لیست‌ها!$P$3:$P$53,0))+IF(AE396&lt;=6,(AE396-1)*31+AF396,IF(AE396&lt;=11,186+(AE396-7)*30+AF396,336+AF396))-1,""))</f>
        <v/>
      </c>
      <c r="AH396" s="18" t="str">
        <f t="shared" si="94"/>
        <v/>
      </c>
      <c r="AI396" s="18" t="str">
        <f t="shared" si="95"/>
        <v/>
      </c>
      <c r="AJ396" s="18" t="str">
        <f t="shared" ca="1" si="96"/>
        <v/>
      </c>
    </row>
    <row r="397" spans="1:36">
      <c r="A397" s="18">
        <v>394</v>
      </c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8" t="str">
        <f t="shared" ca="1" si="84"/>
        <v/>
      </c>
      <c r="U397" s="18">
        <f t="shared" ca="1" si="97"/>
        <v>0</v>
      </c>
      <c r="V397" s="18" t="str">
        <f t="shared" si="85"/>
        <v/>
      </c>
      <c r="W397" s="18" t="str">
        <f t="shared" si="86"/>
        <v/>
      </c>
      <c r="X397" s="18" t="str">
        <f t="shared" si="87"/>
        <v/>
      </c>
      <c r="Y397" s="19" t="str">
        <f>IF(OR(L397="",V397=""),"",IFERROR(INDEX(لیست‌ها!$Q$3:$Q$53,MATCH(V397,لیست‌ها!$P$3:$P$53,0))+IF(W397&lt;=6,(W397-1)*31+X397,IF(W397&lt;=11,186+(W397-7)*30+X397,336+X397))-1,""))</f>
        <v/>
      </c>
      <c r="Z397" s="18" t="str">
        <f t="shared" si="88"/>
        <v/>
      </c>
      <c r="AA397" s="18" t="str">
        <f t="shared" si="89"/>
        <v/>
      </c>
      <c r="AB397" s="18" t="str">
        <f t="shared" si="90"/>
        <v/>
      </c>
      <c r="AC397" s="19" t="str">
        <f>IF(OR(H397="",Z397=""),"",IFERROR(INDEX(لیست‌ها!$Q$3:$Q$53,MATCH(Z397,لیست‌ها!$P$3:$P$53,0))+IF(AA397&lt;=6,(AA397-1)*31+AB397,IF(AA397&lt;=11,186+(AA397-7)*30+AB397,336+AB397))-1,""))</f>
        <v/>
      </c>
      <c r="AD397" s="18" t="str">
        <f t="shared" si="91"/>
        <v/>
      </c>
      <c r="AE397" s="18" t="str">
        <f t="shared" si="92"/>
        <v/>
      </c>
      <c r="AF397" s="18" t="str">
        <f t="shared" si="93"/>
        <v/>
      </c>
      <c r="AG397" s="18" t="str">
        <f>IF(OR(O397="",AD397=""),"",IFERROR(INDEX(لیست‌ها!$Q$3:$Q$53,MATCH(AD397,لیست‌ها!$P$3:$P$53,0))+IF(AE397&lt;=6,(AE397-1)*31+AF397,IF(AE397&lt;=11,186+(AE397-7)*30+AF397,336+AF397))-1,""))</f>
        <v/>
      </c>
      <c r="AH397" s="18" t="str">
        <f t="shared" si="94"/>
        <v/>
      </c>
      <c r="AI397" s="18" t="str">
        <f t="shared" si="95"/>
        <v/>
      </c>
      <c r="AJ397" s="18" t="str">
        <f t="shared" ca="1" si="96"/>
        <v/>
      </c>
    </row>
    <row r="398" spans="1:36">
      <c r="A398" s="18">
        <v>395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8" t="str">
        <f t="shared" ca="1" si="84"/>
        <v/>
      </c>
      <c r="U398" s="18">
        <f t="shared" ca="1" si="97"/>
        <v>0</v>
      </c>
      <c r="V398" s="18" t="str">
        <f t="shared" si="85"/>
        <v/>
      </c>
      <c r="W398" s="18" t="str">
        <f t="shared" si="86"/>
        <v/>
      </c>
      <c r="X398" s="18" t="str">
        <f t="shared" si="87"/>
        <v/>
      </c>
      <c r="Y398" s="19" t="str">
        <f>IF(OR(L398="",V398=""),"",IFERROR(INDEX(لیست‌ها!$Q$3:$Q$53,MATCH(V398,لیست‌ها!$P$3:$P$53,0))+IF(W398&lt;=6,(W398-1)*31+X398,IF(W398&lt;=11,186+(W398-7)*30+X398,336+X398))-1,""))</f>
        <v/>
      </c>
      <c r="Z398" s="18" t="str">
        <f t="shared" si="88"/>
        <v/>
      </c>
      <c r="AA398" s="18" t="str">
        <f t="shared" si="89"/>
        <v/>
      </c>
      <c r="AB398" s="18" t="str">
        <f t="shared" si="90"/>
        <v/>
      </c>
      <c r="AC398" s="19" t="str">
        <f>IF(OR(H398="",Z398=""),"",IFERROR(INDEX(لیست‌ها!$Q$3:$Q$53,MATCH(Z398,لیست‌ها!$P$3:$P$53,0))+IF(AA398&lt;=6,(AA398-1)*31+AB398,IF(AA398&lt;=11,186+(AA398-7)*30+AB398,336+AB398))-1,""))</f>
        <v/>
      </c>
      <c r="AD398" s="18" t="str">
        <f t="shared" si="91"/>
        <v/>
      </c>
      <c r="AE398" s="18" t="str">
        <f t="shared" si="92"/>
        <v/>
      </c>
      <c r="AF398" s="18" t="str">
        <f t="shared" si="93"/>
        <v/>
      </c>
      <c r="AG398" s="18" t="str">
        <f>IF(OR(O398="",AD398=""),"",IFERROR(INDEX(لیست‌ها!$Q$3:$Q$53,MATCH(AD398,لیست‌ها!$P$3:$P$53,0))+IF(AE398&lt;=6,(AE398-1)*31+AF398,IF(AE398&lt;=11,186+(AE398-7)*30+AF398,336+AF398))-1,""))</f>
        <v/>
      </c>
      <c r="AH398" s="18" t="str">
        <f t="shared" si="94"/>
        <v/>
      </c>
      <c r="AI398" s="18" t="str">
        <f t="shared" si="95"/>
        <v/>
      </c>
      <c r="AJ398" s="18" t="str">
        <f t="shared" ca="1" si="96"/>
        <v/>
      </c>
    </row>
    <row r="399" spans="1:36">
      <c r="A399" s="18">
        <v>396</v>
      </c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8" t="str">
        <f t="shared" ca="1" si="84"/>
        <v/>
      </c>
      <c r="U399" s="18">
        <f t="shared" ca="1" si="97"/>
        <v>0</v>
      </c>
      <c r="V399" s="18" t="str">
        <f t="shared" si="85"/>
        <v/>
      </c>
      <c r="W399" s="18" t="str">
        <f t="shared" si="86"/>
        <v/>
      </c>
      <c r="X399" s="18" t="str">
        <f t="shared" si="87"/>
        <v/>
      </c>
      <c r="Y399" s="19" t="str">
        <f>IF(OR(L399="",V399=""),"",IFERROR(INDEX(لیست‌ها!$Q$3:$Q$53,MATCH(V399,لیست‌ها!$P$3:$P$53,0))+IF(W399&lt;=6,(W399-1)*31+X399,IF(W399&lt;=11,186+(W399-7)*30+X399,336+X399))-1,""))</f>
        <v/>
      </c>
      <c r="Z399" s="18" t="str">
        <f t="shared" si="88"/>
        <v/>
      </c>
      <c r="AA399" s="18" t="str">
        <f t="shared" si="89"/>
        <v/>
      </c>
      <c r="AB399" s="18" t="str">
        <f t="shared" si="90"/>
        <v/>
      </c>
      <c r="AC399" s="19" t="str">
        <f>IF(OR(H399="",Z399=""),"",IFERROR(INDEX(لیست‌ها!$Q$3:$Q$53,MATCH(Z399,لیست‌ها!$P$3:$P$53,0))+IF(AA399&lt;=6,(AA399-1)*31+AB399,IF(AA399&lt;=11,186+(AA399-7)*30+AB399,336+AB399))-1,""))</f>
        <v/>
      </c>
      <c r="AD399" s="18" t="str">
        <f t="shared" si="91"/>
        <v/>
      </c>
      <c r="AE399" s="18" t="str">
        <f t="shared" si="92"/>
        <v/>
      </c>
      <c r="AF399" s="18" t="str">
        <f t="shared" si="93"/>
        <v/>
      </c>
      <c r="AG399" s="18" t="str">
        <f>IF(OR(O399="",AD399=""),"",IFERROR(INDEX(لیست‌ها!$Q$3:$Q$53,MATCH(AD399,لیست‌ها!$P$3:$P$53,0))+IF(AE399&lt;=6,(AE399-1)*31+AF399,IF(AE399&lt;=11,186+(AE399-7)*30+AF399,336+AF399))-1,""))</f>
        <v/>
      </c>
      <c r="AH399" s="18" t="str">
        <f t="shared" si="94"/>
        <v/>
      </c>
      <c r="AI399" s="18" t="str">
        <f t="shared" si="95"/>
        <v/>
      </c>
      <c r="AJ399" s="18" t="str">
        <f t="shared" ca="1" si="96"/>
        <v/>
      </c>
    </row>
    <row r="400" spans="1:36">
      <c r="A400" s="18">
        <v>397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8" t="str">
        <f t="shared" ca="1" si="84"/>
        <v/>
      </c>
      <c r="U400" s="18">
        <f t="shared" ca="1" si="97"/>
        <v>0</v>
      </c>
      <c r="V400" s="18" t="str">
        <f t="shared" si="85"/>
        <v/>
      </c>
      <c r="W400" s="18" t="str">
        <f t="shared" si="86"/>
        <v/>
      </c>
      <c r="X400" s="18" t="str">
        <f t="shared" si="87"/>
        <v/>
      </c>
      <c r="Y400" s="19" t="str">
        <f>IF(OR(L400="",V400=""),"",IFERROR(INDEX(لیست‌ها!$Q$3:$Q$53,MATCH(V400,لیست‌ها!$P$3:$P$53,0))+IF(W400&lt;=6,(W400-1)*31+X400,IF(W400&lt;=11,186+(W400-7)*30+X400,336+X400))-1,""))</f>
        <v/>
      </c>
      <c r="Z400" s="18" t="str">
        <f t="shared" si="88"/>
        <v/>
      </c>
      <c r="AA400" s="18" t="str">
        <f t="shared" si="89"/>
        <v/>
      </c>
      <c r="AB400" s="18" t="str">
        <f t="shared" si="90"/>
        <v/>
      </c>
      <c r="AC400" s="19" t="str">
        <f>IF(OR(H400="",Z400=""),"",IFERROR(INDEX(لیست‌ها!$Q$3:$Q$53,MATCH(Z400,لیست‌ها!$P$3:$P$53,0))+IF(AA400&lt;=6,(AA400-1)*31+AB400,IF(AA400&lt;=11,186+(AA400-7)*30+AB400,336+AB400))-1,""))</f>
        <v/>
      </c>
      <c r="AD400" s="18" t="str">
        <f t="shared" si="91"/>
        <v/>
      </c>
      <c r="AE400" s="18" t="str">
        <f t="shared" si="92"/>
        <v/>
      </c>
      <c r="AF400" s="18" t="str">
        <f t="shared" si="93"/>
        <v/>
      </c>
      <c r="AG400" s="18" t="str">
        <f>IF(OR(O400="",AD400=""),"",IFERROR(INDEX(لیست‌ها!$Q$3:$Q$53,MATCH(AD400,لیست‌ها!$P$3:$P$53,0))+IF(AE400&lt;=6,(AE400-1)*31+AF400,IF(AE400&lt;=11,186+(AE400-7)*30+AF400,336+AF400))-1,""))</f>
        <v/>
      </c>
      <c r="AH400" s="18" t="str">
        <f t="shared" si="94"/>
        <v/>
      </c>
      <c r="AI400" s="18" t="str">
        <f t="shared" si="95"/>
        <v/>
      </c>
      <c r="AJ400" s="18" t="str">
        <f t="shared" ca="1" si="96"/>
        <v/>
      </c>
    </row>
    <row r="401" spans="1:36">
      <c r="A401" s="18">
        <v>398</v>
      </c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8" t="str">
        <f t="shared" ca="1" si="84"/>
        <v/>
      </c>
      <c r="U401" s="18">
        <f t="shared" ca="1" si="97"/>
        <v>0</v>
      </c>
      <c r="V401" s="18" t="str">
        <f t="shared" si="85"/>
        <v/>
      </c>
      <c r="W401" s="18" t="str">
        <f t="shared" si="86"/>
        <v/>
      </c>
      <c r="X401" s="18" t="str">
        <f t="shared" si="87"/>
        <v/>
      </c>
      <c r="Y401" s="19" t="str">
        <f>IF(OR(L401="",V401=""),"",IFERROR(INDEX(لیست‌ها!$Q$3:$Q$53,MATCH(V401,لیست‌ها!$P$3:$P$53,0))+IF(W401&lt;=6,(W401-1)*31+X401,IF(W401&lt;=11,186+(W401-7)*30+X401,336+X401))-1,""))</f>
        <v/>
      </c>
      <c r="Z401" s="18" t="str">
        <f t="shared" si="88"/>
        <v/>
      </c>
      <c r="AA401" s="18" t="str">
        <f t="shared" si="89"/>
        <v/>
      </c>
      <c r="AB401" s="18" t="str">
        <f t="shared" si="90"/>
        <v/>
      </c>
      <c r="AC401" s="19" t="str">
        <f>IF(OR(H401="",Z401=""),"",IFERROR(INDEX(لیست‌ها!$Q$3:$Q$53,MATCH(Z401,لیست‌ها!$P$3:$P$53,0))+IF(AA401&lt;=6,(AA401-1)*31+AB401,IF(AA401&lt;=11,186+(AA401-7)*30+AB401,336+AB401))-1,""))</f>
        <v/>
      </c>
      <c r="AD401" s="18" t="str">
        <f t="shared" si="91"/>
        <v/>
      </c>
      <c r="AE401" s="18" t="str">
        <f t="shared" si="92"/>
        <v/>
      </c>
      <c r="AF401" s="18" t="str">
        <f t="shared" si="93"/>
        <v/>
      </c>
      <c r="AG401" s="18" t="str">
        <f>IF(OR(O401="",AD401=""),"",IFERROR(INDEX(لیست‌ها!$Q$3:$Q$53,MATCH(AD401,لیست‌ها!$P$3:$P$53,0))+IF(AE401&lt;=6,(AE401-1)*31+AF401,IF(AE401&lt;=11,186+(AE401-7)*30+AF401,336+AF401))-1,""))</f>
        <v/>
      </c>
      <c r="AH401" s="18" t="str">
        <f t="shared" si="94"/>
        <v/>
      </c>
      <c r="AI401" s="18" t="str">
        <f t="shared" si="95"/>
        <v/>
      </c>
      <c r="AJ401" s="18" t="str">
        <f t="shared" ca="1" si="96"/>
        <v/>
      </c>
    </row>
    <row r="402" spans="1:36">
      <c r="A402" s="18">
        <v>399</v>
      </c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8" t="str">
        <f t="shared" ca="1" si="84"/>
        <v/>
      </c>
      <c r="U402" s="18">
        <f t="shared" ca="1" si="97"/>
        <v>0</v>
      </c>
      <c r="V402" s="18" t="str">
        <f t="shared" si="85"/>
        <v/>
      </c>
      <c r="W402" s="18" t="str">
        <f t="shared" si="86"/>
        <v/>
      </c>
      <c r="X402" s="18" t="str">
        <f t="shared" si="87"/>
        <v/>
      </c>
      <c r="Y402" s="19" t="str">
        <f>IF(OR(L402="",V402=""),"",IFERROR(INDEX(لیست‌ها!$Q$3:$Q$53,MATCH(V402,لیست‌ها!$P$3:$P$53,0))+IF(W402&lt;=6,(W402-1)*31+X402,IF(W402&lt;=11,186+(W402-7)*30+X402,336+X402))-1,""))</f>
        <v/>
      </c>
      <c r="Z402" s="18" t="str">
        <f t="shared" si="88"/>
        <v/>
      </c>
      <c r="AA402" s="18" t="str">
        <f t="shared" si="89"/>
        <v/>
      </c>
      <c r="AB402" s="18" t="str">
        <f t="shared" si="90"/>
        <v/>
      </c>
      <c r="AC402" s="19" t="str">
        <f>IF(OR(H402="",Z402=""),"",IFERROR(INDEX(لیست‌ها!$Q$3:$Q$53,MATCH(Z402,لیست‌ها!$P$3:$P$53,0))+IF(AA402&lt;=6,(AA402-1)*31+AB402,IF(AA402&lt;=11,186+(AA402-7)*30+AB402,336+AB402))-1,""))</f>
        <v/>
      </c>
      <c r="AD402" s="18" t="str">
        <f t="shared" si="91"/>
        <v/>
      </c>
      <c r="AE402" s="18" t="str">
        <f t="shared" si="92"/>
        <v/>
      </c>
      <c r="AF402" s="18" t="str">
        <f t="shared" si="93"/>
        <v/>
      </c>
      <c r="AG402" s="18" t="str">
        <f>IF(OR(O402="",AD402=""),"",IFERROR(INDEX(لیست‌ها!$Q$3:$Q$53,MATCH(AD402,لیست‌ها!$P$3:$P$53,0))+IF(AE402&lt;=6,(AE402-1)*31+AF402,IF(AE402&lt;=11,186+(AE402-7)*30+AF402,336+AF402))-1,""))</f>
        <v/>
      </c>
      <c r="AH402" s="18" t="str">
        <f t="shared" si="94"/>
        <v/>
      </c>
      <c r="AI402" s="18" t="str">
        <f t="shared" si="95"/>
        <v/>
      </c>
      <c r="AJ402" s="18" t="str">
        <f t="shared" ca="1" si="96"/>
        <v/>
      </c>
    </row>
    <row r="403" spans="1:36">
      <c r="A403" s="18">
        <v>400</v>
      </c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8" t="str">
        <f t="shared" ca="1" si="84"/>
        <v/>
      </c>
      <c r="U403" s="18">
        <f t="shared" ca="1" si="97"/>
        <v>0</v>
      </c>
      <c r="V403" s="18" t="str">
        <f t="shared" si="85"/>
        <v/>
      </c>
      <c r="W403" s="18" t="str">
        <f t="shared" si="86"/>
        <v/>
      </c>
      <c r="X403" s="18" t="str">
        <f t="shared" si="87"/>
        <v/>
      </c>
      <c r="Y403" s="19" t="str">
        <f>IF(OR(L403="",V403=""),"",IFERROR(INDEX(لیست‌ها!$Q$3:$Q$53,MATCH(V403,لیست‌ها!$P$3:$P$53,0))+IF(W403&lt;=6,(W403-1)*31+X403,IF(W403&lt;=11,186+(W403-7)*30+X403,336+X403))-1,""))</f>
        <v/>
      </c>
      <c r="Z403" s="18" t="str">
        <f t="shared" si="88"/>
        <v/>
      </c>
      <c r="AA403" s="18" t="str">
        <f t="shared" si="89"/>
        <v/>
      </c>
      <c r="AB403" s="18" t="str">
        <f t="shared" si="90"/>
        <v/>
      </c>
      <c r="AC403" s="19" t="str">
        <f>IF(OR(H403="",Z403=""),"",IFERROR(INDEX(لیست‌ها!$Q$3:$Q$53,MATCH(Z403,لیست‌ها!$P$3:$P$53,0))+IF(AA403&lt;=6,(AA403-1)*31+AB403,IF(AA403&lt;=11,186+(AA403-7)*30+AB403,336+AB403))-1,""))</f>
        <v/>
      </c>
      <c r="AD403" s="18" t="str">
        <f t="shared" si="91"/>
        <v/>
      </c>
      <c r="AE403" s="18" t="str">
        <f t="shared" si="92"/>
        <v/>
      </c>
      <c r="AF403" s="18" t="str">
        <f t="shared" si="93"/>
        <v/>
      </c>
      <c r="AG403" s="18" t="str">
        <f>IF(OR(O403="",AD403=""),"",IFERROR(INDEX(لیست‌ها!$Q$3:$Q$53,MATCH(AD403,لیست‌ها!$P$3:$P$53,0))+IF(AE403&lt;=6,(AE403-1)*31+AF403,IF(AE403&lt;=11,186+(AE403-7)*30+AF403,336+AF403))-1,""))</f>
        <v/>
      </c>
      <c r="AH403" s="18" t="str">
        <f t="shared" si="94"/>
        <v/>
      </c>
      <c r="AI403" s="18" t="str">
        <f t="shared" si="95"/>
        <v/>
      </c>
      <c r="AJ403" s="18" t="str">
        <f t="shared" ca="1" si="96"/>
        <v/>
      </c>
    </row>
    <row r="404" spans="1:36">
      <c r="A404" s="18">
        <v>401</v>
      </c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8" t="str">
        <f t="shared" ca="1" si="84"/>
        <v/>
      </c>
      <c r="U404" s="18">
        <f t="shared" ca="1" si="97"/>
        <v>0</v>
      </c>
      <c r="V404" s="18" t="str">
        <f t="shared" si="85"/>
        <v/>
      </c>
      <c r="W404" s="18" t="str">
        <f t="shared" si="86"/>
        <v/>
      </c>
      <c r="X404" s="18" t="str">
        <f t="shared" si="87"/>
        <v/>
      </c>
      <c r="Y404" s="19" t="str">
        <f>IF(OR(L404="",V404=""),"",IFERROR(INDEX(لیست‌ها!$Q$3:$Q$53,MATCH(V404,لیست‌ها!$P$3:$P$53,0))+IF(W404&lt;=6,(W404-1)*31+X404,IF(W404&lt;=11,186+(W404-7)*30+X404,336+X404))-1,""))</f>
        <v/>
      </c>
      <c r="Z404" s="18" t="str">
        <f t="shared" si="88"/>
        <v/>
      </c>
      <c r="AA404" s="18" t="str">
        <f t="shared" si="89"/>
        <v/>
      </c>
      <c r="AB404" s="18" t="str">
        <f t="shared" si="90"/>
        <v/>
      </c>
      <c r="AC404" s="19" t="str">
        <f>IF(OR(H404="",Z404=""),"",IFERROR(INDEX(لیست‌ها!$Q$3:$Q$53,MATCH(Z404,لیست‌ها!$P$3:$P$53,0))+IF(AA404&lt;=6,(AA404-1)*31+AB404,IF(AA404&lt;=11,186+(AA404-7)*30+AB404,336+AB404))-1,""))</f>
        <v/>
      </c>
      <c r="AD404" s="18" t="str">
        <f t="shared" si="91"/>
        <v/>
      </c>
      <c r="AE404" s="18" t="str">
        <f t="shared" si="92"/>
        <v/>
      </c>
      <c r="AF404" s="18" t="str">
        <f t="shared" si="93"/>
        <v/>
      </c>
      <c r="AG404" s="18" t="str">
        <f>IF(OR(O404="",AD404=""),"",IFERROR(INDEX(لیست‌ها!$Q$3:$Q$53,MATCH(AD404,لیست‌ها!$P$3:$P$53,0))+IF(AE404&lt;=6,(AE404-1)*31+AF404,IF(AE404&lt;=11,186+(AE404-7)*30+AF404,336+AF404))-1,""))</f>
        <v/>
      </c>
      <c r="AH404" s="18" t="str">
        <f t="shared" si="94"/>
        <v/>
      </c>
      <c r="AI404" s="18" t="str">
        <f t="shared" si="95"/>
        <v/>
      </c>
      <c r="AJ404" s="18" t="str">
        <f t="shared" ca="1" si="96"/>
        <v/>
      </c>
    </row>
    <row r="405" spans="1:36">
      <c r="A405" s="18">
        <v>402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8" t="str">
        <f t="shared" ca="1" si="84"/>
        <v/>
      </c>
      <c r="U405" s="18">
        <f t="shared" ca="1" si="97"/>
        <v>0</v>
      </c>
      <c r="V405" s="18" t="str">
        <f t="shared" si="85"/>
        <v/>
      </c>
      <c r="W405" s="18" t="str">
        <f t="shared" si="86"/>
        <v/>
      </c>
      <c r="X405" s="18" t="str">
        <f t="shared" si="87"/>
        <v/>
      </c>
      <c r="Y405" s="19" t="str">
        <f>IF(OR(L405="",V405=""),"",IFERROR(INDEX(لیست‌ها!$Q$3:$Q$53,MATCH(V405,لیست‌ها!$P$3:$P$53,0))+IF(W405&lt;=6,(W405-1)*31+X405,IF(W405&lt;=11,186+(W405-7)*30+X405,336+X405))-1,""))</f>
        <v/>
      </c>
      <c r="Z405" s="18" t="str">
        <f t="shared" si="88"/>
        <v/>
      </c>
      <c r="AA405" s="18" t="str">
        <f t="shared" si="89"/>
        <v/>
      </c>
      <c r="AB405" s="18" t="str">
        <f t="shared" si="90"/>
        <v/>
      </c>
      <c r="AC405" s="19" t="str">
        <f>IF(OR(H405="",Z405=""),"",IFERROR(INDEX(لیست‌ها!$Q$3:$Q$53,MATCH(Z405,لیست‌ها!$P$3:$P$53,0))+IF(AA405&lt;=6,(AA405-1)*31+AB405,IF(AA405&lt;=11,186+(AA405-7)*30+AB405,336+AB405))-1,""))</f>
        <v/>
      </c>
      <c r="AD405" s="18" t="str">
        <f t="shared" si="91"/>
        <v/>
      </c>
      <c r="AE405" s="18" t="str">
        <f t="shared" si="92"/>
        <v/>
      </c>
      <c r="AF405" s="18" t="str">
        <f t="shared" si="93"/>
        <v/>
      </c>
      <c r="AG405" s="18" t="str">
        <f>IF(OR(O405="",AD405=""),"",IFERROR(INDEX(لیست‌ها!$Q$3:$Q$53,MATCH(AD405,لیست‌ها!$P$3:$P$53,0))+IF(AE405&lt;=6,(AE405-1)*31+AF405,IF(AE405&lt;=11,186+(AE405-7)*30+AF405,336+AF405))-1,""))</f>
        <v/>
      </c>
      <c r="AH405" s="18" t="str">
        <f t="shared" si="94"/>
        <v/>
      </c>
      <c r="AI405" s="18" t="str">
        <f t="shared" si="95"/>
        <v/>
      </c>
      <c r="AJ405" s="18" t="str">
        <f t="shared" ca="1" si="96"/>
        <v/>
      </c>
    </row>
    <row r="406" spans="1:36">
      <c r="A406" s="18">
        <v>403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8" t="str">
        <f t="shared" ca="1" si="84"/>
        <v/>
      </c>
      <c r="U406" s="18">
        <f t="shared" ca="1" si="97"/>
        <v>0</v>
      </c>
      <c r="V406" s="18" t="str">
        <f t="shared" si="85"/>
        <v/>
      </c>
      <c r="W406" s="18" t="str">
        <f t="shared" si="86"/>
        <v/>
      </c>
      <c r="X406" s="18" t="str">
        <f t="shared" si="87"/>
        <v/>
      </c>
      <c r="Y406" s="19" t="str">
        <f>IF(OR(L406="",V406=""),"",IFERROR(INDEX(لیست‌ها!$Q$3:$Q$53,MATCH(V406,لیست‌ها!$P$3:$P$53,0))+IF(W406&lt;=6,(W406-1)*31+X406,IF(W406&lt;=11,186+(W406-7)*30+X406,336+X406))-1,""))</f>
        <v/>
      </c>
      <c r="Z406" s="18" t="str">
        <f t="shared" si="88"/>
        <v/>
      </c>
      <c r="AA406" s="18" t="str">
        <f t="shared" si="89"/>
        <v/>
      </c>
      <c r="AB406" s="18" t="str">
        <f t="shared" si="90"/>
        <v/>
      </c>
      <c r="AC406" s="19" t="str">
        <f>IF(OR(H406="",Z406=""),"",IFERROR(INDEX(لیست‌ها!$Q$3:$Q$53,MATCH(Z406,لیست‌ها!$P$3:$P$53,0))+IF(AA406&lt;=6,(AA406-1)*31+AB406,IF(AA406&lt;=11,186+(AA406-7)*30+AB406,336+AB406))-1,""))</f>
        <v/>
      </c>
      <c r="AD406" s="18" t="str">
        <f t="shared" si="91"/>
        <v/>
      </c>
      <c r="AE406" s="18" t="str">
        <f t="shared" si="92"/>
        <v/>
      </c>
      <c r="AF406" s="18" t="str">
        <f t="shared" si="93"/>
        <v/>
      </c>
      <c r="AG406" s="18" t="str">
        <f>IF(OR(O406="",AD406=""),"",IFERROR(INDEX(لیست‌ها!$Q$3:$Q$53,MATCH(AD406,لیست‌ها!$P$3:$P$53,0))+IF(AE406&lt;=6,(AE406-1)*31+AF406,IF(AE406&lt;=11,186+(AE406-7)*30+AF406,336+AF406))-1,""))</f>
        <v/>
      </c>
      <c r="AH406" s="18" t="str">
        <f t="shared" si="94"/>
        <v/>
      </c>
      <c r="AI406" s="18" t="str">
        <f t="shared" si="95"/>
        <v/>
      </c>
      <c r="AJ406" s="18" t="str">
        <f t="shared" ca="1" si="96"/>
        <v/>
      </c>
    </row>
    <row r="407" spans="1:36">
      <c r="A407" s="18">
        <v>404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8" t="str">
        <f t="shared" ca="1" si="84"/>
        <v/>
      </c>
      <c r="U407" s="18">
        <f t="shared" ca="1" si="97"/>
        <v>0</v>
      </c>
      <c r="V407" s="18" t="str">
        <f t="shared" si="85"/>
        <v/>
      </c>
      <c r="W407" s="18" t="str">
        <f t="shared" si="86"/>
        <v/>
      </c>
      <c r="X407" s="18" t="str">
        <f t="shared" si="87"/>
        <v/>
      </c>
      <c r="Y407" s="19" t="str">
        <f>IF(OR(L407="",V407=""),"",IFERROR(INDEX(لیست‌ها!$Q$3:$Q$53,MATCH(V407,لیست‌ها!$P$3:$P$53,0))+IF(W407&lt;=6,(W407-1)*31+X407,IF(W407&lt;=11,186+(W407-7)*30+X407,336+X407))-1,""))</f>
        <v/>
      </c>
      <c r="Z407" s="18" t="str">
        <f t="shared" si="88"/>
        <v/>
      </c>
      <c r="AA407" s="18" t="str">
        <f t="shared" si="89"/>
        <v/>
      </c>
      <c r="AB407" s="18" t="str">
        <f t="shared" si="90"/>
        <v/>
      </c>
      <c r="AC407" s="19" t="str">
        <f>IF(OR(H407="",Z407=""),"",IFERROR(INDEX(لیست‌ها!$Q$3:$Q$53,MATCH(Z407,لیست‌ها!$P$3:$P$53,0))+IF(AA407&lt;=6,(AA407-1)*31+AB407,IF(AA407&lt;=11,186+(AA407-7)*30+AB407,336+AB407))-1,""))</f>
        <v/>
      </c>
      <c r="AD407" s="18" t="str">
        <f t="shared" si="91"/>
        <v/>
      </c>
      <c r="AE407" s="18" t="str">
        <f t="shared" si="92"/>
        <v/>
      </c>
      <c r="AF407" s="18" t="str">
        <f t="shared" si="93"/>
        <v/>
      </c>
      <c r="AG407" s="18" t="str">
        <f>IF(OR(O407="",AD407=""),"",IFERROR(INDEX(لیست‌ها!$Q$3:$Q$53,MATCH(AD407,لیست‌ها!$P$3:$P$53,0))+IF(AE407&lt;=6,(AE407-1)*31+AF407,IF(AE407&lt;=11,186+(AE407-7)*30+AF407,336+AF407))-1,""))</f>
        <v/>
      </c>
      <c r="AH407" s="18" t="str">
        <f t="shared" si="94"/>
        <v/>
      </c>
      <c r="AI407" s="18" t="str">
        <f t="shared" si="95"/>
        <v/>
      </c>
      <c r="AJ407" s="18" t="str">
        <f t="shared" ca="1" si="96"/>
        <v/>
      </c>
    </row>
    <row r="408" spans="1:36">
      <c r="A408" s="18">
        <v>405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8" t="str">
        <f t="shared" ca="1" si="84"/>
        <v/>
      </c>
      <c r="U408" s="18">
        <f t="shared" ca="1" si="97"/>
        <v>0</v>
      </c>
      <c r="V408" s="18" t="str">
        <f t="shared" si="85"/>
        <v/>
      </c>
      <c r="W408" s="18" t="str">
        <f t="shared" si="86"/>
        <v/>
      </c>
      <c r="X408" s="18" t="str">
        <f t="shared" si="87"/>
        <v/>
      </c>
      <c r="Y408" s="19" t="str">
        <f>IF(OR(L408="",V408=""),"",IFERROR(INDEX(لیست‌ها!$Q$3:$Q$53,MATCH(V408,لیست‌ها!$P$3:$P$53,0))+IF(W408&lt;=6,(W408-1)*31+X408,IF(W408&lt;=11,186+(W408-7)*30+X408,336+X408))-1,""))</f>
        <v/>
      </c>
      <c r="Z408" s="18" t="str">
        <f t="shared" si="88"/>
        <v/>
      </c>
      <c r="AA408" s="18" t="str">
        <f t="shared" si="89"/>
        <v/>
      </c>
      <c r="AB408" s="18" t="str">
        <f t="shared" si="90"/>
        <v/>
      </c>
      <c r="AC408" s="19" t="str">
        <f>IF(OR(H408="",Z408=""),"",IFERROR(INDEX(لیست‌ها!$Q$3:$Q$53,MATCH(Z408,لیست‌ها!$P$3:$P$53,0))+IF(AA408&lt;=6,(AA408-1)*31+AB408,IF(AA408&lt;=11,186+(AA408-7)*30+AB408,336+AB408))-1,""))</f>
        <v/>
      </c>
      <c r="AD408" s="18" t="str">
        <f t="shared" si="91"/>
        <v/>
      </c>
      <c r="AE408" s="18" t="str">
        <f t="shared" si="92"/>
        <v/>
      </c>
      <c r="AF408" s="18" t="str">
        <f t="shared" si="93"/>
        <v/>
      </c>
      <c r="AG408" s="18" t="str">
        <f>IF(OR(O408="",AD408=""),"",IFERROR(INDEX(لیست‌ها!$Q$3:$Q$53,MATCH(AD408,لیست‌ها!$P$3:$P$53,0))+IF(AE408&lt;=6,(AE408-1)*31+AF408,IF(AE408&lt;=11,186+(AE408-7)*30+AF408,336+AF408))-1,""))</f>
        <v/>
      </c>
      <c r="AH408" s="18" t="str">
        <f t="shared" si="94"/>
        <v/>
      </c>
      <c r="AI408" s="18" t="str">
        <f t="shared" si="95"/>
        <v/>
      </c>
      <c r="AJ408" s="18" t="str">
        <f t="shared" ca="1" si="96"/>
        <v/>
      </c>
    </row>
    <row r="409" spans="1:36">
      <c r="A409" s="18">
        <v>406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8" t="str">
        <f t="shared" ca="1" si="84"/>
        <v/>
      </c>
      <c r="U409" s="18">
        <f t="shared" ca="1" si="97"/>
        <v>0</v>
      </c>
      <c r="V409" s="18" t="str">
        <f t="shared" si="85"/>
        <v/>
      </c>
      <c r="W409" s="18" t="str">
        <f t="shared" si="86"/>
        <v/>
      </c>
      <c r="X409" s="18" t="str">
        <f t="shared" si="87"/>
        <v/>
      </c>
      <c r="Y409" s="19" t="str">
        <f>IF(OR(L409="",V409=""),"",IFERROR(INDEX(لیست‌ها!$Q$3:$Q$53,MATCH(V409,لیست‌ها!$P$3:$P$53,0))+IF(W409&lt;=6,(W409-1)*31+X409,IF(W409&lt;=11,186+(W409-7)*30+X409,336+X409))-1,""))</f>
        <v/>
      </c>
      <c r="Z409" s="18" t="str">
        <f t="shared" si="88"/>
        <v/>
      </c>
      <c r="AA409" s="18" t="str">
        <f t="shared" si="89"/>
        <v/>
      </c>
      <c r="AB409" s="18" t="str">
        <f t="shared" si="90"/>
        <v/>
      </c>
      <c r="AC409" s="19" t="str">
        <f>IF(OR(H409="",Z409=""),"",IFERROR(INDEX(لیست‌ها!$Q$3:$Q$53,MATCH(Z409,لیست‌ها!$P$3:$P$53,0))+IF(AA409&lt;=6,(AA409-1)*31+AB409,IF(AA409&lt;=11,186+(AA409-7)*30+AB409,336+AB409))-1,""))</f>
        <v/>
      </c>
      <c r="AD409" s="18" t="str">
        <f t="shared" si="91"/>
        <v/>
      </c>
      <c r="AE409" s="18" t="str">
        <f t="shared" si="92"/>
        <v/>
      </c>
      <c r="AF409" s="18" t="str">
        <f t="shared" si="93"/>
        <v/>
      </c>
      <c r="AG409" s="18" t="str">
        <f>IF(OR(O409="",AD409=""),"",IFERROR(INDEX(لیست‌ها!$Q$3:$Q$53,MATCH(AD409,لیست‌ها!$P$3:$P$53,0))+IF(AE409&lt;=6,(AE409-1)*31+AF409,IF(AE409&lt;=11,186+(AE409-7)*30+AF409,336+AF409))-1,""))</f>
        <v/>
      </c>
      <c r="AH409" s="18" t="str">
        <f t="shared" si="94"/>
        <v/>
      </c>
      <c r="AI409" s="18" t="str">
        <f t="shared" si="95"/>
        <v/>
      </c>
      <c r="AJ409" s="18" t="str">
        <f t="shared" ca="1" si="96"/>
        <v/>
      </c>
    </row>
    <row r="410" spans="1:36">
      <c r="A410" s="18">
        <v>407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8" t="str">
        <f t="shared" ca="1" si="84"/>
        <v/>
      </c>
      <c r="U410" s="18">
        <f t="shared" ca="1" si="97"/>
        <v>0</v>
      </c>
      <c r="V410" s="18" t="str">
        <f t="shared" si="85"/>
        <v/>
      </c>
      <c r="W410" s="18" t="str">
        <f t="shared" si="86"/>
        <v/>
      </c>
      <c r="X410" s="18" t="str">
        <f t="shared" si="87"/>
        <v/>
      </c>
      <c r="Y410" s="19" t="str">
        <f>IF(OR(L410="",V410=""),"",IFERROR(INDEX(لیست‌ها!$Q$3:$Q$53,MATCH(V410,لیست‌ها!$P$3:$P$53,0))+IF(W410&lt;=6,(W410-1)*31+X410,IF(W410&lt;=11,186+(W410-7)*30+X410,336+X410))-1,""))</f>
        <v/>
      </c>
      <c r="Z410" s="18" t="str">
        <f t="shared" si="88"/>
        <v/>
      </c>
      <c r="AA410" s="18" t="str">
        <f t="shared" si="89"/>
        <v/>
      </c>
      <c r="AB410" s="18" t="str">
        <f t="shared" si="90"/>
        <v/>
      </c>
      <c r="AC410" s="19" t="str">
        <f>IF(OR(H410="",Z410=""),"",IFERROR(INDEX(لیست‌ها!$Q$3:$Q$53,MATCH(Z410,لیست‌ها!$P$3:$P$53,0))+IF(AA410&lt;=6,(AA410-1)*31+AB410,IF(AA410&lt;=11,186+(AA410-7)*30+AB410,336+AB410))-1,""))</f>
        <v/>
      </c>
      <c r="AD410" s="18" t="str">
        <f t="shared" si="91"/>
        <v/>
      </c>
      <c r="AE410" s="18" t="str">
        <f t="shared" si="92"/>
        <v/>
      </c>
      <c r="AF410" s="18" t="str">
        <f t="shared" si="93"/>
        <v/>
      </c>
      <c r="AG410" s="18" t="str">
        <f>IF(OR(O410="",AD410=""),"",IFERROR(INDEX(لیست‌ها!$Q$3:$Q$53,MATCH(AD410,لیست‌ها!$P$3:$P$53,0))+IF(AE410&lt;=6,(AE410-1)*31+AF410,IF(AE410&lt;=11,186+(AE410-7)*30+AF410,336+AF410))-1,""))</f>
        <v/>
      </c>
      <c r="AH410" s="18" t="str">
        <f t="shared" si="94"/>
        <v/>
      </c>
      <c r="AI410" s="18" t="str">
        <f t="shared" si="95"/>
        <v/>
      </c>
      <c r="AJ410" s="18" t="str">
        <f t="shared" ca="1" si="96"/>
        <v/>
      </c>
    </row>
    <row r="411" spans="1:36">
      <c r="A411" s="18">
        <v>408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8" t="str">
        <f t="shared" ca="1" si="84"/>
        <v/>
      </c>
      <c r="U411" s="18">
        <f t="shared" ca="1" si="97"/>
        <v>0</v>
      </c>
      <c r="V411" s="18" t="str">
        <f t="shared" si="85"/>
        <v/>
      </c>
      <c r="W411" s="18" t="str">
        <f t="shared" si="86"/>
        <v/>
      </c>
      <c r="X411" s="18" t="str">
        <f t="shared" si="87"/>
        <v/>
      </c>
      <c r="Y411" s="19" t="str">
        <f>IF(OR(L411="",V411=""),"",IFERROR(INDEX(لیست‌ها!$Q$3:$Q$53,MATCH(V411,لیست‌ها!$P$3:$P$53,0))+IF(W411&lt;=6,(W411-1)*31+X411,IF(W411&lt;=11,186+(W411-7)*30+X411,336+X411))-1,""))</f>
        <v/>
      </c>
      <c r="Z411" s="18" t="str">
        <f t="shared" si="88"/>
        <v/>
      </c>
      <c r="AA411" s="18" t="str">
        <f t="shared" si="89"/>
        <v/>
      </c>
      <c r="AB411" s="18" t="str">
        <f t="shared" si="90"/>
        <v/>
      </c>
      <c r="AC411" s="19" t="str">
        <f>IF(OR(H411="",Z411=""),"",IFERROR(INDEX(لیست‌ها!$Q$3:$Q$53,MATCH(Z411,لیست‌ها!$P$3:$P$53,0))+IF(AA411&lt;=6,(AA411-1)*31+AB411,IF(AA411&lt;=11,186+(AA411-7)*30+AB411,336+AB411))-1,""))</f>
        <v/>
      </c>
      <c r="AD411" s="18" t="str">
        <f t="shared" si="91"/>
        <v/>
      </c>
      <c r="AE411" s="18" t="str">
        <f t="shared" si="92"/>
        <v/>
      </c>
      <c r="AF411" s="18" t="str">
        <f t="shared" si="93"/>
        <v/>
      </c>
      <c r="AG411" s="18" t="str">
        <f>IF(OR(O411="",AD411=""),"",IFERROR(INDEX(لیست‌ها!$Q$3:$Q$53,MATCH(AD411,لیست‌ها!$P$3:$P$53,0))+IF(AE411&lt;=6,(AE411-1)*31+AF411,IF(AE411&lt;=11,186+(AE411-7)*30+AF411,336+AF411))-1,""))</f>
        <v/>
      </c>
      <c r="AH411" s="18" t="str">
        <f t="shared" si="94"/>
        <v/>
      </c>
      <c r="AI411" s="18" t="str">
        <f t="shared" si="95"/>
        <v/>
      </c>
      <c r="AJ411" s="18" t="str">
        <f t="shared" ca="1" si="96"/>
        <v/>
      </c>
    </row>
    <row r="412" spans="1:36">
      <c r="A412" s="18">
        <v>409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8" t="str">
        <f t="shared" ca="1" si="84"/>
        <v/>
      </c>
      <c r="U412" s="18">
        <f t="shared" ca="1" si="97"/>
        <v>0</v>
      </c>
      <c r="V412" s="18" t="str">
        <f t="shared" si="85"/>
        <v/>
      </c>
      <c r="W412" s="18" t="str">
        <f t="shared" si="86"/>
        <v/>
      </c>
      <c r="X412" s="18" t="str">
        <f t="shared" si="87"/>
        <v/>
      </c>
      <c r="Y412" s="19" t="str">
        <f>IF(OR(L412="",V412=""),"",IFERROR(INDEX(لیست‌ها!$Q$3:$Q$53,MATCH(V412,لیست‌ها!$P$3:$P$53,0))+IF(W412&lt;=6,(W412-1)*31+X412,IF(W412&lt;=11,186+(W412-7)*30+X412,336+X412))-1,""))</f>
        <v/>
      </c>
      <c r="Z412" s="18" t="str">
        <f t="shared" si="88"/>
        <v/>
      </c>
      <c r="AA412" s="18" t="str">
        <f t="shared" si="89"/>
        <v/>
      </c>
      <c r="AB412" s="18" t="str">
        <f t="shared" si="90"/>
        <v/>
      </c>
      <c r="AC412" s="19" t="str">
        <f>IF(OR(H412="",Z412=""),"",IFERROR(INDEX(لیست‌ها!$Q$3:$Q$53,MATCH(Z412,لیست‌ها!$P$3:$P$53,0))+IF(AA412&lt;=6,(AA412-1)*31+AB412,IF(AA412&lt;=11,186+(AA412-7)*30+AB412,336+AB412))-1,""))</f>
        <v/>
      </c>
      <c r="AD412" s="18" t="str">
        <f t="shared" si="91"/>
        <v/>
      </c>
      <c r="AE412" s="18" t="str">
        <f t="shared" si="92"/>
        <v/>
      </c>
      <c r="AF412" s="18" t="str">
        <f t="shared" si="93"/>
        <v/>
      </c>
      <c r="AG412" s="18" t="str">
        <f>IF(OR(O412="",AD412=""),"",IFERROR(INDEX(لیست‌ها!$Q$3:$Q$53,MATCH(AD412,لیست‌ها!$P$3:$P$53,0))+IF(AE412&lt;=6,(AE412-1)*31+AF412,IF(AE412&lt;=11,186+(AE412-7)*30+AF412,336+AF412))-1,""))</f>
        <v/>
      </c>
      <c r="AH412" s="18" t="str">
        <f t="shared" si="94"/>
        <v/>
      </c>
      <c r="AI412" s="18" t="str">
        <f t="shared" si="95"/>
        <v/>
      </c>
      <c r="AJ412" s="18" t="str">
        <f t="shared" ca="1" si="96"/>
        <v/>
      </c>
    </row>
    <row r="413" spans="1:36">
      <c r="A413" s="18">
        <v>410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8" t="str">
        <f t="shared" ca="1" si="84"/>
        <v/>
      </c>
      <c r="U413" s="18">
        <f t="shared" ca="1" si="97"/>
        <v>0</v>
      </c>
      <c r="V413" s="18" t="str">
        <f t="shared" si="85"/>
        <v/>
      </c>
      <c r="W413" s="18" t="str">
        <f t="shared" si="86"/>
        <v/>
      </c>
      <c r="X413" s="18" t="str">
        <f t="shared" si="87"/>
        <v/>
      </c>
      <c r="Y413" s="19" t="str">
        <f>IF(OR(L413="",V413=""),"",IFERROR(INDEX(لیست‌ها!$Q$3:$Q$53,MATCH(V413,لیست‌ها!$P$3:$P$53,0))+IF(W413&lt;=6,(W413-1)*31+X413,IF(W413&lt;=11,186+(W413-7)*30+X413,336+X413))-1,""))</f>
        <v/>
      </c>
      <c r="Z413" s="18" t="str">
        <f t="shared" si="88"/>
        <v/>
      </c>
      <c r="AA413" s="18" t="str">
        <f t="shared" si="89"/>
        <v/>
      </c>
      <c r="AB413" s="18" t="str">
        <f t="shared" si="90"/>
        <v/>
      </c>
      <c r="AC413" s="19" t="str">
        <f>IF(OR(H413="",Z413=""),"",IFERROR(INDEX(لیست‌ها!$Q$3:$Q$53,MATCH(Z413,لیست‌ها!$P$3:$P$53,0))+IF(AA413&lt;=6,(AA413-1)*31+AB413,IF(AA413&lt;=11,186+(AA413-7)*30+AB413,336+AB413))-1,""))</f>
        <v/>
      </c>
      <c r="AD413" s="18" t="str">
        <f t="shared" si="91"/>
        <v/>
      </c>
      <c r="AE413" s="18" t="str">
        <f t="shared" si="92"/>
        <v/>
      </c>
      <c r="AF413" s="18" t="str">
        <f t="shared" si="93"/>
        <v/>
      </c>
      <c r="AG413" s="18" t="str">
        <f>IF(OR(O413="",AD413=""),"",IFERROR(INDEX(لیست‌ها!$Q$3:$Q$53,MATCH(AD413,لیست‌ها!$P$3:$P$53,0))+IF(AE413&lt;=6,(AE413-1)*31+AF413,IF(AE413&lt;=11,186+(AE413-7)*30+AF413,336+AF413))-1,""))</f>
        <v/>
      </c>
      <c r="AH413" s="18" t="str">
        <f t="shared" si="94"/>
        <v/>
      </c>
      <c r="AI413" s="18" t="str">
        <f t="shared" si="95"/>
        <v/>
      </c>
      <c r="AJ413" s="18" t="str">
        <f t="shared" ca="1" si="96"/>
        <v/>
      </c>
    </row>
    <row r="414" spans="1:36">
      <c r="A414" s="18">
        <v>411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8" t="str">
        <f t="shared" ca="1" si="84"/>
        <v/>
      </c>
      <c r="U414" s="18">
        <f t="shared" ca="1" si="97"/>
        <v>0</v>
      </c>
      <c r="V414" s="18" t="str">
        <f t="shared" si="85"/>
        <v/>
      </c>
      <c r="W414" s="18" t="str">
        <f t="shared" si="86"/>
        <v/>
      </c>
      <c r="X414" s="18" t="str">
        <f t="shared" si="87"/>
        <v/>
      </c>
      <c r="Y414" s="19" t="str">
        <f>IF(OR(L414="",V414=""),"",IFERROR(INDEX(لیست‌ها!$Q$3:$Q$53,MATCH(V414,لیست‌ها!$P$3:$P$53,0))+IF(W414&lt;=6,(W414-1)*31+X414,IF(W414&lt;=11,186+(W414-7)*30+X414,336+X414))-1,""))</f>
        <v/>
      </c>
      <c r="Z414" s="18" t="str">
        <f t="shared" si="88"/>
        <v/>
      </c>
      <c r="AA414" s="18" t="str">
        <f t="shared" si="89"/>
        <v/>
      </c>
      <c r="AB414" s="18" t="str">
        <f t="shared" si="90"/>
        <v/>
      </c>
      <c r="AC414" s="19" t="str">
        <f>IF(OR(H414="",Z414=""),"",IFERROR(INDEX(لیست‌ها!$Q$3:$Q$53,MATCH(Z414,لیست‌ها!$P$3:$P$53,0))+IF(AA414&lt;=6,(AA414-1)*31+AB414,IF(AA414&lt;=11,186+(AA414-7)*30+AB414,336+AB414))-1,""))</f>
        <v/>
      </c>
      <c r="AD414" s="18" t="str">
        <f t="shared" si="91"/>
        <v/>
      </c>
      <c r="AE414" s="18" t="str">
        <f t="shared" si="92"/>
        <v/>
      </c>
      <c r="AF414" s="18" t="str">
        <f t="shared" si="93"/>
        <v/>
      </c>
      <c r="AG414" s="18" t="str">
        <f>IF(OR(O414="",AD414=""),"",IFERROR(INDEX(لیست‌ها!$Q$3:$Q$53,MATCH(AD414,لیست‌ها!$P$3:$P$53,0))+IF(AE414&lt;=6,(AE414-1)*31+AF414,IF(AE414&lt;=11,186+(AE414-7)*30+AF414,336+AF414))-1,""))</f>
        <v/>
      </c>
      <c r="AH414" s="18" t="str">
        <f t="shared" si="94"/>
        <v/>
      </c>
      <c r="AI414" s="18" t="str">
        <f t="shared" si="95"/>
        <v/>
      </c>
      <c r="AJ414" s="18" t="str">
        <f t="shared" ca="1" si="96"/>
        <v/>
      </c>
    </row>
    <row r="415" spans="1:36">
      <c r="A415" s="18">
        <v>412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8" t="str">
        <f t="shared" ca="1" si="84"/>
        <v/>
      </c>
      <c r="U415" s="18">
        <f t="shared" ca="1" si="97"/>
        <v>0</v>
      </c>
      <c r="V415" s="18" t="str">
        <f t="shared" si="85"/>
        <v/>
      </c>
      <c r="W415" s="18" t="str">
        <f t="shared" si="86"/>
        <v/>
      </c>
      <c r="X415" s="18" t="str">
        <f t="shared" si="87"/>
        <v/>
      </c>
      <c r="Y415" s="19" t="str">
        <f>IF(OR(L415="",V415=""),"",IFERROR(INDEX(لیست‌ها!$Q$3:$Q$53,MATCH(V415,لیست‌ها!$P$3:$P$53,0))+IF(W415&lt;=6,(W415-1)*31+X415,IF(W415&lt;=11,186+(W415-7)*30+X415,336+X415))-1,""))</f>
        <v/>
      </c>
      <c r="Z415" s="18" t="str">
        <f t="shared" si="88"/>
        <v/>
      </c>
      <c r="AA415" s="18" t="str">
        <f t="shared" si="89"/>
        <v/>
      </c>
      <c r="AB415" s="18" t="str">
        <f t="shared" si="90"/>
        <v/>
      </c>
      <c r="AC415" s="19" t="str">
        <f>IF(OR(H415="",Z415=""),"",IFERROR(INDEX(لیست‌ها!$Q$3:$Q$53,MATCH(Z415,لیست‌ها!$P$3:$P$53,0))+IF(AA415&lt;=6,(AA415-1)*31+AB415,IF(AA415&lt;=11,186+(AA415-7)*30+AB415,336+AB415))-1,""))</f>
        <v/>
      </c>
      <c r="AD415" s="18" t="str">
        <f t="shared" si="91"/>
        <v/>
      </c>
      <c r="AE415" s="18" t="str">
        <f t="shared" si="92"/>
        <v/>
      </c>
      <c r="AF415" s="18" t="str">
        <f t="shared" si="93"/>
        <v/>
      </c>
      <c r="AG415" s="18" t="str">
        <f>IF(OR(O415="",AD415=""),"",IFERROR(INDEX(لیست‌ها!$Q$3:$Q$53,MATCH(AD415,لیست‌ها!$P$3:$P$53,0))+IF(AE415&lt;=6,(AE415-1)*31+AF415,IF(AE415&lt;=11,186+(AE415-7)*30+AF415,336+AF415))-1,""))</f>
        <v/>
      </c>
      <c r="AH415" s="18" t="str">
        <f t="shared" si="94"/>
        <v/>
      </c>
      <c r="AI415" s="18" t="str">
        <f t="shared" si="95"/>
        <v/>
      </c>
      <c r="AJ415" s="18" t="str">
        <f t="shared" ca="1" si="96"/>
        <v/>
      </c>
    </row>
    <row r="416" spans="1:36">
      <c r="A416" s="18">
        <v>413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8" t="str">
        <f t="shared" ca="1" si="84"/>
        <v/>
      </c>
      <c r="U416" s="18">
        <f t="shared" ca="1" si="97"/>
        <v>0</v>
      </c>
      <c r="V416" s="18" t="str">
        <f t="shared" si="85"/>
        <v/>
      </c>
      <c r="W416" s="18" t="str">
        <f t="shared" si="86"/>
        <v/>
      </c>
      <c r="X416" s="18" t="str">
        <f t="shared" si="87"/>
        <v/>
      </c>
      <c r="Y416" s="19" t="str">
        <f>IF(OR(L416="",V416=""),"",IFERROR(INDEX(لیست‌ها!$Q$3:$Q$53,MATCH(V416,لیست‌ها!$P$3:$P$53,0))+IF(W416&lt;=6,(W416-1)*31+X416,IF(W416&lt;=11,186+(W416-7)*30+X416,336+X416))-1,""))</f>
        <v/>
      </c>
      <c r="Z416" s="18" t="str">
        <f t="shared" si="88"/>
        <v/>
      </c>
      <c r="AA416" s="18" t="str">
        <f t="shared" si="89"/>
        <v/>
      </c>
      <c r="AB416" s="18" t="str">
        <f t="shared" si="90"/>
        <v/>
      </c>
      <c r="AC416" s="19" t="str">
        <f>IF(OR(H416="",Z416=""),"",IFERROR(INDEX(لیست‌ها!$Q$3:$Q$53,MATCH(Z416,لیست‌ها!$P$3:$P$53,0))+IF(AA416&lt;=6,(AA416-1)*31+AB416,IF(AA416&lt;=11,186+(AA416-7)*30+AB416,336+AB416))-1,""))</f>
        <v/>
      </c>
      <c r="AD416" s="18" t="str">
        <f t="shared" si="91"/>
        <v/>
      </c>
      <c r="AE416" s="18" t="str">
        <f t="shared" si="92"/>
        <v/>
      </c>
      <c r="AF416" s="18" t="str">
        <f t="shared" si="93"/>
        <v/>
      </c>
      <c r="AG416" s="18" t="str">
        <f>IF(OR(O416="",AD416=""),"",IFERROR(INDEX(لیست‌ها!$Q$3:$Q$53,MATCH(AD416,لیست‌ها!$P$3:$P$53,0))+IF(AE416&lt;=6,(AE416-1)*31+AF416,IF(AE416&lt;=11,186+(AE416-7)*30+AF416,336+AF416))-1,""))</f>
        <v/>
      </c>
      <c r="AH416" s="18" t="str">
        <f t="shared" si="94"/>
        <v/>
      </c>
      <c r="AI416" s="18" t="str">
        <f t="shared" si="95"/>
        <v/>
      </c>
      <c r="AJ416" s="18" t="str">
        <f t="shared" ca="1" si="96"/>
        <v/>
      </c>
    </row>
    <row r="417" spans="1:36">
      <c r="A417" s="18">
        <v>414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8" t="str">
        <f t="shared" ca="1" si="84"/>
        <v/>
      </c>
      <c r="U417" s="18">
        <f t="shared" ca="1" si="97"/>
        <v>0</v>
      </c>
      <c r="V417" s="18" t="str">
        <f t="shared" si="85"/>
        <v/>
      </c>
      <c r="W417" s="18" t="str">
        <f t="shared" si="86"/>
        <v/>
      </c>
      <c r="X417" s="18" t="str">
        <f t="shared" si="87"/>
        <v/>
      </c>
      <c r="Y417" s="19" t="str">
        <f>IF(OR(L417="",V417=""),"",IFERROR(INDEX(لیست‌ها!$Q$3:$Q$53,MATCH(V417,لیست‌ها!$P$3:$P$53,0))+IF(W417&lt;=6,(W417-1)*31+X417,IF(W417&lt;=11,186+(W417-7)*30+X417,336+X417))-1,""))</f>
        <v/>
      </c>
      <c r="Z417" s="18" t="str">
        <f t="shared" si="88"/>
        <v/>
      </c>
      <c r="AA417" s="18" t="str">
        <f t="shared" si="89"/>
        <v/>
      </c>
      <c r="AB417" s="18" t="str">
        <f t="shared" si="90"/>
        <v/>
      </c>
      <c r="AC417" s="19" t="str">
        <f>IF(OR(H417="",Z417=""),"",IFERROR(INDEX(لیست‌ها!$Q$3:$Q$53,MATCH(Z417,لیست‌ها!$P$3:$P$53,0))+IF(AA417&lt;=6,(AA417-1)*31+AB417,IF(AA417&lt;=11,186+(AA417-7)*30+AB417,336+AB417))-1,""))</f>
        <v/>
      </c>
      <c r="AD417" s="18" t="str">
        <f t="shared" si="91"/>
        <v/>
      </c>
      <c r="AE417" s="18" t="str">
        <f t="shared" si="92"/>
        <v/>
      </c>
      <c r="AF417" s="18" t="str">
        <f t="shared" si="93"/>
        <v/>
      </c>
      <c r="AG417" s="18" t="str">
        <f>IF(OR(O417="",AD417=""),"",IFERROR(INDEX(لیست‌ها!$Q$3:$Q$53,MATCH(AD417,لیست‌ها!$P$3:$P$53,0))+IF(AE417&lt;=6,(AE417-1)*31+AF417,IF(AE417&lt;=11,186+(AE417-7)*30+AF417,336+AF417))-1,""))</f>
        <v/>
      </c>
      <c r="AH417" s="18" t="str">
        <f t="shared" si="94"/>
        <v/>
      </c>
      <c r="AI417" s="18" t="str">
        <f t="shared" si="95"/>
        <v/>
      </c>
      <c r="AJ417" s="18" t="str">
        <f t="shared" ca="1" si="96"/>
        <v/>
      </c>
    </row>
    <row r="418" spans="1:36">
      <c r="A418" s="18">
        <v>415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8" t="str">
        <f t="shared" ca="1" si="84"/>
        <v/>
      </c>
      <c r="U418" s="18">
        <f t="shared" ca="1" si="97"/>
        <v>0</v>
      </c>
      <c r="V418" s="18" t="str">
        <f t="shared" si="85"/>
        <v/>
      </c>
      <c r="W418" s="18" t="str">
        <f t="shared" si="86"/>
        <v/>
      </c>
      <c r="X418" s="18" t="str">
        <f t="shared" si="87"/>
        <v/>
      </c>
      <c r="Y418" s="19" t="str">
        <f>IF(OR(L418="",V418=""),"",IFERROR(INDEX(لیست‌ها!$Q$3:$Q$53,MATCH(V418,لیست‌ها!$P$3:$P$53,0))+IF(W418&lt;=6,(W418-1)*31+X418,IF(W418&lt;=11,186+(W418-7)*30+X418,336+X418))-1,""))</f>
        <v/>
      </c>
      <c r="Z418" s="18" t="str">
        <f t="shared" si="88"/>
        <v/>
      </c>
      <c r="AA418" s="18" t="str">
        <f t="shared" si="89"/>
        <v/>
      </c>
      <c r="AB418" s="18" t="str">
        <f t="shared" si="90"/>
        <v/>
      </c>
      <c r="AC418" s="19" t="str">
        <f>IF(OR(H418="",Z418=""),"",IFERROR(INDEX(لیست‌ها!$Q$3:$Q$53,MATCH(Z418,لیست‌ها!$P$3:$P$53,0))+IF(AA418&lt;=6,(AA418-1)*31+AB418,IF(AA418&lt;=11,186+(AA418-7)*30+AB418,336+AB418))-1,""))</f>
        <v/>
      </c>
      <c r="AD418" s="18" t="str">
        <f t="shared" si="91"/>
        <v/>
      </c>
      <c r="AE418" s="18" t="str">
        <f t="shared" si="92"/>
        <v/>
      </c>
      <c r="AF418" s="18" t="str">
        <f t="shared" si="93"/>
        <v/>
      </c>
      <c r="AG418" s="18" t="str">
        <f>IF(OR(O418="",AD418=""),"",IFERROR(INDEX(لیست‌ها!$Q$3:$Q$53,MATCH(AD418,لیست‌ها!$P$3:$P$53,0))+IF(AE418&lt;=6,(AE418-1)*31+AF418,IF(AE418&lt;=11,186+(AE418-7)*30+AF418,336+AF418))-1,""))</f>
        <v/>
      </c>
      <c r="AH418" s="18" t="str">
        <f t="shared" si="94"/>
        <v/>
      </c>
      <c r="AI418" s="18" t="str">
        <f t="shared" si="95"/>
        <v/>
      </c>
      <c r="AJ418" s="18" t="str">
        <f t="shared" ca="1" si="96"/>
        <v/>
      </c>
    </row>
    <row r="419" spans="1:36">
      <c r="A419" s="18">
        <v>416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8" t="str">
        <f t="shared" ca="1" si="84"/>
        <v/>
      </c>
      <c r="U419" s="18">
        <f t="shared" ca="1" si="97"/>
        <v>0</v>
      </c>
      <c r="V419" s="18" t="str">
        <f t="shared" si="85"/>
        <v/>
      </c>
      <c r="W419" s="18" t="str">
        <f t="shared" si="86"/>
        <v/>
      </c>
      <c r="X419" s="18" t="str">
        <f t="shared" si="87"/>
        <v/>
      </c>
      <c r="Y419" s="19" t="str">
        <f>IF(OR(L419="",V419=""),"",IFERROR(INDEX(لیست‌ها!$Q$3:$Q$53,MATCH(V419,لیست‌ها!$P$3:$P$53,0))+IF(W419&lt;=6,(W419-1)*31+X419,IF(W419&lt;=11,186+(W419-7)*30+X419,336+X419))-1,""))</f>
        <v/>
      </c>
      <c r="Z419" s="18" t="str">
        <f t="shared" si="88"/>
        <v/>
      </c>
      <c r="AA419" s="18" t="str">
        <f t="shared" si="89"/>
        <v/>
      </c>
      <c r="AB419" s="18" t="str">
        <f t="shared" si="90"/>
        <v/>
      </c>
      <c r="AC419" s="19" t="str">
        <f>IF(OR(H419="",Z419=""),"",IFERROR(INDEX(لیست‌ها!$Q$3:$Q$53,MATCH(Z419,لیست‌ها!$P$3:$P$53,0))+IF(AA419&lt;=6,(AA419-1)*31+AB419,IF(AA419&lt;=11,186+(AA419-7)*30+AB419,336+AB419))-1,""))</f>
        <v/>
      </c>
      <c r="AD419" s="18" t="str">
        <f t="shared" si="91"/>
        <v/>
      </c>
      <c r="AE419" s="18" t="str">
        <f t="shared" si="92"/>
        <v/>
      </c>
      <c r="AF419" s="18" t="str">
        <f t="shared" si="93"/>
        <v/>
      </c>
      <c r="AG419" s="18" t="str">
        <f>IF(OR(O419="",AD419=""),"",IFERROR(INDEX(لیست‌ها!$Q$3:$Q$53,MATCH(AD419,لیست‌ها!$P$3:$P$53,0))+IF(AE419&lt;=6,(AE419-1)*31+AF419,IF(AE419&lt;=11,186+(AE419-7)*30+AF419,336+AF419))-1,""))</f>
        <v/>
      </c>
      <c r="AH419" s="18" t="str">
        <f t="shared" si="94"/>
        <v/>
      </c>
      <c r="AI419" s="18" t="str">
        <f t="shared" si="95"/>
        <v/>
      </c>
      <c r="AJ419" s="18" t="str">
        <f t="shared" ca="1" si="96"/>
        <v/>
      </c>
    </row>
    <row r="420" spans="1:36">
      <c r="A420" s="18">
        <v>417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8" t="str">
        <f t="shared" ca="1" si="84"/>
        <v/>
      </c>
      <c r="U420" s="18">
        <f t="shared" ca="1" si="97"/>
        <v>0</v>
      </c>
      <c r="V420" s="18" t="str">
        <f t="shared" si="85"/>
        <v/>
      </c>
      <c r="W420" s="18" t="str">
        <f t="shared" si="86"/>
        <v/>
      </c>
      <c r="X420" s="18" t="str">
        <f t="shared" si="87"/>
        <v/>
      </c>
      <c r="Y420" s="19" t="str">
        <f>IF(OR(L420="",V420=""),"",IFERROR(INDEX(لیست‌ها!$Q$3:$Q$53,MATCH(V420,لیست‌ها!$P$3:$P$53,0))+IF(W420&lt;=6,(W420-1)*31+X420,IF(W420&lt;=11,186+(W420-7)*30+X420,336+X420))-1,""))</f>
        <v/>
      </c>
      <c r="Z420" s="18" t="str">
        <f t="shared" si="88"/>
        <v/>
      </c>
      <c r="AA420" s="18" t="str">
        <f t="shared" si="89"/>
        <v/>
      </c>
      <c r="AB420" s="18" t="str">
        <f t="shared" si="90"/>
        <v/>
      </c>
      <c r="AC420" s="19" t="str">
        <f>IF(OR(H420="",Z420=""),"",IFERROR(INDEX(لیست‌ها!$Q$3:$Q$53,MATCH(Z420,لیست‌ها!$P$3:$P$53,0))+IF(AA420&lt;=6,(AA420-1)*31+AB420,IF(AA420&lt;=11,186+(AA420-7)*30+AB420,336+AB420))-1,""))</f>
        <v/>
      </c>
      <c r="AD420" s="18" t="str">
        <f t="shared" si="91"/>
        <v/>
      </c>
      <c r="AE420" s="18" t="str">
        <f t="shared" si="92"/>
        <v/>
      </c>
      <c r="AF420" s="18" t="str">
        <f t="shared" si="93"/>
        <v/>
      </c>
      <c r="AG420" s="18" t="str">
        <f>IF(OR(O420="",AD420=""),"",IFERROR(INDEX(لیست‌ها!$Q$3:$Q$53,MATCH(AD420,لیست‌ها!$P$3:$P$53,0))+IF(AE420&lt;=6,(AE420-1)*31+AF420,IF(AE420&lt;=11,186+(AE420-7)*30+AF420,336+AF420))-1,""))</f>
        <v/>
      </c>
      <c r="AH420" s="18" t="str">
        <f t="shared" si="94"/>
        <v/>
      </c>
      <c r="AI420" s="18" t="str">
        <f t="shared" si="95"/>
        <v/>
      </c>
      <c r="AJ420" s="18" t="str">
        <f t="shared" ca="1" si="96"/>
        <v/>
      </c>
    </row>
    <row r="421" spans="1:36">
      <c r="A421" s="18">
        <v>418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8" t="str">
        <f t="shared" ca="1" si="84"/>
        <v/>
      </c>
      <c r="U421" s="18">
        <f t="shared" ca="1" si="97"/>
        <v>0</v>
      </c>
      <c r="V421" s="18" t="str">
        <f t="shared" si="85"/>
        <v/>
      </c>
      <c r="W421" s="18" t="str">
        <f t="shared" si="86"/>
        <v/>
      </c>
      <c r="X421" s="18" t="str">
        <f t="shared" si="87"/>
        <v/>
      </c>
      <c r="Y421" s="19" t="str">
        <f>IF(OR(L421="",V421=""),"",IFERROR(INDEX(لیست‌ها!$Q$3:$Q$53,MATCH(V421,لیست‌ها!$P$3:$P$53,0))+IF(W421&lt;=6,(W421-1)*31+X421,IF(W421&lt;=11,186+(W421-7)*30+X421,336+X421))-1,""))</f>
        <v/>
      </c>
      <c r="Z421" s="18" t="str">
        <f t="shared" si="88"/>
        <v/>
      </c>
      <c r="AA421" s="18" t="str">
        <f t="shared" si="89"/>
        <v/>
      </c>
      <c r="AB421" s="18" t="str">
        <f t="shared" si="90"/>
        <v/>
      </c>
      <c r="AC421" s="19" t="str">
        <f>IF(OR(H421="",Z421=""),"",IFERROR(INDEX(لیست‌ها!$Q$3:$Q$53,MATCH(Z421,لیست‌ها!$P$3:$P$53,0))+IF(AA421&lt;=6,(AA421-1)*31+AB421,IF(AA421&lt;=11,186+(AA421-7)*30+AB421,336+AB421))-1,""))</f>
        <v/>
      </c>
      <c r="AD421" s="18" t="str">
        <f t="shared" si="91"/>
        <v/>
      </c>
      <c r="AE421" s="18" t="str">
        <f t="shared" si="92"/>
        <v/>
      </c>
      <c r="AF421" s="18" t="str">
        <f t="shared" si="93"/>
        <v/>
      </c>
      <c r="AG421" s="18" t="str">
        <f>IF(OR(O421="",AD421=""),"",IFERROR(INDEX(لیست‌ها!$Q$3:$Q$53,MATCH(AD421,لیست‌ها!$P$3:$P$53,0))+IF(AE421&lt;=6,(AE421-1)*31+AF421,IF(AE421&lt;=11,186+(AE421-7)*30+AF421,336+AF421))-1,""))</f>
        <v/>
      </c>
      <c r="AH421" s="18" t="str">
        <f t="shared" si="94"/>
        <v/>
      </c>
      <c r="AI421" s="18" t="str">
        <f t="shared" si="95"/>
        <v/>
      </c>
      <c r="AJ421" s="18" t="str">
        <f t="shared" ca="1" si="96"/>
        <v/>
      </c>
    </row>
    <row r="422" spans="1:36">
      <c r="A422" s="18">
        <v>419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8" t="str">
        <f t="shared" ca="1" si="84"/>
        <v/>
      </c>
      <c r="U422" s="18">
        <f t="shared" ca="1" si="97"/>
        <v>0</v>
      </c>
      <c r="V422" s="18" t="str">
        <f t="shared" si="85"/>
        <v/>
      </c>
      <c r="W422" s="18" t="str">
        <f t="shared" si="86"/>
        <v/>
      </c>
      <c r="X422" s="18" t="str">
        <f t="shared" si="87"/>
        <v/>
      </c>
      <c r="Y422" s="19" t="str">
        <f>IF(OR(L422="",V422=""),"",IFERROR(INDEX(لیست‌ها!$Q$3:$Q$53,MATCH(V422,لیست‌ها!$P$3:$P$53,0))+IF(W422&lt;=6,(W422-1)*31+X422,IF(W422&lt;=11,186+(W422-7)*30+X422,336+X422))-1,""))</f>
        <v/>
      </c>
      <c r="Z422" s="18" t="str">
        <f t="shared" si="88"/>
        <v/>
      </c>
      <c r="AA422" s="18" t="str">
        <f t="shared" si="89"/>
        <v/>
      </c>
      <c r="AB422" s="18" t="str">
        <f t="shared" si="90"/>
        <v/>
      </c>
      <c r="AC422" s="19" t="str">
        <f>IF(OR(H422="",Z422=""),"",IFERROR(INDEX(لیست‌ها!$Q$3:$Q$53,MATCH(Z422,لیست‌ها!$P$3:$P$53,0))+IF(AA422&lt;=6,(AA422-1)*31+AB422,IF(AA422&lt;=11,186+(AA422-7)*30+AB422,336+AB422))-1,""))</f>
        <v/>
      </c>
      <c r="AD422" s="18" t="str">
        <f t="shared" si="91"/>
        <v/>
      </c>
      <c r="AE422" s="18" t="str">
        <f t="shared" si="92"/>
        <v/>
      </c>
      <c r="AF422" s="18" t="str">
        <f t="shared" si="93"/>
        <v/>
      </c>
      <c r="AG422" s="18" t="str">
        <f>IF(OR(O422="",AD422=""),"",IFERROR(INDEX(لیست‌ها!$Q$3:$Q$53,MATCH(AD422,لیست‌ها!$P$3:$P$53,0))+IF(AE422&lt;=6,(AE422-1)*31+AF422,IF(AE422&lt;=11,186+(AE422-7)*30+AF422,336+AF422))-1,""))</f>
        <v/>
      </c>
      <c r="AH422" s="18" t="str">
        <f t="shared" si="94"/>
        <v/>
      </c>
      <c r="AI422" s="18" t="str">
        <f t="shared" si="95"/>
        <v/>
      </c>
      <c r="AJ422" s="18" t="str">
        <f t="shared" ca="1" si="96"/>
        <v/>
      </c>
    </row>
    <row r="423" spans="1:36">
      <c r="A423" s="18">
        <v>420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8" t="str">
        <f t="shared" ca="1" si="84"/>
        <v/>
      </c>
      <c r="U423" s="18">
        <f t="shared" ca="1" si="97"/>
        <v>0</v>
      </c>
      <c r="V423" s="18" t="str">
        <f t="shared" si="85"/>
        <v/>
      </c>
      <c r="W423" s="18" t="str">
        <f t="shared" si="86"/>
        <v/>
      </c>
      <c r="X423" s="18" t="str">
        <f t="shared" si="87"/>
        <v/>
      </c>
      <c r="Y423" s="19" t="str">
        <f>IF(OR(L423="",V423=""),"",IFERROR(INDEX(لیست‌ها!$Q$3:$Q$53,MATCH(V423,لیست‌ها!$P$3:$P$53,0))+IF(W423&lt;=6,(W423-1)*31+X423,IF(W423&lt;=11,186+(W423-7)*30+X423,336+X423))-1,""))</f>
        <v/>
      </c>
      <c r="Z423" s="18" t="str">
        <f t="shared" si="88"/>
        <v/>
      </c>
      <c r="AA423" s="18" t="str">
        <f t="shared" si="89"/>
        <v/>
      </c>
      <c r="AB423" s="18" t="str">
        <f t="shared" si="90"/>
        <v/>
      </c>
      <c r="AC423" s="19" t="str">
        <f>IF(OR(H423="",Z423=""),"",IFERROR(INDEX(لیست‌ها!$Q$3:$Q$53,MATCH(Z423,لیست‌ها!$P$3:$P$53,0))+IF(AA423&lt;=6,(AA423-1)*31+AB423,IF(AA423&lt;=11,186+(AA423-7)*30+AB423,336+AB423))-1,""))</f>
        <v/>
      </c>
      <c r="AD423" s="18" t="str">
        <f t="shared" si="91"/>
        <v/>
      </c>
      <c r="AE423" s="18" t="str">
        <f t="shared" si="92"/>
        <v/>
      </c>
      <c r="AF423" s="18" t="str">
        <f t="shared" si="93"/>
        <v/>
      </c>
      <c r="AG423" s="18" t="str">
        <f>IF(OR(O423="",AD423=""),"",IFERROR(INDEX(لیست‌ها!$Q$3:$Q$53,MATCH(AD423,لیست‌ها!$P$3:$P$53,0))+IF(AE423&lt;=6,(AE423-1)*31+AF423,IF(AE423&lt;=11,186+(AE423-7)*30+AF423,336+AF423))-1,""))</f>
        <v/>
      </c>
      <c r="AH423" s="18" t="str">
        <f t="shared" si="94"/>
        <v/>
      </c>
      <c r="AI423" s="18" t="str">
        <f t="shared" si="95"/>
        <v/>
      </c>
      <c r="AJ423" s="18" t="str">
        <f t="shared" ca="1" si="96"/>
        <v/>
      </c>
    </row>
    <row r="424" spans="1:36">
      <c r="A424" s="18">
        <v>421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8" t="str">
        <f t="shared" ca="1" si="84"/>
        <v/>
      </c>
      <c r="U424" s="18">
        <f t="shared" ca="1" si="97"/>
        <v>0</v>
      </c>
      <c r="V424" s="18" t="str">
        <f t="shared" si="85"/>
        <v/>
      </c>
      <c r="W424" s="18" t="str">
        <f t="shared" si="86"/>
        <v/>
      </c>
      <c r="X424" s="18" t="str">
        <f t="shared" si="87"/>
        <v/>
      </c>
      <c r="Y424" s="19" t="str">
        <f>IF(OR(L424="",V424=""),"",IFERROR(INDEX(لیست‌ها!$Q$3:$Q$53,MATCH(V424,لیست‌ها!$P$3:$P$53,0))+IF(W424&lt;=6,(W424-1)*31+X424,IF(W424&lt;=11,186+(W424-7)*30+X424,336+X424))-1,""))</f>
        <v/>
      </c>
      <c r="Z424" s="18" t="str">
        <f t="shared" si="88"/>
        <v/>
      </c>
      <c r="AA424" s="18" t="str">
        <f t="shared" si="89"/>
        <v/>
      </c>
      <c r="AB424" s="18" t="str">
        <f t="shared" si="90"/>
        <v/>
      </c>
      <c r="AC424" s="19" t="str">
        <f>IF(OR(H424="",Z424=""),"",IFERROR(INDEX(لیست‌ها!$Q$3:$Q$53,MATCH(Z424,لیست‌ها!$P$3:$P$53,0))+IF(AA424&lt;=6,(AA424-1)*31+AB424,IF(AA424&lt;=11,186+(AA424-7)*30+AB424,336+AB424))-1,""))</f>
        <v/>
      </c>
      <c r="AD424" s="18" t="str">
        <f t="shared" si="91"/>
        <v/>
      </c>
      <c r="AE424" s="18" t="str">
        <f t="shared" si="92"/>
        <v/>
      </c>
      <c r="AF424" s="18" t="str">
        <f t="shared" si="93"/>
        <v/>
      </c>
      <c r="AG424" s="18" t="str">
        <f>IF(OR(O424="",AD424=""),"",IFERROR(INDEX(لیست‌ها!$Q$3:$Q$53,MATCH(AD424,لیست‌ها!$P$3:$P$53,0))+IF(AE424&lt;=6,(AE424-1)*31+AF424,IF(AE424&lt;=11,186+(AE424-7)*30+AF424,336+AF424))-1,""))</f>
        <v/>
      </c>
      <c r="AH424" s="18" t="str">
        <f t="shared" si="94"/>
        <v/>
      </c>
      <c r="AI424" s="18" t="str">
        <f t="shared" si="95"/>
        <v/>
      </c>
      <c r="AJ424" s="18" t="str">
        <f t="shared" ca="1" si="96"/>
        <v/>
      </c>
    </row>
    <row r="425" spans="1:36">
      <c r="A425" s="18">
        <v>422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8" t="str">
        <f t="shared" ca="1" si="84"/>
        <v/>
      </c>
      <c r="U425" s="18">
        <f t="shared" ca="1" si="97"/>
        <v>0</v>
      </c>
      <c r="V425" s="18" t="str">
        <f t="shared" si="85"/>
        <v/>
      </c>
      <c r="W425" s="18" t="str">
        <f t="shared" si="86"/>
        <v/>
      </c>
      <c r="X425" s="18" t="str">
        <f t="shared" si="87"/>
        <v/>
      </c>
      <c r="Y425" s="19" t="str">
        <f>IF(OR(L425="",V425=""),"",IFERROR(INDEX(لیست‌ها!$Q$3:$Q$53,MATCH(V425,لیست‌ها!$P$3:$P$53,0))+IF(W425&lt;=6,(W425-1)*31+X425,IF(W425&lt;=11,186+(W425-7)*30+X425,336+X425))-1,""))</f>
        <v/>
      </c>
      <c r="Z425" s="18" t="str">
        <f t="shared" si="88"/>
        <v/>
      </c>
      <c r="AA425" s="18" t="str">
        <f t="shared" si="89"/>
        <v/>
      </c>
      <c r="AB425" s="18" t="str">
        <f t="shared" si="90"/>
        <v/>
      </c>
      <c r="AC425" s="19" t="str">
        <f>IF(OR(H425="",Z425=""),"",IFERROR(INDEX(لیست‌ها!$Q$3:$Q$53,MATCH(Z425,لیست‌ها!$P$3:$P$53,0))+IF(AA425&lt;=6,(AA425-1)*31+AB425,IF(AA425&lt;=11,186+(AA425-7)*30+AB425,336+AB425))-1,""))</f>
        <v/>
      </c>
      <c r="AD425" s="18" t="str">
        <f t="shared" si="91"/>
        <v/>
      </c>
      <c r="AE425" s="18" t="str">
        <f t="shared" si="92"/>
        <v/>
      </c>
      <c r="AF425" s="18" t="str">
        <f t="shared" si="93"/>
        <v/>
      </c>
      <c r="AG425" s="18" t="str">
        <f>IF(OR(O425="",AD425=""),"",IFERROR(INDEX(لیست‌ها!$Q$3:$Q$53,MATCH(AD425,لیست‌ها!$P$3:$P$53,0))+IF(AE425&lt;=6,(AE425-1)*31+AF425,IF(AE425&lt;=11,186+(AE425-7)*30+AF425,336+AF425))-1,""))</f>
        <v/>
      </c>
      <c r="AH425" s="18" t="str">
        <f t="shared" si="94"/>
        <v/>
      </c>
      <c r="AI425" s="18" t="str">
        <f t="shared" si="95"/>
        <v/>
      </c>
      <c r="AJ425" s="18" t="str">
        <f t="shared" ca="1" si="96"/>
        <v/>
      </c>
    </row>
    <row r="426" spans="1:36">
      <c r="A426" s="18">
        <v>423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8" t="str">
        <f t="shared" ca="1" si="84"/>
        <v/>
      </c>
      <c r="U426" s="18">
        <f t="shared" ca="1" si="97"/>
        <v>0</v>
      </c>
      <c r="V426" s="18" t="str">
        <f t="shared" si="85"/>
        <v/>
      </c>
      <c r="W426" s="18" t="str">
        <f t="shared" si="86"/>
        <v/>
      </c>
      <c r="X426" s="18" t="str">
        <f t="shared" si="87"/>
        <v/>
      </c>
      <c r="Y426" s="19" t="str">
        <f>IF(OR(L426="",V426=""),"",IFERROR(INDEX(لیست‌ها!$Q$3:$Q$53,MATCH(V426,لیست‌ها!$P$3:$P$53,0))+IF(W426&lt;=6,(W426-1)*31+X426,IF(W426&lt;=11,186+(W426-7)*30+X426,336+X426))-1,""))</f>
        <v/>
      </c>
      <c r="Z426" s="18" t="str">
        <f t="shared" si="88"/>
        <v/>
      </c>
      <c r="AA426" s="18" t="str">
        <f t="shared" si="89"/>
        <v/>
      </c>
      <c r="AB426" s="18" t="str">
        <f t="shared" si="90"/>
        <v/>
      </c>
      <c r="AC426" s="19" t="str">
        <f>IF(OR(H426="",Z426=""),"",IFERROR(INDEX(لیست‌ها!$Q$3:$Q$53,MATCH(Z426,لیست‌ها!$P$3:$P$53,0))+IF(AA426&lt;=6,(AA426-1)*31+AB426,IF(AA426&lt;=11,186+(AA426-7)*30+AB426,336+AB426))-1,""))</f>
        <v/>
      </c>
      <c r="AD426" s="18" t="str">
        <f t="shared" si="91"/>
        <v/>
      </c>
      <c r="AE426" s="18" t="str">
        <f t="shared" si="92"/>
        <v/>
      </c>
      <c r="AF426" s="18" t="str">
        <f t="shared" si="93"/>
        <v/>
      </c>
      <c r="AG426" s="18" t="str">
        <f>IF(OR(O426="",AD426=""),"",IFERROR(INDEX(لیست‌ها!$Q$3:$Q$53,MATCH(AD426,لیست‌ها!$P$3:$P$53,0))+IF(AE426&lt;=6,(AE426-1)*31+AF426,IF(AE426&lt;=11,186+(AE426-7)*30+AF426,336+AF426))-1,""))</f>
        <v/>
      </c>
      <c r="AH426" s="18" t="str">
        <f t="shared" si="94"/>
        <v/>
      </c>
      <c r="AI426" s="18" t="str">
        <f t="shared" si="95"/>
        <v/>
      </c>
      <c r="AJ426" s="18" t="str">
        <f t="shared" ca="1" si="96"/>
        <v/>
      </c>
    </row>
    <row r="427" spans="1:36">
      <c r="A427" s="18">
        <v>424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8" t="str">
        <f t="shared" ca="1" si="84"/>
        <v/>
      </c>
      <c r="U427" s="18">
        <f t="shared" ca="1" si="97"/>
        <v>0</v>
      </c>
      <c r="V427" s="18" t="str">
        <f t="shared" si="85"/>
        <v/>
      </c>
      <c r="W427" s="18" t="str">
        <f t="shared" si="86"/>
        <v/>
      </c>
      <c r="X427" s="18" t="str">
        <f t="shared" si="87"/>
        <v/>
      </c>
      <c r="Y427" s="19" t="str">
        <f>IF(OR(L427="",V427=""),"",IFERROR(INDEX(لیست‌ها!$Q$3:$Q$53,MATCH(V427,لیست‌ها!$P$3:$P$53,0))+IF(W427&lt;=6,(W427-1)*31+X427,IF(W427&lt;=11,186+(W427-7)*30+X427,336+X427))-1,""))</f>
        <v/>
      </c>
      <c r="Z427" s="18" t="str">
        <f t="shared" si="88"/>
        <v/>
      </c>
      <c r="AA427" s="18" t="str">
        <f t="shared" si="89"/>
        <v/>
      </c>
      <c r="AB427" s="18" t="str">
        <f t="shared" si="90"/>
        <v/>
      </c>
      <c r="AC427" s="19" t="str">
        <f>IF(OR(H427="",Z427=""),"",IFERROR(INDEX(لیست‌ها!$Q$3:$Q$53,MATCH(Z427,لیست‌ها!$P$3:$P$53,0))+IF(AA427&lt;=6,(AA427-1)*31+AB427,IF(AA427&lt;=11,186+(AA427-7)*30+AB427,336+AB427))-1,""))</f>
        <v/>
      </c>
      <c r="AD427" s="18" t="str">
        <f t="shared" si="91"/>
        <v/>
      </c>
      <c r="AE427" s="18" t="str">
        <f t="shared" si="92"/>
        <v/>
      </c>
      <c r="AF427" s="18" t="str">
        <f t="shared" si="93"/>
        <v/>
      </c>
      <c r="AG427" s="18" t="str">
        <f>IF(OR(O427="",AD427=""),"",IFERROR(INDEX(لیست‌ها!$Q$3:$Q$53,MATCH(AD427,لیست‌ها!$P$3:$P$53,0))+IF(AE427&lt;=6,(AE427-1)*31+AF427,IF(AE427&lt;=11,186+(AE427-7)*30+AF427,336+AF427))-1,""))</f>
        <v/>
      </c>
      <c r="AH427" s="18" t="str">
        <f t="shared" si="94"/>
        <v/>
      </c>
      <c r="AI427" s="18" t="str">
        <f t="shared" si="95"/>
        <v/>
      </c>
      <c r="AJ427" s="18" t="str">
        <f t="shared" ca="1" si="96"/>
        <v/>
      </c>
    </row>
    <row r="428" spans="1:36">
      <c r="A428" s="18">
        <v>425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8" t="str">
        <f t="shared" ca="1" si="84"/>
        <v/>
      </c>
      <c r="U428" s="18">
        <f t="shared" ca="1" si="97"/>
        <v>0</v>
      </c>
      <c r="V428" s="18" t="str">
        <f t="shared" si="85"/>
        <v/>
      </c>
      <c r="W428" s="18" t="str">
        <f t="shared" si="86"/>
        <v/>
      </c>
      <c r="X428" s="18" t="str">
        <f t="shared" si="87"/>
        <v/>
      </c>
      <c r="Y428" s="19" t="str">
        <f>IF(OR(L428="",V428=""),"",IFERROR(INDEX(لیست‌ها!$Q$3:$Q$53,MATCH(V428,لیست‌ها!$P$3:$P$53,0))+IF(W428&lt;=6,(W428-1)*31+X428,IF(W428&lt;=11,186+(W428-7)*30+X428,336+X428))-1,""))</f>
        <v/>
      </c>
      <c r="Z428" s="18" t="str">
        <f t="shared" si="88"/>
        <v/>
      </c>
      <c r="AA428" s="18" t="str">
        <f t="shared" si="89"/>
        <v/>
      </c>
      <c r="AB428" s="18" t="str">
        <f t="shared" si="90"/>
        <v/>
      </c>
      <c r="AC428" s="19" t="str">
        <f>IF(OR(H428="",Z428=""),"",IFERROR(INDEX(لیست‌ها!$Q$3:$Q$53,MATCH(Z428,لیست‌ها!$P$3:$P$53,0))+IF(AA428&lt;=6,(AA428-1)*31+AB428,IF(AA428&lt;=11,186+(AA428-7)*30+AB428,336+AB428))-1,""))</f>
        <v/>
      </c>
      <c r="AD428" s="18" t="str">
        <f t="shared" si="91"/>
        <v/>
      </c>
      <c r="AE428" s="18" t="str">
        <f t="shared" si="92"/>
        <v/>
      </c>
      <c r="AF428" s="18" t="str">
        <f t="shared" si="93"/>
        <v/>
      </c>
      <c r="AG428" s="18" t="str">
        <f>IF(OR(O428="",AD428=""),"",IFERROR(INDEX(لیست‌ها!$Q$3:$Q$53,MATCH(AD428,لیست‌ها!$P$3:$P$53,0))+IF(AE428&lt;=6,(AE428-1)*31+AF428,IF(AE428&lt;=11,186+(AE428-7)*30+AF428,336+AF428))-1,""))</f>
        <v/>
      </c>
      <c r="AH428" s="18" t="str">
        <f t="shared" si="94"/>
        <v/>
      </c>
      <c r="AI428" s="18" t="str">
        <f t="shared" si="95"/>
        <v/>
      </c>
      <c r="AJ428" s="18" t="str">
        <f t="shared" ca="1" si="96"/>
        <v/>
      </c>
    </row>
    <row r="429" spans="1:36">
      <c r="A429" s="18">
        <v>426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8" t="str">
        <f t="shared" ca="1" si="84"/>
        <v/>
      </c>
      <c r="U429" s="18">
        <f t="shared" ca="1" si="97"/>
        <v>0</v>
      </c>
      <c r="V429" s="18" t="str">
        <f t="shared" si="85"/>
        <v/>
      </c>
      <c r="W429" s="18" t="str">
        <f t="shared" si="86"/>
        <v/>
      </c>
      <c r="X429" s="18" t="str">
        <f t="shared" si="87"/>
        <v/>
      </c>
      <c r="Y429" s="19" t="str">
        <f>IF(OR(L429="",V429=""),"",IFERROR(INDEX(لیست‌ها!$Q$3:$Q$53,MATCH(V429,لیست‌ها!$P$3:$P$53,0))+IF(W429&lt;=6,(W429-1)*31+X429,IF(W429&lt;=11,186+(W429-7)*30+X429,336+X429))-1,""))</f>
        <v/>
      </c>
      <c r="Z429" s="18" t="str">
        <f t="shared" si="88"/>
        <v/>
      </c>
      <c r="AA429" s="18" t="str">
        <f t="shared" si="89"/>
        <v/>
      </c>
      <c r="AB429" s="18" t="str">
        <f t="shared" si="90"/>
        <v/>
      </c>
      <c r="AC429" s="19" t="str">
        <f>IF(OR(H429="",Z429=""),"",IFERROR(INDEX(لیست‌ها!$Q$3:$Q$53,MATCH(Z429,لیست‌ها!$P$3:$P$53,0))+IF(AA429&lt;=6,(AA429-1)*31+AB429,IF(AA429&lt;=11,186+(AA429-7)*30+AB429,336+AB429))-1,""))</f>
        <v/>
      </c>
      <c r="AD429" s="18" t="str">
        <f t="shared" si="91"/>
        <v/>
      </c>
      <c r="AE429" s="18" t="str">
        <f t="shared" si="92"/>
        <v/>
      </c>
      <c r="AF429" s="18" t="str">
        <f t="shared" si="93"/>
        <v/>
      </c>
      <c r="AG429" s="18" t="str">
        <f>IF(OR(O429="",AD429=""),"",IFERROR(INDEX(لیست‌ها!$Q$3:$Q$53,MATCH(AD429,لیست‌ها!$P$3:$P$53,0))+IF(AE429&lt;=6,(AE429-1)*31+AF429,IF(AE429&lt;=11,186+(AE429-7)*30+AF429,336+AF429))-1,""))</f>
        <v/>
      </c>
      <c r="AH429" s="18" t="str">
        <f t="shared" si="94"/>
        <v/>
      </c>
      <c r="AI429" s="18" t="str">
        <f t="shared" si="95"/>
        <v/>
      </c>
      <c r="AJ429" s="18" t="str">
        <f t="shared" ca="1" si="96"/>
        <v/>
      </c>
    </row>
    <row r="430" spans="1:36">
      <c r="A430" s="18">
        <v>427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8" t="str">
        <f t="shared" ca="1" si="84"/>
        <v/>
      </c>
      <c r="U430" s="18">
        <f t="shared" ca="1" si="97"/>
        <v>0</v>
      </c>
      <c r="V430" s="18" t="str">
        <f t="shared" si="85"/>
        <v/>
      </c>
      <c r="W430" s="18" t="str">
        <f t="shared" si="86"/>
        <v/>
      </c>
      <c r="X430" s="18" t="str">
        <f t="shared" si="87"/>
        <v/>
      </c>
      <c r="Y430" s="19" t="str">
        <f>IF(OR(L430="",V430=""),"",IFERROR(INDEX(لیست‌ها!$Q$3:$Q$53,MATCH(V430,لیست‌ها!$P$3:$P$53,0))+IF(W430&lt;=6,(W430-1)*31+X430,IF(W430&lt;=11,186+(W430-7)*30+X430,336+X430))-1,""))</f>
        <v/>
      </c>
      <c r="Z430" s="18" t="str">
        <f t="shared" si="88"/>
        <v/>
      </c>
      <c r="AA430" s="18" t="str">
        <f t="shared" si="89"/>
        <v/>
      </c>
      <c r="AB430" s="18" t="str">
        <f t="shared" si="90"/>
        <v/>
      </c>
      <c r="AC430" s="19" t="str">
        <f>IF(OR(H430="",Z430=""),"",IFERROR(INDEX(لیست‌ها!$Q$3:$Q$53,MATCH(Z430,لیست‌ها!$P$3:$P$53,0))+IF(AA430&lt;=6,(AA430-1)*31+AB430,IF(AA430&lt;=11,186+(AA430-7)*30+AB430,336+AB430))-1,""))</f>
        <v/>
      </c>
      <c r="AD430" s="18" t="str">
        <f t="shared" si="91"/>
        <v/>
      </c>
      <c r="AE430" s="18" t="str">
        <f t="shared" si="92"/>
        <v/>
      </c>
      <c r="AF430" s="18" t="str">
        <f t="shared" si="93"/>
        <v/>
      </c>
      <c r="AG430" s="18" t="str">
        <f>IF(OR(O430="",AD430=""),"",IFERROR(INDEX(لیست‌ها!$Q$3:$Q$53,MATCH(AD430,لیست‌ها!$P$3:$P$53,0))+IF(AE430&lt;=6,(AE430-1)*31+AF430,IF(AE430&lt;=11,186+(AE430-7)*30+AF430,336+AF430))-1,""))</f>
        <v/>
      </c>
      <c r="AH430" s="18" t="str">
        <f t="shared" si="94"/>
        <v/>
      </c>
      <c r="AI430" s="18" t="str">
        <f t="shared" si="95"/>
        <v/>
      </c>
      <c r="AJ430" s="18" t="str">
        <f t="shared" ca="1" si="96"/>
        <v/>
      </c>
    </row>
    <row r="431" spans="1:36">
      <c r="A431" s="18">
        <v>428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8" t="str">
        <f t="shared" ca="1" si="84"/>
        <v/>
      </c>
      <c r="U431" s="18">
        <f t="shared" ca="1" si="97"/>
        <v>0</v>
      </c>
      <c r="V431" s="18" t="str">
        <f t="shared" si="85"/>
        <v/>
      </c>
      <c r="W431" s="18" t="str">
        <f t="shared" si="86"/>
        <v/>
      </c>
      <c r="X431" s="18" t="str">
        <f t="shared" si="87"/>
        <v/>
      </c>
      <c r="Y431" s="19" t="str">
        <f>IF(OR(L431="",V431=""),"",IFERROR(INDEX(لیست‌ها!$Q$3:$Q$53,MATCH(V431,لیست‌ها!$P$3:$P$53,0))+IF(W431&lt;=6,(W431-1)*31+X431,IF(W431&lt;=11,186+(W431-7)*30+X431,336+X431))-1,""))</f>
        <v/>
      </c>
      <c r="Z431" s="18" t="str">
        <f t="shared" si="88"/>
        <v/>
      </c>
      <c r="AA431" s="18" t="str">
        <f t="shared" si="89"/>
        <v/>
      </c>
      <c r="AB431" s="18" t="str">
        <f t="shared" si="90"/>
        <v/>
      </c>
      <c r="AC431" s="19" t="str">
        <f>IF(OR(H431="",Z431=""),"",IFERROR(INDEX(لیست‌ها!$Q$3:$Q$53,MATCH(Z431,لیست‌ها!$P$3:$P$53,0))+IF(AA431&lt;=6,(AA431-1)*31+AB431,IF(AA431&lt;=11,186+(AA431-7)*30+AB431,336+AB431))-1,""))</f>
        <v/>
      </c>
      <c r="AD431" s="18" t="str">
        <f t="shared" si="91"/>
        <v/>
      </c>
      <c r="AE431" s="18" t="str">
        <f t="shared" si="92"/>
        <v/>
      </c>
      <c r="AF431" s="18" t="str">
        <f t="shared" si="93"/>
        <v/>
      </c>
      <c r="AG431" s="18" t="str">
        <f>IF(OR(O431="",AD431=""),"",IFERROR(INDEX(لیست‌ها!$Q$3:$Q$53,MATCH(AD431,لیست‌ها!$P$3:$P$53,0))+IF(AE431&lt;=6,(AE431-1)*31+AF431,IF(AE431&lt;=11,186+(AE431-7)*30+AF431,336+AF431))-1,""))</f>
        <v/>
      </c>
      <c r="AH431" s="18" t="str">
        <f t="shared" si="94"/>
        <v/>
      </c>
      <c r="AI431" s="18" t="str">
        <f t="shared" si="95"/>
        <v/>
      </c>
      <c r="AJ431" s="18" t="str">
        <f t="shared" ca="1" si="96"/>
        <v/>
      </c>
    </row>
    <row r="432" spans="1:36">
      <c r="A432" s="18">
        <v>429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8" t="str">
        <f t="shared" ca="1" si="84"/>
        <v/>
      </c>
      <c r="U432" s="18">
        <f t="shared" ca="1" si="97"/>
        <v>0</v>
      </c>
      <c r="V432" s="18" t="str">
        <f t="shared" si="85"/>
        <v/>
      </c>
      <c r="W432" s="18" t="str">
        <f t="shared" si="86"/>
        <v/>
      </c>
      <c r="X432" s="18" t="str">
        <f t="shared" si="87"/>
        <v/>
      </c>
      <c r="Y432" s="19" t="str">
        <f>IF(OR(L432="",V432=""),"",IFERROR(INDEX(لیست‌ها!$Q$3:$Q$53,MATCH(V432,لیست‌ها!$P$3:$P$53,0))+IF(W432&lt;=6,(W432-1)*31+X432,IF(W432&lt;=11,186+(W432-7)*30+X432,336+X432))-1,""))</f>
        <v/>
      </c>
      <c r="Z432" s="18" t="str">
        <f t="shared" si="88"/>
        <v/>
      </c>
      <c r="AA432" s="18" t="str">
        <f t="shared" si="89"/>
        <v/>
      </c>
      <c r="AB432" s="18" t="str">
        <f t="shared" si="90"/>
        <v/>
      </c>
      <c r="AC432" s="19" t="str">
        <f>IF(OR(H432="",Z432=""),"",IFERROR(INDEX(لیست‌ها!$Q$3:$Q$53,MATCH(Z432,لیست‌ها!$P$3:$P$53,0))+IF(AA432&lt;=6,(AA432-1)*31+AB432,IF(AA432&lt;=11,186+(AA432-7)*30+AB432,336+AB432))-1,""))</f>
        <v/>
      </c>
      <c r="AD432" s="18" t="str">
        <f t="shared" si="91"/>
        <v/>
      </c>
      <c r="AE432" s="18" t="str">
        <f t="shared" si="92"/>
        <v/>
      </c>
      <c r="AF432" s="18" t="str">
        <f t="shared" si="93"/>
        <v/>
      </c>
      <c r="AG432" s="18" t="str">
        <f>IF(OR(O432="",AD432=""),"",IFERROR(INDEX(لیست‌ها!$Q$3:$Q$53,MATCH(AD432,لیست‌ها!$P$3:$P$53,0))+IF(AE432&lt;=6,(AE432-1)*31+AF432,IF(AE432&lt;=11,186+(AE432-7)*30+AF432,336+AF432))-1,""))</f>
        <v/>
      </c>
      <c r="AH432" s="18" t="str">
        <f t="shared" si="94"/>
        <v/>
      </c>
      <c r="AI432" s="18" t="str">
        <f t="shared" si="95"/>
        <v/>
      </c>
      <c r="AJ432" s="18" t="str">
        <f t="shared" ca="1" si="96"/>
        <v/>
      </c>
    </row>
    <row r="433" spans="1:36">
      <c r="A433" s="18">
        <v>430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8" t="str">
        <f t="shared" ca="1" si="84"/>
        <v/>
      </c>
      <c r="U433" s="18">
        <f t="shared" ca="1" si="97"/>
        <v>0</v>
      </c>
      <c r="V433" s="18" t="str">
        <f t="shared" si="85"/>
        <v/>
      </c>
      <c r="W433" s="18" t="str">
        <f t="shared" si="86"/>
        <v/>
      </c>
      <c r="X433" s="18" t="str">
        <f t="shared" si="87"/>
        <v/>
      </c>
      <c r="Y433" s="19" t="str">
        <f>IF(OR(L433="",V433=""),"",IFERROR(INDEX(لیست‌ها!$Q$3:$Q$53,MATCH(V433,لیست‌ها!$P$3:$P$53,0))+IF(W433&lt;=6,(W433-1)*31+X433,IF(W433&lt;=11,186+(W433-7)*30+X433,336+X433))-1,""))</f>
        <v/>
      </c>
      <c r="Z433" s="18" t="str">
        <f t="shared" si="88"/>
        <v/>
      </c>
      <c r="AA433" s="18" t="str">
        <f t="shared" si="89"/>
        <v/>
      </c>
      <c r="AB433" s="18" t="str">
        <f t="shared" si="90"/>
        <v/>
      </c>
      <c r="AC433" s="19" t="str">
        <f>IF(OR(H433="",Z433=""),"",IFERROR(INDEX(لیست‌ها!$Q$3:$Q$53,MATCH(Z433,لیست‌ها!$P$3:$P$53,0))+IF(AA433&lt;=6,(AA433-1)*31+AB433,IF(AA433&lt;=11,186+(AA433-7)*30+AB433,336+AB433))-1,""))</f>
        <v/>
      </c>
      <c r="AD433" s="18" t="str">
        <f t="shared" si="91"/>
        <v/>
      </c>
      <c r="AE433" s="18" t="str">
        <f t="shared" si="92"/>
        <v/>
      </c>
      <c r="AF433" s="18" t="str">
        <f t="shared" si="93"/>
        <v/>
      </c>
      <c r="AG433" s="18" t="str">
        <f>IF(OR(O433="",AD433=""),"",IFERROR(INDEX(لیست‌ها!$Q$3:$Q$53,MATCH(AD433,لیست‌ها!$P$3:$P$53,0))+IF(AE433&lt;=6,(AE433-1)*31+AF433,IF(AE433&lt;=11,186+(AE433-7)*30+AF433,336+AF433))-1,""))</f>
        <v/>
      </c>
      <c r="AH433" s="18" t="str">
        <f t="shared" si="94"/>
        <v/>
      </c>
      <c r="AI433" s="18" t="str">
        <f t="shared" si="95"/>
        <v/>
      </c>
      <c r="AJ433" s="18" t="str">
        <f t="shared" ca="1" si="96"/>
        <v/>
      </c>
    </row>
    <row r="434" spans="1:36">
      <c r="A434" s="18">
        <v>431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8" t="str">
        <f t="shared" ca="1" si="84"/>
        <v/>
      </c>
      <c r="U434" s="18">
        <f t="shared" ca="1" si="97"/>
        <v>0</v>
      </c>
      <c r="V434" s="18" t="str">
        <f t="shared" si="85"/>
        <v/>
      </c>
      <c r="W434" s="18" t="str">
        <f t="shared" si="86"/>
        <v/>
      </c>
      <c r="X434" s="18" t="str">
        <f t="shared" si="87"/>
        <v/>
      </c>
      <c r="Y434" s="19" t="str">
        <f>IF(OR(L434="",V434=""),"",IFERROR(INDEX(لیست‌ها!$Q$3:$Q$53,MATCH(V434,لیست‌ها!$P$3:$P$53,0))+IF(W434&lt;=6,(W434-1)*31+X434,IF(W434&lt;=11,186+(W434-7)*30+X434,336+X434))-1,""))</f>
        <v/>
      </c>
      <c r="Z434" s="18" t="str">
        <f t="shared" si="88"/>
        <v/>
      </c>
      <c r="AA434" s="18" t="str">
        <f t="shared" si="89"/>
        <v/>
      </c>
      <c r="AB434" s="18" t="str">
        <f t="shared" si="90"/>
        <v/>
      </c>
      <c r="AC434" s="19" t="str">
        <f>IF(OR(H434="",Z434=""),"",IFERROR(INDEX(لیست‌ها!$Q$3:$Q$53,MATCH(Z434,لیست‌ها!$P$3:$P$53,0))+IF(AA434&lt;=6,(AA434-1)*31+AB434,IF(AA434&lt;=11,186+(AA434-7)*30+AB434,336+AB434))-1,""))</f>
        <v/>
      </c>
      <c r="AD434" s="18" t="str">
        <f t="shared" si="91"/>
        <v/>
      </c>
      <c r="AE434" s="18" t="str">
        <f t="shared" si="92"/>
        <v/>
      </c>
      <c r="AF434" s="18" t="str">
        <f t="shared" si="93"/>
        <v/>
      </c>
      <c r="AG434" s="18" t="str">
        <f>IF(OR(O434="",AD434=""),"",IFERROR(INDEX(لیست‌ها!$Q$3:$Q$53,MATCH(AD434,لیست‌ها!$P$3:$P$53,0))+IF(AE434&lt;=6,(AE434-1)*31+AF434,IF(AE434&lt;=11,186+(AE434-7)*30+AF434,336+AF434))-1,""))</f>
        <v/>
      </c>
      <c r="AH434" s="18" t="str">
        <f t="shared" si="94"/>
        <v/>
      </c>
      <c r="AI434" s="18" t="str">
        <f t="shared" si="95"/>
        <v/>
      </c>
      <c r="AJ434" s="18" t="str">
        <f t="shared" ca="1" si="96"/>
        <v/>
      </c>
    </row>
    <row r="435" spans="1:36">
      <c r="A435" s="18">
        <v>432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8" t="str">
        <f t="shared" ca="1" si="84"/>
        <v/>
      </c>
      <c r="U435" s="18">
        <f t="shared" ca="1" si="97"/>
        <v>0</v>
      </c>
      <c r="V435" s="18" t="str">
        <f t="shared" si="85"/>
        <v/>
      </c>
      <c r="W435" s="18" t="str">
        <f t="shared" si="86"/>
        <v/>
      </c>
      <c r="X435" s="18" t="str">
        <f t="shared" si="87"/>
        <v/>
      </c>
      <c r="Y435" s="19" t="str">
        <f>IF(OR(L435="",V435=""),"",IFERROR(INDEX(لیست‌ها!$Q$3:$Q$53,MATCH(V435,لیست‌ها!$P$3:$P$53,0))+IF(W435&lt;=6,(W435-1)*31+X435,IF(W435&lt;=11,186+(W435-7)*30+X435,336+X435))-1,""))</f>
        <v/>
      </c>
      <c r="Z435" s="18" t="str">
        <f t="shared" si="88"/>
        <v/>
      </c>
      <c r="AA435" s="18" t="str">
        <f t="shared" si="89"/>
        <v/>
      </c>
      <c r="AB435" s="18" t="str">
        <f t="shared" si="90"/>
        <v/>
      </c>
      <c r="AC435" s="19" t="str">
        <f>IF(OR(H435="",Z435=""),"",IFERROR(INDEX(لیست‌ها!$Q$3:$Q$53,MATCH(Z435,لیست‌ها!$P$3:$P$53,0))+IF(AA435&lt;=6,(AA435-1)*31+AB435,IF(AA435&lt;=11,186+(AA435-7)*30+AB435,336+AB435))-1,""))</f>
        <v/>
      </c>
      <c r="AD435" s="18" t="str">
        <f t="shared" si="91"/>
        <v/>
      </c>
      <c r="AE435" s="18" t="str">
        <f t="shared" si="92"/>
        <v/>
      </c>
      <c r="AF435" s="18" t="str">
        <f t="shared" si="93"/>
        <v/>
      </c>
      <c r="AG435" s="18" t="str">
        <f>IF(OR(O435="",AD435=""),"",IFERROR(INDEX(لیست‌ها!$Q$3:$Q$53,MATCH(AD435,لیست‌ها!$P$3:$P$53,0))+IF(AE435&lt;=6,(AE435-1)*31+AF435,IF(AE435&lt;=11,186+(AE435-7)*30+AF435,336+AF435))-1,""))</f>
        <v/>
      </c>
      <c r="AH435" s="18" t="str">
        <f t="shared" si="94"/>
        <v/>
      </c>
      <c r="AI435" s="18" t="str">
        <f t="shared" si="95"/>
        <v/>
      </c>
      <c r="AJ435" s="18" t="str">
        <f t="shared" ca="1" si="96"/>
        <v/>
      </c>
    </row>
    <row r="436" spans="1:36">
      <c r="A436" s="18">
        <v>433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8" t="str">
        <f t="shared" ca="1" si="84"/>
        <v/>
      </c>
      <c r="U436" s="18">
        <f t="shared" ca="1" si="97"/>
        <v>0</v>
      </c>
      <c r="V436" s="18" t="str">
        <f t="shared" si="85"/>
        <v/>
      </c>
      <c r="W436" s="18" t="str">
        <f t="shared" si="86"/>
        <v/>
      </c>
      <c r="X436" s="18" t="str">
        <f t="shared" si="87"/>
        <v/>
      </c>
      <c r="Y436" s="19" t="str">
        <f>IF(OR(L436="",V436=""),"",IFERROR(INDEX(لیست‌ها!$Q$3:$Q$53,MATCH(V436,لیست‌ها!$P$3:$P$53,0))+IF(W436&lt;=6,(W436-1)*31+X436,IF(W436&lt;=11,186+(W436-7)*30+X436,336+X436))-1,""))</f>
        <v/>
      </c>
      <c r="Z436" s="18" t="str">
        <f t="shared" si="88"/>
        <v/>
      </c>
      <c r="AA436" s="18" t="str">
        <f t="shared" si="89"/>
        <v/>
      </c>
      <c r="AB436" s="18" t="str">
        <f t="shared" si="90"/>
        <v/>
      </c>
      <c r="AC436" s="19" t="str">
        <f>IF(OR(H436="",Z436=""),"",IFERROR(INDEX(لیست‌ها!$Q$3:$Q$53,MATCH(Z436,لیست‌ها!$P$3:$P$53,0))+IF(AA436&lt;=6,(AA436-1)*31+AB436,IF(AA436&lt;=11,186+(AA436-7)*30+AB436,336+AB436))-1,""))</f>
        <v/>
      </c>
      <c r="AD436" s="18" t="str">
        <f t="shared" si="91"/>
        <v/>
      </c>
      <c r="AE436" s="18" t="str">
        <f t="shared" si="92"/>
        <v/>
      </c>
      <c r="AF436" s="18" t="str">
        <f t="shared" si="93"/>
        <v/>
      </c>
      <c r="AG436" s="18" t="str">
        <f>IF(OR(O436="",AD436=""),"",IFERROR(INDEX(لیست‌ها!$Q$3:$Q$53,MATCH(AD436,لیست‌ها!$P$3:$P$53,0))+IF(AE436&lt;=6,(AE436-1)*31+AF436,IF(AE436&lt;=11,186+(AE436-7)*30+AF436,336+AF436))-1,""))</f>
        <v/>
      </c>
      <c r="AH436" s="18" t="str">
        <f t="shared" si="94"/>
        <v/>
      </c>
      <c r="AI436" s="18" t="str">
        <f t="shared" si="95"/>
        <v/>
      </c>
      <c r="AJ436" s="18" t="str">
        <f t="shared" ca="1" si="96"/>
        <v/>
      </c>
    </row>
    <row r="437" spans="1:36">
      <c r="A437" s="18">
        <v>434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8" t="str">
        <f t="shared" ca="1" si="84"/>
        <v/>
      </c>
      <c r="U437" s="18">
        <f t="shared" ca="1" si="97"/>
        <v>0</v>
      </c>
      <c r="V437" s="18" t="str">
        <f t="shared" si="85"/>
        <v/>
      </c>
      <c r="W437" s="18" t="str">
        <f t="shared" si="86"/>
        <v/>
      </c>
      <c r="X437" s="18" t="str">
        <f t="shared" si="87"/>
        <v/>
      </c>
      <c r="Y437" s="19" t="str">
        <f>IF(OR(L437="",V437=""),"",IFERROR(INDEX(لیست‌ها!$Q$3:$Q$53,MATCH(V437,لیست‌ها!$P$3:$P$53,0))+IF(W437&lt;=6,(W437-1)*31+X437,IF(W437&lt;=11,186+(W437-7)*30+X437,336+X437))-1,""))</f>
        <v/>
      </c>
      <c r="Z437" s="18" t="str">
        <f t="shared" si="88"/>
        <v/>
      </c>
      <c r="AA437" s="18" t="str">
        <f t="shared" si="89"/>
        <v/>
      </c>
      <c r="AB437" s="18" t="str">
        <f t="shared" si="90"/>
        <v/>
      </c>
      <c r="AC437" s="19" t="str">
        <f>IF(OR(H437="",Z437=""),"",IFERROR(INDEX(لیست‌ها!$Q$3:$Q$53,MATCH(Z437,لیست‌ها!$P$3:$P$53,0))+IF(AA437&lt;=6,(AA437-1)*31+AB437,IF(AA437&lt;=11,186+(AA437-7)*30+AB437,336+AB437))-1,""))</f>
        <v/>
      </c>
      <c r="AD437" s="18" t="str">
        <f t="shared" si="91"/>
        <v/>
      </c>
      <c r="AE437" s="18" t="str">
        <f t="shared" si="92"/>
        <v/>
      </c>
      <c r="AF437" s="18" t="str">
        <f t="shared" si="93"/>
        <v/>
      </c>
      <c r="AG437" s="18" t="str">
        <f>IF(OR(O437="",AD437=""),"",IFERROR(INDEX(لیست‌ها!$Q$3:$Q$53,MATCH(AD437,لیست‌ها!$P$3:$P$53,0))+IF(AE437&lt;=6,(AE437-1)*31+AF437,IF(AE437&lt;=11,186+(AE437-7)*30+AF437,336+AF437))-1,""))</f>
        <v/>
      </c>
      <c r="AH437" s="18" t="str">
        <f t="shared" si="94"/>
        <v/>
      </c>
      <c r="AI437" s="18" t="str">
        <f t="shared" si="95"/>
        <v/>
      </c>
      <c r="AJ437" s="18" t="str">
        <f t="shared" ca="1" si="96"/>
        <v/>
      </c>
    </row>
    <row r="438" spans="1:36">
      <c r="A438" s="18">
        <v>435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8" t="str">
        <f t="shared" ca="1" si="84"/>
        <v/>
      </c>
      <c r="U438" s="18">
        <f t="shared" ca="1" si="97"/>
        <v>0</v>
      </c>
      <c r="V438" s="18" t="str">
        <f t="shared" si="85"/>
        <v/>
      </c>
      <c r="W438" s="18" t="str">
        <f t="shared" si="86"/>
        <v/>
      </c>
      <c r="X438" s="18" t="str">
        <f t="shared" si="87"/>
        <v/>
      </c>
      <c r="Y438" s="19" t="str">
        <f>IF(OR(L438="",V438=""),"",IFERROR(INDEX(لیست‌ها!$Q$3:$Q$53,MATCH(V438,لیست‌ها!$P$3:$P$53,0))+IF(W438&lt;=6,(W438-1)*31+X438,IF(W438&lt;=11,186+(W438-7)*30+X438,336+X438))-1,""))</f>
        <v/>
      </c>
      <c r="Z438" s="18" t="str">
        <f t="shared" si="88"/>
        <v/>
      </c>
      <c r="AA438" s="18" t="str">
        <f t="shared" si="89"/>
        <v/>
      </c>
      <c r="AB438" s="18" t="str">
        <f t="shared" si="90"/>
        <v/>
      </c>
      <c r="AC438" s="19" t="str">
        <f>IF(OR(H438="",Z438=""),"",IFERROR(INDEX(لیست‌ها!$Q$3:$Q$53,MATCH(Z438,لیست‌ها!$P$3:$P$53,0))+IF(AA438&lt;=6,(AA438-1)*31+AB438,IF(AA438&lt;=11,186+(AA438-7)*30+AB438,336+AB438))-1,""))</f>
        <v/>
      </c>
      <c r="AD438" s="18" t="str">
        <f t="shared" si="91"/>
        <v/>
      </c>
      <c r="AE438" s="18" t="str">
        <f t="shared" si="92"/>
        <v/>
      </c>
      <c r="AF438" s="18" t="str">
        <f t="shared" si="93"/>
        <v/>
      </c>
      <c r="AG438" s="18" t="str">
        <f>IF(OR(O438="",AD438=""),"",IFERROR(INDEX(لیست‌ها!$Q$3:$Q$53,MATCH(AD438,لیست‌ها!$P$3:$P$53,0))+IF(AE438&lt;=6,(AE438-1)*31+AF438,IF(AE438&lt;=11,186+(AE438-7)*30+AF438,336+AF438))-1,""))</f>
        <v/>
      </c>
      <c r="AH438" s="18" t="str">
        <f t="shared" si="94"/>
        <v/>
      </c>
      <c r="AI438" s="18" t="str">
        <f t="shared" si="95"/>
        <v/>
      </c>
      <c r="AJ438" s="18" t="str">
        <f t="shared" ca="1" si="96"/>
        <v/>
      </c>
    </row>
    <row r="439" spans="1:36">
      <c r="A439" s="18">
        <v>436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8" t="str">
        <f t="shared" ca="1" si="84"/>
        <v/>
      </c>
      <c r="U439" s="18">
        <f t="shared" ca="1" si="97"/>
        <v>0</v>
      </c>
      <c r="V439" s="18" t="str">
        <f t="shared" si="85"/>
        <v/>
      </c>
      <c r="W439" s="18" t="str">
        <f t="shared" si="86"/>
        <v/>
      </c>
      <c r="X439" s="18" t="str">
        <f t="shared" si="87"/>
        <v/>
      </c>
      <c r="Y439" s="19" t="str">
        <f>IF(OR(L439="",V439=""),"",IFERROR(INDEX(لیست‌ها!$Q$3:$Q$53,MATCH(V439,لیست‌ها!$P$3:$P$53,0))+IF(W439&lt;=6,(W439-1)*31+X439,IF(W439&lt;=11,186+(W439-7)*30+X439,336+X439))-1,""))</f>
        <v/>
      </c>
      <c r="Z439" s="18" t="str">
        <f t="shared" si="88"/>
        <v/>
      </c>
      <c r="AA439" s="18" t="str">
        <f t="shared" si="89"/>
        <v/>
      </c>
      <c r="AB439" s="18" t="str">
        <f t="shared" si="90"/>
        <v/>
      </c>
      <c r="AC439" s="19" t="str">
        <f>IF(OR(H439="",Z439=""),"",IFERROR(INDEX(لیست‌ها!$Q$3:$Q$53,MATCH(Z439,لیست‌ها!$P$3:$P$53,0))+IF(AA439&lt;=6,(AA439-1)*31+AB439,IF(AA439&lt;=11,186+(AA439-7)*30+AB439,336+AB439))-1,""))</f>
        <v/>
      </c>
      <c r="AD439" s="18" t="str">
        <f t="shared" si="91"/>
        <v/>
      </c>
      <c r="AE439" s="18" t="str">
        <f t="shared" si="92"/>
        <v/>
      </c>
      <c r="AF439" s="18" t="str">
        <f t="shared" si="93"/>
        <v/>
      </c>
      <c r="AG439" s="18" t="str">
        <f>IF(OR(O439="",AD439=""),"",IFERROR(INDEX(لیست‌ها!$Q$3:$Q$53,MATCH(AD439,لیست‌ها!$P$3:$P$53,0))+IF(AE439&lt;=6,(AE439-1)*31+AF439,IF(AE439&lt;=11,186+(AE439-7)*30+AF439,336+AF439))-1,""))</f>
        <v/>
      </c>
      <c r="AH439" s="18" t="str">
        <f t="shared" si="94"/>
        <v/>
      </c>
      <c r="AI439" s="18" t="str">
        <f t="shared" si="95"/>
        <v/>
      </c>
      <c r="AJ439" s="18" t="str">
        <f t="shared" ca="1" si="96"/>
        <v/>
      </c>
    </row>
    <row r="440" spans="1:36">
      <c r="A440" s="18">
        <v>437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8" t="str">
        <f t="shared" ca="1" si="84"/>
        <v/>
      </c>
      <c r="U440" s="18">
        <f t="shared" ca="1" si="97"/>
        <v>0</v>
      </c>
      <c r="V440" s="18" t="str">
        <f t="shared" si="85"/>
        <v/>
      </c>
      <c r="W440" s="18" t="str">
        <f t="shared" si="86"/>
        <v/>
      </c>
      <c r="X440" s="18" t="str">
        <f t="shared" si="87"/>
        <v/>
      </c>
      <c r="Y440" s="19" t="str">
        <f>IF(OR(L440="",V440=""),"",IFERROR(INDEX(لیست‌ها!$Q$3:$Q$53,MATCH(V440,لیست‌ها!$P$3:$P$53,0))+IF(W440&lt;=6,(W440-1)*31+X440,IF(W440&lt;=11,186+(W440-7)*30+X440,336+X440))-1,""))</f>
        <v/>
      </c>
      <c r="Z440" s="18" t="str">
        <f t="shared" si="88"/>
        <v/>
      </c>
      <c r="AA440" s="18" t="str">
        <f t="shared" si="89"/>
        <v/>
      </c>
      <c r="AB440" s="18" t="str">
        <f t="shared" si="90"/>
        <v/>
      </c>
      <c r="AC440" s="19" t="str">
        <f>IF(OR(H440="",Z440=""),"",IFERROR(INDEX(لیست‌ها!$Q$3:$Q$53,MATCH(Z440,لیست‌ها!$P$3:$P$53,0))+IF(AA440&lt;=6,(AA440-1)*31+AB440,IF(AA440&lt;=11,186+(AA440-7)*30+AB440,336+AB440))-1,""))</f>
        <v/>
      </c>
      <c r="AD440" s="18" t="str">
        <f t="shared" si="91"/>
        <v/>
      </c>
      <c r="AE440" s="18" t="str">
        <f t="shared" si="92"/>
        <v/>
      </c>
      <c r="AF440" s="18" t="str">
        <f t="shared" si="93"/>
        <v/>
      </c>
      <c r="AG440" s="18" t="str">
        <f>IF(OR(O440="",AD440=""),"",IFERROR(INDEX(لیست‌ها!$Q$3:$Q$53,MATCH(AD440,لیست‌ها!$P$3:$P$53,0))+IF(AE440&lt;=6,(AE440-1)*31+AF440,IF(AE440&lt;=11,186+(AE440-7)*30+AF440,336+AF440))-1,""))</f>
        <v/>
      </c>
      <c r="AH440" s="18" t="str">
        <f t="shared" si="94"/>
        <v/>
      </c>
      <c r="AI440" s="18" t="str">
        <f t="shared" si="95"/>
        <v/>
      </c>
      <c r="AJ440" s="18" t="str">
        <f t="shared" ca="1" si="96"/>
        <v/>
      </c>
    </row>
    <row r="441" spans="1:36">
      <c r="A441" s="18">
        <v>438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8" t="str">
        <f t="shared" ca="1" si="84"/>
        <v/>
      </c>
      <c r="U441" s="18">
        <f t="shared" ca="1" si="97"/>
        <v>0</v>
      </c>
      <c r="V441" s="18" t="str">
        <f t="shared" si="85"/>
        <v/>
      </c>
      <c r="W441" s="18" t="str">
        <f t="shared" si="86"/>
        <v/>
      </c>
      <c r="X441" s="18" t="str">
        <f t="shared" si="87"/>
        <v/>
      </c>
      <c r="Y441" s="19" t="str">
        <f>IF(OR(L441="",V441=""),"",IFERROR(INDEX(لیست‌ها!$Q$3:$Q$53,MATCH(V441,لیست‌ها!$P$3:$P$53,0))+IF(W441&lt;=6,(W441-1)*31+X441,IF(W441&lt;=11,186+(W441-7)*30+X441,336+X441))-1,""))</f>
        <v/>
      </c>
      <c r="Z441" s="18" t="str">
        <f t="shared" si="88"/>
        <v/>
      </c>
      <c r="AA441" s="18" t="str">
        <f t="shared" si="89"/>
        <v/>
      </c>
      <c r="AB441" s="18" t="str">
        <f t="shared" si="90"/>
        <v/>
      </c>
      <c r="AC441" s="19" t="str">
        <f>IF(OR(H441="",Z441=""),"",IFERROR(INDEX(لیست‌ها!$Q$3:$Q$53,MATCH(Z441,لیست‌ها!$P$3:$P$53,0))+IF(AA441&lt;=6,(AA441-1)*31+AB441,IF(AA441&lt;=11,186+(AA441-7)*30+AB441,336+AB441))-1,""))</f>
        <v/>
      </c>
      <c r="AD441" s="18" t="str">
        <f t="shared" si="91"/>
        <v/>
      </c>
      <c r="AE441" s="18" t="str">
        <f t="shared" si="92"/>
        <v/>
      </c>
      <c r="AF441" s="18" t="str">
        <f t="shared" si="93"/>
        <v/>
      </c>
      <c r="AG441" s="18" t="str">
        <f>IF(OR(O441="",AD441=""),"",IFERROR(INDEX(لیست‌ها!$Q$3:$Q$53,MATCH(AD441,لیست‌ها!$P$3:$P$53,0))+IF(AE441&lt;=6,(AE441-1)*31+AF441,IF(AE441&lt;=11,186+(AE441-7)*30+AF441,336+AF441))-1,""))</f>
        <v/>
      </c>
      <c r="AH441" s="18" t="str">
        <f t="shared" si="94"/>
        <v/>
      </c>
      <c r="AI441" s="18" t="str">
        <f t="shared" si="95"/>
        <v/>
      </c>
      <c r="AJ441" s="18" t="str">
        <f t="shared" ca="1" si="96"/>
        <v/>
      </c>
    </row>
    <row r="442" spans="1:36">
      <c r="A442" s="18">
        <v>439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8" t="str">
        <f t="shared" ca="1" si="84"/>
        <v/>
      </c>
      <c r="U442" s="18">
        <f t="shared" ca="1" si="97"/>
        <v>0</v>
      </c>
      <c r="V442" s="18" t="str">
        <f t="shared" si="85"/>
        <v/>
      </c>
      <c r="W442" s="18" t="str">
        <f t="shared" si="86"/>
        <v/>
      </c>
      <c r="X442" s="18" t="str">
        <f t="shared" si="87"/>
        <v/>
      </c>
      <c r="Y442" s="19" t="str">
        <f>IF(OR(L442="",V442=""),"",IFERROR(INDEX(لیست‌ها!$Q$3:$Q$53,MATCH(V442,لیست‌ها!$P$3:$P$53,0))+IF(W442&lt;=6,(W442-1)*31+X442,IF(W442&lt;=11,186+(W442-7)*30+X442,336+X442))-1,""))</f>
        <v/>
      </c>
      <c r="Z442" s="18" t="str">
        <f t="shared" si="88"/>
        <v/>
      </c>
      <c r="AA442" s="18" t="str">
        <f t="shared" si="89"/>
        <v/>
      </c>
      <c r="AB442" s="18" t="str">
        <f t="shared" si="90"/>
        <v/>
      </c>
      <c r="AC442" s="19" t="str">
        <f>IF(OR(H442="",Z442=""),"",IFERROR(INDEX(لیست‌ها!$Q$3:$Q$53,MATCH(Z442,لیست‌ها!$P$3:$P$53,0))+IF(AA442&lt;=6,(AA442-1)*31+AB442,IF(AA442&lt;=11,186+(AA442-7)*30+AB442,336+AB442))-1,""))</f>
        <v/>
      </c>
      <c r="AD442" s="18" t="str">
        <f t="shared" si="91"/>
        <v/>
      </c>
      <c r="AE442" s="18" t="str">
        <f t="shared" si="92"/>
        <v/>
      </c>
      <c r="AF442" s="18" t="str">
        <f t="shared" si="93"/>
        <v/>
      </c>
      <c r="AG442" s="18" t="str">
        <f>IF(OR(O442="",AD442=""),"",IFERROR(INDEX(لیست‌ها!$Q$3:$Q$53,MATCH(AD442,لیست‌ها!$P$3:$P$53,0))+IF(AE442&lt;=6,(AE442-1)*31+AF442,IF(AE442&lt;=11,186+(AE442-7)*30+AF442,336+AF442))-1,""))</f>
        <v/>
      </c>
      <c r="AH442" s="18" t="str">
        <f t="shared" si="94"/>
        <v/>
      </c>
      <c r="AI442" s="18" t="str">
        <f t="shared" si="95"/>
        <v/>
      </c>
      <c r="AJ442" s="18" t="str">
        <f t="shared" ca="1" si="96"/>
        <v/>
      </c>
    </row>
    <row r="443" spans="1:36">
      <c r="A443" s="18">
        <v>440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8" t="str">
        <f t="shared" ca="1" si="84"/>
        <v/>
      </c>
      <c r="U443" s="18">
        <f t="shared" ca="1" si="97"/>
        <v>0</v>
      </c>
      <c r="V443" s="18" t="str">
        <f t="shared" si="85"/>
        <v/>
      </c>
      <c r="W443" s="18" t="str">
        <f t="shared" si="86"/>
        <v/>
      </c>
      <c r="X443" s="18" t="str">
        <f t="shared" si="87"/>
        <v/>
      </c>
      <c r="Y443" s="19" t="str">
        <f>IF(OR(L443="",V443=""),"",IFERROR(INDEX(لیست‌ها!$Q$3:$Q$53,MATCH(V443,لیست‌ها!$P$3:$P$53,0))+IF(W443&lt;=6,(W443-1)*31+X443,IF(W443&lt;=11,186+(W443-7)*30+X443,336+X443))-1,""))</f>
        <v/>
      </c>
      <c r="Z443" s="18" t="str">
        <f t="shared" si="88"/>
        <v/>
      </c>
      <c r="AA443" s="18" t="str">
        <f t="shared" si="89"/>
        <v/>
      </c>
      <c r="AB443" s="18" t="str">
        <f t="shared" si="90"/>
        <v/>
      </c>
      <c r="AC443" s="19" t="str">
        <f>IF(OR(H443="",Z443=""),"",IFERROR(INDEX(لیست‌ها!$Q$3:$Q$53,MATCH(Z443,لیست‌ها!$P$3:$P$53,0))+IF(AA443&lt;=6,(AA443-1)*31+AB443,IF(AA443&lt;=11,186+(AA443-7)*30+AB443,336+AB443))-1,""))</f>
        <v/>
      </c>
      <c r="AD443" s="18" t="str">
        <f t="shared" si="91"/>
        <v/>
      </c>
      <c r="AE443" s="18" t="str">
        <f t="shared" si="92"/>
        <v/>
      </c>
      <c r="AF443" s="18" t="str">
        <f t="shared" si="93"/>
        <v/>
      </c>
      <c r="AG443" s="18" t="str">
        <f>IF(OR(O443="",AD443=""),"",IFERROR(INDEX(لیست‌ها!$Q$3:$Q$53,MATCH(AD443,لیست‌ها!$P$3:$P$53,0))+IF(AE443&lt;=6,(AE443-1)*31+AF443,IF(AE443&lt;=11,186+(AE443-7)*30+AF443,336+AF443))-1,""))</f>
        <v/>
      </c>
      <c r="AH443" s="18" t="str">
        <f t="shared" si="94"/>
        <v/>
      </c>
      <c r="AI443" s="18" t="str">
        <f t="shared" si="95"/>
        <v/>
      </c>
      <c r="AJ443" s="18" t="str">
        <f t="shared" ca="1" si="96"/>
        <v/>
      </c>
    </row>
    <row r="444" spans="1:36">
      <c r="A444" s="18">
        <v>441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8" t="str">
        <f t="shared" ca="1" si="84"/>
        <v/>
      </c>
      <c r="U444" s="18">
        <f t="shared" ca="1" si="97"/>
        <v>0</v>
      </c>
      <c r="V444" s="18" t="str">
        <f t="shared" si="85"/>
        <v/>
      </c>
      <c r="W444" s="18" t="str">
        <f t="shared" si="86"/>
        <v/>
      </c>
      <c r="X444" s="18" t="str">
        <f t="shared" si="87"/>
        <v/>
      </c>
      <c r="Y444" s="19" t="str">
        <f>IF(OR(L444="",V444=""),"",IFERROR(INDEX(لیست‌ها!$Q$3:$Q$53,MATCH(V444,لیست‌ها!$P$3:$P$53,0))+IF(W444&lt;=6,(W444-1)*31+X444,IF(W444&lt;=11,186+(W444-7)*30+X444,336+X444))-1,""))</f>
        <v/>
      </c>
      <c r="Z444" s="18" t="str">
        <f t="shared" si="88"/>
        <v/>
      </c>
      <c r="AA444" s="18" t="str">
        <f t="shared" si="89"/>
        <v/>
      </c>
      <c r="AB444" s="18" t="str">
        <f t="shared" si="90"/>
        <v/>
      </c>
      <c r="AC444" s="19" t="str">
        <f>IF(OR(H444="",Z444=""),"",IFERROR(INDEX(لیست‌ها!$Q$3:$Q$53,MATCH(Z444,لیست‌ها!$P$3:$P$53,0))+IF(AA444&lt;=6,(AA444-1)*31+AB444,IF(AA444&lt;=11,186+(AA444-7)*30+AB444,336+AB444))-1,""))</f>
        <v/>
      </c>
      <c r="AD444" s="18" t="str">
        <f t="shared" si="91"/>
        <v/>
      </c>
      <c r="AE444" s="18" t="str">
        <f t="shared" si="92"/>
        <v/>
      </c>
      <c r="AF444" s="18" t="str">
        <f t="shared" si="93"/>
        <v/>
      </c>
      <c r="AG444" s="18" t="str">
        <f>IF(OR(O444="",AD444=""),"",IFERROR(INDEX(لیست‌ها!$Q$3:$Q$53,MATCH(AD444,لیست‌ها!$P$3:$P$53,0))+IF(AE444&lt;=6,(AE444-1)*31+AF444,IF(AE444&lt;=11,186+(AE444-7)*30+AF444,336+AF444))-1,""))</f>
        <v/>
      </c>
      <c r="AH444" s="18" t="str">
        <f t="shared" si="94"/>
        <v/>
      </c>
      <c r="AI444" s="18" t="str">
        <f t="shared" si="95"/>
        <v/>
      </c>
      <c r="AJ444" s="18" t="str">
        <f t="shared" ca="1" si="96"/>
        <v/>
      </c>
    </row>
    <row r="445" spans="1:36">
      <c r="A445" s="18">
        <v>442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8" t="str">
        <f t="shared" ca="1" si="84"/>
        <v/>
      </c>
      <c r="U445" s="18">
        <f t="shared" ca="1" si="97"/>
        <v>0</v>
      </c>
      <c r="V445" s="18" t="str">
        <f t="shared" si="85"/>
        <v/>
      </c>
      <c r="W445" s="18" t="str">
        <f t="shared" si="86"/>
        <v/>
      </c>
      <c r="X445" s="18" t="str">
        <f t="shared" si="87"/>
        <v/>
      </c>
      <c r="Y445" s="19" t="str">
        <f>IF(OR(L445="",V445=""),"",IFERROR(INDEX(لیست‌ها!$Q$3:$Q$53,MATCH(V445,لیست‌ها!$P$3:$P$53,0))+IF(W445&lt;=6,(W445-1)*31+X445,IF(W445&lt;=11,186+(W445-7)*30+X445,336+X445))-1,""))</f>
        <v/>
      </c>
      <c r="Z445" s="18" t="str">
        <f t="shared" si="88"/>
        <v/>
      </c>
      <c r="AA445" s="18" t="str">
        <f t="shared" si="89"/>
        <v/>
      </c>
      <c r="AB445" s="18" t="str">
        <f t="shared" si="90"/>
        <v/>
      </c>
      <c r="AC445" s="19" t="str">
        <f>IF(OR(H445="",Z445=""),"",IFERROR(INDEX(لیست‌ها!$Q$3:$Q$53,MATCH(Z445,لیست‌ها!$P$3:$P$53,0))+IF(AA445&lt;=6,(AA445-1)*31+AB445,IF(AA445&lt;=11,186+(AA445-7)*30+AB445,336+AB445))-1,""))</f>
        <v/>
      </c>
      <c r="AD445" s="18" t="str">
        <f t="shared" si="91"/>
        <v/>
      </c>
      <c r="AE445" s="18" t="str">
        <f t="shared" si="92"/>
        <v/>
      </c>
      <c r="AF445" s="18" t="str">
        <f t="shared" si="93"/>
        <v/>
      </c>
      <c r="AG445" s="18" t="str">
        <f>IF(OR(O445="",AD445=""),"",IFERROR(INDEX(لیست‌ها!$Q$3:$Q$53,MATCH(AD445,لیست‌ها!$P$3:$P$53,0))+IF(AE445&lt;=6,(AE445-1)*31+AF445,IF(AE445&lt;=11,186+(AE445-7)*30+AF445,336+AF445))-1,""))</f>
        <v/>
      </c>
      <c r="AH445" s="18" t="str">
        <f t="shared" si="94"/>
        <v/>
      </c>
      <c r="AI445" s="18" t="str">
        <f t="shared" si="95"/>
        <v/>
      </c>
      <c r="AJ445" s="18" t="str">
        <f t="shared" ca="1" si="96"/>
        <v/>
      </c>
    </row>
    <row r="446" spans="1:36">
      <c r="A446" s="18">
        <v>443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8" t="str">
        <f t="shared" ca="1" si="84"/>
        <v/>
      </c>
      <c r="U446" s="18">
        <f t="shared" ca="1" si="97"/>
        <v>0</v>
      </c>
      <c r="V446" s="18" t="str">
        <f t="shared" si="85"/>
        <v/>
      </c>
      <c r="W446" s="18" t="str">
        <f t="shared" si="86"/>
        <v/>
      </c>
      <c r="X446" s="18" t="str">
        <f t="shared" si="87"/>
        <v/>
      </c>
      <c r="Y446" s="19" t="str">
        <f>IF(OR(L446="",V446=""),"",IFERROR(INDEX(لیست‌ها!$Q$3:$Q$53,MATCH(V446,لیست‌ها!$P$3:$P$53,0))+IF(W446&lt;=6,(W446-1)*31+X446,IF(W446&lt;=11,186+(W446-7)*30+X446,336+X446))-1,""))</f>
        <v/>
      </c>
      <c r="Z446" s="18" t="str">
        <f t="shared" si="88"/>
        <v/>
      </c>
      <c r="AA446" s="18" t="str">
        <f t="shared" si="89"/>
        <v/>
      </c>
      <c r="AB446" s="18" t="str">
        <f t="shared" si="90"/>
        <v/>
      </c>
      <c r="AC446" s="19" t="str">
        <f>IF(OR(H446="",Z446=""),"",IFERROR(INDEX(لیست‌ها!$Q$3:$Q$53,MATCH(Z446,لیست‌ها!$P$3:$P$53,0))+IF(AA446&lt;=6,(AA446-1)*31+AB446,IF(AA446&lt;=11,186+(AA446-7)*30+AB446,336+AB446))-1,""))</f>
        <v/>
      </c>
      <c r="AD446" s="18" t="str">
        <f t="shared" si="91"/>
        <v/>
      </c>
      <c r="AE446" s="18" t="str">
        <f t="shared" si="92"/>
        <v/>
      </c>
      <c r="AF446" s="18" t="str">
        <f t="shared" si="93"/>
        <v/>
      </c>
      <c r="AG446" s="18" t="str">
        <f>IF(OR(O446="",AD446=""),"",IFERROR(INDEX(لیست‌ها!$Q$3:$Q$53,MATCH(AD446,لیست‌ها!$P$3:$P$53,0))+IF(AE446&lt;=6,(AE446-1)*31+AF446,IF(AE446&lt;=11,186+(AE446-7)*30+AF446,336+AF446))-1,""))</f>
        <v/>
      </c>
      <c r="AH446" s="18" t="str">
        <f t="shared" si="94"/>
        <v/>
      </c>
      <c r="AI446" s="18" t="str">
        <f t="shared" si="95"/>
        <v/>
      </c>
      <c r="AJ446" s="18" t="str">
        <f t="shared" ca="1" si="96"/>
        <v/>
      </c>
    </row>
    <row r="447" spans="1:36">
      <c r="A447" s="18">
        <v>444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8" t="str">
        <f t="shared" ca="1" si="84"/>
        <v/>
      </c>
      <c r="U447" s="18">
        <f t="shared" ca="1" si="97"/>
        <v>0</v>
      </c>
      <c r="V447" s="18" t="str">
        <f t="shared" si="85"/>
        <v/>
      </c>
      <c r="W447" s="18" t="str">
        <f t="shared" si="86"/>
        <v/>
      </c>
      <c r="X447" s="18" t="str">
        <f t="shared" si="87"/>
        <v/>
      </c>
      <c r="Y447" s="19" t="str">
        <f>IF(OR(L447="",V447=""),"",IFERROR(INDEX(لیست‌ها!$Q$3:$Q$53,MATCH(V447,لیست‌ها!$P$3:$P$53,0))+IF(W447&lt;=6,(W447-1)*31+X447,IF(W447&lt;=11,186+(W447-7)*30+X447,336+X447))-1,""))</f>
        <v/>
      </c>
      <c r="Z447" s="18" t="str">
        <f t="shared" si="88"/>
        <v/>
      </c>
      <c r="AA447" s="18" t="str">
        <f t="shared" si="89"/>
        <v/>
      </c>
      <c r="AB447" s="18" t="str">
        <f t="shared" si="90"/>
        <v/>
      </c>
      <c r="AC447" s="19" t="str">
        <f>IF(OR(H447="",Z447=""),"",IFERROR(INDEX(لیست‌ها!$Q$3:$Q$53,MATCH(Z447,لیست‌ها!$P$3:$P$53,0))+IF(AA447&lt;=6,(AA447-1)*31+AB447,IF(AA447&lt;=11,186+(AA447-7)*30+AB447,336+AB447))-1,""))</f>
        <v/>
      </c>
      <c r="AD447" s="18" t="str">
        <f t="shared" si="91"/>
        <v/>
      </c>
      <c r="AE447" s="18" t="str">
        <f t="shared" si="92"/>
        <v/>
      </c>
      <c r="AF447" s="18" t="str">
        <f t="shared" si="93"/>
        <v/>
      </c>
      <c r="AG447" s="18" t="str">
        <f>IF(OR(O447="",AD447=""),"",IFERROR(INDEX(لیست‌ها!$Q$3:$Q$53,MATCH(AD447,لیست‌ها!$P$3:$P$53,0))+IF(AE447&lt;=6,(AE447-1)*31+AF447,IF(AE447&lt;=11,186+(AE447-7)*30+AF447,336+AF447))-1,""))</f>
        <v/>
      </c>
      <c r="AH447" s="18" t="str">
        <f t="shared" si="94"/>
        <v/>
      </c>
      <c r="AI447" s="18" t="str">
        <f t="shared" si="95"/>
        <v/>
      </c>
      <c r="AJ447" s="18" t="str">
        <f t="shared" ca="1" si="96"/>
        <v/>
      </c>
    </row>
    <row r="448" spans="1:36">
      <c r="A448" s="18">
        <v>445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8" t="str">
        <f t="shared" ca="1" si="84"/>
        <v/>
      </c>
      <c r="U448" s="18">
        <f t="shared" ca="1" si="97"/>
        <v>0</v>
      </c>
      <c r="V448" s="18" t="str">
        <f t="shared" si="85"/>
        <v/>
      </c>
      <c r="W448" s="18" t="str">
        <f t="shared" si="86"/>
        <v/>
      </c>
      <c r="X448" s="18" t="str">
        <f t="shared" si="87"/>
        <v/>
      </c>
      <c r="Y448" s="19" t="str">
        <f>IF(OR(L448="",V448=""),"",IFERROR(INDEX(لیست‌ها!$Q$3:$Q$53,MATCH(V448,لیست‌ها!$P$3:$P$53,0))+IF(W448&lt;=6,(W448-1)*31+X448,IF(W448&lt;=11,186+(W448-7)*30+X448,336+X448))-1,""))</f>
        <v/>
      </c>
      <c r="Z448" s="18" t="str">
        <f t="shared" si="88"/>
        <v/>
      </c>
      <c r="AA448" s="18" t="str">
        <f t="shared" si="89"/>
        <v/>
      </c>
      <c r="AB448" s="18" t="str">
        <f t="shared" si="90"/>
        <v/>
      </c>
      <c r="AC448" s="19" t="str">
        <f>IF(OR(H448="",Z448=""),"",IFERROR(INDEX(لیست‌ها!$Q$3:$Q$53,MATCH(Z448,لیست‌ها!$P$3:$P$53,0))+IF(AA448&lt;=6,(AA448-1)*31+AB448,IF(AA448&lt;=11,186+(AA448-7)*30+AB448,336+AB448))-1,""))</f>
        <v/>
      </c>
      <c r="AD448" s="18" t="str">
        <f t="shared" si="91"/>
        <v/>
      </c>
      <c r="AE448" s="18" t="str">
        <f t="shared" si="92"/>
        <v/>
      </c>
      <c r="AF448" s="18" t="str">
        <f t="shared" si="93"/>
        <v/>
      </c>
      <c r="AG448" s="18" t="str">
        <f>IF(OR(O448="",AD448=""),"",IFERROR(INDEX(لیست‌ها!$Q$3:$Q$53,MATCH(AD448,لیست‌ها!$P$3:$P$53,0))+IF(AE448&lt;=6,(AE448-1)*31+AF448,IF(AE448&lt;=11,186+(AE448-7)*30+AF448,336+AF448))-1,""))</f>
        <v/>
      </c>
      <c r="AH448" s="18" t="str">
        <f t="shared" si="94"/>
        <v/>
      </c>
      <c r="AI448" s="18" t="str">
        <f t="shared" si="95"/>
        <v/>
      </c>
      <c r="AJ448" s="18" t="str">
        <f t="shared" ca="1" si="96"/>
        <v/>
      </c>
    </row>
    <row r="449" spans="1:36">
      <c r="A449" s="18">
        <v>446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8" t="str">
        <f t="shared" ca="1" si="84"/>
        <v/>
      </c>
      <c r="U449" s="18">
        <f t="shared" ca="1" si="97"/>
        <v>0</v>
      </c>
      <c r="V449" s="18" t="str">
        <f t="shared" si="85"/>
        <v/>
      </c>
      <c r="W449" s="18" t="str">
        <f t="shared" si="86"/>
        <v/>
      </c>
      <c r="X449" s="18" t="str">
        <f t="shared" si="87"/>
        <v/>
      </c>
      <c r="Y449" s="19" t="str">
        <f>IF(OR(L449="",V449=""),"",IFERROR(INDEX(لیست‌ها!$Q$3:$Q$53,MATCH(V449,لیست‌ها!$P$3:$P$53,0))+IF(W449&lt;=6,(W449-1)*31+X449,IF(W449&lt;=11,186+(W449-7)*30+X449,336+X449))-1,""))</f>
        <v/>
      </c>
      <c r="Z449" s="18" t="str">
        <f t="shared" si="88"/>
        <v/>
      </c>
      <c r="AA449" s="18" t="str">
        <f t="shared" si="89"/>
        <v/>
      </c>
      <c r="AB449" s="18" t="str">
        <f t="shared" si="90"/>
        <v/>
      </c>
      <c r="AC449" s="19" t="str">
        <f>IF(OR(H449="",Z449=""),"",IFERROR(INDEX(لیست‌ها!$Q$3:$Q$53,MATCH(Z449,لیست‌ها!$P$3:$P$53,0))+IF(AA449&lt;=6,(AA449-1)*31+AB449,IF(AA449&lt;=11,186+(AA449-7)*30+AB449,336+AB449))-1,""))</f>
        <v/>
      </c>
      <c r="AD449" s="18" t="str">
        <f t="shared" si="91"/>
        <v/>
      </c>
      <c r="AE449" s="18" t="str">
        <f t="shared" si="92"/>
        <v/>
      </c>
      <c r="AF449" s="18" t="str">
        <f t="shared" si="93"/>
        <v/>
      </c>
      <c r="AG449" s="18" t="str">
        <f>IF(OR(O449="",AD449=""),"",IFERROR(INDEX(لیست‌ها!$Q$3:$Q$53,MATCH(AD449,لیست‌ها!$P$3:$P$53,0))+IF(AE449&lt;=6,(AE449-1)*31+AF449,IF(AE449&lt;=11,186+(AE449-7)*30+AF449,336+AF449))-1,""))</f>
        <v/>
      </c>
      <c r="AH449" s="18" t="str">
        <f t="shared" si="94"/>
        <v/>
      </c>
      <c r="AI449" s="18" t="str">
        <f t="shared" si="95"/>
        <v/>
      </c>
      <c r="AJ449" s="18" t="str">
        <f t="shared" ca="1" si="96"/>
        <v/>
      </c>
    </row>
    <row r="450" spans="1:36">
      <c r="A450" s="18">
        <v>447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8" t="str">
        <f t="shared" ca="1" si="84"/>
        <v/>
      </c>
      <c r="U450" s="18">
        <f t="shared" ca="1" si="97"/>
        <v>0</v>
      </c>
      <c r="V450" s="18" t="str">
        <f t="shared" si="85"/>
        <v/>
      </c>
      <c r="W450" s="18" t="str">
        <f t="shared" si="86"/>
        <v/>
      </c>
      <c r="X450" s="18" t="str">
        <f t="shared" si="87"/>
        <v/>
      </c>
      <c r="Y450" s="19" t="str">
        <f>IF(OR(L450="",V450=""),"",IFERROR(INDEX(لیست‌ها!$Q$3:$Q$53,MATCH(V450,لیست‌ها!$P$3:$P$53,0))+IF(W450&lt;=6,(W450-1)*31+X450,IF(W450&lt;=11,186+(W450-7)*30+X450,336+X450))-1,""))</f>
        <v/>
      </c>
      <c r="Z450" s="18" t="str">
        <f t="shared" si="88"/>
        <v/>
      </c>
      <c r="AA450" s="18" t="str">
        <f t="shared" si="89"/>
        <v/>
      </c>
      <c r="AB450" s="18" t="str">
        <f t="shared" si="90"/>
        <v/>
      </c>
      <c r="AC450" s="19" t="str">
        <f>IF(OR(H450="",Z450=""),"",IFERROR(INDEX(لیست‌ها!$Q$3:$Q$53,MATCH(Z450,لیست‌ها!$P$3:$P$53,0))+IF(AA450&lt;=6,(AA450-1)*31+AB450,IF(AA450&lt;=11,186+(AA450-7)*30+AB450,336+AB450))-1,""))</f>
        <v/>
      </c>
      <c r="AD450" s="18" t="str">
        <f t="shared" si="91"/>
        <v/>
      </c>
      <c r="AE450" s="18" t="str">
        <f t="shared" si="92"/>
        <v/>
      </c>
      <c r="AF450" s="18" t="str">
        <f t="shared" si="93"/>
        <v/>
      </c>
      <c r="AG450" s="18" t="str">
        <f>IF(OR(O450="",AD450=""),"",IFERROR(INDEX(لیست‌ها!$Q$3:$Q$53,MATCH(AD450,لیست‌ها!$P$3:$P$53,0))+IF(AE450&lt;=6,(AE450-1)*31+AF450,IF(AE450&lt;=11,186+(AE450-7)*30+AF450,336+AF450))-1,""))</f>
        <v/>
      </c>
      <c r="AH450" s="18" t="str">
        <f t="shared" si="94"/>
        <v/>
      </c>
      <c r="AI450" s="18" t="str">
        <f t="shared" si="95"/>
        <v/>
      </c>
      <c r="AJ450" s="18" t="str">
        <f t="shared" ca="1" si="96"/>
        <v/>
      </c>
    </row>
    <row r="451" spans="1:36">
      <c r="A451" s="18">
        <v>448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8" t="str">
        <f t="shared" ca="1" si="84"/>
        <v/>
      </c>
      <c r="U451" s="18">
        <f t="shared" ca="1" si="97"/>
        <v>0</v>
      </c>
      <c r="V451" s="18" t="str">
        <f t="shared" si="85"/>
        <v/>
      </c>
      <c r="W451" s="18" t="str">
        <f t="shared" si="86"/>
        <v/>
      </c>
      <c r="X451" s="18" t="str">
        <f t="shared" si="87"/>
        <v/>
      </c>
      <c r="Y451" s="19" t="str">
        <f>IF(OR(L451="",V451=""),"",IFERROR(INDEX(لیست‌ها!$Q$3:$Q$53,MATCH(V451,لیست‌ها!$P$3:$P$53,0))+IF(W451&lt;=6,(W451-1)*31+X451,IF(W451&lt;=11,186+(W451-7)*30+X451,336+X451))-1,""))</f>
        <v/>
      </c>
      <c r="Z451" s="18" t="str">
        <f t="shared" si="88"/>
        <v/>
      </c>
      <c r="AA451" s="18" t="str">
        <f t="shared" si="89"/>
        <v/>
      </c>
      <c r="AB451" s="18" t="str">
        <f t="shared" si="90"/>
        <v/>
      </c>
      <c r="AC451" s="19" t="str">
        <f>IF(OR(H451="",Z451=""),"",IFERROR(INDEX(لیست‌ها!$Q$3:$Q$53,MATCH(Z451,لیست‌ها!$P$3:$P$53,0))+IF(AA451&lt;=6,(AA451-1)*31+AB451,IF(AA451&lt;=11,186+(AA451-7)*30+AB451,336+AB451))-1,""))</f>
        <v/>
      </c>
      <c r="AD451" s="18" t="str">
        <f t="shared" si="91"/>
        <v/>
      </c>
      <c r="AE451" s="18" t="str">
        <f t="shared" si="92"/>
        <v/>
      </c>
      <c r="AF451" s="18" t="str">
        <f t="shared" si="93"/>
        <v/>
      </c>
      <c r="AG451" s="18" t="str">
        <f>IF(OR(O451="",AD451=""),"",IFERROR(INDEX(لیست‌ها!$Q$3:$Q$53,MATCH(AD451,لیست‌ها!$P$3:$P$53,0))+IF(AE451&lt;=6,(AE451-1)*31+AF451,IF(AE451&lt;=11,186+(AE451-7)*30+AF451,336+AF451))-1,""))</f>
        <v/>
      </c>
      <c r="AH451" s="18" t="str">
        <f t="shared" si="94"/>
        <v/>
      </c>
      <c r="AI451" s="18" t="str">
        <f t="shared" si="95"/>
        <v/>
      </c>
      <c r="AJ451" s="18" t="str">
        <f t="shared" ca="1" si="96"/>
        <v/>
      </c>
    </row>
    <row r="452" spans="1:36">
      <c r="A452" s="18">
        <v>449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8" t="str">
        <f t="shared" ref="T452:T515" ca="1" si="98">IF(B452="","",IF(OR(I452&lt;&gt;"",O452&lt;&gt;""),"بسته",IF(AND(L452&lt;&gt;"",V452=""),"خطای فرمت تاریخ ایجاد",IF(AND(H452&lt;&gt;"",Z452=""),"خطای فرمت مهلت",IF(AND(H452&lt;&gt;"",AC452&lt;&gt;"",TODAY()&gt;AC452),"تاخیر",IF(L452&lt;&gt;"","در حال انجام",""))))))</f>
        <v/>
      </c>
      <c r="U452" s="18">
        <f t="shared" ca="1" si="97"/>
        <v>0</v>
      </c>
      <c r="V452" s="18" t="str">
        <f t="shared" ref="V452:V515" si="99">IF(L452="","",VALUE(LEFT(L452,FIND("/",L452)-1)))</f>
        <v/>
      </c>
      <c r="W452" s="18" t="str">
        <f t="shared" ref="W452:W515" si="100">IF(L452="","",VALUE(MID(L452,FIND("/",L452)+1,FIND("/",L452,FIND("/",L452)+1)-FIND("/",L452)-1)))</f>
        <v/>
      </c>
      <c r="X452" s="18" t="str">
        <f t="shared" ref="X452:X515" si="101">IF(L452="","",VALUE(MID(L452,FIND("/",L452,FIND("/",L452)+1)+1,LEN(L452)-FIND("/",L452,FIND("/",L452)+1))))</f>
        <v/>
      </c>
      <c r="Y452" s="19" t="str">
        <f>IF(OR(L452="",V452=""),"",IFERROR(INDEX(لیست‌ها!$Q$3:$Q$53,MATCH(V452,لیست‌ها!$P$3:$P$53,0))+IF(W452&lt;=6,(W452-1)*31+X452,IF(W452&lt;=11,186+(W452-7)*30+X452,336+X452))-1,""))</f>
        <v/>
      </c>
      <c r="Z452" s="18" t="str">
        <f t="shared" ref="Z452:Z515" si="102">IF(H452="","",VALUE(LEFT(H452,FIND("/",H452)-1)))</f>
        <v/>
      </c>
      <c r="AA452" s="18" t="str">
        <f t="shared" ref="AA452:AA515" si="103">IF(H452="","",VALUE(MID(H452,FIND("/",H452)+1,FIND("/",H452,FIND("/",H452)+1)-FIND("/",H452)-1)))</f>
        <v/>
      </c>
      <c r="AB452" s="18" t="str">
        <f t="shared" ref="AB452:AB515" si="104">IF(H452="","",VALUE(MID(H452,FIND("/",H452,FIND("/",H452)+1)+1,LEN(H452)-FIND("/",H452,FIND("/",H452)+1))))</f>
        <v/>
      </c>
      <c r="AC452" s="19" t="str">
        <f>IF(OR(H452="",Z452=""),"",IFERROR(INDEX(لیست‌ها!$Q$3:$Q$53,MATCH(Z452,لیست‌ها!$P$3:$P$53,0))+IF(AA452&lt;=6,(AA452-1)*31+AB452,IF(AA452&lt;=11,186+(AA452-7)*30+AB452,336+AB452))-1,""))</f>
        <v/>
      </c>
      <c r="AD452" s="18" t="str">
        <f t="shared" ref="AD452:AD515" si="105">IF(O452="","",VALUE(LEFT(O452,FIND("/",O452)-1)))</f>
        <v/>
      </c>
      <c r="AE452" s="18" t="str">
        <f t="shared" ref="AE452:AE515" si="106">IF(O452="","",VALUE(MID(O452,FIND("/",O452)+1,FIND("/",O452,FIND("/",O452)+1)-FIND("/",O452)-1)))</f>
        <v/>
      </c>
      <c r="AF452" s="18" t="str">
        <f t="shared" ref="AF452:AF515" si="107">IF(O452="","",VALUE(MID(O452,FIND("/",O452,FIND("/",O452)+1)+1,LEN(O452)-FIND("/",O452,FIND("/",O452)+1))))</f>
        <v/>
      </c>
      <c r="AG452" s="18" t="str">
        <f>IF(OR(O452="",AD452=""),"",IFERROR(INDEX(لیست‌ها!$Q$3:$Q$53,MATCH(AD452,لیست‌ها!$P$3:$P$53,0))+IF(AE452&lt;=6,(AE452-1)*31+AF452,IF(AE452&lt;=11,186+(AE452-7)*30+AF452,336+AF452))-1,""))</f>
        <v/>
      </c>
      <c r="AH452" s="18" t="str">
        <f t="shared" ref="AH452:AH515" si="108">IF(V452="","",V452&amp;"-"&amp;TEXT(W452,"00"))</f>
        <v/>
      </c>
      <c r="AI452" s="18" t="str">
        <f t="shared" ref="AI452:AI515" si="109">IF(V452="","",V452*12+W452)</f>
        <v/>
      </c>
      <c r="AJ452" s="18" t="str">
        <f t="shared" ref="AJ452:AJ515" ca="1" si="110">IF(T452="تاخیر",U452+ROW()/100000,"")</f>
        <v/>
      </c>
    </row>
    <row r="453" spans="1:36">
      <c r="A453" s="18">
        <v>450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8" t="str">
        <f t="shared" ca="1" si="98"/>
        <v/>
      </c>
      <c r="U453" s="18">
        <f t="shared" ref="U453:U516" ca="1" si="111">IF(T453="تاخیر",TODAY()-AC453,IF(AND(T453="بسته",AG453&lt;&gt;"",AC453&lt;&gt;"",AG453&gt;AC453),AG453-AC453,0))</f>
        <v>0</v>
      </c>
      <c r="V453" s="18" t="str">
        <f t="shared" si="99"/>
        <v/>
      </c>
      <c r="W453" s="18" t="str">
        <f t="shared" si="100"/>
        <v/>
      </c>
      <c r="X453" s="18" t="str">
        <f t="shared" si="101"/>
        <v/>
      </c>
      <c r="Y453" s="19" t="str">
        <f>IF(OR(L453="",V453=""),"",IFERROR(INDEX(لیست‌ها!$Q$3:$Q$53,MATCH(V453,لیست‌ها!$P$3:$P$53,0))+IF(W453&lt;=6,(W453-1)*31+X453,IF(W453&lt;=11,186+(W453-7)*30+X453,336+X453))-1,""))</f>
        <v/>
      </c>
      <c r="Z453" s="18" t="str">
        <f t="shared" si="102"/>
        <v/>
      </c>
      <c r="AA453" s="18" t="str">
        <f t="shared" si="103"/>
        <v/>
      </c>
      <c r="AB453" s="18" t="str">
        <f t="shared" si="104"/>
        <v/>
      </c>
      <c r="AC453" s="19" t="str">
        <f>IF(OR(H453="",Z453=""),"",IFERROR(INDEX(لیست‌ها!$Q$3:$Q$53,MATCH(Z453,لیست‌ها!$P$3:$P$53,0))+IF(AA453&lt;=6,(AA453-1)*31+AB453,IF(AA453&lt;=11,186+(AA453-7)*30+AB453,336+AB453))-1,""))</f>
        <v/>
      </c>
      <c r="AD453" s="18" t="str">
        <f t="shared" si="105"/>
        <v/>
      </c>
      <c r="AE453" s="18" t="str">
        <f t="shared" si="106"/>
        <v/>
      </c>
      <c r="AF453" s="18" t="str">
        <f t="shared" si="107"/>
        <v/>
      </c>
      <c r="AG453" s="18" t="str">
        <f>IF(OR(O453="",AD453=""),"",IFERROR(INDEX(لیست‌ها!$Q$3:$Q$53,MATCH(AD453,لیست‌ها!$P$3:$P$53,0))+IF(AE453&lt;=6,(AE453-1)*31+AF453,IF(AE453&lt;=11,186+(AE453-7)*30+AF453,336+AF453))-1,""))</f>
        <v/>
      </c>
      <c r="AH453" s="18" t="str">
        <f t="shared" si="108"/>
        <v/>
      </c>
      <c r="AI453" s="18" t="str">
        <f t="shared" si="109"/>
        <v/>
      </c>
      <c r="AJ453" s="18" t="str">
        <f t="shared" ca="1" si="110"/>
        <v/>
      </c>
    </row>
    <row r="454" spans="1:36">
      <c r="A454" s="18">
        <v>451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8" t="str">
        <f t="shared" ca="1" si="98"/>
        <v/>
      </c>
      <c r="U454" s="18">
        <f t="shared" ca="1" si="111"/>
        <v>0</v>
      </c>
      <c r="V454" s="18" t="str">
        <f t="shared" si="99"/>
        <v/>
      </c>
      <c r="W454" s="18" t="str">
        <f t="shared" si="100"/>
        <v/>
      </c>
      <c r="X454" s="18" t="str">
        <f t="shared" si="101"/>
        <v/>
      </c>
      <c r="Y454" s="19" t="str">
        <f>IF(OR(L454="",V454=""),"",IFERROR(INDEX(لیست‌ها!$Q$3:$Q$53,MATCH(V454,لیست‌ها!$P$3:$P$53,0))+IF(W454&lt;=6,(W454-1)*31+X454,IF(W454&lt;=11,186+(W454-7)*30+X454,336+X454))-1,""))</f>
        <v/>
      </c>
      <c r="Z454" s="18" t="str">
        <f t="shared" si="102"/>
        <v/>
      </c>
      <c r="AA454" s="18" t="str">
        <f t="shared" si="103"/>
        <v/>
      </c>
      <c r="AB454" s="18" t="str">
        <f t="shared" si="104"/>
        <v/>
      </c>
      <c r="AC454" s="19" t="str">
        <f>IF(OR(H454="",Z454=""),"",IFERROR(INDEX(لیست‌ها!$Q$3:$Q$53,MATCH(Z454,لیست‌ها!$P$3:$P$53,0))+IF(AA454&lt;=6,(AA454-1)*31+AB454,IF(AA454&lt;=11,186+(AA454-7)*30+AB454,336+AB454))-1,""))</f>
        <v/>
      </c>
      <c r="AD454" s="18" t="str">
        <f t="shared" si="105"/>
        <v/>
      </c>
      <c r="AE454" s="18" t="str">
        <f t="shared" si="106"/>
        <v/>
      </c>
      <c r="AF454" s="18" t="str">
        <f t="shared" si="107"/>
        <v/>
      </c>
      <c r="AG454" s="18" t="str">
        <f>IF(OR(O454="",AD454=""),"",IFERROR(INDEX(لیست‌ها!$Q$3:$Q$53,MATCH(AD454,لیست‌ها!$P$3:$P$53,0))+IF(AE454&lt;=6,(AE454-1)*31+AF454,IF(AE454&lt;=11,186+(AE454-7)*30+AF454,336+AF454))-1,""))</f>
        <v/>
      </c>
      <c r="AH454" s="18" t="str">
        <f t="shared" si="108"/>
        <v/>
      </c>
      <c r="AI454" s="18" t="str">
        <f t="shared" si="109"/>
        <v/>
      </c>
      <c r="AJ454" s="18" t="str">
        <f t="shared" ca="1" si="110"/>
        <v/>
      </c>
    </row>
    <row r="455" spans="1:36">
      <c r="A455" s="18">
        <v>452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8" t="str">
        <f t="shared" ca="1" si="98"/>
        <v/>
      </c>
      <c r="U455" s="18">
        <f t="shared" ca="1" si="111"/>
        <v>0</v>
      </c>
      <c r="V455" s="18" t="str">
        <f t="shared" si="99"/>
        <v/>
      </c>
      <c r="W455" s="18" t="str">
        <f t="shared" si="100"/>
        <v/>
      </c>
      <c r="X455" s="18" t="str">
        <f t="shared" si="101"/>
        <v/>
      </c>
      <c r="Y455" s="19" t="str">
        <f>IF(OR(L455="",V455=""),"",IFERROR(INDEX(لیست‌ها!$Q$3:$Q$53,MATCH(V455,لیست‌ها!$P$3:$P$53,0))+IF(W455&lt;=6,(W455-1)*31+X455,IF(W455&lt;=11,186+(W455-7)*30+X455,336+X455))-1,""))</f>
        <v/>
      </c>
      <c r="Z455" s="18" t="str">
        <f t="shared" si="102"/>
        <v/>
      </c>
      <c r="AA455" s="18" t="str">
        <f t="shared" si="103"/>
        <v/>
      </c>
      <c r="AB455" s="18" t="str">
        <f t="shared" si="104"/>
        <v/>
      </c>
      <c r="AC455" s="19" t="str">
        <f>IF(OR(H455="",Z455=""),"",IFERROR(INDEX(لیست‌ها!$Q$3:$Q$53,MATCH(Z455,لیست‌ها!$P$3:$P$53,0))+IF(AA455&lt;=6,(AA455-1)*31+AB455,IF(AA455&lt;=11,186+(AA455-7)*30+AB455,336+AB455))-1,""))</f>
        <v/>
      </c>
      <c r="AD455" s="18" t="str">
        <f t="shared" si="105"/>
        <v/>
      </c>
      <c r="AE455" s="18" t="str">
        <f t="shared" si="106"/>
        <v/>
      </c>
      <c r="AF455" s="18" t="str">
        <f t="shared" si="107"/>
        <v/>
      </c>
      <c r="AG455" s="18" t="str">
        <f>IF(OR(O455="",AD455=""),"",IFERROR(INDEX(لیست‌ها!$Q$3:$Q$53,MATCH(AD455,لیست‌ها!$P$3:$P$53,0))+IF(AE455&lt;=6,(AE455-1)*31+AF455,IF(AE455&lt;=11,186+(AE455-7)*30+AF455,336+AF455))-1,""))</f>
        <v/>
      </c>
      <c r="AH455" s="18" t="str">
        <f t="shared" si="108"/>
        <v/>
      </c>
      <c r="AI455" s="18" t="str">
        <f t="shared" si="109"/>
        <v/>
      </c>
      <c r="AJ455" s="18" t="str">
        <f t="shared" ca="1" si="110"/>
        <v/>
      </c>
    </row>
    <row r="456" spans="1:36">
      <c r="A456" s="18">
        <v>453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8" t="str">
        <f t="shared" ca="1" si="98"/>
        <v/>
      </c>
      <c r="U456" s="18">
        <f t="shared" ca="1" si="111"/>
        <v>0</v>
      </c>
      <c r="V456" s="18" t="str">
        <f t="shared" si="99"/>
        <v/>
      </c>
      <c r="W456" s="18" t="str">
        <f t="shared" si="100"/>
        <v/>
      </c>
      <c r="X456" s="18" t="str">
        <f t="shared" si="101"/>
        <v/>
      </c>
      <c r="Y456" s="19" t="str">
        <f>IF(OR(L456="",V456=""),"",IFERROR(INDEX(لیست‌ها!$Q$3:$Q$53,MATCH(V456,لیست‌ها!$P$3:$P$53,0))+IF(W456&lt;=6,(W456-1)*31+X456,IF(W456&lt;=11,186+(W456-7)*30+X456,336+X456))-1,""))</f>
        <v/>
      </c>
      <c r="Z456" s="18" t="str">
        <f t="shared" si="102"/>
        <v/>
      </c>
      <c r="AA456" s="18" t="str">
        <f t="shared" si="103"/>
        <v/>
      </c>
      <c r="AB456" s="18" t="str">
        <f t="shared" si="104"/>
        <v/>
      </c>
      <c r="AC456" s="19" t="str">
        <f>IF(OR(H456="",Z456=""),"",IFERROR(INDEX(لیست‌ها!$Q$3:$Q$53,MATCH(Z456,لیست‌ها!$P$3:$P$53,0))+IF(AA456&lt;=6,(AA456-1)*31+AB456,IF(AA456&lt;=11,186+(AA456-7)*30+AB456,336+AB456))-1,""))</f>
        <v/>
      </c>
      <c r="AD456" s="18" t="str">
        <f t="shared" si="105"/>
        <v/>
      </c>
      <c r="AE456" s="18" t="str">
        <f t="shared" si="106"/>
        <v/>
      </c>
      <c r="AF456" s="18" t="str">
        <f t="shared" si="107"/>
        <v/>
      </c>
      <c r="AG456" s="18" t="str">
        <f>IF(OR(O456="",AD456=""),"",IFERROR(INDEX(لیست‌ها!$Q$3:$Q$53,MATCH(AD456,لیست‌ها!$P$3:$P$53,0))+IF(AE456&lt;=6,(AE456-1)*31+AF456,IF(AE456&lt;=11,186+(AE456-7)*30+AF456,336+AF456))-1,""))</f>
        <v/>
      </c>
      <c r="AH456" s="18" t="str">
        <f t="shared" si="108"/>
        <v/>
      </c>
      <c r="AI456" s="18" t="str">
        <f t="shared" si="109"/>
        <v/>
      </c>
      <c r="AJ456" s="18" t="str">
        <f t="shared" ca="1" si="110"/>
        <v/>
      </c>
    </row>
    <row r="457" spans="1:36">
      <c r="A457" s="18">
        <v>454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8" t="str">
        <f t="shared" ca="1" si="98"/>
        <v/>
      </c>
      <c r="U457" s="18">
        <f t="shared" ca="1" si="111"/>
        <v>0</v>
      </c>
      <c r="V457" s="18" t="str">
        <f t="shared" si="99"/>
        <v/>
      </c>
      <c r="W457" s="18" t="str">
        <f t="shared" si="100"/>
        <v/>
      </c>
      <c r="X457" s="18" t="str">
        <f t="shared" si="101"/>
        <v/>
      </c>
      <c r="Y457" s="19" t="str">
        <f>IF(OR(L457="",V457=""),"",IFERROR(INDEX(لیست‌ها!$Q$3:$Q$53,MATCH(V457,لیست‌ها!$P$3:$P$53,0))+IF(W457&lt;=6,(W457-1)*31+X457,IF(W457&lt;=11,186+(W457-7)*30+X457,336+X457))-1,""))</f>
        <v/>
      </c>
      <c r="Z457" s="18" t="str">
        <f t="shared" si="102"/>
        <v/>
      </c>
      <c r="AA457" s="18" t="str">
        <f t="shared" si="103"/>
        <v/>
      </c>
      <c r="AB457" s="18" t="str">
        <f t="shared" si="104"/>
        <v/>
      </c>
      <c r="AC457" s="19" t="str">
        <f>IF(OR(H457="",Z457=""),"",IFERROR(INDEX(لیست‌ها!$Q$3:$Q$53,MATCH(Z457,لیست‌ها!$P$3:$P$53,0))+IF(AA457&lt;=6,(AA457-1)*31+AB457,IF(AA457&lt;=11,186+(AA457-7)*30+AB457,336+AB457))-1,""))</f>
        <v/>
      </c>
      <c r="AD457" s="18" t="str">
        <f t="shared" si="105"/>
        <v/>
      </c>
      <c r="AE457" s="18" t="str">
        <f t="shared" si="106"/>
        <v/>
      </c>
      <c r="AF457" s="18" t="str">
        <f t="shared" si="107"/>
        <v/>
      </c>
      <c r="AG457" s="18" t="str">
        <f>IF(OR(O457="",AD457=""),"",IFERROR(INDEX(لیست‌ها!$Q$3:$Q$53,MATCH(AD457,لیست‌ها!$P$3:$P$53,0))+IF(AE457&lt;=6,(AE457-1)*31+AF457,IF(AE457&lt;=11,186+(AE457-7)*30+AF457,336+AF457))-1,""))</f>
        <v/>
      </c>
      <c r="AH457" s="18" t="str">
        <f t="shared" si="108"/>
        <v/>
      </c>
      <c r="AI457" s="18" t="str">
        <f t="shared" si="109"/>
        <v/>
      </c>
      <c r="AJ457" s="18" t="str">
        <f t="shared" ca="1" si="110"/>
        <v/>
      </c>
    </row>
    <row r="458" spans="1:36">
      <c r="A458" s="18">
        <v>455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8" t="str">
        <f t="shared" ca="1" si="98"/>
        <v/>
      </c>
      <c r="U458" s="18">
        <f t="shared" ca="1" si="111"/>
        <v>0</v>
      </c>
      <c r="V458" s="18" t="str">
        <f t="shared" si="99"/>
        <v/>
      </c>
      <c r="W458" s="18" t="str">
        <f t="shared" si="100"/>
        <v/>
      </c>
      <c r="X458" s="18" t="str">
        <f t="shared" si="101"/>
        <v/>
      </c>
      <c r="Y458" s="19" t="str">
        <f>IF(OR(L458="",V458=""),"",IFERROR(INDEX(لیست‌ها!$Q$3:$Q$53,MATCH(V458,لیست‌ها!$P$3:$P$53,0))+IF(W458&lt;=6,(W458-1)*31+X458,IF(W458&lt;=11,186+(W458-7)*30+X458,336+X458))-1,""))</f>
        <v/>
      </c>
      <c r="Z458" s="18" t="str">
        <f t="shared" si="102"/>
        <v/>
      </c>
      <c r="AA458" s="18" t="str">
        <f t="shared" si="103"/>
        <v/>
      </c>
      <c r="AB458" s="18" t="str">
        <f t="shared" si="104"/>
        <v/>
      </c>
      <c r="AC458" s="19" t="str">
        <f>IF(OR(H458="",Z458=""),"",IFERROR(INDEX(لیست‌ها!$Q$3:$Q$53,MATCH(Z458,لیست‌ها!$P$3:$P$53,0))+IF(AA458&lt;=6,(AA458-1)*31+AB458,IF(AA458&lt;=11,186+(AA458-7)*30+AB458,336+AB458))-1,""))</f>
        <v/>
      </c>
      <c r="AD458" s="18" t="str">
        <f t="shared" si="105"/>
        <v/>
      </c>
      <c r="AE458" s="18" t="str">
        <f t="shared" si="106"/>
        <v/>
      </c>
      <c r="AF458" s="18" t="str">
        <f t="shared" si="107"/>
        <v/>
      </c>
      <c r="AG458" s="18" t="str">
        <f>IF(OR(O458="",AD458=""),"",IFERROR(INDEX(لیست‌ها!$Q$3:$Q$53,MATCH(AD458,لیست‌ها!$P$3:$P$53,0))+IF(AE458&lt;=6,(AE458-1)*31+AF458,IF(AE458&lt;=11,186+(AE458-7)*30+AF458,336+AF458))-1,""))</f>
        <v/>
      </c>
      <c r="AH458" s="18" t="str">
        <f t="shared" si="108"/>
        <v/>
      </c>
      <c r="AI458" s="18" t="str">
        <f t="shared" si="109"/>
        <v/>
      </c>
      <c r="AJ458" s="18" t="str">
        <f t="shared" ca="1" si="110"/>
        <v/>
      </c>
    </row>
    <row r="459" spans="1:36">
      <c r="A459" s="18">
        <v>456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8" t="str">
        <f t="shared" ca="1" si="98"/>
        <v/>
      </c>
      <c r="U459" s="18">
        <f t="shared" ca="1" si="111"/>
        <v>0</v>
      </c>
      <c r="V459" s="18" t="str">
        <f t="shared" si="99"/>
        <v/>
      </c>
      <c r="W459" s="18" t="str">
        <f t="shared" si="100"/>
        <v/>
      </c>
      <c r="X459" s="18" t="str">
        <f t="shared" si="101"/>
        <v/>
      </c>
      <c r="Y459" s="19" t="str">
        <f>IF(OR(L459="",V459=""),"",IFERROR(INDEX(لیست‌ها!$Q$3:$Q$53,MATCH(V459,لیست‌ها!$P$3:$P$53,0))+IF(W459&lt;=6,(W459-1)*31+X459,IF(W459&lt;=11,186+(W459-7)*30+X459,336+X459))-1,""))</f>
        <v/>
      </c>
      <c r="Z459" s="18" t="str">
        <f t="shared" si="102"/>
        <v/>
      </c>
      <c r="AA459" s="18" t="str">
        <f t="shared" si="103"/>
        <v/>
      </c>
      <c r="AB459" s="18" t="str">
        <f t="shared" si="104"/>
        <v/>
      </c>
      <c r="AC459" s="19" t="str">
        <f>IF(OR(H459="",Z459=""),"",IFERROR(INDEX(لیست‌ها!$Q$3:$Q$53,MATCH(Z459,لیست‌ها!$P$3:$P$53,0))+IF(AA459&lt;=6,(AA459-1)*31+AB459,IF(AA459&lt;=11,186+(AA459-7)*30+AB459,336+AB459))-1,""))</f>
        <v/>
      </c>
      <c r="AD459" s="18" t="str">
        <f t="shared" si="105"/>
        <v/>
      </c>
      <c r="AE459" s="18" t="str">
        <f t="shared" si="106"/>
        <v/>
      </c>
      <c r="AF459" s="18" t="str">
        <f t="shared" si="107"/>
        <v/>
      </c>
      <c r="AG459" s="18" t="str">
        <f>IF(OR(O459="",AD459=""),"",IFERROR(INDEX(لیست‌ها!$Q$3:$Q$53,MATCH(AD459,لیست‌ها!$P$3:$P$53,0))+IF(AE459&lt;=6,(AE459-1)*31+AF459,IF(AE459&lt;=11,186+(AE459-7)*30+AF459,336+AF459))-1,""))</f>
        <v/>
      </c>
      <c r="AH459" s="18" t="str">
        <f t="shared" si="108"/>
        <v/>
      </c>
      <c r="AI459" s="18" t="str">
        <f t="shared" si="109"/>
        <v/>
      </c>
      <c r="AJ459" s="18" t="str">
        <f t="shared" ca="1" si="110"/>
        <v/>
      </c>
    </row>
    <row r="460" spans="1:36">
      <c r="A460" s="18">
        <v>457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8" t="str">
        <f t="shared" ca="1" si="98"/>
        <v/>
      </c>
      <c r="U460" s="18">
        <f t="shared" ca="1" si="111"/>
        <v>0</v>
      </c>
      <c r="V460" s="18" t="str">
        <f t="shared" si="99"/>
        <v/>
      </c>
      <c r="W460" s="18" t="str">
        <f t="shared" si="100"/>
        <v/>
      </c>
      <c r="X460" s="18" t="str">
        <f t="shared" si="101"/>
        <v/>
      </c>
      <c r="Y460" s="19" t="str">
        <f>IF(OR(L460="",V460=""),"",IFERROR(INDEX(لیست‌ها!$Q$3:$Q$53,MATCH(V460,لیست‌ها!$P$3:$P$53,0))+IF(W460&lt;=6,(W460-1)*31+X460,IF(W460&lt;=11,186+(W460-7)*30+X460,336+X460))-1,""))</f>
        <v/>
      </c>
      <c r="Z460" s="18" t="str">
        <f t="shared" si="102"/>
        <v/>
      </c>
      <c r="AA460" s="18" t="str">
        <f t="shared" si="103"/>
        <v/>
      </c>
      <c r="AB460" s="18" t="str">
        <f t="shared" si="104"/>
        <v/>
      </c>
      <c r="AC460" s="19" t="str">
        <f>IF(OR(H460="",Z460=""),"",IFERROR(INDEX(لیست‌ها!$Q$3:$Q$53,MATCH(Z460,لیست‌ها!$P$3:$P$53,0))+IF(AA460&lt;=6,(AA460-1)*31+AB460,IF(AA460&lt;=11,186+(AA460-7)*30+AB460,336+AB460))-1,""))</f>
        <v/>
      </c>
      <c r="AD460" s="18" t="str">
        <f t="shared" si="105"/>
        <v/>
      </c>
      <c r="AE460" s="18" t="str">
        <f t="shared" si="106"/>
        <v/>
      </c>
      <c r="AF460" s="18" t="str">
        <f t="shared" si="107"/>
        <v/>
      </c>
      <c r="AG460" s="18" t="str">
        <f>IF(OR(O460="",AD460=""),"",IFERROR(INDEX(لیست‌ها!$Q$3:$Q$53,MATCH(AD460,لیست‌ها!$P$3:$P$53,0))+IF(AE460&lt;=6,(AE460-1)*31+AF460,IF(AE460&lt;=11,186+(AE460-7)*30+AF460,336+AF460))-1,""))</f>
        <v/>
      </c>
      <c r="AH460" s="18" t="str">
        <f t="shared" si="108"/>
        <v/>
      </c>
      <c r="AI460" s="18" t="str">
        <f t="shared" si="109"/>
        <v/>
      </c>
      <c r="AJ460" s="18" t="str">
        <f t="shared" ca="1" si="110"/>
        <v/>
      </c>
    </row>
    <row r="461" spans="1:36">
      <c r="A461" s="18">
        <v>458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8" t="str">
        <f t="shared" ca="1" si="98"/>
        <v/>
      </c>
      <c r="U461" s="18">
        <f t="shared" ca="1" si="111"/>
        <v>0</v>
      </c>
      <c r="V461" s="18" t="str">
        <f t="shared" si="99"/>
        <v/>
      </c>
      <c r="W461" s="18" t="str">
        <f t="shared" si="100"/>
        <v/>
      </c>
      <c r="X461" s="18" t="str">
        <f t="shared" si="101"/>
        <v/>
      </c>
      <c r="Y461" s="19" t="str">
        <f>IF(OR(L461="",V461=""),"",IFERROR(INDEX(لیست‌ها!$Q$3:$Q$53,MATCH(V461,لیست‌ها!$P$3:$P$53,0))+IF(W461&lt;=6,(W461-1)*31+X461,IF(W461&lt;=11,186+(W461-7)*30+X461,336+X461))-1,""))</f>
        <v/>
      </c>
      <c r="Z461" s="18" t="str">
        <f t="shared" si="102"/>
        <v/>
      </c>
      <c r="AA461" s="18" t="str">
        <f t="shared" si="103"/>
        <v/>
      </c>
      <c r="AB461" s="18" t="str">
        <f t="shared" si="104"/>
        <v/>
      </c>
      <c r="AC461" s="19" t="str">
        <f>IF(OR(H461="",Z461=""),"",IFERROR(INDEX(لیست‌ها!$Q$3:$Q$53,MATCH(Z461,لیست‌ها!$P$3:$P$53,0))+IF(AA461&lt;=6,(AA461-1)*31+AB461,IF(AA461&lt;=11,186+(AA461-7)*30+AB461,336+AB461))-1,""))</f>
        <v/>
      </c>
      <c r="AD461" s="18" t="str">
        <f t="shared" si="105"/>
        <v/>
      </c>
      <c r="AE461" s="18" t="str">
        <f t="shared" si="106"/>
        <v/>
      </c>
      <c r="AF461" s="18" t="str">
        <f t="shared" si="107"/>
        <v/>
      </c>
      <c r="AG461" s="18" t="str">
        <f>IF(OR(O461="",AD461=""),"",IFERROR(INDEX(لیست‌ها!$Q$3:$Q$53,MATCH(AD461,لیست‌ها!$P$3:$P$53,0))+IF(AE461&lt;=6,(AE461-1)*31+AF461,IF(AE461&lt;=11,186+(AE461-7)*30+AF461,336+AF461))-1,""))</f>
        <v/>
      </c>
      <c r="AH461" s="18" t="str">
        <f t="shared" si="108"/>
        <v/>
      </c>
      <c r="AI461" s="18" t="str">
        <f t="shared" si="109"/>
        <v/>
      </c>
      <c r="AJ461" s="18" t="str">
        <f t="shared" ca="1" si="110"/>
        <v/>
      </c>
    </row>
    <row r="462" spans="1:36">
      <c r="A462" s="18">
        <v>459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8" t="str">
        <f t="shared" ca="1" si="98"/>
        <v/>
      </c>
      <c r="U462" s="18">
        <f t="shared" ca="1" si="111"/>
        <v>0</v>
      </c>
      <c r="V462" s="18" t="str">
        <f t="shared" si="99"/>
        <v/>
      </c>
      <c r="W462" s="18" t="str">
        <f t="shared" si="100"/>
        <v/>
      </c>
      <c r="X462" s="18" t="str">
        <f t="shared" si="101"/>
        <v/>
      </c>
      <c r="Y462" s="19" t="str">
        <f>IF(OR(L462="",V462=""),"",IFERROR(INDEX(لیست‌ها!$Q$3:$Q$53,MATCH(V462,لیست‌ها!$P$3:$P$53,0))+IF(W462&lt;=6,(W462-1)*31+X462,IF(W462&lt;=11,186+(W462-7)*30+X462,336+X462))-1,""))</f>
        <v/>
      </c>
      <c r="Z462" s="18" t="str">
        <f t="shared" si="102"/>
        <v/>
      </c>
      <c r="AA462" s="18" t="str">
        <f t="shared" si="103"/>
        <v/>
      </c>
      <c r="AB462" s="18" t="str">
        <f t="shared" si="104"/>
        <v/>
      </c>
      <c r="AC462" s="19" t="str">
        <f>IF(OR(H462="",Z462=""),"",IFERROR(INDEX(لیست‌ها!$Q$3:$Q$53,MATCH(Z462,لیست‌ها!$P$3:$P$53,0))+IF(AA462&lt;=6,(AA462-1)*31+AB462,IF(AA462&lt;=11,186+(AA462-7)*30+AB462,336+AB462))-1,""))</f>
        <v/>
      </c>
      <c r="AD462" s="18" t="str">
        <f t="shared" si="105"/>
        <v/>
      </c>
      <c r="AE462" s="18" t="str">
        <f t="shared" si="106"/>
        <v/>
      </c>
      <c r="AF462" s="18" t="str">
        <f t="shared" si="107"/>
        <v/>
      </c>
      <c r="AG462" s="18" t="str">
        <f>IF(OR(O462="",AD462=""),"",IFERROR(INDEX(لیست‌ها!$Q$3:$Q$53,MATCH(AD462,لیست‌ها!$P$3:$P$53,0))+IF(AE462&lt;=6,(AE462-1)*31+AF462,IF(AE462&lt;=11,186+(AE462-7)*30+AF462,336+AF462))-1,""))</f>
        <v/>
      </c>
      <c r="AH462" s="18" t="str">
        <f t="shared" si="108"/>
        <v/>
      </c>
      <c r="AI462" s="18" t="str">
        <f t="shared" si="109"/>
        <v/>
      </c>
      <c r="AJ462" s="18" t="str">
        <f t="shared" ca="1" si="110"/>
        <v/>
      </c>
    </row>
    <row r="463" spans="1:36">
      <c r="A463" s="18">
        <v>460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8" t="str">
        <f t="shared" ca="1" si="98"/>
        <v/>
      </c>
      <c r="U463" s="18">
        <f t="shared" ca="1" si="111"/>
        <v>0</v>
      </c>
      <c r="V463" s="18" t="str">
        <f t="shared" si="99"/>
        <v/>
      </c>
      <c r="W463" s="18" t="str">
        <f t="shared" si="100"/>
        <v/>
      </c>
      <c r="X463" s="18" t="str">
        <f t="shared" si="101"/>
        <v/>
      </c>
      <c r="Y463" s="19" t="str">
        <f>IF(OR(L463="",V463=""),"",IFERROR(INDEX(لیست‌ها!$Q$3:$Q$53,MATCH(V463,لیست‌ها!$P$3:$P$53,0))+IF(W463&lt;=6,(W463-1)*31+X463,IF(W463&lt;=11,186+(W463-7)*30+X463,336+X463))-1,""))</f>
        <v/>
      </c>
      <c r="Z463" s="18" t="str">
        <f t="shared" si="102"/>
        <v/>
      </c>
      <c r="AA463" s="18" t="str">
        <f t="shared" si="103"/>
        <v/>
      </c>
      <c r="AB463" s="18" t="str">
        <f t="shared" si="104"/>
        <v/>
      </c>
      <c r="AC463" s="19" t="str">
        <f>IF(OR(H463="",Z463=""),"",IFERROR(INDEX(لیست‌ها!$Q$3:$Q$53,MATCH(Z463,لیست‌ها!$P$3:$P$53,0))+IF(AA463&lt;=6,(AA463-1)*31+AB463,IF(AA463&lt;=11,186+(AA463-7)*30+AB463,336+AB463))-1,""))</f>
        <v/>
      </c>
      <c r="AD463" s="18" t="str">
        <f t="shared" si="105"/>
        <v/>
      </c>
      <c r="AE463" s="18" t="str">
        <f t="shared" si="106"/>
        <v/>
      </c>
      <c r="AF463" s="18" t="str">
        <f t="shared" si="107"/>
        <v/>
      </c>
      <c r="AG463" s="18" t="str">
        <f>IF(OR(O463="",AD463=""),"",IFERROR(INDEX(لیست‌ها!$Q$3:$Q$53,MATCH(AD463,لیست‌ها!$P$3:$P$53,0))+IF(AE463&lt;=6,(AE463-1)*31+AF463,IF(AE463&lt;=11,186+(AE463-7)*30+AF463,336+AF463))-1,""))</f>
        <v/>
      </c>
      <c r="AH463" s="18" t="str">
        <f t="shared" si="108"/>
        <v/>
      </c>
      <c r="AI463" s="18" t="str">
        <f t="shared" si="109"/>
        <v/>
      </c>
      <c r="AJ463" s="18" t="str">
        <f t="shared" ca="1" si="110"/>
        <v/>
      </c>
    </row>
    <row r="464" spans="1:36">
      <c r="A464" s="18">
        <v>461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8" t="str">
        <f t="shared" ca="1" si="98"/>
        <v/>
      </c>
      <c r="U464" s="18">
        <f t="shared" ca="1" si="111"/>
        <v>0</v>
      </c>
      <c r="V464" s="18" t="str">
        <f t="shared" si="99"/>
        <v/>
      </c>
      <c r="W464" s="18" t="str">
        <f t="shared" si="100"/>
        <v/>
      </c>
      <c r="X464" s="18" t="str">
        <f t="shared" si="101"/>
        <v/>
      </c>
      <c r="Y464" s="19" t="str">
        <f>IF(OR(L464="",V464=""),"",IFERROR(INDEX(لیست‌ها!$Q$3:$Q$53,MATCH(V464,لیست‌ها!$P$3:$P$53,0))+IF(W464&lt;=6,(W464-1)*31+X464,IF(W464&lt;=11,186+(W464-7)*30+X464,336+X464))-1,""))</f>
        <v/>
      </c>
      <c r="Z464" s="18" t="str">
        <f t="shared" si="102"/>
        <v/>
      </c>
      <c r="AA464" s="18" t="str">
        <f t="shared" si="103"/>
        <v/>
      </c>
      <c r="AB464" s="18" t="str">
        <f t="shared" si="104"/>
        <v/>
      </c>
      <c r="AC464" s="19" t="str">
        <f>IF(OR(H464="",Z464=""),"",IFERROR(INDEX(لیست‌ها!$Q$3:$Q$53,MATCH(Z464,لیست‌ها!$P$3:$P$53,0))+IF(AA464&lt;=6,(AA464-1)*31+AB464,IF(AA464&lt;=11,186+(AA464-7)*30+AB464,336+AB464))-1,""))</f>
        <v/>
      </c>
      <c r="AD464" s="18" t="str">
        <f t="shared" si="105"/>
        <v/>
      </c>
      <c r="AE464" s="18" t="str">
        <f t="shared" si="106"/>
        <v/>
      </c>
      <c r="AF464" s="18" t="str">
        <f t="shared" si="107"/>
        <v/>
      </c>
      <c r="AG464" s="18" t="str">
        <f>IF(OR(O464="",AD464=""),"",IFERROR(INDEX(لیست‌ها!$Q$3:$Q$53,MATCH(AD464,لیست‌ها!$P$3:$P$53,0))+IF(AE464&lt;=6,(AE464-1)*31+AF464,IF(AE464&lt;=11,186+(AE464-7)*30+AF464,336+AF464))-1,""))</f>
        <v/>
      </c>
      <c r="AH464" s="18" t="str">
        <f t="shared" si="108"/>
        <v/>
      </c>
      <c r="AI464" s="18" t="str">
        <f t="shared" si="109"/>
        <v/>
      </c>
      <c r="AJ464" s="18" t="str">
        <f t="shared" ca="1" si="110"/>
        <v/>
      </c>
    </row>
    <row r="465" spans="1:36">
      <c r="A465" s="18">
        <v>462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8" t="str">
        <f t="shared" ca="1" si="98"/>
        <v/>
      </c>
      <c r="U465" s="18">
        <f t="shared" ca="1" si="111"/>
        <v>0</v>
      </c>
      <c r="V465" s="18" t="str">
        <f t="shared" si="99"/>
        <v/>
      </c>
      <c r="W465" s="18" t="str">
        <f t="shared" si="100"/>
        <v/>
      </c>
      <c r="X465" s="18" t="str">
        <f t="shared" si="101"/>
        <v/>
      </c>
      <c r="Y465" s="19" t="str">
        <f>IF(OR(L465="",V465=""),"",IFERROR(INDEX(لیست‌ها!$Q$3:$Q$53,MATCH(V465,لیست‌ها!$P$3:$P$53,0))+IF(W465&lt;=6,(W465-1)*31+X465,IF(W465&lt;=11,186+(W465-7)*30+X465,336+X465))-1,""))</f>
        <v/>
      </c>
      <c r="Z465" s="18" t="str">
        <f t="shared" si="102"/>
        <v/>
      </c>
      <c r="AA465" s="18" t="str">
        <f t="shared" si="103"/>
        <v/>
      </c>
      <c r="AB465" s="18" t="str">
        <f t="shared" si="104"/>
        <v/>
      </c>
      <c r="AC465" s="19" t="str">
        <f>IF(OR(H465="",Z465=""),"",IFERROR(INDEX(لیست‌ها!$Q$3:$Q$53,MATCH(Z465,لیست‌ها!$P$3:$P$53,0))+IF(AA465&lt;=6,(AA465-1)*31+AB465,IF(AA465&lt;=11,186+(AA465-7)*30+AB465,336+AB465))-1,""))</f>
        <v/>
      </c>
      <c r="AD465" s="18" t="str">
        <f t="shared" si="105"/>
        <v/>
      </c>
      <c r="AE465" s="18" t="str">
        <f t="shared" si="106"/>
        <v/>
      </c>
      <c r="AF465" s="18" t="str">
        <f t="shared" si="107"/>
        <v/>
      </c>
      <c r="AG465" s="18" t="str">
        <f>IF(OR(O465="",AD465=""),"",IFERROR(INDEX(لیست‌ها!$Q$3:$Q$53,MATCH(AD465,لیست‌ها!$P$3:$P$53,0))+IF(AE465&lt;=6,(AE465-1)*31+AF465,IF(AE465&lt;=11,186+(AE465-7)*30+AF465,336+AF465))-1,""))</f>
        <v/>
      </c>
      <c r="AH465" s="18" t="str">
        <f t="shared" si="108"/>
        <v/>
      </c>
      <c r="AI465" s="18" t="str">
        <f t="shared" si="109"/>
        <v/>
      </c>
      <c r="AJ465" s="18" t="str">
        <f t="shared" ca="1" si="110"/>
        <v/>
      </c>
    </row>
    <row r="466" spans="1:36">
      <c r="A466" s="18">
        <v>463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8" t="str">
        <f t="shared" ca="1" si="98"/>
        <v/>
      </c>
      <c r="U466" s="18">
        <f t="shared" ca="1" si="111"/>
        <v>0</v>
      </c>
      <c r="V466" s="18" t="str">
        <f t="shared" si="99"/>
        <v/>
      </c>
      <c r="W466" s="18" t="str">
        <f t="shared" si="100"/>
        <v/>
      </c>
      <c r="X466" s="18" t="str">
        <f t="shared" si="101"/>
        <v/>
      </c>
      <c r="Y466" s="19" t="str">
        <f>IF(OR(L466="",V466=""),"",IFERROR(INDEX(لیست‌ها!$Q$3:$Q$53,MATCH(V466,لیست‌ها!$P$3:$P$53,0))+IF(W466&lt;=6,(W466-1)*31+X466,IF(W466&lt;=11,186+(W466-7)*30+X466,336+X466))-1,""))</f>
        <v/>
      </c>
      <c r="Z466" s="18" t="str">
        <f t="shared" si="102"/>
        <v/>
      </c>
      <c r="AA466" s="18" t="str">
        <f t="shared" si="103"/>
        <v/>
      </c>
      <c r="AB466" s="18" t="str">
        <f t="shared" si="104"/>
        <v/>
      </c>
      <c r="AC466" s="19" t="str">
        <f>IF(OR(H466="",Z466=""),"",IFERROR(INDEX(لیست‌ها!$Q$3:$Q$53,MATCH(Z466,لیست‌ها!$P$3:$P$53,0))+IF(AA466&lt;=6,(AA466-1)*31+AB466,IF(AA466&lt;=11,186+(AA466-7)*30+AB466,336+AB466))-1,""))</f>
        <v/>
      </c>
      <c r="AD466" s="18" t="str">
        <f t="shared" si="105"/>
        <v/>
      </c>
      <c r="AE466" s="18" t="str">
        <f t="shared" si="106"/>
        <v/>
      </c>
      <c r="AF466" s="18" t="str">
        <f t="shared" si="107"/>
        <v/>
      </c>
      <c r="AG466" s="18" t="str">
        <f>IF(OR(O466="",AD466=""),"",IFERROR(INDEX(لیست‌ها!$Q$3:$Q$53,MATCH(AD466,لیست‌ها!$P$3:$P$53,0))+IF(AE466&lt;=6,(AE466-1)*31+AF466,IF(AE466&lt;=11,186+(AE466-7)*30+AF466,336+AF466))-1,""))</f>
        <v/>
      </c>
      <c r="AH466" s="18" t="str">
        <f t="shared" si="108"/>
        <v/>
      </c>
      <c r="AI466" s="18" t="str">
        <f t="shared" si="109"/>
        <v/>
      </c>
      <c r="AJ466" s="18" t="str">
        <f t="shared" ca="1" si="110"/>
        <v/>
      </c>
    </row>
    <row r="467" spans="1:36">
      <c r="A467" s="18">
        <v>464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8" t="str">
        <f t="shared" ca="1" si="98"/>
        <v/>
      </c>
      <c r="U467" s="18">
        <f t="shared" ca="1" si="111"/>
        <v>0</v>
      </c>
      <c r="V467" s="18" t="str">
        <f t="shared" si="99"/>
        <v/>
      </c>
      <c r="W467" s="18" t="str">
        <f t="shared" si="100"/>
        <v/>
      </c>
      <c r="X467" s="18" t="str">
        <f t="shared" si="101"/>
        <v/>
      </c>
      <c r="Y467" s="19" t="str">
        <f>IF(OR(L467="",V467=""),"",IFERROR(INDEX(لیست‌ها!$Q$3:$Q$53,MATCH(V467,لیست‌ها!$P$3:$P$53,0))+IF(W467&lt;=6,(W467-1)*31+X467,IF(W467&lt;=11,186+(W467-7)*30+X467,336+X467))-1,""))</f>
        <v/>
      </c>
      <c r="Z467" s="18" t="str">
        <f t="shared" si="102"/>
        <v/>
      </c>
      <c r="AA467" s="18" t="str">
        <f t="shared" si="103"/>
        <v/>
      </c>
      <c r="AB467" s="18" t="str">
        <f t="shared" si="104"/>
        <v/>
      </c>
      <c r="AC467" s="19" t="str">
        <f>IF(OR(H467="",Z467=""),"",IFERROR(INDEX(لیست‌ها!$Q$3:$Q$53,MATCH(Z467,لیست‌ها!$P$3:$P$53,0))+IF(AA467&lt;=6,(AA467-1)*31+AB467,IF(AA467&lt;=11,186+(AA467-7)*30+AB467,336+AB467))-1,""))</f>
        <v/>
      </c>
      <c r="AD467" s="18" t="str">
        <f t="shared" si="105"/>
        <v/>
      </c>
      <c r="AE467" s="18" t="str">
        <f t="shared" si="106"/>
        <v/>
      </c>
      <c r="AF467" s="18" t="str">
        <f t="shared" si="107"/>
        <v/>
      </c>
      <c r="AG467" s="18" t="str">
        <f>IF(OR(O467="",AD467=""),"",IFERROR(INDEX(لیست‌ها!$Q$3:$Q$53,MATCH(AD467,لیست‌ها!$P$3:$P$53,0))+IF(AE467&lt;=6,(AE467-1)*31+AF467,IF(AE467&lt;=11,186+(AE467-7)*30+AF467,336+AF467))-1,""))</f>
        <v/>
      </c>
      <c r="AH467" s="18" t="str">
        <f t="shared" si="108"/>
        <v/>
      </c>
      <c r="AI467" s="18" t="str">
        <f t="shared" si="109"/>
        <v/>
      </c>
      <c r="AJ467" s="18" t="str">
        <f t="shared" ca="1" si="110"/>
        <v/>
      </c>
    </row>
    <row r="468" spans="1:36">
      <c r="A468" s="18">
        <v>465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8" t="str">
        <f t="shared" ca="1" si="98"/>
        <v/>
      </c>
      <c r="U468" s="18">
        <f t="shared" ca="1" si="111"/>
        <v>0</v>
      </c>
      <c r="V468" s="18" t="str">
        <f t="shared" si="99"/>
        <v/>
      </c>
      <c r="W468" s="18" t="str">
        <f t="shared" si="100"/>
        <v/>
      </c>
      <c r="X468" s="18" t="str">
        <f t="shared" si="101"/>
        <v/>
      </c>
      <c r="Y468" s="19" t="str">
        <f>IF(OR(L468="",V468=""),"",IFERROR(INDEX(لیست‌ها!$Q$3:$Q$53,MATCH(V468,لیست‌ها!$P$3:$P$53,0))+IF(W468&lt;=6,(W468-1)*31+X468,IF(W468&lt;=11,186+(W468-7)*30+X468,336+X468))-1,""))</f>
        <v/>
      </c>
      <c r="Z468" s="18" t="str">
        <f t="shared" si="102"/>
        <v/>
      </c>
      <c r="AA468" s="18" t="str">
        <f t="shared" si="103"/>
        <v/>
      </c>
      <c r="AB468" s="18" t="str">
        <f t="shared" si="104"/>
        <v/>
      </c>
      <c r="AC468" s="19" t="str">
        <f>IF(OR(H468="",Z468=""),"",IFERROR(INDEX(لیست‌ها!$Q$3:$Q$53,MATCH(Z468,لیست‌ها!$P$3:$P$53,0))+IF(AA468&lt;=6,(AA468-1)*31+AB468,IF(AA468&lt;=11,186+(AA468-7)*30+AB468,336+AB468))-1,""))</f>
        <v/>
      </c>
      <c r="AD468" s="18" t="str">
        <f t="shared" si="105"/>
        <v/>
      </c>
      <c r="AE468" s="18" t="str">
        <f t="shared" si="106"/>
        <v/>
      </c>
      <c r="AF468" s="18" t="str">
        <f t="shared" si="107"/>
        <v/>
      </c>
      <c r="AG468" s="18" t="str">
        <f>IF(OR(O468="",AD468=""),"",IFERROR(INDEX(لیست‌ها!$Q$3:$Q$53,MATCH(AD468,لیست‌ها!$P$3:$P$53,0))+IF(AE468&lt;=6,(AE468-1)*31+AF468,IF(AE468&lt;=11,186+(AE468-7)*30+AF468,336+AF468))-1,""))</f>
        <v/>
      </c>
      <c r="AH468" s="18" t="str">
        <f t="shared" si="108"/>
        <v/>
      </c>
      <c r="AI468" s="18" t="str">
        <f t="shared" si="109"/>
        <v/>
      </c>
      <c r="AJ468" s="18" t="str">
        <f t="shared" ca="1" si="110"/>
        <v/>
      </c>
    </row>
    <row r="469" spans="1:36">
      <c r="A469" s="18">
        <v>466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8" t="str">
        <f t="shared" ca="1" si="98"/>
        <v/>
      </c>
      <c r="U469" s="18">
        <f t="shared" ca="1" si="111"/>
        <v>0</v>
      </c>
      <c r="V469" s="18" t="str">
        <f t="shared" si="99"/>
        <v/>
      </c>
      <c r="W469" s="18" t="str">
        <f t="shared" si="100"/>
        <v/>
      </c>
      <c r="X469" s="18" t="str">
        <f t="shared" si="101"/>
        <v/>
      </c>
      <c r="Y469" s="19" t="str">
        <f>IF(OR(L469="",V469=""),"",IFERROR(INDEX(لیست‌ها!$Q$3:$Q$53,MATCH(V469,لیست‌ها!$P$3:$P$53,0))+IF(W469&lt;=6,(W469-1)*31+X469,IF(W469&lt;=11,186+(W469-7)*30+X469,336+X469))-1,""))</f>
        <v/>
      </c>
      <c r="Z469" s="18" t="str">
        <f t="shared" si="102"/>
        <v/>
      </c>
      <c r="AA469" s="18" t="str">
        <f t="shared" si="103"/>
        <v/>
      </c>
      <c r="AB469" s="18" t="str">
        <f t="shared" si="104"/>
        <v/>
      </c>
      <c r="AC469" s="19" t="str">
        <f>IF(OR(H469="",Z469=""),"",IFERROR(INDEX(لیست‌ها!$Q$3:$Q$53,MATCH(Z469,لیست‌ها!$P$3:$P$53,0))+IF(AA469&lt;=6,(AA469-1)*31+AB469,IF(AA469&lt;=11,186+(AA469-7)*30+AB469,336+AB469))-1,""))</f>
        <v/>
      </c>
      <c r="AD469" s="18" t="str">
        <f t="shared" si="105"/>
        <v/>
      </c>
      <c r="AE469" s="18" t="str">
        <f t="shared" si="106"/>
        <v/>
      </c>
      <c r="AF469" s="18" t="str">
        <f t="shared" si="107"/>
        <v/>
      </c>
      <c r="AG469" s="18" t="str">
        <f>IF(OR(O469="",AD469=""),"",IFERROR(INDEX(لیست‌ها!$Q$3:$Q$53,MATCH(AD469,لیست‌ها!$P$3:$P$53,0))+IF(AE469&lt;=6,(AE469-1)*31+AF469,IF(AE469&lt;=11,186+(AE469-7)*30+AF469,336+AF469))-1,""))</f>
        <v/>
      </c>
      <c r="AH469" s="18" t="str">
        <f t="shared" si="108"/>
        <v/>
      </c>
      <c r="AI469" s="18" t="str">
        <f t="shared" si="109"/>
        <v/>
      </c>
      <c r="AJ469" s="18" t="str">
        <f t="shared" ca="1" si="110"/>
        <v/>
      </c>
    </row>
    <row r="470" spans="1:36">
      <c r="A470" s="18">
        <v>467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8" t="str">
        <f t="shared" ca="1" si="98"/>
        <v/>
      </c>
      <c r="U470" s="18">
        <f t="shared" ca="1" si="111"/>
        <v>0</v>
      </c>
      <c r="V470" s="18" t="str">
        <f t="shared" si="99"/>
        <v/>
      </c>
      <c r="W470" s="18" t="str">
        <f t="shared" si="100"/>
        <v/>
      </c>
      <c r="X470" s="18" t="str">
        <f t="shared" si="101"/>
        <v/>
      </c>
      <c r="Y470" s="19" t="str">
        <f>IF(OR(L470="",V470=""),"",IFERROR(INDEX(لیست‌ها!$Q$3:$Q$53,MATCH(V470,لیست‌ها!$P$3:$P$53,0))+IF(W470&lt;=6,(W470-1)*31+X470,IF(W470&lt;=11,186+(W470-7)*30+X470,336+X470))-1,""))</f>
        <v/>
      </c>
      <c r="Z470" s="18" t="str">
        <f t="shared" si="102"/>
        <v/>
      </c>
      <c r="AA470" s="18" t="str">
        <f t="shared" si="103"/>
        <v/>
      </c>
      <c r="AB470" s="18" t="str">
        <f t="shared" si="104"/>
        <v/>
      </c>
      <c r="AC470" s="19" t="str">
        <f>IF(OR(H470="",Z470=""),"",IFERROR(INDEX(لیست‌ها!$Q$3:$Q$53,MATCH(Z470,لیست‌ها!$P$3:$P$53,0))+IF(AA470&lt;=6,(AA470-1)*31+AB470,IF(AA470&lt;=11,186+(AA470-7)*30+AB470,336+AB470))-1,""))</f>
        <v/>
      </c>
      <c r="AD470" s="18" t="str">
        <f t="shared" si="105"/>
        <v/>
      </c>
      <c r="AE470" s="18" t="str">
        <f t="shared" si="106"/>
        <v/>
      </c>
      <c r="AF470" s="18" t="str">
        <f t="shared" si="107"/>
        <v/>
      </c>
      <c r="AG470" s="18" t="str">
        <f>IF(OR(O470="",AD470=""),"",IFERROR(INDEX(لیست‌ها!$Q$3:$Q$53,MATCH(AD470,لیست‌ها!$P$3:$P$53,0))+IF(AE470&lt;=6,(AE470-1)*31+AF470,IF(AE470&lt;=11,186+(AE470-7)*30+AF470,336+AF470))-1,""))</f>
        <v/>
      </c>
      <c r="AH470" s="18" t="str">
        <f t="shared" si="108"/>
        <v/>
      </c>
      <c r="AI470" s="18" t="str">
        <f t="shared" si="109"/>
        <v/>
      </c>
      <c r="AJ470" s="18" t="str">
        <f t="shared" ca="1" si="110"/>
        <v/>
      </c>
    </row>
    <row r="471" spans="1:36">
      <c r="A471" s="18">
        <v>468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8" t="str">
        <f t="shared" ca="1" si="98"/>
        <v/>
      </c>
      <c r="U471" s="18">
        <f t="shared" ca="1" si="111"/>
        <v>0</v>
      </c>
      <c r="V471" s="18" t="str">
        <f t="shared" si="99"/>
        <v/>
      </c>
      <c r="W471" s="18" t="str">
        <f t="shared" si="100"/>
        <v/>
      </c>
      <c r="X471" s="18" t="str">
        <f t="shared" si="101"/>
        <v/>
      </c>
      <c r="Y471" s="19" t="str">
        <f>IF(OR(L471="",V471=""),"",IFERROR(INDEX(لیست‌ها!$Q$3:$Q$53,MATCH(V471,لیست‌ها!$P$3:$P$53,0))+IF(W471&lt;=6,(W471-1)*31+X471,IF(W471&lt;=11,186+(W471-7)*30+X471,336+X471))-1,""))</f>
        <v/>
      </c>
      <c r="Z471" s="18" t="str">
        <f t="shared" si="102"/>
        <v/>
      </c>
      <c r="AA471" s="18" t="str">
        <f t="shared" si="103"/>
        <v/>
      </c>
      <c r="AB471" s="18" t="str">
        <f t="shared" si="104"/>
        <v/>
      </c>
      <c r="AC471" s="19" t="str">
        <f>IF(OR(H471="",Z471=""),"",IFERROR(INDEX(لیست‌ها!$Q$3:$Q$53,MATCH(Z471,لیست‌ها!$P$3:$P$53,0))+IF(AA471&lt;=6,(AA471-1)*31+AB471,IF(AA471&lt;=11,186+(AA471-7)*30+AB471,336+AB471))-1,""))</f>
        <v/>
      </c>
      <c r="AD471" s="18" t="str">
        <f t="shared" si="105"/>
        <v/>
      </c>
      <c r="AE471" s="18" t="str">
        <f t="shared" si="106"/>
        <v/>
      </c>
      <c r="AF471" s="18" t="str">
        <f t="shared" si="107"/>
        <v/>
      </c>
      <c r="AG471" s="18" t="str">
        <f>IF(OR(O471="",AD471=""),"",IFERROR(INDEX(لیست‌ها!$Q$3:$Q$53,MATCH(AD471,لیست‌ها!$P$3:$P$53,0))+IF(AE471&lt;=6,(AE471-1)*31+AF471,IF(AE471&lt;=11,186+(AE471-7)*30+AF471,336+AF471))-1,""))</f>
        <v/>
      </c>
      <c r="AH471" s="18" t="str">
        <f t="shared" si="108"/>
        <v/>
      </c>
      <c r="AI471" s="18" t="str">
        <f t="shared" si="109"/>
        <v/>
      </c>
      <c r="AJ471" s="18" t="str">
        <f t="shared" ca="1" si="110"/>
        <v/>
      </c>
    </row>
    <row r="472" spans="1:36">
      <c r="A472" s="18">
        <v>469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8" t="str">
        <f t="shared" ca="1" si="98"/>
        <v/>
      </c>
      <c r="U472" s="18">
        <f t="shared" ca="1" si="111"/>
        <v>0</v>
      </c>
      <c r="V472" s="18" t="str">
        <f t="shared" si="99"/>
        <v/>
      </c>
      <c r="W472" s="18" t="str">
        <f t="shared" si="100"/>
        <v/>
      </c>
      <c r="X472" s="18" t="str">
        <f t="shared" si="101"/>
        <v/>
      </c>
      <c r="Y472" s="19" t="str">
        <f>IF(OR(L472="",V472=""),"",IFERROR(INDEX(لیست‌ها!$Q$3:$Q$53,MATCH(V472,لیست‌ها!$P$3:$P$53,0))+IF(W472&lt;=6,(W472-1)*31+X472,IF(W472&lt;=11,186+(W472-7)*30+X472,336+X472))-1,""))</f>
        <v/>
      </c>
      <c r="Z472" s="18" t="str">
        <f t="shared" si="102"/>
        <v/>
      </c>
      <c r="AA472" s="18" t="str">
        <f t="shared" si="103"/>
        <v/>
      </c>
      <c r="AB472" s="18" t="str">
        <f t="shared" si="104"/>
        <v/>
      </c>
      <c r="AC472" s="19" t="str">
        <f>IF(OR(H472="",Z472=""),"",IFERROR(INDEX(لیست‌ها!$Q$3:$Q$53,MATCH(Z472,لیست‌ها!$P$3:$P$53,0))+IF(AA472&lt;=6,(AA472-1)*31+AB472,IF(AA472&lt;=11,186+(AA472-7)*30+AB472,336+AB472))-1,""))</f>
        <v/>
      </c>
      <c r="AD472" s="18" t="str">
        <f t="shared" si="105"/>
        <v/>
      </c>
      <c r="AE472" s="18" t="str">
        <f t="shared" si="106"/>
        <v/>
      </c>
      <c r="AF472" s="18" t="str">
        <f t="shared" si="107"/>
        <v/>
      </c>
      <c r="AG472" s="18" t="str">
        <f>IF(OR(O472="",AD472=""),"",IFERROR(INDEX(لیست‌ها!$Q$3:$Q$53,MATCH(AD472,لیست‌ها!$P$3:$P$53,0))+IF(AE472&lt;=6,(AE472-1)*31+AF472,IF(AE472&lt;=11,186+(AE472-7)*30+AF472,336+AF472))-1,""))</f>
        <v/>
      </c>
      <c r="AH472" s="18" t="str">
        <f t="shared" si="108"/>
        <v/>
      </c>
      <c r="AI472" s="18" t="str">
        <f t="shared" si="109"/>
        <v/>
      </c>
      <c r="AJ472" s="18" t="str">
        <f t="shared" ca="1" si="110"/>
        <v/>
      </c>
    </row>
    <row r="473" spans="1:36">
      <c r="A473" s="18">
        <v>470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8" t="str">
        <f t="shared" ca="1" si="98"/>
        <v/>
      </c>
      <c r="U473" s="18">
        <f t="shared" ca="1" si="111"/>
        <v>0</v>
      </c>
      <c r="V473" s="18" t="str">
        <f t="shared" si="99"/>
        <v/>
      </c>
      <c r="W473" s="18" t="str">
        <f t="shared" si="100"/>
        <v/>
      </c>
      <c r="X473" s="18" t="str">
        <f t="shared" si="101"/>
        <v/>
      </c>
      <c r="Y473" s="19" t="str">
        <f>IF(OR(L473="",V473=""),"",IFERROR(INDEX(لیست‌ها!$Q$3:$Q$53,MATCH(V473,لیست‌ها!$P$3:$P$53,0))+IF(W473&lt;=6,(W473-1)*31+X473,IF(W473&lt;=11,186+(W473-7)*30+X473,336+X473))-1,""))</f>
        <v/>
      </c>
      <c r="Z473" s="18" t="str">
        <f t="shared" si="102"/>
        <v/>
      </c>
      <c r="AA473" s="18" t="str">
        <f t="shared" si="103"/>
        <v/>
      </c>
      <c r="AB473" s="18" t="str">
        <f t="shared" si="104"/>
        <v/>
      </c>
      <c r="AC473" s="19" t="str">
        <f>IF(OR(H473="",Z473=""),"",IFERROR(INDEX(لیست‌ها!$Q$3:$Q$53,MATCH(Z473,لیست‌ها!$P$3:$P$53,0))+IF(AA473&lt;=6,(AA473-1)*31+AB473,IF(AA473&lt;=11,186+(AA473-7)*30+AB473,336+AB473))-1,""))</f>
        <v/>
      </c>
      <c r="AD473" s="18" t="str">
        <f t="shared" si="105"/>
        <v/>
      </c>
      <c r="AE473" s="18" t="str">
        <f t="shared" si="106"/>
        <v/>
      </c>
      <c r="AF473" s="18" t="str">
        <f t="shared" si="107"/>
        <v/>
      </c>
      <c r="AG473" s="18" t="str">
        <f>IF(OR(O473="",AD473=""),"",IFERROR(INDEX(لیست‌ها!$Q$3:$Q$53,MATCH(AD473,لیست‌ها!$P$3:$P$53,0))+IF(AE473&lt;=6,(AE473-1)*31+AF473,IF(AE473&lt;=11,186+(AE473-7)*30+AF473,336+AF473))-1,""))</f>
        <v/>
      </c>
      <c r="AH473" s="18" t="str">
        <f t="shared" si="108"/>
        <v/>
      </c>
      <c r="AI473" s="18" t="str">
        <f t="shared" si="109"/>
        <v/>
      </c>
      <c r="AJ473" s="18" t="str">
        <f t="shared" ca="1" si="110"/>
        <v/>
      </c>
    </row>
    <row r="474" spans="1:36">
      <c r="A474" s="18">
        <v>471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8" t="str">
        <f t="shared" ca="1" si="98"/>
        <v/>
      </c>
      <c r="U474" s="18">
        <f t="shared" ca="1" si="111"/>
        <v>0</v>
      </c>
      <c r="V474" s="18" t="str">
        <f t="shared" si="99"/>
        <v/>
      </c>
      <c r="W474" s="18" t="str">
        <f t="shared" si="100"/>
        <v/>
      </c>
      <c r="X474" s="18" t="str">
        <f t="shared" si="101"/>
        <v/>
      </c>
      <c r="Y474" s="19" t="str">
        <f>IF(OR(L474="",V474=""),"",IFERROR(INDEX(لیست‌ها!$Q$3:$Q$53,MATCH(V474,لیست‌ها!$P$3:$P$53,0))+IF(W474&lt;=6,(W474-1)*31+X474,IF(W474&lt;=11,186+(W474-7)*30+X474,336+X474))-1,""))</f>
        <v/>
      </c>
      <c r="Z474" s="18" t="str">
        <f t="shared" si="102"/>
        <v/>
      </c>
      <c r="AA474" s="18" t="str">
        <f t="shared" si="103"/>
        <v/>
      </c>
      <c r="AB474" s="18" t="str">
        <f t="shared" si="104"/>
        <v/>
      </c>
      <c r="AC474" s="19" t="str">
        <f>IF(OR(H474="",Z474=""),"",IFERROR(INDEX(لیست‌ها!$Q$3:$Q$53,MATCH(Z474,لیست‌ها!$P$3:$P$53,0))+IF(AA474&lt;=6,(AA474-1)*31+AB474,IF(AA474&lt;=11,186+(AA474-7)*30+AB474,336+AB474))-1,""))</f>
        <v/>
      </c>
      <c r="AD474" s="18" t="str">
        <f t="shared" si="105"/>
        <v/>
      </c>
      <c r="AE474" s="18" t="str">
        <f t="shared" si="106"/>
        <v/>
      </c>
      <c r="AF474" s="18" t="str">
        <f t="shared" si="107"/>
        <v/>
      </c>
      <c r="AG474" s="18" t="str">
        <f>IF(OR(O474="",AD474=""),"",IFERROR(INDEX(لیست‌ها!$Q$3:$Q$53,MATCH(AD474,لیست‌ها!$P$3:$P$53,0))+IF(AE474&lt;=6,(AE474-1)*31+AF474,IF(AE474&lt;=11,186+(AE474-7)*30+AF474,336+AF474))-1,""))</f>
        <v/>
      </c>
      <c r="AH474" s="18" t="str">
        <f t="shared" si="108"/>
        <v/>
      </c>
      <c r="AI474" s="18" t="str">
        <f t="shared" si="109"/>
        <v/>
      </c>
      <c r="AJ474" s="18" t="str">
        <f t="shared" ca="1" si="110"/>
        <v/>
      </c>
    </row>
    <row r="475" spans="1:36">
      <c r="A475" s="18">
        <v>472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8" t="str">
        <f t="shared" ca="1" si="98"/>
        <v/>
      </c>
      <c r="U475" s="18">
        <f t="shared" ca="1" si="111"/>
        <v>0</v>
      </c>
      <c r="V475" s="18" t="str">
        <f t="shared" si="99"/>
        <v/>
      </c>
      <c r="W475" s="18" t="str">
        <f t="shared" si="100"/>
        <v/>
      </c>
      <c r="X475" s="18" t="str">
        <f t="shared" si="101"/>
        <v/>
      </c>
      <c r="Y475" s="19" t="str">
        <f>IF(OR(L475="",V475=""),"",IFERROR(INDEX(لیست‌ها!$Q$3:$Q$53,MATCH(V475,لیست‌ها!$P$3:$P$53,0))+IF(W475&lt;=6,(W475-1)*31+X475,IF(W475&lt;=11,186+(W475-7)*30+X475,336+X475))-1,""))</f>
        <v/>
      </c>
      <c r="Z475" s="18" t="str">
        <f t="shared" si="102"/>
        <v/>
      </c>
      <c r="AA475" s="18" t="str">
        <f t="shared" si="103"/>
        <v/>
      </c>
      <c r="AB475" s="18" t="str">
        <f t="shared" si="104"/>
        <v/>
      </c>
      <c r="AC475" s="19" t="str">
        <f>IF(OR(H475="",Z475=""),"",IFERROR(INDEX(لیست‌ها!$Q$3:$Q$53,MATCH(Z475,لیست‌ها!$P$3:$P$53,0))+IF(AA475&lt;=6,(AA475-1)*31+AB475,IF(AA475&lt;=11,186+(AA475-7)*30+AB475,336+AB475))-1,""))</f>
        <v/>
      </c>
      <c r="AD475" s="18" t="str">
        <f t="shared" si="105"/>
        <v/>
      </c>
      <c r="AE475" s="18" t="str">
        <f t="shared" si="106"/>
        <v/>
      </c>
      <c r="AF475" s="18" t="str">
        <f t="shared" si="107"/>
        <v/>
      </c>
      <c r="AG475" s="18" t="str">
        <f>IF(OR(O475="",AD475=""),"",IFERROR(INDEX(لیست‌ها!$Q$3:$Q$53,MATCH(AD475,لیست‌ها!$P$3:$P$53,0))+IF(AE475&lt;=6,(AE475-1)*31+AF475,IF(AE475&lt;=11,186+(AE475-7)*30+AF475,336+AF475))-1,""))</f>
        <v/>
      </c>
      <c r="AH475" s="18" t="str">
        <f t="shared" si="108"/>
        <v/>
      </c>
      <c r="AI475" s="18" t="str">
        <f t="shared" si="109"/>
        <v/>
      </c>
      <c r="AJ475" s="18" t="str">
        <f t="shared" ca="1" si="110"/>
        <v/>
      </c>
    </row>
    <row r="476" spans="1:36">
      <c r="A476" s="18">
        <v>473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8" t="str">
        <f t="shared" ca="1" si="98"/>
        <v/>
      </c>
      <c r="U476" s="18">
        <f t="shared" ca="1" si="111"/>
        <v>0</v>
      </c>
      <c r="V476" s="18" t="str">
        <f t="shared" si="99"/>
        <v/>
      </c>
      <c r="W476" s="18" t="str">
        <f t="shared" si="100"/>
        <v/>
      </c>
      <c r="X476" s="18" t="str">
        <f t="shared" si="101"/>
        <v/>
      </c>
      <c r="Y476" s="19" t="str">
        <f>IF(OR(L476="",V476=""),"",IFERROR(INDEX(لیست‌ها!$Q$3:$Q$53,MATCH(V476,لیست‌ها!$P$3:$P$53,0))+IF(W476&lt;=6,(W476-1)*31+X476,IF(W476&lt;=11,186+(W476-7)*30+X476,336+X476))-1,""))</f>
        <v/>
      </c>
      <c r="Z476" s="18" t="str">
        <f t="shared" si="102"/>
        <v/>
      </c>
      <c r="AA476" s="18" t="str">
        <f t="shared" si="103"/>
        <v/>
      </c>
      <c r="AB476" s="18" t="str">
        <f t="shared" si="104"/>
        <v/>
      </c>
      <c r="AC476" s="19" t="str">
        <f>IF(OR(H476="",Z476=""),"",IFERROR(INDEX(لیست‌ها!$Q$3:$Q$53,MATCH(Z476,لیست‌ها!$P$3:$P$53,0))+IF(AA476&lt;=6,(AA476-1)*31+AB476,IF(AA476&lt;=11,186+(AA476-7)*30+AB476,336+AB476))-1,""))</f>
        <v/>
      </c>
      <c r="AD476" s="18" t="str">
        <f t="shared" si="105"/>
        <v/>
      </c>
      <c r="AE476" s="18" t="str">
        <f t="shared" si="106"/>
        <v/>
      </c>
      <c r="AF476" s="18" t="str">
        <f t="shared" si="107"/>
        <v/>
      </c>
      <c r="AG476" s="18" t="str">
        <f>IF(OR(O476="",AD476=""),"",IFERROR(INDEX(لیست‌ها!$Q$3:$Q$53,MATCH(AD476,لیست‌ها!$P$3:$P$53,0))+IF(AE476&lt;=6,(AE476-1)*31+AF476,IF(AE476&lt;=11,186+(AE476-7)*30+AF476,336+AF476))-1,""))</f>
        <v/>
      </c>
      <c r="AH476" s="18" t="str">
        <f t="shared" si="108"/>
        <v/>
      </c>
      <c r="AI476" s="18" t="str">
        <f t="shared" si="109"/>
        <v/>
      </c>
      <c r="AJ476" s="18" t="str">
        <f t="shared" ca="1" si="110"/>
        <v/>
      </c>
    </row>
    <row r="477" spans="1:36">
      <c r="A477" s="18">
        <v>474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8" t="str">
        <f t="shared" ca="1" si="98"/>
        <v/>
      </c>
      <c r="U477" s="18">
        <f t="shared" ca="1" si="111"/>
        <v>0</v>
      </c>
      <c r="V477" s="18" t="str">
        <f t="shared" si="99"/>
        <v/>
      </c>
      <c r="W477" s="18" t="str">
        <f t="shared" si="100"/>
        <v/>
      </c>
      <c r="X477" s="18" t="str">
        <f t="shared" si="101"/>
        <v/>
      </c>
      <c r="Y477" s="19" t="str">
        <f>IF(OR(L477="",V477=""),"",IFERROR(INDEX(لیست‌ها!$Q$3:$Q$53,MATCH(V477,لیست‌ها!$P$3:$P$53,0))+IF(W477&lt;=6,(W477-1)*31+X477,IF(W477&lt;=11,186+(W477-7)*30+X477,336+X477))-1,""))</f>
        <v/>
      </c>
      <c r="Z477" s="18" t="str">
        <f t="shared" si="102"/>
        <v/>
      </c>
      <c r="AA477" s="18" t="str">
        <f t="shared" si="103"/>
        <v/>
      </c>
      <c r="AB477" s="18" t="str">
        <f t="shared" si="104"/>
        <v/>
      </c>
      <c r="AC477" s="19" t="str">
        <f>IF(OR(H477="",Z477=""),"",IFERROR(INDEX(لیست‌ها!$Q$3:$Q$53,MATCH(Z477,لیست‌ها!$P$3:$P$53,0))+IF(AA477&lt;=6,(AA477-1)*31+AB477,IF(AA477&lt;=11,186+(AA477-7)*30+AB477,336+AB477))-1,""))</f>
        <v/>
      </c>
      <c r="AD477" s="18" t="str">
        <f t="shared" si="105"/>
        <v/>
      </c>
      <c r="AE477" s="18" t="str">
        <f t="shared" si="106"/>
        <v/>
      </c>
      <c r="AF477" s="18" t="str">
        <f t="shared" si="107"/>
        <v/>
      </c>
      <c r="AG477" s="18" t="str">
        <f>IF(OR(O477="",AD477=""),"",IFERROR(INDEX(لیست‌ها!$Q$3:$Q$53,MATCH(AD477,لیست‌ها!$P$3:$P$53,0))+IF(AE477&lt;=6,(AE477-1)*31+AF477,IF(AE477&lt;=11,186+(AE477-7)*30+AF477,336+AF477))-1,""))</f>
        <v/>
      </c>
      <c r="AH477" s="18" t="str">
        <f t="shared" si="108"/>
        <v/>
      </c>
      <c r="AI477" s="18" t="str">
        <f t="shared" si="109"/>
        <v/>
      </c>
      <c r="AJ477" s="18" t="str">
        <f t="shared" ca="1" si="110"/>
        <v/>
      </c>
    </row>
    <row r="478" spans="1:36">
      <c r="A478" s="18">
        <v>475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8" t="str">
        <f t="shared" ca="1" si="98"/>
        <v/>
      </c>
      <c r="U478" s="18">
        <f t="shared" ca="1" si="111"/>
        <v>0</v>
      </c>
      <c r="V478" s="18" t="str">
        <f t="shared" si="99"/>
        <v/>
      </c>
      <c r="W478" s="18" t="str">
        <f t="shared" si="100"/>
        <v/>
      </c>
      <c r="X478" s="18" t="str">
        <f t="shared" si="101"/>
        <v/>
      </c>
      <c r="Y478" s="19" t="str">
        <f>IF(OR(L478="",V478=""),"",IFERROR(INDEX(لیست‌ها!$Q$3:$Q$53,MATCH(V478,لیست‌ها!$P$3:$P$53,0))+IF(W478&lt;=6,(W478-1)*31+X478,IF(W478&lt;=11,186+(W478-7)*30+X478,336+X478))-1,""))</f>
        <v/>
      </c>
      <c r="Z478" s="18" t="str">
        <f t="shared" si="102"/>
        <v/>
      </c>
      <c r="AA478" s="18" t="str">
        <f t="shared" si="103"/>
        <v/>
      </c>
      <c r="AB478" s="18" t="str">
        <f t="shared" si="104"/>
        <v/>
      </c>
      <c r="AC478" s="19" t="str">
        <f>IF(OR(H478="",Z478=""),"",IFERROR(INDEX(لیست‌ها!$Q$3:$Q$53,MATCH(Z478,لیست‌ها!$P$3:$P$53,0))+IF(AA478&lt;=6,(AA478-1)*31+AB478,IF(AA478&lt;=11,186+(AA478-7)*30+AB478,336+AB478))-1,""))</f>
        <v/>
      </c>
      <c r="AD478" s="18" t="str">
        <f t="shared" si="105"/>
        <v/>
      </c>
      <c r="AE478" s="18" t="str">
        <f t="shared" si="106"/>
        <v/>
      </c>
      <c r="AF478" s="18" t="str">
        <f t="shared" si="107"/>
        <v/>
      </c>
      <c r="AG478" s="18" t="str">
        <f>IF(OR(O478="",AD478=""),"",IFERROR(INDEX(لیست‌ها!$Q$3:$Q$53,MATCH(AD478,لیست‌ها!$P$3:$P$53,0))+IF(AE478&lt;=6,(AE478-1)*31+AF478,IF(AE478&lt;=11,186+(AE478-7)*30+AF478,336+AF478))-1,""))</f>
        <v/>
      </c>
      <c r="AH478" s="18" t="str">
        <f t="shared" si="108"/>
        <v/>
      </c>
      <c r="AI478" s="18" t="str">
        <f t="shared" si="109"/>
        <v/>
      </c>
      <c r="AJ478" s="18" t="str">
        <f t="shared" ca="1" si="110"/>
        <v/>
      </c>
    </row>
    <row r="479" spans="1:36">
      <c r="A479" s="18">
        <v>476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8" t="str">
        <f t="shared" ca="1" si="98"/>
        <v/>
      </c>
      <c r="U479" s="18">
        <f t="shared" ca="1" si="111"/>
        <v>0</v>
      </c>
      <c r="V479" s="18" t="str">
        <f t="shared" si="99"/>
        <v/>
      </c>
      <c r="W479" s="18" t="str">
        <f t="shared" si="100"/>
        <v/>
      </c>
      <c r="X479" s="18" t="str">
        <f t="shared" si="101"/>
        <v/>
      </c>
      <c r="Y479" s="19" t="str">
        <f>IF(OR(L479="",V479=""),"",IFERROR(INDEX(لیست‌ها!$Q$3:$Q$53,MATCH(V479,لیست‌ها!$P$3:$P$53,0))+IF(W479&lt;=6,(W479-1)*31+X479,IF(W479&lt;=11,186+(W479-7)*30+X479,336+X479))-1,""))</f>
        <v/>
      </c>
      <c r="Z479" s="18" t="str">
        <f t="shared" si="102"/>
        <v/>
      </c>
      <c r="AA479" s="18" t="str">
        <f t="shared" si="103"/>
        <v/>
      </c>
      <c r="AB479" s="18" t="str">
        <f t="shared" si="104"/>
        <v/>
      </c>
      <c r="AC479" s="19" t="str">
        <f>IF(OR(H479="",Z479=""),"",IFERROR(INDEX(لیست‌ها!$Q$3:$Q$53,MATCH(Z479,لیست‌ها!$P$3:$P$53,0))+IF(AA479&lt;=6,(AA479-1)*31+AB479,IF(AA479&lt;=11,186+(AA479-7)*30+AB479,336+AB479))-1,""))</f>
        <v/>
      </c>
      <c r="AD479" s="18" t="str">
        <f t="shared" si="105"/>
        <v/>
      </c>
      <c r="AE479" s="18" t="str">
        <f t="shared" si="106"/>
        <v/>
      </c>
      <c r="AF479" s="18" t="str">
        <f t="shared" si="107"/>
        <v/>
      </c>
      <c r="AG479" s="18" t="str">
        <f>IF(OR(O479="",AD479=""),"",IFERROR(INDEX(لیست‌ها!$Q$3:$Q$53,MATCH(AD479,لیست‌ها!$P$3:$P$53,0))+IF(AE479&lt;=6,(AE479-1)*31+AF479,IF(AE479&lt;=11,186+(AE479-7)*30+AF479,336+AF479))-1,""))</f>
        <v/>
      </c>
      <c r="AH479" s="18" t="str">
        <f t="shared" si="108"/>
        <v/>
      </c>
      <c r="AI479" s="18" t="str">
        <f t="shared" si="109"/>
        <v/>
      </c>
      <c r="AJ479" s="18" t="str">
        <f t="shared" ca="1" si="110"/>
        <v/>
      </c>
    </row>
    <row r="480" spans="1:36">
      <c r="A480" s="18">
        <v>477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8" t="str">
        <f t="shared" ca="1" si="98"/>
        <v/>
      </c>
      <c r="U480" s="18">
        <f t="shared" ca="1" si="111"/>
        <v>0</v>
      </c>
      <c r="V480" s="18" t="str">
        <f t="shared" si="99"/>
        <v/>
      </c>
      <c r="W480" s="18" t="str">
        <f t="shared" si="100"/>
        <v/>
      </c>
      <c r="X480" s="18" t="str">
        <f t="shared" si="101"/>
        <v/>
      </c>
      <c r="Y480" s="19" t="str">
        <f>IF(OR(L480="",V480=""),"",IFERROR(INDEX(لیست‌ها!$Q$3:$Q$53,MATCH(V480,لیست‌ها!$P$3:$P$53,0))+IF(W480&lt;=6,(W480-1)*31+X480,IF(W480&lt;=11,186+(W480-7)*30+X480,336+X480))-1,""))</f>
        <v/>
      </c>
      <c r="Z480" s="18" t="str">
        <f t="shared" si="102"/>
        <v/>
      </c>
      <c r="AA480" s="18" t="str">
        <f t="shared" si="103"/>
        <v/>
      </c>
      <c r="AB480" s="18" t="str">
        <f t="shared" si="104"/>
        <v/>
      </c>
      <c r="AC480" s="19" t="str">
        <f>IF(OR(H480="",Z480=""),"",IFERROR(INDEX(لیست‌ها!$Q$3:$Q$53,MATCH(Z480,لیست‌ها!$P$3:$P$53,0))+IF(AA480&lt;=6,(AA480-1)*31+AB480,IF(AA480&lt;=11,186+(AA480-7)*30+AB480,336+AB480))-1,""))</f>
        <v/>
      </c>
      <c r="AD480" s="18" t="str">
        <f t="shared" si="105"/>
        <v/>
      </c>
      <c r="AE480" s="18" t="str">
        <f t="shared" si="106"/>
        <v/>
      </c>
      <c r="AF480" s="18" t="str">
        <f t="shared" si="107"/>
        <v/>
      </c>
      <c r="AG480" s="18" t="str">
        <f>IF(OR(O480="",AD480=""),"",IFERROR(INDEX(لیست‌ها!$Q$3:$Q$53,MATCH(AD480,لیست‌ها!$P$3:$P$53,0))+IF(AE480&lt;=6,(AE480-1)*31+AF480,IF(AE480&lt;=11,186+(AE480-7)*30+AF480,336+AF480))-1,""))</f>
        <v/>
      </c>
      <c r="AH480" s="18" t="str">
        <f t="shared" si="108"/>
        <v/>
      </c>
      <c r="AI480" s="18" t="str">
        <f t="shared" si="109"/>
        <v/>
      </c>
      <c r="AJ480" s="18" t="str">
        <f t="shared" ca="1" si="110"/>
        <v/>
      </c>
    </row>
    <row r="481" spans="1:36">
      <c r="A481" s="18">
        <v>478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8" t="str">
        <f t="shared" ca="1" si="98"/>
        <v/>
      </c>
      <c r="U481" s="18">
        <f t="shared" ca="1" si="111"/>
        <v>0</v>
      </c>
      <c r="V481" s="18" t="str">
        <f t="shared" si="99"/>
        <v/>
      </c>
      <c r="W481" s="18" t="str">
        <f t="shared" si="100"/>
        <v/>
      </c>
      <c r="X481" s="18" t="str">
        <f t="shared" si="101"/>
        <v/>
      </c>
      <c r="Y481" s="19" t="str">
        <f>IF(OR(L481="",V481=""),"",IFERROR(INDEX(لیست‌ها!$Q$3:$Q$53,MATCH(V481,لیست‌ها!$P$3:$P$53,0))+IF(W481&lt;=6,(W481-1)*31+X481,IF(W481&lt;=11,186+(W481-7)*30+X481,336+X481))-1,""))</f>
        <v/>
      </c>
      <c r="Z481" s="18" t="str">
        <f t="shared" si="102"/>
        <v/>
      </c>
      <c r="AA481" s="18" t="str">
        <f t="shared" si="103"/>
        <v/>
      </c>
      <c r="AB481" s="18" t="str">
        <f t="shared" si="104"/>
        <v/>
      </c>
      <c r="AC481" s="19" t="str">
        <f>IF(OR(H481="",Z481=""),"",IFERROR(INDEX(لیست‌ها!$Q$3:$Q$53,MATCH(Z481,لیست‌ها!$P$3:$P$53,0))+IF(AA481&lt;=6,(AA481-1)*31+AB481,IF(AA481&lt;=11,186+(AA481-7)*30+AB481,336+AB481))-1,""))</f>
        <v/>
      </c>
      <c r="AD481" s="18" t="str">
        <f t="shared" si="105"/>
        <v/>
      </c>
      <c r="AE481" s="18" t="str">
        <f t="shared" si="106"/>
        <v/>
      </c>
      <c r="AF481" s="18" t="str">
        <f t="shared" si="107"/>
        <v/>
      </c>
      <c r="AG481" s="18" t="str">
        <f>IF(OR(O481="",AD481=""),"",IFERROR(INDEX(لیست‌ها!$Q$3:$Q$53,MATCH(AD481,لیست‌ها!$P$3:$P$53,0))+IF(AE481&lt;=6,(AE481-1)*31+AF481,IF(AE481&lt;=11,186+(AE481-7)*30+AF481,336+AF481))-1,""))</f>
        <v/>
      </c>
      <c r="AH481" s="18" t="str">
        <f t="shared" si="108"/>
        <v/>
      </c>
      <c r="AI481" s="18" t="str">
        <f t="shared" si="109"/>
        <v/>
      </c>
      <c r="AJ481" s="18" t="str">
        <f t="shared" ca="1" si="110"/>
        <v/>
      </c>
    </row>
    <row r="482" spans="1:36">
      <c r="A482" s="18">
        <v>479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8" t="str">
        <f t="shared" ca="1" si="98"/>
        <v/>
      </c>
      <c r="U482" s="18">
        <f t="shared" ca="1" si="111"/>
        <v>0</v>
      </c>
      <c r="V482" s="18" t="str">
        <f t="shared" si="99"/>
        <v/>
      </c>
      <c r="W482" s="18" t="str">
        <f t="shared" si="100"/>
        <v/>
      </c>
      <c r="X482" s="18" t="str">
        <f t="shared" si="101"/>
        <v/>
      </c>
      <c r="Y482" s="19" t="str">
        <f>IF(OR(L482="",V482=""),"",IFERROR(INDEX(لیست‌ها!$Q$3:$Q$53,MATCH(V482,لیست‌ها!$P$3:$P$53,0))+IF(W482&lt;=6,(W482-1)*31+X482,IF(W482&lt;=11,186+(W482-7)*30+X482,336+X482))-1,""))</f>
        <v/>
      </c>
      <c r="Z482" s="18" t="str">
        <f t="shared" si="102"/>
        <v/>
      </c>
      <c r="AA482" s="18" t="str">
        <f t="shared" si="103"/>
        <v/>
      </c>
      <c r="AB482" s="18" t="str">
        <f t="shared" si="104"/>
        <v/>
      </c>
      <c r="AC482" s="19" t="str">
        <f>IF(OR(H482="",Z482=""),"",IFERROR(INDEX(لیست‌ها!$Q$3:$Q$53,MATCH(Z482,لیست‌ها!$P$3:$P$53,0))+IF(AA482&lt;=6,(AA482-1)*31+AB482,IF(AA482&lt;=11,186+(AA482-7)*30+AB482,336+AB482))-1,""))</f>
        <v/>
      </c>
      <c r="AD482" s="18" t="str">
        <f t="shared" si="105"/>
        <v/>
      </c>
      <c r="AE482" s="18" t="str">
        <f t="shared" si="106"/>
        <v/>
      </c>
      <c r="AF482" s="18" t="str">
        <f t="shared" si="107"/>
        <v/>
      </c>
      <c r="AG482" s="18" t="str">
        <f>IF(OR(O482="",AD482=""),"",IFERROR(INDEX(لیست‌ها!$Q$3:$Q$53,MATCH(AD482,لیست‌ها!$P$3:$P$53,0))+IF(AE482&lt;=6,(AE482-1)*31+AF482,IF(AE482&lt;=11,186+(AE482-7)*30+AF482,336+AF482))-1,""))</f>
        <v/>
      </c>
      <c r="AH482" s="18" t="str">
        <f t="shared" si="108"/>
        <v/>
      </c>
      <c r="AI482" s="18" t="str">
        <f t="shared" si="109"/>
        <v/>
      </c>
      <c r="AJ482" s="18" t="str">
        <f t="shared" ca="1" si="110"/>
        <v/>
      </c>
    </row>
    <row r="483" spans="1:36">
      <c r="A483" s="18">
        <v>480</v>
      </c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8" t="str">
        <f t="shared" ca="1" si="98"/>
        <v/>
      </c>
      <c r="U483" s="18">
        <f t="shared" ca="1" si="111"/>
        <v>0</v>
      </c>
      <c r="V483" s="18" t="str">
        <f t="shared" si="99"/>
        <v/>
      </c>
      <c r="W483" s="18" t="str">
        <f t="shared" si="100"/>
        <v/>
      </c>
      <c r="X483" s="18" t="str">
        <f t="shared" si="101"/>
        <v/>
      </c>
      <c r="Y483" s="19" t="str">
        <f>IF(OR(L483="",V483=""),"",IFERROR(INDEX(لیست‌ها!$Q$3:$Q$53,MATCH(V483,لیست‌ها!$P$3:$P$53,0))+IF(W483&lt;=6,(W483-1)*31+X483,IF(W483&lt;=11,186+(W483-7)*30+X483,336+X483))-1,""))</f>
        <v/>
      </c>
      <c r="Z483" s="18" t="str">
        <f t="shared" si="102"/>
        <v/>
      </c>
      <c r="AA483" s="18" t="str">
        <f t="shared" si="103"/>
        <v/>
      </c>
      <c r="AB483" s="18" t="str">
        <f t="shared" si="104"/>
        <v/>
      </c>
      <c r="AC483" s="19" t="str">
        <f>IF(OR(H483="",Z483=""),"",IFERROR(INDEX(لیست‌ها!$Q$3:$Q$53,MATCH(Z483,لیست‌ها!$P$3:$P$53,0))+IF(AA483&lt;=6,(AA483-1)*31+AB483,IF(AA483&lt;=11,186+(AA483-7)*30+AB483,336+AB483))-1,""))</f>
        <v/>
      </c>
      <c r="AD483" s="18" t="str">
        <f t="shared" si="105"/>
        <v/>
      </c>
      <c r="AE483" s="18" t="str">
        <f t="shared" si="106"/>
        <v/>
      </c>
      <c r="AF483" s="18" t="str">
        <f t="shared" si="107"/>
        <v/>
      </c>
      <c r="AG483" s="18" t="str">
        <f>IF(OR(O483="",AD483=""),"",IFERROR(INDEX(لیست‌ها!$Q$3:$Q$53,MATCH(AD483,لیست‌ها!$P$3:$P$53,0))+IF(AE483&lt;=6,(AE483-1)*31+AF483,IF(AE483&lt;=11,186+(AE483-7)*30+AF483,336+AF483))-1,""))</f>
        <v/>
      </c>
      <c r="AH483" s="18" t="str">
        <f t="shared" si="108"/>
        <v/>
      </c>
      <c r="AI483" s="18" t="str">
        <f t="shared" si="109"/>
        <v/>
      </c>
      <c r="AJ483" s="18" t="str">
        <f t="shared" ca="1" si="110"/>
        <v/>
      </c>
    </row>
    <row r="484" spans="1:36">
      <c r="A484" s="18">
        <v>481</v>
      </c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8" t="str">
        <f t="shared" ca="1" si="98"/>
        <v/>
      </c>
      <c r="U484" s="18">
        <f t="shared" ca="1" si="111"/>
        <v>0</v>
      </c>
      <c r="V484" s="18" t="str">
        <f t="shared" si="99"/>
        <v/>
      </c>
      <c r="W484" s="18" t="str">
        <f t="shared" si="100"/>
        <v/>
      </c>
      <c r="X484" s="18" t="str">
        <f t="shared" si="101"/>
        <v/>
      </c>
      <c r="Y484" s="19" t="str">
        <f>IF(OR(L484="",V484=""),"",IFERROR(INDEX(لیست‌ها!$Q$3:$Q$53,MATCH(V484,لیست‌ها!$P$3:$P$53,0))+IF(W484&lt;=6,(W484-1)*31+X484,IF(W484&lt;=11,186+(W484-7)*30+X484,336+X484))-1,""))</f>
        <v/>
      </c>
      <c r="Z484" s="18" t="str">
        <f t="shared" si="102"/>
        <v/>
      </c>
      <c r="AA484" s="18" t="str">
        <f t="shared" si="103"/>
        <v/>
      </c>
      <c r="AB484" s="18" t="str">
        <f t="shared" si="104"/>
        <v/>
      </c>
      <c r="AC484" s="19" t="str">
        <f>IF(OR(H484="",Z484=""),"",IFERROR(INDEX(لیست‌ها!$Q$3:$Q$53,MATCH(Z484,لیست‌ها!$P$3:$P$53,0))+IF(AA484&lt;=6,(AA484-1)*31+AB484,IF(AA484&lt;=11,186+(AA484-7)*30+AB484,336+AB484))-1,""))</f>
        <v/>
      </c>
      <c r="AD484" s="18" t="str">
        <f t="shared" si="105"/>
        <v/>
      </c>
      <c r="AE484" s="18" t="str">
        <f t="shared" si="106"/>
        <v/>
      </c>
      <c r="AF484" s="18" t="str">
        <f t="shared" si="107"/>
        <v/>
      </c>
      <c r="AG484" s="18" t="str">
        <f>IF(OR(O484="",AD484=""),"",IFERROR(INDEX(لیست‌ها!$Q$3:$Q$53,MATCH(AD484,لیست‌ها!$P$3:$P$53,0))+IF(AE484&lt;=6,(AE484-1)*31+AF484,IF(AE484&lt;=11,186+(AE484-7)*30+AF484,336+AF484))-1,""))</f>
        <v/>
      </c>
      <c r="AH484" s="18" t="str">
        <f t="shared" si="108"/>
        <v/>
      </c>
      <c r="AI484" s="18" t="str">
        <f t="shared" si="109"/>
        <v/>
      </c>
      <c r="AJ484" s="18" t="str">
        <f t="shared" ca="1" si="110"/>
        <v/>
      </c>
    </row>
    <row r="485" spans="1:36">
      <c r="A485" s="18">
        <v>482</v>
      </c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8" t="str">
        <f t="shared" ca="1" si="98"/>
        <v/>
      </c>
      <c r="U485" s="18">
        <f t="shared" ca="1" si="111"/>
        <v>0</v>
      </c>
      <c r="V485" s="18" t="str">
        <f t="shared" si="99"/>
        <v/>
      </c>
      <c r="W485" s="18" t="str">
        <f t="shared" si="100"/>
        <v/>
      </c>
      <c r="X485" s="18" t="str">
        <f t="shared" si="101"/>
        <v/>
      </c>
      <c r="Y485" s="19" t="str">
        <f>IF(OR(L485="",V485=""),"",IFERROR(INDEX(لیست‌ها!$Q$3:$Q$53,MATCH(V485,لیست‌ها!$P$3:$P$53,0))+IF(W485&lt;=6,(W485-1)*31+X485,IF(W485&lt;=11,186+(W485-7)*30+X485,336+X485))-1,""))</f>
        <v/>
      </c>
      <c r="Z485" s="18" t="str">
        <f t="shared" si="102"/>
        <v/>
      </c>
      <c r="AA485" s="18" t="str">
        <f t="shared" si="103"/>
        <v/>
      </c>
      <c r="AB485" s="18" t="str">
        <f t="shared" si="104"/>
        <v/>
      </c>
      <c r="AC485" s="19" t="str">
        <f>IF(OR(H485="",Z485=""),"",IFERROR(INDEX(لیست‌ها!$Q$3:$Q$53,MATCH(Z485,لیست‌ها!$P$3:$P$53,0))+IF(AA485&lt;=6,(AA485-1)*31+AB485,IF(AA485&lt;=11,186+(AA485-7)*30+AB485,336+AB485))-1,""))</f>
        <v/>
      </c>
      <c r="AD485" s="18" t="str">
        <f t="shared" si="105"/>
        <v/>
      </c>
      <c r="AE485" s="18" t="str">
        <f t="shared" si="106"/>
        <v/>
      </c>
      <c r="AF485" s="18" t="str">
        <f t="shared" si="107"/>
        <v/>
      </c>
      <c r="AG485" s="18" t="str">
        <f>IF(OR(O485="",AD485=""),"",IFERROR(INDEX(لیست‌ها!$Q$3:$Q$53,MATCH(AD485,لیست‌ها!$P$3:$P$53,0))+IF(AE485&lt;=6,(AE485-1)*31+AF485,IF(AE485&lt;=11,186+(AE485-7)*30+AF485,336+AF485))-1,""))</f>
        <v/>
      </c>
      <c r="AH485" s="18" t="str">
        <f t="shared" si="108"/>
        <v/>
      </c>
      <c r="AI485" s="18" t="str">
        <f t="shared" si="109"/>
        <v/>
      </c>
      <c r="AJ485" s="18" t="str">
        <f t="shared" ca="1" si="110"/>
        <v/>
      </c>
    </row>
    <row r="486" spans="1:36">
      <c r="A486" s="18">
        <v>483</v>
      </c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8" t="str">
        <f t="shared" ca="1" si="98"/>
        <v/>
      </c>
      <c r="U486" s="18">
        <f t="shared" ca="1" si="111"/>
        <v>0</v>
      </c>
      <c r="V486" s="18" t="str">
        <f t="shared" si="99"/>
        <v/>
      </c>
      <c r="W486" s="18" t="str">
        <f t="shared" si="100"/>
        <v/>
      </c>
      <c r="X486" s="18" t="str">
        <f t="shared" si="101"/>
        <v/>
      </c>
      <c r="Y486" s="19" t="str">
        <f>IF(OR(L486="",V486=""),"",IFERROR(INDEX(لیست‌ها!$Q$3:$Q$53,MATCH(V486,لیست‌ها!$P$3:$P$53,0))+IF(W486&lt;=6,(W486-1)*31+X486,IF(W486&lt;=11,186+(W486-7)*30+X486,336+X486))-1,""))</f>
        <v/>
      </c>
      <c r="Z486" s="18" t="str">
        <f t="shared" si="102"/>
        <v/>
      </c>
      <c r="AA486" s="18" t="str">
        <f t="shared" si="103"/>
        <v/>
      </c>
      <c r="AB486" s="18" t="str">
        <f t="shared" si="104"/>
        <v/>
      </c>
      <c r="AC486" s="19" t="str">
        <f>IF(OR(H486="",Z486=""),"",IFERROR(INDEX(لیست‌ها!$Q$3:$Q$53,MATCH(Z486,لیست‌ها!$P$3:$P$53,0))+IF(AA486&lt;=6,(AA486-1)*31+AB486,IF(AA486&lt;=11,186+(AA486-7)*30+AB486,336+AB486))-1,""))</f>
        <v/>
      </c>
      <c r="AD486" s="18" t="str">
        <f t="shared" si="105"/>
        <v/>
      </c>
      <c r="AE486" s="18" t="str">
        <f t="shared" si="106"/>
        <v/>
      </c>
      <c r="AF486" s="18" t="str">
        <f t="shared" si="107"/>
        <v/>
      </c>
      <c r="AG486" s="18" t="str">
        <f>IF(OR(O486="",AD486=""),"",IFERROR(INDEX(لیست‌ها!$Q$3:$Q$53,MATCH(AD486,لیست‌ها!$P$3:$P$53,0))+IF(AE486&lt;=6,(AE486-1)*31+AF486,IF(AE486&lt;=11,186+(AE486-7)*30+AF486,336+AF486))-1,""))</f>
        <v/>
      </c>
      <c r="AH486" s="18" t="str">
        <f t="shared" si="108"/>
        <v/>
      </c>
      <c r="AI486" s="18" t="str">
        <f t="shared" si="109"/>
        <v/>
      </c>
      <c r="AJ486" s="18" t="str">
        <f t="shared" ca="1" si="110"/>
        <v/>
      </c>
    </row>
    <row r="487" spans="1:36">
      <c r="A487" s="18">
        <v>484</v>
      </c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8" t="str">
        <f t="shared" ca="1" si="98"/>
        <v/>
      </c>
      <c r="U487" s="18">
        <f t="shared" ca="1" si="111"/>
        <v>0</v>
      </c>
      <c r="V487" s="18" t="str">
        <f t="shared" si="99"/>
        <v/>
      </c>
      <c r="W487" s="18" t="str">
        <f t="shared" si="100"/>
        <v/>
      </c>
      <c r="X487" s="18" t="str">
        <f t="shared" si="101"/>
        <v/>
      </c>
      <c r="Y487" s="19" t="str">
        <f>IF(OR(L487="",V487=""),"",IFERROR(INDEX(لیست‌ها!$Q$3:$Q$53,MATCH(V487,لیست‌ها!$P$3:$P$53,0))+IF(W487&lt;=6,(W487-1)*31+X487,IF(W487&lt;=11,186+(W487-7)*30+X487,336+X487))-1,""))</f>
        <v/>
      </c>
      <c r="Z487" s="18" t="str">
        <f t="shared" si="102"/>
        <v/>
      </c>
      <c r="AA487" s="18" t="str">
        <f t="shared" si="103"/>
        <v/>
      </c>
      <c r="AB487" s="18" t="str">
        <f t="shared" si="104"/>
        <v/>
      </c>
      <c r="AC487" s="19" t="str">
        <f>IF(OR(H487="",Z487=""),"",IFERROR(INDEX(لیست‌ها!$Q$3:$Q$53,MATCH(Z487,لیست‌ها!$P$3:$P$53,0))+IF(AA487&lt;=6,(AA487-1)*31+AB487,IF(AA487&lt;=11,186+(AA487-7)*30+AB487,336+AB487))-1,""))</f>
        <v/>
      </c>
      <c r="AD487" s="18" t="str">
        <f t="shared" si="105"/>
        <v/>
      </c>
      <c r="AE487" s="18" t="str">
        <f t="shared" si="106"/>
        <v/>
      </c>
      <c r="AF487" s="18" t="str">
        <f t="shared" si="107"/>
        <v/>
      </c>
      <c r="AG487" s="18" t="str">
        <f>IF(OR(O487="",AD487=""),"",IFERROR(INDEX(لیست‌ها!$Q$3:$Q$53,MATCH(AD487,لیست‌ها!$P$3:$P$53,0))+IF(AE487&lt;=6,(AE487-1)*31+AF487,IF(AE487&lt;=11,186+(AE487-7)*30+AF487,336+AF487))-1,""))</f>
        <v/>
      </c>
      <c r="AH487" s="18" t="str">
        <f t="shared" si="108"/>
        <v/>
      </c>
      <c r="AI487" s="18" t="str">
        <f t="shared" si="109"/>
        <v/>
      </c>
      <c r="AJ487" s="18" t="str">
        <f t="shared" ca="1" si="110"/>
        <v/>
      </c>
    </row>
    <row r="488" spans="1:36">
      <c r="A488" s="18">
        <v>485</v>
      </c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8" t="str">
        <f t="shared" ca="1" si="98"/>
        <v/>
      </c>
      <c r="U488" s="18">
        <f t="shared" ca="1" si="111"/>
        <v>0</v>
      </c>
      <c r="V488" s="18" t="str">
        <f t="shared" si="99"/>
        <v/>
      </c>
      <c r="W488" s="18" t="str">
        <f t="shared" si="100"/>
        <v/>
      </c>
      <c r="X488" s="18" t="str">
        <f t="shared" si="101"/>
        <v/>
      </c>
      <c r="Y488" s="19" t="str">
        <f>IF(OR(L488="",V488=""),"",IFERROR(INDEX(لیست‌ها!$Q$3:$Q$53,MATCH(V488,لیست‌ها!$P$3:$P$53,0))+IF(W488&lt;=6,(W488-1)*31+X488,IF(W488&lt;=11,186+(W488-7)*30+X488,336+X488))-1,""))</f>
        <v/>
      </c>
      <c r="Z488" s="18" t="str">
        <f t="shared" si="102"/>
        <v/>
      </c>
      <c r="AA488" s="18" t="str">
        <f t="shared" si="103"/>
        <v/>
      </c>
      <c r="AB488" s="18" t="str">
        <f t="shared" si="104"/>
        <v/>
      </c>
      <c r="AC488" s="19" t="str">
        <f>IF(OR(H488="",Z488=""),"",IFERROR(INDEX(لیست‌ها!$Q$3:$Q$53,MATCH(Z488,لیست‌ها!$P$3:$P$53,0))+IF(AA488&lt;=6,(AA488-1)*31+AB488,IF(AA488&lt;=11,186+(AA488-7)*30+AB488,336+AB488))-1,""))</f>
        <v/>
      </c>
      <c r="AD488" s="18" t="str">
        <f t="shared" si="105"/>
        <v/>
      </c>
      <c r="AE488" s="18" t="str">
        <f t="shared" si="106"/>
        <v/>
      </c>
      <c r="AF488" s="18" t="str">
        <f t="shared" si="107"/>
        <v/>
      </c>
      <c r="AG488" s="18" t="str">
        <f>IF(OR(O488="",AD488=""),"",IFERROR(INDEX(لیست‌ها!$Q$3:$Q$53,MATCH(AD488,لیست‌ها!$P$3:$P$53,0))+IF(AE488&lt;=6,(AE488-1)*31+AF488,IF(AE488&lt;=11,186+(AE488-7)*30+AF488,336+AF488))-1,""))</f>
        <v/>
      </c>
      <c r="AH488" s="18" t="str">
        <f t="shared" si="108"/>
        <v/>
      </c>
      <c r="AI488" s="18" t="str">
        <f t="shared" si="109"/>
        <v/>
      </c>
      <c r="AJ488" s="18" t="str">
        <f t="shared" ca="1" si="110"/>
        <v/>
      </c>
    </row>
    <row r="489" spans="1:36">
      <c r="A489" s="18">
        <v>486</v>
      </c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8" t="str">
        <f t="shared" ca="1" si="98"/>
        <v/>
      </c>
      <c r="U489" s="18">
        <f t="shared" ca="1" si="111"/>
        <v>0</v>
      </c>
      <c r="V489" s="18" t="str">
        <f t="shared" si="99"/>
        <v/>
      </c>
      <c r="W489" s="18" t="str">
        <f t="shared" si="100"/>
        <v/>
      </c>
      <c r="X489" s="18" t="str">
        <f t="shared" si="101"/>
        <v/>
      </c>
      <c r="Y489" s="19" t="str">
        <f>IF(OR(L489="",V489=""),"",IFERROR(INDEX(لیست‌ها!$Q$3:$Q$53,MATCH(V489,لیست‌ها!$P$3:$P$53,0))+IF(W489&lt;=6,(W489-1)*31+X489,IF(W489&lt;=11,186+(W489-7)*30+X489,336+X489))-1,""))</f>
        <v/>
      </c>
      <c r="Z489" s="18" t="str">
        <f t="shared" si="102"/>
        <v/>
      </c>
      <c r="AA489" s="18" t="str">
        <f t="shared" si="103"/>
        <v/>
      </c>
      <c r="AB489" s="18" t="str">
        <f t="shared" si="104"/>
        <v/>
      </c>
      <c r="AC489" s="19" t="str">
        <f>IF(OR(H489="",Z489=""),"",IFERROR(INDEX(لیست‌ها!$Q$3:$Q$53,MATCH(Z489,لیست‌ها!$P$3:$P$53,0))+IF(AA489&lt;=6,(AA489-1)*31+AB489,IF(AA489&lt;=11,186+(AA489-7)*30+AB489,336+AB489))-1,""))</f>
        <v/>
      </c>
      <c r="AD489" s="18" t="str">
        <f t="shared" si="105"/>
        <v/>
      </c>
      <c r="AE489" s="18" t="str">
        <f t="shared" si="106"/>
        <v/>
      </c>
      <c r="AF489" s="18" t="str">
        <f t="shared" si="107"/>
        <v/>
      </c>
      <c r="AG489" s="18" t="str">
        <f>IF(OR(O489="",AD489=""),"",IFERROR(INDEX(لیست‌ها!$Q$3:$Q$53,MATCH(AD489,لیست‌ها!$P$3:$P$53,0))+IF(AE489&lt;=6,(AE489-1)*31+AF489,IF(AE489&lt;=11,186+(AE489-7)*30+AF489,336+AF489))-1,""))</f>
        <v/>
      </c>
      <c r="AH489" s="18" t="str">
        <f t="shared" si="108"/>
        <v/>
      </c>
      <c r="AI489" s="18" t="str">
        <f t="shared" si="109"/>
        <v/>
      </c>
      <c r="AJ489" s="18" t="str">
        <f t="shared" ca="1" si="110"/>
        <v/>
      </c>
    </row>
    <row r="490" spans="1:36">
      <c r="A490" s="18">
        <v>487</v>
      </c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8" t="str">
        <f t="shared" ca="1" si="98"/>
        <v/>
      </c>
      <c r="U490" s="18">
        <f t="shared" ca="1" si="111"/>
        <v>0</v>
      </c>
      <c r="V490" s="18" t="str">
        <f t="shared" si="99"/>
        <v/>
      </c>
      <c r="W490" s="18" t="str">
        <f t="shared" si="100"/>
        <v/>
      </c>
      <c r="X490" s="18" t="str">
        <f t="shared" si="101"/>
        <v/>
      </c>
      <c r="Y490" s="19" t="str">
        <f>IF(OR(L490="",V490=""),"",IFERROR(INDEX(لیست‌ها!$Q$3:$Q$53,MATCH(V490,لیست‌ها!$P$3:$P$53,0))+IF(W490&lt;=6,(W490-1)*31+X490,IF(W490&lt;=11,186+(W490-7)*30+X490,336+X490))-1,""))</f>
        <v/>
      </c>
      <c r="Z490" s="18" t="str">
        <f t="shared" si="102"/>
        <v/>
      </c>
      <c r="AA490" s="18" t="str">
        <f t="shared" si="103"/>
        <v/>
      </c>
      <c r="AB490" s="18" t="str">
        <f t="shared" si="104"/>
        <v/>
      </c>
      <c r="AC490" s="19" t="str">
        <f>IF(OR(H490="",Z490=""),"",IFERROR(INDEX(لیست‌ها!$Q$3:$Q$53,MATCH(Z490,لیست‌ها!$P$3:$P$53,0))+IF(AA490&lt;=6,(AA490-1)*31+AB490,IF(AA490&lt;=11,186+(AA490-7)*30+AB490,336+AB490))-1,""))</f>
        <v/>
      </c>
      <c r="AD490" s="18" t="str">
        <f t="shared" si="105"/>
        <v/>
      </c>
      <c r="AE490" s="18" t="str">
        <f t="shared" si="106"/>
        <v/>
      </c>
      <c r="AF490" s="18" t="str">
        <f t="shared" si="107"/>
        <v/>
      </c>
      <c r="AG490" s="18" t="str">
        <f>IF(OR(O490="",AD490=""),"",IFERROR(INDEX(لیست‌ها!$Q$3:$Q$53,MATCH(AD490,لیست‌ها!$P$3:$P$53,0))+IF(AE490&lt;=6,(AE490-1)*31+AF490,IF(AE490&lt;=11,186+(AE490-7)*30+AF490,336+AF490))-1,""))</f>
        <v/>
      </c>
      <c r="AH490" s="18" t="str">
        <f t="shared" si="108"/>
        <v/>
      </c>
      <c r="AI490" s="18" t="str">
        <f t="shared" si="109"/>
        <v/>
      </c>
      <c r="AJ490" s="18" t="str">
        <f t="shared" ca="1" si="110"/>
        <v/>
      </c>
    </row>
    <row r="491" spans="1:36">
      <c r="A491" s="18">
        <v>488</v>
      </c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8" t="str">
        <f t="shared" ca="1" si="98"/>
        <v/>
      </c>
      <c r="U491" s="18">
        <f t="shared" ca="1" si="111"/>
        <v>0</v>
      </c>
      <c r="V491" s="18" t="str">
        <f t="shared" si="99"/>
        <v/>
      </c>
      <c r="W491" s="18" t="str">
        <f t="shared" si="100"/>
        <v/>
      </c>
      <c r="X491" s="18" t="str">
        <f t="shared" si="101"/>
        <v/>
      </c>
      <c r="Y491" s="19" t="str">
        <f>IF(OR(L491="",V491=""),"",IFERROR(INDEX(لیست‌ها!$Q$3:$Q$53,MATCH(V491,لیست‌ها!$P$3:$P$53,0))+IF(W491&lt;=6,(W491-1)*31+X491,IF(W491&lt;=11,186+(W491-7)*30+X491,336+X491))-1,""))</f>
        <v/>
      </c>
      <c r="Z491" s="18" t="str">
        <f t="shared" si="102"/>
        <v/>
      </c>
      <c r="AA491" s="18" t="str">
        <f t="shared" si="103"/>
        <v/>
      </c>
      <c r="AB491" s="18" t="str">
        <f t="shared" si="104"/>
        <v/>
      </c>
      <c r="AC491" s="19" t="str">
        <f>IF(OR(H491="",Z491=""),"",IFERROR(INDEX(لیست‌ها!$Q$3:$Q$53,MATCH(Z491,لیست‌ها!$P$3:$P$53,0))+IF(AA491&lt;=6,(AA491-1)*31+AB491,IF(AA491&lt;=11,186+(AA491-7)*30+AB491,336+AB491))-1,""))</f>
        <v/>
      </c>
      <c r="AD491" s="18" t="str">
        <f t="shared" si="105"/>
        <v/>
      </c>
      <c r="AE491" s="18" t="str">
        <f t="shared" si="106"/>
        <v/>
      </c>
      <c r="AF491" s="18" t="str">
        <f t="shared" si="107"/>
        <v/>
      </c>
      <c r="AG491" s="18" t="str">
        <f>IF(OR(O491="",AD491=""),"",IFERROR(INDEX(لیست‌ها!$Q$3:$Q$53,MATCH(AD491,لیست‌ها!$P$3:$P$53,0))+IF(AE491&lt;=6,(AE491-1)*31+AF491,IF(AE491&lt;=11,186+(AE491-7)*30+AF491,336+AF491))-1,""))</f>
        <v/>
      </c>
      <c r="AH491" s="18" t="str">
        <f t="shared" si="108"/>
        <v/>
      </c>
      <c r="AI491" s="18" t="str">
        <f t="shared" si="109"/>
        <v/>
      </c>
      <c r="AJ491" s="18" t="str">
        <f t="shared" ca="1" si="110"/>
        <v/>
      </c>
    </row>
    <row r="492" spans="1:36">
      <c r="A492" s="18">
        <v>489</v>
      </c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8" t="str">
        <f t="shared" ca="1" si="98"/>
        <v/>
      </c>
      <c r="U492" s="18">
        <f t="shared" ca="1" si="111"/>
        <v>0</v>
      </c>
      <c r="V492" s="18" t="str">
        <f t="shared" si="99"/>
        <v/>
      </c>
      <c r="W492" s="18" t="str">
        <f t="shared" si="100"/>
        <v/>
      </c>
      <c r="X492" s="18" t="str">
        <f t="shared" si="101"/>
        <v/>
      </c>
      <c r="Y492" s="19" t="str">
        <f>IF(OR(L492="",V492=""),"",IFERROR(INDEX(لیست‌ها!$Q$3:$Q$53,MATCH(V492,لیست‌ها!$P$3:$P$53,0))+IF(W492&lt;=6,(W492-1)*31+X492,IF(W492&lt;=11,186+(W492-7)*30+X492,336+X492))-1,""))</f>
        <v/>
      </c>
      <c r="Z492" s="18" t="str">
        <f t="shared" si="102"/>
        <v/>
      </c>
      <c r="AA492" s="18" t="str">
        <f t="shared" si="103"/>
        <v/>
      </c>
      <c r="AB492" s="18" t="str">
        <f t="shared" si="104"/>
        <v/>
      </c>
      <c r="AC492" s="19" t="str">
        <f>IF(OR(H492="",Z492=""),"",IFERROR(INDEX(لیست‌ها!$Q$3:$Q$53,MATCH(Z492,لیست‌ها!$P$3:$P$53,0))+IF(AA492&lt;=6,(AA492-1)*31+AB492,IF(AA492&lt;=11,186+(AA492-7)*30+AB492,336+AB492))-1,""))</f>
        <v/>
      </c>
      <c r="AD492" s="18" t="str">
        <f t="shared" si="105"/>
        <v/>
      </c>
      <c r="AE492" s="18" t="str">
        <f t="shared" si="106"/>
        <v/>
      </c>
      <c r="AF492" s="18" t="str">
        <f t="shared" si="107"/>
        <v/>
      </c>
      <c r="AG492" s="18" t="str">
        <f>IF(OR(O492="",AD492=""),"",IFERROR(INDEX(لیست‌ها!$Q$3:$Q$53,MATCH(AD492,لیست‌ها!$P$3:$P$53,0))+IF(AE492&lt;=6,(AE492-1)*31+AF492,IF(AE492&lt;=11,186+(AE492-7)*30+AF492,336+AF492))-1,""))</f>
        <v/>
      </c>
      <c r="AH492" s="18" t="str">
        <f t="shared" si="108"/>
        <v/>
      </c>
      <c r="AI492" s="18" t="str">
        <f t="shared" si="109"/>
        <v/>
      </c>
      <c r="AJ492" s="18" t="str">
        <f t="shared" ca="1" si="110"/>
        <v/>
      </c>
    </row>
    <row r="493" spans="1:36">
      <c r="A493" s="18">
        <v>490</v>
      </c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8" t="str">
        <f t="shared" ca="1" si="98"/>
        <v/>
      </c>
      <c r="U493" s="18">
        <f t="shared" ca="1" si="111"/>
        <v>0</v>
      </c>
      <c r="V493" s="18" t="str">
        <f t="shared" si="99"/>
        <v/>
      </c>
      <c r="W493" s="18" t="str">
        <f t="shared" si="100"/>
        <v/>
      </c>
      <c r="X493" s="18" t="str">
        <f t="shared" si="101"/>
        <v/>
      </c>
      <c r="Y493" s="19" t="str">
        <f>IF(OR(L493="",V493=""),"",IFERROR(INDEX(لیست‌ها!$Q$3:$Q$53,MATCH(V493,لیست‌ها!$P$3:$P$53,0))+IF(W493&lt;=6,(W493-1)*31+X493,IF(W493&lt;=11,186+(W493-7)*30+X493,336+X493))-1,""))</f>
        <v/>
      </c>
      <c r="Z493" s="18" t="str">
        <f t="shared" si="102"/>
        <v/>
      </c>
      <c r="AA493" s="18" t="str">
        <f t="shared" si="103"/>
        <v/>
      </c>
      <c r="AB493" s="18" t="str">
        <f t="shared" si="104"/>
        <v/>
      </c>
      <c r="AC493" s="19" t="str">
        <f>IF(OR(H493="",Z493=""),"",IFERROR(INDEX(لیست‌ها!$Q$3:$Q$53,MATCH(Z493,لیست‌ها!$P$3:$P$53,0))+IF(AA493&lt;=6,(AA493-1)*31+AB493,IF(AA493&lt;=11,186+(AA493-7)*30+AB493,336+AB493))-1,""))</f>
        <v/>
      </c>
      <c r="AD493" s="18" t="str">
        <f t="shared" si="105"/>
        <v/>
      </c>
      <c r="AE493" s="18" t="str">
        <f t="shared" si="106"/>
        <v/>
      </c>
      <c r="AF493" s="18" t="str">
        <f t="shared" si="107"/>
        <v/>
      </c>
      <c r="AG493" s="18" t="str">
        <f>IF(OR(O493="",AD493=""),"",IFERROR(INDEX(لیست‌ها!$Q$3:$Q$53,MATCH(AD493,لیست‌ها!$P$3:$P$53,0))+IF(AE493&lt;=6,(AE493-1)*31+AF493,IF(AE493&lt;=11,186+(AE493-7)*30+AF493,336+AF493))-1,""))</f>
        <v/>
      </c>
      <c r="AH493" s="18" t="str">
        <f t="shared" si="108"/>
        <v/>
      </c>
      <c r="AI493" s="18" t="str">
        <f t="shared" si="109"/>
        <v/>
      </c>
      <c r="AJ493" s="18" t="str">
        <f t="shared" ca="1" si="110"/>
        <v/>
      </c>
    </row>
    <row r="494" spans="1:36">
      <c r="A494" s="18">
        <v>491</v>
      </c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8" t="str">
        <f t="shared" ca="1" si="98"/>
        <v/>
      </c>
      <c r="U494" s="18">
        <f t="shared" ca="1" si="111"/>
        <v>0</v>
      </c>
      <c r="V494" s="18" t="str">
        <f t="shared" si="99"/>
        <v/>
      </c>
      <c r="W494" s="18" t="str">
        <f t="shared" si="100"/>
        <v/>
      </c>
      <c r="X494" s="18" t="str">
        <f t="shared" si="101"/>
        <v/>
      </c>
      <c r="Y494" s="19" t="str">
        <f>IF(OR(L494="",V494=""),"",IFERROR(INDEX(لیست‌ها!$Q$3:$Q$53,MATCH(V494,لیست‌ها!$P$3:$P$53,0))+IF(W494&lt;=6,(W494-1)*31+X494,IF(W494&lt;=11,186+(W494-7)*30+X494,336+X494))-1,""))</f>
        <v/>
      </c>
      <c r="Z494" s="18" t="str">
        <f t="shared" si="102"/>
        <v/>
      </c>
      <c r="AA494" s="18" t="str">
        <f t="shared" si="103"/>
        <v/>
      </c>
      <c r="AB494" s="18" t="str">
        <f t="shared" si="104"/>
        <v/>
      </c>
      <c r="AC494" s="19" t="str">
        <f>IF(OR(H494="",Z494=""),"",IFERROR(INDEX(لیست‌ها!$Q$3:$Q$53,MATCH(Z494,لیست‌ها!$P$3:$P$53,0))+IF(AA494&lt;=6,(AA494-1)*31+AB494,IF(AA494&lt;=11,186+(AA494-7)*30+AB494,336+AB494))-1,""))</f>
        <v/>
      </c>
      <c r="AD494" s="18" t="str">
        <f t="shared" si="105"/>
        <v/>
      </c>
      <c r="AE494" s="18" t="str">
        <f t="shared" si="106"/>
        <v/>
      </c>
      <c r="AF494" s="18" t="str">
        <f t="shared" si="107"/>
        <v/>
      </c>
      <c r="AG494" s="18" t="str">
        <f>IF(OR(O494="",AD494=""),"",IFERROR(INDEX(لیست‌ها!$Q$3:$Q$53,MATCH(AD494,لیست‌ها!$P$3:$P$53,0))+IF(AE494&lt;=6,(AE494-1)*31+AF494,IF(AE494&lt;=11,186+(AE494-7)*30+AF494,336+AF494))-1,""))</f>
        <v/>
      </c>
      <c r="AH494" s="18" t="str">
        <f t="shared" si="108"/>
        <v/>
      </c>
      <c r="AI494" s="18" t="str">
        <f t="shared" si="109"/>
        <v/>
      </c>
      <c r="AJ494" s="18" t="str">
        <f t="shared" ca="1" si="110"/>
        <v/>
      </c>
    </row>
    <row r="495" spans="1:36">
      <c r="A495" s="18">
        <v>492</v>
      </c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8" t="str">
        <f t="shared" ca="1" si="98"/>
        <v/>
      </c>
      <c r="U495" s="18">
        <f t="shared" ca="1" si="111"/>
        <v>0</v>
      </c>
      <c r="V495" s="18" t="str">
        <f t="shared" si="99"/>
        <v/>
      </c>
      <c r="W495" s="18" t="str">
        <f t="shared" si="100"/>
        <v/>
      </c>
      <c r="X495" s="18" t="str">
        <f t="shared" si="101"/>
        <v/>
      </c>
      <c r="Y495" s="19" t="str">
        <f>IF(OR(L495="",V495=""),"",IFERROR(INDEX(لیست‌ها!$Q$3:$Q$53,MATCH(V495,لیست‌ها!$P$3:$P$53,0))+IF(W495&lt;=6,(W495-1)*31+X495,IF(W495&lt;=11,186+(W495-7)*30+X495,336+X495))-1,""))</f>
        <v/>
      </c>
      <c r="Z495" s="18" t="str">
        <f t="shared" si="102"/>
        <v/>
      </c>
      <c r="AA495" s="18" t="str">
        <f t="shared" si="103"/>
        <v/>
      </c>
      <c r="AB495" s="18" t="str">
        <f t="shared" si="104"/>
        <v/>
      </c>
      <c r="AC495" s="19" t="str">
        <f>IF(OR(H495="",Z495=""),"",IFERROR(INDEX(لیست‌ها!$Q$3:$Q$53,MATCH(Z495,لیست‌ها!$P$3:$P$53,0))+IF(AA495&lt;=6,(AA495-1)*31+AB495,IF(AA495&lt;=11,186+(AA495-7)*30+AB495,336+AB495))-1,""))</f>
        <v/>
      </c>
      <c r="AD495" s="18" t="str">
        <f t="shared" si="105"/>
        <v/>
      </c>
      <c r="AE495" s="18" t="str">
        <f t="shared" si="106"/>
        <v/>
      </c>
      <c r="AF495" s="18" t="str">
        <f t="shared" si="107"/>
        <v/>
      </c>
      <c r="AG495" s="18" t="str">
        <f>IF(OR(O495="",AD495=""),"",IFERROR(INDEX(لیست‌ها!$Q$3:$Q$53,MATCH(AD495,لیست‌ها!$P$3:$P$53,0))+IF(AE495&lt;=6,(AE495-1)*31+AF495,IF(AE495&lt;=11,186+(AE495-7)*30+AF495,336+AF495))-1,""))</f>
        <v/>
      </c>
      <c r="AH495" s="18" t="str">
        <f t="shared" si="108"/>
        <v/>
      </c>
      <c r="AI495" s="18" t="str">
        <f t="shared" si="109"/>
        <v/>
      </c>
      <c r="AJ495" s="18" t="str">
        <f t="shared" ca="1" si="110"/>
        <v/>
      </c>
    </row>
    <row r="496" spans="1:36">
      <c r="A496" s="18">
        <v>493</v>
      </c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8" t="str">
        <f t="shared" ca="1" si="98"/>
        <v/>
      </c>
      <c r="U496" s="18">
        <f t="shared" ca="1" si="111"/>
        <v>0</v>
      </c>
      <c r="V496" s="18" t="str">
        <f t="shared" si="99"/>
        <v/>
      </c>
      <c r="W496" s="18" t="str">
        <f t="shared" si="100"/>
        <v/>
      </c>
      <c r="X496" s="18" t="str">
        <f t="shared" si="101"/>
        <v/>
      </c>
      <c r="Y496" s="19" t="str">
        <f>IF(OR(L496="",V496=""),"",IFERROR(INDEX(لیست‌ها!$Q$3:$Q$53,MATCH(V496,لیست‌ها!$P$3:$P$53,0))+IF(W496&lt;=6,(W496-1)*31+X496,IF(W496&lt;=11,186+(W496-7)*30+X496,336+X496))-1,""))</f>
        <v/>
      </c>
      <c r="Z496" s="18" t="str">
        <f t="shared" si="102"/>
        <v/>
      </c>
      <c r="AA496" s="18" t="str">
        <f t="shared" si="103"/>
        <v/>
      </c>
      <c r="AB496" s="18" t="str">
        <f t="shared" si="104"/>
        <v/>
      </c>
      <c r="AC496" s="19" t="str">
        <f>IF(OR(H496="",Z496=""),"",IFERROR(INDEX(لیست‌ها!$Q$3:$Q$53,MATCH(Z496,لیست‌ها!$P$3:$P$53,0))+IF(AA496&lt;=6,(AA496-1)*31+AB496,IF(AA496&lt;=11,186+(AA496-7)*30+AB496,336+AB496))-1,""))</f>
        <v/>
      </c>
      <c r="AD496" s="18" t="str">
        <f t="shared" si="105"/>
        <v/>
      </c>
      <c r="AE496" s="18" t="str">
        <f t="shared" si="106"/>
        <v/>
      </c>
      <c r="AF496" s="18" t="str">
        <f t="shared" si="107"/>
        <v/>
      </c>
      <c r="AG496" s="18" t="str">
        <f>IF(OR(O496="",AD496=""),"",IFERROR(INDEX(لیست‌ها!$Q$3:$Q$53,MATCH(AD496,لیست‌ها!$P$3:$P$53,0))+IF(AE496&lt;=6,(AE496-1)*31+AF496,IF(AE496&lt;=11,186+(AE496-7)*30+AF496,336+AF496))-1,""))</f>
        <v/>
      </c>
      <c r="AH496" s="18" t="str">
        <f t="shared" si="108"/>
        <v/>
      </c>
      <c r="AI496" s="18" t="str">
        <f t="shared" si="109"/>
        <v/>
      </c>
      <c r="AJ496" s="18" t="str">
        <f t="shared" ca="1" si="110"/>
        <v/>
      </c>
    </row>
    <row r="497" spans="1:36">
      <c r="A497" s="18">
        <v>494</v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8" t="str">
        <f t="shared" ca="1" si="98"/>
        <v/>
      </c>
      <c r="U497" s="18">
        <f t="shared" ca="1" si="111"/>
        <v>0</v>
      </c>
      <c r="V497" s="18" t="str">
        <f t="shared" si="99"/>
        <v/>
      </c>
      <c r="W497" s="18" t="str">
        <f t="shared" si="100"/>
        <v/>
      </c>
      <c r="X497" s="18" t="str">
        <f t="shared" si="101"/>
        <v/>
      </c>
      <c r="Y497" s="19" t="str">
        <f>IF(OR(L497="",V497=""),"",IFERROR(INDEX(لیست‌ها!$Q$3:$Q$53,MATCH(V497,لیست‌ها!$P$3:$P$53,0))+IF(W497&lt;=6,(W497-1)*31+X497,IF(W497&lt;=11,186+(W497-7)*30+X497,336+X497))-1,""))</f>
        <v/>
      </c>
      <c r="Z497" s="18" t="str">
        <f t="shared" si="102"/>
        <v/>
      </c>
      <c r="AA497" s="18" t="str">
        <f t="shared" si="103"/>
        <v/>
      </c>
      <c r="AB497" s="18" t="str">
        <f t="shared" si="104"/>
        <v/>
      </c>
      <c r="AC497" s="19" t="str">
        <f>IF(OR(H497="",Z497=""),"",IFERROR(INDEX(لیست‌ها!$Q$3:$Q$53,MATCH(Z497,لیست‌ها!$P$3:$P$53,0))+IF(AA497&lt;=6,(AA497-1)*31+AB497,IF(AA497&lt;=11,186+(AA497-7)*30+AB497,336+AB497))-1,""))</f>
        <v/>
      </c>
      <c r="AD497" s="18" t="str">
        <f t="shared" si="105"/>
        <v/>
      </c>
      <c r="AE497" s="18" t="str">
        <f t="shared" si="106"/>
        <v/>
      </c>
      <c r="AF497" s="18" t="str">
        <f t="shared" si="107"/>
        <v/>
      </c>
      <c r="AG497" s="18" t="str">
        <f>IF(OR(O497="",AD497=""),"",IFERROR(INDEX(لیست‌ها!$Q$3:$Q$53,MATCH(AD497,لیست‌ها!$P$3:$P$53,0))+IF(AE497&lt;=6,(AE497-1)*31+AF497,IF(AE497&lt;=11,186+(AE497-7)*30+AF497,336+AF497))-1,""))</f>
        <v/>
      </c>
      <c r="AH497" s="18" t="str">
        <f t="shared" si="108"/>
        <v/>
      </c>
      <c r="AI497" s="18" t="str">
        <f t="shared" si="109"/>
        <v/>
      </c>
      <c r="AJ497" s="18" t="str">
        <f t="shared" ca="1" si="110"/>
        <v/>
      </c>
    </row>
    <row r="498" spans="1:36">
      <c r="A498" s="18">
        <v>495</v>
      </c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8" t="str">
        <f t="shared" ca="1" si="98"/>
        <v/>
      </c>
      <c r="U498" s="18">
        <f t="shared" ca="1" si="111"/>
        <v>0</v>
      </c>
      <c r="V498" s="18" t="str">
        <f t="shared" si="99"/>
        <v/>
      </c>
      <c r="W498" s="18" t="str">
        <f t="shared" si="100"/>
        <v/>
      </c>
      <c r="X498" s="18" t="str">
        <f t="shared" si="101"/>
        <v/>
      </c>
      <c r="Y498" s="19" t="str">
        <f>IF(OR(L498="",V498=""),"",IFERROR(INDEX(لیست‌ها!$Q$3:$Q$53,MATCH(V498,لیست‌ها!$P$3:$P$53,0))+IF(W498&lt;=6,(W498-1)*31+X498,IF(W498&lt;=11,186+(W498-7)*30+X498,336+X498))-1,""))</f>
        <v/>
      </c>
      <c r="Z498" s="18" t="str">
        <f t="shared" si="102"/>
        <v/>
      </c>
      <c r="AA498" s="18" t="str">
        <f t="shared" si="103"/>
        <v/>
      </c>
      <c r="AB498" s="18" t="str">
        <f t="shared" si="104"/>
        <v/>
      </c>
      <c r="AC498" s="19" t="str">
        <f>IF(OR(H498="",Z498=""),"",IFERROR(INDEX(لیست‌ها!$Q$3:$Q$53,MATCH(Z498,لیست‌ها!$P$3:$P$53,0))+IF(AA498&lt;=6,(AA498-1)*31+AB498,IF(AA498&lt;=11,186+(AA498-7)*30+AB498,336+AB498))-1,""))</f>
        <v/>
      </c>
      <c r="AD498" s="18" t="str">
        <f t="shared" si="105"/>
        <v/>
      </c>
      <c r="AE498" s="18" t="str">
        <f t="shared" si="106"/>
        <v/>
      </c>
      <c r="AF498" s="18" t="str">
        <f t="shared" si="107"/>
        <v/>
      </c>
      <c r="AG498" s="18" t="str">
        <f>IF(OR(O498="",AD498=""),"",IFERROR(INDEX(لیست‌ها!$Q$3:$Q$53,MATCH(AD498,لیست‌ها!$P$3:$P$53,0))+IF(AE498&lt;=6,(AE498-1)*31+AF498,IF(AE498&lt;=11,186+(AE498-7)*30+AF498,336+AF498))-1,""))</f>
        <v/>
      </c>
      <c r="AH498" s="18" t="str">
        <f t="shared" si="108"/>
        <v/>
      </c>
      <c r="AI498" s="18" t="str">
        <f t="shared" si="109"/>
        <v/>
      </c>
      <c r="AJ498" s="18" t="str">
        <f t="shared" ca="1" si="110"/>
        <v/>
      </c>
    </row>
    <row r="499" spans="1:36">
      <c r="A499" s="18">
        <v>496</v>
      </c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8" t="str">
        <f t="shared" ca="1" si="98"/>
        <v/>
      </c>
      <c r="U499" s="18">
        <f t="shared" ca="1" si="111"/>
        <v>0</v>
      </c>
      <c r="V499" s="18" t="str">
        <f t="shared" si="99"/>
        <v/>
      </c>
      <c r="W499" s="18" t="str">
        <f t="shared" si="100"/>
        <v/>
      </c>
      <c r="X499" s="18" t="str">
        <f t="shared" si="101"/>
        <v/>
      </c>
      <c r="Y499" s="19" t="str">
        <f>IF(OR(L499="",V499=""),"",IFERROR(INDEX(لیست‌ها!$Q$3:$Q$53,MATCH(V499,لیست‌ها!$P$3:$P$53,0))+IF(W499&lt;=6,(W499-1)*31+X499,IF(W499&lt;=11,186+(W499-7)*30+X499,336+X499))-1,""))</f>
        <v/>
      </c>
      <c r="Z499" s="18" t="str">
        <f t="shared" si="102"/>
        <v/>
      </c>
      <c r="AA499" s="18" t="str">
        <f t="shared" si="103"/>
        <v/>
      </c>
      <c r="AB499" s="18" t="str">
        <f t="shared" si="104"/>
        <v/>
      </c>
      <c r="AC499" s="19" t="str">
        <f>IF(OR(H499="",Z499=""),"",IFERROR(INDEX(لیست‌ها!$Q$3:$Q$53,MATCH(Z499,لیست‌ها!$P$3:$P$53,0))+IF(AA499&lt;=6,(AA499-1)*31+AB499,IF(AA499&lt;=11,186+(AA499-7)*30+AB499,336+AB499))-1,""))</f>
        <v/>
      </c>
      <c r="AD499" s="18" t="str">
        <f t="shared" si="105"/>
        <v/>
      </c>
      <c r="AE499" s="18" t="str">
        <f t="shared" si="106"/>
        <v/>
      </c>
      <c r="AF499" s="18" t="str">
        <f t="shared" si="107"/>
        <v/>
      </c>
      <c r="AG499" s="18" t="str">
        <f>IF(OR(O499="",AD499=""),"",IFERROR(INDEX(لیست‌ها!$Q$3:$Q$53,MATCH(AD499,لیست‌ها!$P$3:$P$53,0))+IF(AE499&lt;=6,(AE499-1)*31+AF499,IF(AE499&lt;=11,186+(AE499-7)*30+AF499,336+AF499))-1,""))</f>
        <v/>
      </c>
      <c r="AH499" s="18" t="str">
        <f t="shared" si="108"/>
        <v/>
      </c>
      <c r="AI499" s="18" t="str">
        <f t="shared" si="109"/>
        <v/>
      </c>
      <c r="AJ499" s="18" t="str">
        <f t="shared" ca="1" si="110"/>
        <v/>
      </c>
    </row>
    <row r="500" spans="1:36">
      <c r="A500" s="18">
        <v>497</v>
      </c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8" t="str">
        <f t="shared" ca="1" si="98"/>
        <v/>
      </c>
      <c r="U500" s="18">
        <f t="shared" ca="1" si="111"/>
        <v>0</v>
      </c>
      <c r="V500" s="18" t="str">
        <f t="shared" si="99"/>
        <v/>
      </c>
      <c r="W500" s="18" t="str">
        <f t="shared" si="100"/>
        <v/>
      </c>
      <c r="X500" s="18" t="str">
        <f t="shared" si="101"/>
        <v/>
      </c>
      <c r="Y500" s="19" t="str">
        <f>IF(OR(L500="",V500=""),"",IFERROR(INDEX(لیست‌ها!$Q$3:$Q$53,MATCH(V500,لیست‌ها!$P$3:$P$53,0))+IF(W500&lt;=6,(W500-1)*31+X500,IF(W500&lt;=11,186+(W500-7)*30+X500,336+X500))-1,""))</f>
        <v/>
      </c>
      <c r="Z500" s="18" t="str">
        <f t="shared" si="102"/>
        <v/>
      </c>
      <c r="AA500" s="18" t="str">
        <f t="shared" si="103"/>
        <v/>
      </c>
      <c r="AB500" s="18" t="str">
        <f t="shared" si="104"/>
        <v/>
      </c>
      <c r="AC500" s="19" t="str">
        <f>IF(OR(H500="",Z500=""),"",IFERROR(INDEX(لیست‌ها!$Q$3:$Q$53,MATCH(Z500,لیست‌ها!$P$3:$P$53,0))+IF(AA500&lt;=6,(AA500-1)*31+AB500,IF(AA500&lt;=11,186+(AA500-7)*30+AB500,336+AB500))-1,""))</f>
        <v/>
      </c>
      <c r="AD500" s="18" t="str">
        <f t="shared" si="105"/>
        <v/>
      </c>
      <c r="AE500" s="18" t="str">
        <f t="shared" si="106"/>
        <v/>
      </c>
      <c r="AF500" s="18" t="str">
        <f t="shared" si="107"/>
        <v/>
      </c>
      <c r="AG500" s="18" t="str">
        <f>IF(OR(O500="",AD500=""),"",IFERROR(INDEX(لیست‌ها!$Q$3:$Q$53,MATCH(AD500,لیست‌ها!$P$3:$P$53,0))+IF(AE500&lt;=6,(AE500-1)*31+AF500,IF(AE500&lt;=11,186+(AE500-7)*30+AF500,336+AF500))-1,""))</f>
        <v/>
      </c>
      <c r="AH500" s="18" t="str">
        <f t="shared" si="108"/>
        <v/>
      </c>
      <c r="AI500" s="18" t="str">
        <f t="shared" si="109"/>
        <v/>
      </c>
      <c r="AJ500" s="18" t="str">
        <f t="shared" ca="1" si="110"/>
        <v/>
      </c>
    </row>
    <row r="501" spans="1:36">
      <c r="A501" s="18">
        <v>498</v>
      </c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8" t="str">
        <f t="shared" ca="1" si="98"/>
        <v/>
      </c>
      <c r="U501" s="18">
        <f t="shared" ca="1" si="111"/>
        <v>0</v>
      </c>
      <c r="V501" s="18" t="str">
        <f t="shared" si="99"/>
        <v/>
      </c>
      <c r="W501" s="18" t="str">
        <f t="shared" si="100"/>
        <v/>
      </c>
      <c r="X501" s="18" t="str">
        <f t="shared" si="101"/>
        <v/>
      </c>
      <c r="Y501" s="19" t="str">
        <f>IF(OR(L501="",V501=""),"",IFERROR(INDEX(لیست‌ها!$Q$3:$Q$53,MATCH(V501,لیست‌ها!$P$3:$P$53,0))+IF(W501&lt;=6,(W501-1)*31+X501,IF(W501&lt;=11,186+(W501-7)*30+X501,336+X501))-1,""))</f>
        <v/>
      </c>
      <c r="Z501" s="18" t="str">
        <f t="shared" si="102"/>
        <v/>
      </c>
      <c r="AA501" s="18" t="str">
        <f t="shared" si="103"/>
        <v/>
      </c>
      <c r="AB501" s="18" t="str">
        <f t="shared" si="104"/>
        <v/>
      </c>
      <c r="AC501" s="19" t="str">
        <f>IF(OR(H501="",Z501=""),"",IFERROR(INDEX(لیست‌ها!$Q$3:$Q$53,MATCH(Z501,لیست‌ها!$P$3:$P$53,0))+IF(AA501&lt;=6,(AA501-1)*31+AB501,IF(AA501&lt;=11,186+(AA501-7)*30+AB501,336+AB501))-1,""))</f>
        <v/>
      </c>
      <c r="AD501" s="18" t="str">
        <f t="shared" si="105"/>
        <v/>
      </c>
      <c r="AE501" s="18" t="str">
        <f t="shared" si="106"/>
        <v/>
      </c>
      <c r="AF501" s="18" t="str">
        <f t="shared" si="107"/>
        <v/>
      </c>
      <c r="AG501" s="18" t="str">
        <f>IF(OR(O501="",AD501=""),"",IFERROR(INDEX(لیست‌ها!$Q$3:$Q$53,MATCH(AD501,لیست‌ها!$P$3:$P$53,0))+IF(AE501&lt;=6,(AE501-1)*31+AF501,IF(AE501&lt;=11,186+(AE501-7)*30+AF501,336+AF501))-1,""))</f>
        <v/>
      </c>
      <c r="AH501" s="18" t="str">
        <f t="shared" si="108"/>
        <v/>
      </c>
      <c r="AI501" s="18" t="str">
        <f t="shared" si="109"/>
        <v/>
      </c>
      <c r="AJ501" s="18" t="str">
        <f t="shared" ca="1" si="110"/>
        <v/>
      </c>
    </row>
    <row r="502" spans="1:36">
      <c r="A502" s="18">
        <v>499</v>
      </c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8" t="str">
        <f t="shared" ca="1" si="98"/>
        <v/>
      </c>
      <c r="U502" s="18">
        <f t="shared" ca="1" si="111"/>
        <v>0</v>
      </c>
      <c r="V502" s="18" t="str">
        <f t="shared" si="99"/>
        <v/>
      </c>
      <c r="W502" s="18" t="str">
        <f t="shared" si="100"/>
        <v/>
      </c>
      <c r="X502" s="18" t="str">
        <f t="shared" si="101"/>
        <v/>
      </c>
      <c r="Y502" s="19" t="str">
        <f>IF(OR(L502="",V502=""),"",IFERROR(INDEX(لیست‌ها!$Q$3:$Q$53,MATCH(V502,لیست‌ها!$P$3:$P$53,0))+IF(W502&lt;=6,(W502-1)*31+X502,IF(W502&lt;=11,186+(W502-7)*30+X502,336+X502))-1,""))</f>
        <v/>
      </c>
      <c r="Z502" s="18" t="str">
        <f t="shared" si="102"/>
        <v/>
      </c>
      <c r="AA502" s="18" t="str">
        <f t="shared" si="103"/>
        <v/>
      </c>
      <c r="AB502" s="18" t="str">
        <f t="shared" si="104"/>
        <v/>
      </c>
      <c r="AC502" s="19" t="str">
        <f>IF(OR(H502="",Z502=""),"",IFERROR(INDEX(لیست‌ها!$Q$3:$Q$53,MATCH(Z502,لیست‌ها!$P$3:$P$53,0))+IF(AA502&lt;=6,(AA502-1)*31+AB502,IF(AA502&lt;=11,186+(AA502-7)*30+AB502,336+AB502))-1,""))</f>
        <v/>
      </c>
      <c r="AD502" s="18" t="str">
        <f t="shared" si="105"/>
        <v/>
      </c>
      <c r="AE502" s="18" t="str">
        <f t="shared" si="106"/>
        <v/>
      </c>
      <c r="AF502" s="18" t="str">
        <f t="shared" si="107"/>
        <v/>
      </c>
      <c r="AG502" s="18" t="str">
        <f>IF(OR(O502="",AD502=""),"",IFERROR(INDEX(لیست‌ها!$Q$3:$Q$53,MATCH(AD502,لیست‌ها!$P$3:$P$53,0))+IF(AE502&lt;=6,(AE502-1)*31+AF502,IF(AE502&lt;=11,186+(AE502-7)*30+AF502,336+AF502))-1,""))</f>
        <v/>
      </c>
      <c r="AH502" s="18" t="str">
        <f t="shared" si="108"/>
        <v/>
      </c>
      <c r="AI502" s="18" t="str">
        <f t="shared" si="109"/>
        <v/>
      </c>
      <c r="AJ502" s="18" t="str">
        <f t="shared" ca="1" si="110"/>
        <v/>
      </c>
    </row>
    <row r="503" spans="1:36">
      <c r="A503" s="18">
        <v>500</v>
      </c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8" t="str">
        <f t="shared" ca="1" si="98"/>
        <v/>
      </c>
      <c r="U503" s="18">
        <f t="shared" ca="1" si="111"/>
        <v>0</v>
      </c>
      <c r="V503" s="18" t="str">
        <f t="shared" si="99"/>
        <v/>
      </c>
      <c r="W503" s="18" t="str">
        <f t="shared" si="100"/>
        <v/>
      </c>
      <c r="X503" s="18" t="str">
        <f t="shared" si="101"/>
        <v/>
      </c>
      <c r="Y503" s="19" t="str">
        <f>IF(OR(L503="",V503=""),"",IFERROR(INDEX(لیست‌ها!$Q$3:$Q$53,MATCH(V503,لیست‌ها!$P$3:$P$53,0))+IF(W503&lt;=6,(W503-1)*31+X503,IF(W503&lt;=11,186+(W503-7)*30+X503,336+X503))-1,""))</f>
        <v/>
      </c>
      <c r="Z503" s="18" t="str">
        <f t="shared" si="102"/>
        <v/>
      </c>
      <c r="AA503" s="18" t="str">
        <f t="shared" si="103"/>
        <v/>
      </c>
      <c r="AB503" s="18" t="str">
        <f t="shared" si="104"/>
        <v/>
      </c>
      <c r="AC503" s="19" t="str">
        <f>IF(OR(H503="",Z503=""),"",IFERROR(INDEX(لیست‌ها!$Q$3:$Q$53,MATCH(Z503,لیست‌ها!$P$3:$P$53,0))+IF(AA503&lt;=6,(AA503-1)*31+AB503,IF(AA503&lt;=11,186+(AA503-7)*30+AB503,336+AB503))-1,""))</f>
        <v/>
      </c>
      <c r="AD503" s="18" t="str">
        <f t="shared" si="105"/>
        <v/>
      </c>
      <c r="AE503" s="18" t="str">
        <f t="shared" si="106"/>
        <v/>
      </c>
      <c r="AF503" s="18" t="str">
        <f t="shared" si="107"/>
        <v/>
      </c>
      <c r="AG503" s="18" t="str">
        <f>IF(OR(O503="",AD503=""),"",IFERROR(INDEX(لیست‌ها!$Q$3:$Q$53,MATCH(AD503,لیست‌ها!$P$3:$P$53,0))+IF(AE503&lt;=6,(AE503-1)*31+AF503,IF(AE503&lt;=11,186+(AE503-7)*30+AF503,336+AF503))-1,""))</f>
        <v/>
      </c>
      <c r="AH503" s="18" t="str">
        <f t="shared" si="108"/>
        <v/>
      </c>
      <c r="AI503" s="18" t="str">
        <f t="shared" si="109"/>
        <v/>
      </c>
      <c r="AJ503" s="18" t="str">
        <f t="shared" ca="1" si="110"/>
        <v/>
      </c>
    </row>
    <row r="504" spans="1:36">
      <c r="A504" s="18">
        <v>501</v>
      </c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8" t="str">
        <f t="shared" ca="1" si="98"/>
        <v/>
      </c>
      <c r="U504" s="18">
        <f t="shared" ca="1" si="111"/>
        <v>0</v>
      </c>
      <c r="V504" s="18" t="str">
        <f t="shared" si="99"/>
        <v/>
      </c>
      <c r="W504" s="18" t="str">
        <f t="shared" si="100"/>
        <v/>
      </c>
      <c r="X504" s="18" t="str">
        <f t="shared" si="101"/>
        <v/>
      </c>
      <c r="Y504" s="19" t="str">
        <f>IF(OR(L504="",V504=""),"",IFERROR(INDEX(لیست‌ها!$Q$3:$Q$53,MATCH(V504,لیست‌ها!$P$3:$P$53,0))+IF(W504&lt;=6,(W504-1)*31+X504,IF(W504&lt;=11,186+(W504-7)*30+X504,336+X504))-1,""))</f>
        <v/>
      </c>
      <c r="Z504" s="18" t="str">
        <f t="shared" si="102"/>
        <v/>
      </c>
      <c r="AA504" s="18" t="str">
        <f t="shared" si="103"/>
        <v/>
      </c>
      <c r="AB504" s="18" t="str">
        <f t="shared" si="104"/>
        <v/>
      </c>
      <c r="AC504" s="19" t="str">
        <f>IF(OR(H504="",Z504=""),"",IFERROR(INDEX(لیست‌ها!$Q$3:$Q$53,MATCH(Z504,لیست‌ها!$P$3:$P$53,0))+IF(AA504&lt;=6,(AA504-1)*31+AB504,IF(AA504&lt;=11,186+(AA504-7)*30+AB504,336+AB504))-1,""))</f>
        <v/>
      </c>
      <c r="AD504" s="18" t="str">
        <f t="shared" si="105"/>
        <v/>
      </c>
      <c r="AE504" s="18" t="str">
        <f t="shared" si="106"/>
        <v/>
      </c>
      <c r="AF504" s="18" t="str">
        <f t="shared" si="107"/>
        <v/>
      </c>
      <c r="AG504" s="18" t="str">
        <f>IF(OR(O504="",AD504=""),"",IFERROR(INDEX(لیست‌ها!$Q$3:$Q$53,MATCH(AD504,لیست‌ها!$P$3:$P$53,0))+IF(AE504&lt;=6,(AE504-1)*31+AF504,IF(AE504&lt;=11,186+(AE504-7)*30+AF504,336+AF504))-1,""))</f>
        <v/>
      </c>
      <c r="AH504" s="18" t="str">
        <f t="shared" si="108"/>
        <v/>
      </c>
      <c r="AI504" s="18" t="str">
        <f t="shared" si="109"/>
        <v/>
      </c>
      <c r="AJ504" s="18" t="str">
        <f t="shared" ca="1" si="110"/>
        <v/>
      </c>
    </row>
    <row r="505" spans="1:36">
      <c r="A505" s="18">
        <v>502</v>
      </c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8" t="str">
        <f t="shared" ca="1" si="98"/>
        <v/>
      </c>
      <c r="U505" s="18">
        <f t="shared" ca="1" si="111"/>
        <v>0</v>
      </c>
      <c r="V505" s="18" t="str">
        <f t="shared" si="99"/>
        <v/>
      </c>
      <c r="W505" s="18" t="str">
        <f t="shared" si="100"/>
        <v/>
      </c>
      <c r="X505" s="18" t="str">
        <f t="shared" si="101"/>
        <v/>
      </c>
      <c r="Y505" s="19" t="str">
        <f>IF(OR(L505="",V505=""),"",IFERROR(INDEX(لیست‌ها!$Q$3:$Q$53,MATCH(V505,لیست‌ها!$P$3:$P$53,0))+IF(W505&lt;=6,(W505-1)*31+X505,IF(W505&lt;=11,186+(W505-7)*30+X505,336+X505))-1,""))</f>
        <v/>
      </c>
      <c r="Z505" s="18" t="str">
        <f t="shared" si="102"/>
        <v/>
      </c>
      <c r="AA505" s="18" t="str">
        <f t="shared" si="103"/>
        <v/>
      </c>
      <c r="AB505" s="18" t="str">
        <f t="shared" si="104"/>
        <v/>
      </c>
      <c r="AC505" s="19" t="str">
        <f>IF(OR(H505="",Z505=""),"",IFERROR(INDEX(لیست‌ها!$Q$3:$Q$53,MATCH(Z505,لیست‌ها!$P$3:$P$53,0))+IF(AA505&lt;=6,(AA505-1)*31+AB505,IF(AA505&lt;=11,186+(AA505-7)*30+AB505,336+AB505))-1,""))</f>
        <v/>
      </c>
      <c r="AD505" s="18" t="str">
        <f t="shared" si="105"/>
        <v/>
      </c>
      <c r="AE505" s="18" t="str">
        <f t="shared" si="106"/>
        <v/>
      </c>
      <c r="AF505" s="18" t="str">
        <f t="shared" si="107"/>
        <v/>
      </c>
      <c r="AG505" s="18" t="str">
        <f>IF(OR(O505="",AD505=""),"",IFERROR(INDEX(لیست‌ها!$Q$3:$Q$53,MATCH(AD505,لیست‌ها!$P$3:$P$53,0))+IF(AE505&lt;=6,(AE505-1)*31+AF505,IF(AE505&lt;=11,186+(AE505-7)*30+AF505,336+AF505))-1,""))</f>
        <v/>
      </c>
      <c r="AH505" s="18" t="str">
        <f t="shared" si="108"/>
        <v/>
      </c>
      <c r="AI505" s="18" t="str">
        <f t="shared" si="109"/>
        <v/>
      </c>
      <c r="AJ505" s="18" t="str">
        <f t="shared" ca="1" si="110"/>
        <v/>
      </c>
    </row>
    <row r="506" spans="1:36">
      <c r="A506" s="18">
        <v>503</v>
      </c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8" t="str">
        <f t="shared" ca="1" si="98"/>
        <v/>
      </c>
      <c r="U506" s="18">
        <f t="shared" ca="1" si="111"/>
        <v>0</v>
      </c>
      <c r="V506" s="18" t="str">
        <f t="shared" si="99"/>
        <v/>
      </c>
      <c r="W506" s="18" t="str">
        <f t="shared" si="100"/>
        <v/>
      </c>
      <c r="X506" s="18" t="str">
        <f t="shared" si="101"/>
        <v/>
      </c>
      <c r="Y506" s="19" t="str">
        <f>IF(OR(L506="",V506=""),"",IFERROR(INDEX(لیست‌ها!$Q$3:$Q$53,MATCH(V506,لیست‌ها!$P$3:$P$53,0))+IF(W506&lt;=6,(W506-1)*31+X506,IF(W506&lt;=11,186+(W506-7)*30+X506,336+X506))-1,""))</f>
        <v/>
      </c>
      <c r="Z506" s="18" t="str">
        <f t="shared" si="102"/>
        <v/>
      </c>
      <c r="AA506" s="18" t="str">
        <f t="shared" si="103"/>
        <v/>
      </c>
      <c r="AB506" s="18" t="str">
        <f t="shared" si="104"/>
        <v/>
      </c>
      <c r="AC506" s="19" t="str">
        <f>IF(OR(H506="",Z506=""),"",IFERROR(INDEX(لیست‌ها!$Q$3:$Q$53,MATCH(Z506,لیست‌ها!$P$3:$P$53,0))+IF(AA506&lt;=6,(AA506-1)*31+AB506,IF(AA506&lt;=11,186+(AA506-7)*30+AB506,336+AB506))-1,""))</f>
        <v/>
      </c>
      <c r="AD506" s="18" t="str">
        <f t="shared" si="105"/>
        <v/>
      </c>
      <c r="AE506" s="18" t="str">
        <f t="shared" si="106"/>
        <v/>
      </c>
      <c r="AF506" s="18" t="str">
        <f t="shared" si="107"/>
        <v/>
      </c>
      <c r="AG506" s="18" t="str">
        <f>IF(OR(O506="",AD506=""),"",IFERROR(INDEX(لیست‌ها!$Q$3:$Q$53,MATCH(AD506,لیست‌ها!$P$3:$P$53,0))+IF(AE506&lt;=6,(AE506-1)*31+AF506,IF(AE506&lt;=11,186+(AE506-7)*30+AF506,336+AF506))-1,""))</f>
        <v/>
      </c>
      <c r="AH506" s="18" t="str">
        <f t="shared" si="108"/>
        <v/>
      </c>
      <c r="AI506" s="18" t="str">
        <f t="shared" si="109"/>
        <v/>
      </c>
      <c r="AJ506" s="18" t="str">
        <f t="shared" ca="1" si="110"/>
        <v/>
      </c>
    </row>
    <row r="507" spans="1:36">
      <c r="A507" s="18">
        <v>504</v>
      </c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8" t="str">
        <f t="shared" ca="1" si="98"/>
        <v/>
      </c>
      <c r="U507" s="18">
        <f t="shared" ca="1" si="111"/>
        <v>0</v>
      </c>
      <c r="V507" s="18" t="str">
        <f t="shared" si="99"/>
        <v/>
      </c>
      <c r="W507" s="18" t="str">
        <f t="shared" si="100"/>
        <v/>
      </c>
      <c r="X507" s="18" t="str">
        <f t="shared" si="101"/>
        <v/>
      </c>
      <c r="Y507" s="19" t="str">
        <f>IF(OR(L507="",V507=""),"",IFERROR(INDEX(لیست‌ها!$Q$3:$Q$53,MATCH(V507,لیست‌ها!$P$3:$P$53,0))+IF(W507&lt;=6,(W507-1)*31+X507,IF(W507&lt;=11,186+(W507-7)*30+X507,336+X507))-1,""))</f>
        <v/>
      </c>
      <c r="Z507" s="18" t="str">
        <f t="shared" si="102"/>
        <v/>
      </c>
      <c r="AA507" s="18" t="str">
        <f t="shared" si="103"/>
        <v/>
      </c>
      <c r="AB507" s="18" t="str">
        <f t="shared" si="104"/>
        <v/>
      </c>
      <c r="AC507" s="19" t="str">
        <f>IF(OR(H507="",Z507=""),"",IFERROR(INDEX(لیست‌ها!$Q$3:$Q$53,MATCH(Z507,لیست‌ها!$P$3:$P$53,0))+IF(AA507&lt;=6,(AA507-1)*31+AB507,IF(AA507&lt;=11,186+(AA507-7)*30+AB507,336+AB507))-1,""))</f>
        <v/>
      </c>
      <c r="AD507" s="18" t="str">
        <f t="shared" si="105"/>
        <v/>
      </c>
      <c r="AE507" s="18" t="str">
        <f t="shared" si="106"/>
        <v/>
      </c>
      <c r="AF507" s="18" t="str">
        <f t="shared" si="107"/>
        <v/>
      </c>
      <c r="AG507" s="18" t="str">
        <f>IF(OR(O507="",AD507=""),"",IFERROR(INDEX(لیست‌ها!$Q$3:$Q$53,MATCH(AD507,لیست‌ها!$P$3:$P$53,0))+IF(AE507&lt;=6,(AE507-1)*31+AF507,IF(AE507&lt;=11,186+(AE507-7)*30+AF507,336+AF507))-1,""))</f>
        <v/>
      </c>
      <c r="AH507" s="18" t="str">
        <f t="shared" si="108"/>
        <v/>
      </c>
      <c r="AI507" s="18" t="str">
        <f t="shared" si="109"/>
        <v/>
      </c>
      <c r="AJ507" s="18" t="str">
        <f t="shared" ca="1" si="110"/>
        <v/>
      </c>
    </row>
    <row r="508" spans="1:36">
      <c r="A508" s="18">
        <v>505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8" t="str">
        <f t="shared" ca="1" si="98"/>
        <v/>
      </c>
      <c r="U508" s="18">
        <f t="shared" ca="1" si="111"/>
        <v>0</v>
      </c>
      <c r="V508" s="18" t="str">
        <f t="shared" si="99"/>
        <v/>
      </c>
      <c r="W508" s="18" t="str">
        <f t="shared" si="100"/>
        <v/>
      </c>
      <c r="X508" s="18" t="str">
        <f t="shared" si="101"/>
        <v/>
      </c>
      <c r="Y508" s="19" t="str">
        <f>IF(OR(L508="",V508=""),"",IFERROR(INDEX(لیست‌ها!$Q$3:$Q$53,MATCH(V508,لیست‌ها!$P$3:$P$53,0))+IF(W508&lt;=6,(W508-1)*31+X508,IF(W508&lt;=11,186+(W508-7)*30+X508,336+X508))-1,""))</f>
        <v/>
      </c>
      <c r="Z508" s="18" t="str">
        <f t="shared" si="102"/>
        <v/>
      </c>
      <c r="AA508" s="18" t="str">
        <f t="shared" si="103"/>
        <v/>
      </c>
      <c r="AB508" s="18" t="str">
        <f t="shared" si="104"/>
        <v/>
      </c>
      <c r="AC508" s="19" t="str">
        <f>IF(OR(H508="",Z508=""),"",IFERROR(INDEX(لیست‌ها!$Q$3:$Q$53,MATCH(Z508,لیست‌ها!$P$3:$P$53,0))+IF(AA508&lt;=6,(AA508-1)*31+AB508,IF(AA508&lt;=11,186+(AA508-7)*30+AB508,336+AB508))-1,""))</f>
        <v/>
      </c>
      <c r="AD508" s="18" t="str">
        <f t="shared" si="105"/>
        <v/>
      </c>
      <c r="AE508" s="18" t="str">
        <f t="shared" si="106"/>
        <v/>
      </c>
      <c r="AF508" s="18" t="str">
        <f t="shared" si="107"/>
        <v/>
      </c>
      <c r="AG508" s="18" t="str">
        <f>IF(OR(O508="",AD508=""),"",IFERROR(INDEX(لیست‌ها!$Q$3:$Q$53,MATCH(AD508,لیست‌ها!$P$3:$P$53,0))+IF(AE508&lt;=6,(AE508-1)*31+AF508,IF(AE508&lt;=11,186+(AE508-7)*30+AF508,336+AF508))-1,""))</f>
        <v/>
      </c>
      <c r="AH508" s="18" t="str">
        <f t="shared" si="108"/>
        <v/>
      </c>
      <c r="AI508" s="18" t="str">
        <f t="shared" si="109"/>
        <v/>
      </c>
      <c r="AJ508" s="18" t="str">
        <f t="shared" ca="1" si="110"/>
        <v/>
      </c>
    </row>
    <row r="509" spans="1:36">
      <c r="A509" s="18">
        <v>506</v>
      </c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8" t="str">
        <f t="shared" ca="1" si="98"/>
        <v/>
      </c>
      <c r="U509" s="18">
        <f t="shared" ca="1" si="111"/>
        <v>0</v>
      </c>
      <c r="V509" s="18" t="str">
        <f t="shared" si="99"/>
        <v/>
      </c>
      <c r="W509" s="18" t="str">
        <f t="shared" si="100"/>
        <v/>
      </c>
      <c r="X509" s="18" t="str">
        <f t="shared" si="101"/>
        <v/>
      </c>
      <c r="Y509" s="19" t="str">
        <f>IF(OR(L509="",V509=""),"",IFERROR(INDEX(لیست‌ها!$Q$3:$Q$53,MATCH(V509,لیست‌ها!$P$3:$P$53,0))+IF(W509&lt;=6,(W509-1)*31+X509,IF(W509&lt;=11,186+(W509-7)*30+X509,336+X509))-1,""))</f>
        <v/>
      </c>
      <c r="Z509" s="18" t="str">
        <f t="shared" si="102"/>
        <v/>
      </c>
      <c r="AA509" s="18" t="str">
        <f t="shared" si="103"/>
        <v/>
      </c>
      <c r="AB509" s="18" t="str">
        <f t="shared" si="104"/>
        <v/>
      </c>
      <c r="AC509" s="19" t="str">
        <f>IF(OR(H509="",Z509=""),"",IFERROR(INDEX(لیست‌ها!$Q$3:$Q$53,MATCH(Z509,لیست‌ها!$P$3:$P$53,0))+IF(AA509&lt;=6,(AA509-1)*31+AB509,IF(AA509&lt;=11,186+(AA509-7)*30+AB509,336+AB509))-1,""))</f>
        <v/>
      </c>
      <c r="AD509" s="18" t="str">
        <f t="shared" si="105"/>
        <v/>
      </c>
      <c r="AE509" s="18" t="str">
        <f t="shared" si="106"/>
        <v/>
      </c>
      <c r="AF509" s="18" t="str">
        <f t="shared" si="107"/>
        <v/>
      </c>
      <c r="AG509" s="18" t="str">
        <f>IF(OR(O509="",AD509=""),"",IFERROR(INDEX(لیست‌ها!$Q$3:$Q$53,MATCH(AD509,لیست‌ها!$P$3:$P$53,0))+IF(AE509&lt;=6,(AE509-1)*31+AF509,IF(AE509&lt;=11,186+(AE509-7)*30+AF509,336+AF509))-1,""))</f>
        <v/>
      </c>
      <c r="AH509" s="18" t="str">
        <f t="shared" si="108"/>
        <v/>
      </c>
      <c r="AI509" s="18" t="str">
        <f t="shared" si="109"/>
        <v/>
      </c>
      <c r="AJ509" s="18" t="str">
        <f t="shared" ca="1" si="110"/>
        <v/>
      </c>
    </row>
    <row r="510" spans="1:36">
      <c r="A510" s="18">
        <v>507</v>
      </c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8" t="str">
        <f t="shared" ca="1" si="98"/>
        <v/>
      </c>
      <c r="U510" s="18">
        <f t="shared" ca="1" si="111"/>
        <v>0</v>
      </c>
      <c r="V510" s="18" t="str">
        <f t="shared" si="99"/>
        <v/>
      </c>
      <c r="W510" s="18" t="str">
        <f t="shared" si="100"/>
        <v/>
      </c>
      <c r="X510" s="18" t="str">
        <f t="shared" si="101"/>
        <v/>
      </c>
      <c r="Y510" s="19" t="str">
        <f>IF(OR(L510="",V510=""),"",IFERROR(INDEX(لیست‌ها!$Q$3:$Q$53,MATCH(V510,لیست‌ها!$P$3:$P$53,0))+IF(W510&lt;=6,(W510-1)*31+X510,IF(W510&lt;=11,186+(W510-7)*30+X510,336+X510))-1,""))</f>
        <v/>
      </c>
      <c r="Z510" s="18" t="str">
        <f t="shared" si="102"/>
        <v/>
      </c>
      <c r="AA510" s="18" t="str">
        <f t="shared" si="103"/>
        <v/>
      </c>
      <c r="AB510" s="18" t="str">
        <f t="shared" si="104"/>
        <v/>
      </c>
      <c r="AC510" s="19" t="str">
        <f>IF(OR(H510="",Z510=""),"",IFERROR(INDEX(لیست‌ها!$Q$3:$Q$53,MATCH(Z510,لیست‌ها!$P$3:$P$53,0))+IF(AA510&lt;=6,(AA510-1)*31+AB510,IF(AA510&lt;=11,186+(AA510-7)*30+AB510,336+AB510))-1,""))</f>
        <v/>
      </c>
      <c r="AD510" s="18" t="str">
        <f t="shared" si="105"/>
        <v/>
      </c>
      <c r="AE510" s="18" t="str">
        <f t="shared" si="106"/>
        <v/>
      </c>
      <c r="AF510" s="18" t="str">
        <f t="shared" si="107"/>
        <v/>
      </c>
      <c r="AG510" s="18" t="str">
        <f>IF(OR(O510="",AD510=""),"",IFERROR(INDEX(لیست‌ها!$Q$3:$Q$53,MATCH(AD510,لیست‌ها!$P$3:$P$53,0))+IF(AE510&lt;=6,(AE510-1)*31+AF510,IF(AE510&lt;=11,186+(AE510-7)*30+AF510,336+AF510))-1,""))</f>
        <v/>
      </c>
      <c r="AH510" s="18" t="str">
        <f t="shared" si="108"/>
        <v/>
      </c>
      <c r="AI510" s="18" t="str">
        <f t="shared" si="109"/>
        <v/>
      </c>
      <c r="AJ510" s="18" t="str">
        <f t="shared" ca="1" si="110"/>
        <v/>
      </c>
    </row>
    <row r="511" spans="1:36">
      <c r="A511" s="18">
        <v>508</v>
      </c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8" t="str">
        <f t="shared" ca="1" si="98"/>
        <v/>
      </c>
      <c r="U511" s="18">
        <f t="shared" ca="1" si="111"/>
        <v>0</v>
      </c>
      <c r="V511" s="18" t="str">
        <f t="shared" si="99"/>
        <v/>
      </c>
      <c r="W511" s="18" t="str">
        <f t="shared" si="100"/>
        <v/>
      </c>
      <c r="X511" s="18" t="str">
        <f t="shared" si="101"/>
        <v/>
      </c>
      <c r="Y511" s="19" t="str">
        <f>IF(OR(L511="",V511=""),"",IFERROR(INDEX(لیست‌ها!$Q$3:$Q$53,MATCH(V511,لیست‌ها!$P$3:$P$53,0))+IF(W511&lt;=6,(W511-1)*31+X511,IF(W511&lt;=11,186+(W511-7)*30+X511,336+X511))-1,""))</f>
        <v/>
      </c>
      <c r="Z511" s="18" t="str">
        <f t="shared" si="102"/>
        <v/>
      </c>
      <c r="AA511" s="18" t="str">
        <f t="shared" si="103"/>
        <v/>
      </c>
      <c r="AB511" s="18" t="str">
        <f t="shared" si="104"/>
        <v/>
      </c>
      <c r="AC511" s="19" t="str">
        <f>IF(OR(H511="",Z511=""),"",IFERROR(INDEX(لیست‌ها!$Q$3:$Q$53,MATCH(Z511,لیست‌ها!$P$3:$P$53,0))+IF(AA511&lt;=6,(AA511-1)*31+AB511,IF(AA511&lt;=11,186+(AA511-7)*30+AB511,336+AB511))-1,""))</f>
        <v/>
      </c>
      <c r="AD511" s="18" t="str">
        <f t="shared" si="105"/>
        <v/>
      </c>
      <c r="AE511" s="18" t="str">
        <f t="shared" si="106"/>
        <v/>
      </c>
      <c r="AF511" s="18" t="str">
        <f t="shared" si="107"/>
        <v/>
      </c>
      <c r="AG511" s="18" t="str">
        <f>IF(OR(O511="",AD511=""),"",IFERROR(INDEX(لیست‌ها!$Q$3:$Q$53,MATCH(AD511,لیست‌ها!$P$3:$P$53,0))+IF(AE511&lt;=6,(AE511-1)*31+AF511,IF(AE511&lt;=11,186+(AE511-7)*30+AF511,336+AF511))-1,""))</f>
        <v/>
      </c>
      <c r="AH511" s="18" t="str">
        <f t="shared" si="108"/>
        <v/>
      </c>
      <c r="AI511" s="18" t="str">
        <f t="shared" si="109"/>
        <v/>
      </c>
      <c r="AJ511" s="18" t="str">
        <f t="shared" ca="1" si="110"/>
        <v/>
      </c>
    </row>
    <row r="512" spans="1:36">
      <c r="A512" s="18">
        <v>509</v>
      </c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8" t="str">
        <f t="shared" ca="1" si="98"/>
        <v/>
      </c>
      <c r="U512" s="18">
        <f t="shared" ca="1" si="111"/>
        <v>0</v>
      </c>
      <c r="V512" s="18" t="str">
        <f t="shared" si="99"/>
        <v/>
      </c>
      <c r="W512" s="18" t="str">
        <f t="shared" si="100"/>
        <v/>
      </c>
      <c r="X512" s="18" t="str">
        <f t="shared" si="101"/>
        <v/>
      </c>
      <c r="Y512" s="19" t="str">
        <f>IF(OR(L512="",V512=""),"",IFERROR(INDEX(لیست‌ها!$Q$3:$Q$53,MATCH(V512,لیست‌ها!$P$3:$P$53,0))+IF(W512&lt;=6,(W512-1)*31+X512,IF(W512&lt;=11,186+(W512-7)*30+X512,336+X512))-1,""))</f>
        <v/>
      </c>
      <c r="Z512" s="18" t="str">
        <f t="shared" si="102"/>
        <v/>
      </c>
      <c r="AA512" s="18" t="str">
        <f t="shared" si="103"/>
        <v/>
      </c>
      <c r="AB512" s="18" t="str">
        <f t="shared" si="104"/>
        <v/>
      </c>
      <c r="AC512" s="19" t="str">
        <f>IF(OR(H512="",Z512=""),"",IFERROR(INDEX(لیست‌ها!$Q$3:$Q$53,MATCH(Z512,لیست‌ها!$P$3:$P$53,0))+IF(AA512&lt;=6,(AA512-1)*31+AB512,IF(AA512&lt;=11,186+(AA512-7)*30+AB512,336+AB512))-1,""))</f>
        <v/>
      </c>
      <c r="AD512" s="18" t="str">
        <f t="shared" si="105"/>
        <v/>
      </c>
      <c r="AE512" s="18" t="str">
        <f t="shared" si="106"/>
        <v/>
      </c>
      <c r="AF512" s="18" t="str">
        <f t="shared" si="107"/>
        <v/>
      </c>
      <c r="AG512" s="18" t="str">
        <f>IF(OR(O512="",AD512=""),"",IFERROR(INDEX(لیست‌ها!$Q$3:$Q$53,MATCH(AD512,لیست‌ها!$P$3:$P$53,0))+IF(AE512&lt;=6,(AE512-1)*31+AF512,IF(AE512&lt;=11,186+(AE512-7)*30+AF512,336+AF512))-1,""))</f>
        <v/>
      </c>
      <c r="AH512" s="18" t="str">
        <f t="shared" si="108"/>
        <v/>
      </c>
      <c r="AI512" s="18" t="str">
        <f t="shared" si="109"/>
        <v/>
      </c>
      <c r="AJ512" s="18" t="str">
        <f t="shared" ca="1" si="110"/>
        <v/>
      </c>
    </row>
    <row r="513" spans="1:36">
      <c r="A513" s="18">
        <v>510</v>
      </c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8" t="str">
        <f t="shared" ca="1" si="98"/>
        <v/>
      </c>
      <c r="U513" s="18">
        <f t="shared" ca="1" si="111"/>
        <v>0</v>
      </c>
      <c r="V513" s="18" t="str">
        <f t="shared" si="99"/>
        <v/>
      </c>
      <c r="W513" s="18" t="str">
        <f t="shared" si="100"/>
        <v/>
      </c>
      <c r="X513" s="18" t="str">
        <f t="shared" si="101"/>
        <v/>
      </c>
      <c r="Y513" s="19" t="str">
        <f>IF(OR(L513="",V513=""),"",IFERROR(INDEX(لیست‌ها!$Q$3:$Q$53,MATCH(V513,لیست‌ها!$P$3:$P$53,0))+IF(W513&lt;=6,(W513-1)*31+X513,IF(W513&lt;=11,186+(W513-7)*30+X513,336+X513))-1,""))</f>
        <v/>
      </c>
      <c r="Z513" s="18" t="str">
        <f t="shared" si="102"/>
        <v/>
      </c>
      <c r="AA513" s="18" t="str">
        <f t="shared" si="103"/>
        <v/>
      </c>
      <c r="AB513" s="18" t="str">
        <f t="shared" si="104"/>
        <v/>
      </c>
      <c r="AC513" s="19" t="str">
        <f>IF(OR(H513="",Z513=""),"",IFERROR(INDEX(لیست‌ها!$Q$3:$Q$53,MATCH(Z513,لیست‌ها!$P$3:$P$53,0))+IF(AA513&lt;=6,(AA513-1)*31+AB513,IF(AA513&lt;=11,186+(AA513-7)*30+AB513,336+AB513))-1,""))</f>
        <v/>
      </c>
      <c r="AD513" s="18" t="str">
        <f t="shared" si="105"/>
        <v/>
      </c>
      <c r="AE513" s="18" t="str">
        <f t="shared" si="106"/>
        <v/>
      </c>
      <c r="AF513" s="18" t="str">
        <f t="shared" si="107"/>
        <v/>
      </c>
      <c r="AG513" s="18" t="str">
        <f>IF(OR(O513="",AD513=""),"",IFERROR(INDEX(لیست‌ها!$Q$3:$Q$53,MATCH(AD513,لیست‌ها!$P$3:$P$53,0))+IF(AE513&lt;=6,(AE513-1)*31+AF513,IF(AE513&lt;=11,186+(AE513-7)*30+AF513,336+AF513))-1,""))</f>
        <v/>
      </c>
      <c r="AH513" s="18" t="str">
        <f t="shared" si="108"/>
        <v/>
      </c>
      <c r="AI513" s="18" t="str">
        <f t="shared" si="109"/>
        <v/>
      </c>
      <c r="AJ513" s="18" t="str">
        <f t="shared" ca="1" si="110"/>
        <v/>
      </c>
    </row>
    <row r="514" spans="1:36">
      <c r="A514" s="18">
        <v>511</v>
      </c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8" t="str">
        <f t="shared" ca="1" si="98"/>
        <v/>
      </c>
      <c r="U514" s="18">
        <f t="shared" ca="1" si="111"/>
        <v>0</v>
      </c>
      <c r="V514" s="18" t="str">
        <f t="shared" si="99"/>
        <v/>
      </c>
      <c r="W514" s="18" t="str">
        <f t="shared" si="100"/>
        <v/>
      </c>
      <c r="X514" s="18" t="str">
        <f t="shared" si="101"/>
        <v/>
      </c>
      <c r="Y514" s="19" t="str">
        <f>IF(OR(L514="",V514=""),"",IFERROR(INDEX(لیست‌ها!$Q$3:$Q$53,MATCH(V514,لیست‌ها!$P$3:$P$53,0))+IF(W514&lt;=6,(W514-1)*31+X514,IF(W514&lt;=11,186+(W514-7)*30+X514,336+X514))-1,""))</f>
        <v/>
      </c>
      <c r="Z514" s="18" t="str">
        <f t="shared" si="102"/>
        <v/>
      </c>
      <c r="AA514" s="18" t="str">
        <f t="shared" si="103"/>
        <v/>
      </c>
      <c r="AB514" s="18" t="str">
        <f t="shared" si="104"/>
        <v/>
      </c>
      <c r="AC514" s="19" t="str">
        <f>IF(OR(H514="",Z514=""),"",IFERROR(INDEX(لیست‌ها!$Q$3:$Q$53,MATCH(Z514,لیست‌ها!$P$3:$P$53,0))+IF(AA514&lt;=6,(AA514-1)*31+AB514,IF(AA514&lt;=11,186+(AA514-7)*30+AB514,336+AB514))-1,""))</f>
        <v/>
      </c>
      <c r="AD514" s="18" t="str">
        <f t="shared" si="105"/>
        <v/>
      </c>
      <c r="AE514" s="18" t="str">
        <f t="shared" si="106"/>
        <v/>
      </c>
      <c r="AF514" s="18" t="str">
        <f t="shared" si="107"/>
        <v/>
      </c>
      <c r="AG514" s="18" t="str">
        <f>IF(OR(O514="",AD514=""),"",IFERROR(INDEX(لیست‌ها!$Q$3:$Q$53,MATCH(AD514,لیست‌ها!$P$3:$P$53,0))+IF(AE514&lt;=6,(AE514-1)*31+AF514,IF(AE514&lt;=11,186+(AE514-7)*30+AF514,336+AF514))-1,""))</f>
        <v/>
      </c>
      <c r="AH514" s="18" t="str">
        <f t="shared" si="108"/>
        <v/>
      </c>
      <c r="AI514" s="18" t="str">
        <f t="shared" si="109"/>
        <v/>
      </c>
      <c r="AJ514" s="18" t="str">
        <f t="shared" ca="1" si="110"/>
        <v/>
      </c>
    </row>
    <row r="515" spans="1:36">
      <c r="A515" s="18">
        <v>512</v>
      </c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8" t="str">
        <f t="shared" ca="1" si="98"/>
        <v/>
      </c>
      <c r="U515" s="18">
        <f t="shared" ca="1" si="111"/>
        <v>0</v>
      </c>
      <c r="V515" s="18" t="str">
        <f t="shared" si="99"/>
        <v/>
      </c>
      <c r="W515" s="18" t="str">
        <f t="shared" si="100"/>
        <v/>
      </c>
      <c r="X515" s="18" t="str">
        <f t="shared" si="101"/>
        <v/>
      </c>
      <c r="Y515" s="19" t="str">
        <f>IF(OR(L515="",V515=""),"",IFERROR(INDEX(لیست‌ها!$Q$3:$Q$53,MATCH(V515,لیست‌ها!$P$3:$P$53,0))+IF(W515&lt;=6,(W515-1)*31+X515,IF(W515&lt;=11,186+(W515-7)*30+X515,336+X515))-1,""))</f>
        <v/>
      </c>
      <c r="Z515" s="18" t="str">
        <f t="shared" si="102"/>
        <v/>
      </c>
      <c r="AA515" s="18" t="str">
        <f t="shared" si="103"/>
        <v/>
      </c>
      <c r="AB515" s="18" t="str">
        <f t="shared" si="104"/>
        <v/>
      </c>
      <c r="AC515" s="19" t="str">
        <f>IF(OR(H515="",Z515=""),"",IFERROR(INDEX(لیست‌ها!$Q$3:$Q$53,MATCH(Z515,لیست‌ها!$P$3:$P$53,0))+IF(AA515&lt;=6,(AA515-1)*31+AB515,IF(AA515&lt;=11,186+(AA515-7)*30+AB515,336+AB515))-1,""))</f>
        <v/>
      </c>
      <c r="AD515" s="18" t="str">
        <f t="shared" si="105"/>
        <v/>
      </c>
      <c r="AE515" s="18" t="str">
        <f t="shared" si="106"/>
        <v/>
      </c>
      <c r="AF515" s="18" t="str">
        <f t="shared" si="107"/>
        <v/>
      </c>
      <c r="AG515" s="18" t="str">
        <f>IF(OR(O515="",AD515=""),"",IFERROR(INDEX(لیست‌ها!$Q$3:$Q$53,MATCH(AD515,لیست‌ها!$P$3:$P$53,0))+IF(AE515&lt;=6,(AE515-1)*31+AF515,IF(AE515&lt;=11,186+(AE515-7)*30+AF515,336+AF515))-1,""))</f>
        <v/>
      </c>
      <c r="AH515" s="18" t="str">
        <f t="shared" si="108"/>
        <v/>
      </c>
      <c r="AI515" s="18" t="str">
        <f t="shared" si="109"/>
        <v/>
      </c>
      <c r="AJ515" s="18" t="str">
        <f t="shared" ca="1" si="110"/>
        <v/>
      </c>
    </row>
    <row r="516" spans="1:36">
      <c r="A516" s="18">
        <v>513</v>
      </c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8" t="str">
        <f t="shared" ref="T516:T579" ca="1" si="112">IF(B516="","",IF(OR(I516&lt;&gt;"",O516&lt;&gt;""),"بسته",IF(AND(L516&lt;&gt;"",V516=""),"خطای فرمت تاریخ ایجاد",IF(AND(H516&lt;&gt;"",Z516=""),"خطای فرمت مهلت",IF(AND(H516&lt;&gt;"",AC516&lt;&gt;"",TODAY()&gt;AC516),"تاخیر",IF(L516&lt;&gt;"","در حال انجام",""))))))</f>
        <v/>
      </c>
      <c r="U516" s="18">
        <f t="shared" ca="1" si="111"/>
        <v>0</v>
      </c>
      <c r="V516" s="18" t="str">
        <f t="shared" ref="V516:V579" si="113">IF(L516="","",VALUE(LEFT(L516,FIND("/",L516)-1)))</f>
        <v/>
      </c>
      <c r="W516" s="18" t="str">
        <f t="shared" ref="W516:W579" si="114">IF(L516="","",VALUE(MID(L516,FIND("/",L516)+1,FIND("/",L516,FIND("/",L516)+1)-FIND("/",L516)-1)))</f>
        <v/>
      </c>
      <c r="X516" s="18" t="str">
        <f t="shared" ref="X516:X579" si="115">IF(L516="","",VALUE(MID(L516,FIND("/",L516,FIND("/",L516)+1)+1,LEN(L516)-FIND("/",L516,FIND("/",L516)+1))))</f>
        <v/>
      </c>
      <c r="Y516" s="19" t="str">
        <f>IF(OR(L516="",V516=""),"",IFERROR(INDEX(لیست‌ها!$Q$3:$Q$53,MATCH(V516,لیست‌ها!$P$3:$P$53,0))+IF(W516&lt;=6,(W516-1)*31+X516,IF(W516&lt;=11,186+(W516-7)*30+X516,336+X516))-1,""))</f>
        <v/>
      </c>
      <c r="Z516" s="18" t="str">
        <f t="shared" ref="Z516:Z579" si="116">IF(H516="","",VALUE(LEFT(H516,FIND("/",H516)-1)))</f>
        <v/>
      </c>
      <c r="AA516" s="18" t="str">
        <f t="shared" ref="AA516:AA579" si="117">IF(H516="","",VALUE(MID(H516,FIND("/",H516)+1,FIND("/",H516,FIND("/",H516)+1)-FIND("/",H516)-1)))</f>
        <v/>
      </c>
      <c r="AB516" s="18" t="str">
        <f t="shared" ref="AB516:AB579" si="118">IF(H516="","",VALUE(MID(H516,FIND("/",H516,FIND("/",H516)+1)+1,LEN(H516)-FIND("/",H516,FIND("/",H516)+1))))</f>
        <v/>
      </c>
      <c r="AC516" s="19" t="str">
        <f>IF(OR(H516="",Z516=""),"",IFERROR(INDEX(لیست‌ها!$Q$3:$Q$53,MATCH(Z516,لیست‌ها!$P$3:$P$53,0))+IF(AA516&lt;=6,(AA516-1)*31+AB516,IF(AA516&lt;=11,186+(AA516-7)*30+AB516,336+AB516))-1,""))</f>
        <v/>
      </c>
      <c r="AD516" s="18" t="str">
        <f t="shared" ref="AD516:AD579" si="119">IF(O516="","",VALUE(LEFT(O516,FIND("/",O516)-1)))</f>
        <v/>
      </c>
      <c r="AE516" s="18" t="str">
        <f t="shared" ref="AE516:AE579" si="120">IF(O516="","",VALUE(MID(O516,FIND("/",O516)+1,FIND("/",O516,FIND("/",O516)+1)-FIND("/",O516)-1)))</f>
        <v/>
      </c>
      <c r="AF516" s="18" t="str">
        <f t="shared" ref="AF516:AF579" si="121">IF(O516="","",VALUE(MID(O516,FIND("/",O516,FIND("/",O516)+1)+1,LEN(O516)-FIND("/",O516,FIND("/",O516)+1))))</f>
        <v/>
      </c>
      <c r="AG516" s="18" t="str">
        <f>IF(OR(O516="",AD516=""),"",IFERROR(INDEX(لیست‌ها!$Q$3:$Q$53,MATCH(AD516,لیست‌ها!$P$3:$P$53,0))+IF(AE516&lt;=6,(AE516-1)*31+AF516,IF(AE516&lt;=11,186+(AE516-7)*30+AF516,336+AF516))-1,""))</f>
        <v/>
      </c>
      <c r="AH516" s="18" t="str">
        <f t="shared" ref="AH516:AH579" si="122">IF(V516="","",V516&amp;"-"&amp;TEXT(W516,"00"))</f>
        <v/>
      </c>
      <c r="AI516" s="18" t="str">
        <f t="shared" ref="AI516:AI579" si="123">IF(V516="","",V516*12+W516)</f>
        <v/>
      </c>
      <c r="AJ516" s="18" t="str">
        <f t="shared" ref="AJ516:AJ579" ca="1" si="124">IF(T516="تاخیر",U516+ROW()/100000,"")</f>
        <v/>
      </c>
    </row>
    <row r="517" spans="1:36">
      <c r="A517" s="18">
        <v>514</v>
      </c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8" t="str">
        <f t="shared" ca="1" si="112"/>
        <v/>
      </c>
      <c r="U517" s="18">
        <f t="shared" ref="U517:U540" ca="1" si="125">IF(T517="تاخیر",TODAY()-AC517,IF(AND(T517="بسته",AG517&lt;&gt;"",AC517&lt;&gt;"",AG517&gt;AC517),AG517-AC517,0))</f>
        <v>0</v>
      </c>
      <c r="V517" s="18" t="str">
        <f t="shared" si="113"/>
        <v/>
      </c>
      <c r="W517" s="18" t="str">
        <f t="shared" si="114"/>
        <v/>
      </c>
      <c r="X517" s="18" t="str">
        <f t="shared" si="115"/>
        <v/>
      </c>
      <c r="Y517" s="19" t="str">
        <f>IF(OR(L517="",V517=""),"",IFERROR(INDEX(لیست‌ها!$Q$3:$Q$53,MATCH(V517,لیست‌ها!$P$3:$P$53,0))+IF(W517&lt;=6,(W517-1)*31+X517,IF(W517&lt;=11,186+(W517-7)*30+X517,336+X517))-1,""))</f>
        <v/>
      </c>
      <c r="Z517" s="18" t="str">
        <f t="shared" si="116"/>
        <v/>
      </c>
      <c r="AA517" s="18" t="str">
        <f t="shared" si="117"/>
        <v/>
      </c>
      <c r="AB517" s="18" t="str">
        <f t="shared" si="118"/>
        <v/>
      </c>
      <c r="AC517" s="19" t="str">
        <f>IF(OR(H517="",Z517=""),"",IFERROR(INDEX(لیست‌ها!$Q$3:$Q$53,MATCH(Z517,لیست‌ها!$P$3:$P$53,0))+IF(AA517&lt;=6,(AA517-1)*31+AB517,IF(AA517&lt;=11,186+(AA517-7)*30+AB517,336+AB517))-1,""))</f>
        <v/>
      </c>
      <c r="AD517" s="18" t="str">
        <f t="shared" si="119"/>
        <v/>
      </c>
      <c r="AE517" s="18" t="str">
        <f t="shared" si="120"/>
        <v/>
      </c>
      <c r="AF517" s="18" t="str">
        <f t="shared" si="121"/>
        <v/>
      </c>
      <c r="AG517" s="18" t="str">
        <f>IF(OR(O517="",AD517=""),"",IFERROR(INDEX(لیست‌ها!$Q$3:$Q$53,MATCH(AD517,لیست‌ها!$P$3:$P$53,0))+IF(AE517&lt;=6,(AE517-1)*31+AF517,IF(AE517&lt;=11,186+(AE517-7)*30+AF517,336+AF517))-1,""))</f>
        <v/>
      </c>
      <c r="AH517" s="18" t="str">
        <f t="shared" si="122"/>
        <v/>
      </c>
      <c r="AI517" s="18" t="str">
        <f t="shared" si="123"/>
        <v/>
      </c>
      <c r="AJ517" s="18" t="str">
        <f t="shared" ca="1" si="124"/>
        <v/>
      </c>
    </row>
    <row r="518" spans="1:36">
      <c r="A518" s="18">
        <v>515</v>
      </c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8" t="str">
        <f t="shared" ca="1" si="112"/>
        <v/>
      </c>
      <c r="U518" s="18">
        <f t="shared" ca="1" si="125"/>
        <v>0</v>
      </c>
      <c r="V518" s="18" t="str">
        <f t="shared" si="113"/>
        <v/>
      </c>
      <c r="W518" s="18" t="str">
        <f t="shared" si="114"/>
        <v/>
      </c>
      <c r="X518" s="18" t="str">
        <f t="shared" si="115"/>
        <v/>
      </c>
      <c r="Y518" s="19" t="str">
        <f>IF(OR(L518="",V518=""),"",IFERROR(INDEX(لیست‌ها!$Q$3:$Q$53,MATCH(V518,لیست‌ها!$P$3:$P$53,0))+IF(W518&lt;=6,(W518-1)*31+X518,IF(W518&lt;=11,186+(W518-7)*30+X518,336+X518))-1,""))</f>
        <v/>
      </c>
      <c r="Z518" s="18" t="str">
        <f t="shared" si="116"/>
        <v/>
      </c>
      <c r="AA518" s="18" t="str">
        <f t="shared" si="117"/>
        <v/>
      </c>
      <c r="AB518" s="18" t="str">
        <f t="shared" si="118"/>
        <v/>
      </c>
      <c r="AC518" s="19" t="str">
        <f>IF(OR(H518="",Z518=""),"",IFERROR(INDEX(لیست‌ها!$Q$3:$Q$53,MATCH(Z518,لیست‌ها!$P$3:$P$53,0))+IF(AA518&lt;=6,(AA518-1)*31+AB518,IF(AA518&lt;=11,186+(AA518-7)*30+AB518,336+AB518))-1,""))</f>
        <v/>
      </c>
      <c r="AD518" s="18" t="str">
        <f t="shared" si="119"/>
        <v/>
      </c>
      <c r="AE518" s="18" t="str">
        <f t="shared" si="120"/>
        <v/>
      </c>
      <c r="AF518" s="18" t="str">
        <f t="shared" si="121"/>
        <v/>
      </c>
      <c r="AG518" s="18" t="str">
        <f>IF(OR(O518="",AD518=""),"",IFERROR(INDEX(لیست‌ها!$Q$3:$Q$53,MATCH(AD518,لیست‌ها!$P$3:$P$53,0))+IF(AE518&lt;=6,(AE518-1)*31+AF518,IF(AE518&lt;=11,186+(AE518-7)*30+AF518,336+AF518))-1,""))</f>
        <v/>
      </c>
      <c r="AH518" s="18" t="str">
        <f t="shared" si="122"/>
        <v/>
      </c>
      <c r="AI518" s="18" t="str">
        <f t="shared" si="123"/>
        <v/>
      </c>
      <c r="AJ518" s="18" t="str">
        <f t="shared" ca="1" si="124"/>
        <v/>
      </c>
    </row>
    <row r="519" spans="1:36">
      <c r="A519" s="18">
        <v>516</v>
      </c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8" t="str">
        <f t="shared" ca="1" si="112"/>
        <v/>
      </c>
      <c r="U519" s="18">
        <f t="shared" ca="1" si="125"/>
        <v>0</v>
      </c>
      <c r="V519" s="18" t="str">
        <f t="shared" si="113"/>
        <v/>
      </c>
      <c r="W519" s="18" t="str">
        <f t="shared" si="114"/>
        <v/>
      </c>
      <c r="X519" s="18" t="str">
        <f t="shared" si="115"/>
        <v/>
      </c>
      <c r="Y519" s="19" t="str">
        <f>IF(OR(L519="",V519=""),"",IFERROR(INDEX(لیست‌ها!$Q$3:$Q$53,MATCH(V519,لیست‌ها!$P$3:$P$53,0))+IF(W519&lt;=6,(W519-1)*31+X519,IF(W519&lt;=11,186+(W519-7)*30+X519,336+X519))-1,""))</f>
        <v/>
      </c>
      <c r="Z519" s="18" t="str">
        <f t="shared" si="116"/>
        <v/>
      </c>
      <c r="AA519" s="18" t="str">
        <f t="shared" si="117"/>
        <v/>
      </c>
      <c r="AB519" s="18" t="str">
        <f t="shared" si="118"/>
        <v/>
      </c>
      <c r="AC519" s="19" t="str">
        <f>IF(OR(H519="",Z519=""),"",IFERROR(INDEX(لیست‌ها!$Q$3:$Q$53,MATCH(Z519,لیست‌ها!$P$3:$P$53,0))+IF(AA519&lt;=6,(AA519-1)*31+AB519,IF(AA519&lt;=11,186+(AA519-7)*30+AB519,336+AB519))-1,""))</f>
        <v/>
      </c>
      <c r="AD519" s="18" t="str">
        <f t="shared" si="119"/>
        <v/>
      </c>
      <c r="AE519" s="18" t="str">
        <f t="shared" si="120"/>
        <v/>
      </c>
      <c r="AF519" s="18" t="str">
        <f t="shared" si="121"/>
        <v/>
      </c>
      <c r="AG519" s="18" t="str">
        <f>IF(OR(O519="",AD519=""),"",IFERROR(INDEX(لیست‌ها!$Q$3:$Q$53,MATCH(AD519,لیست‌ها!$P$3:$P$53,0))+IF(AE519&lt;=6,(AE519-1)*31+AF519,IF(AE519&lt;=11,186+(AE519-7)*30+AF519,336+AF519))-1,""))</f>
        <v/>
      </c>
      <c r="AH519" s="18" t="str">
        <f t="shared" si="122"/>
        <v/>
      </c>
      <c r="AI519" s="18" t="str">
        <f t="shared" si="123"/>
        <v/>
      </c>
      <c r="AJ519" s="18" t="str">
        <f t="shared" ca="1" si="124"/>
        <v/>
      </c>
    </row>
    <row r="520" spans="1:36">
      <c r="A520" s="18">
        <v>517</v>
      </c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8" t="str">
        <f t="shared" ca="1" si="112"/>
        <v/>
      </c>
      <c r="U520" s="18">
        <f t="shared" ca="1" si="125"/>
        <v>0</v>
      </c>
      <c r="V520" s="18" t="str">
        <f t="shared" si="113"/>
        <v/>
      </c>
      <c r="W520" s="18" t="str">
        <f t="shared" si="114"/>
        <v/>
      </c>
      <c r="X520" s="18" t="str">
        <f t="shared" si="115"/>
        <v/>
      </c>
      <c r="Y520" s="19" t="str">
        <f>IF(OR(L520="",V520=""),"",IFERROR(INDEX(لیست‌ها!$Q$3:$Q$53,MATCH(V520,لیست‌ها!$P$3:$P$53,0))+IF(W520&lt;=6,(W520-1)*31+X520,IF(W520&lt;=11,186+(W520-7)*30+X520,336+X520))-1,""))</f>
        <v/>
      </c>
      <c r="Z520" s="18" t="str">
        <f t="shared" si="116"/>
        <v/>
      </c>
      <c r="AA520" s="18" t="str">
        <f t="shared" si="117"/>
        <v/>
      </c>
      <c r="AB520" s="18" t="str">
        <f t="shared" si="118"/>
        <v/>
      </c>
      <c r="AC520" s="19" t="str">
        <f>IF(OR(H520="",Z520=""),"",IFERROR(INDEX(لیست‌ها!$Q$3:$Q$53,MATCH(Z520,لیست‌ها!$P$3:$P$53,0))+IF(AA520&lt;=6,(AA520-1)*31+AB520,IF(AA520&lt;=11,186+(AA520-7)*30+AB520,336+AB520))-1,""))</f>
        <v/>
      </c>
      <c r="AD520" s="18" t="str">
        <f t="shared" si="119"/>
        <v/>
      </c>
      <c r="AE520" s="18" t="str">
        <f t="shared" si="120"/>
        <v/>
      </c>
      <c r="AF520" s="18" t="str">
        <f t="shared" si="121"/>
        <v/>
      </c>
      <c r="AG520" s="18" t="str">
        <f>IF(OR(O520="",AD520=""),"",IFERROR(INDEX(لیست‌ها!$Q$3:$Q$53,MATCH(AD520,لیست‌ها!$P$3:$P$53,0))+IF(AE520&lt;=6,(AE520-1)*31+AF520,IF(AE520&lt;=11,186+(AE520-7)*30+AF520,336+AF520))-1,""))</f>
        <v/>
      </c>
      <c r="AH520" s="18" t="str">
        <f t="shared" si="122"/>
        <v/>
      </c>
      <c r="AI520" s="18" t="str">
        <f t="shared" si="123"/>
        <v/>
      </c>
      <c r="AJ520" s="18" t="str">
        <f t="shared" ca="1" si="124"/>
        <v/>
      </c>
    </row>
    <row r="521" spans="1:36">
      <c r="A521" s="18">
        <v>518</v>
      </c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8" t="str">
        <f t="shared" ca="1" si="112"/>
        <v/>
      </c>
      <c r="U521" s="18">
        <f t="shared" ca="1" si="125"/>
        <v>0</v>
      </c>
      <c r="V521" s="18" t="str">
        <f t="shared" si="113"/>
        <v/>
      </c>
      <c r="W521" s="18" t="str">
        <f t="shared" si="114"/>
        <v/>
      </c>
      <c r="X521" s="18" t="str">
        <f t="shared" si="115"/>
        <v/>
      </c>
      <c r="Y521" s="19" t="str">
        <f>IF(OR(L521="",V521=""),"",IFERROR(INDEX(لیست‌ها!$Q$3:$Q$53,MATCH(V521,لیست‌ها!$P$3:$P$53,0))+IF(W521&lt;=6,(W521-1)*31+X521,IF(W521&lt;=11,186+(W521-7)*30+X521,336+X521))-1,""))</f>
        <v/>
      </c>
      <c r="Z521" s="18" t="str">
        <f t="shared" si="116"/>
        <v/>
      </c>
      <c r="AA521" s="18" t="str">
        <f t="shared" si="117"/>
        <v/>
      </c>
      <c r="AB521" s="18" t="str">
        <f t="shared" si="118"/>
        <v/>
      </c>
      <c r="AC521" s="19" t="str">
        <f>IF(OR(H521="",Z521=""),"",IFERROR(INDEX(لیست‌ها!$Q$3:$Q$53,MATCH(Z521,لیست‌ها!$P$3:$P$53,0))+IF(AA521&lt;=6,(AA521-1)*31+AB521,IF(AA521&lt;=11,186+(AA521-7)*30+AB521,336+AB521))-1,""))</f>
        <v/>
      </c>
      <c r="AD521" s="18" t="str">
        <f t="shared" si="119"/>
        <v/>
      </c>
      <c r="AE521" s="18" t="str">
        <f t="shared" si="120"/>
        <v/>
      </c>
      <c r="AF521" s="18" t="str">
        <f t="shared" si="121"/>
        <v/>
      </c>
      <c r="AG521" s="18" t="str">
        <f>IF(OR(O521="",AD521=""),"",IFERROR(INDEX(لیست‌ها!$Q$3:$Q$53,MATCH(AD521,لیست‌ها!$P$3:$P$53,0))+IF(AE521&lt;=6,(AE521-1)*31+AF521,IF(AE521&lt;=11,186+(AE521-7)*30+AF521,336+AF521))-1,""))</f>
        <v/>
      </c>
      <c r="AH521" s="18" t="str">
        <f t="shared" si="122"/>
        <v/>
      </c>
      <c r="AI521" s="18" t="str">
        <f t="shared" si="123"/>
        <v/>
      </c>
      <c r="AJ521" s="18" t="str">
        <f t="shared" ca="1" si="124"/>
        <v/>
      </c>
    </row>
    <row r="522" spans="1:36">
      <c r="A522" s="18">
        <v>519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8" t="str">
        <f t="shared" ca="1" si="112"/>
        <v/>
      </c>
      <c r="U522" s="18">
        <f t="shared" ca="1" si="125"/>
        <v>0</v>
      </c>
      <c r="V522" s="18" t="str">
        <f t="shared" si="113"/>
        <v/>
      </c>
      <c r="W522" s="18" t="str">
        <f t="shared" si="114"/>
        <v/>
      </c>
      <c r="X522" s="18" t="str">
        <f t="shared" si="115"/>
        <v/>
      </c>
      <c r="Y522" s="19" t="str">
        <f>IF(OR(L522="",V522=""),"",IFERROR(INDEX(لیست‌ها!$Q$3:$Q$53,MATCH(V522,لیست‌ها!$P$3:$P$53,0))+IF(W522&lt;=6,(W522-1)*31+X522,IF(W522&lt;=11,186+(W522-7)*30+X522,336+X522))-1,""))</f>
        <v/>
      </c>
      <c r="Z522" s="18" t="str">
        <f t="shared" si="116"/>
        <v/>
      </c>
      <c r="AA522" s="18" t="str">
        <f t="shared" si="117"/>
        <v/>
      </c>
      <c r="AB522" s="18" t="str">
        <f t="shared" si="118"/>
        <v/>
      </c>
      <c r="AC522" s="19" t="str">
        <f>IF(OR(H522="",Z522=""),"",IFERROR(INDEX(لیست‌ها!$Q$3:$Q$53,MATCH(Z522,لیست‌ها!$P$3:$P$53,0))+IF(AA522&lt;=6,(AA522-1)*31+AB522,IF(AA522&lt;=11,186+(AA522-7)*30+AB522,336+AB522))-1,""))</f>
        <v/>
      </c>
      <c r="AD522" s="18" t="str">
        <f t="shared" si="119"/>
        <v/>
      </c>
      <c r="AE522" s="18" t="str">
        <f t="shared" si="120"/>
        <v/>
      </c>
      <c r="AF522" s="18" t="str">
        <f t="shared" si="121"/>
        <v/>
      </c>
      <c r="AG522" s="18" t="str">
        <f>IF(OR(O522="",AD522=""),"",IFERROR(INDEX(لیست‌ها!$Q$3:$Q$53,MATCH(AD522,لیست‌ها!$P$3:$P$53,0))+IF(AE522&lt;=6,(AE522-1)*31+AF522,IF(AE522&lt;=11,186+(AE522-7)*30+AF522,336+AF522))-1,""))</f>
        <v/>
      </c>
      <c r="AH522" s="18" t="str">
        <f t="shared" si="122"/>
        <v/>
      </c>
      <c r="AI522" s="18" t="str">
        <f t="shared" si="123"/>
        <v/>
      </c>
      <c r="AJ522" s="18" t="str">
        <f t="shared" ca="1" si="124"/>
        <v/>
      </c>
    </row>
    <row r="523" spans="1:36">
      <c r="A523" s="18">
        <v>520</v>
      </c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8" t="str">
        <f t="shared" ca="1" si="112"/>
        <v/>
      </c>
      <c r="U523" s="18">
        <f t="shared" ca="1" si="125"/>
        <v>0</v>
      </c>
      <c r="V523" s="18" t="str">
        <f t="shared" si="113"/>
        <v/>
      </c>
      <c r="W523" s="18" t="str">
        <f t="shared" si="114"/>
        <v/>
      </c>
      <c r="X523" s="18" t="str">
        <f t="shared" si="115"/>
        <v/>
      </c>
      <c r="Y523" s="19" t="str">
        <f>IF(OR(L523="",V523=""),"",IFERROR(INDEX(لیست‌ها!$Q$3:$Q$53,MATCH(V523,لیست‌ها!$P$3:$P$53,0))+IF(W523&lt;=6,(W523-1)*31+X523,IF(W523&lt;=11,186+(W523-7)*30+X523,336+X523))-1,""))</f>
        <v/>
      </c>
      <c r="Z523" s="18" t="str">
        <f t="shared" si="116"/>
        <v/>
      </c>
      <c r="AA523" s="18" t="str">
        <f t="shared" si="117"/>
        <v/>
      </c>
      <c r="AB523" s="18" t="str">
        <f t="shared" si="118"/>
        <v/>
      </c>
      <c r="AC523" s="19" t="str">
        <f>IF(OR(H523="",Z523=""),"",IFERROR(INDEX(لیست‌ها!$Q$3:$Q$53,MATCH(Z523,لیست‌ها!$P$3:$P$53,0))+IF(AA523&lt;=6,(AA523-1)*31+AB523,IF(AA523&lt;=11,186+(AA523-7)*30+AB523,336+AB523))-1,""))</f>
        <v/>
      </c>
      <c r="AD523" s="18" t="str">
        <f t="shared" si="119"/>
        <v/>
      </c>
      <c r="AE523" s="18" t="str">
        <f t="shared" si="120"/>
        <v/>
      </c>
      <c r="AF523" s="18" t="str">
        <f t="shared" si="121"/>
        <v/>
      </c>
      <c r="AG523" s="18" t="str">
        <f>IF(OR(O523="",AD523=""),"",IFERROR(INDEX(لیست‌ها!$Q$3:$Q$53,MATCH(AD523,لیست‌ها!$P$3:$P$53,0))+IF(AE523&lt;=6,(AE523-1)*31+AF523,IF(AE523&lt;=11,186+(AE523-7)*30+AF523,336+AF523))-1,""))</f>
        <v/>
      </c>
      <c r="AH523" s="18" t="str">
        <f t="shared" si="122"/>
        <v/>
      </c>
      <c r="AI523" s="18" t="str">
        <f t="shared" si="123"/>
        <v/>
      </c>
      <c r="AJ523" s="18" t="str">
        <f t="shared" ca="1" si="124"/>
        <v/>
      </c>
    </row>
    <row r="524" spans="1:36">
      <c r="A524" s="18">
        <v>521</v>
      </c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8" t="str">
        <f t="shared" ca="1" si="112"/>
        <v/>
      </c>
      <c r="U524" s="18">
        <f t="shared" ca="1" si="125"/>
        <v>0</v>
      </c>
      <c r="V524" s="18" t="str">
        <f t="shared" si="113"/>
        <v/>
      </c>
      <c r="W524" s="18" t="str">
        <f t="shared" si="114"/>
        <v/>
      </c>
      <c r="X524" s="18" t="str">
        <f t="shared" si="115"/>
        <v/>
      </c>
      <c r="Y524" s="19" t="str">
        <f>IF(OR(L524="",V524=""),"",IFERROR(INDEX(لیست‌ها!$Q$3:$Q$53,MATCH(V524,لیست‌ها!$P$3:$P$53,0))+IF(W524&lt;=6,(W524-1)*31+X524,IF(W524&lt;=11,186+(W524-7)*30+X524,336+X524))-1,""))</f>
        <v/>
      </c>
      <c r="Z524" s="18" t="str">
        <f t="shared" si="116"/>
        <v/>
      </c>
      <c r="AA524" s="18" t="str">
        <f t="shared" si="117"/>
        <v/>
      </c>
      <c r="AB524" s="18" t="str">
        <f t="shared" si="118"/>
        <v/>
      </c>
      <c r="AC524" s="19" t="str">
        <f>IF(OR(H524="",Z524=""),"",IFERROR(INDEX(لیست‌ها!$Q$3:$Q$53,MATCH(Z524,لیست‌ها!$P$3:$P$53,0))+IF(AA524&lt;=6,(AA524-1)*31+AB524,IF(AA524&lt;=11,186+(AA524-7)*30+AB524,336+AB524))-1,""))</f>
        <v/>
      </c>
      <c r="AD524" s="18" t="str">
        <f t="shared" si="119"/>
        <v/>
      </c>
      <c r="AE524" s="18" t="str">
        <f t="shared" si="120"/>
        <v/>
      </c>
      <c r="AF524" s="18" t="str">
        <f t="shared" si="121"/>
        <v/>
      </c>
      <c r="AG524" s="18" t="str">
        <f>IF(OR(O524="",AD524=""),"",IFERROR(INDEX(لیست‌ها!$Q$3:$Q$53,MATCH(AD524,لیست‌ها!$P$3:$P$53,0))+IF(AE524&lt;=6,(AE524-1)*31+AF524,IF(AE524&lt;=11,186+(AE524-7)*30+AF524,336+AF524))-1,""))</f>
        <v/>
      </c>
      <c r="AH524" s="18" t="str">
        <f t="shared" si="122"/>
        <v/>
      </c>
      <c r="AI524" s="18" t="str">
        <f t="shared" si="123"/>
        <v/>
      </c>
      <c r="AJ524" s="18" t="str">
        <f t="shared" ca="1" si="124"/>
        <v/>
      </c>
    </row>
    <row r="525" spans="1:36">
      <c r="A525" s="18">
        <v>522</v>
      </c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8" t="str">
        <f t="shared" ca="1" si="112"/>
        <v/>
      </c>
      <c r="U525" s="18">
        <f t="shared" ca="1" si="125"/>
        <v>0</v>
      </c>
      <c r="V525" s="18" t="str">
        <f t="shared" si="113"/>
        <v/>
      </c>
      <c r="W525" s="18" t="str">
        <f t="shared" si="114"/>
        <v/>
      </c>
      <c r="X525" s="18" t="str">
        <f t="shared" si="115"/>
        <v/>
      </c>
      <c r="Y525" s="19" t="str">
        <f>IF(OR(L525="",V525=""),"",IFERROR(INDEX(لیست‌ها!$Q$3:$Q$53,MATCH(V525,لیست‌ها!$P$3:$P$53,0))+IF(W525&lt;=6,(W525-1)*31+X525,IF(W525&lt;=11,186+(W525-7)*30+X525,336+X525))-1,""))</f>
        <v/>
      </c>
      <c r="Z525" s="18" t="str">
        <f t="shared" si="116"/>
        <v/>
      </c>
      <c r="AA525" s="18" t="str">
        <f t="shared" si="117"/>
        <v/>
      </c>
      <c r="AB525" s="18" t="str">
        <f t="shared" si="118"/>
        <v/>
      </c>
      <c r="AC525" s="19" t="str">
        <f>IF(OR(H525="",Z525=""),"",IFERROR(INDEX(لیست‌ها!$Q$3:$Q$53,MATCH(Z525,لیست‌ها!$P$3:$P$53,0))+IF(AA525&lt;=6,(AA525-1)*31+AB525,IF(AA525&lt;=11,186+(AA525-7)*30+AB525,336+AB525))-1,""))</f>
        <v/>
      </c>
      <c r="AD525" s="18" t="str">
        <f t="shared" si="119"/>
        <v/>
      </c>
      <c r="AE525" s="18" t="str">
        <f t="shared" si="120"/>
        <v/>
      </c>
      <c r="AF525" s="18" t="str">
        <f t="shared" si="121"/>
        <v/>
      </c>
      <c r="AG525" s="18" t="str">
        <f>IF(OR(O525="",AD525=""),"",IFERROR(INDEX(لیست‌ها!$Q$3:$Q$53,MATCH(AD525,لیست‌ها!$P$3:$P$53,0))+IF(AE525&lt;=6,(AE525-1)*31+AF525,IF(AE525&lt;=11,186+(AE525-7)*30+AF525,336+AF525))-1,""))</f>
        <v/>
      </c>
      <c r="AH525" s="18" t="str">
        <f t="shared" si="122"/>
        <v/>
      </c>
      <c r="AI525" s="18" t="str">
        <f t="shared" si="123"/>
        <v/>
      </c>
      <c r="AJ525" s="18" t="str">
        <f t="shared" ca="1" si="124"/>
        <v/>
      </c>
    </row>
    <row r="526" spans="1:36">
      <c r="A526" s="18">
        <v>523</v>
      </c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8" t="str">
        <f t="shared" ca="1" si="112"/>
        <v/>
      </c>
      <c r="U526" s="18">
        <f t="shared" ca="1" si="125"/>
        <v>0</v>
      </c>
      <c r="V526" s="18" t="str">
        <f t="shared" si="113"/>
        <v/>
      </c>
      <c r="W526" s="18" t="str">
        <f t="shared" si="114"/>
        <v/>
      </c>
      <c r="X526" s="18" t="str">
        <f t="shared" si="115"/>
        <v/>
      </c>
      <c r="Y526" s="19" t="str">
        <f>IF(OR(L526="",V526=""),"",IFERROR(INDEX(لیست‌ها!$Q$3:$Q$53,MATCH(V526,لیست‌ها!$P$3:$P$53,0))+IF(W526&lt;=6,(W526-1)*31+X526,IF(W526&lt;=11,186+(W526-7)*30+X526,336+X526))-1,""))</f>
        <v/>
      </c>
      <c r="Z526" s="18" t="str">
        <f t="shared" si="116"/>
        <v/>
      </c>
      <c r="AA526" s="18" t="str">
        <f t="shared" si="117"/>
        <v/>
      </c>
      <c r="AB526" s="18" t="str">
        <f t="shared" si="118"/>
        <v/>
      </c>
      <c r="AC526" s="19" t="str">
        <f>IF(OR(H526="",Z526=""),"",IFERROR(INDEX(لیست‌ها!$Q$3:$Q$53,MATCH(Z526,لیست‌ها!$P$3:$P$53,0))+IF(AA526&lt;=6,(AA526-1)*31+AB526,IF(AA526&lt;=11,186+(AA526-7)*30+AB526,336+AB526))-1,""))</f>
        <v/>
      </c>
      <c r="AD526" s="18" t="str">
        <f t="shared" si="119"/>
        <v/>
      </c>
      <c r="AE526" s="18" t="str">
        <f t="shared" si="120"/>
        <v/>
      </c>
      <c r="AF526" s="18" t="str">
        <f t="shared" si="121"/>
        <v/>
      </c>
      <c r="AG526" s="18" t="str">
        <f>IF(OR(O526="",AD526=""),"",IFERROR(INDEX(لیست‌ها!$Q$3:$Q$53,MATCH(AD526,لیست‌ها!$P$3:$P$53,0))+IF(AE526&lt;=6,(AE526-1)*31+AF526,IF(AE526&lt;=11,186+(AE526-7)*30+AF526,336+AF526))-1,""))</f>
        <v/>
      </c>
      <c r="AH526" s="18" t="str">
        <f t="shared" si="122"/>
        <v/>
      </c>
      <c r="AI526" s="18" t="str">
        <f t="shared" si="123"/>
        <v/>
      </c>
      <c r="AJ526" s="18" t="str">
        <f t="shared" ca="1" si="124"/>
        <v/>
      </c>
    </row>
    <row r="527" spans="1:36">
      <c r="A527" s="18">
        <v>524</v>
      </c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8" t="str">
        <f t="shared" ca="1" si="112"/>
        <v/>
      </c>
      <c r="U527" s="18">
        <f t="shared" ca="1" si="125"/>
        <v>0</v>
      </c>
      <c r="V527" s="18" t="str">
        <f t="shared" si="113"/>
        <v/>
      </c>
      <c r="W527" s="18" t="str">
        <f t="shared" si="114"/>
        <v/>
      </c>
      <c r="X527" s="18" t="str">
        <f t="shared" si="115"/>
        <v/>
      </c>
      <c r="Y527" s="19" t="str">
        <f>IF(OR(L527="",V527=""),"",IFERROR(INDEX(لیست‌ها!$Q$3:$Q$53,MATCH(V527,لیست‌ها!$P$3:$P$53,0))+IF(W527&lt;=6,(W527-1)*31+X527,IF(W527&lt;=11,186+(W527-7)*30+X527,336+X527))-1,""))</f>
        <v/>
      </c>
      <c r="Z527" s="18" t="str">
        <f t="shared" si="116"/>
        <v/>
      </c>
      <c r="AA527" s="18" t="str">
        <f t="shared" si="117"/>
        <v/>
      </c>
      <c r="AB527" s="18" t="str">
        <f t="shared" si="118"/>
        <v/>
      </c>
      <c r="AC527" s="19" t="str">
        <f>IF(OR(H527="",Z527=""),"",IFERROR(INDEX(لیست‌ها!$Q$3:$Q$53,MATCH(Z527,لیست‌ها!$P$3:$P$53,0))+IF(AA527&lt;=6,(AA527-1)*31+AB527,IF(AA527&lt;=11,186+(AA527-7)*30+AB527,336+AB527))-1,""))</f>
        <v/>
      </c>
      <c r="AD527" s="18" t="str">
        <f t="shared" si="119"/>
        <v/>
      </c>
      <c r="AE527" s="18" t="str">
        <f t="shared" si="120"/>
        <v/>
      </c>
      <c r="AF527" s="18" t="str">
        <f t="shared" si="121"/>
        <v/>
      </c>
      <c r="AG527" s="18" t="str">
        <f>IF(OR(O527="",AD527=""),"",IFERROR(INDEX(لیست‌ها!$Q$3:$Q$53,MATCH(AD527,لیست‌ها!$P$3:$P$53,0))+IF(AE527&lt;=6,(AE527-1)*31+AF527,IF(AE527&lt;=11,186+(AE527-7)*30+AF527,336+AF527))-1,""))</f>
        <v/>
      </c>
      <c r="AH527" s="18" t="str">
        <f t="shared" si="122"/>
        <v/>
      </c>
      <c r="AI527" s="18" t="str">
        <f t="shared" si="123"/>
        <v/>
      </c>
      <c r="AJ527" s="18" t="str">
        <f t="shared" ca="1" si="124"/>
        <v/>
      </c>
    </row>
    <row r="528" spans="1:36">
      <c r="A528" s="18">
        <v>525</v>
      </c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8" t="str">
        <f t="shared" ca="1" si="112"/>
        <v/>
      </c>
      <c r="U528" s="18">
        <f t="shared" ca="1" si="125"/>
        <v>0</v>
      </c>
      <c r="V528" s="18" t="str">
        <f t="shared" si="113"/>
        <v/>
      </c>
      <c r="W528" s="18" t="str">
        <f t="shared" si="114"/>
        <v/>
      </c>
      <c r="X528" s="18" t="str">
        <f t="shared" si="115"/>
        <v/>
      </c>
      <c r="Y528" s="19" t="str">
        <f>IF(OR(L528="",V528=""),"",IFERROR(INDEX(لیست‌ها!$Q$3:$Q$53,MATCH(V528,لیست‌ها!$P$3:$P$53,0))+IF(W528&lt;=6,(W528-1)*31+X528,IF(W528&lt;=11,186+(W528-7)*30+X528,336+X528))-1,""))</f>
        <v/>
      </c>
      <c r="Z528" s="18" t="str">
        <f t="shared" si="116"/>
        <v/>
      </c>
      <c r="AA528" s="18" t="str">
        <f t="shared" si="117"/>
        <v/>
      </c>
      <c r="AB528" s="18" t="str">
        <f t="shared" si="118"/>
        <v/>
      </c>
      <c r="AC528" s="19" t="str">
        <f>IF(OR(H528="",Z528=""),"",IFERROR(INDEX(لیست‌ها!$Q$3:$Q$53,MATCH(Z528,لیست‌ها!$P$3:$P$53,0))+IF(AA528&lt;=6,(AA528-1)*31+AB528,IF(AA528&lt;=11,186+(AA528-7)*30+AB528,336+AB528))-1,""))</f>
        <v/>
      </c>
      <c r="AD528" s="18" t="str">
        <f t="shared" si="119"/>
        <v/>
      </c>
      <c r="AE528" s="18" t="str">
        <f t="shared" si="120"/>
        <v/>
      </c>
      <c r="AF528" s="18" t="str">
        <f t="shared" si="121"/>
        <v/>
      </c>
      <c r="AG528" s="18" t="str">
        <f>IF(OR(O528="",AD528=""),"",IFERROR(INDEX(لیست‌ها!$Q$3:$Q$53,MATCH(AD528,لیست‌ها!$P$3:$P$53,0))+IF(AE528&lt;=6,(AE528-1)*31+AF528,IF(AE528&lt;=11,186+(AE528-7)*30+AF528,336+AF528))-1,""))</f>
        <v/>
      </c>
      <c r="AH528" s="18" t="str">
        <f t="shared" si="122"/>
        <v/>
      </c>
      <c r="AI528" s="18" t="str">
        <f t="shared" si="123"/>
        <v/>
      </c>
      <c r="AJ528" s="18" t="str">
        <f t="shared" ca="1" si="124"/>
        <v/>
      </c>
    </row>
    <row r="529" spans="1:36">
      <c r="A529" s="18">
        <v>526</v>
      </c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8" t="str">
        <f t="shared" ca="1" si="112"/>
        <v/>
      </c>
      <c r="U529" s="18">
        <f t="shared" ca="1" si="125"/>
        <v>0</v>
      </c>
      <c r="V529" s="18" t="str">
        <f t="shared" si="113"/>
        <v/>
      </c>
      <c r="W529" s="18" t="str">
        <f t="shared" si="114"/>
        <v/>
      </c>
      <c r="X529" s="18" t="str">
        <f t="shared" si="115"/>
        <v/>
      </c>
      <c r="Y529" s="19" t="str">
        <f>IF(OR(L529="",V529=""),"",IFERROR(INDEX(لیست‌ها!$Q$3:$Q$53,MATCH(V529,لیست‌ها!$P$3:$P$53,0))+IF(W529&lt;=6,(W529-1)*31+X529,IF(W529&lt;=11,186+(W529-7)*30+X529,336+X529))-1,""))</f>
        <v/>
      </c>
      <c r="Z529" s="18" t="str">
        <f t="shared" si="116"/>
        <v/>
      </c>
      <c r="AA529" s="18" t="str">
        <f t="shared" si="117"/>
        <v/>
      </c>
      <c r="AB529" s="18" t="str">
        <f t="shared" si="118"/>
        <v/>
      </c>
      <c r="AC529" s="19" t="str">
        <f>IF(OR(H529="",Z529=""),"",IFERROR(INDEX(لیست‌ها!$Q$3:$Q$53,MATCH(Z529,لیست‌ها!$P$3:$P$53,0))+IF(AA529&lt;=6,(AA529-1)*31+AB529,IF(AA529&lt;=11,186+(AA529-7)*30+AB529,336+AB529))-1,""))</f>
        <v/>
      </c>
      <c r="AD529" s="18" t="str">
        <f t="shared" si="119"/>
        <v/>
      </c>
      <c r="AE529" s="18" t="str">
        <f t="shared" si="120"/>
        <v/>
      </c>
      <c r="AF529" s="18" t="str">
        <f t="shared" si="121"/>
        <v/>
      </c>
      <c r="AG529" s="18" t="str">
        <f>IF(OR(O529="",AD529=""),"",IFERROR(INDEX(لیست‌ها!$Q$3:$Q$53,MATCH(AD529,لیست‌ها!$P$3:$P$53,0))+IF(AE529&lt;=6,(AE529-1)*31+AF529,IF(AE529&lt;=11,186+(AE529-7)*30+AF529,336+AF529))-1,""))</f>
        <v/>
      </c>
      <c r="AH529" s="18" t="str">
        <f t="shared" si="122"/>
        <v/>
      </c>
      <c r="AI529" s="18" t="str">
        <f t="shared" si="123"/>
        <v/>
      </c>
      <c r="AJ529" s="18" t="str">
        <f t="shared" ca="1" si="124"/>
        <v/>
      </c>
    </row>
    <row r="530" spans="1:36">
      <c r="A530" s="18">
        <v>527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8" t="str">
        <f t="shared" ca="1" si="112"/>
        <v/>
      </c>
      <c r="U530" s="18">
        <f t="shared" ca="1" si="125"/>
        <v>0</v>
      </c>
      <c r="V530" s="18" t="str">
        <f t="shared" si="113"/>
        <v/>
      </c>
      <c r="W530" s="18" t="str">
        <f t="shared" si="114"/>
        <v/>
      </c>
      <c r="X530" s="18" t="str">
        <f t="shared" si="115"/>
        <v/>
      </c>
      <c r="Y530" s="19" t="str">
        <f>IF(OR(L530="",V530=""),"",IFERROR(INDEX(لیست‌ها!$Q$3:$Q$53,MATCH(V530,لیست‌ها!$P$3:$P$53,0))+IF(W530&lt;=6,(W530-1)*31+X530,IF(W530&lt;=11,186+(W530-7)*30+X530,336+X530))-1,""))</f>
        <v/>
      </c>
      <c r="Z530" s="18" t="str">
        <f t="shared" si="116"/>
        <v/>
      </c>
      <c r="AA530" s="18" t="str">
        <f t="shared" si="117"/>
        <v/>
      </c>
      <c r="AB530" s="18" t="str">
        <f t="shared" si="118"/>
        <v/>
      </c>
      <c r="AC530" s="19" t="str">
        <f>IF(OR(H530="",Z530=""),"",IFERROR(INDEX(لیست‌ها!$Q$3:$Q$53,MATCH(Z530,لیست‌ها!$P$3:$P$53,0))+IF(AA530&lt;=6,(AA530-1)*31+AB530,IF(AA530&lt;=11,186+(AA530-7)*30+AB530,336+AB530))-1,""))</f>
        <v/>
      </c>
      <c r="AD530" s="18" t="str">
        <f t="shared" si="119"/>
        <v/>
      </c>
      <c r="AE530" s="18" t="str">
        <f t="shared" si="120"/>
        <v/>
      </c>
      <c r="AF530" s="18" t="str">
        <f t="shared" si="121"/>
        <v/>
      </c>
      <c r="AG530" s="18" t="str">
        <f>IF(OR(O530="",AD530=""),"",IFERROR(INDEX(لیست‌ها!$Q$3:$Q$53,MATCH(AD530,لیست‌ها!$P$3:$P$53,0))+IF(AE530&lt;=6,(AE530-1)*31+AF530,IF(AE530&lt;=11,186+(AE530-7)*30+AF530,336+AF530))-1,""))</f>
        <v/>
      </c>
      <c r="AH530" s="18" t="str">
        <f t="shared" si="122"/>
        <v/>
      </c>
      <c r="AI530" s="18" t="str">
        <f t="shared" si="123"/>
        <v/>
      </c>
      <c r="AJ530" s="18" t="str">
        <f t="shared" ca="1" si="124"/>
        <v/>
      </c>
    </row>
    <row r="531" spans="1:36">
      <c r="A531" s="18">
        <v>528</v>
      </c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8" t="str">
        <f t="shared" ca="1" si="112"/>
        <v/>
      </c>
      <c r="U531" s="18">
        <f t="shared" ca="1" si="125"/>
        <v>0</v>
      </c>
      <c r="V531" s="18" t="str">
        <f t="shared" si="113"/>
        <v/>
      </c>
      <c r="W531" s="18" t="str">
        <f t="shared" si="114"/>
        <v/>
      </c>
      <c r="X531" s="18" t="str">
        <f t="shared" si="115"/>
        <v/>
      </c>
      <c r="Y531" s="19" t="str">
        <f>IF(OR(L531="",V531=""),"",IFERROR(INDEX(لیست‌ها!$Q$3:$Q$53,MATCH(V531,لیست‌ها!$P$3:$P$53,0))+IF(W531&lt;=6,(W531-1)*31+X531,IF(W531&lt;=11,186+(W531-7)*30+X531,336+X531))-1,""))</f>
        <v/>
      </c>
      <c r="Z531" s="18" t="str">
        <f t="shared" si="116"/>
        <v/>
      </c>
      <c r="AA531" s="18" t="str">
        <f t="shared" si="117"/>
        <v/>
      </c>
      <c r="AB531" s="18" t="str">
        <f t="shared" si="118"/>
        <v/>
      </c>
      <c r="AC531" s="19" t="str">
        <f>IF(OR(H531="",Z531=""),"",IFERROR(INDEX(لیست‌ها!$Q$3:$Q$53,MATCH(Z531,لیست‌ها!$P$3:$P$53,0))+IF(AA531&lt;=6,(AA531-1)*31+AB531,IF(AA531&lt;=11,186+(AA531-7)*30+AB531,336+AB531))-1,""))</f>
        <v/>
      </c>
      <c r="AD531" s="18" t="str">
        <f t="shared" si="119"/>
        <v/>
      </c>
      <c r="AE531" s="18" t="str">
        <f t="shared" si="120"/>
        <v/>
      </c>
      <c r="AF531" s="18" t="str">
        <f t="shared" si="121"/>
        <v/>
      </c>
      <c r="AG531" s="18" t="str">
        <f>IF(OR(O531="",AD531=""),"",IFERROR(INDEX(لیست‌ها!$Q$3:$Q$53,MATCH(AD531,لیست‌ها!$P$3:$P$53,0))+IF(AE531&lt;=6,(AE531-1)*31+AF531,IF(AE531&lt;=11,186+(AE531-7)*30+AF531,336+AF531))-1,""))</f>
        <v/>
      </c>
      <c r="AH531" s="18" t="str">
        <f t="shared" si="122"/>
        <v/>
      </c>
      <c r="AI531" s="18" t="str">
        <f t="shared" si="123"/>
        <v/>
      </c>
      <c r="AJ531" s="18" t="str">
        <f t="shared" ca="1" si="124"/>
        <v/>
      </c>
    </row>
    <row r="532" spans="1:36">
      <c r="A532" s="18">
        <v>529</v>
      </c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8" t="str">
        <f t="shared" ca="1" si="112"/>
        <v/>
      </c>
      <c r="U532" s="18">
        <f t="shared" ca="1" si="125"/>
        <v>0</v>
      </c>
      <c r="V532" s="18" t="str">
        <f t="shared" si="113"/>
        <v/>
      </c>
      <c r="W532" s="18" t="str">
        <f t="shared" si="114"/>
        <v/>
      </c>
      <c r="X532" s="18" t="str">
        <f t="shared" si="115"/>
        <v/>
      </c>
      <c r="Y532" s="19" t="str">
        <f>IF(OR(L532="",V532=""),"",IFERROR(INDEX(لیست‌ها!$Q$3:$Q$53,MATCH(V532,لیست‌ها!$P$3:$P$53,0))+IF(W532&lt;=6,(W532-1)*31+X532,IF(W532&lt;=11,186+(W532-7)*30+X532,336+X532))-1,""))</f>
        <v/>
      </c>
      <c r="Z532" s="18" t="str">
        <f t="shared" si="116"/>
        <v/>
      </c>
      <c r="AA532" s="18" t="str">
        <f t="shared" si="117"/>
        <v/>
      </c>
      <c r="AB532" s="18" t="str">
        <f t="shared" si="118"/>
        <v/>
      </c>
      <c r="AC532" s="19" t="str">
        <f>IF(OR(H532="",Z532=""),"",IFERROR(INDEX(لیست‌ها!$Q$3:$Q$53,MATCH(Z532,لیست‌ها!$P$3:$P$53,0))+IF(AA532&lt;=6,(AA532-1)*31+AB532,IF(AA532&lt;=11,186+(AA532-7)*30+AB532,336+AB532))-1,""))</f>
        <v/>
      </c>
      <c r="AD532" s="18" t="str">
        <f t="shared" si="119"/>
        <v/>
      </c>
      <c r="AE532" s="18" t="str">
        <f t="shared" si="120"/>
        <v/>
      </c>
      <c r="AF532" s="18" t="str">
        <f t="shared" si="121"/>
        <v/>
      </c>
      <c r="AG532" s="18" t="str">
        <f>IF(OR(O532="",AD532=""),"",IFERROR(INDEX(لیست‌ها!$Q$3:$Q$53,MATCH(AD532,لیست‌ها!$P$3:$P$53,0))+IF(AE532&lt;=6,(AE532-1)*31+AF532,IF(AE532&lt;=11,186+(AE532-7)*30+AF532,336+AF532))-1,""))</f>
        <v/>
      </c>
      <c r="AH532" s="18" t="str">
        <f t="shared" si="122"/>
        <v/>
      </c>
      <c r="AI532" s="18" t="str">
        <f t="shared" si="123"/>
        <v/>
      </c>
      <c r="AJ532" s="18" t="str">
        <f t="shared" ca="1" si="124"/>
        <v/>
      </c>
    </row>
    <row r="533" spans="1:36">
      <c r="A533" s="18">
        <v>530</v>
      </c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8" t="str">
        <f t="shared" ca="1" si="112"/>
        <v/>
      </c>
      <c r="U533" s="18">
        <f t="shared" ca="1" si="125"/>
        <v>0</v>
      </c>
      <c r="V533" s="18" t="str">
        <f t="shared" si="113"/>
        <v/>
      </c>
      <c r="W533" s="18" t="str">
        <f t="shared" si="114"/>
        <v/>
      </c>
      <c r="X533" s="18" t="str">
        <f t="shared" si="115"/>
        <v/>
      </c>
      <c r="Y533" s="19" t="str">
        <f>IF(OR(L533="",V533=""),"",IFERROR(INDEX(لیست‌ها!$Q$3:$Q$53,MATCH(V533,لیست‌ها!$P$3:$P$53,0))+IF(W533&lt;=6,(W533-1)*31+X533,IF(W533&lt;=11,186+(W533-7)*30+X533,336+X533))-1,""))</f>
        <v/>
      </c>
      <c r="Z533" s="18" t="str">
        <f t="shared" si="116"/>
        <v/>
      </c>
      <c r="AA533" s="18" t="str">
        <f t="shared" si="117"/>
        <v/>
      </c>
      <c r="AB533" s="18" t="str">
        <f t="shared" si="118"/>
        <v/>
      </c>
      <c r="AC533" s="19" t="str">
        <f>IF(OR(H533="",Z533=""),"",IFERROR(INDEX(لیست‌ها!$Q$3:$Q$53,MATCH(Z533,لیست‌ها!$P$3:$P$53,0))+IF(AA533&lt;=6,(AA533-1)*31+AB533,IF(AA533&lt;=11,186+(AA533-7)*30+AB533,336+AB533))-1,""))</f>
        <v/>
      </c>
      <c r="AD533" s="18" t="str">
        <f t="shared" si="119"/>
        <v/>
      </c>
      <c r="AE533" s="18" t="str">
        <f t="shared" si="120"/>
        <v/>
      </c>
      <c r="AF533" s="18" t="str">
        <f t="shared" si="121"/>
        <v/>
      </c>
      <c r="AG533" s="18" t="str">
        <f>IF(OR(O533="",AD533=""),"",IFERROR(INDEX(لیست‌ها!$Q$3:$Q$53,MATCH(AD533,لیست‌ها!$P$3:$P$53,0))+IF(AE533&lt;=6,(AE533-1)*31+AF533,IF(AE533&lt;=11,186+(AE533-7)*30+AF533,336+AF533))-1,""))</f>
        <v/>
      </c>
      <c r="AH533" s="18" t="str">
        <f t="shared" si="122"/>
        <v/>
      </c>
      <c r="AI533" s="18" t="str">
        <f t="shared" si="123"/>
        <v/>
      </c>
      <c r="AJ533" s="18" t="str">
        <f t="shared" ca="1" si="124"/>
        <v/>
      </c>
    </row>
    <row r="534" spans="1:36">
      <c r="A534" s="18">
        <v>531</v>
      </c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8" t="str">
        <f t="shared" ca="1" si="112"/>
        <v/>
      </c>
      <c r="U534" s="18">
        <f t="shared" ca="1" si="125"/>
        <v>0</v>
      </c>
      <c r="V534" s="18" t="str">
        <f t="shared" si="113"/>
        <v/>
      </c>
      <c r="W534" s="18" t="str">
        <f t="shared" si="114"/>
        <v/>
      </c>
      <c r="X534" s="18" t="str">
        <f t="shared" si="115"/>
        <v/>
      </c>
      <c r="Y534" s="19" t="str">
        <f>IF(OR(L534="",V534=""),"",IFERROR(INDEX(لیست‌ها!$Q$3:$Q$53,MATCH(V534,لیست‌ها!$P$3:$P$53,0))+IF(W534&lt;=6,(W534-1)*31+X534,IF(W534&lt;=11,186+(W534-7)*30+X534,336+X534))-1,""))</f>
        <v/>
      </c>
      <c r="Z534" s="18" t="str">
        <f t="shared" si="116"/>
        <v/>
      </c>
      <c r="AA534" s="18" t="str">
        <f t="shared" si="117"/>
        <v/>
      </c>
      <c r="AB534" s="18" t="str">
        <f t="shared" si="118"/>
        <v/>
      </c>
      <c r="AC534" s="19" t="str">
        <f>IF(OR(H534="",Z534=""),"",IFERROR(INDEX(لیست‌ها!$Q$3:$Q$53,MATCH(Z534,لیست‌ها!$P$3:$P$53,0))+IF(AA534&lt;=6,(AA534-1)*31+AB534,IF(AA534&lt;=11,186+(AA534-7)*30+AB534,336+AB534))-1,""))</f>
        <v/>
      </c>
      <c r="AD534" s="18" t="str">
        <f t="shared" si="119"/>
        <v/>
      </c>
      <c r="AE534" s="18" t="str">
        <f t="shared" si="120"/>
        <v/>
      </c>
      <c r="AF534" s="18" t="str">
        <f t="shared" si="121"/>
        <v/>
      </c>
      <c r="AG534" s="18" t="str">
        <f>IF(OR(O534="",AD534=""),"",IFERROR(INDEX(لیست‌ها!$Q$3:$Q$53,MATCH(AD534,لیست‌ها!$P$3:$P$53,0))+IF(AE534&lt;=6,(AE534-1)*31+AF534,IF(AE534&lt;=11,186+(AE534-7)*30+AF534,336+AF534))-1,""))</f>
        <v/>
      </c>
      <c r="AH534" s="18" t="str">
        <f t="shared" si="122"/>
        <v/>
      </c>
      <c r="AI534" s="18" t="str">
        <f t="shared" si="123"/>
        <v/>
      </c>
      <c r="AJ534" s="18" t="str">
        <f t="shared" ca="1" si="124"/>
        <v/>
      </c>
    </row>
    <row r="535" spans="1:36">
      <c r="A535" s="18">
        <v>532</v>
      </c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8" t="str">
        <f t="shared" ca="1" si="112"/>
        <v/>
      </c>
      <c r="U535" s="18">
        <f t="shared" ca="1" si="125"/>
        <v>0</v>
      </c>
      <c r="V535" s="18" t="str">
        <f t="shared" si="113"/>
        <v/>
      </c>
      <c r="W535" s="18" t="str">
        <f t="shared" si="114"/>
        <v/>
      </c>
      <c r="X535" s="18" t="str">
        <f t="shared" si="115"/>
        <v/>
      </c>
      <c r="Y535" s="19" t="str">
        <f>IF(OR(L535="",V535=""),"",IFERROR(INDEX(لیست‌ها!$Q$3:$Q$53,MATCH(V535,لیست‌ها!$P$3:$P$53,0))+IF(W535&lt;=6,(W535-1)*31+X535,IF(W535&lt;=11,186+(W535-7)*30+X535,336+X535))-1,""))</f>
        <v/>
      </c>
      <c r="Z535" s="18" t="str">
        <f t="shared" si="116"/>
        <v/>
      </c>
      <c r="AA535" s="18" t="str">
        <f t="shared" si="117"/>
        <v/>
      </c>
      <c r="AB535" s="18" t="str">
        <f t="shared" si="118"/>
        <v/>
      </c>
      <c r="AC535" s="19" t="str">
        <f>IF(OR(H535="",Z535=""),"",IFERROR(INDEX(لیست‌ها!$Q$3:$Q$53,MATCH(Z535,لیست‌ها!$P$3:$P$53,0))+IF(AA535&lt;=6,(AA535-1)*31+AB535,IF(AA535&lt;=11,186+(AA535-7)*30+AB535,336+AB535))-1,""))</f>
        <v/>
      </c>
      <c r="AD535" s="18" t="str">
        <f t="shared" si="119"/>
        <v/>
      </c>
      <c r="AE535" s="18" t="str">
        <f t="shared" si="120"/>
        <v/>
      </c>
      <c r="AF535" s="18" t="str">
        <f t="shared" si="121"/>
        <v/>
      </c>
      <c r="AG535" s="18" t="str">
        <f>IF(OR(O535="",AD535=""),"",IFERROR(INDEX(لیست‌ها!$Q$3:$Q$53,MATCH(AD535,لیست‌ها!$P$3:$P$53,0))+IF(AE535&lt;=6,(AE535-1)*31+AF535,IF(AE535&lt;=11,186+(AE535-7)*30+AF535,336+AF535))-1,""))</f>
        <v/>
      </c>
      <c r="AH535" s="18" t="str">
        <f t="shared" si="122"/>
        <v/>
      </c>
      <c r="AI535" s="18" t="str">
        <f t="shared" si="123"/>
        <v/>
      </c>
      <c r="AJ535" s="18" t="str">
        <f t="shared" ca="1" si="124"/>
        <v/>
      </c>
    </row>
    <row r="536" spans="1:36">
      <c r="A536" s="18">
        <v>533</v>
      </c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8" t="str">
        <f t="shared" ca="1" si="112"/>
        <v/>
      </c>
      <c r="U536" s="18">
        <f t="shared" ca="1" si="125"/>
        <v>0</v>
      </c>
      <c r="V536" s="18" t="str">
        <f t="shared" si="113"/>
        <v/>
      </c>
      <c r="W536" s="18" t="str">
        <f t="shared" si="114"/>
        <v/>
      </c>
      <c r="X536" s="18" t="str">
        <f t="shared" si="115"/>
        <v/>
      </c>
      <c r="Y536" s="19" t="str">
        <f>IF(OR(L536="",V536=""),"",IFERROR(INDEX(لیست‌ها!$Q$3:$Q$53,MATCH(V536,لیست‌ها!$P$3:$P$53,0))+IF(W536&lt;=6,(W536-1)*31+X536,IF(W536&lt;=11,186+(W536-7)*30+X536,336+X536))-1,""))</f>
        <v/>
      </c>
      <c r="Z536" s="18" t="str">
        <f t="shared" si="116"/>
        <v/>
      </c>
      <c r="AA536" s="18" t="str">
        <f t="shared" si="117"/>
        <v/>
      </c>
      <c r="AB536" s="18" t="str">
        <f t="shared" si="118"/>
        <v/>
      </c>
      <c r="AC536" s="19" t="str">
        <f>IF(OR(H536="",Z536=""),"",IFERROR(INDEX(لیست‌ها!$Q$3:$Q$53,MATCH(Z536,لیست‌ها!$P$3:$P$53,0))+IF(AA536&lt;=6,(AA536-1)*31+AB536,IF(AA536&lt;=11,186+(AA536-7)*30+AB536,336+AB536))-1,""))</f>
        <v/>
      </c>
      <c r="AD536" s="18" t="str">
        <f t="shared" si="119"/>
        <v/>
      </c>
      <c r="AE536" s="18" t="str">
        <f t="shared" si="120"/>
        <v/>
      </c>
      <c r="AF536" s="18" t="str">
        <f t="shared" si="121"/>
        <v/>
      </c>
      <c r="AG536" s="18" t="str">
        <f>IF(OR(O536="",AD536=""),"",IFERROR(INDEX(لیست‌ها!$Q$3:$Q$53,MATCH(AD536,لیست‌ها!$P$3:$P$53,0))+IF(AE536&lt;=6,(AE536-1)*31+AF536,IF(AE536&lt;=11,186+(AE536-7)*30+AF536,336+AF536))-1,""))</f>
        <v/>
      </c>
      <c r="AH536" s="18" t="str">
        <f t="shared" si="122"/>
        <v/>
      </c>
      <c r="AI536" s="18" t="str">
        <f t="shared" si="123"/>
        <v/>
      </c>
      <c r="AJ536" s="18" t="str">
        <f t="shared" ca="1" si="124"/>
        <v/>
      </c>
    </row>
    <row r="537" spans="1:36">
      <c r="A537" s="18">
        <v>534</v>
      </c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8" t="str">
        <f t="shared" ca="1" si="112"/>
        <v/>
      </c>
      <c r="U537" s="18">
        <f t="shared" ca="1" si="125"/>
        <v>0</v>
      </c>
      <c r="V537" s="18" t="str">
        <f t="shared" si="113"/>
        <v/>
      </c>
      <c r="W537" s="18" t="str">
        <f t="shared" si="114"/>
        <v/>
      </c>
      <c r="X537" s="18" t="str">
        <f t="shared" si="115"/>
        <v/>
      </c>
      <c r="Y537" s="19" t="str">
        <f>IF(OR(L537="",V537=""),"",IFERROR(INDEX(لیست‌ها!$Q$3:$Q$53,MATCH(V537,لیست‌ها!$P$3:$P$53,0))+IF(W537&lt;=6,(W537-1)*31+X537,IF(W537&lt;=11,186+(W537-7)*30+X537,336+X537))-1,""))</f>
        <v/>
      </c>
      <c r="Z537" s="18" t="str">
        <f t="shared" si="116"/>
        <v/>
      </c>
      <c r="AA537" s="18" t="str">
        <f t="shared" si="117"/>
        <v/>
      </c>
      <c r="AB537" s="18" t="str">
        <f t="shared" si="118"/>
        <v/>
      </c>
      <c r="AC537" s="19" t="str">
        <f>IF(OR(H537="",Z537=""),"",IFERROR(INDEX(لیست‌ها!$Q$3:$Q$53,MATCH(Z537,لیست‌ها!$P$3:$P$53,0))+IF(AA537&lt;=6,(AA537-1)*31+AB537,IF(AA537&lt;=11,186+(AA537-7)*30+AB537,336+AB537))-1,""))</f>
        <v/>
      </c>
      <c r="AD537" s="18" t="str">
        <f t="shared" si="119"/>
        <v/>
      </c>
      <c r="AE537" s="18" t="str">
        <f t="shared" si="120"/>
        <v/>
      </c>
      <c r="AF537" s="18" t="str">
        <f t="shared" si="121"/>
        <v/>
      </c>
      <c r="AG537" s="18" t="str">
        <f>IF(OR(O537="",AD537=""),"",IFERROR(INDEX(لیست‌ها!$Q$3:$Q$53,MATCH(AD537,لیست‌ها!$P$3:$P$53,0))+IF(AE537&lt;=6,(AE537-1)*31+AF537,IF(AE537&lt;=11,186+(AE537-7)*30+AF537,336+AF537))-1,""))</f>
        <v/>
      </c>
      <c r="AH537" s="18" t="str">
        <f t="shared" si="122"/>
        <v/>
      </c>
      <c r="AI537" s="18" t="str">
        <f t="shared" si="123"/>
        <v/>
      </c>
      <c r="AJ537" s="18" t="str">
        <f t="shared" ca="1" si="124"/>
        <v/>
      </c>
    </row>
    <row r="538" spans="1:36">
      <c r="A538" s="18">
        <v>535</v>
      </c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8" t="str">
        <f t="shared" ca="1" si="112"/>
        <v/>
      </c>
      <c r="U538" s="18">
        <f t="shared" ca="1" si="125"/>
        <v>0</v>
      </c>
      <c r="V538" s="18" t="str">
        <f t="shared" si="113"/>
        <v/>
      </c>
      <c r="W538" s="18" t="str">
        <f t="shared" si="114"/>
        <v/>
      </c>
      <c r="X538" s="18" t="str">
        <f t="shared" si="115"/>
        <v/>
      </c>
      <c r="Y538" s="19" t="str">
        <f>IF(OR(L538="",V538=""),"",IFERROR(INDEX(لیست‌ها!$Q$3:$Q$53,MATCH(V538,لیست‌ها!$P$3:$P$53,0))+IF(W538&lt;=6,(W538-1)*31+X538,IF(W538&lt;=11,186+(W538-7)*30+X538,336+X538))-1,""))</f>
        <v/>
      </c>
      <c r="Z538" s="18" t="str">
        <f t="shared" si="116"/>
        <v/>
      </c>
      <c r="AA538" s="18" t="str">
        <f t="shared" si="117"/>
        <v/>
      </c>
      <c r="AB538" s="18" t="str">
        <f t="shared" si="118"/>
        <v/>
      </c>
      <c r="AC538" s="19" t="str">
        <f>IF(OR(H538="",Z538=""),"",IFERROR(INDEX(لیست‌ها!$Q$3:$Q$53,MATCH(Z538,لیست‌ها!$P$3:$P$53,0))+IF(AA538&lt;=6,(AA538-1)*31+AB538,IF(AA538&lt;=11,186+(AA538-7)*30+AB538,336+AB538))-1,""))</f>
        <v/>
      </c>
      <c r="AD538" s="18" t="str">
        <f t="shared" si="119"/>
        <v/>
      </c>
      <c r="AE538" s="18" t="str">
        <f t="shared" si="120"/>
        <v/>
      </c>
      <c r="AF538" s="18" t="str">
        <f t="shared" si="121"/>
        <v/>
      </c>
      <c r="AG538" s="18" t="str">
        <f>IF(OR(O538="",AD538=""),"",IFERROR(INDEX(لیست‌ها!$Q$3:$Q$53,MATCH(AD538,لیست‌ها!$P$3:$P$53,0))+IF(AE538&lt;=6,(AE538-1)*31+AF538,IF(AE538&lt;=11,186+(AE538-7)*30+AF538,336+AF538))-1,""))</f>
        <v/>
      </c>
      <c r="AH538" s="18" t="str">
        <f t="shared" si="122"/>
        <v/>
      </c>
      <c r="AI538" s="18" t="str">
        <f t="shared" si="123"/>
        <v/>
      </c>
      <c r="AJ538" s="18" t="str">
        <f t="shared" ca="1" si="124"/>
        <v/>
      </c>
    </row>
    <row r="539" spans="1:36">
      <c r="A539" s="18" t="str">
        <f t="shared" ref="A539:A570" si="126">IF(B539="","",ROW()-3)</f>
        <v/>
      </c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8" t="str">
        <f t="shared" ca="1" si="112"/>
        <v/>
      </c>
      <c r="U539" s="18">
        <f t="shared" ca="1" si="125"/>
        <v>0</v>
      </c>
      <c r="V539" s="18" t="str">
        <f t="shared" si="113"/>
        <v/>
      </c>
      <c r="W539" s="18" t="str">
        <f t="shared" si="114"/>
        <v/>
      </c>
      <c r="X539" s="18" t="str">
        <f t="shared" si="115"/>
        <v/>
      </c>
      <c r="Y539" s="18" t="str">
        <f>IF(OR(L539="",V539=""),"",IFERROR(INDEX(لیست‌ها!$Q$3:$Q$53,MATCH(V539,لیست‌ها!$P$3:$P$53,0))+IF(W539&lt;=6,(W539-1)*31+X539,IF(W539&lt;=11,186+(W539-7)*30+X539,336+X539))-1,""))</f>
        <v/>
      </c>
      <c r="Z539" s="18" t="str">
        <f t="shared" si="116"/>
        <v/>
      </c>
      <c r="AA539" s="18" t="str">
        <f t="shared" si="117"/>
        <v/>
      </c>
      <c r="AB539" s="18" t="str">
        <f t="shared" si="118"/>
        <v/>
      </c>
      <c r="AC539" s="18" t="str">
        <f>IF(OR(H539="",Z539=""),"",IFERROR(INDEX(لیست‌ها!$Q$3:$Q$53,MATCH(Z539,لیست‌ها!$P$3:$P$53,0))+IF(AA539&lt;=6,(AA539-1)*31+AB539,IF(AA539&lt;=11,186+(AA539-7)*30+AB539,336+AB539))-1,""))</f>
        <v/>
      </c>
      <c r="AD539" s="18" t="str">
        <f t="shared" si="119"/>
        <v/>
      </c>
      <c r="AE539" s="18" t="str">
        <f t="shared" si="120"/>
        <v/>
      </c>
      <c r="AF539" s="18" t="str">
        <f t="shared" si="121"/>
        <v/>
      </c>
      <c r="AG539" s="18" t="str">
        <f>IF(OR(O539="",AD539=""),"",IFERROR(INDEX(لیست‌ها!$Q$3:$Q$53,MATCH(AD539,لیست‌ها!$P$3:$P$53,0))+IF(AE539&lt;=6,(AE539-1)*31+AF539,IF(AE539&lt;=11,186+(AE539-7)*30+AF539,336+AF539))-1,""))</f>
        <v/>
      </c>
      <c r="AH539" s="18" t="str">
        <f t="shared" si="122"/>
        <v/>
      </c>
      <c r="AI539" s="18" t="str">
        <f t="shared" si="123"/>
        <v/>
      </c>
      <c r="AJ539" s="18" t="str">
        <f t="shared" ca="1" si="124"/>
        <v/>
      </c>
    </row>
    <row r="540" spans="1:36">
      <c r="A540" s="18" t="str">
        <f t="shared" si="126"/>
        <v/>
      </c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8" t="str">
        <f t="shared" ca="1" si="112"/>
        <v/>
      </c>
      <c r="U540" s="18">
        <f t="shared" ca="1" si="125"/>
        <v>0</v>
      </c>
      <c r="V540" s="18" t="str">
        <f t="shared" si="113"/>
        <v/>
      </c>
      <c r="W540" s="18" t="str">
        <f t="shared" si="114"/>
        <v/>
      </c>
      <c r="X540" s="18" t="str">
        <f t="shared" si="115"/>
        <v/>
      </c>
      <c r="Y540" s="18" t="str">
        <f>IF(OR(L540="",V540=""),"",IFERROR(INDEX(لیست‌ها!$Q$3:$Q$53,MATCH(V540,لیست‌ها!$P$3:$P$53,0))+IF(W540&lt;=6,(W540-1)*31+X540,IF(W540&lt;=11,186+(W540-7)*30+X540,336+X540))-1,""))</f>
        <v/>
      </c>
      <c r="Z540" s="18" t="str">
        <f t="shared" si="116"/>
        <v/>
      </c>
      <c r="AA540" s="18" t="str">
        <f t="shared" si="117"/>
        <v/>
      </c>
      <c r="AB540" s="18" t="str">
        <f t="shared" si="118"/>
        <v/>
      </c>
      <c r="AC540" s="18" t="str">
        <f>IF(OR(H540="",Z540=""),"",IFERROR(INDEX(لیست‌ها!$Q$3:$Q$53,MATCH(Z540,لیست‌ها!$P$3:$P$53,0))+IF(AA540&lt;=6,(AA540-1)*31+AB540,IF(AA540&lt;=11,186+(AA540-7)*30+AB540,336+AB540))-1,""))</f>
        <v/>
      </c>
      <c r="AD540" s="18" t="str">
        <f t="shared" si="119"/>
        <v/>
      </c>
      <c r="AE540" s="18" t="str">
        <f t="shared" si="120"/>
        <v/>
      </c>
      <c r="AF540" s="18" t="str">
        <f t="shared" si="121"/>
        <v/>
      </c>
      <c r="AG540" s="18" t="str">
        <f>IF(OR(O540="",AD540=""),"",IFERROR(INDEX(لیست‌ها!$Q$3:$Q$53,MATCH(AD540,لیست‌ها!$P$3:$P$53,0))+IF(AE540&lt;=6,(AE540-1)*31+AF540,IF(AE540&lt;=11,186+(AE540-7)*30+AF540,336+AF540))-1,""))</f>
        <v/>
      </c>
      <c r="AH540" s="18" t="str">
        <f t="shared" si="122"/>
        <v/>
      </c>
      <c r="AI540" s="18" t="str">
        <f t="shared" si="123"/>
        <v/>
      </c>
      <c r="AJ540" s="18" t="str">
        <f t="shared" ca="1" si="124"/>
        <v/>
      </c>
    </row>
    <row r="541" spans="1:36">
      <c r="A541" s="18" t="str">
        <f t="shared" si="126"/>
        <v/>
      </c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8" t="str">
        <f t="shared" ca="1" si="112"/>
        <v/>
      </c>
      <c r="U541" s="18">
        <f t="shared" ref="U541:U579" ca="1" si="127">IF(T541="تاخیر",TODAY()-AC541,IF(AND(T541="بسته",AG541&lt;&gt;"",AC541&lt;&gt;"",AG541&gt;AC541),AG541-AC541,0))</f>
        <v>0</v>
      </c>
      <c r="V541" s="18" t="str">
        <f t="shared" si="113"/>
        <v/>
      </c>
      <c r="W541" s="18" t="str">
        <f t="shared" si="114"/>
        <v/>
      </c>
      <c r="X541" s="18" t="str">
        <f t="shared" si="115"/>
        <v/>
      </c>
      <c r="Y541" s="18" t="str">
        <f>IF(OR(L541="",V541=""),"",IFERROR(INDEX(لیست‌ها!$Q$3:$Q$53,MATCH(V541,لیست‌ها!$P$3:$P$53,0))+IF(W541&lt;=6,(W541-1)*31+X541,IF(W541&lt;=11,186+(W541-7)*30+X541,336+X541))-1,""))</f>
        <v/>
      </c>
      <c r="Z541" s="18" t="str">
        <f t="shared" si="116"/>
        <v/>
      </c>
      <c r="AA541" s="18" t="str">
        <f t="shared" si="117"/>
        <v/>
      </c>
      <c r="AB541" s="18" t="str">
        <f t="shared" si="118"/>
        <v/>
      </c>
      <c r="AC541" s="18" t="str">
        <f>IF(OR(H541="",Z541=""),"",IFERROR(INDEX(لیست‌ها!$Q$3:$Q$53,MATCH(Z541,لیست‌ها!$P$3:$P$53,0))+IF(AA541&lt;=6,(AA541-1)*31+AB541,IF(AA541&lt;=11,186+(AA541-7)*30+AB541,336+AB541))-1,""))</f>
        <v/>
      </c>
      <c r="AD541" s="18" t="str">
        <f t="shared" si="119"/>
        <v/>
      </c>
      <c r="AE541" s="18" t="str">
        <f t="shared" si="120"/>
        <v/>
      </c>
      <c r="AF541" s="18" t="str">
        <f t="shared" si="121"/>
        <v/>
      </c>
      <c r="AG541" s="18" t="str">
        <f>IF(OR(O541="",AD541=""),"",IFERROR(INDEX(لیست‌ها!$Q$3:$Q$53,MATCH(AD541,لیست‌ها!$P$3:$P$53,0))+IF(AE541&lt;=6,(AE541-1)*31+AF541,IF(AE541&lt;=11,186+(AE541-7)*30+AF541,336+AF541))-1,""))</f>
        <v/>
      </c>
      <c r="AH541" s="18" t="str">
        <f t="shared" si="122"/>
        <v/>
      </c>
      <c r="AI541" s="18" t="str">
        <f t="shared" si="123"/>
        <v/>
      </c>
      <c r="AJ541" s="18" t="str">
        <f t="shared" ca="1" si="124"/>
        <v/>
      </c>
    </row>
    <row r="542" spans="1:36">
      <c r="A542" s="18" t="str">
        <f t="shared" si="126"/>
        <v/>
      </c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8" t="str">
        <f t="shared" ca="1" si="112"/>
        <v/>
      </c>
      <c r="U542" s="18">
        <f t="shared" ca="1" si="127"/>
        <v>0</v>
      </c>
      <c r="V542" s="18" t="str">
        <f t="shared" si="113"/>
        <v/>
      </c>
      <c r="W542" s="18" t="str">
        <f t="shared" si="114"/>
        <v/>
      </c>
      <c r="X542" s="18" t="str">
        <f t="shared" si="115"/>
        <v/>
      </c>
      <c r="Y542" s="18" t="str">
        <f>IF(OR(L542="",V542=""),"",IFERROR(INDEX(لیست‌ها!$Q$3:$Q$53,MATCH(V542,لیست‌ها!$P$3:$P$53,0))+IF(W542&lt;=6,(W542-1)*31+X542,IF(W542&lt;=11,186+(W542-7)*30+X542,336+X542))-1,""))</f>
        <v/>
      </c>
      <c r="Z542" s="18" t="str">
        <f t="shared" si="116"/>
        <v/>
      </c>
      <c r="AA542" s="18" t="str">
        <f t="shared" si="117"/>
        <v/>
      </c>
      <c r="AB542" s="18" t="str">
        <f t="shared" si="118"/>
        <v/>
      </c>
      <c r="AC542" s="18" t="str">
        <f>IF(OR(H542="",Z542=""),"",IFERROR(INDEX(لیست‌ها!$Q$3:$Q$53,MATCH(Z542,لیست‌ها!$P$3:$P$53,0))+IF(AA542&lt;=6,(AA542-1)*31+AB542,IF(AA542&lt;=11,186+(AA542-7)*30+AB542,336+AB542))-1,""))</f>
        <v/>
      </c>
      <c r="AD542" s="18" t="str">
        <f t="shared" si="119"/>
        <v/>
      </c>
      <c r="AE542" s="18" t="str">
        <f t="shared" si="120"/>
        <v/>
      </c>
      <c r="AF542" s="18" t="str">
        <f t="shared" si="121"/>
        <v/>
      </c>
      <c r="AG542" s="18" t="str">
        <f>IF(OR(O542="",AD542=""),"",IFERROR(INDEX(لیست‌ها!$Q$3:$Q$53,MATCH(AD542,لیست‌ها!$P$3:$P$53,0))+IF(AE542&lt;=6,(AE542-1)*31+AF542,IF(AE542&lt;=11,186+(AE542-7)*30+AF542,336+AF542))-1,""))</f>
        <v/>
      </c>
      <c r="AH542" s="18" t="str">
        <f t="shared" si="122"/>
        <v/>
      </c>
      <c r="AI542" s="18" t="str">
        <f t="shared" si="123"/>
        <v/>
      </c>
      <c r="AJ542" s="18" t="str">
        <f t="shared" ca="1" si="124"/>
        <v/>
      </c>
    </row>
    <row r="543" spans="1:36">
      <c r="A543" s="18" t="str">
        <f t="shared" si="126"/>
        <v/>
      </c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8" t="str">
        <f t="shared" ca="1" si="112"/>
        <v/>
      </c>
      <c r="U543" s="18">
        <f t="shared" ca="1" si="127"/>
        <v>0</v>
      </c>
      <c r="V543" s="18" t="str">
        <f t="shared" si="113"/>
        <v/>
      </c>
      <c r="W543" s="18" t="str">
        <f t="shared" si="114"/>
        <v/>
      </c>
      <c r="X543" s="18" t="str">
        <f t="shared" si="115"/>
        <v/>
      </c>
      <c r="Y543" s="18" t="str">
        <f>IF(OR(L543="",V543=""),"",IFERROR(INDEX(لیست‌ها!$Q$3:$Q$53,MATCH(V543,لیست‌ها!$P$3:$P$53,0))+IF(W543&lt;=6,(W543-1)*31+X543,IF(W543&lt;=11,186+(W543-7)*30+X543,336+X543))-1,""))</f>
        <v/>
      </c>
      <c r="Z543" s="18" t="str">
        <f t="shared" si="116"/>
        <v/>
      </c>
      <c r="AA543" s="18" t="str">
        <f t="shared" si="117"/>
        <v/>
      </c>
      <c r="AB543" s="18" t="str">
        <f t="shared" si="118"/>
        <v/>
      </c>
      <c r="AC543" s="18" t="str">
        <f>IF(OR(H543="",Z543=""),"",IFERROR(INDEX(لیست‌ها!$Q$3:$Q$53,MATCH(Z543,لیست‌ها!$P$3:$P$53,0))+IF(AA543&lt;=6,(AA543-1)*31+AB543,IF(AA543&lt;=11,186+(AA543-7)*30+AB543,336+AB543))-1,""))</f>
        <v/>
      </c>
      <c r="AD543" s="18" t="str">
        <f t="shared" si="119"/>
        <v/>
      </c>
      <c r="AE543" s="18" t="str">
        <f t="shared" si="120"/>
        <v/>
      </c>
      <c r="AF543" s="18" t="str">
        <f t="shared" si="121"/>
        <v/>
      </c>
      <c r="AG543" s="18" t="str">
        <f>IF(OR(O543="",AD543=""),"",IFERROR(INDEX(لیست‌ها!$Q$3:$Q$53,MATCH(AD543,لیست‌ها!$P$3:$P$53,0))+IF(AE543&lt;=6,(AE543-1)*31+AF543,IF(AE543&lt;=11,186+(AE543-7)*30+AF543,336+AF543))-1,""))</f>
        <v/>
      </c>
      <c r="AH543" s="18" t="str">
        <f t="shared" si="122"/>
        <v/>
      </c>
      <c r="AI543" s="18" t="str">
        <f t="shared" si="123"/>
        <v/>
      </c>
      <c r="AJ543" s="18" t="str">
        <f t="shared" ca="1" si="124"/>
        <v/>
      </c>
    </row>
    <row r="544" spans="1:36">
      <c r="A544" s="18" t="str">
        <f t="shared" si="126"/>
        <v/>
      </c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8" t="str">
        <f t="shared" ca="1" si="112"/>
        <v/>
      </c>
      <c r="U544" s="18">
        <f t="shared" ca="1" si="127"/>
        <v>0</v>
      </c>
      <c r="V544" s="18" t="str">
        <f t="shared" si="113"/>
        <v/>
      </c>
      <c r="W544" s="18" t="str">
        <f t="shared" si="114"/>
        <v/>
      </c>
      <c r="X544" s="18" t="str">
        <f t="shared" si="115"/>
        <v/>
      </c>
      <c r="Y544" s="18" t="str">
        <f>IF(OR(L544="",V544=""),"",IFERROR(INDEX(لیست‌ها!$Q$3:$Q$53,MATCH(V544,لیست‌ها!$P$3:$P$53,0))+IF(W544&lt;=6,(W544-1)*31+X544,IF(W544&lt;=11,186+(W544-7)*30+X544,336+X544))-1,""))</f>
        <v/>
      </c>
      <c r="Z544" s="18" t="str">
        <f t="shared" si="116"/>
        <v/>
      </c>
      <c r="AA544" s="18" t="str">
        <f t="shared" si="117"/>
        <v/>
      </c>
      <c r="AB544" s="18" t="str">
        <f t="shared" si="118"/>
        <v/>
      </c>
      <c r="AC544" s="18" t="str">
        <f>IF(OR(H544="",Z544=""),"",IFERROR(INDEX(لیست‌ها!$Q$3:$Q$53,MATCH(Z544,لیست‌ها!$P$3:$P$53,0))+IF(AA544&lt;=6,(AA544-1)*31+AB544,IF(AA544&lt;=11,186+(AA544-7)*30+AB544,336+AB544))-1,""))</f>
        <v/>
      </c>
      <c r="AD544" s="18" t="str">
        <f t="shared" si="119"/>
        <v/>
      </c>
      <c r="AE544" s="18" t="str">
        <f t="shared" si="120"/>
        <v/>
      </c>
      <c r="AF544" s="18" t="str">
        <f t="shared" si="121"/>
        <v/>
      </c>
      <c r="AG544" s="18" t="str">
        <f>IF(OR(O544="",AD544=""),"",IFERROR(INDEX(لیست‌ها!$Q$3:$Q$53,MATCH(AD544,لیست‌ها!$P$3:$P$53,0))+IF(AE544&lt;=6,(AE544-1)*31+AF544,IF(AE544&lt;=11,186+(AE544-7)*30+AF544,336+AF544))-1,""))</f>
        <v/>
      </c>
      <c r="AH544" s="18" t="str">
        <f t="shared" si="122"/>
        <v/>
      </c>
      <c r="AI544" s="18" t="str">
        <f t="shared" si="123"/>
        <v/>
      </c>
      <c r="AJ544" s="18" t="str">
        <f t="shared" ca="1" si="124"/>
        <v/>
      </c>
    </row>
    <row r="545" spans="1:36">
      <c r="A545" s="18" t="str">
        <f t="shared" si="126"/>
        <v/>
      </c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8" t="str">
        <f t="shared" ca="1" si="112"/>
        <v/>
      </c>
      <c r="U545" s="18">
        <f t="shared" ca="1" si="127"/>
        <v>0</v>
      </c>
      <c r="V545" s="18" t="str">
        <f t="shared" si="113"/>
        <v/>
      </c>
      <c r="W545" s="18" t="str">
        <f t="shared" si="114"/>
        <v/>
      </c>
      <c r="X545" s="18" t="str">
        <f t="shared" si="115"/>
        <v/>
      </c>
      <c r="Y545" s="18" t="str">
        <f>IF(OR(L545="",V545=""),"",IFERROR(INDEX(لیست‌ها!$Q$3:$Q$53,MATCH(V545,لیست‌ها!$P$3:$P$53,0))+IF(W545&lt;=6,(W545-1)*31+X545,IF(W545&lt;=11,186+(W545-7)*30+X545,336+X545))-1,""))</f>
        <v/>
      </c>
      <c r="Z545" s="18" t="str">
        <f t="shared" si="116"/>
        <v/>
      </c>
      <c r="AA545" s="18" t="str">
        <f t="shared" si="117"/>
        <v/>
      </c>
      <c r="AB545" s="18" t="str">
        <f t="shared" si="118"/>
        <v/>
      </c>
      <c r="AC545" s="18" t="str">
        <f>IF(OR(H545="",Z545=""),"",IFERROR(INDEX(لیست‌ها!$Q$3:$Q$53,MATCH(Z545,لیست‌ها!$P$3:$P$53,0))+IF(AA545&lt;=6,(AA545-1)*31+AB545,IF(AA545&lt;=11,186+(AA545-7)*30+AB545,336+AB545))-1,""))</f>
        <v/>
      </c>
      <c r="AD545" s="18" t="str">
        <f t="shared" si="119"/>
        <v/>
      </c>
      <c r="AE545" s="18" t="str">
        <f t="shared" si="120"/>
        <v/>
      </c>
      <c r="AF545" s="18" t="str">
        <f t="shared" si="121"/>
        <v/>
      </c>
      <c r="AG545" s="18" t="str">
        <f>IF(OR(O545="",AD545=""),"",IFERROR(INDEX(لیست‌ها!$Q$3:$Q$53,MATCH(AD545,لیست‌ها!$P$3:$P$53,0))+IF(AE545&lt;=6,(AE545-1)*31+AF545,IF(AE545&lt;=11,186+(AE545-7)*30+AF545,336+AF545))-1,""))</f>
        <v/>
      </c>
      <c r="AH545" s="18" t="str">
        <f t="shared" si="122"/>
        <v/>
      </c>
      <c r="AI545" s="18" t="str">
        <f t="shared" si="123"/>
        <v/>
      </c>
      <c r="AJ545" s="18" t="str">
        <f t="shared" ca="1" si="124"/>
        <v/>
      </c>
    </row>
    <row r="546" spans="1:36">
      <c r="A546" s="18" t="str">
        <f t="shared" si="126"/>
        <v/>
      </c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8" t="str">
        <f t="shared" ca="1" si="112"/>
        <v/>
      </c>
      <c r="U546" s="18">
        <f t="shared" ca="1" si="127"/>
        <v>0</v>
      </c>
      <c r="V546" s="18" t="str">
        <f t="shared" si="113"/>
        <v/>
      </c>
      <c r="W546" s="18" t="str">
        <f t="shared" si="114"/>
        <v/>
      </c>
      <c r="X546" s="18" t="str">
        <f t="shared" si="115"/>
        <v/>
      </c>
      <c r="Y546" s="18" t="str">
        <f>IF(OR(L546="",V546=""),"",IFERROR(INDEX(لیست‌ها!$Q$3:$Q$53,MATCH(V546,لیست‌ها!$P$3:$P$53,0))+IF(W546&lt;=6,(W546-1)*31+X546,IF(W546&lt;=11,186+(W546-7)*30+X546,336+X546))-1,""))</f>
        <v/>
      </c>
      <c r="Z546" s="18" t="str">
        <f t="shared" si="116"/>
        <v/>
      </c>
      <c r="AA546" s="18" t="str">
        <f t="shared" si="117"/>
        <v/>
      </c>
      <c r="AB546" s="18" t="str">
        <f t="shared" si="118"/>
        <v/>
      </c>
      <c r="AC546" s="18" t="str">
        <f>IF(OR(H546="",Z546=""),"",IFERROR(INDEX(لیست‌ها!$Q$3:$Q$53,MATCH(Z546,لیست‌ها!$P$3:$P$53,0))+IF(AA546&lt;=6,(AA546-1)*31+AB546,IF(AA546&lt;=11,186+(AA546-7)*30+AB546,336+AB546))-1,""))</f>
        <v/>
      </c>
      <c r="AD546" s="18" t="str">
        <f t="shared" si="119"/>
        <v/>
      </c>
      <c r="AE546" s="18" t="str">
        <f t="shared" si="120"/>
        <v/>
      </c>
      <c r="AF546" s="18" t="str">
        <f t="shared" si="121"/>
        <v/>
      </c>
      <c r="AG546" s="18" t="str">
        <f>IF(OR(O546="",AD546=""),"",IFERROR(INDEX(لیست‌ها!$Q$3:$Q$53,MATCH(AD546,لیست‌ها!$P$3:$P$53,0))+IF(AE546&lt;=6,(AE546-1)*31+AF546,IF(AE546&lt;=11,186+(AE546-7)*30+AF546,336+AF546))-1,""))</f>
        <v/>
      </c>
      <c r="AH546" s="18" t="str">
        <f t="shared" si="122"/>
        <v/>
      </c>
      <c r="AI546" s="18" t="str">
        <f t="shared" si="123"/>
        <v/>
      </c>
      <c r="AJ546" s="18" t="str">
        <f t="shared" ca="1" si="124"/>
        <v/>
      </c>
    </row>
    <row r="547" spans="1:36">
      <c r="A547" s="18" t="str">
        <f t="shared" si="126"/>
        <v/>
      </c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8" t="str">
        <f t="shared" ca="1" si="112"/>
        <v/>
      </c>
      <c r="U547" s="18">
        <f t="shared" ca="1" si="127"/>
        <v>0</v>
      </c>
      <c r="V547" s="18" t="str">
        <f t="shared" si="113"/>
        <v/>
      </c>
      <c r="W547" s="18" t="str">
        <f t="shared" si="114"/>
        <v/>
      </c>
      <c r="X547" s="18" t="str">
        <f t="shared" si="115"/>
        <v/>
      </c>
      <c r="Y547" s="18" t="str">
        <f>IF(OR(L547="",V547=""),"",IFERROR(INDEX(لیست‌ها!$Q$3:$Q$53,MATCH(V547,لیست‌ها!$P$3:$P$53,0))+IF(W547&lt;=6,(W547-1)*31+X547,IF(W547&lt;=11,186+(W547-7)*30+X547,336+X547))-1,""))</f>
        <v/>
      </c>
      <c r="Z547" s="18" t="str">
        <f t="shared" si="116"/>
        <v/>
      </c>
      <c r="AA547" s="18" t="str">
        <f t="shared" si="117"/>
        <v/>
      </c>
      <c r="AB547" s="18" t="str">
        <f t="shared" si="118"/>
        <v/>
      </c>
      <c r="AC547" s="18" t="str">
        <f>IF(OR(H547="",Z547=""),"",IFERROR(INDEX(لیست‌ها!$Q$3:$Q$53,MATCH(Z547,لیست‌ها!$P$3:$P$53,0))+IF(AA547&lt;=6,(AA547-1)*31+AB547,IF(AA547&lt;=11,186+(AA547-7)*30+AB547,336+AB547))-1,""))</f>
        <v/>
      </c>
      <c r="AD547" s="18" t="str">
        <f t="shared" si="119"/>
        <v/>
      </c>
      <c r="AE547" s="18" t="str">
        <f t="shared" si="120"/>
        <v/>
      </c>
      <c r="AF547" s="18" t="str">
        <f t="shared" si="121"/>
        <v/>
      </c>
      <c r="AG547" s="18" t="str">
        <f>IF(OR(O547="",AD547=""),"",IFERROR(INDEX(لیست‌ها!$Q$3:$Q$53,MATCH(AD547,لیست‌ها!$P$3:$P$53,0))+IF(AE547&lt;=6,(AE547-1)*31+AF547,IF(AE547&lt;=11,186+(AE547-7)*30+AF547,336+AF547))-1,""))</f>
        <v/>
      </c>
      <c r="AH547" s="18" t="str">
        <f t="shared" si="122"/>
        <v/>
      </c>
      <c r="AI547" s="18" t="str">
        <f t="shared" si="123"/>
        <v/>
      </c>
      <c r="AJ547" s="18" t="str">
        <f t="shared" ca="1" si="124"/>
        <v/>
      </c>
    </row>
    <row r="548" spans="1:36">
      <c r="A548" s="18" t="str">
        <f t="shared" si="126"/>
        <v/>
      </c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8" t="str">
        <f t="shared" ca="1" si="112"/>
        <v/>
      </c>
      <c r="U548" s="18">
        <f t="shared" ca="1" si="127"/>
        <v>0</v>
      </c>
      <c r="V548" s="18" t="str">
        <f t="shared" si="113"/>
        <v/>
      </c>
      <c r="W548" s="18" t="str">
        <f t="shared" si="114"/>
        <v/>
      </c>
      <c r="X548" s="18" t="str">
        <f t="shared" si="115"/>
        <v/>
      </c>
      <c r="Y548" s="18" t="str">
        <f>IF(OR(L548="",V548=""),"",IFERROR(INDEX(لیست‌ها!$Q$3:$Q$53,MATCH(V548,لیست‌ها!$P$3:$P$53,0))+IF(W548&lt;=6,(W548-1)*31+X548,IF(W548&lt;=11,186+(W548-7)*30+X548,336+X548))-1,""))</f>
        <v/>
      </c>
      <c r="Z548" s="18" t="str">
        <f t="shared" si="116"/>
        <v/>
      </c>
      <c r="AA548" s="18" t="str">
        <f t="shared" si="117"/>
        <v/>
      </c>
      <c r="AB548" s="18" t="str">
        <f t="shared" si="118"/>
        <v/>
      </c>
      <c r="AC548" s="18" t="str">
        <f>IF(OR(H548="",Z548=""),"",IFERROR(INDEX(لیست‌ها!$Q$3:$Q$53,MATCH(Z548,لیست‌ها!$P$3:$P$53,0))+IF(AA548&lt;=6,(AA548-1)*31+AB548,IF(AA548&lt;=11,186+(AA548-7)*30+AB548,336+AB548))-1,""))</f>
        <v/>
      </c>
      <c r="AD548" s="18" t="str">
        <f t="shared" si="119"/>
        <v/>
      </c>
      <c r="AE548" s="18" t="str">
        <f t="shared" si="120"/>
        <v/>
      </c>
      <c r="AF548" s="18" t="str">
        <f t="shared" si="121"/>
        <v/>
      </c>
      <c r="AG548" s="18" t="str">
        <f>IF(OR(O548="",AD548=""),"",IFERROR(INDEX(لیست‌ها!$Q$3:$Q$53,MATCH(AD548,لیست‌ها!$P$3:$P$53,0))+IF(AE548&lt;=6,(AE548-1)*31+AF548,IF(AE548&lt;=11,186+(AE548-7)*30+AF548,336+AF548))-1,""))</f>
        <v/>
      </c>
      <c r="AH548" s="18" t="str">
        <f t="shared" si="122"/>
        <v/>
      </c>
      <c r="AI548" s="18" t="str">
        <f t="shared" si="123"/>
        <v/>
      </c>
      <c r="AJ548" s="18" t="str">
        <f t="shared" ca="1" si="124"/>
        <v/>
      </c>
    </row>
    <row r="549" spans="1:36">
      <c r="A549" s="18" t="str">
        <f t="shared" si="126"/>
        <v/>
      </c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8" t="str">
        <f t="shared" ca="1" si="112"/>
        <v/>
      </c>
      <c r="U549" s="18">
        <f t="shared" ca="1" si="127"/>
        <v>0</v>
      </c>
      <c r="V549" s="18" t="str">
        <f t="shared" si="113"/>
        <v/>
      </c>
      <c r="W549" s="18" t="str">
        <f t="shared" si="114"/>
        <v/>
      </c>
      <c r="X549" s="18" t="str">
        <f t="shared" si="115"/>
        <v/>
      </c>
      <c r="Y549" s="18" t="str">
        <f>IF(OR(L549="",V549=""),"",IFERROR(INDEX(لیست‌ها!$Q$3:$Q$53,MATCH(V549,لیست‌ها!$P$3:$P$53,0))+IF(W549&lt;=6,(W549-1)*31+X549,IF(W549&lt;=11,186+(W549-7)*30+X549,336+X549))-1,""))</f>
        <v/>
      </c>
      <c r="Z549" s="18" t="str">
        <f t="shared" si="116"/>
        <v/>
      </c>
      <c r="AA549" s="18" t="str">
        <f t="shared" si="117"/>
        <v/>
      </c>
      <c r="AB549" s="18" t="str">
        <f t="shared" si="118"/>
        <v/>
      </c>
      <c r="AC549" s="18" t="str">
        <f>IF(OR(H549="",Z549=""),"",IFERROR(INDEX(لیست‌ها!$Q$3:$Q$53,MATCH(Z549,لیست‌ها!$P$3:$P$53,0))+IF(AA549&lt;=6,(AA549-1)*31+AB549,IF(AA549&lt;=11,186+(AA549-7)*30+AB549,336+AB549))-1,""))</f>
        <v/>
      </c>
      <c r="AD549" s="18" t="str">
        <f t="shared" si="119"/>
        <v/>
      </c>
      <c r="AE549" s="18" t="str">
        <f t="shared" si="120"/>
        <v/>
      </c>
      <c r="AF549" s="18" t="str">
        <f t="shared" si="121"/>
        <v/>
      </c>
      <c r="AG549" s="18" t="str">
        <f>IF(OR(O549="",AD549=""),"",IFERROR(INDEX(لیست‌ها!$Q$3:$Q$53,MATCH(AD549,لیست‌ها!$P$3:$P$53,0))+IF(AE549&lt;=6,(AE549-1)*31+AF549,IF(AE549&lt;=11,186+(AE549-7)*30+AF549,336+AF549))-1,""))</f>
        <v/>
      </c>
      <c r="AH549" s="18" t="str">
        <f t="shared" si="122"/>
        <v/>
      </c>
      <c r="AI549" s="18" t="str">
        <f t="shared" si="123"/>
        <v/>
      </c>
      <c r="AJ549" s="18" t="str">
        <f t="shared" ca="1" si="124"/>
        <v/>
      </c>
    </row>
    <row r="550" spans="1:36">
      <c r="A550" s="18" t="str">
        <f t="shared" si="126"/>
        <v/>
      </c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8" t="str">
        <f t="shared" ca="1" si="112"/>
        <v/>
      </c>
      <c r="U550" s="18">
        <f t="shared" ca="1" si="127"/>
        <v>0</v>
      </c>
      <c r="V550" s="18" t="str">
        <f t="shared" si="113"/>
        <v/>
      </c>
      <c r="W550" s="18" t="str">
        <f t="shared" si="114"/>
        <v/>
      </c>
      <c r="X550" s="18" t="str">
        <f t="shared" si="115"/>
        <v/>
      </c>
      <c r="Y550" s="18" t="str">
        <f>IF(OR(L550="",V550=""),"",IFERROR(INDEX(لیست‌ها!$Q$3:$Q$53,MATCH(V550,لیست‌ها!$P$3:$P$53,0))+IF(W550&lt;=6,(W550-1)*31+X550,IF(W550&lt;=11,186+(W550-7)*30+X550,336+X550))-1,""))</f>
        <v/>
      </c>
      <c r="Z550" s="18" t="str">
        <f t="shared" si="116"/>
        <v/>
      </c>
      <c r="AA550" s="18" t="str">
        <f t="shared" si="117"/>
        <v/>
      </c>
      <c r="AB550" s="18" t="str">
        <f t="shared" si="118"/>
        <v/>
      </c>
      <c r="AC550" s="18" t="str">
        <f>IF(OR(H550="",Z550=""),"",IFERROR(INDEX(لیست‌ها!$Q$3:$Q$53,MATCH(Z550,لیست‌ها!$P$3:$P$53,0))+IF(AA550&lt;=6,(AA550-1)*31+AB550,IF(AA550&lt;=11,186+(AA550-7)*30+AB550,336+AB550))-1,""))</f>
        <v/>
      </c>
      <c r="AD550" s="18" t="str">
        <f t="shared" si="119"/>
        <v/>
      </c>
      <c r="AE550" s="18" t="str">
        <f t="shared" si="120"/>
        <v/>
      </c>
      <c r="AF550" s="18" t="str">
        <f t="shared" si="121"/>
        <v/>
      </c>
      <c r="AG550" s="18" t="str">
        <f>IF(OR(O550="",AD550=""),"",IFERROR(INDEX(لیست‌ها!$Q$3:$Q$53,MATCH(AD550,لیست‌ها!$P$3:$P$53,0))+IF(AE550&lt;=6,(AE550-1)*31+AF550,IF(AE550&lt;=11,186+(AE550-7)*30+AF550,336+AF550))-1,""))</f>
        <v/>
      </c>
      <c r="AH550" s="18" t="str">
        <f t="shared" si="122"/>
        <v/>
      </c>
      <c r="AI550" s="18" t="str">
        <f t="shared" si="123"/>
        <v/>
      </c>
      <c r="AJ550" s="18" t="str">
        <f t="shared" ca="1" si="124"/>
        <v/>
      </c>
    </row>
    <row r="551" spans="1:36">
      <c r="A551" s="18" t="str">
        <f t="shared" si="126"/>
        <v/>
      </c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8" t="str">
        <f t="shared" ca="1" si="112"/>
        <v/>
      </c>
      <c r="U551" s="18">
        <f t="shared" ca="1" si="127"/>
        <v>0</v>
      </c>
      <c r="V551" s="18" t="str">
        <f t="shared" si="113"/>
        <v/>
      </c>
      <c r="W551" s="18" t="str">
        <f t="shared" si="114"/>
        <v/>
      </c>
      <c r="X551" s="18" t="str">
        <f t="shared" si="115"/>
        <v/>
      </c>
      <c r="Y551" s="18" t="str">
        <f>IF(OR(L551="",V551=""),"",IFERROR(INDEX(لیست‌ها!$Q$3:$Q$53,MATCH(V551,لیست‌ها!$P$3:$P$53,0))+IF(W551&lt;=6,(W551-1)*31+X551,IF(W551&lt;=11,186+(W551-7)*30+X551,336+X551))-1,""))</f>
        <v/>
      </c>
      <c r="Z551" s="18" t="str">
        <f t="shared" si="116"/>
        <v/>
      </c>
      <c r="AA551" s="18" t="str">
        <f t="shared" si="117"/>
        <v/>
      </c>
      <c r="AB551" s="18" t="str">
        <f t="shared" si="118"/>
        <v/>
      </c>
      <c r="AC551" s="18" t="str">
        <f>IF(OR(H551="",Z551=""),"",IFERROR(INDEX(لیست‌ها!$Q$3:$Q$53,MATCH(Z551,لیست‌ها!$P$3:$P$53,0))+IF(AA551&lt;=6,(AA551-1)*31+AB551,IF(AA551&lt;=11,186+(AA551-7)*30+AB551,336+AB551))-1,""))</f>
        <v/>
      </c>
      <c r="AD551" s="18" t="str">
        <f t="shared" si="119"/>
        <v/>
      </c>
      <c r="AE551" s="18" t="str">
        <f t="shared" si="120"/>
        <v/>
      </c>
      <c r="AF551" s="18" t="str">
        <f t="shared" si="121"/>
        <v/>
      </c>
      <c r="AG551" s="18" t="str">
        <f>IF(OR(O551="",AD551=""),"",IFERROR(INDEX(لیست‌ها!$Q$3:$Q$53,MATCH(AD551,لیست‌ها!$P$3:$P$53,0))+IF(AE551&lt;=6,(AE551-1)*31+AF551,IF(AE551&lt;=11,186+(AE551-7)*30+AF551,336+AF551))-1,""))</f>
        <v/>
      </c>
      <c r="AH551" s="18" t="str">
        <f t="shared" si="122"/>
        <v/>
      </c>
      <c r="AI551" s="18" t="str">
        <f t="shared" si="123"/>
        <v/>
      </c>
      <c r="AJ551" s="18" t="str">
        <f t="shared" ca="1" si="124"/>
        <v/>
      </c>
    </row>
    <row r="552" spans="1:36">
      <c r="A552" s="18" t="str">
        <f t="shared" si="126"/>
        <v/>
      </c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8" t="str">
        <f t="shared" ca="1" si="112"/>
        <v/>
      </c>
      <c r="U552" s="18">
        <f t="shared" ca="1" si="127"/>
        <v>0</v>
      </c>
      <c r="V552" s="18" t="str">
        <f t="shared" si="113"/>
        <v/>
      </c>
      <c r="W552" s="18" t="str">
        <f t="shared" si="114"/>
        <v/>
      </c>
      <c r="X552" s="18" t="str">
        <f t="shared" si="115"/>
        <v/>
      </c>
      <c r="Y552" s="18" t="str">
        <f>IF(OR(L552="",V552=""),"",IFERROR(INDEX(لیست‌ها!$Q$3:$Q$53,MATCH(V552,لیست‌ها!$P$3:$P$53,0))+IF(W552&lt;=6,(W552-1)*31+X552,IF(W552&lt;=11,186+(W552-7)*30+X552,336+X552))-1,""))</f>
        <v/>
      </c>
      <c r="Z552" s="18" t="str">
        <f t="shared" si="116"/>
        <v/>
      </c>
      <c r="AA552" s="18" t="str">
        <f t="shared" si="117"/>
        <v/>
      </c>
      <c r="AB552" s="18" t="str">
        <f t="shared" si="118"/>
        <v/>
      </c>
      <c r="AC552" s="18" t="str">
        <f>IF(OR(H552="",Z552=""),"",IFERROR(INDEX(لیست‌ها!$Q$3:$Q$53,MATCH(Z552,لیست‌ها!$P$3:$P$53,0))+IF(AA552&lt;=6,(AA552-1)*31+AB552,IF(AA552&lt;=11,186+(AA552-7)*30+AB552,336+AB552))-1,""))</f>
        <v/>
      </c>
      <c r="AD552" s="18" t="str">
        <f t="shared" si="119"/>
        <v/>
      </c>
      <c r="AE552" s="18" t="str">
        <f t="shared" si="120"/>
        <v/>
      </c>
      <c r="AF552" s="18" t="str">
        <f t="shared" si="121"/>
        <v/>
      </c>
      <c r="AG552" s="18" t="str">
        <f>IF(OR(O552="",AD552=""),"",IFERROR(INDEX(لیست‌ها!$Q$3:$Q$53,MATCH(AD552,لیست‌ها!$P$3:$P$53,0))+IF(AE552&lt;=6,(AE552-1)*31+AF552,IF(AE552&lt;=11,186+(AE552-7)*30+AF552,336+AF552))-1,""))</f>
        <v/>
      </c>
      <c r="AH552" s="18" t="str">
        <f t="shared" si="122"/>
        <v/>
      </c>
      <c r="AI552" s="18" t="str">
        <f t="shared" si="123"/>
        <v/>
      </c>
      <c r="AJ552" s="18" t="str">
        <f t="shared" ca="1" si="124"/>
        <v/>
      </c>
    </row>
    <row r="553" spans="1:36">
      <c r="A553" s="18" t="str">
        <f t="shared" si="126"/>
        <v/>
      </c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8" t="str">
        <f t="shared" ca="1" si="112"/>
        <v/>
      </c>
      <c r="U553" s="18">
        <f t="shared" ca="1" si="127"/>
        <v>0</v>
      </c>
      <c r="V553" s="18" t="str">
        <f t="shared" si="113"/>
        <v/>
      </c>
      <c r="W553" s="18" t="str">
        <f t="shared" si="114"/>
        <v/>
      </c>
      <c r="X553" s="18" t="str">
        <f t="shared" si="115"/>
        <v/>
      </c>
      <c r="Y553" s="18" t="str">
        <f>IF(OR(L553="",V553=""),"",IFERROR(INDEX(لیست‌ها!$Q$3:$Q$53,MATCH(V553,لیست‌ها!$P$3:$P$53,0))+IF(W553&lt;=6,(W553-1)*31+X553,IF(W553&lt;=11,186+(W553-7)*30+X553,336+X553))-1,""))</f>
        <v/>
      </c>
      <c r="Z553" s="18" t="str">
        <f t="shared" si="116"/>
        <v/>
      </c>
      <c r="AA553" s="18" t="str">
        <f t="shared" si="117"/>
        <v/>
      </c>
      <c r="AB553" s="18" t="str">
        <f t="shared" si="118"/>
        <v/>
      </c>
      <c r="AC553" s="18" t="str">
        <f>IF(OR(H553="",Z553=""),"",IFERROR(INDEX(لیست‌ها!$Q$3:$Q$53,MATCH(Z553,لیست‌ها!$P$3:$P$53,0))+IF(AA553&lt;=6,(AA553-1)*31+AB553,IF(AA553&lt;=11,186+(AA553-7)*30+AB553,336+AB553))-1,""))</f>
        <v/>
      </c>
      <c r="AD553" s="18" t="str">
        <f t="shared" si="119"/>
        <v/>
      </c>
      <c r="AE553" s="18" t="str">
        <f t="shared" si="120"/>
        <v/>
      </c>
      <c r="AF553" s="18" t="str">
        <f t="shared" si="121"/>
        <v/>
      </c>
      <c r="AG553" s="18" t="str">
        <f>IF(OR(O553="",AD553=""),"",IFERROR(INDEX(لیست‌ها!$Q$3:$Q$53,MATCH(AD553,لیست‌ها!$P$3:$P$53,0))+IF(AE553&lt;=6,(AE553-1)*31+AF553,IF(AE553&lt;=11,186+(AE553-7)*30+AF553,336+AF553))-1,""))</f>
        <v/>
      </c>
      <c r="AH553" s="18" t="str">
        <f t="shared" si="122"/>
        <v/>
      </c>
      <c r="AI553" s="18" t="str">
        <f t="shared" si="123"/>
        <v/>
      </c>
      <c r="AJ553" s="18" t="str">
        <f t="shared" ca="1" si="124"/>
        <v/>
      </c>
    </row>
    <row r="554" spans="1:36">
      <c r="A554" s="18" t="str">
        <f t="shared" si="126"/>
        <v/>
      </c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8" t="str">
        <f t="shared" ca="1" si="112"/>
        <v/>
      </c>
      <c r="U554" s="18">
        <f t="shared" ca="1" si="127"/>
        <v>0</v>
      </c>
      <c r="V554" s="18" t="str">
        <f t="shared" si="113"/>
        <v/>
      </c>
      <c r="W554" s="18" t="str">
        <f t="shared" si="114"/>
        <v/>
      </c>
      <c r="X554" s="18" t="str">
        <f t="shared" si="115"/>
        <v/>
      </c>
      <c r="Y554" s="18" t="str">
        <f>IF(OR(L554="",V554=""),"",IFERROR(INDEX(لیست‌ها!$Q$3:$Q$53,MATCH(V554,لیست‌ها!$P$3:$P$53,0))+IF(W554&lt;=6,(W554-1)*31+X554,IF(W554&lt;=11,186+(W554-7)*30+X554,336+X554))-1,""))</f>
        <v/>
      </c>
      <c r="Z554" s="18" t="str">
        <f t="shared" si="116"/>
        <v/>
      </c>
      <c r="AA554" s="18" t="str">
        <f t="shared" si="117"/>
        <v/>
      </c>
      <c r="AB554" s="18" t="str">
        <f t="shared" si="118"/>
        <v/>
      </c>
      <c r="AC554" s="18" t="str">
        <f>IF(OR(H554="",Z554=""),"",IFERROR(INDEX(لیست‌ها!$Q$3:$Q$53,MATCH(Z554,لیست‌ها!$P$3:$P$53,0))+IF(AA554&lt;=6,(AA554-1)*31+AB554,IF(AA554&lt;=11,186+(AA554-7)*30+AB554,336+AB554))-1,""))</f>
        <v/>
      </c>
      <c r="AD554" s="18" t="str">
        <f t="shared" si="119"/>
        <v/>
      </c>
      <c r="AE554" s="18" t="str">
        <f t="shared" si="120"/>
        <v/>
      </c>
      <c r="AF554" s="18" t="str">
        <f t="shared" si="121"/>
        <v/>
      </c>
      <c r="AG554" s="18" t="str">
        <f>IF(OR(O554="",AD554=""),"",IFERROR(INDEX(لیست‌ها!$Q$3:$Q$53,MATCH(AD554,لیست‌ها!$P$3:$P$53,0))+IF(AE554&lt;=6,(AE554-1)*31+AF554,IF(AE554&lt;=11,186+(AE554-7)*30+AF554,336+AF554))-1,""))</f>
        <v/>
      </c>
      <c r="AH554" s="18" t="str">
        <f t="shared" si="122"/>
        <v/>
      </c>
      <c r="AI554" s="18" t="str">
        <f t="shared" si="123"/>
        <v/>
      </c>
      <c r="AJ554" s="18" t="str">
        <f t="shared" ca="1" si="124"/>
        <v/>
      </c>
    </row>
    <row r="555" spans="1:36">
      <c r="A555" s="18" t="str">
        <f t="shared" si="126"/>
        <v/>
      </c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8" t="str">
        <f t="shared" ca="1" si="112"/>
        <v/>
      </c>
      <c r="U555" s="18">
        <f t="shared" ca="1" si="127"/>
        <v>0</v>
      </c>
      <c r="V555" s="18" t="str">
        <f t="shared" si="113"/>
        <v/>
      </c>
      <c r="W555" s="18" t="str">
        <f t="shared" si="114"/>
        <v/>
      </c>
      <c r="X555" s="18" t="str">
        <f t="shared" si="115"/>
        <v/>
      </c>
      <c r="Y555" s="18" t="str">
        <f>IF(OR(L555="",V555=""),"",IFERROR(INDEX(لیست‌ها!$Q$3:$Q$53,MATCH(V555,لیست‌ها!$P$3:$P$53,0))+IF(W555&lt;=6,(W555-1)*31+X555,IF(W555&lt;=11,186+(W555-7)*30+X555,336+X555))-1,""))</f>
        <v/>
      </c>
      <c r="Z555" s="18" t="str">
        <f t="shared" si="116"/>
        <v/>
      </c>
      <c r="AA555" s="18" t="str">
        <f t="shared" si="117"/>
        <v/>
      </c>
      <c r="AB555" s="18" t="str">
        <f t="shared" si="118"/>
        <v/>
      </c>
      <c r="AC555" s="18" t="str">
        <f>IF(OR(H555="",Z555=""),"",IFERROR(INDEX(لیست‌ها!$Q$3:$Q$53,MATCH(Z555,لیست‌ها!$P$3:$P$53,0))+IF(AA555&lt;=6,(AA555-1)*31+AB555,IF(AA555&lt;=11,186+(AA555-7)*30+AB555,336+AB555))-1,""))</f>
        <v/>
      </c>
      <c r="AD555" s="18" t="str">
        <f t="shared" si="119"/>
        <v/>
      </c>
      <c r="AE555" s="18" t="str">
        <f t="shared" si="120"/>
        <v/>
      </c>
      <c r="AF555" s="18" t="str">
        <f t="shared" si="121"/>
        <v/>
      </c>
      <c r="AG555" s="18" t="str">
        <f>IF(OR(O555="",AD555=""),"",IFERROR(INDEX(لیست‌ها!$Q$3:$Q$53,MATCH(AD555,لیست‌ها!$P$3:$P$53,0))+IF(AE555&lt;=6,(AE555-1)*31+AF555,IF(AE555&lt;=11,186+(AE555-7)*30+AF555,336+AF555))-1,""))</f>
        <v/>
      </c>
      <c r="AH555" s="18" t="str">
        <f t="shared" si="122"/>
        <v/>
      </c>
      <c r="AI555" s="18" t="str">
        <f t="shared" si="123"/>
        <v/>
      </c>
      <c r="AJ555" s="18" t="str">
        <f t="shared" ca="1" si="124"/>
        <v/>
      </c>
    </row>
    <row r="556" spans="1:36">
      <c r="A556" s="18" t="str">
        <f t="shared" si="126"/>
        <v/>
      </c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8" t="str">
        <f t="shared" ca="1" si="112"/>
        <v/>
      </c>
      <c r="U556" s="18">
        <f t="shared" ca="1" si="127"/>
        <v>0</v>
      </c>
      <c r="V556" s="18" t="str">
        <f t="shared" si="113"/>
        <v/>
      </c>
      <c r="W556" s="18" t="str">
        <f t="shared" si="114"/>
        <v/>
      </c>
      <c r="X556" s="18" t="str">
        <f t="shared" si="115"/>
        <v/>
      </c>
      <c r="Y556" s="18" t="str">
        <f>IF(OR(L556="",V556=""),"",IFERROR(INDEX(لیست‌ها!$Q$3:$Q$53,MATCH(V556,لیست‌ها!$P$3:$P$53,0))+IF(W556&lt;=6,(W556-1)*31+X556,IF(W556&lt;=11,186+(W556-7)*30+X556,336+X556))-1,""))</f>
        <v/>
      </c>
      <c r="Z556" s="18" t="str">
        <f t="shared" si="116"/>
        <v/>
      </c>
      <c r="AA556" s="18" t="str">
        <f t="shared" si="117"/>
        <v/>
      </c>
      <c r="AB556" s="18" t="str">
        <f t="shared" si="118"/>
        <v/>
      </c>
      <c r="AC556" s="18" t="str">
        <f>IF(OR(H556="",Z556=""),"",IFERROR(INDEX(لیست‌ها!$Q$3:$Q$53,MATCH(Z556,لیست‌ها!$P$3:$P$53,0))+IF(AA556&lt;=6,(AA556-1)*31+AB556,IF(AA556&lt;=11,186+(AA556-7)*30+AB556,336+AB556))-1,""))</f>
        <v/>
      </c>
      <c r="AD556" s="18" t="str">
        <f t="shared" si="119"/>
        <v/>
      </c>
      <c r="AE556" s="18" t="str">
        <f t="shared" si="120"/>
        <v/>
      </c>
      <c r="AF556" s="18" t="str">
        <f t="shared" si="121"/>
        <v/>
      </c>
      <c r="AG556" s="18" t="str">
        <f>IF(OR(O556="",AD556=""),"",IFERROR(INDEX(لیست‌ها!$Q$3:$Q$53,MATCH(AD556,لیست‌ها!$P$3:$P$53,0))+IF(AE556&lt;=6,(AE556-1)*31+AF556,IF(AE556&lt;=11,186+(AE556-7)*30+AF556,336+AF556))-1,""))</f>
        <v/>
      </c>
      <c r="AH556" s="18" t="str">
        <f t="shared" si="122"/>
        <v/>
      </c>
      <c r="AI556" s="18" t="str">
        <f t="shared" si="123"/>
        <v/>
      </c>
      <c r="AJ556" s="18" t="str">
        <f t="shared" ca="1" si="124"/>
        <v/>
      </c>
    </row>
    <row r="557" spans="1:36">
      <c r="A557" s="18" t="str">
        <f t="shared" si="126"/>
        <v/>
      </c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8" t="str">
        <f t="shared" ca="1" si="112"/>
        <v/>
      </c>
      <c r="U557" s="18">
        <f t="shared" ca="1" si="127"/>
        <v>0</v>
      </c>
      <c r="V557" s="18" t="str">
        <f t="shared" si="113"/>
        <v/>
      </c>
      <c r="W557" s="18" t="str">
        <f t="shared" si="114"/>
        <v/>
      </c>
      <c r="X557" s="18" t="str">
        <f t="shared" si="115"/>
        <v/>
      </c>
      <c r="Y557" s="18" t="str">
        <f>IF(OR(L557="",V557=""),"",IFERROR(INDEX(لیست‌ها!$Q$3:$Q$53,MATCH(V557,لیست‌ها!$P$3:$P$53,0))+IF(W557&lt;=6,(W557-1)*31+X557,IF(W557&lt;=11,186+(W557-7)*30+X557,336+X557))-1,""))</f>
        <v/>
      </c>
      <c r="Z557" s="18" t="str">
        <f t="shared" si="116"/>
        <v/>
      </c>
      <c r="AA557" s="18" t="str">
        <f t="shared" si="117"/>
        <v/>
      </c>
      <c r="AB557" s="18" t="str">
        <f t="shared" si="118"/>
        <v/>
      </c>
      <c r="AC557" s="18" t="str">
        <f>IF(OR(H557="",Z557=""),"",IFERROR(INDEX(لیست‌ها!$Q$3:$Q$53,MATCH(Z557,لیست‌ها!$P$3:$P$53,0))+IF(AA557&lt;=6,(AA557-1)*31+AB557,IF(AA557&lt;=11,186+(AA557-7)*30+AB557,336+AB557))-1,""))</f>
        <v/>
      </c>
      <c r="AD557" s="18" t="str">
        <f t="shared" si="119"/>
        <v/>
      </c>
      <c r="AE557" s="18" t="str">
        <f t="shared" si="120"/>
        <v/>
      </c>
      <c r="AF557" s="18" t="str">
        <f t="shared" si="121"/>
        <v/>
      </c>
      <c r="AG557" s="18" t="str">
        <f>IF(OR(O557="",AD557=""),"",IFERROR(INDEX(لیست‌ها!$Q$3:$Q$53,MATCH(AD557,لیست‌ها!$P$3:$P$53,0))+IF(AE557&lt;=6,(AE557-1)*31+AF557,IF(AE557&lt;=11,186+(AE557-7)*30+AF557,336+AF557))-1,""))</f>
        <v/>
      </c>
      <c r="AH557" s="18" t="str">
        <f t="shared" si="122"/>
        <v/>
      </c>
      <c r="AI557" s="18" t="str">
        <f t="shared" si="123"/>
        <v/>
      </c>
      <c r="AJ557" s="18" t="str">
        <f t="shared" ca="1" si="124"/>
        <v/>
      </c>
    </row>
    <row r="558" spans="1:36">
      <c r="A558" s="18" t="str">
        <f t="shared" si="126"/>
        <v/>
      </c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8" t="str">
        <f t="shared" ca="1" si="112"/>
        <v/>
      </c>
      <c r="U558" s="18">
        <f t="shared" ca="1" si="127"/>
        <v>0</v>
      </c>
      <c r="V558" s="18" t="str">
        <f t="shared" si="113"/>
        <v/>
      </c>
      <c r="W558" s="18" t="str">
        <f t="shared" si="114"/>
        <v/>
      </c>
      <c r="X558" s="18" t="str">
        <f t="shared" si="115"/>
        <v/>
      </c>
      <c r="Y558" s="18" t="str">
        <f>IF(OR(L558="",V558=""),"",IFERROR(INDEX(لیست‌ها!$Q$3:$Q$53,MATCH(V558,لیست‌ها!$P$3:$P$53,0))+IF(W558&lt;=6,(W558-1)*31+X558,IF(W558&lt;=11,186+(W558-7)*30+X558,336+X558))-1,""))</f>
        <v/>
      </c>
      <c r="Z558" s="18" t="str">
        <f t="shared" si="116"/>
        <v/>
      </c>
      <c r="AA558" s="18" t="str">
        <f t="shared" si="117"/>
        <v/>
      </c>
      <c r="AB558" s="18" t="str">
        <f t="shared" si="118"/>
        <v/>
      </c>
      <c r="AC558" s="18" t="str">
        <f>IF(OR(H558="",Z558=""),"",IFERROR(INDEX(لیست‌ها!$Q$3:$Q$53,MATCH(Z558,لیست‌ها!$P$3:$P$53,0))+IF(AA558&lt;=6,(AA558-1)*31+AB558,IF(AA558&lt;=11,186+(AA558-7)*30+AB558,336+AB558))-1,""))</f>
        <v/>
      </c>
      <c r="AD558" s="18" t="str">
        <f t="shared" si="119"/>
        <v/>
      </c>
      <c r="AE558" s="18" t="str">
        <f t="shared" si="120"/>
        <v/>
      </c>
      <c r="AF558" s="18" t="str">
        <f t="shared" si="121"/>
        <v/>
      </c>
      <c r="AG558" s="18" t="str">
        <f>IF(OR(O558="",AD558=""),"",IFERROR(INDEX(لیست‌ها!$Q$3:$Q$53,MATCH(AD558,لیست‌ها!$P$3:$P$53,0))+IF(AE558&lt;=6,(AE558-1)*31+AF558,IF(AE558&lt;=11,186+(AE558-7)*30+AF558,336+AF558))-1,""))</f>
        <v/>
      </c>
      <c r="AH558" s="18" t="str">
        <f t="shared" si="122"/>
        <v/>
      </c>
      <c r="AI558" s="18" t="str">
        <f t="shared" si="123"/>
        <v/>
      </c>
      <c r="AJ558" s="18" t="str">
        <f t="shared" ca="1" si="124"/>
        <v/>
      </c>
    </row>
    <row r="559" spans="1:36">
      <c r="A559" s="18" t="str">
        <f t="shared" si="126"/>
        <v/>
      </c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8" t="str">
        <f t="shared" ca="1" si="112"/>
        <v/>
      </c>
      <c r="U559" s="18">
        <f t="shared" ca="1" si="127"/>
        <v>0</v>
      </c>
      <c r="V559" s="18" t="str">
        <f t="shared" si="113"/>
        <v/>
      </c>
      <c r="W559" s="18" t="str">
        <f t="shared" si="114"/>
        <v/>
      </c>
      <c r="X559" s="18" t="str">
        <f t="shared" si="115"/>
        <v/>
      </c>
      <c r="Y559" s="18" t="str">
        <f>IF(OR(L559="",V559=""),"",IFERROR(INDEX(لیست‌ها!$Q$3:$Q$53,MATCH(V559,لیست‌ها!$P$3:$P$53,0))+IF(W559&lt;=6,(W559-1)*31+X559,IF(W559&lt;=11,186+(W559-7)*30+X559,336+X559))-1,""))</f>
        <v/>
      </c>
      <c r="Z559" s="18" t="str">
        <f t="shared" si="116"/>
        <v/>
      </c>
      <c r="AA559" s="18" t="str">
        <f t="shared" si="117"/>
        <v/>
      </c>
      <c r="AB559" s="18" t="str">
        <f t="shared" si="118"/>
        <v/>
      </c>
      <c r="AC559" s="18" t="str">
        <f>IF(OR(H559="",Z559=""),"",IFERROR(INDEX(لیست‌ها!$Q$3:$Q$53,MATCH(Z559,لیست‌ها!$P$3:$P$53,0))+IF(AA559&lt;=6,(AA559-1)*31+AB559,IF(AA559&lt;=11,186+(AA559-7)*30+AB559,336+AB559))-1,""))</f>
        <v/>
      </c>
      <c r="AD559" s="18" t="str">
        <f t="shared" si="119"/>
        <v/>
      </c>
      <c r="AE559" s="18" t="str">
        <f t="shared" si="120"/>
        <v/>
      </c>
      <c r="AF559" s="18" t="str">
        <f t="shared" si="121"/>
        <v/>
      </c>
      <c r="AG559" s="18" t="str">
        <f>IF(OR(O559="",AD559=""),"",IFERROR(INDEX(لیست‌ها!$Q$3:$Q$53,MATCH(AD559,لیست‌ها!$P$3:$P$53,0))+IF(AE559&lt;=6,(AE559-1)*31+AF559,IF(AE559&lt;=11,186+(AE559-7)*30+AF559,336+AF559))-1,""))</f>
        <v/>
      </c>
      <c r="AH559" s="18" t="str">
        <f t="shared" si="122"/>
        <v/>
      </c>
      <c r="AI559" s="18" t="str">
        <f t="shared" si="123"/>
        <v/>
      </c>
      <c r="AJ559" s="18" t="str">
        <f t="shared" ca="1" si="124"/>
        <v/>
      </c>
    </row>
    <row r="560" spans="1:36">
      <c r="A560" s="18" t="str">
        <f t="shared" si="126"/>
        <v/>
      </c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8" t="str">
        <f t="shared" ca="1" si="112"/>
        <v/>
      </c>
      <c r="U560" s="18">
        <f t="shared" ca="1" si="127"/>
        <v>0</v>
      </c>
      <c r="V560" s="18" t="str">
        <f t="shared" si="113"/>
        <v/>
      </c>
      <c r="W560" s="18" t="str">
        <f t="shared" si="114"/>
        <v/>
      </c>
      <c r="X560" s="18" t="str">
        <f t="shared" si="115"/>
        <v/>
      </c>
      <c r="Y560" s="18" t="str">
        <f>IF(OR(L560="",V560=""),"",IFERROR(INDEX(لیست‌ها!$Q$3:$Q$53,MATCH(V560,لیست‌ها!$P$3:$P$53,0))+IF(W560&lt;=6,(W560-1)*31+X560,IF(W560&lt;=11,186+(W560-7)*30+X560,336+X560))-1,""))</f>
        <v/>
      </c>
      <c r="Z560" s="18" t="str">
        <f t="shared" si="116"/>
        <v/>
      </c>
      <c r="AA560" s="18" t="str">
        <f t="shared" si="117"/>
        <v/>
      </c>
      <c r="AB560" s="18" t="str">
        <f t="shared" si="118"/>
        <v/>
      </c>
      <c r="AC560" s="18" t="str">
        <f>IF(OR(H560="",Z560=""),"",IFERROR(INDEX(لیست‌ها!$Q$3:$Q$53,MATCH(Z560,لیست‌ها!$P$3:$P$53,0))+IF(AA560&lt;=6,(AA560-1)*31+AB560,IF(AA560&lt;=11,186+(AA560-7)*30+AB560,336+AB560))-1,""))</f>
        <v/>
      </c>
      <c r="AD560" s="18" t="str">
        <f t="shared" si="119"/>
        <v/>
      </c>
      <c r="AE560" s="18" t="str">
        <f t="shared" si="120"/>
        <v/>
      </c>
      <c r="AF560" s="18" t="str">
        <f t="shared" si="121"/>
        <v/>
      </c>
      <c r="AG560" s="18" t="str">
        <f>IF(OR(O560="",AD560=""),"",IFERROR(INDEX(لیست‌ها!$Q$3:$Q$53,MATCH(AD560,لیست‌ها!$P$3:$P$53,0))+IF(AE560&lt;=6,(AE560-1)*31+AF560,IF(AE560&lt;=11,186+(AE560-7)*30+AF560,336+AF560))-1,""))</f>
        <v/>
      </c>
      <c r="AH560" s="18" t="str">
        <f t="shared" si="122"/>
        <v/>
      </c>
      <c r="AI560" s="18" t="str">
        <f t="shared" si="123"/>
        <v/>
      </c>
      <c r="AJ560" s="18" t="str">
        <f t="shared" ca="1" si="124"/>
        <v/>
      </c>
    </row>
    <row r="561" spans="1:36">
      <c r="A561" s="18" t="str">
        <f t="shared" si="126"/>
        <v/>
      </c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8" t="str">
        <f t="shared" ca="1" si="112"/>
        <v/>
      </c>
      <c r="U561" s="18">
        <f t="shared" ca="1" si="127"/>
        <v>0</v>
      </c>
      <c r="V561" s="18" t="str">
        <f t="shared" si="113"/>
        <v/>
      </c>
      <c r="W561" s="18" t="str">
        <f t="shared" si="114"/>
        <v/>
      </c>
      <c r="X561" s="18" t="str">
        <f t="shared" si="115"/>
        <v/>
      </c>
      <c r="Y561" s="18" t="str">
        <f>IF(OR(L561="",V561=""),"",IFERROR(INDEX(لیست‌ها!$Q$3:$Q$53,MATCH(V561,لیست‌ها!$P$3:$P$53,0))+IF(W561&lt;=6,(W561-1)*31+X561,IF(W561&lt;=11,186+(W561-7)*30+X561,336+X561))-1,""))</f>
        <v/>
      </c>
      <c r="Z561" s="18" t="str">
        <f t="shared" si="116"/>
        <v/>
      </c>
      <c r="AA561" s="18" t="str">
        <f t="shared" si="117"/>
        <v/>
      </c>
      <c r="AB561" s="18" t="str">
        <f t="shared" si="118"/>
        <v/>
      </c>
      <c r="AC561" s="18" t="str">
        <f>IF(OR(H561="",Z561=""),"",IFERROR(INDEX(لیست‌ها!$Q$3:$Q$53,MATCH(Z561,لیست‌ها!$P$3:$P$53,0))+IF(AA561&lt;=6,(AA561-1)*31+AB561,IF(AA561&lt;=11,186+(AA561-7)*30+AB561,336+AB561))-1,""))</f>
        <v/>
      </c>
      <c r="AD561" s="18" t="str">
        <f t="shared" si="119"/>
        <v/>
      </c>
      <c r="AE561" s="18" t="str">
        <f t="shared" si="120"/>
        <v/>
      </c>
      <c r="AF561" s="18" t="str">
        <f t="shared" si="121"/>
        <v/>
      </c>
      <c r="AG561" s="18" t="str">
        <f>IF(OR(O561="",AD561=""),"",IFERROR(INDEX(لیست‌ها!$Q$3:$Q$53,MATCH(AD561,لیست‌ها!$P$3:$P$53,0))+IF(AE561&lt;=6,(AE561-1)*31+AF561,IF(AE561&lt;=11,186+(AE561-7)*30+AF561,336+AF561))-1,""))</f>
        <v/>
      </c>
      <c r="AH561" s="18" t="str">
        <f t="shared" si="122"/>
        <v/>
      </c>
      <c r="AI561" s="18" t="str">
        <f t="shared" si="123"/>
        <v/>
      </c>
      <c r="AJ561" s="18" t="str">
        <f t="shared" ca="1" si="124"/>
        <v/>
      </c>
    </row>
    <row r="562" spans="1:36">
      <c r="A562" s="18" t="str">
        <f t="shared" si="126"/>
        <v/>
      </c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8" t="str">
        <f t="shared" ca="1" si="112"/>
        <v/>
      </c>
      <c r="U562" s="18">
        <f t="shared" ca="1" si="127"/>
        <v>0</v>
      </c>
      <c r="V562" s="18" t="str">
        <f t="shared" si="113"/>
        <v/>
      </c>
      <c r="W562" s="18" t="str">
        <f t="shared" si="114"/>
        <v/>
      </c>
      <c r="X562" s="18" t="str">
        <f t="shared" si="115"/>
        <v/>
      </c>
      <c r="Y562" s="18" t="str">
        <f>IF(OR(L562="",V562=""),"",IFERROR(INDEX(لیست‌ها!$Q$3:$Q$53,MATCH(V562,لیست‌ها!$P$3:$P$53,0))+IF(W562&lt;=6,(W562-1)*31+X562,IF(W562&lt;=11,186+(W562-7)*30+X562,336+X562))-1,""))</f>
        <v/>
      </c>
      <c r="Z562" s="18" t="str">
        <f t="shared" si="116"/>
        <v/>
      </c>
      <c r="AA562" s="18" t="str">
        <f t="shared" si="117"/>
        <v/>
      </c>
      <c r="AB562" s="18" t="str">
        <f t="shared" si="118"/>
        <v/>
      </c>
      <c r="AC562" s="18" t="str">
        <f>IF(OR(H562="",Z562=""),"",IFERROR(INDEX(لیست‌ها!$Q$3:$Q$53,MATCH(Z562,لیست‌ها!$P$3:$P$53,0))+IF(AA562&lt;=6,(AA562-1)*31+AB562,IF(AA562&lt;=11,186+(AA562-7)*30+AB562,336+AB562))-1,""))</f>
        <v/>
      </c>
      <c r="AD562" s="18" t="str">
        <f t="shared" si="119"/>
        <v/>
      </c>
      <c r="AE562" s="18" t="str">
        <f t="shared" si="120"/>
        <v/>
      </c>
      <c r="AF562" s="18" t="str">
        <f t="shared" si="121"/>
        <v/>
      </c>
      <c r="AG562" s="18" t="str">
        <f>IF(OR(O562="",AD562=""),"",IFERROR(INDEX(لیست‌ها!$Q$3:$Q$53,MATCH(AD562,لیست‌ها!$P$3:$P$53,0))+IF(AE562&lt;=6,(AE562-1)*31+AF562,IF(AE562&lt;=11,186+(AE562-7)*30+AF562,336+AF562))-1,""))</f>
        <v/>
      </c>
      <c r="AH562" s="18" t="str">
        <f t="shared" si="122"/>
        <v/>
      </c>
      <c r="AI562" s="18" t="str">
        <f t="shared" si="123"/>
        <v/>
      </c>
      <c r="AJ562" s="18" t="str">
        <f t="shared" ca="1" si="124"/>
        <v/>
      </c>
    </row>
    <row r="563" spans="1:36">
      <c r="A563" s="18" t="str">
        <f t="shared" si="126"/>
        <v/>
      </c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8" t="str">
        <f t="shared" ca="1" si="112"/>
        <v/>
      </c>
      <c r="U563" s="18">
        <f t="shared" ca="1" si="127"/>
        <v>0</v>
      </c>
      <c r="V563" s="18" t="str">
        <f t="shared" si="113"/>
        <v/>
      </c>
      <c r="W563" s="18" t="str">
        <f t="shared" si="114"/>
        <v/>
      </c>
      <c r="X563" s="18" t="str">
        <f t="shared" si="115"/>
        <v/>
      </c>
      <c r="Y563" s="18" t="str">
        <f>IF(OR(L563="",V563=""),"",IFERROR(INDEX(لیست‌ها!$Q$3:$Q$53,MATCH(V563,لیست‌ها!$P$3:$P$53,0))+IF(W563&lt;=6,(W563-1)*31+X563,IF(W563&lt;=11,186+(W563-7)*30+X563,336+X563))-1,""))</f>
        <v/>
      </c>
      <c r="Z563" s="18" t="str">
        <f t="shared" si="116"/>
        <v/>
      </c>
      <c r="AA563" s="18" t="str">
        <f t="shared" si="117"/>
        <v/>
      </c>
      <c r="AB563" s="18" t="str">
        <f t="shared" si="118"/>
        <v/>
      </c>
      <c r="AC563" s="18" t="str">
        <f>IF(OR(H563="",Z563=""),"",IFERROR(INDEX(لیست‌ها!$Q$3:$Q$53,MATCH(Z563,لیست‌ها!$P$3:$P$53,0))+IF(AA563&lt;=6,(AA563-1)*31+AB563,IF(AA563&lt;=11,186+(AA563-7)*30+AB563,336+AB563))-1,""))</f>
        <v/>
      </c>
      <c r="AD563" s="18" t="str">
        <f t="shared" si="119"/>
        <v/>
      </c>
      <c r="AE563" s="18" t="str">
        <f t="shared" si="120"/>
        <v/>
      </c>
      <c r="AF563" s="18" t="str">
        <f t="shared" si="121"/>
        <v/>
      </c>
      <c r="AG563" s="18" t="str">
        <f>IF(OR(O563="",AD563=""),"",IFERROR(INDEX(لیست‌ها!$Q$3:$Q$53,MATCH(AD563,لیست‌ها!$P$3:$P$53,0))+IF(AE563&lt;=6,(AE563-1)*31+AF563,IF(AE563&lt;=11,186+(AE563-7)*30+AF563,336+AF563))-1,""))</f>
        <v/>
      </c>
      <c r="AH563" s="18" t="str">
        <f t="shared" si="122"/>
        <v/>
      </c>
      <c r="AI563" s="18" t="str">
        <f t="shared" si="123"/>
        <v/>
      </c>
      <c r="AJ563" s="18" t="str">
        <f t="shared" ca="1" si="124"/>
        <v/>
      </c>
    </row>
    <row r="564" spans="1:36">
      <c r="A564" s="18" t="str">
        <f t="shared" si="126"/>
        <v/>
      </c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8" t="str">
        <f t="shared" ca="1" si="112"/>
        <v/>
      </c>
      <c r="U564" s="18">
        <f t="shared" ca="1" si="127"/>
        <v>0</v>
      </c>
      <c r="V564" s="18" t="str">
        <f t="shared" si="113"/>
        <v/>
      </c>
      <c r="W564" s="18" t="str">
        <f t="shared" si="114"/>
        <v/>
      </c>
      <c r="X564" s="18" t="str">
        <f t="shared" si="115"/>
        <v/>
      </c>
      <c r="Y564" s="18" t="str">
        <f>IF(OR(L564="",V564=""),"",IFERROR(INDEX(لیست‌ها!$Q$3:$Q$53,MATCH(V564,لیست‌ها!$P$3:$P$53,0))+IF(W564&lt;=6,(W564-1)*31+X564,IF(W564&lt;=11,186+(W564-7)*30+X564,336+X564))-1,""))</f>
        <v/>
      </c>
      <c r="Z564" s="18" t="str">
        <f t="shared" si="116"/>
        <v/>
      </c>
      <c r="AA564" s="18" t="str">
        <f t="shared" si="117"/>
        <v/>
      </c>
      <c r="AB564" s="18" t="str">
        <f t="shared" si="118"/>
        <v/>
      </c>
      <c r="AC564" s="18" t="str">
        <f>IF(OR(H564="",Z564=""),"",IFERROR(INDEX(لیست‌ها!$Q$3:$Q$53,MATCH(Z564,لیست‌ها!$P$3:$P$53,0))+IF(AA564&lt;=6,(AA564-1)*31+AB564,IF(AA564&lt;=11,186+(AA564-7)*30+AB564,336+AB564))-1,""))</f>
        <v/>
      </c>
      <c r="AD564" s="18" t="str">
        <f t="shared" si="119"/>
        <v/>
      </c>
      <c r="AE564" s="18" t="str">
        <f t="shared" si="120"/>
        <v/>
      </c>
      <c r="AF564" s="18" t="str">
        <f t="shared" si="121"/>
        <v/>
      </c>
      <c r="AG564" s="18" t="str">
        <f>IF(OR(O564="",AD564=""),"",IFERROR(INDEX(لیست‌ها!$Q$3:$Q$53,MATCH(AD564,لیست‌ها!$P$3:$P$53,0))+IF(AE564&lt;=6,(AE564-1)*31+AF564,IF(AE564&lt;=11,186+(AE564-7)*30+AF564,336+AF564))-1,""))</f>
        <v/>
      </c>
      <c r="AH564" s="18" t="str">
        <f t="shared" si="122"/>
        <v/>
      </c>
      <c r="AI564" s="18" t="str">
        <f t="shared" si="123"/>
        <v/>
      </c>
      <c r="AJ564" s="18" t="str">
        <f t="shared" ca="1" si="124"/>
        <v/>
      </c>
    </row>
    <row r="565" spans="1:36">
      <c r="A565" s="18" t="str">
        <f t="shared" si="126"/>
        <v/>
      </c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8" t="str">
        <f t="shared" ca="1" si="112"/>
        <v/>
      </c>
      <c r="U565" s="18">
        <f t="shared" ca="1" si="127"/>
        <v>0</v>
      </c>
      <c r="V565" s="18" t="str">
        <f t="shared" si="113"/>
        <v/>
      </c>
      <c r="W565" s="18" t="str">
        <f t="shared" si="114"/>
        <v/>
      </c>
      <c r="X565" s="18" t="str">
        <f t="shared" si="115"/>
        <v/>
      </c>
      <c r="Y565" s="18" t="str">
        <f>IF(OR(L565="",V565=""),"",IFERROR(INDEX(لیست‌ها!$Q$3:$Q$53,MATCH(V565,لیست‌ها!$P$3:$P$53,0))+IF(W565&lt;=6,(W565-1)*31+X565,IF(W565&lt;=11,186+(W565-7)*30+X565,336+X565))-1,""))</f>
        <v/>
      </c>
      <c r="Z565" s="18" t="str">
        <f t="shared" si="116"/>
        <v/>
      </c>
      <c r="AA565" s="18" t="str">
        <f t="shared" si="117"/>
        <v/>
      </c>
      <c r="AB565" s="18" t="str">
        <f t="shared" si="118"/>
        <v/>
      </c>
      <c r="AC565" s="18" t="str">
        <f>IF(OR(H565="",Z565=""),"",IFERROR(INDEX(لیست‌ها!$Q$3:$Q$53,MATCH(Z565,لیست‌ها!$P$3:$P$53,0))+IF(AA565&lt;=6,(AA565-1)*31+AB565,IF(AA565&lt;=11,186+(AA565-7)*30+AB565,336+AB565))-1,""))</f>
        <v/>
      </c>
      <c r="AD565" s="18" t="str">
        <f t="shared" si="119"/>
        <v/>
      </c>
      <c r="AE565" s="18" t="str">
        <f t="shared" si="120"/>
        <v/>
      </c>
      <c r="AF565" s="18" t="str">
        <f t="shared" si="121"/>
        <v/>
      </c>
      <c r="AG565" s="18" t="str">
        <f>IF(OR(O565="",AD565=""),"",IFERROR(INDEX(لیست‌ها!$Q$3:$Q$53,MATCH(AD565,لیست‌ها!$P$3:$P$53,0))+IF(AE565&lt;=6,(AE565-1)*31+AF565,IF(AE565&lt;=11,186+(AE565-7)*30+AF565,336+AF565))-1,""))</f>
        <v/>
      </c>
      <c r="AH565" s="18" t="str">
        <f t="shared" si="122"/>
        <v/>
      </c>
      <c r="AI565" s="18" t="str">
        <f t="shared" si="123"/>
        <v/>
      </c>
      <c r="AJ565" s="18" t="str">
        <f t="shared" ca="1" si="124"/>
        <v/>
      </c>
    </row>
    <row r="566" spans="1:36">
      <c r="A566" s="18" t="str">
        <f t="shared" si="126"/>
        <v/>
      </c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8" t="str">
        <f t="shared" ca="1" si="112"/>
        <v/>
      </c>
      <c r="U566" s="18">
        <f t="shared" ca="1" si="127"/>
        <v>0</v>
      </c>
      <c r="V566" s="18" t="str">
        <f t="shared" si="113"/>
        <v/>
      </c>
      <c r="W566" s="18" t="str">
        <f t="shared" si="114"/>
        <v/>
      </c>
      <c r="X566" s="18" t="str">
        <f t="shared" si="115"/>
        <v/>
      </c>
      <c r="Y566" s="18" t="str">
        <f>IF(OR(L566="",V566=""),"",IFERROR(INDEX(لیست‌ها!$Q$3:$Q$53,MATCH(V566,لیست‌ها!$P$3:$P$53,0))+IF(W566&lt;=6,(W566-1)*31+X566,IF(W566&lt;=11,186+(W566-7)*30+X566,336+X566))-1,""))</f>
        <v/>
      </c>
      <c r="Z566" s="18" t="str">
        <f t="shared" si="116"/>
        <v/>
      </c>
      <c r="AA566" s="18" t="str">
        <f t="shared" si="117"/>
        <v/>
      </c>
      <c r="AB566" s="18" t="str">
        <f t="shared" si="118"/>
        <v/>
      </c>
      <c r="AC566" s="18" t="str">
        <f>IF(OR(H566="",Z566=""),"",IFERROR(INDEX(لیست‌ها!$Q$3:$Q$53,MATCH(Z566,لیست‌ها!$P$3:$P$53,0))+IF(AA566&lt;=6,(AA566-1)*31+AB566,IF(AA566&lt;=11,186+(AA566-7)*30+AB566,336+AB566))-1,""))</f>
        <v/>
      </c>
      <c r="AD566" s="18" t="str">
        <f t="shared" si="119"/>
        <v/>
      </c>
      <c r="AE566" s="18" t="str">
        <f t="shared" si="120"/>
        <v/>
      </c>
      <c r="AF566" s="18" t="str">
        <f t="shared" si="121"/>
        <v/>
      </c>
      <c r="AG566" s="18" t="str">
        <f>IF(OR(O566="",AD566=""),"",IFERROR(INDEX(لیست‌ها!$Q$3:$Q$53,MATCH(AD566,لیست‌ها!$P$3:$P$53,0))+IF(AE566&lt;=6,(AE566-1)*31+AF566,IF(AE566&lt;=11,186+(AE566-7)*30+AF566,336+AF566))-1,""))</f>
        <v/>
      </c>
      <c r="AH566" s="18" t="str">
        <f t="shared" si="122"/>
        <v/>
      </c>
      <c r="AI566" s="18" t="str">
        <f t="shared" si="123"/>
        <v/>
      </c>
      <c r="AJ566" s="18" t="str">
        <f t="shared" ca="1" si="124"/>
        <v/>
      </c>
    </row>
    <row r="567" spans="1:36">
      <c r="A567" s="18" t="str">
        <f t="shared" si="126"/>
        <v/>
      </c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8" t="str">
        <f t="shared" ca="1" si="112"/>
        <v/>
      </c>
      <c r="U567" s="18">
        <f t="shared" ca="1" si="127"/>
        <v>0</v>
      </c>
      <c r="V567" s="18" t="str">
        <f t="shared" si="113"/>
        <v/>
      </c>
      <c r="W567" s="18" t="str">
        <f t="shared" si="114"/>
        <v/>
      </c>
      <c r="X567" s="18" t="str">
        <f t="shared" si="115"/>
        <v/>
      </c>
      <c r="Y567" s="18" t="str">
        <f>IF(OR(L567="",V567=""),"",IFERROR(INDEX(لیست‌ها!$Q$3:$Q$53,MATCH(V567,لیست‌ها!$P$3:$P$53,0))+IF(W567&lt;=6,(W567-1)*31+X567,IF(W567&lt;=11,186+(W567-7)*30+X567,336+X567))-1,""))</f>
        <v/>
      </c>
      <c r="Z567" s="18" t="str">
        <f t="shared" si="116"/>
        <v/>
      </c>
      <c r="AA567" s="18" t="str">
        <f t="shared" si="117"/>
        <v/>
      </c>
      <c r="AB567" s="18" t="str">
        <f t="shared" si="118"/>
        <v/>
      </c>
      <c r="AC567" s="18" t="str">
        <f>IF(OR(H567="",Z567=""),"",IFERROR(INDEX(لیست‌ها!$Q$3:$Q$53,MATCH(Z567,لیست‌ها!$P$3:$P$53,0))+IF(AA567&lt;=6,(AA567-1)*31+AB567,IF(AA567&lt;=11,186+(AA567-7)*30+AB567,336+AB567))-1,""))</f>
        <v/>
      </c>
      <c r="AD567" s="18" t="str">
        <f t="shared" si="119"/>
        <v/>
      </c>
      <c r="AE567" s="18" t="str">
        <f t="shared" si="120"/>
        <v/>
      </c>
      <c r="AF567" s="18" t="str">
        <f t="shared" si="121"/>
        <v/>
      </c>
      <c r="AG567" s="18" t="str">
        <f>IF(OR(O567="",AD567=""),"",IFERROR(INDEX(لیست‌ها!$Q$3:$Q$53,MATCH(AD567,لیست‌ها!$P$3:$P$53,0))+IF(AE567&lt;=6,(AE567-1)*31+AF567,IF(AE567&lt;=11,186+(AE567-7)*30+AF567,336+AF567))-1,""))</f>
        <v/>
      </c>
      <c r="AH567" s="18" t="str">
        <f t="shared" si="122"/>
        <v/>
      </c>
      <c r="AI567" s="18" t="str">
        <f t="shared" si="123"/>
        <v/>
      </c>
      <c r="AJ567" s="18" t="str">
        <f t="shared" ca="1" si="124"/>
        <v/>
      </c>
    </row>
    <row r="568" spans="1:36">
      <c r="A568" s="18" t="str">
        <f t="shared" si="126"/>
        <v/>
      </c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8" t="str">
        <f t="shared" ca="1" si="112"/>
        <v/>
      </c>
      <c r="U568" s="18">
        <f t="shared" ca="1" si="127"/>
        <v>0</v>
      </c>
      <c r="V568" s="18" t="str">
        <f t="shared" si="113"/>
        <v/>
      </c>
      <c r="W568" s="18" t="str">
        <f t="shared" si="114"/>
        <v/>
      </c>
      <c r="X568" s="18" t="str">
        <f t="shared" si="115"/>
        <v/>
      </c>
      <c r="Y568" s="18" t="str">
        <f>IF(OR(L568="",V568=""),"",IFERROR(INDEX(لیست‌ها!$Q$3:$Q$53,MATCH(V568,لیست‌ها!$P$3:$P$53,0))+IF(W568&lt;=6,(W568-1)*31+X568,IF(W568&lt;=11,186+(W568-7)*30+X568,336+X568))-1,""))</f>
        <v/>
      </c>
      <c r="Z568" s="18" t="str">
        <f t="shared" si="116"/>
        <v/>
      </c>
      <c r="AA568" s="18" t="str">
        <f t="shared" si="117"/>
        <v/>
      </c>
      <c r="AB568" s="18" t="str">
        <f t="shared" si="118"/>
        <v/>
      </c>
      <c r="AC568" s="18" t="str">
        <f>IF(OR(H568="",Z568=""),"",IFERROR(INDEX(لیست‌ها!$Q$3:$Q$53,MATCH(Z568,لیست‌ها!$P$3:$P$53,0))+IF(AA568&lt;=6,(AA568-1)*31+AB568,IF(AA568&lt;=11,186+(AA568-7)*30+AB568,336+AB568))-1,""))</f>
        <v/>
      </c>
      <c r="AD568" s="18" t="str">
        <f t="shared" si="119"/>
        <v/>
      </c>
      <c r="AE568" s="18" t="str">
        <f t="shared" si="120"/>
        <v/>
      </c>
      <c r="AF568" s="18" t="str">
        <f t="shared" si="121"/>
        <v/>
      </c>
      <c r="AG568" s="18" t="str">
        <f>IF(OR(O568="",AD568=""),"",IFERROR(INDEX(لیست‌ها!$Q$3:$Q$53,MATCH(AD568,لیست‌ها!$P$3:$P$53,0))+IF(AE568&lt;=6,(AE568-1)*31+AF568,IF(AE568&lt;=11,186+(AE568-7)*30+AF568,336+AF568))-1,""))</f>
        <v/>
      </c>
      <c r="AH568" s="18" t="str">
        <f t="shared" si="122"/>
        <v/>
      </c>
      <c r="AI568" s="18" t="str">
        <f t="shared" si="123"/>
        <v/>
      </c>
      <c r="AJ568" s="18" t="str">
        <f t="shared" ca="1" si="124"/>
        <v/>
      </c>
    </row>
    <row r="569" spans="1:36">
      <c r="A569" s="18" t="str">
        <f t="shared" si="126"/>
        <v/>
      </c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8" t="str">
        <f t="shared" ca="1" si="112"/>
        <v/>
      </c>
      <c r="U569" s="18">
        <f t="shared" ca="1" si="127"/>
        <v>0</v>
      </c>
      <c r="V569" s="18" t="str">
        <f t="shared" si="113"/>
        <v/>
      </c>
      <c r="W569" s="18" t="str">
        <f t="shared" si="114"/>
        <v/>
      </c>
      <c r="X569" s="18" t="str">
        <f t="shared" si="115"/>
        <v/>
      </c>
      <c r="Y569" s="18" t="str">
        <f>IF(OR(L569="",V569=""),"",IFERROR(INDEX(لیست‌ها!$Q$3:$Q$53,MATCH(V569,لیست‌ها!$P$3:$P$53,0))+IF(W569&lt;=6,(W569-1)*31+X569,IF(W569&lt;=11,186+(W569-7)*30+X569,336+X569))-1,""))</f>
        <v/>
      </c>
      <c r="Z569" s="18" t="str">
        <f t="shared" si="116"/>
        <v/>
      </c>
      <c r="AA569" s="18" t="str">
        <f t="shared" si="117"/>
        <v/>
      </c>
      <c r="AB569" s="18" t="str">
        <f t="shared" si="118"/>
        <v/>
      </c>
      <c r="AC569" s="18" t="str">
        <f>IF(OR(H569="",Z569=""),"",IFERROR(INDEX(لیست‌ها!$Q$3:$Q$53,MATCH(Z569,لیست‌ها!$P$3:$P$53,0))+IF(AA569&lt;=6,(AA569-1)*31+AB569,IF(AA569&lt;=11,186+(AA569-7)*30+AB569,336+AB569))-1,""))</f>
        <v/>
      </c>
      <c r="AD569" s="18" t="str">
        <f t="shared" si="119"/>
        <v/>
      </c>
      <c r="AE569" s="18" t="str">
        <f t="shared" si="120"/>
        <v/>
      </c>
      <c r="AF569" s="18" t="str">
        <f t="shared" si="121"/>
        <v/>
      </c>
      <c r="AG569" s="18" t="str">
        <f>IF(OR(O569="",AD569=""),"",IFERROR(INDEX(لیست‌ها!$Q$3:$Q$53,MATCH(AD569,لیست‌ها!$P$3:$P$53,0))+IF(AE569&lt;=6,(AE569-1)*31+AF569,IF(AE569&lt;=11,186+(AE569-7)*30+AF569,336+AF569))-1,""))</f>
        <v/>
      </c>
      <c r="AH569" s="18" t="str">
        <f t="shared" si="122"/>
        <v/>
      </c>
      <c r="AI569" s="18" t="str">
        <f t="shared" si="123"/>
        <v/>
      </c>
      <c r="AJ569" s="18" t="str">
        <f t="shared" ca="1" si="124"/>
        <v/>
      </c>
    </row>
    <row r="570" spans="1:36">
      <c r="A570" s="18" t="str">
        <f t="shared" si="126"/>
        <v/>
      </c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8" t="str">
        <f t="shared" ca="1" si="112"/>
        <v/>
      </c>
      <c r="U570" s="18">
        <f t="shared" ca="1" si="127"/>
        <v>0</v>
      </c>
      <c r="V570" s="18" t="str">
        <f t="shared" si="113"/>
        <v/>
      </c>
      <c r="W570" s="18" t="str">
        <f t="shared" si="114"/>
        <v/>
      </c>
      <c r="X570" s="18" t="str">
        <f t="shared" si="115"/>
        <v/>
      </c>
      <c r="Y570" s="18" t="str">
        <f>IF(OR(L570="",V570=""),"",IFERROR(INDEX(لیست‌ها!$Q$3:$Q$53,MATCH(V570,لیست‌ها!$P$3:$P$53,0))+IF(W570&lt;=6,(W570-1)*31+X570,IF(W570&lt;=11,186+(W570-7)*30+X570,336+X570))-1,""))</f>
        <v/>
      </c>
      <c r="Z570" s="18" t="str">
        <f t="shared" si="116"/>
        <v/>
      </c>
      <c r="AA570" s="18" t="str">
        <f t="shared" si="117"/>
        <v/>
      </c>
      <c r="AB570" s="18" t="str">
        <f t="shared" si="118"/>
        <v/>
      </c>
      <c r="AC570" s="18" t="str">
        <f>IF(OR(H570="",Z570=""),"",IFERROR(INDEX(لیست‌ها!$Q$3:$Q$53,MATCH(Z570,لیست‌ها!$P$3:$P$53,0))+IF(AA570&lt;=6,(AA570-1)*31+AB570,IF(AA570&lt;=11,186+(AA570-7)*30+AB570,336+AB570))-1,""))</f>
        <v/>
      </c>
      <c r="AD570" s="18" t="str">
        <f t="shared" si="119"/>
        <v/>
      </c>
      <c r="AE570" s="18" t="str">
        <f t="shared" si="120"/>
        <v/>
      </c>
      <c r="AF570" s="18" t="str">
        <f t="shared" si="121"/>
        <v/>
      </c>
      <c r="AG570" s="18" t="str">
        <f>IF(OR(O570="",AD570=""),"",IFERROR(INDEX(لیست‌ها!$Q$3:$Q$53,MATCH(AD570,لیست‌ها!$P$3:$P$53,0))+IF(AE570&lt;=6,(AE570-1)*31+AF570,IF(AE570&lt;=11,186+(AE570-7)*30+AF570,336+AF570))-1,""))</f>
        <v/>
      </c>
      <c r="AH570" s="18" t="str">
        <f t="shared" si="122"/>
        <v/>
      </c>
      <c r="AI570" s="18" t="str">
        <f t="shared" si="123"/>
        <v/>
      </c>
      <c r="AJ570" s="18" t="str">
        <f t="shared" ca="1" si="124"/>
        <v/>
      </c>
    </row>
    <row r="571" spans="1:36">
      <c r="A571" s="18" t="str">
        <f t="shared" ref="A571:A579" si="128">IF(B571="","",ROW()-3)</f>
        <v/>
      </c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8" t="str">
        <f t="shared" ca="1" si="112"/>
        <v/>
      </c>
      <c r="U571" s="18">
        <f t="shared" ca="1" si="127"/>
        <v>0</v>
      </c>
      <c r="V571" s="18" t="str">
        <f t="shared" si="113"/>
        <v/>
      </c>
      <c r="W571" s="18" t="str">
        <f t="shared" si="114"/>
        <v/>
      </c>
      <c r="X571" s="18" t="str">
        <f t="shared" si="115"/>
        <v/>
      </c>
      <c r="Y571" s="18" t="str">
        <f>IF(OR(L571="",V571=""),"",IFERROR(INDEX(لیست‌ها!$Q$3:$Q$53,MATCH(V571,لیست‌ها!$P$3:$P$53,0))+IF(W571&lt;=6,(W571-1)*31+X571,IF(W571&lt;=11,186+(W571-7)*30+X571,336+X571))-1,""))</f>
        <v/>
      </c>
      <c r="Z571" s="18" t="str">
        <f t="shared" si="116"/>
        <v/>
      </c>
      <c r="AA571" s="18" t="str">
        <f t="shared" si="117"/>
        <v/>
      </c>
      <c r="AB571" s="18" t="str">
        <f t="shared" si="118"/>
        <v/>
      </c>
      <c r="AC571" s="18" t="str">
        <f>IF(OR(H571="",Z571=""),"",IFERROR(INDEX(لیست‌ها!$Q$3:$Q$53,MATCH(Z571,لیست‌ها!$P$3:$P$53,0))+IF(AA571&lt;=6,(AA571-1)*31+AB571,IF(AA571&lt;=11,186+(AA571-7)*30+AB571,336+AB571))-1,""))</f>
        <v/>
      </c>
      <c r="AD571" s="18" t="str">
        <f t="shared" si="119"/>
        <v/>
      </c>
      <c r="AE571" s="18" t="str">
        <f t="shared" si="120"/>
        <v/>
      </c>
      <c r="AF571" s="18" t="str">
        <f t="shared" si="121"/>
        <v/>
      </c>
      <c r="AG571" s="18" t="str">
        <f>IF(OR(O571="",AD571=""),"",IFERROR(INDEX(لیست‌ها!$Q$3:$Q$53,MATCH(AD571,لیست‌ها!$P$3:$P$53,0))+IF(AE571&lt;=6,(AE571-1)*31+AF571,IF(AE571&lt;=11,186+(AE571-7)*30+AF571,336+AF571))-1,""))</f>
        <v/>
      </c>
      <c r="AH571" s="18" t="str">
        <f t="shared" si="122"/>
        <v/>
      </c>
      <c r="AI571" s="18" t="str">
        <f t="shared" si="123"/>
        <v/>
      </c>
      <c r="AJ571" s="18" t="str">
        <f t="shared" ca="1" si="124"/>
        <v/>
      </c>
    </row>
    <row r="572" spans="1:36">
      <c r="A572" s="18" t="str">
        <f t="shared" si="128"/>
        <v/>
      </c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8" t="str">
        <f t="shared" ca="1" si="112"/>
        <v/>
      </c>
      <c r="U572" s="18">
        <f t="shared" ca="1" si="127"/>
        <v>0</v>
      </c>
      <c r="V572" s="18" t="str">
        <f t="shared" si="113"/>
        <v/>
      </c>
      <c r="W572" s="18" t="str">
        <f t="shared" si="114"/>
        <v/>
      </c>
      <c r="X572" s="18" t="str">
        <f t="shared" si="115"/>
        <v/>
      </c>
      <c r="Y572" s="18" t="str">
        <f>IF(OR(L572="",V572=""),"",IFERROR(INDEX(لیست‌ها!$Q$3:$Q$53,MATCH(V572,لیست‌ها!$P$3:$P$53,0))+IF(W572&lt;=6,(W572-1)*31+X572,IF(W572&lt;=11,186+(W572-7)*30+X572,336+X572))-1,""))</f>
        <v/>
      </c>
      <c r="Z572" s="18" t="str">
        <f t="shared" si="116"/>
        <v/>
      </c>
      <c r="AA572" s="18" t="str">
        <f t="shared" si="117"/>
        <v/>
      </c>
      <c r="AB572" s="18" t="str">
        <f t="shared" si="118"/>
        <v/>
      </c>
      <c r="AC572" s="18" t="str">
        <f>IF(OR(H572="",Z572=""),"",IFERROR(INDEX(لیست‌ها!$Q$3:$Q$53,MATCH(Z572,لیست‌ها!$P$3:$P$53,0))+IF(AA572&lt;=6,(AA572-1)*31+AB572,IF(AA572&lt;=11,186+(AA572-7)*30+AB572,336+AB572))-1,""))</f>
        <v/>
      </c>
      <c r="AD572" s="18" t="str">
        <f t="shared" si="119"/>
        <v/>
      </c>
      <c r="AE572" s="18" t="str">
        <f t="shared" si="120"/>
        <v/>
      </c>
      <c r="AF572" s="18" t="str">
        <f t="shared" si="121"/>
        <v/>
      </c>
      <c r="AG572" s="18" t="str">
        <f>IF(OR(O572="",AD572=""),"",IFERROR(INDEX(لیست‌ها!$Q$3:$Q$53,MATCH(AD572,لیست‌ها!$P$3:$P$53,0))+IF(AE572&lt;=6,(AE572-1)*31+AF572,IF(AE572&lt;=11,186+(AE572-7)*30+AF572,336+AF572))-1,""))</f>
        <v/>
      </c>
      <c r="AH572" s="18" t="str">
        <f t="shared" si="122"/>
        <v/>
      </c>
      <c r="AI572" s="18" t="str">
        <f t="shared" si="123"/>
        <v/>
      </c>
      <c r="AJ572" s="18" t="str">
        <f t="shared" ca="1" si="124"/>
        <v/>
      </c>
    </row>
    <row r="573" spans="1:36">
      <c r="A573" s="18" t="str">
        <f t="shared" si="128"/>
        <v/>
      </c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8" t="str">
        <f t="shared" ca="1" si="112"/>
        <v/>
      </c>
      <c r="U573" s="18">
        <f t="shared" ca="1" si="127"/>
        <v>0</v>
      </c>
      <c r="V573" s="18" t="str">
        <f t="shared" si="113"/>
        <v/>
      </c>
      <c r="W573" s="18" t="str">
        <f t="shared" si="114"/>
        <v/>
      </c>
      <c r="X573" s="18" t="str">
        <f t="shared" si="115"/>
        <v/>
      </c>
      <c r="Y573" s="18" t="str">
        <f>IF(OR(L573="",V573=""),"",IFERROR(INDEX(لیست‌ها!$Q$3:$Q$53,MATCH(V573,لیست‌ها!$P$3:$P$53,0))+IF(W573&lt;=6,(W573-1)*31+X573,IF(W573&lt;=11,186+(W573-7)*30+X573,336+X573))-1,""))</f>
        <v/>
      </c>
      <c r="Z573" s="18" t="str">
        <f t="shared" si="116"/>
        <v/>
      </c>
      <c r="AA573" s="18" t="str">
        <f t="shared" si="117"/>
        <v/>
      </c>
      <c r="AB573" s="18" t="str">
        <f t="shared" si="118"/>
        <v/>
      </c>
      <c r="AC573" s="18" t="str">
        <f>IF(OR(H573="",Z573=""),"",IFERROR(INDEX(لیست‌ها!$Q$3:$Q$53,MATCH(Z573,لیست‌ها!$P$3:$P$53,0))+IF(AA573&lt;=6,(AA573-1)*31+AB573,IF(AA573&lt;=11,186+(AA573-7)*30+AB573,336+AB573))-1,""))</f>
        <v/>
      </c>
      <c r="AD573" s="18" t="str">
        <f t="shared" si="119"/>
        <v/>
      </c>
      <c r="AE573" s="18" t="str">
        <f t="shared" si="120"/>
        <v/>
      </c>
      <c r="AF573" s="18" t="str">
        <f t="shared" si="121"/>
        <v/>
      </c>
      <c r="AG573" s="18" t="str">
        <f>IF(OR(O573="",AD573=""),"",IFERROR(INDEX(لیست‌ها!$Q$3:$Q$53,MATCH(AD573,لیست‌ها!$P$3:$P$53,0))+IF(AE573&lt;=6,(AE573-1)*31+AF573,IF(AE573&lt;=11,186+(AE573-7)*30+AF573,336+AF573))-1,""))</f>
        <v/>
      </c>
      <c r="AH573" s="18" t="str">
        <f t="shared" si="122"/>
        <v/>
      </c>
      <c r="AI573" s="18" t="str">
        <f t="shared" si="123"/>
        <v/>
      </c>
      <c r="AJ573" s="18" t="str">
        <f t="shared" ca="1" si="124"/>
        <v/>
      </c>
    </row>
    <row r="574" spans="1:36">
      <c r="A574" s="18" t="str">
        <f t="shared" si="128"/>
        <v/>
      </c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8" t="str">
        <f t="shared" ca="1" si="112"/>
        <v/>
      </c>
      <c r="U574" s="18">
        <f t="shared" ca="1" si="127"/>
        <v>0</v>
      </c>
      <c r="V574" s="18" t="str">
        <f t="shared" si="113"/>
        <v/>
      </c>
      <c r="W574" s="18" t="str">
        <f t="shared" si="114"/>
        <v/>
      </c>
      <c r="X574" s="18" t="str">
        <f t="shared" si="115"/>
        <v/>
      </c>
      <c r="Y574" s="18" t="str">
        <f>IF(OR(L574="",V574=""),"",IFERROR(INDEX(لیست‌ها!$Q$3:$Q$53,MATCH(V574,لیست‌ها!$P$3:$P$53,0))+IF(W574&lt;=6,(W574-1)*31+X574,IF(W574&lt;=11,186+(W574-7)*30+X574,336+X574))-1,""))</f>
        <v/>
      </c>
      <c r="Z574" s="18" t="str">
        <f t="shared" si="116"/>
        <v/>
      </c>
      <c r="AA574" s="18" t="str">
        <f t="shared" si="117"/>
        <v/>
      </c>
      <c r="AB574" s="18" t="str">
        <f t="shared" si="118"/>
        <v/>
      </c>
      <c r="AC574" s="18" t="str">
        <f>IF(OR(H574="",Z574=""),"",IFERROR(INDEX(لیست‌ها!$Q$3:$Q$53,MATCH(Z574,لیست‌ها!$P$3:$P$53,0))+IF(AA574&lt;=6,(AA574-1)*31+AB574,IF(AA574&lt;=11,186+(AA574-7)*30+AB574,336+AB574))-1,""))</f>
        <v/>
      </c>
      <c r="AD574" s="18" t="str">
        <f t="shared" si="119"/>
        <v/>
      </c>
      <c r="AE574" s="18" t="str">
        <f t="shared" si="120"/>
        <v/>
      </c>
      <c r="AF574" s="18" t="str">
        <f t="shared" si="121"/>
        <v/>
      </c>
      <c r="AG574" s="18" t="str">
        <f>IF(OR(O574="",AD574=""),"",IFERROR(INDEX(لیست‌ها!$Q$3:$Q$53,MATCH(AD574,لیست‌ها!$P$3:$P$53,0))+IF(AE574&lt;=6,(AE574-1)*31+AF574,IF(AE574&lt;=11,186+(AE574-7)*30+AF574,336+AF574))-1,""))</f>
        <v/>
      </c>
      <c r="AH574" s="18" t="str">
        <f t="shared" si="122"/>
        <v/>
      </c>
      <c r="AI574" s="18" t="str">
        <f t="shared" si="123"/>
        <v/>
      </c>
      <c r="AJ574" s="18" t="str">
        <f t="shared" ca="1" si="124"/>
        <v/>
      </c>
    </row>
    <row r="575" spans="1:36">
      <c r="A575" s="18" t="str">
        <f t="shared" si="128"/>
        <v/>
      </c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8" t="str">
        <f t="shared" ca="1" si="112"/>
        <v/>
      </c>
      <c r="U575" s="18">
        <f t="shared" ca="1" si="127"/>
        <v>0</v>
      </c>
      <c r="V575" s="18" t="str">
        <f t="shared" si="113"/>
        <v/>
      </c>
      <c r="W575" s="18" t="str">
        <f t="shared" si="114"/>
        <v/>
      </c>
      <c r="X575" s="18" t="str">
        <f t="shared" si="115"/>
        <v/>
      </c>
      <c r="Y575" s="18" t="str">
        <f>IF(OR(L575="",V575=""),"",IFERROR(INDEX(لیست‌ها!$Q$3:$Q$53,MATCH(V575,لیست‌ها!$P$3:$P$53,0))+IF(W575&lt;=6,(W575-1)*31+X575,IF(W575&lt;=11,186+(W575-7)*30+X575,336+X575))-1,""))</f>
        <v/>
      </c>
      <c r="Z575" s="18" t="str">
        <f t="shared" si="116"/>
        <v/>
      </c>
      <c r="AA575" s="18" t="str">
        <f t="shared" si="117"/>
        <v/>
      </c>
      <c r="AB575" s="18" t="str">
        <f t="shared" si="118"/>
        <v/>
      </c>
      <c r="AC575" s="18" t="str">
        <f>IF(OR(H575="",Z575=""),"",IFERROR(INDEX(لیست‌ها!$Q$3:$Q$53,MATCH(Z575,لیست‌ها!$P$3:$P$53,0))+IF(AA575&lt;=6,(AA575-1)*31+AB575,IF(AA575&lt;=11,186+(AA575-7)*30+AB575,336+AB575))-1,""))</f>
        <v/>
      </c>
      <c r="AD575" s="18" t="str">
        <f t="shared" si="119"/>
        <v/>
      </c>
      <c r="AE575" s="18" t="str">
        <f t="shared" si="120"/>
        <v/>
      </c>
      <c r="AF575" s="18" t="str">
        <f t="shared" si="121"/>
        <v/>
      </c>
      <c r="AG575" s="18" t="str">
        <f>IF(OR(O575="",AD575=""),"",IFERROR(INDEX(لیست‌ها!$Q$3:$Q$53,MATCH(AD575,لیست‌ها!$P$3:$P$53,0))+IF(AE575&lt;=6,(AE575-1)*31+AF575,IF(AE575&lt;=11,186+(AE575-7)*30+AF575,336+AF575))-1,""))</f>
        <v/>
      </c>
      <c r="AH575" s="18" t="str">
        <f t="shared" si="122"/>
        <v/>
      </c>
      <c r="AI575" s="18" t="str">
        <f t="shared" si="123"/>
        <v/>
      </c>
      <c r="AJ575" s="18" t="str">
        <f t="shared" ca="1" si="124"/>
        <v/>
      </c>
    </row>
    <row r="576" spans="1:36">
      <c r="A576" s="18" t="str">
        <f t="shared" si="128"/>
        <v/>
      </c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8" t="str">
        <f t="shared" ca="1" si="112"/>
        <v/>
      </c>
      <c r="U576" s="18">
        <f t="shared" ca="1" si="127"/>
        <v>0</v>
      </c>
      <c r="V576" s="18" t="str">
        <f t="shared" si="113"/>
        <v/>
      </c>
      <c r="W576" s="18" t="str">
        <f t="shared" si="114"/>
        <v/>
      </c>
      <c r="X576" s="18" t="str">
        <f t="shared" si="115"/>
        <v/>
      </c>
      <c r="Y576" s="18" t="str">
        <f>IF(OR(L576="",V576=""),"",IFERROR(INDEX(لیست‌ها!$Q$3:$Q$53,MATCH(V576,لیست‌ها!$P$3:$P$53,0))+IF(W576&lt;=6,(W576-1)*31+X576,IF(W576&lt;=11,186+(W576-7)*30+X576,336+X576))-1,""))</f>
        <v/>
      </c>
      <c r="Z576" s="18" t="str">
        <f t="shared" si="116"/>
        <v/>
      </c>
      <c r="AA576" s="18" t="str">
        <f t="shared" si="117"/>
        <v/>
      </c>
      <c r="AB576" s="18" t="str">
        <f t="shared" si="118"/>
        <v/>
      </c>
      <c r="AC576" s="18" t="str">
        <f>IF(OR(H576="",Z576=""),"",IFERROR(INDEX(لیست‌ها!$Q$3:$Q$53,MATCH(Z576,لیست‌ها!$P$3:$P$53,0))+IF(AA576&lt;=6,(AA576-1)*31+AB576,IF(AA576&lt;=11,186+(AA576-7)*30+AB576,336+AB576))-1,""))</f>
        <v/>
      </c>
      <c r="AD576" s="18" t="str">
        <f t="shared" si="119"/>
        <v/>
      </c>
      <c r="AE576" s="18" t="str">
        <f t="shared" si="120"/>
        <v/>
      </c>
      <c r="AF576" s="18" t="str">
        <f t="shared" si="121"/>
        <v/>
      </c>
      <c r="AG576" s="18" t="str">
        <f>IF(OR(O576="",AD576=""),"",IFERROR(INDEX(لیست‌ها!$Q$3:$Q$53,MATCH(AD576,لیست‌ها!$P$3:$P$53,0))+IF(AE576&lt;=6,(AE576-1)*31+AF576,IF(AE576&lt;=11,186+(AE576-7)*30+AF576,336+AF576))-1,""))</f>
        <v/>
      </c>
      <c r="AH576" s="18" t="str">
        <f t="shared" si="122"/>
        <v/>
      </c>
      <c r="AI576" s="18" t="str">
        <f t="shared" si="123"/>
        <v/>
      </c>
      <c r="AJ576" s="18" t="str">
        <f t="shared" ca="1" si="124"/>
        <v/>
      </c>
    </row>
    <row r="577" spans="1:36">
      <c r="A577" s="18" t="str">
        <f t="shared" si="128"/>
        <v/>
      </c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8" t="str">
        <f t="shared" ca="1" si="112"/>
        <v/>
      </c>
      <c r="U577" s="18">
        <f t="shared" ca="1" si="127"/>
        <v>0</v>
      </c>
      <c r="V577" s="18" t="str">
        <f t="shared" si="113"/>
        <v/>
      </c>
      <c r="W577" s="18" t="str">
        <f t="shared" si="114"/>
        <v/>
      </c>
      <c r="X577" s="18" t="str">
        <f t="shared" si="115"/>
        <v/>
      </c>
      <c r="Y577" s="18" t="str">
        <f>IF(OR(L577="",V577=""),"",IFERROR(INDEX(لیست‌ها!$Q$3:$Q$53,MATCH(V577,لیست‌ها!$P$3:$P$53,0))+IF(W577&lt;=6,(W577-1)*31+X577,IF(W577&lt;=11,186+(W577-7)*30+X577,336+X577))-1,""))</f>
        <v/>
      </c>
      <c r="Z577" s="18" t="str">
        <f t="shared" si="116"/>
        <v/>
      </c>
      <c r="AA577" s="18" t="str">
        <f t="shared" si="117"/>
        <v/>
      </c>
      <c r="AB577" s="18" t="str">
        <f t="shared" si="118"/>
        <v/>
      </c>
      <c r="AC577" s="18" t="str">
        <f>IF(OR(H577="",Z577=""),"",IFERROR(INDEX(لیست‌ها!$Q$3:$Q$53,MATCH(Z577,لیست‌ها!$P$3:$P$53,0))+IF(AA577&lt;=6,(AA577-1)*31+AB577,IF(AA577&lt;=11,186+(AA577-7)*30+AB577,336+AB577))-1,""))</f>
        <v/>
      </c>
      <c r="AD577" s="18" t="str">
        <f t="shared" si="119"/>
        <v/>
      </c>
      <c r="AE577" s="18" t="str">
        <f t="shared" si="120"/>
        <v/>
      </c>
      <c r="AF577" s="18" t="str">
        <f t="shared" si="121"/>
        <v/>
      </c>
      <c r="AG577" s="18" t="str">
        <f>IF(OR(O577="",AD577=""),"",IFERROR(INDEX(لیست‌ها!$Q$3:$Q$53,MATCH(AD577,لیست‌ها!$P$3:$P$53,0))+IF(AE577&lt;=6,(AE577-1)*31+AF577,IF(AE577&lt;=11,186+(AE577-7)*30+AF577,336+AF577))-1,""))</f>
        <v/>
      </c>
      <c r="AH577" s="18" t="str">
        <f t="shared" si="122"/>
        <v/>
      </c>
      <c r="AI577" s="18" t="str">
        <f t="shared" si="123"/>
        <v/>
      </c>
      <c r="AJ577" s="18" t="str">
        <f t="shared" ca="1" si="124"/>
        <v/>
      </c>
    </row>
    <row r="578" spans="1:36">
      <c r="A578" s="18" t="str">
        <f t="shared" si="128"/>
        <v/>
      </c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8" t="str">
        <f t="shared" ca="1" si="112"/>
        <v/>
      </c>
      <c r="U578" s="18">
        <f t="shared" ca="1" si="127"/>
        <v>0</v>
      </c>
      <c r="V578" s="18" t="str">
        <f t="shared" si="113"/>
        <v/>
      </c>
      <c r="W578" s="18" t="str">
        <f t="shared" si="114"/>
        <v/>
      </c>
      <c r="X578" s="18" t="str">
        <f t="shared" si="115"/>
        <v/>
      </c>
      <c r="Y578" s="18" t="str">
        <f>IF(OR(L578="",V578=""),"",IFERROR(INDEX(لیست‌ها!$Q$3:$Q$53,MATCH(V578,لیست‌ها!$P$3:$P$53,0))+IF(W578&lt;=6,(W578-1)*31+X578,IF(W578&lt;=11,186+(W578-7)*30+X578,336+X578))-1,""))</f>
        <v/>
      </c>
      <c r="Z578" s="18" t="str">
        <f t="shared" si="116"/>
        <v/>
      </c>
      <c r="AA578" s="18" t="str">
        <f t="shared" si="117"/>
        <v/>
      </c>
      <c r="AB578" s="18" t="str">
        <f t="shared" si="118"/>
        <v/>
      </c>
      <c r="AC578" s="18" t="str">
        <f>IF(OR(H578="",Z578=""),"",IFERROR(INDEX(لیست‌ها!$Q$3:$Q$53,MATCH(Z578,لیست‌ها!$P$3:$P$53,0))+IF(AA578&lt;=6,(AA578-1)*31+AB578,IF(AA578&lt;=11,186+(AA578-7)*30+AB578,336+AB578))-1,""))</f>
        <v/>
      </c>
      <c r="AD578" s="18" t="str">
        <f t="shared" si="119"/>
        <v/>
      </c>
      <c r="AE578" s="18" t="str">
        <f t="shared" si="120"/>
        <v/>
      </c>
      <c r="AF578" s="18" t="str">
        <f t="shared" si="121"/>
        <v/>
      </c>
      <c r="AG578" s="18" t="str">
        <f>IF(OR(O578="",AD578=""),"",IFERROR(INDEX(لیست‌ها!$Q$3:$Q$53,MATCH(AD578,لیست‌ها!$P$3:$P$53,0))+IF(AE578&lt;=6,(AE578-1)*31+AF578,IF(AE578&lt;=11,186+(AE578-7)*30+AF578,336+AF578))-1,""))</f>
        <v/>
      </c>
      <c r="AH578" s="18" t="str">
        <f t="shared" si="122"/>
        <v/>
      </c>
      <c r="AI578" s="18" t="str">
        <f t="shared" si="123"/>
        <v/>
      </c>
      <c r="AJ578" s="18" t="str">
        <f t="shared" ca="1" si="124"/>
        <v/>
      </c>
    </row>
    <row r="579" spans="1:36">
      <c r="A579" s="18" t="str">
        <f t="shared" si="128"/>
        <v/>
      </c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8" t="str">
        <f t="shared" ca="1" si="112"/>
        <v/>
      </c>
      <c r="U579" s="18">
        <f t="shared" ca="1" si="127"/>
        <v>0</v>
      </c>
      <c r="V579" s="18" t="str">
        <f t="shared" si="113"/>
        <v/>
      </c>
      <c r="W579" s="18" t="str">
        <f t="shared" si="114"/>
        <v/>
      </c>
      <c r="X579" s="18" t="str">
        <f t="shared" si="115"/>
        <v/>
      </c>
      <c r="Y579" s="18" t="str">
        <f>IF(OR(L579="",V579=""),"",IFERROR(INDEX(لیست‌ها!$Q$3:$Q$53,MATCH(V579,لیست‌ها!$P$3:$P$53,0))+IF(W579&lt;=6,(W579-1)*31+X579,IF(W579&lt;=11,186+(W579-7)*30+X579,336+X579))-1,""))</f>
        <v/>
      </c>
      <c r="Z579" s="18" t="str">
        <f t="shared" si="116"/>
        <v/>
      </c>
      <c r="AA579" s="18" t="str">
        <f t="shared" si="117"/>
        <v/>
      </c>
      <c r="AB579" s="18" t="str">
        <f t="shared" si="118"/>
        <v/>
      </c>
      <c r="AC579" s="18" t="str">
        <f>IF(OR(H579="",Z579=""),"",IFERROR(INDEX(لیست‌ها!$Q$3:$Q$53,MATCH(Z579,لیست‌ها!$P$3:$P$53,0))+IF(AA579&lt;=6,(AA579-1)*31+AB579,IF(AA579&lt;=11,186+(AA579-7)*30+AB579,336+AB579))-1,""))</f>
        <v/>
      </c>
      <c r="AD579" s="18" t="str">
        <f t="shared" si="119"/>
        <v/>
      </c>
      <c r="AE579" s="18" t="str">
        <f t="shared" si="120"/>
        <v/>
      </c>
      <c r="AF579" s="18" t="str">
        <f t="shared" si="121"/>
        <v/>
      </c>
      <c r="AG579" s="18" t="str">
        <f>IF(OR(O579="",AD579=""),"",IFERROR(INDEX(لیست‌ها!$Q$3:$Q$53,MATCH(AD579,لیست‌ها!$P$3:$P$53,0))+IF(AE579&lt;=6,(AE579-1)*31+AF579,IF(AE579&lt;=11,186+(AE579-7)*30+AF579,336+AF579))-1,""))</f>
        <v/>
      </c>
      <c r="AH579" s="18" t="str">
        <f t="shared" si="122"/>
        <v/>
      </c>
      <c r="AI579" s="18" t="str">
        <f t="shared" si="123"/>
        <v/>
      </c>
      <c r="AJ579" s="18" t="str">
        <f t="shared" ca="1" si="124"/>
        <v/>
      </c>
    </row>
    <row r="580" spans="1:36">
      <c r="A580" s="18" t="str">
        <f t="shared" ref="A580:A643" si="129">IF(B580="","",ROW()-3)</f>
        <v/>
      </c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8" t="str">
        <f t="shared" ref="T580:T643" ca="1" si="130">IF(B580="","",IF(OR(I580&lt;&gt;"",O580&lt;&gt;""),"بسته",IF(AND(L580&lt;&gt;"",V580=""),"خطای فرمت تاریخ ایجاد",IF(AND(H580&lt;&gt;"",Z580=""),"خطای فرمت مهلت",IF(AND(H580&lt;&gt;"",AC580&lt;&gt;"",TODAY()&gt;AC580),"تاخیر",IF(L580&lt;&gt;"","در حال انجام",""))))))</f>
        <v/>
      </c>
      <c r="U580" s="18">
        <f t="shared" ref="U580:U643" ca="1" si="131">IF(T580="تاخیر",TODAY()-AC580,IF(AND(T580="بسته",AG580&lt;&gt;"",AC580&lt;&gt;"",AG580&gt;AC580),AG580-AC580,0))</f>
        <v>0</v>
      </c>
      <c r="V580" s="18" t="str">
        <f t="shared" ref="V580:V643" si="132">IF(L580="","",VALUE(LEFT(L580,FIND("/",L580)-1)))</f>
        <v/>
      </c>
      <c r="W580" s="18" t="str">
        <f t="shared" ref="W580:W643" si="133">IF(L580="","",VALUE(MID(L580,FIND("/",L580)+1,FIND("/",L580,FIND("/",L580)+1)-FIND("/",L580)-1)))</f>
        <v/>
      </c>
      <c r="X580" s="18" t="str">
        <f t="shared" ref="X580:X643" si="134">IF(L580="","",VALUE(MID(L580,FIND("/",L580,FIND("/",L580)+1)+1,LEN(L580)-FIND("/",L580,FIND("/",L580)+1))))</f>
        <v/>
      </c>
      <c r="Y580" s="18" t="str">
        <f>IF(OR(L580="",V580=""),"",IFERROR(INDEX(لیست‌ها!$Q$3:$Q$53,MATCH(V580,لیست‌ها!$P$3:$P$53,0))+IF(W580&lt;=6,(W580-1)*31+X580,IF(W580&lt;=11,186+(W580-7)*30+X580,336+X580))-1,""))</f>
        <v/>
      </c>
      <c r="Z580" s="18" t="str">
        <f t="shared" ref="Z580:Z643" si="135">IF(H580="","",VALUE(LEFT(H580,FIND("/",H580)-1)))</f>
        <v/>
      </c>
      <c r="AA580" s="18" t="str">
        <f t="shared" ref="AA580:AA643" si="136">IF(H580="","",VALUE(MID(H580,FIND("/",H580)+1,FIND("/",H580,FIND("/",H580)+1)-FIND("/",H580)-1)))</f>
        <v/>
      </c>
      <c r="AB580" s="18" t="str">
        <f t="shared" ref="AB580:AB643" si="137">IF(H580="","",VALUE(MID(H580,FIND("/",H580,FIND("/",H580)+1)+1,LEN(H580)-FIND("/",H580,FIND("/",H580)+1))))</f>
        <v/>
      </c>
      <c r="AC580" s="18" t="str">
        <f>IF(OR(H580="",Z580=""),"",IFERROR(INDEX(لیست‌ها!$Q$3:$Q$53,MATCH(Z580,لیست‌ها!$P$3:$P$53,0))+IF(AA580&lt;=6,(AA580-1)*31+AB580,IF(AA580&lt;=11,186+(AA580-7)*30+AB580,336+AB580))-1,""))</f>
        <v/>
      </c>
      <c r="AD580" s="18" t="str">
        <f t="shared" ref="AD580:AD643" si="138">IF(O580="","",VALUE(LEFT(O580,FIND("/",O580)-1)))</f>
        <v/>
      </c>
      <c r="AE580" s="18" t="str">
        <f t="shared" ref="AE580:AE643" si="139">IF(O580="","",VALUE(MID(O580,FIND("/",O580)+1,FIND("/",O580,FIND("/",O580)+1)-FIND("/",O580)-1)))</f>
        <v/>
      </c>
      <c r="AF580" s="18" t="str">
        <f t="shared" ref="AF580:AF643" si="140">IF(O580="","",VALUE(MID(O580,FIND("/",O580,FIND("/",O580)+1)+1,LEN(O580)-FIND("/",O580,FIND("/",O580)+1))))</f>
        <v/>
      </c>
      <c r="AG580" s="18" t="str">
        <f>IF(OR(O580="",AD580=""),"",IFERROR(INDEX(لیست‌ها!$Q$3:$Q$53,MATCH(AD580,لیست‌ها!$P$3:$P$53,0))+IF(AE580&lt;=6,(AE580-1)*31+AF580,IF(AE580&lt;=11,186+(AE580-7)*30+AF580,336+AF580))-1,""))</f>
        <v/>
      </c>
      <c r="AH580" s="18" t="str">
        <f t="shared" ref="AH580:AH643" si="141">IF(V580="","",V580&amp;"-"&amp;TEXT(W580,"00"))</f>
        <v/>
      </c>
      <c r="AI580" s="18" t="str">
        <f t="shared" ref="AI580:AI643" si="142">IF(V580="","",V580*12+W580)</f>
        <v/>
      </c>
      <c r="AJ580" s="18" t="str">
        <f t="shared" ref="AJ580:AJ643" ca="1" si="143">IF(T580="تاخیر",U580+ROW()/100000,"")</f>
        <v/>
      </c>
    </row>
    <row r="581" spans="1:36">
      <c r="A581" s="18" t="str">
        <f t="shared" si="129"/>
        <v/>
      </c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8" t="str">
        <f t="shared" ca="1" si="130"/>
        <v/>
      </c>
      <c r="U581" s="18">
        <f t="shared" ca="1" si="131"/>
        <v>0</v>
      </c>
      <c r="V581" s="18" t="str">
        <f t="shared" si="132"/>
        <v/>
      </c>
      <c r="W581" s="18" t="str">
        <f t="shared" si="133"/>
        <v/>
      </c>
      <c r="X581" s="18" t="str">
        <f t="shared" si="134"/>
        <v/>
      </c>
      <c r="Y581" s="18" t="str">
        <f>IF(OR(L581="",V581=""),"",IFERROR(INDEX(لیست‌ها!$Q$3:$Q$53,MATCH(V581,لیست‌ها!$P$3:$P$53,0))+IF(W581&lt;=6,(W581-1)*31+X581,IF(W581&lt;=11,186+(W581-7)*30+X581,336+X581))-1,""))</f>
        <v/>
      </c>
      <c r="Z581" s="18" t="str">
        <f t="shared" si="135"/>
        <v/>
      </c>
      <c r="AA581" s="18" t="str">
        <f t="shared" si="136"/>
        <v/>
      </c>
      <c r="AB581" s="18" t="str">
        <f t="shared" si="137"/>
        <v/>
      </c>
      <c r="AC581" s="18" t="str">
        <f>IF(OR(H581="",Z581=""),"",IFERROR(INDEX(لیست‌ها!$Q$3:$Q$53,MATCH(Z581,لیست‌ها!$P$3:$P$53,0))+IF(AA581&lt;=6,(AA581-1)*31+AB581,IF(AA581&lt;=11,186+(AA581-7)*30+AB581,336+AB581))-1,""))</f>
        <v/>
      </c>
      <c r="AD581" s="18" t="str">
        <f t="shared" si="138"/>
        <v/>
      </c>
      <c r="AE581" s="18" t="str">
        <f t="shared" si="139"/>
        <v/>
      </c>
      <c r="AF581" s="18" t="str">
        <f t="shared" si="140"/>
        <v/>
      </c>
      <c r="AG581" s="18" t="str">
        <f>IF(OR(O581="",AD581=""),"",IFERROR(INDEX(لیست‌ها!$Q$3:$Q$53,MATCH(AD581,لیست‌ها!$P$3:$P$53,0))+IF(AE581&lt;=6,(AE581-1)*31+AF581,IF(AE581&lt;=11,186+(AE581-7)*30+AF581,336+AF581))-1,""))</f>
        <v/>
      </c>
      <c r="AH581" s="18" t="str">
        <f t="shared" si="141"/>
        <v/>
      </c>
      <c r="AI581" s="18" t="str">
        <f t="shared" si="142"/>
        <v/>
      </c>
      <c r="AJ581" s="18" t="str">
        <f t="shared" ca="1" si="143"/>
        <v/>
      </c>
    </row>
    <row r="582" spans="1:36">
      <c r="A582" s="18" t="str">
        <f t="shared" si="129"/>
        <v/>
      </c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8" t="str">
        <f t="shared" ca="1" si="130"/>
        <v/>
      </c>
      <c r="U582" s="18">
        <f t="shared" ca="1" si="131"/>
        <v>0</v>
      </c>
      <c r="V582" s="18" t="str">
        <f t="shared" si="132"/>
        <v/>
      </c>
      <c r="W582" s="18" t="str">
        <f t="shared" si="133"/>
        <v/>
      </c>
      <c r="X582" s="18" t="str">
        <f t="shared" si="134"/>
        <v/>
      </c>
      <c r="Y582" s="18" t="str">
        <f>IF(OR(L582="",V582=""),"",IFERROR(INDEX(لیست‌ها!$Q$3:$Q$53,MATCH(V582,لیست‌ها!$P$3:$P$53,0))+IF(W582&lt;=6,(W582-1)*31+X582,IF(W582&lt;=11,186+(W582-7)*30+X582,336+X582))-1,""))</f>
        <v/>
      </c>
      <c r="Z582" s="18" t="str">
        <f t="shared" si="135"/>
        <v/>
      </c>
      <c r="AA582" s="18" t="str">
        <f t="shared" si="136"/>
        <v/>
      </c>
      <c r="AB582" s="18" t="str">
        <f t="shared" si="137"/>
        <v/>
      </c>
      <c r="AC582" s="18" t="str">
        <f>IF(OR(H582="",Z582=""),"",IFERROR(INDEX(لیست‌ها!$Q$3:$Q$53,MATCH(Z582,لیست‌ها!$P$3:$P$53,0))+IF(AA582&lt;=6,(AA582-1)*31+AB582,IF(AA582&lt;=11,186+(AA582-7)*30+AB582,336+AB582))-1,""))</f>
        <v/>
      </c>
      <c r="AD582" s="18" t="str">
        <f t="shared" si="138"/>
        <v/>
      </c>
      <c r="AE582" s="18" t="str">
        <f t="shared" si="139"/>
        <v/>
      </c>
      <c r="AF582" s="18" t="str">
        <f t="shared" si="140"/>
        <v/>
      </c>
      <c r="AG582" s="18" t="str">
        <f>IF(OR(O582="",AD582=""),"",IFERROR(INDEX(لیست‌ها!$Q$3:$Q$53,MATCH(AD582,لیست‌ها!$P$3:$P$53,0))+IF(AE582&lt;=6,(AE582-1)*31+AF582,IF(AE582&lt;=11,186+(AE582-7)*30+AF582,336+AF582))-1,""))</f>
        <v/>
      </c>
      <c r="AH582" s="18" t="str">
        <f t="shared" si="141"/>
        <v/>
      </c>
      <c r="AI582" s="18" t="str">
        <f t="shared" si="142"/>
        <v/>
      </c>
      <c r="AJ582" s="18" t="str">
        <f t="shared" ca="1" si="143"/>
        <v/>
      </c>
    </row>
    <row r="583" spans="1:36">
      <c r="A583" s="18" t="str">
        <f t="shared" si="129"/>
        <v/>
      </c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8" t="str">
        <f t="shared" ca="1" si="130"/>
        <v/>
      </c>
      <c r="U583" s="18">
        <f t="shared" ca="1" si="131"/>
        <v>0</v>
      </c>
      <c r="V583" s="18" t="str">
        <f t="shared" si="132"/>
        <v/>
      </c>
      <c r="W583" s="18" t="str">
        <f t="shared" si="133"/>
        <v/>
      </c>
      <c r="X583" s="18" t="str">
        <f t="shared" si="134"/>
        <v/>
      </c>
      <c r="Y583" s="18" t="str">
        <f>IF(OR(L583="",V583=""),"",IFERROR(INDEX(لیست‌ها!$Q$3:$Q$53,MATCH(V583,لیست‌ها!$P$3:$P$53,0))+IF(W583&lt;=6,(W583-1)*31+X583,IF(W583&lt;=11,186+(W583-7)*30+X583,336+X583))-1,""))</f>
        <v/>
      </c>
      <c r="Z583" s="18" t="str">
        <f t="shared" si="135"/>
        <v/>
      </c>
      <c r="AA583" s="18" t="str">
        <f t="shared" si="136"/>
        <v/>
      </c>
      <c r="AB583" s="18" t="str">
        <f t="shared" si="137"/>
        <v/>
      </c>
      <c r="AC583" s="18" t="str">
        <f>IF(OR(H583="",Z583=""),"",IFERROR(INDEX(لیست‌ها!$Q$3:$Q$53,MATCH(Z583,لیست‌ها!$P$3:$P$53,0))+IF(AA583&lt;=6,(AA583-1)*31+AB583,IF(AA583&lt;=11,186+(AA583-7)*30+AB583,336+AB583))-1,""))</f>
        <v/>
      </c>
      <c r="AD583" s="18" t="str">
        <f t="shared" si="138"/>
        <v/>
      </c>
      <c r="AE583" s="18" t="str">
        <f t="shared" si="139"/>
        <v/>
      </c>
      <c r="AF583" s="18" t="str">
        <f t="shared" si="140"/>
        <v/>
      </c>
      <c r="AG583" s="18" t="str">
        <f>IF(OR(O583="",AD583=""),"",IFERROR(INDEX(لیست‌ها!$Q$3:$Q$53,MATCH(AD583,لیست‌ها!$P$3:$P$53,0))+IF(AE583&lt;=6,(AE583-1)*31+AF583,IF(AE583&lt;=11,186+(AE583-7)*30+AF583,336+AF583))-1,""))</f>
        <v/>
      </c>
      <c r="AH583" s="18" t="str">
        <f t="shared" si="141"/>
        <v/>
      </c>
      <c r="AI583" s="18" t="str">
        <f t="shared" si="142"/>
        <v/>
      </c>
      <c r="AJ583" s="18" t="str">
        <f t="shared" ca="1" si="143"/>
        <v/>
      </c>
    </row>
    <row r="584" spans="1:36">
      <c r="A584" s="18" t="str">
        <f t="shared" si="129"/>
        <v/>
      </c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8" t="str">
        <f t="shared" ca="1" si="130"/>
        <v/>
      </c>
      <c r="U584" s="18">
        <f t="shared" ca="1" si="131"/>
        <v>0</v>
      </c>
      <c r="V584" s="18" t="str">
        <f t="shared" si="132"/>
        <v/>
      </c>
      <c r="W584" s="18" t="str">
        <f t="shared" si="133"/>
        <v/>
      </c>
      <c r="X584" s="18" t="str">
        <f t="shared" si="134"/>
        <v/>
      </c>
      <c r="Y584" s="18" t="str">
        <f>IF(OR(L584="",V584=""),"",IFERROR(INDEX(لیست‌ها!$Q$3:$Q$53,MATCH(V584,لیست‌ها!$P$3:$P$53,0))+IF(W584&lt;=6,(W584-1)*31+X584,IF(W584&lt;=11,186+(W584-7)*30+X584,336+X584))-1,""))</f>
        <v/>
      </c>
      <c r="Z584" s="18" t="str">
        <f t="shared" si="135"/>
        <v/>
      </c>
      <c r="AA584" s="18" t="str">
        <f t="shared" si="136"/>
        <v/>
      </c>
      <c r="AB584" s="18" t="str">
        <f t="shared" si="137"/>
        <v/>
      </c>
      <c r="AC584" s="18" t="str">
        <f>IF(OR(H584="",Z584=""),"",IFERROR(INDEX(لیست‌ها!$Q$3:$Q$53,MATCH(Z584,لیست‌ها!$P$3:$P$53,0))+IF(AA584&lt;=6,(AA584-1)*31+AB584,IF(AA584&lt;=11,186+(AA584-7)*30+AB584,336+AB584))-1,""))</f>
        <v/>
      </c>
      <c r="AD584" s="18" t="str">
        <f t="shared" si="138"/>
        <v/>
      </c>
      <c r="AE584" s="18" t="str">
        <f t="shared" si="139"/>
        <v/>
      </c>
      <c r="AF584" s="18" t="str">
        <f t="shared" si="140"/>
        <v/>
      </c>
      <c r="AG584" s="18" t="str">
        <f>IF(OR(O584="",AD584=""),"",IFERROR(INDEX(لیست‌ها!$Q$3:$Q$53,MATCH(AD584,لیست‌ها!$P$3:$P$53,0))+IF(AE584&lt;=6,(AE584-1)*31+AF584,IF(AE584&lt;=11,186+(AE584-7)*30+AF584,336+AF584))-1,""))</f>
        <v/>
      </c>
      <c r="AH584" s="18" t="str">
        <f t="shared" si="141"/>
        <v/>
      </c>
      <c r="AI584" s="18" t="str">
        <f t="shared" si="142"/>
        <v/>
      </c>
      <c r="AJ584" s="18" t="str">
        <f t="shared" ca="1" si="143"/>
        <v/>
      </c>
    </row>
    <row r="585" spans="1:36">
      <c r="A585" s="18" t="str">
        <f t="shared" si="129"/>
        <v/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8" t="str">
        <f t="shared" ca="1" si="130"/>
        <v/>
      </c>
      <c r="U585" s="18">
        <f t="shared" ca="1" si="131"/>
        <v>0</v>
      </c>
      <c r="V585" s="18" t="str">
        <f t="shared" si="132"/>
        <v/>
      </c>
      <c r="W585" s="18" t="str">
        <f t="shared" si="133"/>
        <v/>
      </c>
      <c r="X585" s="18" t="str">
        <f t="shared" si="134"/>
        <v/>
      </c>
      <c r="Y585" s="18" t="str">
        <f>IF(OR(L585="",V585=""),"",IFERROR(INDEX(لیست‌ها!$Q$3:$Q$53,MATCH(V585,لیست‌ها!$P$3:$P$53,0))+IF(W585&lt;=6,(W585-1)*31+X585,IF(W585&lt;=11,186+(W585-7)*30+X585,336+X585))-1,""))</f>
        <v/>
      </c>
      <c r="Z585" s="18" t="str">
        <f t="shared" si="135"/>
        <v/>
      </c>
      <c r="AA585" s="18" t="str">
        <f t="shared" si="136"/>
        <v/>
      </c>
      <c r="AB585" s="18" t="str">
        <f t="shared" si="137"/>
        <v/>
      </c>
      <c r="AC585" s="18" t="str">
        <f>IF(OR(H585="",Z585=""),"",IFERROR(INDEX(لیست‌ها!$Q$3:$Q$53,MATCH(Z585,لیست‌ها!$P$3:$P$53,0))+IF(AA585&lt;=6,(AA585-1)*31+AB585,IF(AA585&lt;=11,186+(AA585-7)*30+AB585,336+AB585))-1,""))</f>
        <v/>
      </c>
      <c r="AD585" s="18" t="str">
        <f t="shared" si="138"/>
        <v/>
      </c>
      <c r="AE585" s="18" t="str">
        <f t="shared" si="139"/>
        <v/>
      </c>
      <c r="AF585" s="18" t="str">
        <f t="shared" si="140"/>
        <v/>
      </c>
      <c r="AG585" s="18" t="str">
        <f>IF(OR(O585="",AD585=""),"",IFERROR(INDEX(لیست‌ها!$Q$3:$Q$53,MATCH(AD585,لیست‌ها!$P$3:$P$53,0))+IF(AE585&lt;=6,(AE585-1)*31+AF585,IF(AE585&lt;=11,186+(AE585-7)*30+AF585,336+AF585))-1,""))</f>
        <v/>
      </c>
      <c r="AH585" s="18" t="str">
        <f t="shared" si="141"/>
        <v/>
      </c>
      <c r="AI585" s="18" t="str">
        <f t="shared" si="142"/>
        <v/>
      </c>
      <c r="AJ585" s="18" t="str">
        <f t="shared" ca="1" si="143"/>
        <v/>
      </c>
    </row>
    <row r="586" spans="1:36">
      <c r="A586" s="18" t="str">
        <f t="shared" si="129"/>
        <v/>
      </c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8" t="str">
        <f t="shared" ca="1" si="130"/>
        <v/>
      </c>
      <c r="U586" s="18">
        <f t="shared" ca="1" si="131"/>
        <v>0</v>
      </c>
      <c r="V586" s="18" t="str">
        <f t="shared" si="132"/>
        <v/>
      </c>
      <c r="W586" s="18" t="str">
        <f t="shared" si="133"/>
        <v/>
      </c>
      <c r="X586" s="18" t="str">
        <f t="shared" si="134"/>
        <v/>
      </c>
      <c r="Y586" s="18" t="str">
        <f>IF(OR(L586="",V586=""),"",IFERROR(INDEX(لیست‌ها!$Q$3:$Q$53,MATCH(V586,لیست‌ها!$P$3:$P$53,0))+IF(W586&lt;=6,(W586-1)*31+X586,IF(W586&lt;=11,186+(W586-7)*30+X586,336+X586))-1,""))</f>
        <v/>
      </c>
      <c r="Z586" s="18" t="str">
        <f t="shared" si="135"/>
        <v/>
      </c>
      <c r="AA586" s="18" t="str">
        <f t="shared" si="136"/>
        <v/>
      </c>
      <c r="AB586" s="18" t="str">
        <f t="shared" si="137"/>
        <v/>
      </c>
      <c r="AC586" s="18" t="str">
        <f>IF(OR(H586="",Z586=""),"",IFERROR(INDEX(لیست‌ها!$Q$3:$Q$53,MATCH(Z586,لیست‌ها!$P$3:$P$53,0))+IF(AA586&lt;=6,(AA586-1)*31+AB586,IF(AA586&lt;=11,186+(AA586-7)*30+AB586,336+AB586))-1,""))</f>
        <v/>
      </c>
      <c r="AD586" s="18" t="str">
        <f t="shared" si="138"/>
        <v/>
      </c>
      <c r="AE586" s="18" t="str">
        <f t="shared" si="139"/>
        <v/>
      </c>
      <c r="AF586" s="18" t="str">
        <f t="shared" si="140"/>
        <v/>
      </c>
      <c r="AG586" s="18" t="str">
        <f>IF(OR(O586="",AD586=""),"",IFERROR(INDEX(لیست‌ها!$Q$3:$Q$53,MATCH(AD586,لیست‌ها!$P$3:$P$53,0))+IF(AE586&lt;=6,(AE586-1)*31+AF586,IF(AE586&lt;=11,186+(AE586-7)*30+AF586,336+AF586))-1,""))</f>
        <v/>
      </c>
      <c r="AH586" s="18" t="str">
        <f t="shared" si="141"/>
        <v/>
      </c>
      <c r="AI586" s="18" t="str">
        <f t="shared" si="142"/>
        <v/>
      </c>
      <c r="AJ586" s="18" t="str">
        <f t="shared" ca="1" si="143"/>
        <v/>
      </c>
    </row>
    <row r="587" spans="1:36">
      <c r="A587" s="18" t="str">
        <f t="shared" si="129"/>
        <v/>
      </c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8" t="str">
        <f t="shared" ca="1" si="130"/>
        <v/>
      </c>
      <c r="U587" s="18">
        <f t="shared" ca="1" si="131"/>
        <v>0</v>
      </c>
      <c r="V587" s="18" t="str">
        <f t="shared" si="132"/>
        <v/>
      </c>
      <c r="W587" s="18" t="str">
        <f t="shared" si="133"/>
        <v/>
      </c>
      <c r="X587" s="18" t="str">
        <f t="shared" si="134"/>
        <v/>
      </c>
      <c r="Y587" s="18" t="str">
        <f>IF(OR(L587="",V587=""),"",IFERROR(INDEX(لیست‌ها!$Q$3:$Q$53,MATCH(V587,لیست‌ها!$P$3:$P$53,0))+IF(W587&lt;=6,(W587-1)*31+X587,IF(W587&lt;=11,186+(W587-7)*30+X587,336+X587))-1,""))</f>
        <v/>
      </c>
      <c r="Z587" s="18" t="str">
        <f t="shared" si="135"/>
        <v/>
      </c>
      <c r="AA587" s="18" t="str">
        <f t="shared" si="136"/>
        <v/>
      </c>
      <c r="AB587" s="18" t="str">
        <f t="shared" si="137"/>
        <v/>
      </c>
      <c r="AC587" s="18" t="str">
        <f>IF(OR(H587="",Z587=""),"",IFERROR(INDEX(لیست‌ها!$Q$3:$Q$53,MATCH(Z587,لیست‌ها!$P$3:$P$53,0))+IF(AA587&lt;=6,(AA587-1)*31+AB587,IF(AA587&lt;=11,186+(AA587-7)*30+AB587,336+AB587))-1,""))</f>
        <v/>
      </c>
      <c r="AD587" s="18" t="str">
        <f t="shared" si="138"/>
        <v/>
      </c>
      <c r="AE587" s="18" t="str">
        <f t="shared" si="139"/>
        <v/>
      </c>
      <c r="AF587" s="18" t="str">
        <f t="shared" si="140"/>
        <v/>
      </c>
      <c r="AG587" s="18" t="str">
        <f>IF(OR(O587="",AD587=""),"",IFERROR(INDEX(لیست‌ها!$Q$3:$Q$53,MATCH(AD587,لیست‌ها!$P$3:$P$53,0))+IF(AE587&lt;=6,(AE587-1)*31+AF587,IF(AE587&lt;=11,186+(AE587-7)*30+AF587,336+AF587))-1,""))</f>
        <v/>
      </c>
      <c r="AH587" s="18" t="str">
        <f t="shared" si="141"/>
        <v/>
      </c>
      <c r="AI587" s="18" t="str">
        <f t="shared" si="142"/>
        <v/>
      </c>
      <c r="AJ587" s="18" t="str">
        <f t="shared" ca="1" si="143"/>
        <v/>
      </c>
    </row>
    <row r="588" spans="1:36">
      <c r="A588" s="18" t="str">
        <f t="shared" si="129"/>
        <v/>
      </c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8" t="str">
        <f t="shared" ca="1" si="130"/>
        <v/>
      </c>
      <c r="U588" s="18">
        <f t="shared" ca="1" si="131"/>
        <v>0</v>
      </c>
      <c r="V588" s="18" t="str">
        <f t="shared" si="132"/>
        <v/>
      </c>
      <c r="W588" s="18" t="str">
        <f t="shared" si="133"/>
        <v/>
      </c>
      <c r="X588" s="18" t="str">
        <f t="shared" si="134"/>
        <v/>
      </c>
      <c r="Y588" s="18" t="str">
        <f>IF(OR(L588="",V588=""),"",IFERROR(INDEX(لیست‌ها!$Q$3:$Q$53,MATCH(V588,لیست‌ها!$P$3:$P$53,0))+IF(W588&lt;=6,(W588-1)*31+X588,IF(W588&lt;=11,186+(W588-7)*30+X588,336+X588))-1,""))</f>
        <v/>
      </c>
      <c r="Z588" s="18" t="str">
        <f t="shared" si="135"/>
        <v/>
      </c>
      <c r="AA588" s="18" t="str">
        <f t="shared" si="136"/>
        <v/>
      </c>
      <c r="AB588" s="18" t="str">
        <f t="shared" si="137"/>
        <v/>
      </c>
      <c r="AC588" s="18" t="str">
        <f>IF(OR(H588="",Z588=""),"",IFERROR(INDEX(لیست‌ها!$Q$3:$Q$53,MATCH(Z588,لیست‌ها!$P$3:$P$53,0))+IF(AA588&lt;=6,(AA588-1)*31+AB588,IF(AA588&lt;=11,186+(AA588-7)*30+AB588,336+AB588))-1,""))</f>
        <v/>
      </c>
      <c r="AD588" s="18" t="str">
        <f t="shared" si="138"/>
        <v/>
      </c>
      <c r="AE588" s="18" t="str">
        <f t="shared" si="139"/>
        <v/>
      </c>
      <c r="AF588" s="18" t="str">
        <f t="shared" si="140"/>
        <v/>
      </c>
      <c r="AG588" s="18" t="str">
        <f>IF(OR(O588="",AD588=""),"",IFERROR(INDEX(لیست‌ها!$Q$3:$Q$53,MATCH(AD588,لیست‌ها!$P$3:$P$53,0))+IF(AE588&lt;=6,(AE588-1)*31+AF588,IF(AE588&lt;=11,186+(AE588-7)*30+AF588,336+AF588))-1,""))</f>
        <v/>
      </c>
      <c r="AH588" s="18" t="str">
        <f t="shared" si="141"/>
        <v/>
      </c>
      <c r="AI588" s="18" t="str">
        <f t="shared" si="142"/>
        <v/>
      </c>
      <c r="AJ588" s="18" t="str">
        <f t="shared" ca="1" si="143"/>
        <v/>
      </c>
    </row>
    <row r="589" spans="1:36">
      <c r="A589" s="18" t="str">
        <f t="shared" si="129"/>
        <v/>
      </c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8" t="str">
        <f t="shared" ca="1" si="130"/>
        <v/>
      </c>
      <c r="U589" s="18">
        <f t="shared" ca="1" si="131"/>
        <v>0</v>
      </c>
      <c r="V589" s="18" t="str">
        <f t="shared" si="132"/>
        <v/>
      </c>
      <c r="W589" s="18" t="str">
        <f t="shared" si="133"/>
        <v/>
      </c>
      <c r="X589" s="18" t="str">
        <f t="shared" si="134"/>
        <v/>
      </c>
      <c r="Y589" s="18" t="str">
        <f>IF(OR(L589="",V589=""),"",IFERROR(INDEX(لیست‌ها!$Q$3:$Q$53,MATCH(V589,لیست‌ها!$P$3:$P$53,0))+IF(W589&lt;=6,(W589-1)*31+X589,IF(W589&lt;=11,186+(W589-7)*30+X589,336+X589))-1,""))</f>
        <v/>
      </c>
      <c r="Z589" s="18" t="str">
        <f t="shared" si="135"/>
        <v/>
      </c>
      <c r="AA589" s="18" t="str">
        <f t="shared" si="136"/>
        <v/>
      </c>
      <c r="AB589" s="18" t="str">
        <f t="shared" si="137"/>
        <v/>
      </c>
      <c r="AC589" s="18" t="str">
        <f>IF(OR(H589="",Z589=""),"",IFERROR(INDEX(لیست‌ها!$Q$3:$Q$53,MATCH(Z589,لیست‌ها!$P$3:$P$53,0))+IF(AA589&lt;=6,(AA589-1)*31+AB589,IF(AA589&lt;=11,186+(AA589-7)*30+AB589,336+AB589))-1,""))</f>
        <v/>
      </c>
      <c r="AD589" s="18" t="str">
        <f t="shared" si="138"/>
        <v/>
      </c>
      <c r="AE589" s="18" t="str">
        <f t="shared" si="139"/>
        <v/>
      </c>
      <c r="AF589" s="18" t="str">
        <f t="shared" si="140"/>
        <v/>
      </c>
      <c r="AG589" s="18" t="str">
        <f>IF(OR(O589="",AD589=""),"",IFERROR(INDEX(لیست‌ها!$Q$3:$Q$53,MATCH(AD589,لیست‌ها!$P$3:$P$53,0))+IF(AE589&lt;=6,(AE589-1)*31+AF589,IF(AE589&lt;=11,186+(AE589-7)*30+AF589,336+AF589))-1,""))</f>
        <v/>
      </c>
      <c r="AH589" s="18" t="str">
        <f t="shared" si="141"/>
        <v/>
      </c>
      <c r="AI589" s="18" t="str">
        <f t="shared" si="142"/>
        <v/>
      </c>
      <c r="AJ589" s="18" t="str">
        <f t="shared" ca="1" si="143"/>
        <v/>
      </c>
    </row>
    <row r="590" spans="1:36">
      <c r="A590" s="18" t="str">
        <f t="shared" si="129"/>
        <v/>
      </c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8" t="str">
        <f t="shared" ca="1" si="130"/>
        <v/>
      </c>
      <c r="U590" s="18">
        <f t="shared" ca="1" si="131"/>
        <v>0</v>
      </c>
      <c r="V590" s="18" t="str">
        <f t="shared" si="132"/>
        <v/>
      </c>
      <c r="W590" s="18" t="str">
        <f t="shared" si="133"/>
        <v/>
      </c>
      <c r="X590" s="18" t="str">
        <f t="shared" si="134"/>
        <v/>
      </c>
      <c r="Y590" s="18" t="str">
        <f>IF(OR(L590="",V590=""),"",IFERROR(INDEX(لیست‌ها!$Q$3:$Q$53,MATCH(V590,لیست‌ها!$P$3:$P$53,0))+IF(W590&lt;=6,(W590-1)*31+X590,IF(W590&lt;=11,186+(W590-7)*30+X590,336+X590))-1,""))</f>
        <v/>
      </c>
      <c r="Z590" s="18" t="str">
        <f t="shared" si="135"/>
        <v/>
      </c>
      <c r="AA590" s="18" t="str">
        <f t="shared" si="136"/>
        <v/>
      </c>
      <c r="AB590" s="18" t="str">
        <f t="shared" si="137"/>
        <v/>
      </c>
      <c r="AC590" s="18" t="str">
        <f>IF(OR(H590="",Z590=""),"",IFERROR(INDEX(لیست‌ها!$Q$3:$Q$53,MATCH(Z590,لیست‌ها!$P$3:$P$53,0))+IF(AA590&lt;=6,(AA590-1)*31+AB590,IF(AA590&lt;=11,186+(AA590-7)*30+AB590,336+AB590))-1,""))</f>
        <v/>
      </c>
      <c r="AD590" s="18" t="str">
        <f t="shared" si="138"/>
        <v/>
      </c>
      <c r="AE590" s="18" t="str">
        <f t="shared" si="139"/>
        <v/>
      </c>
      <c r="AF590" s="18" t="str">
        <f t="shared" si="140"/>
        <v/>
      </c>
      <c r="AG590" s="18" t="str">
        <f>IF(OR(O590="",AD590=""),"",IFERROR(INDEX(لیست‌ها!$Q$3:$Q$53,MATCH(AD590,لیست‌ها!$P$3:$P$53,0))+IF(AE590&lt;=6,(AE590-1)*31+AF590,IF(AE590&lt;=11,186+(AE590-7)*30+AF590,336+AF590))-1,""))</f>
        <v/>
      </c>
      <c r="AH590" s="18" t="str">
        <f t="shared" si="141"/>
        <v/>
      </c>
      <c r="AI590" s="18" t="str">
        <f t="shared" si="142"/>
        <v/>
      </c>
      <c r="AJ590" s="18" t="str">
        <f t="shared" ca="1" si="143"/>
        <v/>
      </c>
    </row>
    <row r="591" spans="1:36">
      <c r="A591" s="18" t="str">
        <f t="shared" si="129"/>
        <v/>
      </c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8" t="str">
        <f t="shared" ca="1" si="130"/>
        <v/>
      </c>
      <c r="U591" s="18">
        <f t="shared" ca="1" si="131"/>
        <v>0</v>
      </c>
      <c r="V591" s="18" t="str">
        <f t="shared" si="132"/>
        <v/>
      </c>
      <c r="W591" s="18" t="str">
        <f t="shared" si="133"/>
        <v/>
      </c>
      <c r="X591" s="18" t="str">
        <f t="shared" si="134"/>
        <v/>
      </c>
      <c r="Y591" s="18" t="str">
        <f>IF(OR(L591="",V591=""),"",IFERROR(INDEX(لیست‌ها!$Q$3:$Q$53,MATCH(V591,لیست‌ها!$P$3:$P$53,0))+IF(W591&lt;=6,(W591-1)*31+X591,IF(W591&lt;=11,186+(W591-7)*30+X591,336+X591))-1,""))</f>
        <v/>
      </c>
      <c r="Z591" s="18" t="str">
        <f t="shared" si="135"/>
        <v/>
      </c>
      <c r="AA591" s="18" t="str">
        <f t="shared" si="136"/>
        <v/>
      </c>
      <c r="AB591" s="18" t="str">
        <f t="shared" si="137"/>
        <v/>
      </c>
      <c r="AC591" s="18" t="str">
        <f>IF(OR(H591="",Z591=""),"",IFERROR(INDEX(لیست‌ها!$Q$3:$Q$53,MATCH(Z591,لیست‌ها!$P$3:$P$53,0))+IF(AA591&lt;=6,(AA591-1)*31+AB591,IF(AA591&lt;=11,186+(AA591-7)*30+AB591,336+AB591))-1,""))</f>
        <v/>
      </c>
      <c r="AD591" s="18" t="str">
        <f t="shared" si="138"/>
        <v/>
      </c>
      <c r="AE591" s="18" t="str">
        <f t="shared" si="139"/>
        <v/>
      </c>
      <c r="AF591" s="18" t="str">
        <f t="shared" si="140"/>
        <v/>
      </c>
      <c r="AG591" s="18" t="str">
        <f>IF(OR(O591="",AD591=""),"",IFERROR(INDEX(لیست‌ها!$Q$3:$Q$53,MATCH(AD591,لیست‌ها!$P$3:$P$53,0))+IF(AE591&lt;=6,(AE591-1)*31+AF591,IF(AE591&lt;=11,186+(AE591-7)*30+AF591,336+AF591))-1,""))</f>
        <v/>
      </c>
      <c r="AH591" s="18" t="str">
        <f t="shared" si="141"/>
        <v/>
      </c>
      <c r="AI591" s="18" t="str">
        <f t="shared" si="142"/>
        <v/>
      </c>
      <c r="AJ591" s="18" t="str">
        <f t="shared" ca="1" si="143"/>
        <v/>
      </c>
    </row>
    <row r="592" spans="1:36">
      <c r="A592" s="18" t="str">
        <f t="shared" si="129"/>
        <v/>
      </c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8" t="str">
        <f t="shared" ca="1" si="130"/>
        <v/>
      </c>
      <c r="U592" s="18">
        <f t="shared" ca="1" si="131"/>
        <v>0</v>
      </c>
      <c r="V592" s="18" t="str">
        <f t="shared" si="132"/>
        <v/>
      </c>
      <c r="W592" s="18" t="str">
        <f t="shared" si="133"/>
        <v/>
      </c>
      <c r="X592" s="18" t="str">
        <f t="shared" si="134"/>
        <v/>
      </c>
      <c r="Y592" s="18" t="str">
        <f>IF(OR(L592="",V592=""),"",IFERROR(INDEX(لیست‌ها!$Q$3:$Q$53,MATCH(V592,لیست‌ها!$P$3:$P$53,0))+IF(W592&lt;=6,(W592-1)*31+X592,IF(W592&lt;=11,186+(W592-7)*30+X592,336+X592))-1,""))</f>
        <v/>
      </c>
      <c r="Z592" s="18" t="str">
        <f t="shared" si="135"/>
        <v/>
      </c>
      <c r="AA592" s="18" t="str">
        <f t="shared" si="136"/>
        <v/>
      </c>
      <c r="AB592" s="18" t="str">
        <f t="shared" si="137"/>
        <v/>
      </c>
      <c r="AC592" s="18" t="str">
        <f>IF(OR(H592="",Z592=""),"",IFERROR(INDEX(لیست‌ها!$Q$3:$Q$53,MATCH(Z592,لیست‌ها!$P$3:$P$53,0))+IF(AA592&lt;=6,(AA592-1)*31+AB592,IF(AA592&lt;=11,186+(AA592-7)*30+AB592,336+AB592))-1,""))</f>
        <v/>
      </c>
      <c r="AD592" s="18" t="str">
        <f t="shared" si="138"/>
        <v/>
      </c>
      <c r="AE592" s="18" t="str">
        <f t="shared" si="139"/>
        <v/>
      </c>
      <c r="AF592" s="18" t="str">
        <f t="shared" si="140"/>
        <v/>
      </c>
      <c r="AG592" s="18" t="str">
        <f>IF(OR(O592="",AD592=""),"",IFERROR(INDEX(لیست‌ها!$Q$3:$Q$53,MATCH(AD592,لیست‌ها!$P$3:$P$53,0))+IF(AE592&lt;=6,(AE592-1)*31+AF592,IF(AE592&lt;=11,186+(AE592-7)*30+AF592,336+AF592))-1,""))</f>
        <v/>
      </c>
      <c r="AH592" s="18" t="str">
        <f t="shared" si="141"/>
        <v/>
      </c>
      <c r="AI592" s="18" t="str">
        <f t="shared" si="142"/>
        <v/>
      </c>
      <c r="AJ592" s="18" t="str">
        <f t="shared" ca="1" si="143"/>
        <v/>
      </c>
    </row>
    <row r="593" spans="1:36">
      <c r="A593" s="18" t="str">
        <f t="shared" si="129"/>
        <v/>
      </c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8" t="str">
        <f t="shared" ca="1" si="130"/>
        <v/>
      </c>
      <c r="U593" s="18">
        <f t="shared" ca="1" si="131"/>
        <v>0</v>
      </c>
      <c r="V593" s="18" t="str">
        <f t="shared" si="132"/>
        <v/>
      </c>
      <c r="W593" s="18" t="str">
        <f t="shared" si="133"/>
        <v/>
      </c>
      <c r="X593" s="18" t="str">
        <f t="shared" si="134"/>
        <v/>
      </c>
      <c r="Y593" s="18" t="str">
        <f>IF(OR(L593="",V593=""),"",IFERROR(INDEX(لیست‌ها!$Q$3:$Q$53,MATCH(V593,لیست‌ها!$P$3:$P$53,0))+IF(W593&lt;=6,(W593-1)*31+X593,IF(W593&lt;=11,186+(W593-7)*30+X593,336+X593))-1,""))</f>
        <v/>
      </c>
      <c r="Z593" s="18" t="str">
        <f t="shared" si="135"/>
        <v/>
      </c>
      <c r="AA593" s="18" t="str">
        <f t="shared" si="136"/>
        <v/>
      </c>
      <c r="AB593" s="18" t="str">
        <f t="shared" si="137"/>
        <v/>
      </c>
      <c r="AC593" s="18" t="str">
        <f>IF(OR(H593="",Z593=""),"",IFERROR(INDEX(لیست‌ها!$Q$3:$Q$53,MATCH(Z593,لیست‌ها!$P$3:$P$53,0))+IF(AA593&lt;=6,(AA593-1)*31+AB593,IF(AA593&lt;=11,186+(AA593-7)*30+AB593,336+AB593))-1,""))</f>
        <v/>
      </c>
      <c r="AD593" s="18" t="str">
        <f t="shared" si="138"/>
        <v/>
      </c>
      <c r="AE593" s="18" t="str">
        <f t="shared" si="139"/>
        <v/>
      </c>
      <c r="AF593" s="18" t="str">
        <f t="shared" si="140"/>
        <v/>
      </c>
      <c r="AG593" s="18" t="str">
        <f>IF(OR(O593="",AD593=""),"",IFERROR(INDEX(لیست‌ها!$Q$3:$Q$53,MATCH(AD593,لیست‌ها!$P$3:$P$53,0))+IF(AE593&lt;=6,(AE593-1)*31+AF593,IF(AE593&lt;=11,186+(AE593-7)*30+AF593,336+AF593))-1,""))</f>
        <v/>
      </c>
      <c r="AH593" s="18" t="str">
        <f t="shared" si="141"/>
        <v/>
      </c>
      <c r="AI593" s="18" t="str">
        <f t="shared" si="142"/>
        <v/>
      </c>
      <c r="AJ593" s="18" t="str">
        <f t="shared" ca="1" si="143"/>
        <v/>
      </c>
    </row>
    <row r="594" spans="1:36">
      <c r="A594" s="18" t="str">
        <f t="shared" si="129"/>
        <v/>
      </c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8" t="str">
        <f t="shared" ca="1" si="130"/>
        <v/>
      </c>
      <c r="U594" s="18">
        <f t="shared" ca="1" si="131"/>
        <v>0</v>
      </c>
      <c r="V594" s="18" t="str">
        <f t="shared" si="132"/>
        <v/>
      </c>
      <c r="W594" s="18" t="str">
        <f t="shared" si="133"/>
        <v/>
      </c>
      <c r="X594" s="18" t="str">
        <f t="shared" si="134"/>
        <v/>
      </c>
      <c r="Y594" s="18" t="str">
        <f>IF(OR(L594="",V594=""),"",IFERROR(INDEX(لیست‌ها!$Q$3:$Q$53,MATCH(V594,لیست‌ها!$P$3:$P$53,0))+IF(W594&lt;=6,(W594-1)*31+X594,IF(W594&lt;=11,186+(W594-7)*30+X594,336+X594))-1,""))</f>
        <v/>
      </c>
      <c r="Z594" s="18" t="str">
        <f t="shared" si="135"/>
        <v/>
      </c>
      <c r="AA594" s="18" t="str">
        <f t="shared" si="136"/>
        <v/>
      </c>
      <c r="AB594" s="18" t="str">
        <f t="shared" si="137"/>
        <v/>
      </c>
      <c r="AC594" s="18" t="str">
        <f>IF(OR(H594="",Z594=""),"",IFERROR(INDEX(لیست‌ها!$Q$3:$Q$53,MATCH(Z594,لیست‌ها!$P$3:$P$53,0))+IF(AA594&lt;=6,(AA594-1)*31+AB594,IF(AA594&lt;=11,186+(AA594-7)*30+AB594,336+AB594))-1,""))</f>
        <v/>
      </c>
      <c r="AD594" s="18" t="str">
        <f t="shared" si="138"/>
        <v/>
      </c>
      <c r="AE594" s="18" t="str">
        <f t="shared" si="139"/>
        <v/>
      </c>
      <c r="AF594" s="18" t="str">
        <f t="shared" si="140"/>
        <v/>
      </c>
      <c r="AG594" s="18" t="str">
        <f>IF(OR(O594="",AD594=""),"",IFERROR(INDEX(لیست‌ها!$Q$3:$Q$53,MATCH(AD594,لیست‌ها!$P$3:$P$53,0))+IF(AE594&lt;=6,(AE594-1)*31+AF594,IF(AE594&lt;=11,186+(AE594-7)*30+AF594,336+AF594))-1,""))</f>
        <v/>
      </c>
      <c r="AH594" s="18" t="str">
        <f t="shared" si="141"/>
        <v/>
      </c>
      <c r="AI594" s="18" t="str">
        <f t="shared" si="142"/>
        <v/>
      </c>
      <c r="AJ594" s="18" t="str">
        <f t="shared" ca="1" si="143"/>
        <v/>
      </c>
    </row>
    <row r="595" spans="1:36">
      <c r="A595" s="18" t="str">
        <f t="shared" si="129"/>
        <v/>
      </c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8" t="str">
        <f t="shared" ca="1" si="130"/>
        <v/>
      </c>
      <c r="U595" s="18">
        <f t="shared" ca="1" si="131"/>
        <v>0</v>
      </c>
      <c r="V595" s="18" t="str">
        <f t="shared" si="132"/>
        <v/>
      </c>
      <c r="W595" s="18" t="str">
        <f t="shared" si="133"/>
        <v/>
      </c>
      <c r="X595" s="18" t="str">
        <f t="shared" si="134"/>
        <v/>
      </c>
      <c r="Y595" s="18" t="str">
        <f>IF(OR(L595="",V595=""),"",IFERROR(INDEX(لیست‌ها!$Q$3:$Q$53,MATCH(V595,لیست‌ها!$P$3:$P$53,0))+IF(W595&lt;=6,(W595-1)*31+X595,IF(W595&lt;=11,186+(W595-7)*30+X595,336+X595))-1,""))</f>
        <v/>
      </c>
      <c r="Z595" s="18" t="str">
        <f t="shared" si="135"/>
        <v/>
      </c>
      <c r="AA595" s="18" t="str">
        <f t="shared" si="136"/>
        <v/>
      </c>
      <c r="AB595" s="18" t="str">
        <f t="shared" si="137"/>
        <v/>
      </c>
      <c r="AC595" s="18" t="str">
        <f>IF(OR(H595="",Z595=""),"",IFERROR(INDEX(لیست‌ها!$Q$3:$Q$53,MATCH(Z595,لیست‌ها!$P$3:$P$53,0))+IF(AA595&lt;=6,(AA595-1)*31+AB595,IF(AA595&lt;=11,186+(AA595-7)*30+AB595,336+AB595))-1,""))</f>
        <v/>
      </c>
      <c r="AD595" s="18" t="str">
        <f t="shared" si="138"/>
        <v/>
      </c>
      <c r="AE595" s="18" t="str">
        <f t="shared" si="139"/>
        <v/>
      </c>
      <c r="AF595" s="18" t="str">
        <f t="shared" si="140"/>
        <v/>
      </c>
      <c r="AG595" s="18" t="str">
        <f>IF(OR(O595="",AD595=""),"",IFERROR(INDEX(لیست‌ها!$Q$3:$Q$53,MATCH(AD595,لیست‌ها!$P$3:$P$53,0))+IF(AE595&lt;=6,(AE595-1)*31+AF595,IF(AE595&lt;=11,186+(AE595-7)*30+AF595,336+AF595))-1,""))</f>
        <v/>
      </c>
      <c r="AH595" s="18" t="str">
        <f t="shared" si="141"/>
        <v/>
      </c>
      <c r="AI595" s="18" t="str">
        <f t="shared" si="142"/>
        <v/>
      </c>
      <c r="AJ595" s="18" t="str">
        <f t="shared" ca="1" si="143"/>
        <v/>
      </c>
    </row>
    <row r="596" spans="1:36">
      <c r="A596" s="18" t="str">
        <f t="shared" si="129"/>
        <v/>
      </c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8" t="str">
        <f t="shared" ca="1" si="130"/>
        <v/>
      </c>
      <c r="U596" s="18">
        <f t="shared" ca="1" si="131"/>
        <v>0</v>
      </c>
      <c r="V596" s="18" t="str">
        <f t="shared" si="132"/>
        <v/>
      </c>
      <c r="W596" s="18" t="str">
        <f t="shared" si="133"/>
        <v/>
      </c>
      <c r="X596" s="18" t="str">
        <f t="shared" si="134"/>
        <v/>
      </c>
      <c r="Y596" s="18" t="str">
        <f>IF(OR(L596="",V596=""),"",IFERROR(INDEX(لیست‌ها!$Q$3:$Q$53,MATCH(V596,لیست‌ها!$P$3:$P$53,0))+IF(W596&lt;=6,(W596-1)*31+X596,IF(W596&lt;=11,186+(W596-7)*30+X596,336+X596))-1,""))</f>
        <v/>
      </c>
      <c r="Z596" s="18" t="str">
        <f t="shared" si="135"/>
        <v/>
      </c>
      <c r="AA596" s="18" t="str">
        <f t="shared" si="136"/>
        <v/>
      </c>
      <c r="AB596" s="18" t="str">
        <f t="shared" si="137"/>
        <v/>
      </c>
      <c r="AC596" s="18" t="str">
        <f>IF(OR(H596="",Z596=""),"",IFERROR(INDEX(لیست‌ها!$Q$3:$Q$53,MATCH(Z596,لیست‌ها!$P$3:$P$53,0))+IF(AA596&lt;=6,(AA596-1)*31+AB596,IF(AA596&lt;=11,186+(AA596-7)*30+AB596,336+AB596))-1,""))</f>
        <v/>
      </c>
      <c r="AD596" s="18" t="str">
        <f t="shared" si="138"/>
        <v/>
      </c>
      <c r="AE596" s="18" t="str">
        <f t="shared" si="139"/>
        <v/>
      </c>
      <c r="AF596" s="18" t="str">
        <f t="shared" si="140"/>
        <v/>
      </c>
      <c r="AG596" s="18" t="str">
        <f>IF(OR(O596="",AD596=""),"",IFERROR(INDEX(لیست‌ها!$Q$3:$Q$53,MATCH(AD596,لیست‌ها!$P$3:$P$53,0))+IF(AE596&lt;=6,(AE596-1)*31+AF596,IF(AE596&lt;=11,186+(AE596-7)*30+AF596,336+AF596))-1,""))</f>
        <v/>
      </c>
      <c r="AH596" s="18" t="str">
        <f t="shared" si="141"/>
        <v/>
      </c>
      <c r="AI596" s="18" t="str">
        <f t="shared" si="142"/>
        <v/>
      </c>
      <c r="AJ596" s="18" t="str">
        <f t="shared" ca="1" si="143"/>
        <v/>
      </c>
    </row>
    <row r="597" spans="1:36">
      <c r="A597" s="18" t="str">
        <f t="shared" si="129"/>
        <v/>
      </c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8" t="str">
        <f t="shared" ca="1" si="130"/>
        <v/>
      </c>
      <c r="U597" s="18">
        <f t="shared" ca="1" si="131"/>
        <v>0</v>
      </c>
      <c r="V597" s="18" t="str">
        <f t="shared" si="132"/>
        <v/>
      </c>
      <c r="W597" s="18" t="str">
        <f t="shared" si="133"/>
        <v/>
      </c>
      <c r="X597" s="18" t="str">
        <f t="shared" si="134"/>
        <v/>
      </c>
      <c r="Y597" s="18" t="str">
        <f>IF(OR(L597="",V597=""),"",IFERROR(INDEX(لیست‌ها!$Q$3:$Q$53,MATCH(V597,لیست‌ها!$P$3:$P$53,0))+IF(W597&lt;=6,(W597-1)*31+X597,IF(W597&lt;=11,186+(W597-7)*30+X597,336+X597))-1,""))</f>
        <v/>
      </c>
      <c r="Z597" s="18" t="str">
        <f t="shared" si="135"/>
        <v/>
      </c>
      <c r="AA597" s="18" t="str">
        <f t="shared" si="136"/>
        <v/>
      </c>
      <c r="AB597" s="18" t="str">
        <f t="shared" si="137"/>
        <v/>
      </c>
      <c r="AC597" s="18" t="str">
        <f>IF(OR(H597="",Z597=""),"",IFERROR(INDEX(لیست‌ها!$Q$3:$Q$53,MATCH(Z597,لیست‌ها!$P$3:$P$53,0))+IF(AA597&lt;=6,(AA597-1)*31+AB597,IF(AA597&lt;=11,186+(AA597-7)*30+AB597,336+AB597))-1,""))</f>
        <v/>
      </c>
      <c r="AD597" s="18" t="str">
        <f t="shared" si="138"/>
        <v/>
      </c>
      <c r="AE597" s="18" t="str">
        <f t="shared" si="139"/>
        <v/>
      </c>
      <c r="AF597" s="18" t="str">
        <f t="shared" si="140"/>
        <v/>
      </c>
      <c r="AG597" s="18" t="str">
        <f>IF(OR(O597="",AD597=""),"",IFERROR(INDEX(لیست‌ها!$Q$3:$Q$53,MATCH(AD597,لیست‌ها!$P$3:$P$53,0))+IF(AE597&lt;=6,(AE597-1)*31+AF597,IF(AE597&lt;=11,186+(AE597-7)*30+AF597,336+AF597))-1,""))</f>
        <v/>
      </c>
      <c r="AH597" s="18" t="str">
        <f t="shared" si="141"/>
        <v/>
      </c>
      <c r="AI597" s="18" t="str">
        <f t="shared" si="142"/>
        <v/>
      </c>
      <c r="AJ597" s="18" t="str">
        <f t="shared" ca="1" si="143"/>
        <v/>
      </c>
    </row>
    <row r="598" spans="1:36">
      <c r="A598" s="18" t="str">
        <f t="shared" si="129"/>
        <v/>
      </c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8" t="str">
        <f t="shared" ca="1" si="130"/>
        <v/>
      </c>
      <c r="U598" s="18">
        <f t="shared" ca="1" si="131"/>
        <v>0</v>
      </c>
      <c r="V598" s="18" t="str">
        <f t="shared" si="132"/>
        <v/>
      </c>
      <c r="W598" s="18" t="str">
        <f t="shared" si="133"/>
        <v/>
      </c>
      <c r="X598" s="18" t="str">
        <f t="shared" si="134"/>
        <v/>
      </c>
      <c r="Y598" s="18" t="str">
        <f>IF(OR(L598="",V598=""),"",IFERROR(INDEX(لیست‌ها!$Q$3:$Q$53,MATCH(V598,لیست‌ها!$P$3:$P$53,0))+IF(W598&lt;=6,(W598-1)*31+X598,IF(W598&lt;=11,186+(W598-7)*30+X598,336+X598))-1,""))</f>
        <v/>
      </c>
      <c r="Z598" s="18" t="str">
        <f t="shared" si="135"/>
        <v/>
      </c>
      <c r="AA598" s="18" t="str">
        <f t="shared" si="136"/>
        <v/>
      </c>
      <c r="AB598" s="18" t="str">
        <f t="shared" si="137"/>
        <v/>
      </c>
      <c r="AC598" s="18" t="str">
        <f>IF(OR(H598="",Z598=""),"",IFERROR(INDEX(لیست‌ها!$Q$3:$Q$53,MATCH(Z598,لیست‌ها!$P$3:$P$53,0))+IF(AA598&lt;=6,(AA598-1)*31+AB598,IF(AA598&lt;=11,186+(AA598-7)*30+AB598,336+AB598))-1,""))</f>
        <v/>
      </c>
      <c r="AD598" s="18" t="str">
        <f t="shared" si="138"/>
        <v/>
      </c>
      <c r="AE598" s="18" t="str">
        <f t="shared" si="139"/>
        <v/>
      </c>
      <c r="AF598" s="18" t="str">
        <f t="shared" si="140"/>
        <v/>
      </c>
      <c r="AG598" s="18" t="str">
        <f>IF(OR(O598="",AD598=""),"",IFERROR(INDEX(لیست‌ها!$Q$3:$Q$53,MATCH(AD598,لیست‌ها!$P$3:$P$53,0))+IF(AE598&lt;=6,(AE598-1)*31+AF598,IF(AE598&lt;=11,186+(AE598-7)*30+AF598,336+AF598))-1,""))</f>
        <v/>
      </c>
      <c r="AH598" s="18" t="str">
        <f t="shared" si="141"/>
        <v/>
      </c>
      <c r="AI598" s="18" t="str">
        <f t="shared" si="142"/>
        <v/>
      </c>
      <c r="AJ598" s="18" t="str">
        <f t="shared" ca="1" si="143"/>
        <v/>
      </c>
    </row>
    <row r="599" spans="1:36">
      <c r="A599" s="18" t="str">
        <f t="shared" si="129"/>
        <v/>
      </c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8" t="str">
        <f t="shared" ca="1" si="130"/>
        <v/>
      </c>
      <c r="U599" s="18">
        <f t="shared" ca="1" si="131"/>
        <v>0</v>
      </c>
      <c r="V599" s="18" t="str">
        <f t="shared" si="132"/>
        <v/>
      </c>
      <c r="W599" s="18" t="str">
        <f t="shared" si="133"/>
        <v/>
      </c>
      <c r="X599" s="18" t="str">
        <f t="shared" si="134"/>
        <v/>
      </c>
      <c r="Y599" s="18" t="str">
        <f>IF(OR(L599="",V599=""),"",IFERROR(INDEX(لیست‌ها!$Q$3:$Q$53,MATCH(V599,لیست‌ها!$P$3:$P$53,0))+IF(W599&lt;=6,(W599-1)*31+X599,IF(W599&lt;=11,186+(W599-7)*30+X599,336+X599))-1,""))</f>
        <v/>
      </c>
      <c r="Z599" s="18" t="str">
        <f t="shared" si="135"/>
        <v/>
      </c>
      <c r="AA599" s="18" t="str">
        <f t="shared" si="136"/>
        <v/>
      </c>
      <c r="AB599" s="18" t="str">
        <f t="shared" si="137"/>
        <v/>
      </c>
      <c r="AC599" s="18" t="str">
        <f>IF(OR(H599="",Z599=""),"",IFERROR(INDEX(لیست‌ها!$Q$3:$Q$53,MATCH(Z599,لیست‌ها!$P$3:$P$53,0))+IF(AA599&lt;=6,(AA599-1)*31+AB599,IF(AA599&lt;=11,186+(AA599-7)*30+AB599,336+AB599))-1,""))</f>
        <v/>
      </c>
      <c r="AD599" s="18" t="str">
        <f t="shared" si="138"/>
        <v/>
      </c>
      <c r="AE599" s="18" t="str">
        <f t="shared" si="139"/>
        <v/>
      </c>
      <c r="AF599" s="18" t="str">
        <f t="shared" si="140"/>
        <v/>
      </c>
      <c r="AG599" s="18" t="str">
        <f>IF(OR(O599="",AD599=""),"",IFERROR(INDEX(لیست‌ها!$Q$3:$Q$53,MATCH(AD599,لیست‌ها!$P$3:$P$53,0))+IF(AE599&lt;=6,(AE599-1)*31+AF599,IF(AE599&lt;=11,186+(AE599-7)*30+AF599,336+AF599))-1,""))</f>
        <v/>
      </c>
      <c r="AH599" s="18" t="str">
        <f t="shared" si="141"/>
        <v/>
      </c>
      <c r="AI599" s="18" t="str">
        <f t="shared" si="142"/>
        <v/>
      </c>
      <c r="AJ599" s="18" t="str">
        <f t="shared" ca="1" si="143"/>
        <v/>
      </c>
    </row>
    <row r="600" spans="1:36">
      <c r="A600" s="18" t="str">
        <f t="shared" si="129"/>
        <v/>
      </c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8" t="str">
        <f t="shared" ca="1" si="130"/>
        <v/>
      </c>
      <c r="U600" s="18">
        <f t="shared" ca="1" si="131"/>
        <v>0</v>
      </c>
      <c r="V600" s="18" t="str">
        <f t="shared" si="132"/>
        <v/>
      </c>
      <c r="W600" s="18" t="str">
        <f t="shared" si="133"/>
        <v/>
      </c>
      <c r="X600" s="18" t="str">
        <f t="shared" si="134"/>
        <v/>
      </c>
      <c r="Y600" s="18" t="str">
        <f>IF(OR(L600="",V600=""),"",IFERROR(INDEX(لیست‌ها!$Q$3:$Q$53,MATCH(V600,لیست‌ها!$P$3:$P$53,0))+IF(W600&lt;=6,(W600-1)*31+X600,IF(W600&lt;=11,186+(W600-7)*30+X600,336+X600))-1,""))</f>
        <v/>
      </c>
      <c r="Z600" s="18" t="str">
        <f t="shared" si="135"/>
        <v/>
      </c>
      <c r="AA600" s="18" t="str">
        <f t="shared" si="136"/>
        <v/>
      </c>
      <c r="AB600" s="18" t="str">
        <f t="shared" si="137"/>
        <v/>
      </c>
      <c r="AC600" s="18" t="str">
        <f>IF(OR(H600="",Z600=""),"",IFERROR(INDEX(لیست‌ها!$Q$3:$Q$53,MATCH(Z600,لیست‌ها!$P$3:$P$53,0))+IF(AA600&lt;=6,(AA600-1)*31+AB600,IF(AA600&lt;=11,186+(AA600-7)*30+AB600,336+AB600))-1,""))</f>
        <v/>
      </c>
      <c r="AD600" s="18" t="str">
        <f t="shared" si="138"/>
        <v/>
      </c>
      <c r="AE600" s="18" t="str">
        <f t="shared" si="139"/>
        <v/>
      </c>
      <c r="AF600" s="18" t="str">
        <f t="shared" si="140"/>
        <v/>
      </c>
      <c r="AG600" s="18" t="str">
        <f>IF(OR(O600="",AD600=""),"",IFERROR(INDEX(لیست‌ها!$Q$3:$Q$53,MATCH(AD600,لیست‌ها!$P$3:$P$53,0))+IF(AE600&lt;=6,(AE600-1)*31+AF600,IF(AE600&lt;=11,186+(AE600-7)*30+AF600,336+AF600))-1,""))</f>
        <v/>
      </c>
      <c r="AH600" s="18" t="str">
        <f t="shared" si="141"/>
        <v/>
      </c>
      <c r="AI600" s="18" t="str">
        <f t="shared" si="142"/>
        <v/>
      </c>
      <c r="AJ600" s="18" t="str">
        <f t="shared" ca="1" si="143"/>
        <v/>
      </c>
    </row>
    <row r="601" spans="1:36">
      <c r="A601" s="18" t="str">
        <f t="shared" si="129"/>
        <v/>
      </c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8" t="str">
        <f t="shared" ca="1" si="130"/>
        <v/>
      </c>
      <c r="U601" s="18">
        <f t="shared" ca="1" si="131"/>
        <v>0</v>
      </c>
      <c r="V601" s="18" t="str">
        <f t="shared" si="132"/>
        <v/>
      </c>
      <c r="W601" s="18" t="str">
        <f t="shared" si="133"/>
        <v/>
      </c>
      <c r="X601" s="18" t="str">
        <f t="shared" si="134"/>
        <v/>
      </c>
      <c r="Y601" s="18" t="str">
        <f>IF(OR(L601="",V601=""),"",IFERROR(INDEX(لیست‌ها!$Q$3:$Q$53,MATCH(V601,لیست‌ها!$P$3:$P$53,0))+IF(W601&lt;=6,(W601-1)*31+X601,IF(W601&lt;=11,186+(W601-7)*30+X601,336+X601))-1,""))</f>
        <v/>
      </c>
      <c r="Z601" s="18" t="str">
        <f t="shared" si="135"/>
        <v/>
      </c>
      <c r="AA601" s="18" t="str">
        <f t="shared" si="136"/>
        <v/>
      </c>
      <c r="AB601" s="18" t="str">
        <f t="shared" si="137"/>
        <v/>
      </c>
      <c r="AC601" s="18" t="str">
        <f>IF(OR(H601="",Z601=""),"",IFERROR(INDEX(لیست‌ها!$Q$3:$Q$53,MATCH(Z601,لیست‌ها!$P$3:$P$53,0))+IF(AA601&lt;=6,(AA601-1)*31+AB601,IF(AA601&lt;=11,186+(AA601-7)*30+AB601,336+AB601))-1,""))</f>
        <v/>
      </c>
      <c r="AD601" s="18" t="str">
        <f t="shared" si="138"/>
        <v/>
      </c>
      <c r="AE601" s="18" t="str">
        <f t="shared" si="139"/>
        <v/>
      </c>
      <c r="AF601" s="18" t="str">
        <f t="shared" si="140"/>
        <v/>
      </c>
      <c r="AG601" s="18" t="str">
        <f>IF(OR(O601="",AD601=""),"",IFERROR(INDEX(لیست‌ها!$Q$3:$Q$53,MATCH(AD601,لیست‌ها!$P$3:$P$53,0))+IF(AE601&lt;=6,(AE601-1)*31+AF601,IF(AE601&lt;=11,186+(AE601-7)*30+AF601,336+AF601))-1,""))</f>
        <v/>
      </c>
      <c r="AH601" s="18" t="str">
        <f t="shared" si="141"/>
        <v/>
      </c>
      <c r="AI601" s="18" t="str">
        <f t="shared" si="142"/>
        <v/>
      </c>
      <c r="AJ601" s="18" t="str">
        <f t="shared" ca="1" si="143"/>
        <v/>
      </c>
    </row>
    <row r="602" spans="1:36">
      <c r="A602" s="18" t="str">
        <f t="shared" si="129"/>
        <v/>
      </c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8" t="str">
        <f t="shared" ca="1" si="130"/>
        <v/>
      </c>
      <c r="U602" s="18">
        <f t="shared" ca="1" si="131"/>
        <v>0</v>
      </c>
      <c r="V602" s="18" t="str">
        <f t="shared" si="132"/>
        <v/>
      </c>
      <c r="W602" s="18" t="str">
        <f t="shared" si="133"/>
        <v/>
      </c>
      <c r="X602" s="18" t="str">
        <f t="shared" si="134"/>
        <v/>
      </c>
      <c r="Y602" s="18" t="str">
        <f>IF(OR(L602="",V602=""),"",IFERROR(INDEX(لیست‌ها!$Q$3:$Q$53,MATCH(V602,لیست‌ها!$P$3:$P$53,0))+IF(W602&lt;=6,(W602-1)*31+X602,IF(W602&lt;=11,186+(W602-7)*30+X602,336+X602))-1,""))</f>
        <v/>
      </c>
      <c r="Z602" s="18" t="str">
        <f t="shared" si="135"/>
        <v/>
      </c>
      <c r="AA602" s="18" t="str">
        <f t="shared" si="136"/>
        <v/>
      </c>
      <c r="AB602" s="18" t="str">
        <f t="shared" si="137"/>
        <v/>
      </c>
      <c r="AC602" s="18" t="str">
        <f>IF(OR(H602="",Z602=""),"",IFERROR(INDEX(لیست‌ها!$Q$3:$Q$53,MATCH(Z602,لیست‌ها!$P$3:$P$53,0))+IF(AA602&lt;=6,(AA602-1)*31+AB602,IF(AA602&lt;=11,186+(AA602-7)*30+AB602,336+AB602))-1,""))</f>
        <v/>
      </c>
      <c r="AD602" s="18" t="str">
        <f t="shared" si="138"/>
        <v/>
      </c>
      <c r="AE602" s="18" t="str">
        <f t="shared" si="139"/>
        <v/>
      </c>
      <c r="AF602" s="18" t="str">
        <f t="shared" si="140"/>
        <v/>
      </c>
      <c r="AG602" s="18" t="str">
        <f>IF(OR(O602="",AD602=""),"",IFERROR(INDEX(لیست‌ها!$Q$3:$Q$53,MATCH(AD602,لیست‌ها!$P$3:$P$53,0))+IF(AE602&lt;=6,(AE602-1)*31+AF602,IF(AE602&lt;=11,186+(AE602-7)*30+AF602,336+AF602))-1,""))</f>
        <v/>
      </c>
      <c r="AH602" s="18" t="str">
        <f t="shared" si="141"/>
        <v/>
      </c>
      <c r="AI602" s="18" t="str">
        <f t="shared" si="142"/>
        <v/>
      </c>
      <c r="AJ602" s="18" t="str">
        <f t="shared" ca="1" si="143"/>
        <v/>
      </c>
    </row>
    <row r="603" spans="1:36">
      <c r="A603" s="18" t="str">
        <f t="shared" si="129"/>
        <v/>
      </c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8" t="str">
        <f t="shared" ca="1" si="130"/>
        <v/>
      </c>
      <c r="U603" s="18">
        <f t="shared" ca="1" si="131"/>
        <v>0</v>
      </c>
      <c r="V603" s="18" t="str">
        <f t="shared" si="132"/>
        <v/>
      </c>
      <c r="W603" s="18" t="str">
        <f t="shared" si="133"/>
        <v/>
      </c>
      <c r="X603" s="18" t="str">
        <f t="shared" si="134"/>
        <v/>
      </c>
      <c r="Y603" s="18" t="str">
        <f>IF(OR(L603="",V603=""),"",IFERROR(INDEX(لیست‌ها!$Q$3:$Q$53,MATCH(V603,لیست‌ها!$P$3:$P$53,0))+IF(W603&lt;=6,(W603-1)*31+X603,IF(W603&lt;=11,186+(W603-7)*30+X603,336+X603))-1,""))</f>
        <v/>
      </c>
      <c r="Z603" s="18" t="str">
        <f t="shared" si="135"/>
        <v/>
      </c>
      <c r="AA603" s="18" t="str">
        <f t="shared" si="136"/>
        <v/>
      </c>
      <c r="AB603" s="18" t="str">
        <f t="shared" si="137"/>
        <v/>
      </c>
      <c r="AC603" s="18" t="str">
        <f>IF(OR(H603="",Z603=""),"",IFERROR(INDEX(لیست‌ها!$Q$3:$Q$53,MATCH(Z603,لیست‌ها!$P$3:$P$53,0))+IF(AA603&lt;=6,(AA603-1)*31+AB603,IF(AA603&lt;=11,186+(AA603-7)*30+AB603,336+AB603))-1,""))</f>
        <v/>
      </c>
      <c r="AD603" s="18" t="str">
        <f t="shared" si="138"/>
        <v/>
      </c>
      <c r="AE603" s="18" t="str">
        <f t="shared" si="139"/>
        <v/>
      </c>
      <c r="AF603" s="18" t="str">
        <f t="shared" si="140"/>
        <v/>
      </c>
      <c r="AG603" s="18" t="str">
        <f>IF(OR(O603="",AD603=""),"",IFERROR(INDEX(لیست‌ها!$Q$3:$Q$53,MATCH(AD603,لیست‌ها!$P$3:$P$53,0))+IF(AE603&lt;=6,(AE603-1)*31+AF603,IF(AE603&lt;=11,186+(AE603-7)*30+AF603,336+AF603))-1,""))</f>
        <v/>
      </c>
      <c r="AH603" s="18" t="str">
        <f t="shared" si="141"/>
        <v/>
      </c>
      <c r="AI603" s="18" t="str">
        <f t="shared" si="142"/>
        <v/>
      </c>
      <c r="AJ603" s="18" t="str">
        <f t="shared" ca="1" si="143"/>
        <v/>
      </c>
    </row>
    <row r="604" spans="1:36">
      <c r="A604" s="18" t="str">
        <f t="shared" si="129"/>
        <v/>
      </c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8" t="str">
        <f t="shared" ca="1" si="130"/>
        <v/>
      </c>
      <c r="U604" s="18">
        <f t="shared" ca="1" si="131"/>
        <v>0</v>
      </c>
      <c r="V604" s="18" t="str">
        <f t="shared" si="132"/>
        <v/>
      </c>
      <c r="W604" s="18" t="str">
        <f t="shared" si="133"/>
        <v/>
      </c>
      <c r="X604" s="18" t="str">
        <f t="shared" si="134"/>
        <v/>
      </c>
      <c r="Y604" s="18" t="str">
        <f>IF(OR(L604="",V604=""),"",IFERROR(INDEX(لیست‌ها!$Q$3:$Q$53,MATCH(V604,لیست‌ها!$P$3:$P$53,0))+IF(W604&lt;=6,(W604-1)*31+X604,IF(W604&lt;=11,186+(W604-7)*30+X604,336+X604))-1,""))</f>
        <v/>
      </c>
      <c r="Z604" s="18" t="str">
        <f t="shared" si="135"/>
        <v/>
      </c>
      <c r="AA604" s="18" t="str">
        <f t="shared" si="136"/>
        <v/>
      </c>
      <c r="AB604" s="18" t="str">
        <f t="shared" si="137"/>
        <v/>
      </c>
      <c r="AC604" s="18" t="str">
        <f>IF(OR(H604="",Z604=""),"",IFERROR(INDEX(لیست‌ها!$Q$3:$Q$53,MATCH(Z604,لیست‌ها!$P$3:$P$53,0))+IF(AA604&lt;=6,(AA604-1)*31+AB604,IF(AA604&lt;=11,186+(AA604-7)*30+AB604,336+AB604))-1,""))</f>
        <v/>
      </c>
      <c r="AD604" s="18" t="str">
        <f t="shared" si="138"/>
        <v/>
      </c>
      <c r="AE604" s="18" t="str">
        <f t="shared" si="139"/>
        <v/>
      </c>
      <c r="AF604" s="18" t="str">
        <f t="shared" si="140"/>
        <v/>
      </c>
      <c r="AG604" s="18" t="str">
        <f>IF(OR(O604="",AD604=""),"",IFERROR(INDEX(لیست‌ها!$Q$3:$Q$53,MATCH(AD604,لیست‌ها!$P$3:$P$53,0))+IF(AE604&lt;=6,(AE604-1)*31+AF604,IF(AE604&lt;=11,186+(AE604-7)*30+AF604,336+AF604))-1,""))</f>
        <v/>
      </c>
      <c r="AH604" s="18" t="str">
        <f t="shared" si="141"/>
        <v/>
      </c>
      <c r="AI604" s="18" t="str">
        <f t="shared" si="142"/>
        <v/>
      </c>
      <c r="AJ604" s="18" t="str">
        <f t="shared" ca="1" si="143"/>
        <v/>
      </c>
    </row>
    <row r="605" spans="1:36">
      <c r="A605" s="18" t="str">
        <f t="shared" si="129"/>
        <v/>
      </c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8" t="str">
        <f t="shared" ca="1" si="130"/>
        <v/>
      </c>
      <c r="U605" s="18">
        <f t="shared" ca="1" si="131"/>
        <v>0</v>
      </c>
      <c r="V605" s="18" t="str">
        <f t="shared" si="132"/>
        <v/>
      </c>
      <c r="W605" s="18" t="str">
        <f t="shared" si="133"/>
        <v/>
      </c>
      <c r="X605" s="18" t="str">
        <f t="shared" si="134"/>
        <v/>
      </c>
      <c r="Y605" s="18" t="str">
        <f>IF(OR(L605="",V605=""),"",IFERROR(INDEX(لیست‌ها!$Q$3:$Q$53,MATCH(V605,لیست‌ها!$P$3:$P$53,0))+IF(W605&lt;=6,(W605-1)*31+X605,IF(W605&lt;=11,186+(W605-7)*30+X605,336+X605))-1,""))</f>
        <v/>
      </c>
      <c r="Z605" s="18" t="str">
        <f t="shared" si="135"/>
        <v/>
      </c>
      <c r="AA605" s="18" t="str">
        <f t="shared" si="136"/>
        <v/>
      </c>
      <c r="AB605" s="18" t="str">
        <f t="shared" si="137"/>
        <v/>
      </c>
      <c r="AC605" s="18" t="str">
        <f>IF(OR(H605="",Z605=""),"",IFERROR(INDEX(لیست‌ها!$Q$3:$Q$53,MATCH(Z605,لیست‌ها!$P$3:$P$53,0))+IF(AA605&lt;=6,(AA605-1)*31+AB605,IF(AA605&lt;=11,186+(AA605-7)*30+AB605,336+AB605))-1,""))</f>
        <v/>
      </c>
      <c r="AD605" s="18" t="str">
        <f t="shared" si="138"/>
        <v/>
      </c>
      <c r="AE605" s="18" t="str">
        <f t="shared" si="139"/>
        <v/>
      </c>
      <c r="AF605" s="18" t="str">
        <f t="shared" si="140"/>
        <v/>
      </c>
      <c r="AG605" s="18" t="str">
        <f>IF(OR(O605="",AD605=""),"",IFERROR(INDEX(لیست‌ها!$Q$3:$Q$53,MATCH(AD605,لیست‌ها!$P$3:$P$53,0))+IF(AE605&lt;=6,(AE605-1)*31+AF605,IF(AE605&lt;=11,186+(AE605-7)*30+AF605,336+AF605))-1,""))</f>
        <v/>
      </c>
      <c r="AH605" s="18" t="str">
        <f t="shared" si="141"/>
        <v/>
      </c>
      <c r="AI605" s="18" t="str">
        <f t="shared" si="142"/>
        <v/>
      </c>
      <c r="AJ605" s="18" t="str">
        <f t="shared" ca="1" si="143"/>
        <v/>
      </c>
    </row>
    <row r="606" spans="1:36">
      <c r="A606" s="18" t="str">
        <f t="shared" si="129"/>
        <v/>
      </c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8" t="str">
        <f t="shared" ca="1" si="130"/>
        <v/>
      </c>
      <c r="U606" s="18">
        <f t="shared" ca="1" si="131"/>
        <v>0</v>
      </c>
      <c r="V606" s="18" t="str">
        <f t="shared" si="132"/>
        <v/>
      </c>
      <c r="W606" s="18" t="str">
        <f t="shared" si="133"/>
        <v/>
      </c>
      <c r="X606" s="18" t="str">
        <f t="shared" si="134"/>
        <v/>
      </c>
      <c r="Y606" s="18" t="str">
        <f>IF(OR(L606="",V606=""),"",IFERROR(INDEX(لیست‌ها!$Q$3:$Q$53,MATCH(V606,لیست‌ها!$P$3:$P$53,0))+IF(W606&lt;=6,(W606-1)*31+X606,IF(W606&lt;=11,186+(W606-7)*30+X606,336+X606))-1,""))</f>
        <v/>
      </c>
      <c r="Z606" s="18" t="str">
        <f t="shared" si="135"/>
        <v/>
      </c>
      <c r="AA606" s="18" t="str">
        <f t="shared" si="136"/>
        <v/>
      </c>
      <c r="AB606" s="18" t="str">
        <f t="shared" si="137"/>
        <v/>
      </c>
      <c r="AC606" s="18" t="str">
        <f>IF(OR(H606="",Z606=""),"",IFERROR(INDEX(لیست‌ها!$Q$3:$Q$53,MATCH(Z606,لیست‌ها!$P$3:$P$53,0))+IF(AA606&lt;=6,(AA606-1)*31+AB606,IF(AA606&lt;=11,186+(AA606-7)*30+AB606,336+AB606))-1,""))</f>
        <v/>
      </c>
      <c r="AD606" s="18" t="str">
        <f t="shared" si="138"/>
        <v/>
      </c>
      <c r="AE606" s="18" t="str">
        <f t="shared" si="139"/>
        <v/>
      </c>
      <c r="AF606" s="18" t="str">
        <f t="shared" si="140"/>
        <v/>
      </c>
      <c r="AG606" s="18" t="str">
        <f>IF(OR(O606="",AD606=""),"",IFERROR(INDEX(لیست‌ها!$Q$3:$Q$53,MATCH(AD606,لیست‌ها!$P$3:$P$53,0))+IF(AE606&lt;=6,(AE606-1)*31+AF606,IF(AE606&lt;=11,186+(AE606-7)*30+AF606,336+AF606))-1,""))</f>
        <v/>
      </c>
      <c r="AH606" s="18" t="str">
        <f t="shared" si="141"/>
        <v/>
      </c>
      <c r="AI606" s="18" t="str">
        <f t="shared" si="142"/>
        <v/>
      </c>
      <c r="AJ606" s="18" t="str">
        <f t="shared" ca="1" si="143"/>
        <v/>
      </c>
    </row>
    <row r="607" spans="1:36">
      <c r="A607" s="18" t="str">
        <f t="shared" si="129"/>
        <v/>
      </c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8" t="str">
        <f t="shared" ca="1" si="130"/>
        <v/>
      </c>
      <c r="U607" s="18">
        <f t="shared" ca="1" si="131"/>
        <v>0</v>
      </c>
      <c r="V607" s="18" t="str">
        <f t="shared" si="132"/>
        <v/>
      </c>
      <c r="W607" s="18" t="str">
        <f t="shared" si="133"/>
        <v/>
      </c>
      <c r="X607" s="18" t="str">
        <f t="shared" si="134"/>
        <v/>
      </c>
      <c r="Y607" s="18" t="str">
        <f>IF(OR(L607="",V607=""),"",IFERROR(INDEX(لیست‌ها!$Q$3:$Q$53,MATCH(V607,لیست‌ها!$P$3:$P$53,0))+IF(W607&lt;=6,(W607-1)*31+X607,IF(W607&lt;=11,186+(W607-7)*30+X607,336+X607))-1,""))</f>
        <v/>
      </c>
      <c r="Z607" s="18" t="str">
        <f t="shared" si="135"/>
        <v/>
      </c>
      <c r="AA607" s="18" t="str">
        <f t="shared" si="136"/>
        <v/>
      </c>
      <c r="AB607" s="18" t="str">
        <f t="shared" si="137"/>
        <v/>
      </c>
      <c r="AC607" s="18" t="str">
        <f>IF(OR(H607="",Z607=""),"",IFERROR(INDEX(لیست‌ها!$Q$3:$Q$53,MATCH(Z607,لیست‌ها!$P$3:$P$53,0))+IF(AA607&lt;=6,(AA607-1)*31+AB607,IF(AA607&lt;=11,186+(AA607-7)*30+AB607,336+AB607))-1,""))</f>
        <v/>
      </c>
      <c r="AD607" s="18" t="str">
        <f t="shared" si="138"/>
        <v/>
      </c>
      <c r="AE607" s="18" t="str">
        <f t="shared" si="139"/>
        <v/>
      </c>
      <c r="AF607" s="18" t="str">
        <f t="shared" si="140"/>
        <v/>
      </c>
      <c r="AG607" s="18" t="str">
        <f>IF(OR(O607="",AD607=""),"",IFERROR(INDEX(لیست‌ها!$Q$3:$Q$53,MATCH(AD607,لیست‌ها!$P$3:$P$53,0))+IF(AE607&lt;=6,(AE607-1)*31+AF607,IF(AE607&lt;=11,186+(AE607-7)*30+AF607,336+AF607))-1,""))</f>
        <v/>
      </c>
      <c r="AH607" s="18" t="str">
        <f t="shared" si="141"/>
        <v/>
      </c>
      <c r="AI607" s="18" t="str">
        <f t="shared" si="142"/>
        <v/>
      </c>
      <c r="AJ607" s="18" t="str">
        <f t="shared" ca="1" si="143"/>
        <v/>
      </c>
    </row>
    <row r="608" spans="1:36">
      <c r="A608" s="18" t="str">
        <f t="shared" si="129"/>
        <v/>
      </c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8" t="str">
        <f t="shared" ca="1" si="130"/>
        <v/>
      </c>
      <c r="U608" s="18">
        <f t="shared" ca="1" si="131"/>
        <v>0</v>
      </c>
      <c r="V608" s="18" t="str">
        <f t="shared" si="132"/>
        <v/>
      </c>
      <c r="W608" s="18" t="str">
        <f t="shared" si="133"/>
        <v/>
      </c>
      <c r="X608" s="18" t="str">
        <f t="shared" si="134"/>
        <v/>
      </c>
      <c r="Y608" s="18" t="str">
        <f>IF(OR(L608="",V608=""),"",IFERROR(INDEX(لیست‌ها!$Q$3:$Q$53,MATCH(V608,لیست‌ها!$P$3:$P$53,0))+IF(W608&lt;=6,(W608-1)*31+X608,IF(W608&lt;=11,186+(W608-7)*30+X608,336+X608))-1,""))</f>
        <v/>
      </c>
      <c r="Z608" s="18" t="str">
        <f t="shared" si="135"/>
        <v/>
      </c>
      <c r="AA608" s="18" t="str">
        <f t="shared" si="136"/>
        <v/>
      </c>
      <c r="AB608" s="18" t="str">
        <f t="shared" si="137"/>
        <v/>
      </c>
      <c r="AC608" s="18" t="str">
        <f>IF(OR(H608="",Z608=""),"",IFERROR(INDEX(لیست‌ها!$Q$3:$Q$53,MATCH(Z608,لیست‌ها!$P$3:$P$53,0))+IF(AA608&lt;=6,(AA608-1)*31+AB608,IF(AA608&lt;=11,186+(AA608-7)*30+AB608,336+AB608))-1,""))</f>
        <v/>
      </c>
      <c r="AD608" s="18" t="str">
        <f t="shared" si="138"/>
        <v/>
      </c>
      <c r="AE608" s="18" t="str">
        <f t="shared" si="139"/>
        <v/>
      </c>
      <c r="AF608" s="18" t="str">
        <f t="shared" si="140"/>
        <v/>
      </c>
      <c r="AG608" s="18" t="str">
        <f>IF(OR(O608="",AD608=""),"",IFERROR(INDEX(لیست‌ها!$Q$3:$Q$53,MATCH(AD608,لیست‌ها!$P$3:$P$53,0))+IF(AE608&lt;=6,(AE608-1)*31+AF608,IF(AE608&lt;=11,186+(AE608-7)*30+AF608,336+AF608))-1,""))</f>
        <v/>
      </c>
      <c r="AH608" s="18" t="str">
        <f t="shared" si="141"/>
        <v/>
      </c>
      <c r="AI608" s="18" t="str">
        <f t="shared" si="142"/>
        <v/>
      </c>
      <c r="AJ608" s="18" t="str">
        <f t="shared" ca="1" si="143"/>
        <v/>
      </c>
    </row>
    <row r="609" spans="1:36">
      <c r="A609" s="18" t="str">
        <f t="shared" si="129"/>
        <v/>
      </c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8" t="str">
        <f t="shared" ca="1" si="130"/>
        <v/>
      </c>
      <c r="U609" s="18">
        <f t="shared" ca="1" si="131"/>
        <v>0</v>
      </c>
      <c r="V609" s="18" t="str">
        <f t="shared" si="132"/>
        <v/>
      </c>
      <c r="W609" s="18" t="str">
        <f t="shared" si="133"/>
        <v/>
      </c>
      <c r="X609" s="18" t="str">
        <f t="shared" si="134"/>
        <v/>
      </c>
      <c r="Y609" s="18" t="str">
        <f>IF(OR(L609="",V609=""),"",IFERROR(INDEX(لیست‌ها!$Q$3:$Q$53,MATCH(V609,لیست‌ها!$P$3:$P$53,0))+IF(W609&lt;=6,(W609-1)*31+X609,IF(W609&lt;=11,186+(W609-7)*30+X609,336+X609))-1,""))</f>
        <v/>
      </c>
      <c r="Z609" s="18" t="str">
        <f t="shared" si="135"/>
        <v/>
      </c>
      <c r="AA609" s="18" t="str">
        <f t="shared" si="136"/>
        <v/>
      </c>
      <c r="AB609" s="18" t="str">
        <f t="shared" si="137"/>
        <v/>
      </c>
      <c r="AC609" s="18" t="str">
        <f>IF(OR(H609="",Z609=""),"",IFERROR(INDEX(لیست‌ها!$Q$3:$Q$53,MATCH(Z609,لیست‌ها!$P$3:$P$53,0))+IF(AA609&lt;=6,(AA609-1)*31+AB609,IF(AA609&lt;=11,186+(AA609-7)*30+AB609,336+AB609))-1,""))</f>
        <v/>
      </c>
      <c r="AD609" s="18" t="str">
        <f t="shared" si="138"/>
        <v/>
      </c>
      <c r="AE609" s="18" t="str">
        <f t="shared" si="139"/>
        <v/>
      </c>
      <c r="AF609" s="18" t="str">
        <f t="shared" si="140"/>
        <v/>
      </c>
      <c r="AG609" s="18" t="str">
        <f>IF(OR(O609="",AD609=""),"",IFERROR(INDEX(لیست‌ها!$Q$3:$Q$53,MATCH(AD609,لیست‌ها!$P$3:$P$53,0))+IF(AE609&lt;=6,(AE609-1)*31+AF609,IF(AE609&lt;=11,186+(AE609-7)*30+AF609,336+AF609))-1,""))</f>
        <v/>
      </c>
      <c r="AH609" s="18" t="str">
        <f t="shared" si="141"/>
        <v/>
      </c>
      <c r="AI609" s="18" t="str">
        <f t="shared" si="142"/>
        <v/>
      </c>
      <c r="AJ609" s="18" t="str">
        <f t="shared" ca="1" si="143"/>
        <v/>
      </c>
    </row>
    <row r="610" spans="1:36">
      <c r="A610" s="18" t="str">
        <f t="shared" si="129"/>
        <v/>
      </c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8" t="str">
        <f t="shared" ca="1" si="130"/>
        <v/>
      </c>
      <c r="U610" s="18">
        <f t="shared" ca="1" si="131"/>
        <v>0</v>
      </c>
      <c r="V610" s="18" t="str">
        <f t="shared" si="132"/>
        <v/>
      </c>
      <c r="W610" s="18" t="str">
        <f t="shared" si="133"/>
        <v/>
      </c>
      <c r="X610" s="18" t="str">
        <f t="shared" si="134"/>
        <v/>
      </c>
      <c r="Y610" s="18" t="str">
        <f>IF(OR(L610="",V610=""),"",IFERROR(INDEX(لیست‌ها!$Q$3:$Q$53,MATCH(V610,لیست‌ها!$P$3:$P$53,0))+IF(W610&lt;=6,(W610-1)*31+X610,IF(W610&lt;=11,186+(W610-7)*30+X610,336+X610))-1,""))</f>
        <v/>
      </c>
      <c r="Z610" s="18" t="str">
        <f t="shared" si="135"/>
        <v/>
      </c>
      <c r="AA610" s="18" t="str">
        <f t="shared" si="136"/>
        <v/>
      </c>
      <c r="AB610" s="18" t="str">
        <f t="shared" si="137"/>
        <v/>
      </c>
      <c r="AC610" s="18" t="str">
        <f>IF(OR(H610="",Z610=""),"",IFERROR(INDEX(لیست‌ها!$Q$3:$Q$53,MATCH(Z610,لیست‌ها!$P$3:$P$53,0))+IF(AA610&lt;=6,(AA610-1)*31+AB610,IF(AA610&lt;=11,186+(AA610-7)*30+AB610,336+AB610))-1,""))</f>
        <v/>
      </c>
      <c r="AD610" s="18" t="str">
        <f t="shared" si="138"/>
        <v/>
      </c>
      <c r="AE610" s="18" t="str">
        <f t="shared" si="139"/>
        <v/>
      </c>
      <c r="AF610" s="18" t="str">
        <f t="shared" si="140"/>
        <v/>
      </c>
      <c r="AG610" s="18" t="str">
        <f>IF(OR(O610="",AD610=""),"",IFERROR(INDEX(لیست‌ها!$Q$3:$Q$53,MATCH(AD610,لیست‌ها!$P$3:$P$53,0))+IF(AE610&lt;=6,(AE610-1)*31+AF610,IF(AE610&lt;=11,186+(AE610-7)*30+AF610,336+AF610))-1,""))</f>
        <v/>
      </c>
      <c r="AH610" s="18" t="str">
        <f t="shared" si="141"/>
        <v/>
      </c>
      <c r="AI610" s="18" t="str">
        <f t="shared" si="142"/>
        <v/>
      </c>
      <c r="AJ610" s="18" t="str">
        <f t="shared" ca="1" si="143"/>
        <v/>
      </c>
    </row>
    <row r="611" spans="1:36">
      <c r="A611" s="18" t="str">
        <f t="shared" si="129"/>
        <v/>
      </c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8" t="str">
        <f t="shared" ca="1" si="130"/>
        <v/>
      </c>
      <c r="U611" s="18">
        <f t="shared" ca="1" si="131"/>
        <v>0</v>
      </c>
      <c r="V611" s="18" t="str">
        <f t="shared" si="132"/>
        <v/>
      </c>
      <c r="W611" s="18" t="str">
        <f t="shared" si="133"/>
        <v/>
      </c>
      <c r="X611" s="18" t="str">
        <f t="shared" si="134"/>
        <v/>
      </c>
      <c r="Y611" s="18" t="str">
        <f>IF(OR(L611="",V611=""),"",IFERROR(INDEX(لیست‌ها!$Q$3:$Q$53,MATCH(V611,لیست‌ها!$P$3:$P$53,0))+IF(W611&lt;=6,(W611-1)*31+X611,IF(W611&lt;=11,186+(W611-7)*30+X611,336+X611))-1,""))</f>
        <v/>
      </c>
      <c r="Z611" s="18" t="str">
        <f t="shared" si="135"/>
        <v/>
      </c>
      <c r="AA611" s="18" t="str">
        <f t="shared" si="136"/>
        <v/>
      </c>
      <c r="AB611" s="18" t="str">
        <f t="shared" si="137"/>
        <v/>
      </c>
      <c r="AC611" s="18" t="str">
        <f>IF(OR(H611="",Z611=""),"",IFERROR(INDEX(لیست‌ها!$Q$3:$Q$53,MATCH(Z611,لیست‌ها!$P$3:$P$53,0))+IF(AA611&lt;=6,(AA611-1)*31+AB611,IF(AA611&lt;=11,186+(AA611-7)*30+AB611,336+AB611))-1,""))</f>
        <v/>
      </c>
      <c r="AD611" s="18" t="str">
        <f t="shared" si="138"/>
        <v/>
      </c>
      <c r="AE611" s="18" t="str">
        <f t="shared" si="139"/>
        <v/>
      </c>
      <c r="AF611" s="18" t="str">
        <f t="shared" si="140"/>
        <v/>
      </c>
      <c r="AG611" s="18" t="str">
        <f>IF(OR(O611="",AD611=""),"",IFERROR(INDEX(لیست‌ها!$Q$3:$Q$53,MATCH(AD611,لیست‌ها!$P$3:$P$53,0))+IF(AE611&lt;=6,(AE611-1)*31+AF611,IF(AE611&lt;=11,186+(AE611-7)*30+AF611,336+AF611))-1,""))</f>
        <v/>
      </c>
      <c r="AH611" s="18" t="str">
        <f t="shared" si="141"/>
        <v/>
      </c>
      <c r="AI611" s="18" t="str">
        <f t="shared" si="142"/>
        <v/>
      </c>
      <c r="AJ611" s="18" t="str">
        <f t="shared" ca="1" si="143"/>
        <v/>
      </c>
    </row>
    <row r="612" spans="1:36">
      <c r="A612" s="18" t="str">
        <f t="shared" si="129"/>
        <v/>
      </c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8" t="str">
        <f t="shared" ca="1" si="130"/>
        <v/>
      </c>
      <c r="U612" s="18">
        <f t="shared" ca="1" si="131"/>
        <v>0</v>
      </c>
      <c r="V612" s="18" t="str">
        <f t="shared" si="132"/>
        <v/>
      </c>
      <c r="W612" s="18" t="str">
        <f t="shared" si="133"/>
        <v/>
      </c>
      <c r="X612" s="18" t="str">
        <f t="shared" si="134"/>
        <v/>
      </c>
      <c r="Y612" s="18" t="str">
        <f>IF(OR(L612="",V612=""),"",IFERROR(INDEX(لیست‌ها!$Q$3:$Q$53,MATCH(V612,لیست‌ها!$P$3:$P$53,0))+IF(W612&lt;=6,(W612-1)*31+X612,IF(W612&lt;=11,186+(W612-7)*30+X612,336+X612))-1,""))</f>
        <v/>
      </c>
      <c r="Z612" s="18" t="str">
        <f t="shared" si="135"/>
        <v/>
      </c>
      <c r="AA612" s="18" t="str">
        <f t="shared" si="136"/>
        <v/>
      </c>
      <c r="AB612" s="18" t="str">
        <f t="shared" si="137"/>
        <v/>
      </c>
      <c r="AC612" s="18" t="str">
        <f>IF(OR(H612="",Z612=""),"",IFERROR(INDEX(لیست‌ها!$Q$3:$Q$53,MATCH(Z612,لیست‌ها!$P$3:$P$53,0))+IF(AA612&lt;=6,(AA612-1)*31+AB612,IF(AA612&lt;=11,186+(AA612-7)*30+AB612,336+AB612))-1,""))</f>
        <v/>
      </c>
      <c r="AD612" s="18" t="str">
        <f t="shared" si="138"/>
        <v/>
      </c>
      <c r="AE612" s="18" t="str">
        <f t="shared" si="139"/>
        <v/>
      </c>
      <c r="AF612" s="18" t="str">
        <f t="shared" si="140"/>
        <v/>
      </c>
      <c r="AG612" s="18" t="str">
        <f>IF(OR(O612="",AD612=""),"",IFERROR(INDEX(لیست‌ها!$Q$3:$Q$53,MATCH(AD612,لیست‌ها!$P$3:$P$53,0))+IF(AE612&lt;=6,(AE612-1)*31+AF612,IF(AE612&lt;=11,186+(AE612-7)*30+AF612,336+AF612))-1,""))</f>
        <v/>
      </c>
      <c r="AH612" s="18" t="str">
        <f t="shared" si="141"/>
        <v/>
      </c>
      <c r="AI612" s="18" t="str">
        <f t="shared" si="142"/>
        <v/>
      </c>
      <c r="AJ612" s="18" t="str">
        <f t="shared" ca="1" si="143"/>
        <v/>
      </c>
    </row>
    <row r="613" spans="1:36">
      <c r="A613" s="18" t="str">
        <f t="shared" si="129"/>
        <v/>
      </c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8" t="str">
        <f t="shared" ca="1" si="130"/>
        <v/>
      </c>
      <c r="U613" s="18">
        <f t="shared" ca="1" si="131"/>
        <v>0</v>
      </c>
      <c r="V613" s="18" t="str">
        <f t="shared" si="132"/>
        <v/>
      </c>
      <c r="W613" s="18" t="str">
        <f t="shared" si="133"/>
        <v/>
      </c>
      <c r="X613" s="18" t="str">
        <f t="shared" si="134"/>
        <v/>
      </c>
      <c r="Y613" s="18" t="str">
        <f>IF(OR(L613="",V613=""),"",IFERROR(INDEX(لیست‌ها!$Q$3:$Q$53,MATCH(V613,لیست‌ها!$P$3:$P$53,0))+IF(W613&lt;=6,(W613-1)*31+X613,IF(W613&lt;=11,186+(W613-7)*30+X613,336+X613))-1,""))</f>
        <v/>
      </c>
      <c r="Z613" s="18" t="str">
        <f t="shared" si="135"/>
        <v/>
      </c>
      <c r="AA613" s="18" t="str">
        <f t="shared" si="136"/>
        <v/>
      </c>
      <c r="AB613" s="18" t="str">
        <f t="shared" si="137"/>
        <v/>
      </c>
      <c r="AC613" s="18" t="str">
        <f>IF(OR(H613="",Z613=""),"",IFERROR(INDEX(لیست‌ها!$Q$3:$Q$53,MATCH(Z613,لیست‌ها!$P$3:$P$53,0))+IF(AA613&lt;=6,(AA613-1)*31+AB613,IF(AA613&lt;=11,186+(AA613-7)*30+AB613,336+AB613))-1,""))</f>
        <v/>
      </c>
      <c r="AD613" s="18" t="str">
        <f t="shared" si="138"/>
        <v/>
      </c>
      <c r="AE613" s="18" t="str">
        <f t="shared" si="139"/>
        <v/>
      </c>
      <c r="AF613" s="18" t="str">
        <f t="shared" si="140"/>
        <v/>
      </c>
      <c r="AG613" s="18" t="str">
        <f>IF(OR(O613="",AD613=""),"",IFERROR(INDEX(لیست‌ها!$Q$3:$Q$53,MATCH(AD613,لیست‌ها!$P$3:$P$53,0))+IF(AE613&lt;=6,(AE613-1)*31+AF613,IF(AE613&lt;=11,186+(AE613-7)*30+AF613,336+AF613))-1,""))</f>
        <v/>
      </c>
      <c r="AH613" s="18" t="str">
        <f t="shared" si="141"/>
        <v/>
      </c>
      <c r="AI613" s="18" t="str">
        <f t="shared" si="142"/>
        <v/>
      </c>
      <c r="AJ613" s="18" t="str">
        <f t="shared" ca="1" si="143"/>
        <v/>
      </c>
    </row>
    <row r="614" spans="1:36">
      <c r="A614" s="18" t="str">
        <f t="shared" si="129"/>
        <v/>
      </c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8" t="str">
        <f t="shared" ca="1" si="130"/>
        <v/>
      </c>
      <c r="U614" s="18">
        <f t="shared" ca="1" si="131"/>
        <v>0</v>
      </c>
      <c r="V614" s="18" t="str">
        <f t="shared" si="132"/>
        <v/>
      </c>
      <c r="W614" s="18" t="str">
        <f t="shared" si="133"/>
        <v/>
      </c>
      <c r="X614" s="18" t="str">
        <f t="shared" si="134"/>
        <v/>
      </c>
      <c r="Y614" s="18" t="str">
        <f>IF(OR(L614="",V614=""),"",IFERROR(INDEX(لیست‌ها!$Q$3:$Q$53,MATCH(V614,لیست‌ها!$P$3:$P$53,0))+IF(W614&lt;=6,(W614-1)*31+X614,IF(W614&lt;=11,186+(W614-7)*30+X614,336+X614))-1,""))</f>
        <v/>
      </c>
      <c r="Z614" s="18" t="str">
        <f t="shared" si="135"/>
        <v/>
      </c>
      <c r="AA614" s="18" t="str">
        <f t="shared" si="136"/>
        <v/>
      </c>
      <c r="AB614" s="18" t="str">
        <f t="shared" si="137"/>
        <v/>
      </c>
      <c r="AC614" s="18" t="str">
        <f>IF(OR(H614="",Z614=""),"",IFERROR(INDEX(لیست‌ها!$Q$3:$Q$53,MATCH(Z614,لیست‌ها!$P$3:$P$53,0))+IF(AA614&lt;=6,(AA614-1)*31+AB614,IF(AA614&lt;=11,186+(AA614-7)*30+AB614,336+AB614))-1,""))</f>
        <v/>
      </c>
      <c r="AD614" s="18" t="str">
        <f t="shared" si="138"/>
        <v/>
      </c>
      <c r="AE614" s="18" t="str">
        <f t="shared" si="139"/>
        <v/>
      </c>
      <c r="AF614" s="18" t="str">
        <f t="shared" si="140"/>
        <v/>
      </c>
      <c r="AG614" s="18" t="str">
        <f>IF(OR(O614="",AD614=""),"",IFERROR(INDEX(لیست‌ها!$Q$3:$Q$53,MATCH(AD614,لیست‌ها!$P$3:$P$53,0))+IF(AE614&lt;=6,(AE614-1)*31+AF614,IF(AE614&lt;=11,186+(AE614-7)*30+AF614,336+AF614))-1,""))</f>
        <v/>
      </c>
      <c r="AH614" s="18" t="str">
        <f t="shared" si="141"/>
        <v/>
      </c>
      <c r="AI614" s="18" t="str">
        <f t="shared" si="142"/>
        <v/>
      </c>
      <c r="AJ614" s="18" t="str">
        <f t="shared" ca="1" si="143"/>
        <v/>
      </c>
    </row>
    <row r="615" spans="1:36">
      <c r="A615" s="18" t="str">
        <f t="shared" si="129"/>
        <v/>
      </c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8" t="str">
        <f t="shared" ca="1" si="130"/>
        <v/>
      </c>
      <c r="U615" s="18">
        <f t="shared" ca="1" si="131"/>
        <v>0</v>
      </c>
      <c r="V615" s="18" t="str">
        <f t="shared" si="132"/>
        <v/>
      </c>
      <c r="W615" s="18" t="str">
        <f t="shared" si="133"/>
        <v/>
      </c>
      <c r="X615" s="18" t="str">
        <f t="shared" si="134"/>
        <v/>
      </c>
      <c r="Y615" s="18" t="str">
        <f>IF(OR(L615="",V615=""),"",IFERROR(INDEX(لیست‌ها!$Q$3:$Q$53,MATCH(V615,لیست‌ها!$P$3:$P$53,0))+IF(W615&lt;=6,(W615-1)*31+X615,IF(W615&lt;=11,186+(W615-7)*30+X615,336+X615))-1,""))</f>
        <v/>
      </c>
      <c r="Z615" s="18" t="str">
        <f t="shared" si="135"/>
        <v/>
      </c>
      <c r="AA615" s="18" t="str">
        <f t="shared" si="136"/>
        <v/>
      </c>
      <c r="AB615" s="18" t="str">
        <f t="shared" si="137"/>
        <v/>
      </c>
      <c r="AC615" s="18" t="str">
        <f>IF(OR(H615="",Z615=""),"",IFERROR(INDEX(لیست‌ها!$Q$3:$Q$53,MATCH(Z615,لیست‌ها!$P$3:$P$53,0))+IF(AA615&lt;=6,(AA615-1)*31+AB615,IF(AA615&lt;=11,186+(AA615-7)*30+AB615,336+AB615))-1,""))</f>
        <v/>
      </c>
      <c r="AD615" s="18" t="str">
        <f t="shared" si="138"/>
        <v/>
      </c>
      <c r="AE615" s="18" t="str">
        <f t="shared" si="139"/>
        <v/>
      </c>
      <c r="AF615" s="18" t="str">
        <f t="shared" si="140"/>
        <v/>
      </c>
      <c r="AG615" s="18" t="str">
        <f>IF(OR(O615="",AD615=""),"",IFERROR(INDEX(لیست‌ها!$Q$3:$Q$53,MATCH(AD615,لیست‌ها!$P$3:$P$53,0))+IF(AE615&lt;=6,(AE615-1)*31+AF615,IF(AE615&lt;=11,186+(AE615-7)*30+AF615,336+AF615))-1,""))</f>
        <v/>
      </c>
      <c r="AH615" s="18" t="str">
        <f t="shared" si="141"/>
        <v/>
      </c>
      <c r="AI615" s="18" t="str">
        <f t="shared" si="142"/>
        <v/>
      </c>
      <c r="AJ615" s="18" t="str">
        <f t="shared" ca="1" si="143"/>
        <v/>
      </c>
    </row>
    <row r="616" spans="1:36">
      <c r="A616" s="18" t="str">
        <f t="shared" si="129"/>
        <v/>
      </c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8" t="str">
        <f t="shared" ca="1" si="130"/>
        <v/>
      </c>
      <c r="U616" s="18">
        <f t="shared" ca="1" si="131"/>
        <v>0</v>
      </c>
      <c r="V616" s="18" t="str">
        <f t="shared" si="132"/>
        <v/>
      </c>
      <c r="W616" s="18" t="str">
        <f t="shared" si="133"/>
        <v/>
      </c>
      <c r="X616" s="18" t="str">
        <f t="shared" si="134"/>
        <v/>
      </c>
      <c r="Y616" s="18" t="str">
        <f>IF(OR(L616="",V616=""),"",IFERROR(INDEX(لیست‌ها!$Q$3:$Q$53,MATCH(V616,لیست‌ها!$P$3:$P$53,0))+IF(W616&lt;=6,(W616-1)*31+X616,IF(W616&lt;=11,186+(W616-7)*30+X616,336+X616))-1,""))</f>
        <v/>
      </c>
      <c r="Z616" s="18" t="str">
        <f t="shared" si="135"/>
        <v/>
      </c>
      <c r="AA616" s="18" t="str">
        <f t="shared" si="136"/>
        <v/>
      </c>
      <c r="AB616" s="18" t="str">
        <f t="shared" si="137"/>
        <v/>
      </c>
      <c r="AC616" s="18" t="str">
        <f>IF(OR(H616="",Z616=""),"",IFERROR(INDEX(لیست‌ها!$Q$3:$Q$53,MATCH(Z616,لیست‌ها!$P$3:$P$53,0))+IF(AA616&lt;=6,(AA616-1)*31+AB616,IF(AA616&lt;=11,186+(AA616-7)*30+AB616,336+AB616))-1,""))</f>
        <v/>
      </c>
      <c r="AD616" s="18" t="str">
        <f t="shared" si="138"/>
        <v/>
      </c>
      <c r="AE616" s="18" t="str">
        <f t="shared" si="139"/>
        <v/>
      </c>
      <c r="AF616" s="18" t="str">
        <f t="shared" si="140"/>
        <v/>
      </c>
      <c r="AG616" s="18" t="str">
        <f>IF(OR(O616="",AD616=""),"",IFERROR(INDEX(لیست‌ها!$Q$3:$Q$53,MATCH(AD616,لیست‌ها!$P$3:$P$53,0))+IF(AE616&lt;=6,(AE616-1)*31+AF616,IF(AE616&lt;=11,186+(AE616-7)*30+AF616,336+AF616))-1,""))</f>
        <v/>
      </c>
      <c r="AH616" s="18" t="str">
        <f t="shared" si="141"/>
        <v/>
      </c>
      <c r="AI616" s="18" t="str">
        <f t="shared" si="142"/>
        <v/>
      </c>
      <c r="AJ616" s="18" t="str">
        <f t="shared" ca="1" si="143"/>
        <v/>
      </c>
    </row>
    <row r="617" spans="1:36">
      <c r="A617" s="18" t="str">
        <f t="shared" si="129"/>
        <v/>
      </c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8" t="str">
        <f t="shared" ca="1" si="130"/>
        <v/>
      </c>
      <c r="U617" s="18">
        <f t="shared" ca="1" si="131"/>
        <v>0</v>
      </c>
      <c r="V617" s="18" t="str">
        <f t="shared" si="132"/>
        <v/>
      </c>
      <c r="W617" s="18" t="str">
        <f t="shared" si="133"/>
        <v/>
      </c>
      <c r="X617" s="18" t="str">
        <f t="shared" si="134"/>
        <v/>
      </c>
      <c r="Y617" s="18" t="str">
        <f>IF(OR(L617="",V617=""),"",IFERROR(INDEX(لیست‌ها!$Q$3:$Q$53,MATCH(V617,لیست‌ها!$P$3:$P$53,0))+IF(W617&lt;=6,(W617-1)*31+X617,IF(W617&lt;=11,186+(W617-7)*30+X617,336+X617))-1,""))</f>
        <v/>
      </c>
      <c r="Z617" s="18" t="str">
        <f t="shared" si="135"/>
        <v/>
      </c>
      <c r="AA617" s="18" t="str">
        <f t="shared" si="136"/>
        <v/>
      </c>
      <c r="AB617" s="18" t="str">
        <f t="shared" si="137"/>
        <v/>
      </c>
      <c r="AC617" s="18" t="str">
        <f>IF(OR(H617="",Z617=""),"",IFERROR(INDEX(لیست‌ها!$Q$3:$Q$53,MATCH(Z617,لیست‌ها!$P$3:$P$53,0))+IF(AA617&lt;=6,(AA617-1)*31+AB617,IF(AA617&lt;=11,186+(AA617-7)*30+AB617,336+AB617))-1,""))</f>
        <v/>
      </c>
      <c r="AD617" s="18" t="str">
        <f t="shared" si="138"/>
        <v/>
      </c>
      <c r="AE617" s="18" t="str">
        <f t="shared" si="139"/>
        <v/>
      </c>
      <c r="AF617" s="18" t="str">
        <f t="shared" si="140"/>
        <v/>
      </c>
      <c r="AG617" s="18" t="str">
        <f>IF(OR(O617="",AD617=""),"",IFERROR(INDEX(لیست‌ها!$Q$3:$Q$53,MATCH(AD617,لیست‌ها!$P$3:$P$53,0))+IF(AE617&lt;=6,(AE617-1)*31+AF617,IF(AE617&lt;=11,186+(AE617-7)*30+AF617,336+AF617))-1,""))</f>
        <v/>
      </c>
      <c r="AH617" s="18" t="str">
        <f t="shared" si="141"/>
        <v/>
      </c>
      <c r="AI617" s="18" t="str">
        <f t="shared" si="142"/>
        <v/>
      </c>
      <c r="AJ617" s="18" t="str">
        <f t="shared" ca="1" si="143"/>
        <v/>
      </c>
    </row>
    <row r="618" spans="1:36">
      <c r="A618" s="18" t="str">
        <f t="shared" si="129"/>
        <v/>
      </c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8" t="str">
        <f t="shared" ca="1" si="130"/>
        <v/>
      </c>
      <c r="U618" s="18">
        <f t="shared" ca="1" si="131"/>
        <v>0</v>
      </c>
      <c r="V618" s="18" t="str">
        <f t="shared" si="132"/>
        <v/>
      </c>
      <c r="W618" s="18" t="str">
        <f t="shared" si="133"/>
        <v/>
      </c>
      <c r="X618" s="18" t="str">
        <f t="shared" si="134"/>
        <v/>
      </c>
      <c r="Y618" s="18" t="str">
        <f>IF(OR(L618="",V618=""),"",IFERROR(INDEX(لیست‌ها!$Q$3:$Q$53,MATCH(V618,لیست‌ها!$P$3:$P$53,0))+IF(W618&lt;=6,(W618-1)*31+X618,IF(W618&lt;=11,186+(W618-7)*30+X618,336+X618))-1,""))</f>
        <v/>
      </c>
      <c r="Z618" s="18" t="str">
        <f t="shared" si="135"/>
        <v/>
      </c>
      <c r="AA618" s="18" t="str">
        <f t="shared" si="136"/>
        <v/>
      </c>
      <c r="AB618" s="18" t="str">
        <f t="shared" si="137"/>
        <v/>
      </c>
      <c r="AC618" s="18" t="str">
        <f>IF(OR(H618="",Z618=""),"",IFERROR(INDEX(لیست‌ها!$Q$3:$Q$53,MATCH(Z618,لیست‌ها!$P$3:$P$53,0))+IF(AA618&lt;=6,(AA618-1)*31+AB618,IF(AA618&lt;=11,186+(AA618-7)*30+AB618,336+AB618))-1,""))</f>
        <v/>
      </c>
      <c r="AD618" s="18" t="str">
        <f t="shared" si="138"/>
        <v/>
      </c>
      <c r="AE618" s="18" t="str">
        <f t="shared" si="139"/>
        <v/>
      </c>
      <c r="AF618" s="18" t="str">
        <f t="shared" si="140"/>
        <v/>
      </c>
      <c r="AG618" s="18" t="str">
        <f>IF(OR(O618="",AD618=""),"",IFERROR(INDEX(لیست‌ها!$Q$3:$Q$53,MATCH(AD618,لیست‌ها!$P$3:$P$53,0))+IF(AE618&lt;=6,(AE618-1)*31+AF618,IF(AE618&lt;=11,186+(AE618-7)*30+AF618,336+AF618))-1,""))</f>
        <v/>
      </c>
      <c r="AH618" s="18" t="str">
        <f t="shared" si="141"/>
        <v/>
      </c>
      <c r="AI618" s="18" t="str">
        <f t="shared" si="142"/>
        <v/>
      </c>
      <c r="AJ618" s="18" t="str">
        <f t="shared" ca="1" si="143"/>
        <v/>
      </c>
    </row>
    <row r="619" spans="1:36">
      <c r="A619" s="18" t="str">
        <f t="shared" si="129"/>
        <v/>
      </c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8" t="str">
        <f t="shared" ca="1" si="130"/>
        <v/>
      </c>
      <c r="U619" s="18">
        <f t="shared" ca="1" si="131"/>
        <v>0</v>
      </c>
      <c r="V619" s="18" t="str">
        <f t="shared" si="132"/>
        <v/>
      </c>
      <c r="W619" s="18" t="str">
        <f t="shared" si="133"/>
        <v/>
      </c>
      <c r="X619" s="18" t="str">
        <f t="shared" si="134"/>
        <v/>
      </c>
      <c r="Y619" s="18" t="str">
        <f>IF(OR(L619="",V619=""),"",IFERROR(INDEX(لیست‌ها!$Q$3:$Q$53,MATCH(V619,لیست‌ها!$P$3:$P$53,0))+IF(W619&lt;=6,(W619-1)*31+X619,IF(W619&lt;=11,186+(W619-7)*30+X619,336+X619))-1,""))</f>
        <v/>
      </c>
      <c r="Z619" s="18" t="str">
        <f t="shared" si="135"/>
        <v/>
      </c>
      <c r="AA619" s="18" t="str">
        <f t="shared" si="136"/>
        <v/>
      </c>
      <c r="AB619" s="18" t="str">
        <f t="shared" si="137"/>
        <v/>
      </c>
      <c r="AC619" s="18" t="str">
        <f>IF(OR(H619="",Z619=""),"",IFERROR(INDEX(لیست‌ها!$Q$3:$Q$53,MATCH(Z619,لیست‌ها!$P$3:$P$53,0))+IF(AA619&lt;=6,(AA619-1)*31+AB619,IF(AA619&lt;=11,186+(AA619-7)*30+AB619,336+AB619))-1,""))</f>
        <v/>
      </c>
      <c r="AD619" s="18" t="str">
        <f t="shared" si="138"/>
        <v/>
      </c>
      <c r="AE619" s="18" t="str">
        <f t="shared" si="139"/>
        <v/>
      </c>
      <c r="AF619" s="18" t="str">
        <f t="shared" si="140"/>
        <v/>
      </c>
      <c r="AG619" s="18" t="str">
        <f>IF(OR(O619="",AD619=""),"",IFERROR(INDEX(لیست‌ها!$Q$3:$Q$53,MATCH(AD619,لیست‌ها!$P$3:$P$53,0))+IF(AE619&lt;=6,(AE619-1)*31+AF619,IF(AE619&lt;=11,186+(AE619-7)*30+AF619,336+AF619))-1,""))</f>
        <v/>
      </c>
      <c r="AH619" s="18" t="str">
        <f t="shared" si="141"/>
        <v/>
      </c>
      <c r="AI619" s="18" t="str">
        <f t="shared" si="142"/>
        <v/>
      </c>
      <c r="AJ619" s="18" t="str">
        <f t="shared" ca="1" si="143"/>
        <v/>
      </c>
    </row>
    <row r="620" spans="1:36">
      <c r="A620" s="18" t="str">
        <f t="shared" si="129"/>
        <v/>
      </c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8" t="str">
        <f t="shared" ca="1" si="130"/>
        <v/>
      </c>
      <c r="U620" s="18">
        <f t="shared" ca="1" si="131"/>
        <v>0</v>
      </c>
      <c r="V620" s="18" t="str">
        <f t="shared" si="132"/>
        <v/>
      </c>
      <c r="W620" s="18" t="str">
        <f t="shared" si="133"/>
        <v/>
      </c>
      <c r="X620" s="18" t="str">
        <f t="shared" si="134"/>
        <v/>
      </c>
      <c r="Y620" s="18" t="str">
        <f>IF(OR(L620="",V620=""),"",IFERROR(INDEX(لیست‌ها!$Q$3:$Q$53,MATCH(V620,لیست‌ها!$P$3:$P$53,0))+IF(W620&lt;=6,(W620-1)*31+X620,IF(W620&lt;=11,186+(W620-7)*30+X620,336+X620))-1,""))</f>
        <v/>
      </c>
      <c r="Z620" s="18" t="str">
        <f t="shared" si="135"/>
        <v/>
      </c>
      <c r="AA620" s="18" t="str">
        <f t="shared" si="136"/>
        <v/>
      </c>
      <c r="AB620" s="18" t="str">
        <f t="shared" si="137"/>
        <v/>
      </c>
      <c r="AC620" s="18" t="str">
        <f>IF(OR(H620="",Z620=""),"",IFERROR(INDEX(لیست‌ها!$Q$3:$Q$53,MATCH(Z620,لیست‌ها!$P$3:$P$53,0))+IF(AA620&lt;=6,(AA620-1)*31+AB620,IF(AA620&lt;=11,186+(AA620-7)*30+AB620,336+AB620))-1,""))</f>
        <v/>
      </c>
      <c r="AD620" s="18" t="str">
        <f t="shared" si="138"/>
        <v/>
      </c>
      <c r="AE620" s="18" t="str">
        <f t="shared" si="139"/>
        <v/>
      </c>
      <c r="AF620" s="18" t="str">
        <f t="shared" si="140"/>
        <v/>
      </c>
      <c r="AG620" s="18" t="str">
        <f>IF(OR(O620="",AD620=""),"",IFERROR(INDEX(لیست‌ها!$Q$3:$Q$53,MATCH(AD620,لیست‌ها!$P$3:$P$53,0))+IF(AE620&lt;=6,(AE620-1)*31+AF620,IF(AE620&lt;=11,186+(AE620-7)*30+AF620,336+AF620))-1,""))</f>
        <v/>
      </c>
      <c r="AH620" s="18" t="str">
        <f t="shared" si="141"/>
        <v/>
      </c>
      <c r="AI620" s="18" t="str">
        <f t="shared" si="142"/>
        <v/>
      </c>
      <c r="AJ620" s="18" t="str">
        <f t="shared" ca="1" si="143"/>
        <v/>
      </c>
    </row>
    <row r="621" spans="1:36">
      <c r="A621" s="18" t="str">
        <f t="shared" si="129"/>
        <v/>
      </c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8" t="str">
        <f t="shared" ca="1" si="130"/>
        <v/>
      </c>
      <c r="U621" s="18">
        <f t="shared" ca="1" si="131"/>
        <v>0</v>
      </c>
      <c r="V621" s="18" t="str">
        <f t="shared" si="132"/>
        <v/>
      </c>
      <c r="W621" s="18" t="str">
        <f t="shared" si="133"/>
        <v/>
      </c>
      <c r="X621" s="18" t="str">
        <f t="shared" si="134"/>
        <v/>
      </c>
      <c r="Y621" s="18" t="str">
        <f>IF(OR(L621="",V621=""),"",IFERROR(INDEX(لیست‌ها!$Q$3:$Q$53,MATCH(V621,لیست‌ها!$P$3:$P$53,0))+IF(W621&lt;=6,(W621-1)*31+X621,IF(W621&lt;=11,186+(W621-7)*30+X621,336+X621))-1,""))</f>
        <v/>
      </c>
      <c r="Z621" s="18" t="str">
        <f t="shared" si="135"/>
        <v/>
      </c>
      <c r="AA621" s="18" t="str">
        <f t="shared" si="136"/>
        <v/>
      </c>
      <c r="AB621" s="18" t="str">
        <f t="shared" si="137"/>
        <v/>
      </c>
      <c r="AC621" s="18" t="str">
        <f>IF(OR(H621="",Z621=""),"",IFERROR(INDEX(لیست‌ها!$Q$3:$Q$53,MATCH(Z621,لیست‌ها!$P$3:$P$53,0))+IF(AA621&lt;=6,(AA621-1)*31+AB621,IF(AA621&lt;=11,186+(AA621-7)*30+AB621,336+AB621))-1,""))</f>
        <v/>
      </c>
      <c r="AD621" s="18" t="str">
        <f t="shared" si="138"/>
        <v/>
      </c>
      <c r="AE621" s="18" t="str">
        <f t="shared" si="139"/>
        <v/>
      </c>
      <c r="AF621" s="18" t="str">
        <f t="shared" si="140"/>
        <v/>
      </c>
      <c r="AG621" s="18" t="str">
        <f>IF(OR(O621="",AD621=""),"",IFERROR(INDEX(لیست‌ها!$Q$3:$Q$53,MATCH(AD621,لیست‌ها!$P$3:$P$53,0))+IF(AE621&lt;=6,(AE621-1)*31+AF621,IF(AE621&lt;=11,186+(AE621-7)*30+AF621,336+AF621))-1,""))</f>
        <v/>
      </c>
      <c r="AH621" s="18" t="str">
        <f t="shared" si="141"/>
        <v/>
      </c>
      <c r="AI621" s="18" t="str">
        <f t="shared" si="142"/>
        <v/>
      </c>
      <c r="AJ621" s="18" t="str">
        <f t="shared" ca="1" si="143"/>
        <v/>
      </c>
    </row>
    <row r="622" spans="1:36">
      <c r="A622" s="18" t="str">
        <f t="shared" si="129"/>
        <v/>
      </c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8" t="str">
        <f t="shared" ca="1" si="130"/>
        <v/>
      </c>
      <c r="U622" s="18">
        <f t="shared" ca="1" si="131"/>
        <v>0</v>
      </c>
      <c r="V622" s="18" t="str">
        <f t="shared" si="132"/>
        <v/>
      </c>
      <c r="W622" s="18" t="str">
        <f t="shared" si="133"/>
        <v/>
      </c>
      <c r="X622" s="18" t="str">
        <f t="shared" si="134"/>
        <v/>
      </c>
      <c r="Y622" s="18" t="str">
        <f>IF(OR(L622="",V622=""),"",IFERROR(INDEX(لیست‌ها!$Q$3:$Q$53,MATCH(V622,لیست‌ها!$P$3:$P$53,0))+IF(W622&lt;=6,(W622-1)*31+X622,IF(W622&lt;=11,186+(W622-7)*30+X622,336+X622))-1,""))</f>
        <v/>
      </c>
      <c r="Z622" s="18" t="str">
        <f t="shared" si="135"/>
        <v/>
      </c>
      <c r="AA622" s="18" t="str">
        <f t="shared" si="136"/>
        <v/>
      </c>
      <c r="AB622" s="18" t="str">
        <f t="shared" si="137"/>
        <v/>
      </c>
      <c r="AC622" s="18" t="str">
        <f>IF(OR(H622="",Z622=""),"",IFERROR(INDEX(لیست‌ها!$Q$3:$Q$53,MATCH(Z622,لیست‌ها!$P$3:$P$53,0))+IF(AA622&lt;=6,(AA622-1)*31+AB622,IF(AA622&lt;=11,186+(AA622-7)*30+AB622,336+AB622))-1,""))</f>
        <v/>
      </c>
      <c r="AD622" s="18" t="str">
        <f t="shared" si="138"/>
        <v/>
      </c>
      <c r="AE622" s="18" t="str">
        <f t="shared" si="139"/>
        <v/>
      </c>
      <c r="AF622" s="18" t="str">
        <f t="shared" si="140"/>
        <v/>
      </c>
      <c r="AG622" s="18" t="str">
        <f>IF(OR(O622="",AD622=""),"",IFERROR(INDEX(لیست‌ها!$Q$3:$Q$53,MATCH(AD622,لیست‌ها!$P$3:$P$53,0))+IF(AE622&lt;=6,(AE622-1)*31+AF622,IF(AE622&lt;=11,186+(AE622-7)*30+AF622,336+AF622))-1,""))</f>
        <v/>
      </c>
      <c r="AH622" s="18" t="str">
        <f t="shared" si="141"/>
        <v/>
      </c>
      <c r="AI622" s="18" t="str">
        <f t="shared" si="142"/>
        <v/>
      </c>
      <c r="AJ622" s="18" t="str">
        <f t="shared" ca="1" si="143"/>
        <v/>
      </c>
    </row>
    <row r="623" spans="1:36">
      <c r="A623" s="18" t="str">
        <f t="shared" si="129"/>
        <v/>
      </c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8" t="str">
        <f t="shared" ca="1" si="130"/>
        <v/>
      </c>
      <c r="U623" s="18">
        <f t="shared" ca="1" si="131"/>
        <v>0</v>
      </c>
      <c r="V623" s="18" t="str">
        <f t="shared" si="132"/>
        <v/>
      </c>
      <c r="W623" s="18" t="str">
        <f t="shared" si="133"/>
        <v/>
      </c>
      <c r="X623" s="18" t="str">
        <f t="shared" si="134"/>
        <v/>
      </c>
      <c r="Y623" s="18" t="str">
        <f>IF(OR(L623="",V623=""),"",IFERROR(INDEX(لیست‌ها!$Q$3:$Q$53,MATCH(V623,لیست‌ها!$P$3:$P$53,0))+IF(W623&lt;=6,(W623-1)*31+X623,IF(W623&lt;=11,186+(W623-7)*30+X623,336+X623))-1,""))</f>
        <v/>
      </c>
      <c r="Z623" s="18" t="str">
        <f t="shared" si="135"/>
        <v/>
      </c>
      <c r="AA623" s="18" t="str">
        <f t="shared" si="136"/>
        <v/>
      </c>
      <c r="AB623" s="18" t="str">
        <f t="shared" si="137"/>
        <v/>
      </c>
      <c r="AC623" s="18" t="str">
        <f>IF(OR(H623="",Z623=""),"",IFERROR(INDEX(لیست‌ها!$Q$3:$Q$53,MATCH(Z623,لیست‌ها!$P$3:$P$53,0))+IF(AA623&lt;=6,(AA623-1)*31+AB623,IF(AA623&lt;=11,186+(AA623-7)*30+AB623,336+AB623))-1,""))</f>
        <v/>
      </c>
      <c r="AD623" s="18" t="str">
        <f t="shared" si="138"/>
        <v/>
      </c>
      <c r="AE623" s="18" t="str">
        <f t="shared" si="139"/>
        <v/>
      </c>
      <c r="AF623" s="18" t="str">
        <f t="shared" si="140"/>
        <v/>
      </c>
      <c r="AG623" s="18" t="str">
        <f>IF(OR(O623="",AD623=""),"",IFERROR(INDEX(لیست‌ها!$Q$3:$Q$53,MATCH(AD623,لیست‌ها!$P$3:$P$53,0))+IF(AE623&lt;=6,(AE623-1)*31+AF623,IF(AE623&lt;=11,186+(AE623-7)*30+AF623,336+AF623))-1,""))</f>
        <v/>
      </c>
      <c r="AH623" s="18" t="str">
        <f t="shared" si="141"/>
        <v/>
      </c>
      <c r="AI623" s="18" t="str">
        <f t="shared" si="142"/>
        <v/>
      </c>
      <c r="AJ623" s="18" t="str">
        <f t="shared" ca="1" si="143"/>
        <v/>
      </c>
    </row>
    <row r="624" spans="1:36">
      <c r="A624" s="18" t="str">
        <f t="shared" si="129"/>
        <v/>
      </c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8" t="str">
        <f t="shared" ca="1" si="130"/>
        <v/>
      </c>
      <c r="U624" s="18">
        <f t="shared" ca="1" si="131"/>
        <v>0</v>
      </c>
      <c r="V624" s="18" t="str">
        <f t="shared" si="132"/>
        <v/>
      </c>
      <c r="W624" s="18" t="str">
        <f t="shared" si="133"/>
        <v/>
      </c>
      <c r="X624" s="18" t="str">
        <f t="shared" si="134"/>
        <v/>
      </c>
      <c r="Y624" s="18" t="str">
        <f>IF(OR(L624="",V624=""),"",IFERROR(INDEX(لیست‌ها!$Q$3:$Q$53,MATCH(V624,لیست‌ها!$P$3:$P$53,0))+IF(W624&lt;=6,(W624-1)*31+X624,IF(W624&lt;=11,186+(W624-7)*30+X624,336+X624))-1,""))</f>
        <v/>
      </c>
      <c r="Z624" s="18" t="str">
        <f t="shared" si="135"/>
        <v/>
      </c>
      <c r="AA624" s="18" t="str">
        <f t="shared" si="136"/>
        <v/>
      </c>
      <c r="AB624" s="18" t="str">
        <f t="shared" si="137"/>
        <v/>
      </c>
      <c r="AC624" s="18" t="str">
        <f>IF(OR(H624="",Z624=""),"",IFERROR(INDEX(لیست‌ها!$Q$3:$Q$53,MATCH(Z624,لیست‌ها!$P$3:$P$53,0))+IF(AA624&lt;=6,(AA624-1)*31+AB624,IF(AA624&lt;=11,186+(AA624-7)*30+AB624,336+AB624))-1,""))</f>
        <v/>
      </c>
      <c r="AD624" s="18" t="str">
        <f t="shared" si="138"/>
        <v/>
      </c>
      <c r="AE624" s="18" t="str">
        <f t="shared" si="139"/>
        <v/>
      </c>
      <c r="AF624" s="18" t="str">
        <f t="shared" si="140"/>
        <v/>
      </c>
      <c r="AG624" s="18" t="str">
        <f>IF(OR(O624="",AD624=""),"",IFERROR(INDEX(لیست‌ها!$Q$3:$Q$53,MATCH(AD624,لیست‌ها!$P$3:$P$53,0))+IF(AE624&lt;=6,(AE624-1)*31+AF624,IF(AE624&lt;=11,186+(AE624-7)*30+AF624,336+AF624))-1,""))</f>
        <v/>
      </c>
      <c r="AH624" s="18" t="str">
        <f t="shared" si="141"/>
        <v/>
      </c>
      <c r="AI624" s="18" t="str">
        <f t="shared" si="142"/>
        <v/>
      </c>
      <c r="AJ624" s="18" t="str">
        <f t="shared" ca="1" si="143"/>
        <v/>
      </c>
    </row>
    <row r="625" spans="1:36">
      <c r="A625" s="18" t="str">
        <f t="shared" si="129"/>
        <v/>
      </c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8" t="str">
        <f t="shared" ca="1" si="130"/>
        <v/>
      </c>
      <c r="U625" s="18">
        <f t="shared" ca="1" si="131"/>
        <v>0</v>
      </c>
      <c r="V625" s="18" t="str">
        <f t="shared" si="132"/>
        <v/>
      </c>
      <c r="W625" s="18" t="str">
        <f t="shared" si="133"/>
        <v/>
      </c>
      <c r="X625" s="18" t="str">
        <f t="shared" si="134"/>
        <v/>
      </c>
      <c r="Y625" s="18" t="str">
        <f>IF(OR(L625="",V625=""),"",IFERROR(INDEX(لیست‌ها!$Q$3:$Q$53,MATCH(V625,لیست‌ها!$P$3:$P$53,0))+IF(W625&lt;=6,(W625-1)*31+X625,IF(W625&lt;=11,186+(W625-7)*30+X625,336+X625))-1,""))</f>
        <v/>
      </c>
      <c r="Z625" s="18" t="str">
        <f t="shared" si="135"/>
        <v/>
      </c>
      <c r="AA625" s="18" t="str">
        <f t="shared" si="136"/>
        <v/>
      </c>
      <c r="AB625" s="18" t="str">
        <f t="shared" si="137"/>
        <v/>
      </c>
      <c r="AC625" s="18" t="str">
        <f>IF(OR(H625="",Z625=""),"",IFERROR(INDEX(لیست‌ها!$Q$3:$Q$53,MATCH(Z625,لیست‌ها!$P$3:$P$53,0))+IF(AA625&lt;=6,(AA625-1)*31+AB625,IF(AA625&lt;=11,186+(AA625-7)*30+AB625,336+AB625))-1,""))</f>
        <v/>
      </c>
      <c r="AD625" s="18" t="str">
        <f t="shared" si="138"/>
        <v/>
      </c>
      <c r="AE625" s="18" t="str">
        <f t="shared" si="139"/>
        <v/>
      </c>
      <c r="AF625" s="18" t="str">
        <f t="shared" si="140"/>
        <v/>
      </c>
      <c r="AG625" s="18" t="str">
        <f>IF(OR(O625="",AD625=""),"",IFERROR(INDEX(لیست‌ها!$Q$3:$Q$53,MATCH(AD625,لیست‌ها!$P$3:$P$53,0))+IF(AE625&lt;=6,(AE625-1)*31+AF625,IF(AE625&lt;=11,186+(AE625-7)*30+AF625,336+AF625))-1,""))</f>
        <v/>
      </c>
      <c r="AH625" s="18" t="str">
        <f t="shared" si="141"/>
        <v/>
      </c>
      <c r="AI625" s="18" t="str">
        <f t="shared" si="142"/>
        <v/>
      </c>
      <c r="AJ625" s="18" t="str">
        <f t="shared" ca="1" si="143"/>
        <v/>
      </c>
    </row>
    <row r="626" spans="1:36">
      <c r="A626" s="18" t="str">
        <f t="shared" si="129"/>
        <v/>
      </c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8" t="str">
        <f t="shared" ca="1" si="130"/>
        <v/>
      </c>
      <c r="U626" s="18">
        <f t="shared" ca="1" si="131"/>
        <v>0</v>
      </c>
      <c r="V626" s="18" t="str">
        <f t="shared" si="132"/>
        <v/>
      </c>
      <c r="W626" s="18" t="str">
        <f t="shared" si="133"/>
        <v/>
      </c>
      <c r="X626" s="18" t="str">
        <f t="shared" si="134"/>
        <v/>
      </c>
      <c r="Y626" s="18" t="str">
        <f>IF(OR(L626="",V626=""),"",IFERROR(INDEX(لیست‌ها!$Q$3:$Q$53,MATCH(V626,لیست‌ها!$P$3:$P$53,0))+IF(W626&lt;=6,(W626-1)*31+X626,IF(W626&lt;=11,186+(W626-7)*30+X626,336+X626))-1,""))</f>
        <v/>
      </c>
      <c r="Z626" s="18" t="str">
        <f t="shared" si="135"/>
        <v/>
      </c>
      <c r="AA626" s="18" t="str">
        <f t="shared" si="136"/>
        <v/>
      </c>
      <c r="AB626" s="18" t="str">
        <f t="shared" si="137"/>
        <v/>
      </c>
      <c r="AC626" s="18" t="str">
        <f>IF(OR(H626="",Z626=""),"",IFERROR(INDEX(لیست‌ها!$Q$3:$Q$53,MATCH(Z626,لیست‌ها!$P$3:$P$53,0))+IF(AA626&lt;=6,(AA626-1)*31+AB626,IF(AA626&lt;=11,186+(AA626-7)*30+AB626,336+AB626))-1,""))</f>
        <v/>
      </c>
      <c r="AD626" s="18" t="str">
        <f t="shared" si="138"/>
        <v/>
      </c>
      <c r="AE626" s="18" t="str">
        <f t="shared" si="139"/>
        <v/>
      </c>
      <c r="AF626" s="18" t="str">
        <f t="shared" si="140"/>
        <v/>
      </c>
      <c r="AG626" s="18" t="str">
        <f>IF(OR(O626="",AD626=""),"",IFERROR(INDEX(لیست‌ها!$Q$3:$Q$53,MATCH(AD626,لیست‌ها!$P$3:$P$53,0))+IF(AE626&lt;=6,(AE626-1)*31+AF626,IF(AE626&lt;=11,186+(AE626-7)*30+AF626,336+AF626))-1,""))</f>
        <v/>
      </c>
      <c r="AH626" s="18" t="str">
        <f t="shared" si="141"/>
        <v/>
      </c>
      <c r="AI626" s="18" t="str">
        <f t="shared" si="142"/>
        <v/>
      </c>
      <c r="AJ626" s="18" t="str">
        <f t="shared" ca="1" si="143"/>
        <v/>
      </c>
    </row>
    <row r="627" spans="1:36">
      <c r="A627" s="18" t="str">
        <f t="shared" si="129"/>
        <v/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8" t="str">
        <f t="shared" ca="1" si="130"/>
        <v/>
      </c>
      <c r="U627" s="18">
        <f t="shared" ca="1" si="131"/>
        <v>0</v>
      </c>
      <c r="V627" s="18" t="str">
        <f t="shared" si="132"/>
        <v/>
      </c>
      <c r="W627" s="18" t="str">
        <f t="shared" si="133"/>
        <v/>
      </c>
      <c r="X627" s="18" t="str">
        <f t="shared" si="134"/>
        <v/>
      </c>
      <c r="Y627" s="18" t="str">
        <f>IF(OR(L627="",V627=""),"",IFERROR(INDEX(لیست‌ها!$Q$3:$Q$53,MATCH(V627,لیست‌ها!$P$3:$P$53,0))+IF(W627&lt;=6,(W627-1)*31+X627,IF(W627&lt;=11,186+(W627-7)*30+X627,336+X627))-1,""))</f>
        <v/>
      </c>
      <c r="Z627" s="18" t="str">
        <f t="shared" si="135"/>
        <v/>
      </c>
      <c r="AA627" s="18" t="str">
        <f t="shared" si="136"/>
        <v/>
      </c>
      <c r="AB627" s="18" t="str">
        <f t="shared" si="137"/>
        <v/>
      </c>
      <c r="AC627" s="18" t="str">
        <f>IF(OR(H627="",Z627=""),"",IFERROR(INDEX(لیست‌ها!$Q$3:$Q$53,MATCH(Z627,لیست‌ها!$P$3:$P$53,0))+IF(AA627&lt;=6,(AA627-1)*31+AB627,IF(AA627&lt;=11,186+(AA627-7)*30+AB627,336+AB627))-1,""))</f>
        <v/>
      </c>
      <c r="AD627" s="18" t="str">
        <f t="shared" si="138"/>
        <v/>
      </c>
      <c r="AE627" s="18" t="str">
        <f t="shared" si="139"/>
        <v/>
      </c>
      <c r="AF627" s="18" t="str">
        <f t="shared" si="140"/>
        <v/>
      </c>
      <c r="AG627" s="18" t="str">
        <f>IF(OR(O627="",AD627=""),"",IFERROR(INDEX(لیست‌ها!$Q$3:$Q$53,MATCH(AD627,لیست‌ها!$P$3:$P$53,0))+IF(AE627&lt;=6,(AE627-1)*31+AF627,IF(AE627&lt;=11,186+(AE627-7)*30+AF627,336+AF627))-1,""))</f>
        <v/>
      </c>
      <c r="AH627" s="18" t="str">
        <f t="shared" si="141"/>
        <v/>
      </c>
      <c r="AI627" s="18" t="str">
        <f t="shared" si="142"/>
        <v/>
      </c>
      <c r="AJ627" s="18" t="str">
        <f t="shared" ca="1" si="143"/>
        <v/>
      </c>
    </row>
    <row r="628" spans="1:36">
      <c r="A628" s="18" t="str">
        <f t="shared" si="129"/>
        <v/>
      </c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8" t="str">
        <f t="shared" ca="1" si="130"/>
        <v/>
      </c>
      <c r="U628" s="18">
        <f t="shared" ca="1" si="131"/>
        <v>0</v>
      </c>
      <c r="V628" s="18" t="str">
        <f t="shared" si="132"/>
        <v/>
      </c>
      <c r="W628" s="18" t="str">
        <f t="shared" si="133"/>
        <v/>
      </c>
      <c r="X628" s="18" t="str">
        <f t="shared" si="134"/>
        <v/>
      </c>
      <c r="Y628" s="18" t="str">
        <f>IF(OR(L628="",V628=""),"",IFERROR(INDEX(لیست‌ها!$Q$3:$Q$53,MATCH(V628,لیست‌ها!$P$3:$P$53,0))+IF(W628&lt;=6,(W628-1)*31+X628,IF(W628&lt;=11,186+(W628-7)*30+X628,336+X628))-1,""))</f>
        <v/>
      </c>
      <c r="Z628" s="18" t="str">
        <f t="shared" si="135"/>
        <v/>
      </c>
      <c r="AA628" s="18" t="str">
        <f t="shared" si="136"/>
        <v/>
      </c>
      <c r="AB628" s="18" t="str">
        <f t="shared" si="137"/>
        <v/>
      </c>
      <c r="AC628" s="18" t="str">
        <f>IF(OR(H628="",Z628=""),"",IFERROR(INDEX(لیست‌ها!$Q$3:$Q$53,MATCH(Z628,لیست‌ها!$P$3:$P$53,0))+IF(AA628&lt;=6,(AA628-1)*31+AB628,IF(AA628&lt;=11,186+(AA628-7)*30+AB628,336+AB628))-1,""))</f>
        <v/>
      </c>
      <c r="AD628" s="18" t="str">
        <f t="shared" si="138"/>
        <v/>
      </c>
      <c r="AE628" s="18" t="str">
        <f t="shared" si="139"/>
        <v/>
      </c>
      <c r="AF628" s="18" t="str">
        <f t="shared" si="140"/>
        <v/>
      </c>
      <c r="AG628" s="18" t="str">
        <f>IF(OR(O628="",AD628=""),"",IFERROR(INDEX(لیست‌ها!$Q$3:$Q$53,MATCH(AD628,لیست‌ها!$P$3:$P$53,0))+IF(AE628&lt;=6,(AE628-1)*31+AF628,IF(AE628&lt;=11,186+(AE628-7)*30+AF628,336+AF628))-1,""))</f>
        <v/>
      </c>
      <c r="AH628" s="18" t="str">
        <f t="shared" si="141"/>
        <v/>
      </c>
      <c r="AI628" s="18" t="str">
        <f t="shared" si="142"/>
        <v/>
      </c>
      <c r="AJ628" s="18" t="str">
        <f t="shared" ca="1" si="143"/>
        <v/>
      </c>
    </row>
    <row r="629" spans="1:36">
      <c r="A629" s="18" t="str">
        <f t="shared" si="129"/>
        <v/>
      </c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8" t="str">
        <f t="shared" ca="1" si="130"/>
        <v/>
      </c>
      <c r="U629" s="18">
        <f t="shared" ca="1" si="131"/>
        <v>0</v>
      </c>
      <c r="V629" s="18" t="str">
        <f t="shared" si="132"/>
        <v/>
      </c>
      <c r="W629" s="18" t="str">
        <f t="shared" si="133"/>
        <v/>
      </c>
      <c r="X629" s="18" t="str">
        <f t="shared" si="134"/>
        <v/>
      </c>
      <c r="Y629" s="18" t="str">
        <f>IF(OR(L629="",V629=""),"",IFERROR(INDEX(لیست‌ها!$Q$3:$Q$53,MATCH(V629,لیست‌ها!$P$3:$P$53,0))+IF(W629&lt;=6,(W629-1)*31+X629,IF(W629&lt;=11,186+(W629-7)*30+X629,336+X629))-1,""))</f>
        <v/>
      </c>
      <c r="Z629" s="18" t="str">
        <f t="shared" si="135"/>
        <v/>
      </c>
      <c r="AA629" s="18" t="str">
        <f t="shared" si="136"/>
        <v/>
      </c>
      <c r="AB629" s="18" t="str">
        <f t="shared" si="137"/>
        <v/>
      </c>
      <c r="AC629" s="18" t="str">
        <f>IF(OR(H629="",Z629=""),"",IFERROR(INDEX(لیست‌ها!$Q$3:$Q$53,MATCH(Z629,لیست‌ها!$P$3:$P$53,0))+IF(AA629&lt;=6,(AA629-1)*31+AB629,IF(AA629&lt;=11,186+(AA629-7)*30+AB629,336+AB629))-1,""))</f>
        <v/>
      </c>
      <c r="AD629" s="18" t="str">
        <f t="shared" si="138"/>
        <v/>
      </c>
      <c r="AE629" s="18" t="str">
        <f t="shared" si="139"/>
        <v/>
      </c>
      <c r="AF629" s="18" t="str">
        <f t="shared" si="140"/>
        <v/>
      </c>
      <c r="AG629" s="18" t="str">
        <f>IF(OR(O629="",AD629=""),"",IFERROR(INDEX(لیست‌ها!$Q$3:$Q$53,MATCH(AD629,لیست‌ها!$P$3:$P$53,0))+IF(AE629&lt;=6,(AE629-1)*31+AF629,IF(AE629&lt;=11,186+(AE629-7)*30+AF629,336+AF629))-1,""))</f>
        <v/>
      </c>
      <c r="AH629" s="18" t="str">
        <f t="shared" si="141"/>
        <v/>
      </c>
      <c r="AI629" s="18" t="str">
        <f t="shared" si="142"/>
        <v/>
      </c>
      <c r="AJ629" s="18" t="str">
        <f t="shared" ca="1" si="143"/>
        <v/>
      </c>
    </row>
    <row r="630" spans="1:36">
      <c r="A630" s="18" t="str">
        <f t="shared" si="129"/>
        <v/>
      </c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8" t="str">
        <f t="shared" ca="1" si="130"/>
        <v/>
      </c>
      <c r="U630" s="18">
        <f t="shared" ca="1" si="131"/>
        <v>0</v>
      </c>
      <c r="V630" s="18" t="str">
        <f t="shared" si="132"/>
        <v/>
      </c>
      <c r="W630" s="18" t="str">
        <f t="shared" si="133"/>
        <v/>
      </c>
      <c r="X630" s="18" t="str">
        <f t="shared" si="134"/>
        <v/>
      </c>
      <c r="Y630" s="18" t="str">
        <f>IF(OR(L630="",V630=""),"",IFERROR(INDEX(لیست‌ها!$Q$3:$Q$53,MATCH(V630,لیست‌ها!$P$3:$P$53,0))+IF(W630&lt;=6,(W630-1)*31+X630,IF(W630&lt;=11,186+(W630-7)*30+X630,336+X630))-1,""))</f>
        <v/>
      </c>
      <c r="Z630" s="18" t="str">
        <f t="shared" si="135"/>
        <v/>
      </c>
      <c r="AA630" s="18" t="str">
        <f t="shared" si="136"/>
        <v/>
      </c>
      <c r="AB630" s="18" t="str">
        <f t="shared" si="137"/>
        <v/>
      </c>
      <c r="AC630" s="18" t="str">
        <f>IF(OR(H630="",Z630=""),"",IFERROR(INDEX(لیست‌ها!$Q$3:$Q$53,MATCH(Z630,لیست‌ها!$P$3:$P$53,0))+IF(AA630&lt;=6,(AA630-1)*31+AB630,IF(AA630&lt;=11,186+(AA630-7)*30+AB630,336+AB630))-1,""))</f>
        <v/>
      </c>
      <c r="AD630" s="18" t="str">
        <f t="shared" si="138"/>
        <v/>
      </c>
      <c r="AE630" s="18" t="str">
        <f t="shared" si="139"/>
        <v/>
      </c>
      <c r="AF630" s="18" t="str">
        <f t="shared" si="140"/>
        <v/>
      </c>
      <c r="AG630" s="18" t="str">
        <f>IF(OR(O630="",AD630=""),"",IFERROR(INDEX(لیست‌ها!$Q$3:$Q$53,MATCH(AD630,لیست‌ها!$P$3:$P$53,0))+IF(AE630&lt;=6,(AE630-1)*31+AF630,IF(AE630&lt;=11,186+(AE630-7)*30+AF630,336+AF630))-1,""))</f>
        <v/>
      </c>
      <c r="AH630" s="18" t="str">
        <f t="shared" si="141"/>
        <v/>
      </c>
      <c r="AI630" s="18" t="str">
        <f t="shared" si="142"/>
        <v/>
      </c>
      <c r="AJ630" s="18" t="str">
        <f t="shared" ca="1" si="143"/>
        <v/>
      </c>
    </row>
    <row r="631" spans="1:36">
      <c r="A631" s="18" t="str">
        <f t="shared" si="129"/>
        <v/>
      </c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8" t="str">
        <f t="shared" ca="1" si="130"/>
        <v/>
      </c>
      <c r="U631" s="18">
        <f t="shared" ca="1" si="131"/>
        <v>0</v>
      </c>
      <c r="V631" s="18" t="str">
        <f t="shared" si="132"/>
        <v/>
      </c>
      <c r="W631" s="18" t="str">
        <f t="shared" si="133"/>
        <v/>
      </c>
      <c r="X631" s="18" t="str">
        <f t="shared" si="134"/>
        <v/>
      </c>
      <c r="Y631" s="18" t="str">
        <f>IF(OR(L631="",V631=""),"",IFERROR(INDEX(لیست‌ها!$Q$3:$Q$53,MATCH(V631,لیست‌ها!$P$3:$P$53,0))+IF(W631&lt;=6,(W631-1)*31+X631,IF(W631&lt;=11,186+(W631-7)*30+X631,336+X631))-1,""))</f>
        <v/>
      </c>
      <c r="Z631" s="18" t="str">
        <f t="shared" si="135"/>
        <v/>
      </c>
      <c r="AA631" s="18" t="str">
        <f t="shared" si="136"/>
        <v/>
      </c>
      <c r="AB631" s="18" t="str">
        <f t="shared" si="137"/>
        <v/>
      </c>
      <c r="AC631" s="18" t="str">
        <f>IF(OR(H631="",Z631=""),"",IFERROR(INDEX(لیست‌ها!$Q$3:$Q$53,MATCH(Z631,لیست‌ها!$P$3:$P$53,0))+IF(AA631&lt;=6,(AA631-1)*31+AB631,IF(AA631&lt;=11,186+(AA631-7)*30+AB631,336+AB631))-1,""))</f>
        <v/>
      </c>
      <c r="AD631" s="18" t="str">
        <f t="shared" si="138"/>
        <v/>
      </c>
      <c r="AE631" s="18" t="str">
        <f t="shared" si="139"/>
        <v/>
      </c>
      <c r="AF631" s="18" t="str">
        <f t="shared" si="140"/>
        <v/>
      </c>
      <c r="AG631" s="18" t="str">
        <f>IF(OR(O631="",AD631=""),"",IFERROR(INDEX(لیست‌ها!$Q$3:$Q$53,MATCH(AD631,لیست‌ها!$P$3:$P$53,0))+IF(AE631&lt;=6,(AE631-1)*31+AF631,IF(AE631&lt;=11,186+(AE631-7)*30+AF631,336+AF631))-1,""))</f>
        <v/>
      </c>
      <c r="AH631" s="18" t="str">
        <f t="shared" si="141"/>
        <v/>
      </c>
      <c r="AI631" s="18" t="str">
        <f t="shared" si="142"/>
        <v/>
      </c>
      <c r="AJ631" s="18" t="str">
        <f t="shared" ca="1" si="143"/>
        <v/>
      </c>
    </row>
    <row r="632" spans="1:36">
      <c r="A632" s="18" t="str">
        <f t="shared" si="129"/>
        <v/>
      </c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8" t="str">
        <f t="shared" ca="1" si="130"/>
        <v/>
      </c>
      <c r="U632" s="18">
        <f t="shared" ca="1" si="131"/>
        <v>0</v>
      </c>
      <c r="V632" s="18" t="str">
        <f t="shared" si="132"/>
        <v/>
      </c>
      <c r="W632" s="18" t="str">
        <f t="shared" si="133"/>
        <v/>
      </c>
      <c r="X632" s="18" t="str">
        <f t="shared" si="134"/>
        <v/>
      </c>
      <c r="Y632" s="18" t="str">
        <f>IF(OR(L632="",V632=""),"",IFERROR(INDEX(لیست‌ها!$Q$3:$Q$53,MATCH(V632,لیست‌ها!$P$3:$P$53,0))+IF(W632&lt;=6,(W632-1)*31+X632,IF(W632&lt;=11,186+(W632-7)*30+X632,336+X632))-1,""))</f>
        <v/>
      </c>
      <c r="Z632" s="18" t="str">
        <f t="shared" si="135"/>
        <v/>
      </c>
      <c r="AA632" s="18" t="str">
        <f t="shared" si="136"/>
        <v/>
      </c>
      <c r="AB632" s="18" t="str">
        <f t="shared" si="137"/>
        <v/>
      </c>
      <c r="AC632" s="18" t="str">
        <f>IF(OR(H632="",Z632=""),"",IFERROR(INDEX(لیست‌ها!$Q$3:$Q$53,MATCH(Z632,لیست‌ها!$P$3:$P$53,0))+IF(AA632&lt;=6,(AA632-1)*31+AB632,IF(AA632&lt;=11,186+(AA632-7)*30+AB632,336+AB632))-1,""))</f>
        <v/>
      </c>
      <c r="AD632" s="18" t="str">
        <f t="shared" si="138"/>
        <v/>
      </c>
      <c r="AE632" s="18" t="str">
        <f t="shared" si="139"/>
        <v/>
      </c>
      <c r="AF632" s="18" t="str">
        <f t="shared" si="140"/>
        <v/>
      </c>
      <c r="AG632" s="18" t="str">
        <f>IF(OR(O632="",AD632=""),"",IFERROR(INDEX(لیست‌ها!$Q$3:$Q$53,MATCH(AD632,لیست‌ها!$P$3:$P$53,0))+IF(AE632&lt;=6,(AE632-1)*31+AF632,IF(AE632&lt;=11,186+(AE632-7)*30+AF632,336+AF632))-1,""))</f>
        <v/>
      </c>
      <c r="AH632" s="18" t="str">
        <f t="shared" si="141"/>
        <v/>
      </c>
      <c r="AI632" s="18" t="str">
        <f t="shared" si="142"/>
        <v/>
      </c>
      <c r="AJ632" s="18" t="str">
        <f t="shared" ca="1" si="143"/>
        <v/>
      </c>
    </row>
    <row r="633" spans="1:36">
      <c r="A633" s="18" t="str">
        <f t="shared" si="129"/>
        <v/>
      </c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8" t="str">
        <f t="shared" ca="1" si="130"/>
        <v/>
      </c>
      <c r="U633" s="18">
        <f t="shared" ca="1" si="131"/>
        <v>0</v>
      </c>
      <c r="V633" s="18" t="str">
        <f t="shared" si="132"/>
        <v/>
      </c>
      <c r="W633" s="18" t="str">
        <f t="shared" si="133"/>
        <v/>
      </c>
      <c r="X633" s="18" t="str">
        <f t="shared" si="134"/>
        <v/>
      </c>
      <c r="Y633" s="18" t="str">
        <f>IF(OR(L633="",V633=""),"",IFERROR(INDEX(لیست‌ها!$Q$3:$Q$53,MATCH(V633,لیست‌ها!$P$3:$P$53,0))+IF(W633&lt;=6,(W633-1)*31+X633,IF(W633&lt;=11,186+(W633-7)*30+X633,336+X633))-1,""))</f>
        <v/>
      </c>
      <c r="Z633" s="18" t="str">
        <f t="shared" si="135"/>
        <v/>
      </c>
      <c r="AA633" s="18" t="str">
        <f t="shared" si="136"/>
        <v/>
      </c>
      <c r="AB633" s="18" t="str">
        <f t="shared" si="137"/>
        <v/>
      </c>
      <c r="AC633" s="18" t="str">
        <f>IF(OR(H633="",Z633=""),"",IFERROR(INDEX(لیست‌ها!$Q$3:$Q$53,MATCH(Z633,لیست‌ها!$P$3:$P$53,0))+IF(AA633&lt;=6,(AA633-1)*31+AB633,IF(AA633&lt;=11,186+(AA633-7)*30+AB633,336+AB633))-1,""))</f>
        <v/>
      </c>
      <c r="AD633" s="18" t="str">
        <f t="shared" si="138"/>
        <v/>
      </c>
      <c r="AE633" s="18" t="str">
        <f t="shared" si="139"/>
        <v/>
      </c>
      <c r="AF633" s="18" t="str">
        <f t="shared" si="140"/>
        <v/>
      </c>
      <c r="AG633" s="18" t="str">
        <f>IF(OR(O633="",AD633=""),"",IFERROR(INDEX(لیست‌ها!$Q$3:$Q$53,MATCH(AD633,لیست‌ها!$P$3:$P$53,0))+IF(AE633&lt;=6,(AE633-1)*31+AF633,IF(AE633&lt;=11,186+(AE633-7)*30+AF633,336+AF633))-1,""))</f>
        <v/>
      </c>
      <c r="AH633" s="18" t="str">
        <f t="shared" si="141"/>
        <v/>
      </c>
      <c r="AI633" s="18" t="str">
        <f t="shared" si="142"/>
        <v/>
      </c>
      <c r="AJ633" s="18" t="str">
        <f t="shared" ca="1" si="143"/>
        <v/>
      </c>
    </row>
    <row r="634" spans="1:36">
      <c r="A634" s="18" t="str">
        <f t="shared" si="129"/>
        <v/>
      </c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8" t="str">
        <f t="shared" ca="1" si="130"/>
        <v/>
      </c>
      <c r="U634" s="18">
        <f t="shared" ca="1" si="131"/>
        <v>0</v>
      </c>
      <c r="V634" s="18" t="str">
        <f t="shared" si="132"/>
        <v/>
      </c>
      <c r="W634" s="18" t="str">
        <f t="shared" si="133"/>
        <v/>
      </c>
      <c r="X634" s="18" t="str">
        <f t="shared" si="134"/>
        <v/>
      </c>
      <c r="Y634" s="18" t="str">
        <f>IF(OR(L634="",V634=""),"",IFERROR(INDEX(لیست‌ها!$Q$3:$Q$53,MATCH(V634,لیست‌ها!$P$3:$P$53,0))+IF(W634&lt;=6,(W634-1)*31+X634,IF(W634&lt;=11,186+(W634-7)*30+X634,336+X634))-1,""))</f>
        <v/>
      </c>
      <c r="Z634" s="18" t="str">
        <f t="shared" si="135"/>
        <v/>
      </c>
      <c r="AA634" s="18" t="str">
        <f t="shared" si="136"/>
        <v/>
      </c>
      <c r="AB634" s="18" t="str">
        <f t="shared" si="137"/>
        <v/>
      </c>
      <c r="AC634" s="18" t="str">
        <f>IF(OR(H634="",Z634=""),"",IFERROR(INDEX(لیست‌ها!$Q$3:$Q$53,MATCH(Z634,لیست‌ها!$P$3:$P$53,0))+IF(AA634&lt;=6,(AA634-1)*31+AB634,IF(AA634&lt;=11,186+(AA634-7)*30+AB634,336+AB634))-1,""))</f>
        <v/>
      </c>
      <c r="AD634" s="18" t="str">
        <f t="shared" si="138"/>
        <v/>
      </c>
      <c r="AE634" s="18" t="str">
        <f t="shared" si="139"/>
        <v/>
      </c>
      <c r="AF634" s="18" t="str">
        <f t="shared" si="140"/>
        <v/>
      </c>
      <c r="AG634" s="18" t="str">
        <f>IF(OR(O634="",AD634=""),"",IFERROR(INDEX(لیست‌ها!$Q$3:$Q$53,MATCH(AD634,لیست‌ها!$P$3:$P$53,0))+IF(AE634&lt;=6,(AE634-1)*31+AF634,IF(AE634&lt;=11,186+(AE634-7)*30+AF634,336+AF634))-1,""))</f>
        <v/>
      </c>
      <c r="AH634" s="18" t="str">
        <f t="shared" si="141"/>
        <v/>
      </c>
      <c r="AI634" s="18" t="str">
        <f t="shared" si="142"/>
        <v/>
      </c>
      <c r="AJ634" s="18" t="str">
        <f t="shared" ca="1" si="143"/>
        <v/>
      </c>
    </row>
    <row r="635" spans="1:36">
      <c r="A635" s="18" t="str">
        <f t="shared" si="129"/>
        <v/>
      </c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8" t="str">
        <f t="shared" ca="1" si="130"/>
        <v/>
      </c>
      <c r="U635" s="18">
        <f t="shared" ca="1" si="131"/>
        <v>0</v>
      </c>
      <c r="V635" s="18" t="str">
        <f t="shared" si="132"/>
        <v/>
      </c>
      <c r="W635" s="18" t="str">
        <f t="shared" si="133"/>
        <v/>
      </c>
      <c r="X635" s="18" t="str">
        <f t="shared" si="134"/>
        <v/>
      </c>
      <c r="Y635" s="18" t="str">
        <f>IF(OR(L635="",V635=""),"",IFERROR(INDEX(لیست‌ها!$Q$3:$Q$53,MATCH(V635,لیست‌ها!$P$3:$P$53,0))+IF(W635&lt;=6,(W635-1)*31+X635,IF(W635&lt;=11,186+(W635-7)*30+X635,336+X635))-1,""))</f>
        <v/>
      </c>
      <c r="Z635" s="18" t="str">
        <f t="shared" si="135"/>
        <v/>
      </c>
      <c r="AA635" s="18" t="str">
        <f t="shared" si="136"/>
        <v/>
      </c>
      <c r="AB635" s="18" t="str">
        <f t="shared" si="137"/>
        <v/>
      </c>
      <c r="AC635" s="18" t="str">
        <f>IF(OR(H635="",Z635=""),"",IFERROR(INDEX(لیست‌ها!$Q$3:$Q$53,MATCH(Z635,لیست‌ها!$P$3:$P$53,0))+IF(AA635&lt;=6,(AA635-1)*31+AB635,IF(AA635&lt;=11,186+(AA635-7)*30+AB635,336+AB635))-1,""))</f>
        <v/>
      </c>
      <c r="AD635" s="18" t="str">
        <f t="shared" si="138"/>
        <v/>
      </c>
      <c r="AE635" s="18" t="str">
        <f t="shared" si="139"/>
        <v/>
      </c>
      <c r="AF635" s="18" t="str">
        <f t="shared" si="140"/>
        <v/>
      </c>
      <c r="AG635" s="18" t="str">
        <f>IF(OR(O635="",AD635=""),"",IFERROR(INDEX(لیست‌ها!$Q$3:$Q$53,MATCH(AD635,لیست‌ها!$P$3:$P$53,0))+IF(AE635&lt;=6,(AE635-1)*31+AF635,IF(AE635&lt;=11,186+(AE635-7)*30+AF635,336+AF635))-1,""))</f>
        <v/>
      </c>
      <c r="AH635" s="18" t="str">
        <f t="shared" si="141"/>
        <v/>
      </c>
      <c r="AI635" s="18" t="str">
        <f t="shared" si="142"/>
        <v/>
      </c>
      <c r="AJ635" s="18" t="str">
        <f t="shared" ca="1" si="143"/>
        <v/>
      </c>
    </row>
    <row r="636" spans="1:36">
      <c r="A636" s="18" t="str">
        <f t="shared" si="129"/>
        <v/>
      </c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8" t="str">
        <f t="shared" ca="1" si="130"/>
        <v/>
      </c>
      <c r="U636" s="18">
        <f t="shared" ca="1" si="131"/>
        <v>0</v>
      </c>
      <c r="V636" s="18" t="str">
        <f t="shared" si="132"/>
        <v/>
      </c>
      <c r="W636" s="18" t="str">
        <f t="shared" si="133"/>
        <v/>
      </c>
      <c r="X636" s="18" t="str">
        <f t="shared" si="134"/>
        <v/>
      </c>
      <c r="Y636" s="18" t="str">
        <f>IF(OR(L636="",V636=""),"",IFERROR(INDEX(لیست‌ها!$Q$3:$Q$53,MATCH(V636,لیست‌ها!$P$3:$P$53,0))+IF(W636&lt;=6,(W636-1)*31+X636,IF(W636&lt;=11,186+(W636-7)*30+X636,336+X636))-1,""))</f>
        <v/>
      </c>
      <c r="Z636" s="18" t="str">
        <f t="shared" si="135"/>
        <v/>
      </c>
      <c r="AA636" s="18" t="str">
        <f t="shared" si="136"/>
        <v/>
      </c>
      <c r="AB636" s="18" t="str">
        <f t="shared" si="137"/>
        <v/>
      </c>
      <c r="AC636" s="18" t="str">
        <f>IF(OR(H636="",Z636=""),"",IFERROR(INDEX(لیست‌ها!$Q$3:$Q$53,MATCH(Z636,لیست‌ها!$P$3:$P$53,0))+IF(AA636&lt;=6,(AA636-1)*31+AB636,IF(AA636&lt;=11,186+(AA636-7)*30+AB636,336+AB636))-1,""))</f>
        <v/>
      </c>
      <c r="AD636" s="18" t="str">
        <f t="shared" si="138"/>
        <v/>
      </c>
      <c r="AE636" s="18" t="str">
        <f t="shared" si="139"/>
        <v/>
      </c>
      <c r="AF636" s="18" t="str">
        <f t="shared" si="140"/>
        <v/>
      </c>
      <c r="AG636" s="18" t="str">
        <f>IF(OR(O636="",AD636=""),"",IFERROR(INDEX(لیست‌ها!$Q$3:$Q$53,MATCH(AD636,لیست‌ها!$P$3:$P$53,0))+IF(AE636&lt;=6,(AE636-1)*31+AF636,IF(AE636&lt;=11,186+(AE636-7)*30+AF636,336+AF636))-1,""))</f>
        <v/>
      </c>
      <c r="AH636" s="18" t="str">
        <f t="shared" si="141"/>
        <v/>
      </c>
      <c r="AI636" s="18" t="str">
        <f t="shared" si="142"/>
        <v/>
      </c>
      <c r="AJ636" s="18" t="str">
        <f t="shared" ca="1" si="143"/>
        <v/>
      </c>
    </row>
    <row r="637" spans="1:36">
      <c r="A637" s="18" t="str">
        <f t="shared" si="129"/>
        <v/>
      </c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8" t="str">
        <f t="shared" ca="1" si="130"/>
        <v/>
      </c>
      <c r="U637" s="18">
        <f t="shared" ca="1" si="131"/>
        <v>0</v>
      </c>
      <c r="V637" s="18" t="str">
        <f t="shared" si="132"/>
        <v/>
      </c>
      <c r="W637" s="18" t="str">
        <f t="shared" si="133"/>
        <v/>
      </c>
      <c r="X637" s="18" t="str">
        <f t="shared" si="134"/>
        <v/>
      </c>
      <c r="Y637" s="18" t="str">
        <f>IF(OR(L637="",V637=""),"",IFERROR(INDEX(لیست‌ها!$Q$3:$Q$53,MATCH(V637,لیست‌ها!$P$3:$P$53,0))+IF(W637&lt;=6,(W637-1)*31+X637,IF(W637&lt;=11,186+(W637-7)*30+X637,336+X637))-1,""))</f>
        <v/>
      </c>
      <c r="Z637" s="18" t="str">
        <f t="shared" si="135"/>
        <v/>
      </c>
      <c r="AA637" s="18" t="str">
        <f t="shared" si="136"/>
        <v/>
      </c>
      <c r="AB637" s="18" t="str">
        <f t="shared" si="137"/>
        <v/>
      </c>
      <c r="AC637" s="18" t="str">
        <f>IF(OR(H637="",Z637=""),"",IFERROR(INDEX(لیست‌ها!$Q$3:$Q$53,MATCH(Z637,لیست‌ها!$P$3:$P$53,0))+IF(AA637&lt;=6,(AA637-1)*31+AB637,IF(AA637&lt;=11,186+(AA637-7)*30+AB637,336+AB637))-1,""))</f>
        <v/>
      </c>
      <c r="AD637" s="18" t="str">
        <f t="shared" si="138"/>
        <v/>
      </c>
      <c r="AE637" s="18" t="str">
        <f t="shared" si="139"/>
        <v/>
      </c>
      <c r="AF637" s="18" t="str">
        <f t="shared" si="140"/>
        <v/>
      </c>
      <c r="AG637" s="18" t="str">
        <f>IF(OR(O637="",AD637=""),"",IFERROR(INDEX(لیست‌ها!$Q$3:$Q$53,MATCH(AD637,لیست‌ها!$P$3:$P$53,0))+IF(AE637&lt;=6,(AE637-1)*31+AF637,IF(AE637&lt;=11,186+(AE637-7)*30+AF637,336+AF637))-1,""))</f>
        <v/>
      </c>
      <c r="AH637" s="18" t="str">
        <f t="shared" si="141"/>
        <v/>
      </c>
      <c r="AI637" s="18" t="str">
        <f t="shared" si="142"/>
        <v/>
      </c>
      <c r="AJ637" s="18" t="str">
        <f t="shared" ca="1" si="143"/>
        <v/>
      </c>
    </row>
    <row r="638" spans="1:36">
      <c r="A638" s="18" t="str">
        <f t="shared" si="129"/>
        <v/>
      </c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8" t="str">
        <f t="shared" ca="1" si="130"/>
        <v/>
      </c>
      <c r="U638" s="18">
        <f t="shared" ca="1" si="131"/>
        <v>0</v>
      </c>
      <c r="V638" s="18" t="str">
        <f t="shared" si="132"/>
        <v/>
      </c>
      <c r="W638" s="18" t="str">
        <f t="shared" si="133"/>
        <v/>
      </c>
      <c r="X638" s="18" t="str">
        <f t="shared" si="134"/>
        <v/>
      </c>
      <c r="Y638" s="18" t="str">
        <f>IF(OR(L638="",V638=""),"",IFERROR(INDEX(لیست‌ها!$Q$3:$Q$53,MATCH(V638,لیست‌ها!$P$3:$P$53,0))+IF(W638&lt;=6,(W638-1)*31+X638,IF(W638&lt;=11,186+(W638-7)*30+X638,336+X638))-1,""))</f>
        <v/>
      </c>
      <c r="Z638" s="18" t="str">
        <f t="shared" si="135"/>
        <v/>
      </c>
      <c r="AA638" s="18" t="str">
        <f t="shared" si="136"/>
        <v/>
      </c>
      <c r="AB638" s="18" t="str">
        <f t="shared" si="137"/>
        <v/>
      </c>
      <c r="AC638" s="18" t="str">
        <f>IF(OR(H638="",Z638=""),"",IFERROR(INDEX(لیست‌ها!$Q$3:$Q$53,MATCH(Z638,لیست‌ها!$P$3:$P$53,0))+IF(AA638&lt;=6,(AA638-1)*31+AB638,IF(AA638&lt;=11,186+(AA638-7)*30+AB638,336+AB638))-1,""))</f>
        <v/>
      </c>
      <c r="AD638" s="18" t="str">
        <f t="shared" si="138"/>
        <v/>
      </c>
      <c r="AE638" s="18" t="str">
        <f t="shared" si="139"/>
        <v/>
      </c>
      <c r="AF638" s="18" t="str">
        <f t="shared" si="140"/>
        <v/>
      </c>
      <c r="AG638" s="18" t="str">
        <f>IF(OR(O638="",AD638=""),"",IFERROR(INDEX(لیست‌ها!$Q$3:$Q$53,MATCH(AD638,لیست‌ها!$P$3:$P$53,0))+IF(AE638&lt;=6,(AE638-1)*31+AF638,IF(AE638&lt;=11,186+(AE638-7)*30+AF638,336+AF638))-1,""))</f>
        <v/>
      </c>
      <c r="AH638" s="18" t="str">
        <f t="shared" si="141"/>
        <v/>
      </c>
      <c r="AI638" s="18" t="str">
        <f t="shared" si="142"/>
        <v/>
      </c>
      <c r="AJ638" s="18" t="str">
        <f t="shared" ca="1" si="143"/>
        <v/>
      </c>
    </row>
    <row r="639" spans="1:36">
      <c r="A639" s="18" t="str">
        <f t="shared" si="129"/>
        <v/>
      </c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8" t="str">
        <f t="shared" ca="1" si="130"/>
        <v/>
      </c>
      <c r="U639" s="18">
        <f t="shared" ca="1" si="131"/>
        <v>0</v>
      </c>
      <c r="V639" s="18" t="str">
        <f t="shared" si="132"/>
        <v/>
      </c>
      <c r="W639" s="18" t="str">
        <f t="shared" si="133"/>
        <v/>
      </c>
      <c r="X639" s="18" t="str">
        <f t="shared" si="134"/>
        <v/>
      </c>
      <c r="Y639" s="18" t="str">
        <f>IF(OR(L639="",V639=""),"",IFERROR(INDEX(لیست‌ها!$Q$3:$Q$53,MATCH(V639,لیست‌ها!$P$3:$P$53,0))+IF(W639&lt;=6,(W639-1)*31+X639,IF(W639&lt;=11,186+(W639-7)*30+X639,336+X639))-1,""))</f>
        <v/>
      </c>
      <c r="Z639" s="18" t="str">
        <f t="shared" si="135"/>
        <v/>
      </c>
      <c r="AA639" s="18" t="str">
        <f t="shared" si="136"/>
        <v/>
      </c>
      <c r="AB639" s="18" t="str">
        <f t="shared" si="137"/>
        <v/>
      </c>
      <c r="AC639" s="18" t="str">
        <f>IF(OR(H639="",Z639=""),"",IFERROR(INDEX(لیست‌ها!$Q$3:$Q$53,MATCH(Z639,لیست‌ها!$P$3:$P$53,0))+IF(AA639&lt;=6,(AA639-1)*31+AB639,IF(AA639&lt;=11,186+(AA639-7)*30+AB639,336+AB639))-1,""))</f>
        <v/>
      </c>
      <c r="AD639" s="18" t="str">
        <f t="shared" si="138"/>
        <v/>
      </c>
      <c r="AE639" s="18" t="str">
        <f t="shared" si="139"/>
        <v/>
      </c>
      <c r="AF639" s="18" t="str">
        <f t="shared" si="140"/>
        <v/>
      </c>
      <c r="AG639" s="18" t="str">
        <f>IF(OR(O639="",AD639=""),"",IFERROR(INDEX(لیست‌ها!$Q$3:$Q$53,MATCH(AD639,لیست‌ها!$P$3:$P$53,0))+IF(AE639&lt;=6,(AE639-1)*31+AF639,IF(AE639&lt;=11,186+(AE639-7)*30+AF639,336+AF639))-1,""))</f>
        <v/>
      </c>
      <c r="AH639" s="18" t="str">
        <f t="shared" si="141"/>
        <v/>
      </c>
      <c r="AI639" s="18" t="str">
        <f t="shared" si="142"/>
        <v/>
      </c>
      <c r="AJ639" s="18" t="str">
        <f t="shared" ca="1" si="143"/>
        <v/>
      </c>
    </row>
    <row r="640" spans="1:36">
      <c r="A640" s="18" t="str">
        <f t="shared" si="129"/>
        <v/>
      </c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8" t="str">
        <f t="shared" ca="1" si="130"/>
        <v/>
      </c>
      <c r="U640" s="18">
        <f t="shared" ca="1" si="131"/>
        <v>0</v>
      </c>
      <c r="V640" s="18" t="str">
        <f t="shared" si="132"/>
        <v/>
      </c>
      <c r="W640" s="18" t="str">
        <f t="shared" si="133"/>
        <v/>
      </c>
      <c r="X640" s="18" t="str">
        <f t="shared" si="134"/>
        <v/>
      </c>
      <c r="Y640" s="18" t="str">
        <f>IF(OR(L640="",V640=""),"",IFERROR(INDEX(لیست‌ها!$Q$3:$Q$53,MATCH(V640,لیست‌ها!$P$3:$P$53,0))+IF(W640&lt;=6,(W640-1)*31+X640,IF(W640&lt;=11,186+(W640-7)*30+X640,336+X640))-1,""))</f>
        <v/>
      </c>
      <c r="Z640" s="18" t="str">
        <f t="shared" si="135"/>
        <v/>
      </c>
      <c r="AA640" s="18" t="str">
        <f t="shared" si="136"/>
        <v/>
      </c>
      <c r="AB640" s="18" t="str">
        <f t="shared" si="137"/>
        <v/>
      </c>
      <c r="AC640" s="18" t="str">
        <f>IF(OR(H640="",Z640=""),"",IFERROR(INDEX(لیست‌ها!$Q$3:$Q$53,MATCH(Z640,لیست‌ها!$P$3:$P$53,0))+IF(AA640&lt;=6,(AA640-1)*31+AB640,IF(AA640&lt;=11,186+(AA640-7)*30+AB640,336+AB640))-1,""))</f>
        <v/>
      </c>
      <c r="AD640" s="18" t="str">
        <f t="shared" si="138"/>
        <v/>
      </c>
      <c r="AE640" s="18" t="str">
        <f t="shared" si="139"/>
        <v/>
      </c>
      <c r="AF640" s="18" t="str">
        <f t="shared" si="140"/>
        <v/>
      </c>
      <c r="AG640" s="18" t="str">
        <f>IF(OR(O640="",AD640=""),"",IFERROR(INDEX(لیست‌ها!$Q$3:$Q$53,MATCH(AD640,لیست‌ها!$P$3:$P$53,0))+IF(AE640&lt;=6,(AE640-1)*31+AF640,IF(AE640&lt;=11,186+(AE640-7)*30+AF640,336+AF640))-1,""))</f>
        <v/>
      </c>
      <c r="AH640" s="18" t="str">
        <f t="shared" si="141"/>
        <v/>
      </c>
      <c r="AI640" s="18" t="str">
        <f t="shared" si="142"/>
        <v/>
      </c>
      <c r="AJ640" s="18" t="str">
        <f t="shared" ca="1" si="143"/>
        <v/>
      </c>
    </row>
    <row r="641" spans="1:36">
      <c r="A641" s="18" t="str">
        <f t="shared" si="129"/>
        <v/>
      </c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8" t="str">
        <f t="shared" ca="1" si="130"/>
        <v/>
      </c>
      <c r="U641" s="18">
        <f t="shared" ca="1" si="131"/>
        <v>0</v>
      </c>
      <c r="V641" s="18" t="str">
        <f t="shared" si="132"/>
        <v/>
      </c>
      <c r="W641" s="18" t="str">
        <f t="shared" si="133"/>
        <v/>
      </c>
      <c r="X641" s="18" t="str">
        <f t="shared" si="134"/>
        <v/>
      </c>
      <c r="Y641" s="18" t="str">
        <f>IF(OR(L641="",V641=""),"",IFERROR(INDEX(لیست‌ها!$Q$3:$Q$53,MATCH(V641,لیست‌ها!$P$3:$P$53,0))+IF(W641&lt;=6,(W641-1)*31+X641,IF(W641&lt;=11,186+(W641-7)*30+X641,336+X641))-1,""))</f>
        <v/>
      </c>
      <c r="Z641" s="18" t="str">
        <f t="shared" si="135"/>
        <v/>
      </c>
      <c r="AA641" s="18" t="str">
        <f t="shared" si="136"/>
        <v/>
      </c>
      <c r="AB641" s="18" t="str">
        <f t="shared" si="137"/>
        <v/>
      </c>
      <c r="AC641" s="18" t="str">
        <f>IF(OR(H641="",Z641=""),"",IFERROR(INDEX(لیست‌ها!$Q$3:$Q$53,MATCH(Z641,لیست‌ها!$P$3:$P$53,0))+IF(AA641&lt;=6,(AA641-1)*31+AB641,IF(AA641&lt;=11,186+(AA641-7)*30+AB641,336+AB641))-1,""))</f>
        <v/>
      </c>
      <c r="AD641" s="18" t="str">
        <f t="shared" si="138"/>
        <v/>
      </c>
      <c r="AE641" s="18" t="str">
        <f t="shared" si="139"/>
        <v/>
      </c>
      <c r="AF641" s="18" t="str">
        <f t="shared" si="140"/>
        <v/>
      </c>
      <c r="AG641" s="18" t="str">
        <f>IF(OR(O641="",AD641=""),"",IFERROR(INDEX(لیست‌ها!$Q$3:$Q$53,MATCH(AD641,لیست‌ها!$P$3:$P$53,0))+IF(AE641&lt;=6,(AE641-1)*31+AF641,IF(AE641&lt;=11,186+(AE641-7)*30+AF641,336+AF641))-1,""))</f>
        <v/>
      </c>
      <c r="AH641" s="18" t="str">
        <f t="shared" si="141"/>
        <v/>
      </c>
      <c r="AI641" s="18" t="str">
        <f t="shared" si="142"/>
        <v/>
      </c>
      <c r="AJ641" s="18" t="str">
        <f t="shared" ca="1" si="143"/>
        <v/>
      </c>
    </row>
    <row r="642" spans="1:36">
      <c r="A642" s="18" t="str">
        <f t="shared" si="129"/>
        <v/>
      </c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8" t="str">
        <f t="shared" ca="1" si="130"/>
        <v/>
      </c>
      <c r="U642" s="18">
        <f t="shared" ca="1" si="131"/>
        <v>0</v>
      </c>
      <c r="V642" s="18" t="str">
        <f t="shared" si="132"/>
        <v/>
      </c>
      <c r="W642" s="18" t="str">
        <f t="shared" si="133"/>
        <v/>
      </c>
      <c r="X642" s="18" t="str">
        <f t="shared" si="134"/>
        <v/>
      </c>
      <c r="Y642" s="18" t="str">
        <f>IF(OR(L642="",V642=""),"",IFERROR(INDEX(لیست‌ها!$Q$3:$Q$53,MATCH(V642,لیست‌ها!$P$3:$P$53,0))+IF(W642&lt;=6,(W642-1)*31+X642,IF(W642&lt;=11,186+(W642-7)*30+X642,336+X642))-1,""))</f>
        <v/>
      </c>
      <c r="Z642" s="18" t="str">
        <f t="shared" si="135"/>
        <v/>
      </c>
      <c r="AA642" s="18" t="str">
        <f t="shared" si="136"/>
        <v/>
      </c>
      <c r="AB642" s="18" t="str">
        <f t="shared" si="137"/>
        <v/>
      </c>
      <c r="AC642" s="18" t="str">
        <f>IF(OR(H642="",Z642=""),"",IFERROR(INDEX(لیست‌ها!$Q$3:$Q$53,MATCH(Z642,لیست‌ها!$P$3:$P$53,0))+IF(AA642&lt;=6,(AA642-1)*31+AB642,IF(AA642&lt;=11,186+(AA642-7)*30+AB642,336+AB642))-1,""))</f>
        <v/>
      </c>
      <c r="AD642" s="18" t="str">
        <f t="shared" si="138"/>
        <v/>
      </c>
      <c r="AE642" s="18" t="str">
        <f t="shared" si="139"/>
        <v/>
      </c>
      <c r="AF642" s="18" t="str">
        <f t="shared" si="140"/>
        <v/>
      </c>
      <c r="AG642" s="18" t="str">
        <f>IF(OR(O642="",AD642=""),"",IFERROR(INDEX(لیست‌ها!$Q$3:$Q$53,MATCH(AD642,لیست‌ها!$P$3:$P$53,0))+IF(AE642&lt;=6,(AE642-1)*31+AF642,IF(AE642&lt;=11,186+(AE642-7)*30+AF642,336+AF642))-1,""))</f>
        <v/>
      </c>
      <c r="AH642" s="18" t="str">
        <f t="shared" si="141"/>
        <v/>
      </c>
      <c r="AI642" s="18" t="str">
        <f t="shared" si="142"/>
        <v/>
      </c>
      <c r="AJ642" s="18" t="str">
        <f t="shared" ca="1" si="143"/>
        <v/>
      </c>
    </row>
    <row r="643" spans="1:36">
      <c r="A643" s="18" t="str">
        <f t="shared" si="129"/>
        <v/>
      </c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8" t="str">
        <f t="shared" ca="1" si="130"/>
        <v/>
      </c>
      <c r="U643" s="18">
        <f t="shared" ca="1" si="131"/>
        <v>0</v>
      </c>
      <c r="V643" s="18" t="str">
        <f t="shared" si="132"/>
        <v/>
      </c>
      <c r="W643" s="18" t="str">
        <f t="shared" si="133"/>
        <v/>
      </c>
      <c r="X643" s="18" t="str">
        <f t="shared" si="134"/>
        <v/>
      </c>
      <c r="Y643" s="18" t="str">
        <f>IF(OR(L643="",V643=""),"",IFERROR(INDEX(لیست‌ها!$Q$3:$Q$53,MATCH(V643,لیست‌ها!$P$3:$P$53,0))+IF(W643&lt;=6,(W643-1)*31+X643,IF(W643&lt;=11,186+(W643-7)*30+X643,336+X643))-1,""))</f>
        <v/>
      </c>
      <c r="Z643" s="18" t="str">
        <f t="shared" si="135"/>
        <v/>
      </c>
      <c r="AA643" s="18" t="str">
        <f t="shared" si="136"/>
        <v/>
      </c>
      <c r="AB643" s="18" t="str">
        <f t="shared" si="137"/>
        <v/>
      </c>
      <c r="AC643" s="18" t="str">
        <f>IF(OR(H643="",Z643=""),"",IFERROR(INDEX(لیست‌ها!$Q$3:$Q$53,MATCH(Z643,لیست‌ها!$P$3:$P$53,0))+IF(AA643&lt;=6,(AA643-1)*31+AB643,IF(AA643&lt;=11,186+(AA643-7)*30+AB643,336+AB643))-1,""))</f>
        <v/>
      </c>
      <c r="AD643" s="18" t="str">
        <f t="shared" si="138"/>
        <v/>
      </c>
      <c r="AE643" s="18" t="str">
        <f t="shared" si="139"/>
        <v/>
      </c>
      <c r="AF643" s="18" t="str">
        <f t="shared" si="140"/>
        <v/>
      </c>
      <c r="AG643" s="18" t="str">
        <f>IF(OR(O643="",AD643=""),"",IFERROR(INDEX(لیست‌ها!$Q$3:$Q$53,MATCH(AD643,لیست‌ها!$P$3:$P$53,0))+IF(AE643&lt;=6,(AE643-1)*31+AF643,IF(AE643&lt;=11,186+(AE643-7)*30+AF643,336+AF643))-1,""))</f>
        <v/>
      </c>
      <c r="AH643" s="18" t="str">
        <f t="shared" si="141"/>
        <v/>
      </c>
      <c r="AI643" s="18" t="str">
        <f t="shared" si="142"/>
        <v/>
      </c>
      <c r="AJ643" s="18" t="str">
        <f t="shared" ca="1" si="143"/>
        <v/>
      </c>
    </row>
    <row r="644" spans="1:36">
      <c r="A644" s="18" t="str">
        <f t="shared" ref="A644:A707" si="144">IF(B644="","",ROW()-3)</f>
        <v/>
      </c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8" t="str">
        <f t="shared" ref="T644:T707" ca="1" si="145">IF(B644="","",IF(OR(I644&lt;&gt;"",O644&lt;&gt;""),"بسته",IF(AND(L644&lt;&gt;"",V644=""),"خطای فرمت تاریخ ایجاد",IF(AND(H644&lt;&gt;"",Z644=""),"خطای فرمت مهلت",IF(AND(H644&lt;&gt;"",AC644&lt;&gt;"",TODAY()&gt;AC644),"تاخیر",IF(L644&lt;&gt;"","در حال انجام",""))))))</f>
        <v/>
      </c>
      <c r="U644" s="18">
        <f t="shared" ref="U644:U707" ca="1" si="146">IF(T644="تاخیر",TODAY()-AC644,IF(AND(T644="بسته",AG644&lt;&gt;"",AC644&lt;&gt;"",AG644&gt;AC644),AG644-AC644,0))</f>
        <v>0</v>
      </c>
      <c r="V644" s="18" t="str">
        <f t="shared" ref="V644:V707" si="147">IF(L644="","",VALUE(LEFT(L644,FIND("/",L644)-1)))</f>
        <v/>
      </c>
      <c r="W644" s="18" t="str">
        <f t="shared" ref="W644:W707" si="148">IF(L644="","",VALUE(MID(L644,FIND("/",L644)+1,FIND("/",L644,FIND("/",L644)+1)-FIND("/",L644)-1)))</f>
        <v/>
      </c>
      <c r="X644" s="18" t="str">
        <f t="shared" ref="X644:X707" si="149">IF(L644="","",VALUE(MID(L644,FIND("/",L644,FIND("/",L644)+1)+1,LEN(L644)-FIND("/",L644,FIND("/",L644)+1))))</f>
        <v/>
      </c>
      <c r="Y644" s="18" t="str">
        <f>IF(OR(L644="",V644=""),"",IFERROR(INDEX(لیست‌ها!$Q$3:$Q$53,MATCH(V644,لیست‌ها!$P$3:$P$53,0))+IF(W644&lt;=6,(W644-1)*31+X644,IF(W644&lt;=11,186+(W644-7)*30+X644,336+X644))-1,""))</f>
        <v/>
      </c>
      <c r="Z644" s="18" t="str">
        <f t="shared" ref="Z644:Z707" si="150">IF(H644="","",VALUE(LEFT(H644,FIND("/",H644)-1)))</f>
        <v/>
      </c>
      <c r="AA644" s="18" t="str">
        <f t="shared" ref="AA644:AA707" si="151">IF(H644="","",VALUE(MID(H644,FIND("/",H644)+1,FIND("/",H644,FIND("/",H644)+1)-FIND("/",H644)-1)))</f>
        <v/>
      </c>
      <c r="AB644" s="18" t="str">
        <f t="shared" ref="AB644:AB707" si="152">IF(H644="","",VALUE(MID(H644,FIND("/",H644,FIND("/",H644)+1)+1,LEN(H644)-FIND("/",H644,FIND("/",H644)+1))))</f>
        <v/>
      </c>
      <c r="AC644" s="18" t="str">
        <f>IF(OR(H644="",Z644=""),"",IFERROR(INDEX(لیست‌ها!$Q$3:$Q$53,MATCH(Z644,لیست‌ها!$P$3:$P$53,0))+IF(AA644&lt;=6,(AA644-1)*31+AB644,IF(AA644&lt;=11,186+(AA644-7)*30+AB644,336+AB644))-1,""))</f>
        <v/>
      </c>
      <c r="AD644" s="18" t="str">
        <f t="shared" ref="AD644:AD707" si="153">IF(O644="","",VALUE(LEFT(O644,FIND("/",O644)-1)))</f>
        <v/>
      </c>
      <c r="AE644" s="18" t="str">
        <f t="shared" ref="AE644:AE707" si="154">IF(O644="","",VALUE(MID(O644,FIND("/",O644)+1,FIND("/",O644,FIND("/",O644)+1)-FIND("/",O644)-1)))</f>
        <v/>
      </c>
      <c r="AF644" s="18" t="str">
        <f t="shared" ref="AF644:AF707" si="155">IF(O644="","",VALUE(MID(O644,FIND("/",O644,FIND("/",O644)+1)+1,LEN(O644)-FIND("/",O644,FIND("/",O644)+1))))</f>
        <v/>
      </c>
      <c r="AG644" s="18" t="str">
        <f>IF(OR(O644="",AD644=""),"",IFERROR(INDEX(لیست‌ها!$Q$3:$Q$53,MATCH(AD644,لیست‌ها!$P$3:$P$53,0))+IF(AE644&lt;=6,(AE644-1)*31+AF644,IF(AE644&lt;=11,186+(AE644-7)*30+AF644,336+AF644))-1,""))</f>
        <v/>
      </c>
      <c r="AH644" s="18" t="str">
        <f t="shared" ref="AH644:AH707" si="156">IF(V644="","",V644&amp;"-"&amp;TEXT(W644,"00"))</f>
        <v/>
      </c>
      <c r="AI644" s="18" t="str">
        <f t="shared" ref="AI644:AI707" si="157">IF(V644="","",V644*12+W644)</f>
        <v/>
      </c>
      <c r="AJ644" s="18" t="str">
        <f t="shared" ref="AJ644:AJ707" ca="1" si="158">IF(T644="تاخیر",U644+ROW()/100000,"")</f>
        <v/>
      </c>
    </row>
    <row r="645" spans="1:36">
      <c r="A645" s="18" t="str">
        <f t="shared" si="144"/>
        <v/>
      </c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8" t="str">
        <f t="shared" ca="1" si="145"/>
        <v/>
      </c>
      <c r="U645" s="18">
        <f t="shared" ca="1" si="146"/>
        <v>0</v>
      </c>
      <c r="V645" s="18" t="str">
        <f t="shared" si="147"/>
        <v/>
      </c>
      <c r="W645" s="18" t="str">
        <f t="shared" si="148"/>
        <v/>
      </c>
      <c r="X645" s="18" t="str">
        <f t="shared" si="149"/>
        <v/>
      </c>
      <c r="Y645" s="18" t="str">
        <f>IF(OR(L645="",V645=""),"",IFERROR(INDEX(لیست‌ها!$Q$3:$Q$53,MATCH(V645,لیست‌ها!$P$3:$P$53,0))+IF(W645&lt;=6,(W645-1)*31+X645,IF(W645&lt;=11,186+(W645-7)*30+X645,336+X645))-1,""))</f>
        <v/>
      </c>
      <c r="Z645" s="18" t="str">
        <f t="shared" si="150"/>
        <v/>
      </c>
      <c r="AA645" s="18" t="str">
        <f t="shared" si="151"/>
        <v/>
      </c>
      <c r="AB645" s="18" t="str">
        <f t="shared" si="152"/>
        <v/>
      </c>
      <c r="AC645" s="18" t="str">
        <f>IF(OR(H645="",Z645=""),"",IFERROR(INDEX(لیست‌ها!$Q$3:$Q$53,MATCH(Z645,لیست‌ها!$P$3:$P$53,0))+IF(AA645&lt;=6,(AA645-1)*31+AB645,IF(AA645&lt;=11,186+(AA645-7)*30+AB645,336+AB645))-1,""))</f>
        <v/>
      </c>
      <c r="AD645" s="18" t="str">
        <f t="shared" si="153"/>
        <v/>
      </c>
      <c r="AE645" s="18" t="str">
        <f t="shared" si="154"/>
        <v/>
      </c>
      <c r="AF645" s="18" t="str">
        <f t="shared" si="155"/>
        <v/>
      </c>
      <c r="AG645" s="18" t="str">
        <f>IF(OR(O645="",AD645=""),"",IFERROR(INDEX(لیست‌ها!$Q$3:$Q$53,MATCH(AD645,لیست‌ها!$P$3:$P$53,0))+IF(AE645&lt;=6,(AE645-1)*31+AF645,IF(AE645&lt;=11,186+(AE645-7)*30+AF645,336+AF645))-1,""))</f>
        <v/>
      </c>
      <c r="AH645" s="18" t="str">
        <f t="shared" si="156"/>
        <v/>
      </c>
      <c r="AI645" s="18" t="str">
        <f t="shared" si="157"/>
        <v/>
      </c>
      <c r="AJ645" s="18" t="str">
        <f t="shared" ca="1" si="158"/>
        <v/>
      </c>
    </row>
    <row r="646" spans="1:36">
      <c r="A646" s="18" t="str">
        <f t="shared" si="144"/>
        <v/>
      </c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8" t="str">
        <f t="shared" ca="1" si="145"/>
        <v/>
      </c>
      <c r="U646" s="18">
        <f t="shared" ca="1" si="146"/>
        <v>0</v>
      </c>
      <c r="V646" s="18" t="str">
        <f t="shared" si="147"/>
        <v/>
      </c>
      <c r="W646" s="18" t="str">
        <f t="shared" si="148"/>
        <v/>
      </c>
      <c r="X646" s="18" t="str">
        <f t="shared" si="149"/>
        <v/>
      </c>
      <c r="Y646" s="18" t="str">
        <f>IF(OR(L646="",V646=""),"",IFERROR(INDEX(لیست‌ها!$Q$3:$Q$53,MATCH(V646,لیست‌ها!$P$3:$P$53,0))+IF(W646&lt;=6,(W646-1)*31+X646,IF(W646&lt;=11,186+(W646-7)*30+X646,336+X646))-1,""))</f>
        <v/>
      </c>
      <c r="Z646" s="18" t="str">
        <f t="shared" si="150"/>
        <v/>
      </c>
      <c r="AA646" s="18" t="str">
        <f t="shared" si="151"/>
        <v/>
      </c>
      <c r="AB646" s="18" t="str">
        <f t="shared" si="152"/>
        <v/>
      </c>
      <c r="AC646" s="18" t="str">
        <f>IF(OR(H646="",Z646=""),"",IFERROR(INDEX(لیست‌ها!$Q$3:$Q$53,MATCH(Z646,لیست‌ها!$P$3:$P$53,0))+IF(AA646&lt;=6,(AA646-1)*31+AB646,IF(AA646&lt;=11,186+(AA646-7)*30+AB646,336+AB646))-1,""))</f>
        <v/>
      </c>
      <c r="AD646" s="18" t="str">
        <f t="shared" si="153"/>
        <v/>
      </c>
      <c r="AE646" s="18" t="str">
        <f t="shared" si="154"/>
        <v/>
      </c>
      <c r="AF646" s="18" t="str">
        <f t="shared" si="155"/>
        <v/>
      </c>
      <c r="AG646" s="18" t="str">
        <f>IF(OR(O646="",AD646=""),"",IFERROR(INDEX(لیست‌ها!$Q$3:$Q$53,MATCH(AD646,لیست‌ها!$P$3:$P$53,0))+IF(AE646&lt;=6,(AE646-1)*31+AF646,IF(AE646&lt;=11,186+(AE646-7)*30+AF646,336+AF646))-1,""))</f>
        <v/>
      </c>
      <c r="AH646" s="18" t="str">
        <f t="shared" si="156"/>
        <v/>
      </c>
      <c r="AI646" s="18" t="str">
        <f t="shared" si="157"/>
        <v/>
      </c>
      <c r="AJ646" s="18" t="str">
        <f t="shared" ca="1" si="158"/>
        <v/>
      </c>
    </row>
    <row r="647" spans="1:36">
      <c r="A647" s="18" t="str">
        <f t="shared" si="144"/>
        <v/>
      </c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8" t="str">
        <f t="shared" ca="1" si="145"/>
        <v/>
      </c>
      <c r="U647" s="18">
        <f t="shared" ca="1" si="146"/>
        <v>0</v>
      </c>
      <c r="V647" s="18" t="str">
        <f t="shared" si="147"/>
        <v/>
      </c>
      <c r="W647" s="18" t="str">
        <f t="shared" si="148"/>
        <v/>
      </c>
      <c r="X647" s="18" t="str">
        <f t="shared" si="149"/>
        <v/>
      </c>
      <c r="Y647" s="18" t="str">
        <f>IF(OR(L647="",V647=""),"",IFERROR(INDEX(لیست‌ها!$Q$3:$Q$53,MATCH(V647,لیست‌ها!$P$3:$P$53,0))+IF(W647&lt;=6,(W647-1)*31+X647,IF(W647&lt;=11,186+(W647-7)*30+X647,336+X647))-1,""))</f>
        <v/>
      </c>
      <c r="Z647" s="18" t="str">
        <f t="shared" si="150"/>
        <v/>
      </c>
      <c r="AA647" s="18" t="str">
        <f t="shared" si="151"/>
        <v/>
      </c>
      <c r="AB647" s="18" t="str">
        <f t="shared" si="152"/>
        <v/>
      </c>
      <c r="AC647" s="18" t="str">
        <f>IF(OR(H647="",Z647=""),"",IFERROR(INDEX(لیست‌ها!$Q$3:$Q$53,MATCH(Z647,لیست‌ها!$P$3:$P$53,0))+IF(AA647&lt;=6,(AA647-1)*31+AB647,IF(AA647&lt;=11,186+(AA647-7)*30+AB647,336+AB647))-1,""))</f>
        <v/>
      </c>
      <c r="AD647" s="18" t="str">
        <f t="shared" si="153"/>
        <v/>
      </c>
      <c r="AE647" s="18" t="str">
        <f t="shared" si="154"/>
        <v/>
      </c>
      <c r="AF647" s="18" t="str">
        <f t="shared" si="155"/>
        <v/>
      </c>
      <c r="AG647" s="18" t="str">
        <f>IF(OR(O647="",AD647=""),"",IFERROR(INDEX(لیست‌ها!$Q$3:$Q$53,MATCH(AD647,لیست‌ها!$P$3:$P$53,0))+IF(AE647&lt;=6,(AE647-1)*31+AF647,IF(AE647&lt;=11,186+(AE647-7)*30+AF647,336+AF647))-1,""))</f>
        <v/>
      </c>
      <c r="AH647" s="18" t="str">
        <f t="shared" si="156"/>
        <v/>
      </c>
      <c r="AI647" s="18" t="str">
        <f t="shared" si="157"/>
        <v/>
      </c>
      <c r="AJ647" s="18" t="str">
        <f t="shared" ca="1" si="158"/>
        <v/>
      </c>
    </row>
    <row r="648" spans="1:36">
      <c r="A648" s="18" t="str">
        <f t="shared" si="144"/>
        <v/>
      </c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8" t="str">
        <f t="shared" ca="1" si="145"/>
        <v/>
      </c>
      <c r="U648" s="18">
        <f t="shared" ca="1" si="146"/>
        <v>0</v>
      </c>
      <c r="V648" s="18" t="str">
        <f t="shared" si="147"/>
        <v/>
      </c>
      <c r="W648" s="18" t="str">
        <f t="shared" si="148"/>
        <v/>
      </c>
      <c r="X648" s="18" t="str">
        <f t="shared" si="149"/>
        <v/>
      </c>
      <c r="Y648" s="18" t="str">
        <f>IF(OR(L648="",V648=""),"",IFERROR(INDEX(لیست‌ها!$Q$3:$Q$53,MATCH(V648,لیست‌ها!$P$3:$P$53,0))+IF(W648&lt;=6,(W648-1)*31+X648,IF(W648&lt;=11,186+(W648-7)*30+X648,336+X648))-1,""))</f>
        <v/>
      </c>
      <c r="Z648" s="18" t="str">
        <f t="shared" si="150"/>
        <v/>
      </c>
      <c r="AA648" s="18" t="str">
        <f t="shared" si="151"/>
        <v/>
      </c>
      <c r="AB648" s="18" t="str">
        <f t="shared" si="152"/>
        <v/>
      </c>
      <c r="AC648" s="18" t="str">
        <f>IF(OR(H648="",Z648=""),"",IFERROR(INDEX(لیست‌ها!$Q$3:$Q$53,MATCH(Z648,لیست‌ها!$P$3:$P$53,0))+IF(AA648&lt;=6,(AA648-1)*31+AB648,IF(AA648&lt;=11,186+(AA648-7)*30+AB648,336+AB648))-1,""))</f>
        <v/>
      </c>
      <c r="AD648" s="18" t="str">
        <f t="shared" si="153"/>
        <v/>
      </c>
      <c r="AE648" s="18" t="str">
        <f t="shared" si="154"/>
        <v/>
      </c>
      <c r="AF648" s="18" t="str">
        <f t="shared" si="155"/>
        <v/>
      </c>
      <c r="AG648" s="18" t="str">
        <f>IF(OR(O648="",AD648=""),"",IFERROR(INDEX(لیست‌ها!$Q$3:$Q$53,MATCH(AD648,لیست‌ها!$P$3:$P$53,0))+IF(AE648&lt;=6,(AE648-1)*31+AF648,IF(AE648&lt;=11,186+(AE648-7)*30+AF648,336+AF648))-1,""))</f>
        <v/>
      </c>
      <c r="AH648" s="18" t="str">
        <f t="shared" si="156"/>
        <v/>
      </c>
      <c r="AI648" s="18" t="str">
        <f t="shared" si="157"/>
        <v/>
      </c>
      <c r="AJ648" s="18" t="str">
        <f t="shared" ca="1" si="158"/>
        <v/>
      </c>
    </row>
    <row r="649" spans="1:36">
      <c r="A649" s="18" t="str">
        <f t="shared" si="144"/>
        <v/>
      </c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8" t="str">
        <f t="shared" ca="1" si="145"/>
        <v/>
      </c>
      <c r="U649" s="18">
        <f t="shared" ca="1" si="146"/>
        <v>0</v>
      </c>
      <c r="V649" s="18" t="str">
        <f t="shared" si="147"/>
        <v/>
      </c>
      <c r="W649" s="18" t="str">
        <f t="shared" si="148"/>
        <v/>
      </c>
      <c r="X649" s="18" t="str">
        <f t="shared" si="149"/>
        <v/>
      </c>
      <c r="Y649" s="18" t="str">
        <f>IF(OR(L649="",V649=""),"",IFERROR(INDEX(لیست‌ها!$Q$3:$Q$53,MATCH(V649,لیست‌ها!$P$3:$P$53,0))+IF(W649&lt;=6,(W649-1)*31+X649,IF(W649&lt;=11,186+(W649-7)*30+X649,336+X649))-1,""))</f>
        <v/>
      </c>
      <c r="Z649" s="18" t="str">
        <f t="shared" si="150"/>
        <v/>
      </c>
      <c r="AA649" s="18" t="str">
        <f t="shared" si="151"/>
        <v/>
      </c>
      <c r="AB649" s="18" t="str">
        <f t="shared" si="152"/>
        <v/>
      </c>
      <c r="AC649" s="18" t="str">
        <f>IF(OR(H649="",Z649=""),"",IFERROR(INDEX(لیست‌ها!$Q$3:$Q$53,MATCH(Z649,لیست‌ها!$P$3:$P$53,0))+IF(AA649&lt;=6,(AA649-1)*31+AB649,IF(AA649&lt;=11,186+(AA649-7)*30+AB649,336+AB649))-1,""))</f>
        <v/>
      </c>
      <c r="AD649" s="18" t="str">
        <f t="shared" si="153"/>
        <v/>
      </c>
      <c r="AE649" s="18" t="str">
        <f t="shared" si="154"/>
        <v/>
      </c>
      <c r="AF649" s="18" t="str">
        <f t="shared" si="155"/>
        <v/>
      </c>
      <c r="AG649" s="18" t="str">
        <f>IF(OR(O649="",AD649=""),"",IFERROR(INDEX(لیست‌ها!$Q$3:$Q$53,MATCH(AD649,لیست‌ها!$P$3:$P$53,0))+IF(AE649&lt;=6,(AE649-1)*31+AF649,IF(AE649&lt;=11,186+(AE649-7)*30+AF649,336+AF649))-1,""))</f>
        <v/>
      </c>
      <c r="AH649" s="18" t="str">
        <f t="shared" si="156"/>
        <v/>
      </c>
      <c r="AI649" s="18" t="str">
        <f t="shared" si="157"/>
        <v/>
      </c>
      <c r="AJ649" s="18" t="str">
        <f t="shared" ca="1" si="158"/>
        <v/>
      </c>
    </row>
    <row r="650" spans="1:36">
      <c r="A650" s="18" t="str">
        <f t="shared" si="144"/>
        <v/>
      </c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8" t="str">
        <f t="shared" ca="1" si="145"/>
        <v/>
      </c>
      <c r="U650" s="18">
        <f t="shared" ca="1" si="146"/>
        <v>0</v>
      </c>
      <c r="V650" s="18" t="str">
        <f t="shared" si="147"/>
        <v/>
      </c>
      <c r="W650" s="18" t="str">
        <f t="shared" si="148"/>
        <v/>
      </c>
      <c r="X650" s="18" t="str">
        <f t="shared" si="149"/>
        <v/>
      </c>
      <c r="Y650" s="18" t="str">
        <f>IF(OR(L650="",V650=""),"",IFERROR(INDEX(لیست‌ها!$Q$3:$Q$53,MATCH(V650,لیست‌ها!$P$3:$P$53,0))+IF(W650&lt;=6,(W650-1)*31+X650,IF(W650&lt;=11,186+(W650-7)*30+X650,336+X650))-1,""))</f>
        <v/>
      </c>
      <c r="Z650" s="18" t="str">
        <f t="shared" si="150"/>
        <v/>
      </c>
      <c r="AA650" s="18" t="str">
        <f t="shared" si="151"/>
        <v/>
      </c>
      <c r="AB650" s="18" t="str">
        <f t="shared" si="152"/>
        <v/>
      </c>
      <c r="AC650" s="18" t="str">
        <f>IF(OR(H650="",Z650=""),"",IFERROR(INDEX(لیست‌ها!$Q$3:$Q$53,MATCH(Z650,لیست‌ها!$P$3:$P$53,0))+IF(AA650&lt;=6,(AA650-1)*31+AB650,IF(AA650&lt;=11,186+(AA650-7)*30+AB650,336+AB650))-1,""))</f>
        <v/>
      </c>
      <c r="AD650" s="18" t="str">
        <f t="shared" si="153"/>
        <v/>
      </c>
      <c r="AE650" s="18" t="str">
        <f t="shared" si="154"/>
        <v/>
      </c>
      <c r="AF650" s="18" t="str">
        <f t="shared" si="155"/>
        <v/>
      </c>
      <c r="AG650" s="18" t="str">
        <f>IF(OR(O650="",AD650=""),"",IFERROR(INDEX(لیست‌ها!$Q$3:$Q$53,MATCH(AD650,لیست‌ها!$P$3:$P$53,0))+IF(AE650&lt;=6,(AE650-1)*31+AF650,IF(AE650&lt;=11,186+(AE650-7)*30+AF650,336+AF650))-1,""))</f>
        <v/>
      </c>
      <c r="AH650" s="18" t="str">
        <f t="shared" si="156"/>
        <v/>
      </c>
      <c r="AI650" s="18" t="str">
        <f t="shared" si="157"/>
        <v/>
      </c>
      <c r="AJ650" s="18" t="str">
        <f t="shared" ca="1" si="158"/>
        <v/>
      </c>
    </row>
    <row r="651" spans="1:36">
      <c r="A651" s="18" t="str">
        <f t="shared" si="144"/>
        <v/>
      </c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8" t="str">
        <f t="shared" ca="1" si="145"/>
        <v/>
      </c>
      <c r="U651" s="18">
        <f t="shared" ca="1" si="146"/>
        <v>0</v>
      </c>
      <c r="V651" s="18" t="str">
        <f t="shared" si="147"/>
        <v/>
      </c>
      <c r="W651" s="18" t="str">
        <f t="shared" si="148"/>
        <v/>
      </c>
      <c r="X651" s="18" t="str">
        <f t="shared" si="149"/>
        <v/>
      </c>
      <c r="Y651" s="18" t="str">
        <f>IF(OR(L651="",V651=""),"",IFERROR(INDEX(لیست‌ها!$Q$3:$Q$53,MATCH(V651,لیست‌ها!$P$3:$P$53,0))+IF(W651&lt;=6,(W651-1)*31+X651,IF(W651&lt;=11,186+(W651-7)*30+X651,336+X651))-1,""))</f>
        <v/>
      </c>
      <c r="Z651" s="18" t="str">
        <f t="shared" si="150"/>
        <v/>
      </c>
      <c r="AA651" s="18" t="str">
        <f t="shared" si="151"/>
        <v/>
      </c>
      <c r="AB651" s="18" t="str">
        <f t="shared" si="152"/>
        <v/>
      </c>
      <c r="AC651" s="18" t="str">
        <f>IF(OR(H651="",Z651=""),"",IFERROR(INDEX(لیست‌ها!$Q$3:$Q$53,MATCH(Z651,لیست‌ها!$P$3:$P$53,0))+IF(AA651&lt;=6,(AA651-1)*31+AB651,IF(AA651&lt;=11,186+(AA651-7)*30+AB651,336+AB651))-1,""))</f>
        <v/>
      </c>
      <c r="AD651" s="18" t="str">
        <f t="shared" si="153"/>
        <v/>
      </c>
      <c r="AE651" s="18" t="str">
        <f t="shared" si="154"/>
        <v/>
      </c>
      <c r="AF651" s="18" t="str">
        <f t="shared" si="155"/>
        <v/>
      </c>
      <c r="AG651" s="18" t="str">
        <f>IF(OR(O651="",AD651=""),"",IFERROR(INDEX(لیست‌ها!$Q$3:$Q$53,MATCH(AD651,لیست‌ها!$P$3:$P$53,0))+IF(AE651&lt;=6,(AE651-1)*31+AF651,IF(AE651&lt;=11,186+(AE651-7)*30+AF651,336+AF651))-1,""))</f>
        <v/>
      </c>
      <c r="AH651" s="18" t="str">
        <f t="shared" si="156"/>
        <v/>
      </c>
      <c r="AI651" s="18" t="str">
        <f t="shared" si="157"/>
        <v/>
      </c>
      <c r="AJ651" s="18" t="str">
        <f t="shared" ca="1" si="158"/>
        <v/>
      </c>
    </row>
    <row r="652" spans="1:36">
      <c r="A652" s="18" t="str">
        <f t="shared" si="144"/>
        <v/>
      </c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8" t="str">
        <f t="shared" ca="1" si="145"/>
        <v/>
      </c>
      <c r="U652" s="18">
        <f t="shared" ca="1" si="146"/>
        <v>0</v>
      </c>
      <c r="V652" s="18" t="str">
        <f t="shared" si="147"/>
        <v/>
      </c>
      <c r="W652" s="18" t="str">
        <f t="shared" si="148"/>
        <v/>
      </c>
      <c r="X652" s="18" t="str">
        <f t="shared" si="149"/>
        <v/>
      </c>
      <c r="Y652" s="18" t="str">
        <f>IF(OR(L652="",V652=""),"",IFERROR(INDEX(لیست‌ها!$Q$3:$Q$53,MATCH(V652,لیست‌ها!$P$3:$P$53,0))+IF(W652&lt;=6,(W652-1)*31+X652,IF(W652&lt;=11,186+(W652-7)*30+X652,336+X652))-1,""))</f>
        <v/>
      </c>
      <c r="Z652" s="18" t="str">
        <f t="shared" si="150"/>
        <v/>
      </c>
      <c r="AA652" s="18" t="str">
        <f t="shared" si="151"/>
        <v/>
      </c>
      <c r="AB652" s="18" t="str">
        <f t="shared" si="152"/>
        <v/>
      </c>
      <c r="AC652" s="18" t="str">
        <f>IF(OR(H652="",Z652=""),"",IFERROR(INDEX(لیست‌ها!$Q$3:$Q$53,MATCH(Z652,لیست‌ها!$P$3:$P$53,0))+IF(AA652&lt;=6,(AA652-1)*31+AB652,IF(AA652&lt;=11,186+(AA652-7)*30+AB652,336+AB652))-1,""))</f>
        <v/>
      </c>
      <c r="AD652" s="18" t="str">
        <f t="shared" si="153"/>
        <v/>
      </c>
      <c r="AE652" s="18" t="str">
        <f t="shared" si="154"/>
        <v/>
      </c>
      <c r="AF652" s="18" t="str">
        <f t="shared" si="155"/>
        <v/>
      </c>
      <c r="AG652" s="18" t="str">
        <f>IF(OR(O652="",AD652=""),"",IFERROR(INDEX(لیست‌ها!$Q$3:$Q$53,MATCH(AD652,لیست‌ها!$P$3:$P$53,0))+IF(AE652&lt;=6,(AE652-1)*31+AF652,IF(AE652&lt;=11,186+(AE652-7)*30+AF652,336+AF652))-1,""))</f>
        <v/>
      </c>
      <c r="AH652" s="18" t="str">
        <f t="shared" si="156"/>
        <v/>
      </c>
      <c r="AI652" s="18" t="str">
        <f t="shared" si="157"/>
        <v/>
      </c>
      <c r="AJ652" s="18" t="str">
        <f t="shared" ca="1" si="158"/>
        <v/>
      </c>
    </row>
    <row r="653" spans="1:36">
      <c r="A653" s="18" t="str">
        <f t="shared" si="144"/>
        <v/>
      </c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8" t="str">
        <f t="shared" ca="1" si="145"/>
        <v/>
      </c>
      <c r="U653" s="18">
        <f t="shared" ca="1" si="146"/>
        <v>0</v>
      </c>
      <c r="V653" s="18" t="str">
        <f t="shared" si="147"/>
        <v/>
      </c>
      <c r="W653" s="18" t="str">
        <f t="shared" si="148"/>
        <v/>
      </c>
      <c r="X653" s="18" t="str">
        <f t="shared" si="149"/>
        <v/>
      </c>
      <c r="Y653" s="18" t="str">
        <f>IF(OR(L653="",V653=""),"",IFERROR(INDEX(لیست‌ها!$Q$3:$Q$53,MATCH(V653,لیست‌ها!$P$3:$P$53,0))+IF(W653&lt;=6,(W653-1)*31+X653,IF(W653&lt;=11,186+(W653-7)*30+X653,336+X653))-1,""))</f>
        <v/>
      </c>
      <c r="Z653" s="18" t="str">
        <f t="shared" si="150"/>
        <v/>
      </c>
      <c r="AA653" s="18" t="str">
        <f t="shared" si="151"/>
        <v/>
      </c>
      <c r="AB653" s="18" t="str">
        <f t="shared" si="152"/>
        <v/>
      </c>
      <c r="AC653" s="18" t="str">
        <f>IF(OR(H653="",Z653=""),"",IFERROR(INDEX(لیست‌ها!$Q$3:$Q$53,MATCH(Z653,لیست‌ها!$P$3:$P$53,0))+IF(AA653&lt;=6,(AA653-1)*31+AB653,IF(AA653&lt;=11,186+(AA653-7)*30+AB653,336+AB653))-1,""))</f>
        <v/>
      </c>
      <c r="AD653" s="18" t="str">
        <f t="shared" si="153"/>
        <v/>
      </c>
      <c r="AE653" s="18" t="str">
        <f t="shared" si="154"/>
        <v/>
      </c>
      <c r="AF653" s="18" t="str">
        <f t="shared" si="155"/>
        <v/>
      </c>
      <c r="AG653" s="18" t="str">
        <f>IF(OR(O653="",AD653=""),"",IFERROR(INDEX(لیست‌ها!$Q$3:$Q$53,MATCH(AD653,لیست‌ها!$P$3:$P$53,0))+IF(AE653&lt;=6,(AE653-1)*31+AF653,IF(AE653&lt;=11,186+(AE653-7)*30+AF653,336+AF653))-1,""))</f>
        <v/>
      </c>
      <c r="AH653" s="18" t="str">
        <f t="shared" si="156"/>
        <v/>
      </c>
      <c r="AI653" s="18" t="str">
        <f t="shared" si="157"/>
        <v/>
      </c>
      <c r="AJ653" s="18" t="str">
        <f t="shared" ca="1" si="158"/>
        <v/>
      </c>
    </row>
    <row r="654" spans="1:36">
      <c r="A654" s="18" t="str">
        <f t="shared" si="144"/>
        <v/>
      </c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8" t="str">
        <f t="shared" ca="1" si="145"/>
        <v/>
      </c>
      <c r="U654" s="18">
        <f t="shared" ca="1" si="146"/>
        <v>0</v>
      </c>
      <c r="V654" s="18" t="str">
        <f t="shared" si="147"/>
        <v/>
      </c>
      <c r="W654" s="18" t="str">
        <f t="shared" si="148"/>
        <v/>
      </c>
      <c r="X654" s="18" t="str">
        <f t="shared" si="149"/>
        <v/>
      </c>
      <c r="Y654" s="18" t="str">
        <f>IF(OR(L654="",V654=""),"",IFERROR(INDEX(لیست‌ها!$Q$3:$Q$53,MATCH(V654,لیست‌ها!$P$3:$P$53,0))+IF(W654&lt;=6,(W654-1)*31+X654,IF(W654&lt;=11,186+(W654-7)*30+X654,336+X654))-1,""))</f>
        <v/>
      </c>
      <c r="Z654" s="18" t="str">
        <f t="shared" si="150"/>
        <v/>
      </c>
      <c r="AA654" s="18" t="str">
        <f t="shared" si="151"/>
        <v/>
      </c>
      <c r="AB654" s="18" t="str">
        <f t="shared" si="152"/>
        <v/>
      </c>
      <c r="AC654" s="18" t="str">
        <f>IF(OR(H654="",Z654=""),"",IFERROR(INDEX(لیست‌ها!$Q$3:$Q$53,MATCH(Z654,لیست‌ها!$P$3:$P$53,0))+IF(AA654&lt;=6,(AA654-1)*31+AB654,IF(AA654&lt;=11,186+(AA654-7)*30+AB654,336+AB654))-1,""))</f>
        <v/>
      </c>
      <c r="AD654" s="18" t="str">
        <f t="shared" si="153"/>
        <v/>
      </c>
      <c r="AE654" s="18" t="str">
        <f t="shared" si="154"/>
        <v/>
      </c>
      <c r="AF654" s="18" t="str">
        <f t="shared" si="155"/>
        <v/>
      </c>
      <c r="AG654" s="18" t="str">
        <f>IF(OR(O654="",AD654=""),"",IFERROR(INDEX(لیست‌ها!$Q$3:$Q$53,MATCH(AD654,لیست‌ها!$P$3:$P$53,0))+IF(AE654&lt;=6,(AE654-1)*31+AF654,IF(AE654&lt;=11,186+(AE654-7)*30+AF654,336+AF654))-1,""))</f>
        <v/>
      </c>
      <c r="AH654" s="18" t="str">
        <f t="shared" si="156"/>
        <v/>
      </c>
      <c r="AI654" s="18" t="str">
        <f t="shared" si="157"/>
        <v/>
      </c>
      <c r="AJ654" s="18" t="str">
        <f t="shared" ca="1" si="158"/>
        <v/>
      </c>
    </row>
    <row r="655" spans="1:36">
      <c r="A655" s="18" t="str">
        <f t="shared" si="144"/>
        <v/>
      </c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8" t="str">
        <f t="shared" ca="1" si="145"/>
        <v/>
      </c>
      <c r="U655" s="18">
        <f t="shared" ca="1" si="146"/>
        <v>0</v>
      </c>
      <c r="V655" s="18" t="str">
        <f t="shared" si="147"/>
        <v/>
      </c>
      <c r="W655" s="18" t="str">
        <f t="shared" si="148"/>
        <v/>
      </c>
      <c r="X655" s="18" t="str">
        <f t="shared" si="149"/>
        <v/>
      </c>
      <c r="Y655" s="18" t="str">
        <f>IF(OR(L655="",V655=""),"",IFERROR(INDEX(لیست‌ها!$Q$3:$Q$53,MATCH(V655,لیست‌ها!$P$3:$P$53,0))+IF(W655&lt;=6,(W655-1)*31+X655,IF(W655&lt;=11,186+(W655-7)*30+X655,336+X655))-1,""))</f>
        <v/>
      </c>
      <c r="Z655" s="18" t="str">
        <f t="shared" si="150"/>
        <v/>
      </c>
      <c r="AA655" s="18" t="str">
        <f t="shared" si="151"/>
        <v/>
      </c>
      <c r="AB655" s="18" t="str">
        <f t="shared" si="152"/>
        <v/>
      </c>
      <c r="AC655" s="18" t="str">
        <f>IF(OR(H655="",Z655=""),"",IFERROR(INDEX(لیست‌ها!$Q$3:$Q$53,MATCH(Z655,لیست‌ها!$P$3:$P$53,0))+IF(AA655&lt;=6,(AA655-1)*31+AB655,IF(AA655&lt;=11,186+(AA655-7)*30+AB655,336+AB655))-1,""))</f>
        <v/>
      </c>
      <c r="AD655" s="18" t="str">
        <f t="shared" si="153"/>
        <v/>
      </c>
      <c r="AE655" s="18" t="str">
        <f t="shared" si="154"/>
        <v/>
      </c>
      <c r="AF655" s="18" t="str">
        <f t="shared" si="155"/>
        <v/>
      </c>
      <c r="AG655" s="18" t="str">
        <f>IF(OR(O655="",AD655=""),"",IFERROR(INDEX(لیست‌ها!$Q$3:$Q$53,MATCH(AD655,لیست‌ها!$P$3:$P$53,0))+IF(AE655&lt;=6,(AE655-1)*31+AF655,IF(AE655&lt;=11,186+(AE655-7)*30+AF655,336+AF655))-1,""))</f>
        <v/>
      </c>
      <c r="AH655" s="18" t="str">
        <f t="shared" si="156"/>
        <v/>
      </c>
      <c r="AI655" s="18" t="str">
        <f t="shared" si="157"/>
        <v/>
      </c>
      <c r="AJ655" s="18" t="str">
        <f t="shared" ca="1" si="158"/>
        <v/>
      </c>
    </row>
    <row r="656" spans="1:36">
      <c r="A656" s="18" t="str">
        <f t="shared" si="144"/>
        <v/>
      </c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8" t="str">
        <f t="shared" ca="1" si="145"/>
        <v/>
      </c>
      <c r="U656" s="18">
        <f t="shared" ca="1" si="146"/>
        <v>0</v>
      </c>
      <c r="V656" s="18" t="str">
        <f t="shared" si="147"/>
        <v/>
      </c>
      <c r="W656" s="18" t="str">
        <f t="shared" si="148"/>
        <v/>
      </c>
      <c r="X656" s="18" t="str">
        <f t="shared" si="149"/>
        <v/>
      </c>
      <c r="Y656" s="18" t="str">
        <f>IF(OR(L656="",V656=""),"",IFERROR(INDEX(لیست‌ها!$Q$3:$Q$53,MATCH(V656,لیست‌ها!$P$3:$P$53,0))+IF(W656&lt;=6,(W656-1)*31+X656,IF(W656&lt;=11,186+(W656-7)*30+X656,336+X656))-1,""))</f>
        <v/>
      </c>
      <c r="Z656" s="18" t="str">
        <f t="shared" si="150"/>
        <v/>
      </c>
      <c r="AA656" s="18" t="str">
        <f t="shared" si="151"/>
        <v/>
      </c>
      <c r="AB656" s="18" t="str">
        <f t="shared" si="152"/>
        <v/>
      </c>
      <c r="AC656" s="18" t="str">
        <f>IF(OR(H656="",Z656=""),"",IFERROR(INDEX(لیست‌ها!$Q$3:$Q$53,MATCH(Z656,لیست‌ها!$P$3:$P$53,0))+IF(AA656&lt;=6,(AA656-1)*31+AB656,IF(AA656&lt;=11,186+(AA656-7)*30+AB656,336+AB656))-1,""))</f>
        <v/>
      </c>
      <c r="AD656" s="18" t="str">
        <f t="shared" si="153"/>
        <v/>
      </c>
      <c r="AE656" s="18" t="str">
        <f t="shared" si="154"/>
        <v/>
      </c>
      <c r="AF656" s="18" t="str">
        <f t="shared" si="155"/>
        <v/>
      </c>
      <c r="AG656" s="18" t="str">
        <f>IF(OR(O656="",AD656=""),"",IFERROR(INDEX(لیست‌ها!$Q$3:$Q$53,MATCH(AD656,لیست‌ها!$P$3:$P$53,0))+IF(AE656&lt;=6,(AE656-1)*31+AF656,IF(AE656&lt;=11,186+(AE656-7)*30+AF656,336+AF656))-1,""))</f>
        <v/>
      </c>
      <c r="AH656" s="18" t="str">
        <f t="shared" si="156"/>
        <v/>
      </c>
      <c r="AI656" s="18" t="str">
        <f t="shared" si="157"/>
        <v/>
      </c>
      <c r="AJ656" s="18" t="str">
        <f t="shared" ca="1" si="158"/>
        <v/>
      </c>
    </row>
    <row r="657" spans="1:36">
      <c r="A657" s="18" t="str">
        <f t="shared" si="144"/>
        <v/>
      </c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8" t="str">
        <f t="shared" ca="1" si="145"/>
        <v/>
      </c>
      <c r="U657" s="18">
        <f t="shared" ca="1" si="146"/>
        <v>0</v>
      </c>
      <c r="V657" s="18" t="str">
        <f t="shared" si="147"/>
        <v/>
      </c>
      <c r="W657" s="18" t="str">
        <f t="shared" si="148"/>
        <v/>
      </c>
      <c r="X657" s="18" t="str">
        <f t="shared" si="149"/>
        <v/>
      </c>
      <c r="Y657" s="18" t="str">
        <f>IF(OR(L657="",V657=""),"",IFERROR(INDEX(لیست‌ها!$Q$3:$Q$53,MATCH(V657,لیست‌ها!$P$3:$P$53,0))+IF(W657&lt;=6,(W657-1)*31+X657,IF(W657&lt;=11,186+(W657-7)*30+X657,336+X657))-1,""))</f>
        <v/>
      </c>
      <c r="Z657" s="18" t="str">
        <f t="shared" si="150"/>
        <v/>
      </c>
      <c r="AA657" s="18" t="str">
        <f t="shared" si="151"/>
        <v/>
      </c>
      <c r="AB657" s="18" t="str">
        <f t="shared" si="152"/>
        <v/>
      </c>
      <c r="AC657" s="18" t="str">
        <f>IF(OR(H657="",Z657=""),"",IFERROR(INDEX(لیست‌ها!$Q$3:$Q$53,MATCH(Z657,لیست‌ها!$P$3:$P$53,0))+IF(AA657&lt;=6,(AA657-1)*31+AB657,IF(AA657&lt;=11,186+(AA657-7)*30+AB657,336+AB657))-1,""))</f>
        <v/>
      </c>
      <c r="AD657" s="18" t="str">
        <f t="shared" si="153"/>
        <v/>
      </c>
      <c r="AE657" s="18" t="str">
        <f t="shared" si="154"/>
        <v/>
      </c>
      <c r="AF657" s="18" t="str">
        <f t="shared" si="155"/>
        <v/>
      </c>
      <c r="AG657" s="18" t="str">
        <f>IF(OR(O657="",AD657=""),"",IFERROR(INDEX(لیست‌ها!$Q$3:$Q$53,MATCH(AD657,لیست‌ها!$P$3:$P$53,0))+IF(AE657&lt;=6,(AE657-1)*31+AF657,IF(AE657&lt;=11,186+(AE657-7)*30+AF657,336+AF657))-1,""))</f>
        <v/>
      </c>
      <c r="AH657" s="18" t="str">
        <f t="shared" si="156"/>
        <v/>
      </c>
      <c r="AI657" s="18" t="str">
        <f t="shared" si="157"/>
        <v/>
      </c>
      <c r="AJ657" s="18" t="str">
        <f t="shared" ca="1" si="158"/>
        <v/>
      </c>
    </row>
    <row r="658" spans="1:36">
      <c r="A658" s="18" t="str">
        <f t="shared" si="144"/>
        <v/>
      </c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8" t="str">
        <f t="shared" ca="1" si="145"/>
        <v/>
      </c>
      <c r="U658" s="18">
        <f t="shared" ca="1" si="146"/>
        <v>0</v>
      </c>
      <c r="V658" s="18" t="str">
        <f t="shared" si="147"/>
        <v/>
      </c>
      <c r="W658" s="18" t="str">
        <f t="shared" si="148"/>
        <v/>
      </c>
      <c r="X658" s="18" t="str">
        <f t="shared" si="149"/>
        <v/>
      </c>
      <c r="Y658" s="18" t="str">
        <f>IF(OR(L658="",V658=""),"",IFERROR(INDEX(لیست‌ها!$Q$3:$Q$53,MATCH(V658,لیست‌ها!$P$3:$P$53,0))+IF(W658&lt;=6,(W658-1)*31+X658,IF(W658&lt;=11,186+(W658-7)*30+X658,336+X658))-1,""))</f>
        <v/>
      </c>
      <c r="Z658" s="18" t="str">
        <f t="shared" si="150"/>
        <v/>
      </c>
      <c r="AA658" s="18" t="str">
        <f t="shared" si="151"/>
        <v/>
      </c>
      <c r="AB658" s="18" t="str">
        <f t="shared" si="152"/>
        <v/>
      </c>
      <c r="AC658" s="18" t="str">
        <f>IF(OR(H658="",Z658=""),"",IFERROR(INDEX(لیست‌ها!$Q$3:$Q$53,MATCH(Z658,لیست‌ها!$P$3:$P$53,0))+IF(AA658&lt;=6,(AA658-1)*31+AB658,IF(AA658&lt;=11,186+(AA658-7)*30+AB658,336+AB658))-1,""))</f>
        <v/>
      </c>
      <c r="AD658" s="18" t="str">
        <f t="shared" si="153"/>
        <v/>
      </c>
      <c r="AE658" s="18" t="str">
        <f t="shared" si="154"/>
        <v/>
      </c>
      <c r="AF658" s="18" t="str">
        <f t="shared" si="155"/>
        <v/>
      </c>
      <c r="AG658" s="18" t="str">
        <f>IF(OR(O658="",AD658=""),"",IFERROR(INDEX(لیست‌ها!$Q$3:$Q$53,MATCH(AD658,لیست‌ها!$P$3:$P$53,0))+IF(AE658&lt;=6,(AE658-1)*31+AF658,IF(AE658&lt;=11,186+(AE658-7)*30+AF658,336+AF658))-1,""))</f>
        <v/>
      </c>
      <c r="AH658" s="18" t="str">
        <f t="shared" si="156"/>
        <v/>
      </c>
      <c r="AI658" s="18" t="str">
        <f t="shared" si="157"/>
        <v/>
      </c>
      <c r="AJ658" s="18" t="str">
        <f t="shared" ca="1" si="158"/>
        <v/>
      </c>
    </row>
    <row r="659" spans="1:36">
      <c r="A659" s="18" t="str">
        <f t="shared" si="144"/>
        <v/>
      </c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8" t="str">
        <f t="shared" ca="1" si="145"/>
        <v/>
      </c>
      <c r="U659" s="18">
        <f t="shared" ca="1" si="146"/>
        <v>0</v>
      </c>
      <c r="V659" s="18" t="str">
        <f t="shared" si="147"/>
        <v/>
      </c>
      <c r="W659" s="18" t="str">
        <f t="shared" si="148"/>
        <v/>
      </c>
      <c r="X659" s="18" t="str">
        <f t="shared" si="149"/>
        <v/>
      </c>
      <c r="Y659" s="18" t="str">
        <f>IF(OR(L659="",V659=""),"",IFERROR(INDEX(لیست‌ها!$Q$3:$Q$53,MATCH(V659,لیست‌ها!$P$3:$P$53,0))+IF(W659&lt;=6,(W659-1)*31+X659,IF(W659&lt;=11,186+(W659-7)*30+X659,336+X659))-1,""))</f>
        <v/>
      </c>
      <c r="Z659" s="18" t="str">
        <f t="shared" si="150"/>
        <v/>
      </c>
      <c r="AA659" s="18" t="str">
        <f t="shared" si="151"/>
        <v/>
      </c>
      <c r="AB659" s="18" t="str">
        <f t="shared" si="152"/>
        <v/>
      </c>
      <c r="AC659" s="18" t="str">
        <f>IF(OR(H659="",Z659=""),"",IFERROR(INDEX(لیست‌ها!$Q$3:$Q$53,MATCH(Z659,لیست‌ها!$P$3:$P$53,0))+IF(AA659&lt;=6,(AA659-1)*31+AB659,IF(AA659&lt;=11,186+(AA659-7)*30+AB659,336+AB659))-1,""))</f>
        <v/>
      </c>
      <c r="AD659" s="18" t="str">
        <f t="shared" si="153"/>
        <v/>
      </c>
      <c r="AE659" s="18" t="str">
        <f t="shared" si="154"/>
        <v/>
      </c>
      <c r="AF659" s="18" t="str">
        <f t="shared" si="155"/>
        <v/>
      </c>
      <c r="AG659" s="18" t="str">
        <f>IF(OR(O659="",AD659=""),"",IFERROR(INDEX(لیست‌ها!$Q$3:$Q$53,MATCH(AD659,لیست‌ها!$P$3:$P$53,0))+IF(AE659&lt;=6,(AE659-1)*31+AF659,IF(AE659&lt;=11,186+(AE659-7)*30+AF659,336+AF659))-1,""))</f>
        <v/>
      </c>
      <c r="AH659" s="18" t="str">
        <f t="shared" si="156"/>
        <v/>
      </c>
      <c r="AI659" s="18" t="str">
        <f t="shared" si="157"/>
        <v/>
      </c>
      <c r="AJ659" s="18" t="str">
        <f t="shared" ca="1" si="158"/>
        <v/>
      </c>
    </row>
    <row r="660" spans="1:36">
      <c r="A660" s="18" t="str">
        <f t="shared" si="144"/>
        <v/>
      </c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8" t="str">
        <f t="shared" ca="1" si="145"/>
        <v/>
      </c>
      <c r="U660" s="18">
        <f t="shared" ca="1" si="146"/>
        <v>0</v>
      </c>
      <c r="V660" s="18" t="str">
        <f t="shared" si="147"/>
        <v/>
      </c>
      <c r="W660" s="18" t="str">
        <f t="shared" si="148"/>
        <v/>
      </c>
      <c r="X660" s="18" t="str">
        <f t="shared" si="149"/>
        <v/>
      </c>
      <c r="Y660" s="18" t="str">
        <f>IF(OR(L660="",V660=""),"",IFERROR(INDEX(لیست‌ها!$Q$3:$Q$53,MATCH(V660,لیست‌ها!$P$3:$P$53,0))+IF(W660&lt;=6,(W660-1)*31+X660,IF(W660&lt;=11,186+(W660-7)*30+X660,336+X660))-1,""))</f>
        <v/>
      </c>
      <c r="Z660" s="18" t="str">
        <f t="shared" si="150"/>
        <v/>
      </c>
      <c r="AA660" s="18" t="str">
        <f t="shared" si="151"/>
        <v/>
      </c>
      <c r="AB660" s="18" t="str">
        <f t="shared" si="152"/>
        <v/>
      </c>
      <c r="AC660" s="18" t="str">
        <f>IF(OR(H660="",Z660=""),"",IFERROR(INDEX(لیست‌ها!$Q$3:$Q$53,MATCH(Z660,لیست‌ها!$P$3:$P$53,0))+IF(AA660&lt;=6,(AA660-1)*31+AB660,IF(AA660&lt;=11,186+(AA660-7)*30+AB660,336+AB660))-1,""))</f>
        <v/>
      </c>
      <c r="AD660" s="18" t="str">
        <f t="shared" si="153"/>
        <v/>
      </c>
      <c r="AE660" s="18" t="str">
        <f t="shared" si="154"/>
        <v/>
      </c>
      <c r="AF660" s="18" t="str">
        <f t="shared" si="155"/>
        <v/>
      </c>
      <c r="AG660" s="18" t="str">
        <f>IF(OR(O660="",AD660=""),"",IFERROR(INDEX(لیست‌ها!$Q$3:$Q$53,MATCH(AD660,لیست‌ها!$P$3:$P$53,0))+IF(AE660&lt;=6,(AE660-1)*31+AF660,IF(AE660&lt;=11,186+(AE660-7)*30+AF660,336+AF660))-1,""))</f>
        <v/>
      </c>
      <c r="AH660" s="18" t="str">
        <f t="shared" si="156"/>
        <v/>
      </c>
      <c r="AI660" s="18" t="str">
        <f t="shared" si="157"/>
        <v/>
      </c>
      <c r="AJ660" s="18" t="str">
        <f t="shared" ca="1" si="158"/>
        <v/>
      </c>
    </row>
    <row r="661" spans="1:36">
      <c r="A661" s="18" t="str">
        <f t="shared" si="144"/>
        <v/>
      </c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8" t="str">
        <f t="shared" ca="1" si="145"/>
        <v/>
      </c>
      <c r="U661" s="18">
        <f t="shared" ca="1" si="146"/>
        <v>0</v>
      </c>
      <c r="V661" s="18" t="str">
        <f t="shared" si="147"/>
        <v/>
      </c>
      <c r="W661" s="18" t="str">
        <f t="shared" si="148"/>
        <v/>
      </c>
      <c r="X661" s="18" t="str">
        <f t="shared" si="149"/>
        <v/>
      </c>
      <c r="Y661" s="18" t="str">
        <f>IF(OR(L661="",V661=""),"",IFERROR(INDEX(لیست‌ها!$Q$3:$Q$53,MATCH(V661,لیست‌ها!$P$3:$P$53,0))+IF(W661&lt;=6,(W661-1)*31+X661,IF(W661&lt;=11,186+(W661-7)*30+X661,336+X661))-1,""))</f>
        <v/>
      </c>
      <c r="Z661" s="18" t="str">
        <f t="shared" si="150"/>
        <v/>
      </c>
      <c r="AA661" s="18" t="str">
        <f t="shared" si="151"/>
        <v/>
      </c>
      <c r="AB661" s="18" t="str">
        <f t="shared" si="152"/>
        <v/>
      </c>
      <c r="AC661" s="18" t="str">
        <f>IF(OR(H661="",Z661=""),"",IFERROR(INDEX(لیست‌ها!$Q$3:$Q$53,MATCH(Z661,لیست‌ها!$P$3:$P$53,0))+IF(AA661&lt;=6,(AA661-1)*31+AB661,IF(AA661&lt;=11,186+(AA661-7)*30+AB661,336+AB661))-1,""))</f>
        <v/>
      </c>
      <c r="AD661" s="18" t="str">
        <f t="shared" si="153"/>
        <v/>
      </c>
      <c r="AE661" s="18" t="str">
        <f t="shared" si="154"/>
        <v/>
      </c>
      <c r="AF661" s="18" t="str">
        <f t="shared" si="155"/>
        <v/>
      </c>
      <c r="AG661" s="18" t="str">
        <f>IF(OR(O661="",AD661=""),"",IFERROR(INDEX(لیست‌ها!$Q$3:$Q$53,MATCH(AD661,لیست‌ها!$P$3:$P$53,0))+IF(AE661&lt;=6,(AE661-1)*31+AF661,IF(AE661&lt;=11,186+(AE661-7)*30+AF661,336+AF661))-1,""))</f>
        <v/>
      </c>
      <c r="AH661" s="18" t="str">
        <f t="shared" si="156"/>
        <v/>
      </c>
      <c r="AI661" s="18" t="str">
        <f t="shared" si="157"/>
        <v/>
      </c>
      <c r="AJ661" s="18" t="str">
        <f t="shared" ca="1" si="158"/>
        <v/>
      </c>
    </row>
    <row r="662" spans="1:36">
      <c r="A662" s="18" t="str">
        <f t="shared" si="144"/>
        <v/>
      </c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8" t="str">
        <f t="shared" ca="1" si="145"/>
        <v/>
      </c>
      <c r="U662" s="18">
        <f t="shared" ca="1" si="146"/>
        <v>0</v>
      </c>
      <c r="V662" s="18" t="str">
        <f t="shared" si="147"/>
        <v/>
      </c>
      <c r="W662" s="18" t="str">
        <f t="shared" si="148"/>
        <v/>
      </c>
      <c r="X662" s="18" t="str">
        <f t="shared" si="149"/>
        <v/>
      </c>
      <c r="Y662" s="18" t="str">
        <f>IF(OR(L662="",V662=""),"",IFERROR(INDEX(لیست‌ها!$Q$3:$Q$53,MATCH(V662,لیست‌ها!$P$3:$P$53,0))+IF(W662&lt;=6,(W662-1)*31+X662,IF(W662&lt;=11,186+(W662-7)*30+X662,336+X662))-1,""))</f>
        <v/>
      </c>
      <c r="Z662" s="18" t="str">
        <f t="shared" si="150"/>
        <v/>
      </c>
      <c r="AA662" s="18" t="str">
        <f t="shared" si="151"/>
        <v/>
      </c>
      <c r="AB662" s="18" t="str">
        <f t="shared" si="152"/>
        <v/>
      </c>
      <c r="AC662" s="18" t="str">
        <f>IF(OR(H662="",Z662=""),"",IFERROR(INDEX(لیست‌ها!$Q$3:$Q$53,MATCH(Z662,لیست‌ها!$P$3:$P$53,0))+IF(AA662&lt;=6,(AA662-1)*31+AB662,IF(AA662&lt;=11,186+(AA662-7)*30+AB662,336+AB662))-1,""))</f>
        <v/>
      </c>
      <c r="AD662" s="18" t="str">
        <f t="shared" si="153"/>
        <v/>
      </c>
      <c r="AE662" s="18" t="str">
        <f t="shared" si="154"/>
        <v/>
      </c>
      <c r="AF662" s="18" t="str">
        <f t="shared" si="155"/>
        <v/>
      </c>
      <c r="AG662" s="18" t="str">
        <f>IF(OR(O662="",AD662=""),"",IFERROR(INDEX(لیست‌ها!$Q$3:$Q$53,MATCH(AD662,لیست‌ها!$P$3:$P$53,0))+IF(AE662&lt;=6,(AE662-1)*31+AF662,IF(AE662&lt;=11,186+(AE662-7)*30+AF662,336+AF662))-1,""))</f>
        <v/>
      </c>
      <c r="AH662" s="18" t="str">
        <f t="shared" si="156"/>
        <v/>
      </c>
      <c r="AI662" s="18" t="str">
        <f t="shared" si="157"/>
        <v/>
      </c>
      <c r="AJ662" s="18" t="str">
        <f t="shared" ca="1" si="158"/>
        <v/>
      </c>
    </row>
    <row r="663" spans="1:36">
      <c r="A663" s="18" t="str">
        <f t="shared" si="144"/>
        <v/>
      </c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8" t="str">
        <f t="shared" ca="1" si="145"/>
        <v/>
      </c>
      <c r="U663" s="18">
        <f t="shared" ca="1" si="146"/>
        <v>0</v>
      </c>
      <c r="V663" s="18" t="str">
        <f t="shared" si="147"/>
        <v/>
      </c>
      <c r="W663" s="18" t="str">
        <f t="shared" si="148"/>
        <v/>
      </c>
      <c r="X663" s="18" t="str">
        <f t="shared" si="149"/>
        <v/>
      </c>
      <c r="Y663" s="18" t="str">
        <f>IF(OR(L663="",V663=""),"",IFERROR(INDEX(لیست‌ها!$Q$3:$Q$53,MATCH(V663,لیست‌ها!$P$3:$P$53,0))+IF(W663&lt;=6,(W663-1)*31+X663,IF(W663&lt;=11,186+(W663-7)*30+X663,336+X663))-1,""))</f>
        <v/>
      </c>
      <c r="Z663" s="18" t="str">
        <f t="shared" si="150"/>
        <v/>
      </c>
      <c r="AA663" s="18" t="str">
        <f t="shared" si="151"/>
        <v/>
      </c>
      <c r="AB663" s="18" t="str">
        <f t="shared" si="152"/>
        <v/>
      </c>
      <c r="AC663" s="18" t="str">
        <f>IF(OR(H663="",Z663=""),"",IFERROR(INDEX(لیست‌ها!$Q$3:$Q$53,MATCH(Z663,لیست‌ها!$P$3:$P$53,0))+IF(AA663&lt;=6,(AA663-1)*31+AB663,IF(AA663&lt;=11,186+(AA663-7)*30+AB663,336+AB663))-1,""))</f>
        <v/>
      </c>
      <c r="AD663" s="18" t="str">
        <f t="shared" si="153"/>
        <v/>
      </c>
      <c r="AE663" s="18" t="str">
        <f t="shared" si="154"/>
        <v/>
      </c>
      <c r="AF663" s="18" t="str">
        <f t="shared" si="155"/>
        <v/>
      </c>
      <c r="AG663" s="18" t="str">
        <f>IF(OR(O663="",AD663=""),"",IFERROR(INDEX(لیست‌ها!$Q$3:$Q$53,MATCH(AD663,لیست‌ها!$P$3:$P$53,0))+IF(AE663&lt;=6,(AE663-1)*31+AF663,IF(AE663&lt;=11,186+(AE663-7)*30+AF663,336+AF663))-1,""))</f>
        <v/>
      </c>
      <c r="AH663" s="18" t="str">
        <f t="shared" si="156"/>
        <v/>
      </c>
      <c r="AI663" s="18" t="str">
        <f t="shared" si="157"/>
        <v/>
      </c>
      <c r="AJ663" s="18" t="str">
        <f t="shared" ca="1" si="158"/>
        <v/>
      </c>
    </row>
    <row r="664" spans="1:36">
      <c r="A664" s="18" t="str">
        <f t="shared" si="144"/>
        <v/>
      </c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8" t="str">
        <f t="shared" ca="1" si="145"/>
        <v/>
      </c>
      <c r="U664" s="18">
        <f t="shared" ca="1" si="146"/>
        <v>0</v>
      </c>
      <c r="V664" s="18" t="str">
        <f t="shared" si="147"/>
        <v/>
      </c>
      <c r="W664" s="18" t="str">
        <f t="shared" si="148"/>
        <v/>
      </c>
      <c r="X664" s="18" t="str">
        <f t="shared" si="149"/>
        <v/>
      </c>
      <c r="Y664" s="18" t="str">
        <f>IF(OR(L664="",V664=""),"",IFERROR(INDEX(لیست‌ها!$Q$3:$Q$53,MATCH(V664,لیست‌ها!$P$3:$P$53,0))+IF(W664&lt;=6,(W664-1)*31+X664,IF(W664&lt;=11,186+(W664-7)*30+X664,336+X664))-1,""))</f>
        <v/>
      </c>
      <c r="Z664" s="18" t="str">
        <f t="shared" si="150"/>
        <v/>
      </c>
      <c r="AA664" s="18" t="str">
        <f t="shared" si="151"/>
        <v/>
      </c>
      <c r="AB664" s="18" t="str">
        <f t="shared" si="152"/>
        <v/>
      </c>
      <c r="AC664" s="18" t="str">
        <f>IF(OR(H664="",Z664=""),"",IFERROR(INDEX(لیست‌ها!$Q$3:$Q$53,MATCH(Z664,لیست‌ها!$P$3:$P$53,0))+IF(AA664&lt;=6,(AA664-1)*31+AB664,IF(AA664&lt;=11,186+(AA664-7)*30+AB664,336+AB664))-1,""))</f>
        <v/>
      </c>
      <c r="AD664" s="18" t="str">
        <f t="shared" si="153"/>
        <v/>
      </c>
      <c r="AE664" s="18" t="str">
        <f t="shared" si="154"/>
        <v/>
      </c>
      <c r="AF664" s="18" t="str">
        <f t="shared" si="155"/>
        <v/>
      </c>
      <c r="AG664" s="18" t="str">
        <f>IF(OR(O664="",AD664=""),"",IFERROR(INDEX(لیست‌ها!$Q$3:$Q$53,MATCH(AD664,لیست‌ها!$P$3:$P$53,0))+IF(AE664&lt;=6,(AE664-1)*31+AF664,IF(AE664&lt;=11,186+(AE664-7)*30+AF664,336+AF664))-1,""))</f>
        <v/>
      </c>
      <c r="AH664" s="18" t="str">
        <f t="shared" si="156"/>
        <v/>
      </c>
      <c r="AI664" s="18" t="str">
        <f t="shared" si="157"/>
        <v/>
      </c>
      <c r="AJ664" s="18" t="str">
        <f t="shared" ca="1" si="158"/>
        <v/>
      </c>
    </row>
    <row r="665" spans="1:36">
      <c r="A665" s="18" t="str">
        <f t="shared" si="144"/>
        <v/>
      </c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8" t="str">
        <f t="shared" ca="1" si="145"/>
        <v/>
      </c>
      <c r="U665" s="18">
        <f t="shared" ca="1" si="146"/>
        <v>0</v>
      </c>
      <c r="V665" s="18" t="str">
        <f t="shared" si="147"/>
        <v/>
      </c>
      <c r="W665" s="18" t="str">
        <f t="shared" si="148"/>
        <v/>
      </c>
      <c r="X665" s="18" t="str">
        <f t="shared" si="149"/>
        <v/>
      </c>
      <c r="Y665" s="18" t="str">
        <f>IF(OR(L665="",V665=""),"",IFERROR(INDEX(لیست‌ها!$Q$3:$Q$53,MATCH(V665,لیست‌ها!$P$3:$P$53,0))+IF(W665&lt;=6,(W665-1)*31+X665,IF(W665&lt;=11,186+(W665-7)*30+X665,336+X665))-1,""))</f>
        <v/>
      </c>
      <c r="Z665" s="18" t="str">
        <f t="shared" si="150"/>
        <v/>
      </c>
      <c r="AA665" s="18" t="str">
        <f t="shared" si="151"/>
        <v/>
      </c>
      <c r="AB665" s="18" t="str">
        <f t="shared" si="152"/>
        <v/>
      </c>
      <c r="AC665" s="18" t="str">
        <f>IF(OR(H665="",Z665=""),"",IFERROR(INDEX(لیست‌ها!$Q$3:$Q$53,MATCH(Z665,لیست‌ها!$P$3:$P$53,0))+IF(AA665&lt;=6,(AA665-1)*31+AB665,IF(AA665&lt;=11,186+(AA665-7)*30+AB665,336+AB665))-1,""))</f>
        <v/>
      </c>
      <c r="AD665" s="18" t="str">
        <f t="shared" si="153"/>
        <v/>
      </c>
      <c r="AE665" s="18" t="str">
        <f t="shared" si="154"/>
        <v/>
      </c>
      <c r="AF665" s="18" t="str">
        <f t="shared" si="155"/>
        <v/>
      </c>
      <c r="AG665" s="18" t="str">
        <f>IF(OR(O665="",AD665=""),"",IFERROR(INDEX(لیست‌ها!$Q$3:$Q$53,MATCH(AD665,لیست‌ها!$P$3:$P$53,0))+IF(AE665&lt;=6,(AE665-1)*31+AF665,IF(AE665&lt;=11,186+(AE665-7)*30+AF665,336+AF665))-1,""))</f>
        <v/>
      </c>
      <c r="AH665" s="18" t="str">
        <f t="shared" si="156"/>
        <v/>
      </c>
      <c r="AI665" s="18" t="str">
        <f t="shared" si="157"/>
        <v/>
      </c>
      <c r="AJ665" s="18" t="str">
        <f t="shared" ca="1" si="158"/>
        <v/>
      </c>
    </row>
    <row r="666" spans="1:36">
      <c r="A666" s="18" t="str">
        <f t="shared" si="144"/>
        <v/>
      </c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8" t="str">
        <f t="shared" ca="1" si="145"/>
        <v/>
      </c>
      <c r="U666" s="18">
        <f t="shared" ca="1" si="146"/>
        <v>0</v>
      </c>
      <c r="V666" s="18" t="str">
        <f t="shared" si="147"/>
        <v/>
      </c>
      <c r="W666" s="18" t="str">
        <f t="shared" si="148"/>
        <v/>
      </c>
      <c r="X666" s="18" t="str">
        <f t="shared" si="149"/>
        <v/>
      </c>
      <c r="Y666" s="18" t="str">
        <f>IF(OR(L666="",V666=""),"",IFERROR(INDEX(لیست‌ها!$Q$3:$Q$53,MATCH(V666,لیست‌ها!$P$3:$P$53,0))+IF(W666&lt;=6,(W666-1)*31+X666,IF(W666&lt;=11,186+(W666-7)*30+X666,336+X666))-1,""))</f>
        <v/>
      </c>
      <c r="Z666" s="18" t="str">
        <f t="shared" si="150"/>
        <v/>
      </c>
      <c r="AA666" s="18" t="str">
        <f t="shared" si="151"/>
        <v/>
      </c>
      <c r="AB666" s="18" t="str">
        <f t="shared" si="152"/>
        <v/>
      </c>
      <c r="AC666" s="18" t="str">
        <f>IF(OR(H666="",Z666=""),"",IFERROR(INDEX(لیست‌ها!$Q$3:$Q$53,MATCH(Z666,لیست‌ها!$P$3:$P$53,0))+IF(AA666&lt;=6,(AA666-1)*31+AB666,IF(AA666&lt;=11,186+(AA666-7)*30+AB666,336+AB666))-1,""))</f>
        <v/>
      </c>
      <c r="AD666" s="18" t="str">
        <f t="shared" si="153"/>
        <v/>
      </c>
      <c r="AE666" s="18" t="str">
        <f t="shared" si="154"/>
        <v/>
      </c>
      <c r="AF666" s="18" t="str">
        <f t="shared" si="155"/>
        <v/>
      </c>
      <c r="AG666" s="18" t="str">
        <f>IF(OR(O666="",AD666=""),"",IFERROR(INDEX(لیست‌ها!$Q$3:$Q$53,MATCH(AD666,لیست‌ها!$P$3:$P$53,0))+IF(AE666&lt;=6,(AE666-1)*31+AF666,IF(AE666&lt;=11,186+(AE666-7)*30+AF666,336+AF666))-1,""))</f>
        <v/>
      </c>
      <c r="AH666" s="18" t="str">
        <f t="shared" si="156"/>
        <v/>
      </c>
      <c r="AI666" s="18" t="str">
        <f t="shared" si="157"/>
        <v/>
      </c>
      <c r="AJ666" s="18" t="str">
        <f t="shared" ca="1" si="158"/>
        <v/>
      </c>
    </row>
    <row r="667" spans="1:36">
      <c r="A667" s="18" t="str">
        <f t="shared" si="144"/>
        <v/>
      </c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8" t="str">
        <f t="shared" ca="1" si="145"/>
        <v/>
      </c>
      <c r="U667" s="18">
        <f t="shared" ca="1" si="146"/>
        <v>0</v>
      </c>
      <c r="V667" s="18" t="str">
        <f t="shared" si="147"/>
        <v/>
      </c>
      <c r="W667" s="18" t="str">
        <f t="shared" si="148"/>
        <v/>
      </c>
      <c r="X667" s="18" t="str">
        <f t="shared" si="149"/>
        <v/>
      </c>
      <c r="Y667" s="18" t="str">
        <f>IF(OR(L667="",V667=""),"",IFERROR(INDEX(لیست‌ها!$Q$3:$Q$53,MATCH(V667,لیست‌ها!$P$3:$P$53,0))+IF(W667&lt;=6,(W667-1)*31+X667,IF(W667&lt;=11,186+(W667-7)*30+X667,336+X667))-1,""))</f>
        <v/>
      </c>
      <c r="Z667" s="18" t="str">
        <f t="shared" si="150"/>
        <v/>
      </c>
      <c r="AA667" s="18" t="str">
        <f t="shared" si="151"/>
        <v/>
      </c>
      <c r="AB667" s="18" t="str">
        <f t="shared" si="152"/>
        <v/>
      </c>
      <c r="AC667" s="18" t="str">
        <f>IF(OR(H667="",Z667=""),"",IFERROR(INDEX(لیست‌ها!$Q$3:$Q$53,MATCH(Z667,لیست‌ها!$P$3:$P$53,0))+IF(AA667&lt;=6,(AA667-1)*31+AB667,IF(AA667&lt;=11,186+(AA667-7)*30+AB667,336+AB667))-1,""))</f>
        <v/>
      </c>
      <c r="AD667" s="18" t="str">
        <f t="shared" si="153"/>
        <v/>
      </c>
      <c r="AE667" s="18" t="str">
        <f t="shared" si="154"/>
        <v/>
      </c>
      <c r="AF667" s="18" t="str">
        <f t="shared" si="155"/>
        <v/>
      </c>
      <c r="AG667" s="18" t="str">
        <f>IF(OR(O667="",AD667=""),"",IFERROR(INDEX(لیست‌ها!$Q$3:$Q$53,MATCH(AD667,لیست‌ها!$P$3:$P$53,0))+IF(AE667&lt;=6,(AE667-1)*31+AF667,IF(AE667&lt;=11,186+(AE667-7)*30+AF667,336+AF667))-1,""))</f>
        <v/>
      </c>
      <c r="AH667" s="18" t="str">
        <f t="shared" si="156"/>
        <v/>
      </c>
      <c r="AI667" s="18" t="str">
        <f t="shared" si="157"/>
        <v/>
      </c>
      <c r="AJ667" s="18" t="str">
        <f t="shared" ca="1" si="158"/>
        <v/>
      </c>
    </row>
    <row r="668" spans="1:36">
      <c r="A668" s="18" t="str">
        <f t="shared" si="144"/>
        <v/>
      </c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8" t="str">
        <f t="shared" ca="1" si="145"/>
        <v/>
      </c>
      <c r="U668" s="18">
        <f t="shared" ca="1" si="146"/>
        <v>0</v>
      </c>
      <c r="V668" s="18" t="str">
        <f t="shared" si="147"/>
        <v/>
      </c>
      <c r="W668" s="18" t="str">
        <f t="shared" si="148"/>
        <v/>
      </c>
      <c r="X668" s="18" t="str">
        <f t="shared" si="149"/>
        <v/>
      </c>
      <c r="Y668" s="18" t="str">
        <f>IF(OR(L668="",V668=""),"",IFERROR(INDEX(لیست‌ها!$Q$3:$Q$53,MATCH(V668,لیست‌ها!$P$3:$P$53,0))+IF(W668&lt;=6,(W668-1)*31+X668,IF(W668&lt;=11,186+(W668-7)*30+X668,336+X668))-1,""))</f>
        <v/>
      </c>
      <c r="Z668" s="18" t="str">
        <f t="shared" si="150"/>
        <v/>
      </c>
      <c r="AA668" s="18" t="str">
        <f t="shared" si="151"/>
        <v/>
      </c>
      <c r="AB668" s="18" t="str">
        <f t="shared" si="152"/>
        <v/>
      </c>
      <c r="AC668" s="18" t="str">
        <f>IF(OR(H668="",Z668=""),"",IFERROR(INDEX(لیست‌ها!$Q$3:$Q$53,MATCH(Z668,لیست‌ها!$P$3:$P$53,0))+IF(AA668&lt;=6,(AA668-1)*31+AB668,IF(AA668&lt;=11,186+(AA668-7)*30+AB668,336+AB668))-1,""))</f>
        <v/>
      </c>
      <c r="AD668" s="18" t="str">
        <f t="shared" si="153"/>
        <v/>
      </c>
      <c r="AE668" s="18" t="str">
        <f t="shared" si="154"/>
        <v/>
      </c>
      <c r="AF668" s="18" t="str">
        <f t="shared" si="155"/>
        <v/>
      </c>
      <c r="AG668" s="18" t="str">
        <f>IF(OR(O668="",AD668=""),"",IFERROR(INDEX(لیست‌ها!$Q$3:$Q$53,MATCH(AD668,لیست‌ها!$P$3:$P$53,0))+IF(AE668&lt;=6,(AE668-1)*31+AF668,IF(AE668&lt;=11,186+(AE668-7)*30+AF668,336+AF668))-1,""))</f>
        <v/>
      </c>
      <c r="AH668" s="18" t="str">
        <f t="shared" si="156"/>
        <v/>
      </c>
      <c r="AI668" s="18" t="str">
        <f t="shared" si="157"/>
        <v/>
      </c>
      <c r="AJ668" s="18" t="str">
        <f t="shared" ca="1" si="158"/>
        <v/>
      </c>
    </row>
    <row r="669" spans="1:36">
      <c r="A669" s="18" t="str">
        <f t="shared" si="144"/>
        <v/>
      </c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8" t="str">
        <f t="shared" ca="1" si="145"/>
        <v/>
      </c>
      <c r="U669" s="18">
        <f t="shared" ca="1" si="146"/>
        <v>0</v>
      </c>
      <c r="V669" s="18" t="str">
        <f t="shared" si="147"/>
        <v/>
      </c>
      <c r="W669" s="18" t="str">
        <f t="shared" si="148"/>
        <v/>
      </c>
      <c r="X669" s="18" t="str">
        <f t="shared" si="149"/>
        <v/>
      </c>
      <c r="Y669" s="18" t="str">
        <f>IF(OR(L669="",V669=""),"",IFERROR(INDEX(لیست‌ها!$Q$3:$Q$53,MATCH(V669,لیست‌ها!$P$3:$P$53,0))+IF(W669&lt;=6,(W669-1)*31+X669,IF(W669&lt;=11,186+(W669-7)*30+X669,336+X669))-1,""))</f>
        <v/>
      </c>
      <c r="Z669" s="18" t="str">
        <f t="shared" si="150"/>
        <v/>
      </c>
      <c r="AA669" s="18" t="str">
        <f t="shared" si="151"/>
        <v/>
      </c>
      <c r="AB669" s="18" t="str">
        <f t="shared" si="152"/>
        <v/>
      </c>
      <c r="AC669" s="18" t="str">
        <f>IF(OR(H669="",Z669=""),"",IFERROR(INDEX(لیست‌ها!$Q$3:$Q$53,MATCH(Z669,لیست‌ها!$P$3:$P$53,0))+IF(AA669&lt;=6,(AA669-1)*31+AB669,IF(AA669&lt;=11,186+(AA669-7)*30+AB669,336+AB669))-1,""))</f>
        <v/>
      </c>
      <c r="AD669" s="18" t="str">
        <f t="shared" si="153"/>
        <v/>
      </c>
      <c r="AE669" s="18" t="str">
        <f t="shared" si="154"/>
        <v/>
      </c>
      <c r="AF669" s="18" t="str">
        <f t="shared" si="155"/>
        <v/>
      </c>
      <c r="AG669" s="18" t="str">
        <f>IF(OR(O669="",AD669=""),"",IFERROR(INDEX(لیست‌ها!$Q$3:$Q$53,MATCH(AD669,لیست‌ها!$P$3:$P$53,0))+IF(AE669&lt;=6,(AE669-1)*31+AF669,IF(AE669&lt;=11,186+(AE669-7)*30+AF669,336+AF669))-1,""))</f>
        <v/>
      </c>
      <c r="AH669" s="18" t="str">
        <f t="shared" si="156"/>
        <v/>
      </c>
      <c r="AI669" s="18" t="str">
        <f t="shared" si="157"/>
        <v/>
      </c>
      <c r="AJ669" s="18" t="str">
        <f t="shared" ca="1" si="158"/>
        <v/>
      </c>
    </row>
    <row r="670" spans="1:36">
      <c r="A670" s="18" t="str">
        <f t="shared" si="144"/>
        <v/>
      </c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8" t="str">
        <f t="shared" ca="1" si="145"/>
        <v/>
      </c>
      <c r="U670" s="18">
        <f t="shared" ca="1" si="146"/>
        <v>0</v>
      </c>
      <c r="V670" s="18" t="str">
        <f t="shared" si="147"/>
        <v/>
      </c>
      <c r="W670" s="18" t="str">
        <f t="shared" si="148"/>
        <v/>
      </c>
      <c r="X670" s="18" t="str">
        <f t="shared" si="149"/>
        <v/>
      </c>
      <c r="Y670" s="18" t="str">
        <f>IF(OR(L670="",V670=""),"",IFERROR(INDEX(لیست‌ها!$Q$3:$Q$53,MATCH(V670,لیست‌ها!$P$3:$P$53,0))+IF(W670&lt;=6,(W670-1)*31+X670,IF(W670&lt;=11,186+(W670-7)*30+X670,336+X670))-1,""))</f>
        <v/>
      </c>
      <c r="Z670" s="18" t="str">
        <f t="shared" si="150"/>
        <v/>
      </c>
      <c r="AA670" s="18" t="str">
        <f t="shared" si="151"/>
        <v/>
      </c>
      <c r="AB670" s="18" t="str">
        <f t="shared" si="152"/>
        <v/>
      </c>
      <c r="AC670" s="18" t="str">
        <f>IF(OR(H670="",Z670=""),"",IFERROR(INDEX(لیست‌ها!$Q$3:$Q$53,MATCH(Z670,لیست‌ها!$P$3:$P$53,0))+IF(AA670&lt;=6,(AA670-1)*31+AB670,IF(AA670&lt;=11,186+(AA670-7)*30+AB670,336+AB670))-1,""))</f>
        <v/>
      </c>
      <c r="AD670" s="18" t="str">
        <f t="shared" si="153"/>
        <v/>
      </c>
      <c r="AE670" s="18" t="str">
        <f t="shared" si="154"/>
        <v/>
      </c>
      <c r="AF670" s="18" t="str">
        <f t="shared" si="155"/>
        <v/>
      </c>
      <c r="AG670" s="18" t="str">
        <f>IF(OR(O670="",AD670=""),"",IFERROR(INDEX(لیست‌ها!$Q$3:$Q$53,MATCH(AD670,لیست‌ها!$P$3:$P$53,0))+IF(AE670&lt;=6,(AE670-1)*31+AF670,IF(AE670&lt;=11,186+(AE670-7)*30+AF670,336+AF670))-1,""))</f>
        <v/>
      </c>
      <c r="AH670" s="18" t="str">
        <f t="shared" si="156"/>
        <v/>
      </c>
      <c r="AI670" s="18" t="str">
        <f t="shared" si="157"/>
        <v/>
      </c>
      <c r="AJ670" s="18" t="str">
        <f t="shared" ca="1" si="158"/>
        <v/>
      </c>
    </row>
    <row r="671" spans="1:36">
      <c r="A671" s="18" t="str">
        <f t="shared" si="144"/>
        <v/>
      </c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8" t="str">
        <f t="shared" ca="1" si="145"/>
        <v/>
      </c>
      <c r="U671" s="18">
        <f t="shared" ca="1" si="146"/>
        <v>0</v>
      </c>
      <c r="V671" s="18" t="str">
        <f t="shared" si="147"/>
        <v/>
      </c>
      <c r="W671" s="18" t="str">
        <f t="shared" si="148"/>
        <v/>
      </c>
      <c r="X671" s="18" t="str">
        <f t="shared" si="149"/>
        <v/>
      </c>
      <c r="Y671" s="18" t="str">
        <f>IF(OR(L671="",V671=""),"",IFERROR(INDEX(لیست‌ها!$Q$3:$Q$53,MATCH(V671,لیست‌ها!$P$3:$P$53,0))+IF(W671&lt;=6,(W671-1)*31+X671,IF(W671&lt;=11,186+(W671-7)*30+X671,336+X671))-1,""))</f>
        <v/>
      </c>
      <c r="Z671" s="18" t="str">
        <f t="shared" si="150"/>
        <v/>
      </c>
      <c r="AA671" s="18" t="str">
        <f t="shared" si="151"/>
        <v/>
      </c>
      <c r="AB671" s="18" t="str">
        <f t="shared" si="152"/>
        <v/>
      </c>
      <c r="AC671" s="18" t="str">
        <f>IF(OR(H671="",Z671=""),"",IFERROR(INDEX(لیست‌ها!$Q$3:$Q$53,MATCH(Z671,لیست‌ها!$P$3:$P$53,0))+IF(AA671&lt;=6,(AA671-1)*31+AB671,IF(AA671&lt;=11,186+(AA671-7)*30+AB671,336+AB671))-1,""))</f>
        <v/>
      </c>
      <c r="AD671" s="18" t="str">
        <f t="shared" si="153"/>
        <v/>
      </c>
      <c r="AE671" s="18" t="str">
        <f t="shared" si="154"/>
        <v/>
      </c>
      <c r="AF671" s="18" t="str">
        <f t="shared" si="155"/>
        <v/>
      </c>
      <c r="AG671" s="18" t="str">
        <f>IF(OR(O671="",AD671=""),"",IFERROR(INDEX(لیست‌ها!$Q$3:$Q$53,MATCH(AD671,لیست‌ها!$P$3:$P$53,0))+IF(AE671&lt;=6,(AE671-1)*31+AF671,IF(AE671&lt;=11,186+(AE671-7)*30+AF671,336+AF671))-1,""))</f>
        <v/>
      </c>
      <c r="AH671" s="18" t="str">
        <f t="shared" si="156"/>
        <v/>
      </c>
      <c r="AI671" s="18" t="str">
        <f t="shared" si="157"/>
        <v/>
      </c>
      <c r="AJ671" s="18" t="str">
        <f t="shared" ca="1" si="158"/>
        <v/>
      </c>
    </row>
    <row r="672" spans="1:36">
      <c r="A672" s="18" t="str">
        <f t="shared" si="144"/>
        <v/>
      </c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8" t="str">
        <f t="shared" ca="1" si="145"/>
        <v/>
      </c>
      <c r="U672" s="18">
        <f t="shared" ca="1" si="146"/>
        <v>0</v>
      </c>
      <c r="V672" s="18" t="str">
        <f t="shared" si="147"/>
        <v/>
      </c>
      <c r="W672" s="18" t="str">
        <f t="shared" si="148"/>
        <v/>
      </c>
      <c r="X672" s="18" t="str">
        <f t="shared" si="149"/>
        <v/>
      </c>
      <c r="Y672" s="18" t="str">
        <f>IF(OR(L672="",V672=""),"",IFERROR(INDEX(لیست‌ها!$Q$3:$Q$53,MATCH(V672,لیست‌ها!$P$3:$P$53,0))+IF(W672&lt;=6,(W672-1)*31+X672,IF(W672&lt;=11,186+(W672-7)*30+X672,336+X672))-1,""))</f>
        <v/>
      </c>
      <c r="Z672" s="18" t="str">
        <f t="shared" si="150"/>
        <v/>
      </c>
      <c r="AA672" s="18" t="str">
        <f t="shared" si="151"/>
        <v/>
      </c>
      <c r="AB672" s="18" t="str">
        <f t="shared" si="152"/>
        <v/>
      </c>
      <c r="AC672" s="18" t="str">
        <f>IF(OR(H672="",Z672=""),"",IFERROR(INDEX(لیست‌ها!$Q$3:$Q$53,MATCH(Z672,لیست‌ها!$P$3:$P$53,0))+IF(AA672&lt;=6,(AA672-1)*31+AB672,IF(AA672&lt;=11,186+(AA672-7)*30+AB672,336+AB672))-1,""))</f>
        <v/>
      </c>
      <c r="AD672" s="18" t="str">
        <f t="shared" si="153"/>
        <v/>
      </c>
      <c r="AE672" s="18" t="str">
        <f t="shared" si="154"/>
        <v/>
      </c>
      <c r="AF672" s="18" t="str">
        <f t="shared" si="155"/>
        <v/>
      </c>
      <c r="AG672" s="18" t="str">
        <f>IF(OR(O672="",AD672=""),"",IFERROR(INDEX(لیست‌ها!$Q$3:$Q$53,MATCH(AD672,لیست‌ها!$P$3:$P$53,0))+IF(AE672&lt;=6,(AE672-1)*31+AF672,IF(AE672&lt;=11,186+(AE672-7)*30+AF672,336+AF672))-1,""))</f>
        <v/>
      </c>
      <c r="AH672" s="18" t="str">
        <f t="shared" si="156"/>
        <v/>
      </c>
      <c r="AI672" s="18" t="str">
        <f t="shared" si="157"/>
        <v/>
      </c>
      <c r="AJ672" s="18" t="str">
        <f t="shared" ca="1" si="158"/>
        <v/>
      </c>
    </row>
    <row r="673" spans="1:36">
      <c r="A673" s="18" t="str">
        <f t="shared" si="144"/>
        <v/>
      </c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8" t="str">
        <f t="shared" ca="1" si="145"/>
        <v/>
      </c>
      <c r="U673" s="18">
        <f t="shared" ca="1" si="146"/>
        <v>0</v>
      </c>
      <c r="V673" s="18" t="str">
        <f t="shared" si="147"/>
        <v/>
      </c>
      <c r="W673" s="18" t="str">
        <f t="shared" si="148"/>
        <v/>
      </c>
      <c r="X673" s="18" t="str">
        <f t="shared" si="149"/>
        <v/>
      </c>
      <c r="Y673" s="18" t="str">
        <f>IF(OR(L673="",V673=""),"",IFERROR(INDEX(لیست‌ها!$Q$3:$Q$53,MATCH(V673,لیست‌ها!$P$3:$P$53,0))+IF(W673&lt;=6,(W673-1)*31+X673,IF(W673&lt;=11,186+(W673-7)*30+X673,336+X673))-1,""))</f>
        <v/>
      </c>
      <c r="Z673" s="18" t="str">
        <f t="shared" si="150"/>
        <v/>
      </c>
      <c r="AA673" s="18" t="str">
        <f t="shared" si="151"/>
        <v/>
      </c>
      <c r="AB673" s="18" t="str">
        <f t="shared" si="152"/>
        <v/>
      </c>
      <c r="AC673" s="18" t="str">
        <f>IF(OR(H673="",Z673=""),"",IFERROR(INDEX(لیست‌ها!$Q$3:$Q$53,MATCH(Z673,لیست‌ها!$P$3:$P$53,0))+IF(AA673&lt;=6,(AA673-1)*31+AB673,IF(AA673&lt;=11,186+(AA673-7)*30+AB673,336+AB673))-1,""))</f>
        <v/>
      </c>
      <c r="AD673" s="18" t="str">
        <f t="shared" si="153"/>
        <v/>
      </c>
      <c r="AE673" s="18" t="str">
        <f t="shared" si="154"/>
        <v/>
      </c>
      <c r="AF673" s="18" t="str">
        <f t="shared" si="155"/>
        <v/>
      </c>
      <c r="AG673" s="18" t="str">
        <f>IF(OR(O673="",AD673=""),"",IFERROR(INDEX(لیست‌ها!$Q$3:$Q$53,MATCH(AD673,لیست‌ها!$P$3:$P$53,0))+IF(AE673&lt;=6,(AE673-1)*31+AF673,IF(AE673&lt;=11,186+(AE673-7)*30+AF673,336+AF673))-1,""))</f>
        <v/>
      </c>
      <c r="AH673" s="18" t="str">
        <f t="shared" si="156"/>
        <v/>
      </c>
      <c r="AI673" s="18" t="str">
        <f t="shared" si="157"/>
        <v/>
      </c>
      <c r="AJ673" s="18" t="str">
        <f t="shared" ca="1" si="158"/>
        <v/>
      </c>
    </row>
    <row r="674" spans="1:36">
      <c r="A674" s="18" t="str">
        <f t="shared" si="144"/>
        <v/>
      </c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8" t="str">
        <f t="shared" ca="1" si="145"/>
        <v/>
      </c>
      <c r="U674" s="18">
        <f t="shared" ca="1" si="146"/>
        <v>0</v>
      </c>
      <c r="V674" s="18" t="str">
        <f t="shared" si="147"/>
        <v/>
      </c>
      <c r="W674" s="18" t="str">
        <f t="shared" si="148"/>
        <v/>
      </c>
      <c r="X674" s="18" t="str">
        <f t="shared" si="149"/>
        <v/>
      </c>
      <c r="Y674" s="18" t="str">
        <f>IF(OR(L674="",V674=""),"",IFERROR(INDEX(لیست‌ها!$Q$3:$Q$53,MATCH(V674,لیست‌ها!$P$3:$P$53,0))+IF(W674&lt;=6,(W674-1)*31+X674,IF(W674&lt;=11,186+(W674-7)*30+X674,336+X674))-1,""))</f>
        <v/>
      </c>
      <c r="Z674" s="18" t="str">
        <f t="shared" si="150"/>
        <v/>
      </c>
      <c r="AA674" s="18" t="str">
        <f t="shared" si="151"/>
        <v/>
      </c>
      <c r="AB674" s="18" t="str">
        <f t="shared" si="152"/>
        <v/>
      </c>
      <c r="AC674" s="18" t="str">
        <f>IF(OR(H674="",Z674=""),"",IFERROR(INDEX(لیست‌ها!$Q$3:$Q$53,MATCH(Z674,لیست‌ها!$P$3:$P$53,0))+IF(AA674&lt;=6,(AA674-1)*31+AB674,IF(AA674&lt;=11,186+(AA674-7)*30+AB674,336+AB674))-1,""))</f>
        <v/>
      </c>
      <c r="AD674" s="18" t="str">
        <f t="shared" si="153"/>
        <v/>
      </c>
      <c r="AE674" s="18" t="str">
        <f t="shared" si="154"/>
        <v/>
      </c>
      <c r="AF674" s="18" t="str">
        <f t="shared" si="155"/>
        <v/>
      </c>
      <c r="AG674" s="18" t="str">
        <f>IF(OR(O674="",AD674=""),"",IFERROR(INDEX(لیست‌ها!$Q$3:$Q$53,MATCH(AD674,لیست‌ها!$P$3:$P$53,0))+IF(AE674&lt;=6,(AE674-1)*31+AF674,IF(AE674&lt;=11,186+(AE674-7)*30+AF674,336+AF674))-1,""))</f>
        <v/>
      </c>
      <c r="AH674" s="18" t="str">
        <f t="shared" si="156"/>
        <v/>
      </c>
      <c r="AI674" s="18" t="str">
        <f t="shared" si="157"/>
        <v/>
      </c>
      <c r="AJ674" s="18" t="str">
        <f t="shared" ca="1" si="158"/>
        <v/>
      </c>
    </row>
    <row r="675" spans="1:36">
      <c r="A675" s="18" t="str">
        <f t="shared" si="144"/>
        <v/>
      </c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8" t="str">
        <f t="shared" ca="1" si="145"/>
        <v/>
      </c>
      <c r="U675" s="18">
        <f t="shared" ca="1" si="146"/>
        <v>0</v>
      </c>
      <c r="V675" s="18" t="str">
        <f t="shared" si="147"/>
        <v/>
      </c>
      <c r="W675" s="18" t="str">
        <f t="shared" si="148"/>
        <v/>
      </c>
      <c r="X675" s="18" t="str">
        <f t="shared" si="149"/>
        <v/>
      </c>
      <c r="Y675" s="18" t="str">
        <f>IF(OR(L675="",V675=""),"",IFERROR(INDEX(لیست‌ها!$Q$3:$Q$53,MATCH(V675,لیست‌ها!$P$3:$P$53,0))+IF(W675&lt;=6,(W675-1)*31+X675,IF(W675&lt;=11,186+(W675-7)*30+X675,336+X675))-1,""))</f>
        <v/>
      </c>
      <c r="Z675" s="18" t="str">
        <f t="shared" si="150"/>
        <v/>
      </c>
      <c r="AA675" s="18" t="str">
        <f t="shared" si="151"/>
        <v/>
      </c>
      <c r="AB675" s="18" t="str">
        <f t="shared" si="152"/>
        <v/>
      </c>
      <c r="AC675" s="18" t="str">
        <f>IF(OR(H675="",Z675=""),"",IFERROR(INDEX(لیست‌ها!$Q$3:$Q$53,MATCH(Z675,لیست‌ها!$P$3:$P$53,0))+IF(AA675&lt;=6,(AA675-1)*31+AB675,IF(AA675&lt;=11,186+(AA675-7)*30+AB675,336+AB675))-1,""))</f>
        <v/>
      </c>
      <c r="AD675" s="18" t="str">
        <f t="shared" si="153"/>
        <v/>
      </c>
      <c r="AE675" s="18" t="str">
        <f t="shared" si="154"/>
        <v/>
      </c>
      <c r="AF675" s="18" t="str">
        <f t="shared" si="155"/>
        <v/>
      </c>
      <c r="AG675" s="18" t="str">
        <f>IF(OR(O675="",AD675=""),"",IFERROR(INDEX(لیست‌ها!$Q$3:$Q$53,MATCH(AD675,لیست‌ها!$P$3:$P$53,0))+IF(AE675&lt;=6,(AE675-1)*31+AF675,IF(AE675&lt;=11,186+(AE675-7)*30+AF675,336+AF675))-1,""))</f>
        <v/>
      </c>
      <c r="AH675" s="18" t="str">
        <f t="shared" si="156"/>
        <v/>
      </c>
      <c r="AI675" s="18" t="str">
        <f t="shared" si="157"/>
        <v/>
      </c>
      <c r="AJ675" s="18" t="str">
        <f t="shared" ca="1" si="158"/>
        <v/>
      </c>
    </row>
    <row r="676" spans="1:36">
      <c r="A676" s="18" t="str">
        <f t="shared" si="144"/>
        <v/>
      </c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8" t="str">
        <f t="shared" ca="1" si="145"/>
        <v/>
      </c>
      <c r="U676" s="18">
        <f t="shared" ca="1" si="146"/>
        <v>0</v>
      </c>
      <c r="V676" s="18" t="str">
        <f t="shared" si="147"/>
        <v/>
      </c>
      <c r="W676" s="18" t="str">
        <f t="shared" si="148"/>
        <v/>
      </c>
      <c r="X676" s="18" t="str">
        <f t="shared" si="149"/>
        <v/>
      </c>
      <c r="Y676" s="18" t="str">
        <f>IF(OR(L676="",V676=""),"",IFERROR(INDEX(لیست‌ها!$Q$3:$Q$53,MATCH(V676,لیست‌ها!$P$3:$P$53,0))+IF(W676&lt;=6,(W676-1)*31+X676,IF(W676&lt;=11,186+(W676-7)*30+X676,336+X676))-1,""))</f>
        <v/>
      </c>
      <c r="Z676" s="18" t="str">
        <f t="shared" si="150"/>
        <v/>
      </c>
      <c r="AA676" s="18" t="str">
        <f t="shared" si="151"/>
        <v/>
      </c>
      <c r="AB676" s="18" t="str">
        <f t="shared" si="152"/>
        <v/>
      </c>
      <c r="AC676" s="18" t="str">
        <f>IF(OR(H676="",Z676=""),"",IFERROR(INDEX(لیست‌ها!$Q$3:$Q$53,MATCH(Z676,لیست‌ها!$P$3:$P$53,0))+IF(AA676&lt;=6,(AA676-1)*31+AB676,IF(AA676&lt;=11,186+(AA676-7)*30+AB676,336+AB676))-1,""))</f>
        <v/>
      </c>
      <c r="AD676" s="18" t="str">
        <f t="shared" si="153"/>
        <v/>
      </c>
      <c r="AE676" s="18" t="str">
        <f t="shared" si="154"/>
        <v/>
      </c>
      <c r="AF676" s="18" t="str">
        <f t="shared" si="155"/>
        <v/>
      </c>
      <c r="AG676" s="18" t="str">
        <f>IF(OR(O676="",AD676=""),"",IFERROR(INDEX(لیست‌ها!$Q$3:$Q$53,MATCH(AD676,لیست‌ها!$P$3:$P$53,0))+IF(AE676&lt;=6,(AE676-1)*31+AF676,IF(AE676&lt;=11,186+(AE676-7)*30+AF676,336+AF676))-1,""))</f>
        <v/>
      </c>
      <c r="AH676" s="18" t="str">
        <f t="shared" si="156"/>
        <v/>
      </c>
      <c r="AI676" s="18" t="str">
        <f t="shared" si="157"/>
        <v/>
      </c>
      <c r="AJ676" s="18" t="str">
        <f t="shared" ca="1" si="158"/>
        <v/>
      </c>
    </row>
    <row r="677" spans="1:36">
      <c r="A677" s="18" t="str">
        <f t="shared" si="144"/>
        <v/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8" t="str">
        <f t="shared" ca="1" si="145"/>
        <v/>
      </c>
      <c r="U677" s="18">
        <f t="shared" ca="1" si="146"/>
        <v>0</v>
      </c>
      <c r="V677" s="18" t="str">
        <f t="shared" si="147"/>
        <v/>
      </c>
      <c r="W677" s="18" t="str">
        <f t="shared" si="148"/>
        <v/>
      </c>
      <c r="X677" s="18" t="str">
        <f t="shared" si="149"/>
        <v/>
      </c>
      <c r="Y677" s="18" t="str">
        <f>IF(OR(L677="",V677=""),"",IFERROR(INDEX(لیست‌ها!$Q$3:$Q$53,MATCH(V677,لیست‌ها!$P$3:$P$53,0))+IF(W677&lt;=6,(W677-1)*31+X677,IF(W677&lt;=11,186+(W677-7)*30+X677,336+X677))-1,""))</f>
        <v/>
      </c>
      <c r="Z677" s="18" t="str">
        <f t="shared" si="150"/>
        <v/>
      </c>
      <c r="AA677" s="18" t="str">
        <f t="shared" si="151"/>
        <v/>
      </c>
      <c r="AB677" s="18" t="str">
        <f t="shared" si="152"/>
        <v/>
      </c>
      <c r="AC677" s="18" t="str">
        <f>IF(OR(H677="",Z677=""),"",IFERROR(INDEX(لیست‌ها!$Q$3:$Q$53,MATCH(Z677,لیست‌ها!$P$3:$P$53,0))+IF(AA677&lt;=6,(AA677-1)*31+AB677,IF(AA677&lt;=11,186+(AA677-7)*30+AB677,336+AB677))-1,""))</f>
        <v/>
      </c>
      <c r="AD677" s="18" t="str">
        <f t="shared" si="153"/>
        <v/>
      </c>
      <c r="AE677" s="18" t="str">
        <f t="shared" si="154"/>
        <v/>
      </c>
      <c r="AF677" s="18" t="str">
        <f t="shared" si="155"/>
        <v/>
      </c>
      <c r="AG677" s="18" t="str">
        <f>IF(OR(O677="",AD677=""),"",IFERROR(INDEX(لیست‌ها!$Q$3:$Q$53,MATCH(AD677,لیست‌ها!$P$3:$P$53,0))+IF(AE677&lt;=6,(AE677-1)*31+AF677,IF(AE677&lt;=11,186+(AE677-7)*30+AF677,336+AF677))-1,""))</f>
        <v/>
      </c>
      <c r="AH677" s="18" t="str">
        <f t="shared" si="156"/>
        <v/>
      </c>
      <c r="AI677" s="18" t="str">
        <f t="shared" si="157"/>
        <v/>
      </c>
      <c r="AJ677" s="18" t="str">
        <f t="shared" ca="1" si="158"/>
        <v/>
      </c>
    </row>
    <row r="678" spans="1:36">
      <c r="A678" s="18" t="str">
        <f t="shared" si="144"/>
        <v/>
      </c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8" t="str">
        <f t="shared" ca="1" si="145"/>
        <v/>
      </c>
      <c r="U678" s="18">
        <f t="shared" ca="1" si="146"/>
        <v>0</v>
      </c>
      <c r="V678" s="18" t="str">
        <f t="shared" si="147"/>
        <v/>
      </c>
      <c r="W678" s="18" t="str">
        <f t="shared" si="148"/>
        <v/>
      </c>
      <c r="X678" s="18" t="str">
        <f t="shared" si="149"/>
        <v/>
      </c>
      <c r="Y678" s="18" t="str">
        <f>IF(OR(L678="",V678=""),"",IFERROR(INDEX(لیست‌ها!$Q$3:$Q$53,MATCH(V678,لیست‌ها!$P$3:$P$53,0))+IF(W678&lt;=6,(W678-1)*31+X678,IF(W678&lt;=11,186+(W678-7)*30+X678,336+X678))-1,""))</f>
        <v/>
      </c>
      <c r="Z678" s="18" t="str">
        <f t="shared" si="150"/>
        <v/>
      </c>
      <c r="AA678" s="18" t="str">
        <f t="shared" si="151"/>
        <v/>
      </c>
      <c r="AB678" s="18" t="str">
        <f t="shared" si="152"/>
        <v/>
      </c>
      <c r="AC678" s="18" t="str">
        <f>IF(OR(H678="",Z678=""),"",IFERROR(INDEX(لیست‌ها!$Q$3:$Q$53,MATCH(Z678,لیست‌ها!$P$3:$P$53,0))+IF(AA678&lt;=6,(AA678-1)*31+AB678,IF(AA678&lt;=11,186+(AA678-7)*30+AB678,336+AB678))-1,""))</f>
        <v/>
      </c>
      <c r="AD678" s="18" t="str">
        <f t="shared" si="153"/>
        <v/>
      </c>
      <c r="AE678" s="18" t="str">
        <f t="shared" si="154"/>
        <v/>
      </c>
      <c r="AF678" s="18" t="str">
        <f t="shared" si="155"/>
        <v/>
      </c>
      <c r="AG678" s="18" t="str">
        <f>IF(OR(O678="",AD678=""),"",IFERROR(INDEX(لیست‌ها!$Q$3:$Q$53,MATCH(AD678,لیست‌ها!$P$3:$P$53,0))+IF(AE678&lt;=6,(AE678-1)*31+AF678,IF(AE678&lt;=11,186+(AE678-7)*30+AF678,336+AF678))-1,""))</f>
        <v/>
      </c>
      <c r="AH678" s="18" t="str">
        <f t="shared" si="156"/>
        <v/>
      </c>
      <c r="AI678" s="18" t="str">
        <f t="shared" si="157"/>
        <v/>
      </c>
      <c r="AJ678" s="18" t="str">
        <f t="shared" ca="1" si="158"/>
        <v/>
      </c>
    </row>
    <row r="679" spans="1:36">
      <c r="A679" s="18" t="str">
        <f t="shared" si="144"/>
        <v/>
      </c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8" t="str">
        <f t="shared" ca="1" si="145"/>
        <v/>
      </c>
      <c r="U679" s="18">
        <f t="shared" ca="1" si="146"/>
        <v>0</v>
      </c>
      <c r="V679" s="18" t="str">
        <f t="shared" si="147"/>
        <v/>
      </c>
      <c r="W679" s="18" t="str">
        <f t="shared" si="148"/>
        <v/>
      </c>
      <c r="X679" s="18" t="str">
        <f t="shared" si="149"/>
        <v/>
      </c>
      <c r="Y679" s="18" t="str">
        <f>IF(OR(L679="",V679=""),"",IFERROR(INDEX(لیست‌ها!$Q$3:$Q$53,MATCH(V679,لیست‌ها!$P$3:$P$53,0))+IF(W679&lt;=6,(W679-1)*31+X679,IF(W679&lt;=11,186+(W679-7)*30+X679,336+X679))-1,""))</f>
        <v/>
      </c>
      <c r="Z679" s="18" t="str">
        <f t="shared" si="150"/>
        <v/>
      </c>
      <c r="AA679" s="18" t="str">
        <f t="shared" si="151"/>
        <v/>
      </c>
      <c r="AB679" s="18" t="str">
        <f t="shared" si="152"/>
        <v/>
      </c>
      <c r="AC679" s="18" t="str">
        <f>IF(OR(H679="",Z679=""),"",IFERROR(INDEX(لیست‌ها!$Q$3:$Q$53,MATCH(Z679,لیست‌ها!$P$3:$P$53,0))+IF(AA679&lt;=6,(AA679-1)*31+AB679,IF(AA679&lt;=11,186+(AA679-7)*30+AB679,336+AB679))-1,""))</f>
        <v/>
      </c>
      <c r="AD679" s="18" t="str">
        <f t="shared" si="153"/>
        <v/>
      </c>
      <c r="AE679" s="18" t="str">
        <f t="shared" si="154"/>
        <v/>
      </c>
      <c r="AF679" s="18" t="str">
        <f t="shared" si="155"/>
        <v/>
      </c>
      <c r="AG679" s="18" t="str">
        <f>IF(OR(O679="",AD679=""),"",IFERROR(INDEX(لیست‌ها!$Q$3:$Q$53,MATCH(AD679,لیست‌ها!$P$3:$P$53,0))+IF(AE679&lt;=6,(AE679-1)*31+AF679,IF(AE679&lt;=11,186+(AE679-7)*30+AF679,336+AF679))-1,""))</f>
        <v/>
      </c>
      <c r="AH679" s="18" t="str">
        <f t="shared" si="156"/>
        <v/>
      </c>
      <c r="AI679" s="18" t="str">
        <f t="shared" si="157"/>
        <v/>
      </c>
      <c r="AJ679" s="18" t="str">
        <f t="shared" ca="1" si="158"/>
        <v/>
      </c>
    </row>
    <row r="680" spans="1:36">
      <c r="A680" s="18" t="str">
        <f t="shared" si="144"/>
        <v/>
      </c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8" t="str">
        <f t="shared" ca="1" si="145"/>
        <v/>
      </c>
      <c r="U680" s="18">
        <f t="shared" ca="1" si="146"/>
        <v>0</v>
      </c>
      <c r="V680" s="18" t="str">
        <f t="shared" si="147"/>
        <v/>
      </c>
      <c r="W680" s="18" t="str">
        <f t="shared" si="148"/>
        <v/>
      </c>
      <c r="X680" s="18" t="str">
        <f t="shared" si="149"/>
        <v/>
      </c>
      <c r="Y680" s="18" t="str">
        <f>IF(OR(L680="",V680=""),"",IFERROR(INDEX(لیست‌ها!$Q$3:$Q$53,MATCH(V680,لیست‌ها!$P$3:$P$53,0))+IF(W680&lt;=6,(W680-1)*31+X680,IF(W680&lt;=11,186+(W680-7)*30+X680,336+X680))-1,""))</f>
        <v/>
      </c>
      <c r="Z680" s="18" t="str">
        <f t="shared" si="150"/>
        <v/>
      </c>
      <c r="AA680" s="18" t="str">
        <f t="shared" si="151"/>
        <v/>
      </c>
      <c r="AB680" s="18" t="str">
        <f t="shared" si="152"/>
        <v/>
      </c>
      <c r="AC680" s="18" t="str">
        <f>IF(OR(H680="",Z680=""),"",IFERROR(INDEX(لیست‌ها!$Q$3:$Q$53,MATCH(Z680,لیست‌ها!$P$3:$P$53,0))+IF(AA680&lt;=6,(AA680-1)*31+AB680,IF(AA680&lt;=11,186+(AA680-7)*30+AB680,336+AB680))-1,""))</f>
        <v/>
      </c>
      <c r="AD680" s="18" t="str">
        <f t="shared" si="153"/>
        <v/>
      </c>
      <c r="AE680" s="18" t="str">
        <f t="shared" si="154"/>
        <v/>
      </c>
      <c r="AF680" s="18" t="str">
        <f t="shared" si="155"/>
        <v/>
      </c>
      <c r="AG680" s="18" t="str">
        <f>IF(OR(O680="",AD680=""),"",IFERROR(INDEX(لیست‌ها!$Q$3:$Q$53,MATCH(AD680,لیست‌ها!$P$3:$P$53,0))+IF(AE680&lt;=6,(AE680-1)*31+AF680,IF(AE680&lt;=11,186+(AE680-7)*30+AF680,336+AF680))-1,""))</f>
        <v/>
      </c>
      <c r="AH680" s="18" t="str">
        <f t="shared" si="156"/>
        <v/>
      </c>
      <c r="AI680" s="18" t="str">
        <f t="shared" si="157"/>
        <v/>
      </c>
      <c r="AJ680" s="18" t="str">
        <f t="shared" ca="1" si="158"/>
        <v/>
      </c>
    </row>
    <row r="681" spans="1:36">
      <c r="A681" s="18" t="str">
        <f t="shared" si="144"/>
        <v/>
      </c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8" t="str">
        <f t="shared" ca="1" si="145"/>
        <v/>
      </c>
      <c r="U681" s="18">
        <f t="shared" ca="1" si="146"/>
        <v>0</v>
      </c>
      <c r="V681" s="18" t="str">
        <f t="shared" si="147"/>
        <v/>
      </c>
      <c r="W681" s="18" t="str">
        <f t="shared" si="148"/>
        <v/>
      </c>
      <c r="X681" s="18" t="str">
        <f t="shared" si="149"/>
        <v/>
      </c>
      <c r="Y681" s="18" t="str">
        <f>IF(OR(L681="",V681=""),"",IFERROR(INDEX(لیست‌ها!$Q$3:$Q$53,MATCH(V681,لیست‌ها!$P$3:$P$53,0))+IF(W681&lt;=6,(W681-1)*31+X681,IF(W681&lt;=11,186+(W681-7)*30+X681,336+X681))-1,""))</f>
        <v/>
      </c>
      <c r="Z681" s="18" t="str">
        <f t="shared" si="150"/>
        <v/>
      </c>
      <c r="AA681" s="18" t="str">
        <f t="shared" si="151"/>
        <v/>
      </c>
      <c r="AB681" s="18" t="str">
        <f t="shared" si="152"/>
        <v/>
      </c>
      <c r="AC681" s="18" t="str">
        <f>IF(OR(H681="",Z681=""),"",IFERROR(INDEX(لیست‌ها!$Q$3:$Q$53,MATCH(Z681,لیست‌ها!$P$3:$P$53,0))+IF(AA681&lt;=6,(AA681-1)*31+AB681,IF(AA681&lt;=11,186+(AA681-7)*30+AB681,336+AB681))-1,""))</f>
        <v/>
      </c>
      <c r="AD681" s="18" t="str">
        <f t="shared" si="153"/>
        <v/>
      </c>
      <c r="AE681" s="18" t="str">
        <f t="shared" si="154"/>
        <v/>
      </c>
      <c r="AF681" s="18" t="str">
        <f t="shared" si="155"/>
        <v/>
      </c>
      <c r="AG681" s="18" t="str">
        <f>IF(OR(O681="",AD681=""),"",IFERROR(INDEX(لیست‌ها!$Q$3:$Q$53,MATCH(AD681,لیست‌ها!$P$3:$P$53,0))+IF(AE681&lt;=6,(AE681-1)*31+AF681,IF(AE681&lt;=11,186+(AE681-7)*30+AF681,336+AF681))-1,""))</f>
        <v/>
      </c>
      <c r="AH681" s="18" t="str">
        <f t="shared" si="156"/>
        <v/>
      </c>
      <c r="AI681" s="18" t="str">
        <f t="shared" si="157"/>
        <v/>
      </c>
      <c r="AJ681" s="18" t="str">
        <f t="shared" ca="1" si="158"/>
        <v/>
      </c>
    </row>
    <row r="682" spans="1:36">
      <c r="A682" s="18" t="str">
        <f t="shared" si="144"/>
        <v/>
      </c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8" t="str">
        <f t="shared" ca="1" si="145"/>
        <v/>
      </c>
      <c r="U682" s="18">
        <f t="shared" ca="1" si="146"/>
        <v>0</v>
      </c>
      <c r="V682" s="18" t="str">
        <f t="shared" si="147"/>
        <v/>
      </c>
      <c r="W682" s="18" t="str">
        <f t="shared" si="148"/>
        <v/>
      </c>
      <c r="X682" s="18" t="str">
        <f t="shared" si="149"/>
        <v/>
      </c>
      <c r="Y682" s="18" t="str">
        <f>IF(OR(L682="",V682=""),"",IFERROR(INDEX(لیست‌ها!$Q$3:$Q$53,MATCH(V682,لیست‌ها!$P$3:$P$53,0))+IF(W682&lt;=6,(W682-1)*31+X682,IF(W682&lt;=11,186+(W682-7)*30+X682,336+X682))-1,""))</f>
        <v/>
      </c>
      <c r="Z682" s="18" t="str">
        <f t="shared" si="150"/>
        <v/>
      </c>
      <c r="AA682" s="18" t="str">
        <f t="shared" si="151"/>
        <v/>
      </c>
      <c r="AB682" s="18" t="str">
        <f t="shared" si="152"/>
        <v/>
      </c>
      <c r="AC682" s="18" t="str">
        <f>IF(OR(H682="",Z682=""),"",IFERROR(INDEX(لیست‌ها!$Q$3:$Q$53,MATCH(Z682,لیست‌ها!$P$3:$P$53,0))+IF(AA682&lt;=6,(AA682-1)*31+AB682,IF(AA682&lt;=11,186+(AA682-7)*30+AB682,336+AB682))-1,""))</f>
        <v/>
      </c>
      <c r="AD682" s="18" t="str">
        <f t="shared" si="153"/>
        <v/>
      </c>
      <c r="AE682" s="18" t="str">
        <f t="shared" si="154"/>
        <v/>
      </c>
      <c r="AF682" s="18" t="str">
        <f t="shared" si="155"/>
        <v/>
      </c>
      <c r="AG682" s="18" t="str">
        <f>IF(OR(O682="",AD682=""),"",IFERROR(INDEX(لیست‌ها!$Q$3:$Q$53,MATCH(AD682,لیست‌ها!$P$3:$P$53,0))+IF(AE682&lt;=6,(AE682-1)*31+AF682,IF(AE682&lt;=11,186+(AE682-7)*30+AF682,336+AF682))-1,""))</f>
        <v/>
      </c>
      <c r="AH682" s="18" t="str">
        <f t="shared" si="156"/>
        <v/>
      </c>
      <c r="AI682" s="18" t="str">
        <f t="shared" si="157"/>
        <v/>
      </c>
      <c r="AJ682" s="18" t="str">
        <f t="shared" ca="1" si="158"/>
        <v/>
      </c>
    </row>
    <row r="683" spans="1:36">
      <c r="A683" s="18" t="str">
        <f t="shared" si="144"/>
        <v/>
      </c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8" t="str">
        <f t="shared" ca="1" si="145"/>
        <v/>
      </c>
      <c r="U683" s="18">
        <f t="shared" ca="1" si="146"/>
        <v>0</v>
      </c>
      <c r="V683" s="18" t="str">
        <f t="shared" si="147"/>
        <v/>
      </c>
      <c r="W683" s="18" t="str">
        <f t="shared" si="148"/>
        <v/>
      </c>
      <c r="X683" s="18" t="str">
        <f t="shared" si="149"/>
        <v/>
      </c>
      <c r="Y683" s="18" t="str">
        <f>IF(OR(L683="",V683=""),"",IFERROR(INDEX(لیست‌ها!$Q$3:$Q$53,MATCH(V683,لیست‌ها!$P$3:$P$53,0))+IF(W683&lt;=6,(W683-1)*31+X683,IF(W683&lt;=11,186+(W683-7)*30+X683,336+X683))-1,""))</f>
        <v/>
      </c>
      <c r="Z683" s="18" t="str">
        <f t="shared" si="150"/>
        <v/>
      </c>
      <c r="AA683" s="18" t="str">
        <f t="shared" si="151"/>
        <v/>
      </c>
      <c r="AB683" s="18" t="str">
        <f t="shared" si="152"/>
        <v/>
      </c>
      <c r="AC683" s="18" t="str">
        <f>IF(OR(H683="",Z683=""),"",IFERROR(INDEX(لیست‌ها!$Q$3:$Q$53,MATCH(Z683,لیست‌ها!$P$3:$P$53,0))+IF(AA683&lt;=6,(AA683-1)*31+AB683,IF(AA683&lt;=11,186+(AA683-7)*30+AB683,336+AB683))-1,""))</f>
        <v/>
      </c>
      <c r="AD683" s="18" t="str">
        <f t="shared" si="153"/>
        <v/>
      </c>
      <c r="AE683" s="18" t="str">
        <f t="shared" si="154"/>
        <v/>
      </c>
      <c r="AF683" s="18" t="str">
        <f t="shared" si="155"/>
        <v/>
      </c>
      <c r="AG683" s="18" t="str">
        <f>IF(OR(O683="",AD683=""),"",IFERROR(INDEX(لیست‌ها!$Q$3:$Q$53,MATCH(AD683,لیست‌ها!$P$3:$P$53,0))+IF(AE683&lt;=6,(AE683-1)*31+AF683,IF(AE683&lt;=11,186+(AE683-7)*30+AF683,336+AF683))-1,""))</f>
        <v/>
      </c>
      <c r="AH683" s="18" t="str">
        <f t="shared" si="156"/>
        <v/>
      </c>
      <c r="AI683" s="18" t="str">
        <f t="shared" si="157"/>
        <v/>
      </c>
      <c r="AJ683" s="18" t="str">
        <f t="shared" ca="1" si="158"/>
        <v/>
      </c>
    </row>
    <row r="684" spans="1:36">
      <c r="A684" s="18" t="str">
        <f t="shared" si="144"/>
        <v/>
      </c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8" t="str">
        <f t="shared" ca="1" si="145"/>
        <v/>
      </c>
      <c r="U684" s="18">
        <f t="shared" ca="1" si="146"/>
        <v>0</v>
      </c>
      <c r="V684" s="18" t="str">
        <f t="shared" si="147"/>
        <v/>
      </c>
      <c r="W684" s="18" t="str">
        <f t="shared" si="148"/>
        <v/>
      </c>
      <c r="X684" s="18" t="str">
        <f t="shared" si="149"/>
        <v/>
      </c>
      <c r="Y684" s="18" t="str">
        <f>IF(OR(L684="",V684=""),"",IFERROR(INDEX(لیست‌ها!$Q$3:$Q$53,MATCH(V684,لیست‌ها!$P$3:$P$53,0))+IF(W684&lt;=6,(W684-1)*31+X684,IF(W684&lt;=11,186+(W684-7)*30+X684,336+X684))-1,""))</f>
        <v/>
      </c>
      <c r="Z684" s="18" t="str">
        <f t="shared" si="150"/>
        <v/>
      </c>
      <c r="AA684" s="18" t="str">
        <f t="shared" si="151"/>
        <v/>
      </c>
      <c r="AB684" s="18" t="str">
        <f t="shared" si="152"/>
        <v/>
      </c>
      <c r="AC684" s="18" t="str">
        <f>IF(OR(H684="",Z684=""),"",IFERROR(INDEX(لیست‌ها!$Q$3:$Q$53,MATCH(Z684,لیست‌ها!$P$3:$P$53,0))+IF(AA684&lt;=6,(AA684-1)*31+AB684,IF(AA684&lt;=11,186+(AA684-7)*30+AB684,336+AB684))-1,""))</f>
        <v/>
      </c>
      <c r="AD684" s="18" t="str">
        <f t="shared" si="153"/>
        <v/>
      </c>
      <c r="AE684" s="18" t="str">
        <f t="shared" si="154"/>
        <v/>
      </c>
      <c r="AF684" s="18" t="str">
        <f t="shared" si="155"/>
        <v/>
      </c>
      <c r="AG684" s="18" t="str">
        <f>IF(OR(O684="",AD684=""),"",IFERROR(INDEX(لیست‌ها!$Q$3:$Q$53,MATCH(AD684,لیست‌ها!$P$3:$P$53,0))+IF(AE684&lt;=6,(AE684-1)*31+AF684,IF(AE684&lt;=11,186+(AE684-7)*30+AF684,336+AF684))-1,""))</f>
        <v/>
      </c>
      <c r="AH684" s="18" t="str">
        <f t="shared" si="156"/>
        <v/>
      </c>
      <c r="AI684" s="18" t="str">
        <f t="shared" si="157"/>
        <v/>
      </c>
      <c r="AJ684" s="18" t="str">
        <f t="shared" ca="1" si="158"/>
        <v/>
      </c>
    </row>
    <row r="685" spans="1:36">
      <c r="A685" s="18" t="str">
        <f t="shared" si="144"/>
        <v/>
      </c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8" t="str">
        <f t="shared" ca="1" si="145"/>
        <v/>
      </c>
      <c r="U685" s="18">
        <f t="shared" ca="1" si="146"/>
        <v>0</v>
      </c>
      <c r="V685" s="18" t="str">
        <f t="shared" si="147"/>
        <v/>
      </c>
      <c r="W685" s="18" t="str">
        <f t="shared" si="148"/>
        <v/>
      </c>
      <c r="X685" s="18" t="str">
        <f t="shared" si="149"/>
        <v/>
      </c>
      <c r="Y685" s="18" t="str">
        <f>IF(OR(L685="",V685=""),"",IFERROR(INDEX(لیست‌ها!$Q$3:$Q$53,MATCH(V685,لیست‌ها!$P$3:$P$53,0))+IF(W685&lt;=6,(W685-1)*31+X685,IF(W685&lt;=11,186+(W685-7)*30+X685,336+X685))-1,""))</f>
        <v/>
      </c>
      <c r="Z685" s="18" t="str">
        <f t="shared" si="150"/>
        <v/>
      </c>
      <c r="AA685" s="18" t="str">
        <f t="shared" si="151"/>
        <v/>
      </c>
      <c r="AB685" s="18" t="str">
        <f t="shared" si="152"/>
        <v/>
      </c>
      <c r="AC685" s="18" t="str">
        <f>IF(OR(H685="",Z685=""),"",IFERROR(INDEX(لیست‌ها!$Q$3:$Q$53,MATCH(Z685,لیست‌ها!$P$3:$P$53,0))+IF(AA685&lt;=6,(AA685-1)*31+AB685,IF(AA685&lt;=11,186+(AA685-7)*30+AB685,336+AB685))-1,""))</f>
        <v/>
      </c>
      <c r="AD685" s="18" t="str">
        <f t="shared" si="153"/>
        <v/>
      </c>
      <c r="AE685" s="18" t="str">
        <f t="shared" si="154"/>
        <v/>
      </c>
      <c r="AF685" s="18" t="str">
        <f t="shared" si="155"/>
        <v/>
      </c>
      <c r="AG685" s="18" t="str">
        <f>IF(OR(O685="",AD685=""),"",IFERROR(INDEX(لیست‌ها!$Q$3:$Q$53,MATCH(AD685,لیست‌ها!$P$3:$P$53,0))+IF(AE685&lt;=6,(AE685-1)*31+AF685,IF(AE685&lt;=11,186+(AE685-7)*30+AF685,336+AF685))-1,""))</f>
        <v/>
      </c>
      <c r="AH685" s="18" t="str">
        <f t="shared" si="156"/>
        <v/>
      </c>
      <c r="AI685" s="18" t="str">
        <f t="shared" si="157"/>
        <v/>
      </c>
      <c r="AJ685" s="18" t="str">
        <f t="shared" ca="1" si="158"/>
        <v/>
      </c>
    </row>
    <row r="686" spans="1:36">
      <c r="A686" s="18" t="str">
        <f t="shared" si="144"/>
        <v/>
      </c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8" t="str">
        <f t="shared" ca="1" si="145"/>
        <v/>
      </c>
      <c r="U686" s="18">
        <f t="shared" ca="1" si="146"/>
        <v>0</v>
      </c>
      <c r="V686" s="18" t="str">
        <f t="shared" si="147"/>
        <v/>
      </c>
      <c r="W686" s="18" t="str">
        <f t="shared" si="148"/>
        <v/>
      </c>
      <c r="X686" s="18" t="str">
        <f t="shared" si="149"/>
        <v/>
      </c>
      <c r="Y686" s="18" t="str">
        <f>IF(OR(L686="",V686=""),"",IFERROR(INDEX(لیست‌ها!$Q$3:$Q$53,MATCH(V686,لیست‌ها!$P$3:$P$53,0))+IF(W686&lt;=6,(W686-1)*31+X686,IF(W686&lt;=11,186+(W686-7)*30+X686,336+X686))-1,""))</f>
        <v/>
      </c>
      <c r="Z686" s="18" t="str">
        <f t="shared" si="150"/>
        <v/>
      </c>
      <c r="AA686" s="18" t="str">
        <f t="shared" si="151"/>
        <v/>
      </c>
      <c r="AB686" s="18" t="str">
        <f t="shared" si="152"/>
        <v/>
      </c>
      <c r="AC686" s="18" t="str">
        <f>IF(OR(H686="",Z686=""),"",IFERROR(INDEX(لیست‌ها!$Q$3:$Q$53,MATCH(Z686,لیست‌ها!$P$3:$P$53,0))+IF(AA686&lt;=6,(AA686-1)*31+AB686,IF(AA686&lt;=11,186+(AA686-7)*30+AB686,336+AB686))-1,""))</f>
        <v/>
      </c>
      <c r="AD686" s="18" t="str">
        <f t="shared" si="153"/>
        <v/>
      </c>
      <c r="AE686" s="18" t="str">
        <f t="shared" si="154"/>
        <v/>
      </c>
      <c r="AF686" s="18" t="str">
        <f t="shared" si="155"/>
        <v/>
      </c>
      <c r="AG686" s="18" t="str">
        <f>IF(OR(O686="",AD686=""),"",IFERROR(INDEX(لیست‌ها!$Q$3:$Q$53,MATCH(AD686,لیست‌ها!$P$3:$P$53,0))+IF(AE686&lt;=6,(AE686-1)*31+AF686,IF(AE686&lt;=11,186+(AE686-7)*30+AF686,336+AF686))-1,""))</f>
        <v/>
      </c>
      <c r="AH686" s="18" t="str">
        <f t="shared" si="156"/>
        <v/>
      </c>
      <c r="AI686" s="18" t="str">
        <f t="shared" si="157"/>
        <v/>
      </c>
      <c r="AJ686" s="18" t="str">
        <f t="shared" ca="1" si="158"/>
        <v/>
      </c>
    </row>
    <row r="687" spans="1:36">
      <c r="A687" s="18" t="str">
        <f t="shared" si="144"/>
        <v/>
      </c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8" t="str">
        <f t="shared" ca="1" si="145"/>
        <v/>
      </c>
      <c r="U687" s="18">
        <f t="shared" ca="1" si="146"/>
        <v>0</v>
      </c>
      <c r="V687" s="18" t="str">
        <f t="shared" si="147"/>
        <v/>
      </c>
      <c r="W687" s="18" t="str">
        <f t="shared" si="148"/>
        <v/>
      </c>
      <c r="X687" s="18" t="str">
        <f t="shared" si="149"/>
        <v/>
      </c>
      <c r="Y687" s="18" t="str">
        <f>IF(OR(L687="",V687=""),"",IFERROR(INDEX(لیست‌ها!$Q$3:$Q$53,MATCH(V687,لیست‌ها!$P$3:$P$53,0))+IF(W687&lt;=6,(W687-1)*31+X687,IF(W687&lt;=11,186+(W687-7)*30+X687,336+X687))-1,""))</f>
        <v/>
      </c>
      <c r="Z687" s="18" t="str">
        <f t="shared" si="150"/>
        <v/>
      </c>
      <c r="AA687" s="18" t="str">
        <f t="shared" si="151"/>
        <v/>
      </c>
      <c r="AB687" s="18" t="str">
        <f t="shared" si="152"/>
        <v/>
      </c>
      <c r="AC687" s="18" t="str">
        <f>IF(OR(H687="",Z687=""),"",IFERROR(INDEX(لیست‌ها!$Q$3:$Q$53,MATCH(Z687,لیست‌ها!$P$3:$P$53,0))+IF(AA687&lt;=6,(AA687-1)*31+AB687,IF(AA687&lt;=11,186+(AA687-7)*30+AB687,336+AB687))-1,""))</f>
        <v/>
      </c>
      <c r="AD687" s="18" t="str">
        <f t="shared" si="153"/>
        <v/>
      </c>
      <c r="AE687" s="18" t="str">
        <f t="shared" si="154"/>
        <v/>
      </c>
      <c r="AF687" s="18" t="str">
        <f t="shared" si="155"/>
        <v/>
      </c>
      <c r="AG687" s="18" t="str">
        <f>IF(OR(O687="",AD687=""),"",IFERROR(INDEX(لیست‌ها!$Q$3:$Q$53,MATCH(AD687,لیست‌ها!$P$3:$P$53,0))+IF(AE687&lt;=6,(AE687-1)*31+AF687,IF(AE687&lt;=11,186+(AE687-7)*30+AF687,336+AF687))-1,""))</f>
        <v/>
      </c>
      <c r="AH687" s="18" t="str">
        <f t="shared" si="156"/>
        <v/>
      </c>
      <c r="AI687" s="18" t="str">
        <f t="shared" si="157"/>
        <v/>
      </c>
      <c r="AJ687" s="18" t="str">
        <f t="shared" ca="1" si="158"/>
        <v/>
      </c>
    </row>
    <row r="688" spans="1:36">
      <c r="A688" s="18" t="str">
        <f t="shared" si="144"/>
        <v/>
      </c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8" t="str">
        <f t="shared" ca="1" si="145"/>
        <v/>
      </c>
      <c r="U688" s="18">
        <f t="shared" ca="1" si="146"/>
        <v>0</v>
      </c>
      <c r="V688" s="18" t="str">
        <f t="shared" si="147"/>
        <v/>
      </c>
      <c r="W688" s="18" t="str">
        <f t="shared" si="148"/>
        <v/>
      </c>
      <c r="X688" s="18" t="str">
        <f t="shared" si="149"/>
        <v/>
      </c>
      <c r="Y688" s="18" t="str">
        <f>IF(OR(L688="",V688=""),"",IFERROR(INDEX(لیست‌ها!$Q$3:$Q$53,MATCH(V688,لیست‌ها!$P$3:$P$53,0))+IF(W688&lt;=6,(W688-1)*31+X688,IF(W688&lt;=11,186+(W688-7)*30+X688,336+X688))-1,""))</f>
        <v/>
      </c>
      <c r="Z688" s="18" t="str">
        <f t="shared" si="150"/>
        <v/>
      </c>
      <c r="AA688" s="18" t="str">
        <f t="shared" si="151"/>
        <v/>
      </c>
      <c r="AB688" s="18" t="str">
        <f t="shared" si="152"/>
        <v/>
      </c>
      <c r="AC688" s="18" t="str">
        <f>IF(OR(H688="",Z688=""),"",IFERROR(INDEX(لیست‌ها!$Q$3:$Q$53,MATCH(Z688,لیست‌ها!$P$3:$P$53,0))+IF(AA688&lt;=6,(AA688-1)*31+AB688,IF(AA688&lt;=11,186+(AA688-7)*30+AB688,336+AB688))-1,""))</f>
        <v/>
      </c>
      <c r="AD688" s="18" t="str">
        <f t="shared" si="153"/>
        <v/>
      </c>
      <c r="AE688" s="18" t="str">
        <f t="shared" si="154"/>
        <v/>
      </c>
      <c r="AF688" s="18" t="str">
        <f t="shared" si="155"/>
        <v/>
      </c>
      <c r="AG688" s="18" t="str">
        <f>IF(OR(O688="",AD688=""),"",IFERROR(INDEX(لیست‌ها!$Q$3:$Q$53,MATCH(AD688,لیست‌ها!$P$3:$P$53,0))+IF(AE688&lt;=6,(AE688-1)*31+AF688,IF(AE688&lt;=11,186+(AE688-7)*30+AF688,336+AF688))-1,""))</f>
        <v/>
      </c>
      <c r="AH688" s="18" t="str">
        <f t="shared" si="156"/>
        <v/>
      </c>
      <c r="AI688" s="18" t="str">
        <f t="shared" si="157"/>
        <v/>
      </c>
      <c r="AJ688" s="18" t="str">
        <f t="shared" ca="1" si="158"/>
        <v/>
      </c>
    </row>
    <row r="689" spans="1:36">
      <c r="A689" s="18" t="str">
        <f t="shared" si="144"/>
        <v/>
      </c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8" t="str">
        <f t="shared" ca="1" si="145"/>
        <v/>
      </c>
      <c r="U689" s="18">
        <f t="shared" ca="1" si="146"/>
        <v>0</v>
      </c>
      <c r="V689" s="18" t="str">
        <f t="shared" si="147"/>
        <v/>
      </c>
      <c r="W689" s="18" t="str">
        <f t="shared" si="148"/>
        <v/>
      </c>
      <c r="X689" s="18" t="str">
        <f t="shared" si="149"/>
        <v/>
      </c>
      <c r="Y689" s="18" t="str">
        <f>IF(OR(L689="",V689=""),"",IFERROR(INDEX(لیست‌ها!$Q$3:$Q$53,MATCH(V689,لیست‌ها!$P$3:$P$53,0))+IF(W689&lt;=6,(W689-1)*31+X689,IF(W689&lt;=11,186+(W689-7)*30+X689,336+X689))-1,""))</f>
        <v/>
      </c>
      <c r="Z689" s="18" t="str">
        <f t="shared" si="150"/>
        <v/>
      </c>
      <c r="AA689" s="18" t="str">
        <f t="shared" si="151"/>
        <v/>
      </c>
      <c r="AB689" s="18" t="str">
        <f t="shared" si="152"/>
        <v/>
      </c>
      <c r="AC689" s="18" t="str">
        <f>IF(OR(H689="",Z689=""),"",IFERROR(INDEX(لیست‌ها!$Q$3:$Q$53,MATCH(Z689,لیست‌ها!$P$3:$P$53,0))+IF(AA689&lt;=6,(AA689-1)*31+AB689,IF(AA689&lt;=11,186+(AA689-7)*30+AB689,336+AB689))-1,""))</f>
        <v/>
      </c>
      <c r="AD689" s="18" t="str">
        <f t="shared" si="153"/>
        <v/>
      </c>
      <c r="AE689" s="18" t="str">
        <f t="shared" si="154"/>
        <v/>
      </c>
      <c r="AF689" s="18" t="str">
        <f t="shared" si="155"/>
        <v/>
      </c>
      <c r="AG689" s="18" t="str">
        <f>IF(OR(O689="",AD689=""),"",IFERROR(INDEX(لیست‌ها!$Q$3:$Q$53,MATCH(AD689,لیست‌ها!$P$3:$P$53,0))+IF(AE689&lt;=6,(AE689-1)*31+AF689,IF(AE689&lt;=11,186+(AE689-7)*30+AF689,336+AF689))-1,""))</f>
        <v/>
      </c>
      <c r="AH689" s="18" t="str">
        <f t="shared" si="156"/>
        <v/>
      </c>
      <c r="AI689" s="18" t="str">
        <f t="shared" si="157"/>
        <v/>
      </c>
      <c r="AJ689" s="18" t="str">
        <f t="shared" ca="1" si="158"/>
        <v/>
      </c>
    </row>
    <row r="690" spans="1:36">
      <c r="A690" s="18" t="str">
        <f t="shared" si="144"/>
        <v/>
      </c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8" t="str">
        <f t="shared" ca="1" si="145"/>
        <v/>
      </c>
      <c r="U690" s="18">
        <f t="shared" ca="1" si="146"/>
        <v>0</v>
      </c>
      <c r="V690" s="18" t="str">
        <f t="shared" si="147"/>
        <v/>
      </c>
      <c r="W690" s="18" t="str">
        <f t="shared" si="148"/>
        <v/>
      </c>
      <c r="X690" s="18" t="str">
        <f t="shared" si="149"/>
        <v/>
      </c>
      <c r="Y690" s="18" t="str">
        <f>IF(OR(L690="",V690=""),"",IFERROR(INDEX(لیست‌ها!$Q$3:$Q$53,MATCH(V690,لیست‌ها!$P$3:$P$53,0))+IF(W690&lt;=6,(W690-1)*31+X690,IF(W690&lt;=11,186+(W690-7)*30+X690,336+X690))-1,""))</f>
        <v/>
      </c>
      <c r="Z690" s="18" t="str">
        <f t="shared" si="150"/>
        <v/>
      </c>
      <c r="AA690" s="18" t="str">
        <f t="shared" si="151"/>
        <v/>
      </c>
      <c r="AB690" s="18" t="str">
        <f t="shared" si="152"/>
        <v/>
      </c>
      <c r="AC690" s="18" t="str">
        <f>IF(OR(H690="",Z690=""),"",IFERROR(INDEX(لیست‌ها!$Q$3:$Q$53,MATCH(Z690,لیست‌ها!$P$3:$P$53,0))+IF(AA690&lt;=6,(AA690-1)*31+AB690,IF(AA690&lt;=11,186+(AA690-7)*30+AB690,336+AB690))-1,""))</f>
        <v/>
      </c>
      <c r="AD690" s="18" t="str">
        <f t="shared" si="153"/>
        <v/>
      </c>
      <c r="AE690" s="18" t="str">
        <f t="shared" si="154"/>
        <v/>
      </c>
      <c r="AF690" s="18" t="str">
        <f t="shared" si="155"/>
        <v/>
      </c>
      <c r="AG690" s="18" t="str">
        <f>IF(OR(O690="",AD690=""),"",IFERROR(INDEX(لیست‌ها!$Q$3:$Q$53,MATCH(AD690,لیست‌ها!$P$3:$P$53,0))+IF(AE690&lt;=6,(AE690-1)*31+AF690,IF(AE690&lt;=11,186+(AE690-7)*30+AF690,336+AF690))-1,""))</f>
        <v/>
      </c>
      <c r="AH690" s="18" t="str">
        <f t="shared" si="156"/>
        <v/>
      </c>
      <c r="AI690" s="18" t="str">
        <f t="shared" si="157"/>
        <v/>
      </c>
      <c r="AJ690" s="18" t="str">
        <f t="shared" ca="1" si="158"/>
        <v/>
      </c>
    </row>
    <row r="691" spans="1:36">
      <c r="A691" s="18" t="str">
        <f t="shared" si="144"/>
        <v/>
      </c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8" t="str">
        <f t="shared" ca="1" si="145"/>
        <v/>
      </c>
      <c r="U691" s="18">
        <f t="shared" ca="1" si="146"/>
        <v>0</v>
      </c>
      <c r="V691" s="18" t="str">
        <f t="shared" si="147"/>
        <v/>
      </c>
      <c r="W691" s="18" t="str">
        <f t="shared" si="148"/>
        <v/>
      </c>
      <c r="X691" s="18" t="str">
        <f t="shared" si="149"/>
        <v/>
      </c>
      <c r="Y691" s="18" t="str">
        <f>IF(OR(L691="",V691=""),"",IFERROR(INDEX(لیست‌ها!$Q$3:$Q$53,MATCH(V691,لیست‌ها!$P$3:$P$53,0))+IF(W691&lt;=6,(W691-1)*31+X691,IF(W691&lt;=11,186+(W691-7)*30+X691,336+X691))-1,""))</f>
        <v/>
      </c>
      <c r="Z691" s="18" t="str">
        <f t="shared" si="150"/>
        <v/>
      </c>
      <c r="AA691" s="18" t="str">
        <f t="shared" si="151"/>
        <v/>
      </c>
      <c r="AB691" s="18" t="str">
        <f t="shared" si="152"/>
        <v/>
      </c>
      <c r="AC691" s="18" t="str">
        <f>IF(OR(H691="",Z691=""),"",IFERROR(INDEX(لیست‌ها!$Q$3:$Q$53,MATCH(Z691,لیست‌ها!$P$3:$P$53,0))+IF(AA691&lt;=6,(AA691-1)*31+AB691,IF(AA691&lt;=11,186+(AA691-7)*30+AB691,336+AB691))-1,""))</f>
        <v/>
      </c>
      <c r="AD691" s="18" t="str">
        <f t="shared" si="153"/>
        <v/>
      </c>
      <c r="AE691" s="18" t="str">
        <f t="shared" si="154"/>
        <v/>
      </c>
      <c r="AF691" s="18" t="str">
        <f t="shared" si="155"/>
        <v/>
      </c>
      <c r="AG691" s="18" t="str">
        <f>IF(OR(O691="",AD691=""),"",IFERROR(INDEX(لیست‌ها!$Q$3:$Q$53,MATCH(AD691,لیست‌ها!$P$3:$P$53,0))+IF(AE691&lt;=6,(AE691-1)*31+AF691,IF(AE691&lt;=11,186+(AE691-7)*30+AF691,336+AF691))-1,""))</f>
        <v/>
      </c>
      <c r="AH691" s="18" t="str">
        <f t="shared" si="156"/>
        <v/>
      </c>
      <c r="AI691" s="18" t="str">
        <f t="shared" si="157"/>
        <v/>
      </c>
      <c r="AJ691" s="18" t="str">
        <f t="shared" ca="1" si="158"/>
        <v/>
      </c>
    </row>
    <row r="692" spans="1:36">
      <c r="A692" s="18" t="str">
        <f t="shared" si="144"/>
        <v/>
      </c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8" t="str">
        <f t="shared" ca="1" si="145"/>
        <v/>
      </c>
      <c r="U692" s="18">
        <f t="shared" ca="1" si="146"/>
        <v>0</v>
      </c>
      <c r="V692" s="18" t="str">
        <f t="shared" si="147"/>
        <v/>
      </c>
      <c r="W692" s="18" t="str">
        <f t="shared" si="148"/>
        <v/>
      </c>
      <c r="X692" s="18" t="str">
        <f t="shared" si="149"/>
        <v/>
      </c>
      <c r="Y692" s="18" t="str">
        <f>IF(OR(L692="",V692=""),"",IFERROR(INDEX(لیست‌ها!$Q$3:$Q$53,MATCH(V692,لیست‌ها!$P$3:$P$53,0))+IF(W692&lt;=6,(W692-1)*31+X692,IF(W692&lt;=11,186+(W692-7)*30+X692,336+X692))-1,""))</f>
        <v/>
      </c>
      <c r="Z692" s="18" t="str">
        <f t="shared" si="150"/>
        <v/>
      </c>
      <c r="AA692" s="18" t="str">
        <f t="shared" si="151"/>
        <v/>
      </c>
      <c r="AB692" s="18" t="str">
        <f t="shared" si="152"/>
        <v/>
      </c>
      <c r="AC692" s="18" t="str">
        <f>IF(OR(H692="",Z692=""),"",IFERROR(INDEX(لیست‌ها!$Q$3:$Q$53,MATCH(Z692,لیست‌ها!$P$3:$P$53,0))+IF(AA692&lt;=6,(AA692-1)*31+AB692,IF(AA692&lt;=11,186+(AA692-7)*30+AB692,336+AB692))-1,""))</f>
        <v/>
      </c>
      <c r="AD692" s="18" t="str">
        <f t="shared" si="153"/>
        <v/>
      </c>
      <c r="AE692" s="18" t="str">
        <f t="shared" si="154"/>
        <v/>
      </c>
      <c r="AF692" s="18" t="str">
        <f t="shared" si="155"/>
        <v/>
      </c>
      <c r="AG692" s="18" t="str">
        <f>IF(OR(O692="",AD692=""),"",IFERROR(INDEX(لیست‌ها!$Q$3:$Q$53,MATCH(AD692,لیست‌ها!$P$3:$P$53,0))+IF(AE692&lt;=6,(AE692-1)*31+AF692,IF(AE692&lt;=11,186+(AE692-7)*30+AF692,336+AF692))-1,""))</f>
        <v/>
      </c>
      <c r="AH692" s="18" t="str">
        <f t="shared" si="156"/>
        <v/>
      </c>
      <c r="AI692" s="18" t="str">
        <f t="shared" si="157"/>
        <v/>
      </c>
      <c r="AJ692" s="18" t="str">
        <f t="shared" ca="1" si="158"/>
        <v/>
      </c>
    </row>
    <row r="693" spans="1:36">
      <c r="A693" s="18" t="str">
        <f t="shared" si="144"/>
        <v/>
      </c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8" t="str">
        <f t="shared" ca="1" si="145"/>
        <v/>
      </c>
      <c r="U693" s="18">
        <f t="shared" ca="1" si="146"/>
        <v>0</v>
      </c>
      <c r="V693" s="18" t="str">
        <f t="shared" si="147"/>
        <v/>
      </c>
      <c r="W693" s="18" t="str">
        <f t="shared" si="148"/>
        <v/>
      </c>
      <c r="X693" s="18" t="str">
        <f t="shared" si="149"/>
        <v/>
      </c>
      <c r="Y693" s="18" t="str">
        <f>IF(OR(L693="",V693=""),"",IFERROR(INDEX(لیست‌ها!$Q$3:$Q$53,MATCH(V693,لیست‌ها!$P$3:$P$53,0))+IF(W693&lt;=6,(W693-1)*31+X693,IF(W693&lt;=11,186+(W693-7)*30+X693,336+X693))-1,""))</f>
        <v/>
      </c>
      <c r="Z693" s="18" t="str">
        <f t="shared" si="150"/>
        <v/>
      </c>
      <c r="AA693" s="18" t="str">
        <f t="shared" si="151"/>
        <v/>
      </c>
      <c r="AB693" s="18" t="str">
        <f t="shared" si="152"/>
        <v/>
      </c>
      <c r="AC693" s="18" t="str">
        <f>IF(OR(H693="",Z693=""),"",IFERROR(INDEX(لیست‌ها!$Q$3:$Q$53,MATCH(Z693,لیست‌ها!$P$3:$P$53,0))+IF(AA693&lt;=6,(AA693-1)*31+AB693,IF(AA693&lt;=11,186+(AA693-7)*30+AB693,336+AB693))-1,""))</f>
        <v/>
      </c>
      <c r="AD693" s="18" t="str">
        <f t="shared" si="153"/>
        <v/>
      </c>
      <c r="AE693" s="18" t="str">
        <f t="shared" si="154"/>
        <v/>
      </c>
      <c r="AF693" s="18" t="str">
        <f t="shared" si="155"/>
        <v/>
      </c>
      <c r="AG693" s="18" t="str">
        <f>IF(OR(O693="",AD693=""),"",IFERROR(INDEX(لیست‌ها!$Q$3:$Q$53,MATCH(AD693,لیست‌ها!$P$3:$P$53,0))+IF(AE693&lt;=6,(AE693-1)*31+AF693,IF(AE693&lt;=11,186+(AE693-7)*30+AF693,336+AF693))-1,""))</f>
        <v/>
      </c>
      <c r="AH693" s="18" t="str">
        <f t="shared" si="156"/>
        <v/>
      </c>
      <c r="AI693" s="18" t="str">
        <f t="shared" si="157"/>
        <v/>
      </c>
      <c r="AJ693" s="18" t="str">
        <f t="shared" ca="1" si="158"/>
        <v/>
      </c>
    </row>
    <row r="694" spans="1:36">
      <c r="A694" s="18" t="str">
        <f t="shared" si="144"/>
        <v/>
      </c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8" t="str">
        <f t="shared" ca="1" si="145"/>
        <v/>
      </c>
      <c r="U694" s="18">
        <f t="shared" ca="1" si="146"/>
        <v>0</v>
      </c>
      <c r="V694" s="18" t="str">
        <f t="shared" si="147"/>
        <v/>
      </c>
      <c r="W694" s="18" t="str">
        <f t="shared" si="148"/>
        <v/>
      </c>
      <c r="X694" s="18" t="str">
        <f t="shared" si="149"/>
        <v/>
      </c>
      <c r="Y694" s="18" t="str">
        <f>IF(OR(L694="",V694=""),"",IFERROR(INDEX(لیست‌ها!$Q$3:$Q$53,MATCH(V694,لیست‌ها!$P$3:$P$53,0))+IF(W694&lt;=6,(W694-1)*31+X694,IF(W694&lt;=11,186+(W694-7)*30+X694,336+X694))-1,""))</f>
        <v/>
      </c>
      <c r="Z694" s="18" t="str">
        <f t="shared" si="150"/>
        <v/>
      </c>
      <c r="AA694" s="18" t="str">
        <f t="shared" si="151"/>
        <v/>
      </c>
      <c r="AB694" s="18" t="str">
        <f t="shared" si="152"/>
        <v/>
      </c>
      <c r="AC694" s="18" t="str">
        <f>IF(OR(H694="",Z694=""),"",IFERROR(INDEX(لیست‌ها!$Q$3:$Q$53,MATCH(Z694,لیست‌ها!$P$3:$P$53,0))+IF(AA694&lt;=6,(AA694-1)*31+AB694,IF(AA694&lt;=11,186+(AA694-7)*30+AB694,336+AB694))-1,""))</f>
        <v/>
      </c>
      <c r="AD694" s="18" t="str">
        <f t="shared" si="153"/>
        <v/>
      </c>
      <c r="AE694" s="18" t="str">
        <f t="shared" si="154"/>
        <v/>
      </c>
      <c r="AF694" s="18" t="str">
        <f t="shared" si="155"/>
        <v/>
      </c>
      <c r="AG694" s="18" t="str">
        <f>IF(OR(O694="",AD694=""),"",IFERROR(INDEX(لیست‌ها!$Q$3:$Q$53,MATCH(AD694,لیست‌ها!$P$3:$P$53,0))+IF(AE694&lt;=6,(AE694-1)*31+AF694,IF(AE694&lt;=11,186+(AE694-7)*30+AF694,336+AF694))-1,""))</f>
        <v/>
      </c>
      <c r="AH694" s="18" t="str">
        <f t="shared" si="156"/>
        <v/>
      </c>
      <c r="AI694" s="18" t="str">
        <f t="shared" si="157"/>
        <v/>
      </c>
      <c r="AJ694" s="18" t="str">
        <f t="shared" ca="1" si="158"/>
        <v/>
      </c>
    </row>
    <row r="695" spans="1:36">
      <c r="A695" s="18" t="str">
        <f t="shared" si="144"/>
        <v/>
      </c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8" t="str">
        <f t="shared" ca="1" si="145"/>
        <v/>
      </c>
      <c r="U695" s="18">
        <f t="shared" ca="1" si="146"/>
        <v>0</v>
      </c>
      <c r="V695" s="18" t="str">
        <f t="shared" si="147"/>
        <v/>
      </c>
      <c r="W695" s="18" t="str">
        <f t="shared" si="148"/>
        <v/>
      </c>
      <c r="X695" s="18" t="str">
        <f t="shared" si="149"/>
        <v/>
      </c>
      <c r="Y695" s="18" t="str">
        <f>IF(OR(L695="",V695=""),"",IFERROR(INDEX(لیست‌ها!$Q$3:$Q$53,MATCH(V695,لیست‌ها!$P$3:$P$53,0))+IF(W695&lt;=6,(W695-1)*31+X695,IF(W695&lt;=11,186+(W695-7)*30+X695,336+X695))-1,""))</f>
        <v/>
      </c>
      <c r="Z695" s="18" t="str">
        <f t="shared" si="150"/>
        <v/>
      </c>
      <c r="AA695" s="18" t="str">
        <f t="shared" si="151"/>
        <v/>
      </c>
      <c r="AB695" s="18" t="str">
        <f t="shared" si="152"/>
        <v/>
      </c>
      <c r="AC695" s="18" t="str">
        <f>IF(OR(H695="",Z695=""),"",IFERROR(INDEX(لیست‌ها!$Q$3:$Q$53,MATCH(Z695,لیست‌ها!$P$3:$P$53,0))+IF(AA695&lt;=6,(AA695-1)*31+AB695,IF(AA695&lt;=11,186+(AA695-7)*30+AB695,336+AB695))-1,""))</f>
        <v/>
      </c>
      <c r="AD695" s="18" t="str">
        <f t="shared" si="153"/>
        <v/>
      </c>
      <c r="AE695" s="18" t="str">
        <f t="shared" si="154"/>
        <v/>
      </c>
      <c r="AF695" s="18" t="str">
        <f t="shared" si="155"/>
        <v/>
      </c>
      <c r="AG695" s="18" t="str">
        <f>IF(OR(O695="",AD695=""),"",IFERROR(INDEX(لیست‌ها!$Q$3:$Q$53,MATCH(AD695,لیست‌ها!$P$3:$P$53,0))+IF(AE695&lt;=6,(AE695-1)*31+AF695,IF(AE695&lt;=11,186+(AE695-7)*30+AF695,336+AF695))-1,""))</f>
        <v/>
      </c>
      <c r="AH695" s="18" t="str">
        <f t="shared" si="156"/>
        <v/>
      </c>
      <c r="AI695" s="18" t="str">
        <f t="shared" si="157"/>
        <v/>
      </c>
      <c r="AJ695" s="18" t="str">
        <f t="shared" ca="1" si="158"/>
        <v/>
      </c>
    </row>
    <row r="696" spans="1:36">
      <c r="A696" s="18" t="str">
        <f t="shared" si="144"/>
        <v/>
      </c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8" t="str">
        <f t="shared" ca="1" si="145"/>
        <v/>
      </c>
      <c r="U696" s="18">
        <f t="shared" ca="1" si="146"/>
        <v>0</v>
      </c>
      <c r="V696" s="18" t="str">
        <f t="shared" si="147"/>
        <v/>
      </c>
      <c r="W696" s="18" t="str">
        <f t="shared" si="148"/>
        <v/>
      </c>
      <c r="X696" s="18" t="str">
        <f t="shared" si="149"/>
        <v/>
      </c>
      <c r="Y696" s="18" t="str">
        <f>IF(OR(L696="",V696=""),"",IFERROR(INDEX(لیست‌ها!$Q$3:$Q$53,MATCH(V696,لیست‌ها!$P$3:$P$53,0))+IF(W696&lt;=6,(W696-1)*31+X696,IF(W696&lt;=11,186+(W696-7)*30+X696,336+X696))-1,""))</f>
        <v/>
      </c>
      <c r="Z696" s="18" t="str">
        <f t="shared" si="150"/>
        <v/>
      </c>
      <c r="AA696" s="18" t="str">
        <f t="shared" si="151"/>
        <v/>
      </c>
      <c r="AB696" s="18" t="str">
        <f t="shared" si="152"/>
        <v/>
      </c>
      <c r="AC696" s="18" t="str">
        <f>IF(OR(H696="",Z696=""),"",IFERROR(INDEX(لیست‌ها!$Q$3:$Q$53,MATCH(Z696,لیست‌ها!$P$3:$P$53,0))+IF(AA696&lt;=6,(AA696-1)*31+AB696,IF(AA696&lt;=11,186+(AA696-7)*30+AB696,336+AB696))-1,""))</f>
        <v/>
      </c>
      <c r="AD696" s="18" t="str">
        <f t="shared" si="153"/>
        <v/>
      </c>
      <c r="AE696" s="18" t="str">
        <f t="shared" si="154"/>
        <v/>
      </c>
      <c r="AF696" s="18" t="str">
        <f t="shared" si="155"/>
        <v/>
      </c>
      <c r="AG696" s="18" t="str">
        <f>IF(OR(O696="",AD696=""),"",IFERROR(INDEX(لیست‌ها!$Q$3:$Q$53,MATCH(AD696,لیست‌ها!$P$3:$P$53,0))+IF(AE696&lt;=6,(AE696-1)*31+AF696,IF(AE696&lt;=11,186+(AE696-7)*30+AF696,336+AF696))-1,""))</f>
        <v/>
      </c>
      <c r="AH696" s="18" t="str">
        <f t="shared" si="156"/>
        <v/>
      </c>
      <c r="AI696" s="18" t="str">
        <f t="shared" si="157"/>
        <v/>
      </c>
      <c r="AJ696" s="18" t="str">
        <f t="shared" ca="1" si="158"/>
        <v/>
      </c>
    </row>
    <row r="697" spans="1:36">
      <c r="A697" s="18" t="str">
        <f t="shared" si="144"/>
        <v/>
      </c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8" t="str">
        <f t="shared" ca="1" si="145"/>
        <v/>
      </c>
      <c r="U697" s="18">
        <f t="shared" ca="1" si="146"/>
        <v>0</v>
      </c>
      <c r="V697" s="18" t="str">
        <f t="shared" si="147"/>
        <v/>
      </c>
      <c r="W697" s="18" t="str">
        <f t="shared" si="148"/>
        <v/>
      </c>
      <c r="X697" s="18" t="str">
        <f t="shared" si="149"/>
        <v/>
      </c>
      <c r="Y697" s="18" t="str">
        <f>IF(OR(L697="",V697=""),"",IFERROR(INDEX(لیست‌ها!$Q$3:$Q$53,MATCH(V697,لیست‌ها!$P$3:$P$53,0))+IF(W697&lt;=6,(W697-1)*31+X697,IF(W697&lt;=11,186+(W697-7)*30+X697,336+X697))-1,""))</f>
        <v/>
      </c>
      <c r="Z697" s="18" t="str">
        <f t="shared" si="150"/>
        <v/>
      </c>
      <c r="AA697" s="18" t="str">
        <f t="shared" si="151"/>
        <v/>
      </c>
      <c r="AB697" s="18" t="str">
        <f t="shared" si="152"/>
        <v/>
      </c>
      <c r="AC697" s="18" t="str">
        <f>IF(OR(H697="",Z697=""),"",IFERROR(INDEX(لیست‌ها!$Q$3:$Q$53,MATCH(Z697,لیست‌ها!$P$3:$P$53,0))+IF(AA697&lt;=6,(AA697-1)*31+AB697,IF(AA697&lt;=11,186+(AA697-7)*30+AB697,336+AB697))-1,""))</f>
        <v/>
      </c>
      <c r="AD697" s="18" t="str">
        <f t="shared" si="153"/>
        <v/>
      </c>
      <c r="AE697" s="18" t="str">
        <f t="shared" si="154"/>
        <v/>
      </c>
      <c r="AF697" s="18" t="str">
        <f t="shared" si="155"/>
        <v/>
      </c>
      <c r="AG697" s="18" t="str">
        <f>IF(OR(O697="",AD697=""),"",IFERROR(INDEX(لیست‌ها!$Q$3:$Q$53,MATCH(AD697,لیست‌ها!$P$3:$P$53,0))+IF(AE697&lt;=6,(AE697-1)*31+AF697,IF(AE697&lt;=11,186+(AE697-7)*30+AF697,336+AF697))-1,""))</f>
        <v/>
      </c>
      <c r="AH697" s="18" t="str">
        <f t="shared" si="156"/>
        <v/>
      </c>
      <c r="AI697" s="18" t="str">
        <f t="shared" si="157"/>
        <v/>
      </c>
      <c r="AJ697" s="18" t="str">
        <f t="shared" ca="1" si="158"/>
        <v/>
      </c>
    </row>
    <row r="698" spans="1:36">
      <c r="A698" s="18" t="str">
        <f t="shared" si="144"/>
        <v/>
      </c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8" t="str">
        <f t="shared" ca="1" si="145"/>
        <v/>
      </c>
      <c r="U698" s="18">
        <f t="shared" ca="1" si="146"/>
        <v>0</v>
      </c>
      <c r="V698" s="18" t="str">
        <f t="shared" si="147"/>
        <v/>
      </c>
      <c r="W698" s="18" t="str">
        <f t="shared" si="148"/>
        <v/>
      </c>
      <c r="X698" s="18" t="str">
        <f t="shared" si="149"/>
        <v/>
      </c>
      <c r="Y698" s="18" t="str">
        <f>IF(OR(L698="",V698=""),"",IFERROR(INDEX(لیست‌ها!$Q$3:$Q$53,MATCH(V698,لیست‌ها!$P$3:$P$53,0))+IF(W698&lt;=6,(W698-1)*31+X698,IF(W698&lt;=11,186+(W698-7)*30+X698,336+X698))-1,""))</f>
        <v/>
      </c>
      <c r="Z698" s="18" t="str">
        <f t="shared" si="150"/>
        <v/>
      </c>
      <c r="AA698" s="18" t="str">
        <f t="shared" si="151"/>
        <v/>
      </c>
      <c r="AB698" s="18" t="str">
        <f t="shared" si="152"/>
        <v/>
      </c>
      <c r="AC698" s="18" t="str">
        <f>IF(OR(H698="",Z698=""),"",IFERROR(INDEX(لیست‌ها!$Q$3:$Q$53,MATCH(Z698,لیست‌ها!$P$3:$P$53,0))+IF(AA698&lt;=6,(AA698-1)*31+AB698,IF(AA698&lt;=11,186+(AA698-7)*30+AB698,336+AB698))-1,""))</f>
        <v/>
      </c>
      <c r="AD698" s="18" t="str">
        <f t="shared" si="153"/>
        <v/>
      </c>
      <c r="AE698" s="18" t="str">
        <f t="shared" si="154"/>
        <v/>
      </c>
      <c r="AF698" s="18" t="str">
        <f t="shared" si="155"/>
        <v/>
      </c>
      <c r="AG698" s="18" t="str">
        <f>IF(OR(O698="",AD698=""),"",IFERROR(INDEX(لیست‌ها!$Q$3:$Q$53,MATCH(AD698,لیست‌ها!$P$3:$P$53,0))+IF(AE698&lt;=6,(AE698-1)*31+AF698,IF(AE698&lt;=11,186+(AE698-7)*30+AF698,336+AF698))-1,""))</f>
        <v/>
      </c>
      <c r="AH698" s="18" t="str">
        <f t="shared" si="156"/>
        <v/>
      </c>
      <c r="AI698" s="18" t="str">
        <f t="shared" si="157"/>
        <v/>
      </c>
      <c r="AJ698" s="18" t="str">
        <f t="shared" ca="1" si="158"/>
        <v/>
      </c>
    </row>
    <row r="699" spans="1:36">
      <c r="A699" s="18" t="str">
        <f t="shared" si="144"/>
        <v/>
      </c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8" t="str">
        <f t="shared" ca="1" si="145"/>
        <v/>
      </c>
      <c r="U699" s="18">
        <f t="shared" ca="1" si="146"/>
        <v>0</v>
      </c>
      <c r="V699" s="18" t="str">
        <f t="shared" si="147"/>
        <v/>
      </c>
      <c r="W699" s="18" t="str">
        <f t="shared" si="148"/>
        <v/>
      </c>
      <c r="X699" s="18" t="str">
        <f t="shared" si="149"/>
        <v/>
      </c>
      <c r="Y699" s="18" t="str">
        <f>IF(OR(L699="",V699=""),"",IFERROR(INDEX(لیست‌ها!$Q$3:$Q$53,MATCH(V699,لیست‌ها!$P$3:$P$53,0))+IF(W699&lt;=6,(W699-1)*31+X699,IF(W699&lt;=11,186+(W699-7)*30+X699,336+X699))-1,""))</f>
        <v/>
      </c>
      <c r="Z699" s="18" t="str">
        <f t="shared" si="150"/>
        <v/>
      </c>
      <c r="AA699" s="18" t="str">
        <f t="shared" si="151"/>
        <v/>
      </c>
      <c r="AB699" s="18" t="str">
        <f t="shared" si="152"/>
        <v/>
      </c>
      <c r="AC699" s="18" t="str">
        <f>IF(OR(H699="",Z699=""),"",IFERROR(INDEX(لیست‌ها!$Q$3:$Q$53,MATCH(Z699,لیست‌ها!$P$3:$P$53,0))+IF(AA699&lt;=6,(AA699-1)*31+AB699,IF(AA699&lt;=11,186+(AA699-7)*30+AB699,336+AB699))-1,""))</f>
        <v/>
      </c>
      <c r="AD699" s="18" t="str">
        <f t="shared" si="153"/>
        <v/>
      </c>
      <c r="AE699" s="18" t="str">
        <f t="shared" si="154"/>
        <v/>
      </c>
      <c r="AF699" s="18" t="str">
        <f t="shared" si="155"/>
        <v/>
      </c>
      <c r="AG699" s="18" t="str">
        <f>IF(OR(O699="",AD699=""),"",IFERROR(INDEX(لیست‌ها!$Q$3:$Q$53,MATCH(AD699,لیست‌ها!$P$3:$P$53,0))+IF(AE699&lt;=6,(AE699-1)*31+AF699,IF(AE699&lt;=11,186+(AE699-7)*30+AF699,336+AF699))-1,""))</f>
        <v/>
      </c>
      <c r="AH699" s="18" t="str">
        <f t="shared" si="156"/>
        <v/>
      </c>
      <c r="AI699" s="18" t="str">
        <f t="shared" si="157"/>
        <v/>
      </c>
      <c r="AJ699" s="18" t="str">
        <f t="shared" ca="1" si="158"/>
        <v/>
      </c>
    </row>
    <row r="700" spans="1:36">
      <c r="A700" s="18" t="str">
        <f t="shared" si="144"/>
        <v/>
      </c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8" t="str">
        <f t="shared" ca="1" si="145"/>
        <v/>
      </c>
      <c r="U700" s="18">
        <f t="shared" ca="1" si="146"/>
        <v>0</v>
      </c>
      <c r="V700" s="18" t="str">
        <f t="shared" si="147"/>
        <v/>
      </c>
      <c r="W700" s="18" t="str">
        <f t="shared" si="148"/>
        <v/>
      </c>
      <c r="X700" s="18" t="str">
        <f t="shared" si="149"/>
        <v/>
      </c>
      <c r="Y700" s="18" t="str">
        <f>IF(OR(L700="",V700=""),"",IFERROR(INDEX(لیست‌ها!$Q$3:$Q$53,MATCH(V700,لیست‌ها!$P$3:$P$53,0))+IF(W700&lt;=6,(W700-1)*31+X700,IF(W700&lt;=11,186+(W700-7)*30+X700,336+X700))-1,""))</f>
        <v/>
      </c>
      <c r="Z700" s="18" t="str">
        <f t="shared" si="150"/>
        <v/>
      </c>
      <c r="AA700" s="18" t="str">
        <f t="shared" si="151"/>
        <v/>
      </c>
      <c r="AB700" s="18" t="str">
        <f t="shared" si="152"/>
        <v/>
      </c>
      <c r="AC700" s="18" t="str">
        <f>IF(OR(H700="",Z700=""),"",IFERROR(INDEX(لیست‌ها!$Q$3:$Q$53,MATCH(Z700,لیست‌ها!$P$3:$P$53,0))+IF(AA700&lt;=6,(AA700-1)*31+AB700,IF(AA700&lt;=11,186+(AA700-7)*30+AB700,336+AB700))-1,""))</f>
        <v/>
      </c>
      <c r="AD700" s="18" t="str">
        <f t="shared" si="153"/>
        <v/>
      </c>
      <c r="AE700" s="18" t="str">
        <f t="shared" si="154"/>
        <v/>
      </c>
      <c r="AF700" s="18" t="str">
        <f t="shared" si="155"/>
        <v/>
      </c>
      <c r="AG700" s="18" t="str">
        <f>IF(OR(O700="",AD700=""),"",IFERROR(INDEX(لیست‌ها!$Q$3:$Q$53,MATCH(AD700,لیست‌ها!$P$3:$P$53,0))+IF(AE700&lt;=6,(AE700-1)*31+AF700,IF(AE700&lt;=11,186+(AE700-7)*30+AF700,336+AF700))-1,""))</f>
        <v/>
      </c>
      <c r="AH700" s="18" t="str">
        <f t="shared" si="156"/>
        <v/>
      </c>
      <c r="AI700" s="18" t="str">
        <f t="shared" si="157"/>
        <v/>
      </c>
      <c r="AJ700" s="18" t="str">
        <f t="shared" ca="1" si="158"/>
        <v/>
      </c>
    </row>
    <row r="701" spans="1:36">
      <c r="A701" s="18" t="str">
        <f t="shared" si="144"/>
        <v/>
      </c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8" t="str">
        <f t="shared" ca="1" si="145"/>
        <v/>
      </c>
      <c r="U701" s="18">
        <f t="shared" ca="1" si="146"/>
        <v>0</v>
      </c>
      <c r="V701" s="18" t="str">
        <f t="shared" si="147"/>
        <v/>
      </c>
      <c r="W701" s="18" t="str">
        <f t="shared" si="148"/>
        <v/>
      </c>
      <c r="X701" s="18" t="str">
        <f t="shared" si="149"/>
        <v/>
      </c>
      <c r="Y701" s="18" t="str">
        <f>IF(OR(L701="",V701=""),"",IFERROR(INDEX(لیست‌ها!$Q$3:$Q$53,MATCH(V701,لیست‌ها!$P$3:$P$53,0))+IF(W701&lt;=6,(W701-1)*31+X701,IF(W701&lt;=11,186+(W701-7)*30+X701,336+X701))-1,""))</f>
        <v/>
      </c>
      <c r="Z701" s="18" t="str">
        <f t="shared" si="150"/>
        <v/>
      </c>
      <c r="AA701" s="18" t="str">
        <f t="shared" si="151"/>
        <v/>
      </c>
      <c r="AB701" s="18" t="str">
        <f t="shared" si="152"/>
        <v/>
      </c>
      <c r="AC701" s="18" t="str">
        <f>IF(OR(H701="",Z701=""),"",IFERROR(INDEX(لیست‌ها!$Q$3:$Q$53,MATCH(Z701,لیست‌ها!$P$3:$P$53,0))+IF(AA701&lt;=6,(AA701-1)*31+AB701,IF(AA701&lt;=11,186+(AA701-7)*30+AB701,336+AB701))-1,""))</f>
        <v/>
      </c>
      <c r="AD701" s="18" t="str">
        <f t="shared" si="153"/>
        <v/>
      </c>
      <c r="AE701" s="18" t="str">
        <f t="shared" si="154"/>
        <v/>
      </c>
      <c r="AF701" s="18" t="str">
        <f t="shared" si="155"/>
        <v/>
      </c>
      <c r="AG701" s="18" t="str">
        <f>IF(OR(O701="",AD701=""),"",IFERROR(INDEX(لیست‌ها!$Q$3:$Q$53,MATCH(AD701,لیست‌ها!$P$3:$P$53,0))+IF(AE701&lt;=6,(AE701-1)*31+AF701,IF(AE701&lt;=11,186+(AE701-7)*30+AF701,336+AF701))-1,""))</f>
        <v/>
      </c>
      <c r="AH701" s="18" t="str">
        <f t="shared" si="156"/>
        <v/>
      </c>
      <c r="AI701" s="18" t="str">
        <f t="shared" si="157"/>
        <v/>
      </c>
      <c r="AJ701" s="18" t="str">
        <f t="shared" ca="1" si="158"/>
        <v/>
      </c>
    </row>
    <row r="702" spans="1:36">
      <c r="A702" s="18" t="str">
        <f t="shared" si="144"/>
        <v/>
      </c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8" t="str">
        <f t="shared" ca="1" si="145"/>
        <v/>
      </c>
      <c r="U702" s="18">
        <f t="shared" ca="1" si="146"/>
        <v>0</v>
      </c>
      <c r="V702" s="18" t="str">
        <f t="shared" si="147"/>
        <v/>
      </c>
      <c r="W702" s="18" t="str">
        <f t="shared" si="148"/>
        <v/>
      </c>
      <c r="X702" s="18" t="str">
        <f t="shared" si="149"/>
        <v/>
      </c>
      <c r="Y702" s="18" t="str">
        <f>IF(OR(L702="",V702=""),"",IFERROR(INDEX(لیست‌ها!$Q$3:$Q$53,MATCH(V702,لیست‌ها!$P$3:$P$53,0))+IF(W702&lt;=6,(W702-1)*31+X702,IF(W702&lt;=11,186+(W702-7)*30+X702,336+X702))-1,""))</f>
        <v/>
      </c>
      <c r="Z702" s="18" t="str">
        <f t="shared" si="150"/>
        <v/>
      </c>
      <c r="AA702" s="18" t="str">
        <f t="shared" si="151"/>
        <v/>
      </c>
      <c r="AB702" s="18" t="str">
        <f t="shared" si="152"/>
        <v/>
      </c>
      <c r="AC702" s="18" t="str">
        <f>IF(OR(H702="",Z702=""),"",IFERROR(INDEX(لیست‌ها!$Q$3:$Q$53,MATCH(Z702,لیست‌ها!$P$3:$P$53,0))+IF(AA702&lt;=6,(AA702-1)*31+AB702,IF(AA702&lt;=11,186+(AA702-7)*30+AB702,336+AB702))-1,""))</f>
        <v/>
      </c>
      <c r="AD702" s="18" t="str">
        <f t="shared" si="153"/>
        <v/>
      </c>
      <c r="AE702" s="18" t="str">
        <f t="shared" si="154"/>
        <v/>
      </c>
      <c r="AF702" s="18" t="str">
        <f t="shared" si="155"/>
        <v/>
      </c>
      <c r="AG702" s="18" t="str">
        <f>IF(OR(O702="",AD702=""),"",IFERROR(INDEX(لیست‌ها!$Q$3:$Q$53,MATCH(AD702,لیست‌ها!$P$3:$P$53,0))+IF(AE702&lt;=6,(AE702-1)*31+AF702,IF(AE702&lt;=11,186+(AE702-7)*30+AF702,336+AF702))-1,""))</f>
        <v/>
      </c>
      <c r="AH702" s="18" t="str">
        <f t="shared" si="156"/>
        <v/>
      </c>
      <c r="AI702" s="18" t="str">
        <f t="shared" si="157"/>
        <v/>
      </c>
      <c r="AJ702" s="18" t="str">
        <f t="shared" ca="1" si="158"/>
        <v/>
      </c>
    </row>
    <row r="703" spans="1:36">
      <c r="A703" s="18" t="str">
        <f t="shared" si="144"/>
        <v/>
      </c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8" t="str">
        <f t="shared" ca="1" si="145"/>
        <v/>
      </c>
      <c r="U703" s="18">
        <f t="shared" ca="1" si="146"/>
        <v>0</v>
      </c>
      <c r="V703" s="18" t="str">
        <f t="shared" si="147"/>
        <v/>
      </c>
      <c r="W703" s="18" t="str">
        <f t="shared" si="148"/>
        <v/>
      </c>
      <c r="X703" s="18" t="str">
        <f t="shared" si="149"/>
        <v/>
      </c>
      <c r="Y703" s="18" t="str">
        <f>IF(OR(L703="",V703=""),"",IFERROR(INDEX(لیست‌ها!$Q$3:$Q$53,MATCH(V703,لیست‌ها!$P$3:$P$53,0))+IF(W703&lt;=6,(W703-1)*31+X703,IF(W703&lt;=11,186+(W703-7)*30+X703,336+X703))-1,""))</f>
        <v/>
      </c>
      <c r="Z703" s="18" t="str">
        <f t="shared" si="150"/>
        <v/>
      </c>
      <c r="AA703" s="18" t="str">
        <f t="shared" si="151"/>
        <v/>
      </c>
      <c r="AB703" s="18" t="str">
        <f t="shared" si="152"/>
        <v/>
      </c>
      <c r="AC703" s="18" t="str">
        <f>IF(OR(H703="",Z703=""),"",IFERROR(INDEX(لیست‌ها!$Q$3:$Q$53,MATCH(Z703,لیست‌ها!$P$3:$P$53,0))+IF(AA703&lt;=6,(AA703-1)*31+AB703,IF(AA703&lt;=11,186+(AA703-7)*30+AB703,336+AB703))-1,""))</f>
        <v/>
      </c>
      <c r="AD703" s="18" t="str">
        <f t="shared" si="153"/>
        <v/>
      </c>
      <c r="AE703" s="18" t="str">
        <f t="shared" si="154"/>
        <v/>
      </c>
      <c r="AF703" s="18" t="str">
        <f t="shared" si="155"/>
        <v/>
      </c>
      <c r="AG703" s="18" t="str">
        <f>IF(OR(O703="",AD703=""),"",IFERROR(INDEX(لیست‌ها!$Q$3:$Q$53,MATCH(AD703,لیست‌ها!$P$3:$P$53,0))+IF(AE703&lt;=6,(AE703-1)*31+AF703,IF(AE703&lt;=11,186+(AE703-7)*30+AF703,336+AF703))-1,""))</f>
        <v/>
      </c>
      <c r="AH703" s="18" t="str">
        <f t="shared" si="156"/>
        <v/>
      </c>
      <c r="AI703" s="18" t="str">
        <f t="shared" si="157"/>
        <v/>
      </c>
      <c r="AJ703" s="18" t="str">
        <f t="shared" ca="1" si="158"/>
        <v/>
      </c>
    </row>
    <row r="704" spans="1:36">
      <c r="A704" s="18" t="str">
        <f t="shared" si="144"/>
        <v/>
      </c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8" t="str">
        <f t="shared" ca="1" si="145"/>
        <v/>
      </c>
      <c r="U704" s="18">
        <f t="shared" ca="1" si="146"/>
        <v>0</v>
      </c>
      <c r="V704" s="18" t="str">
        <f t="shared" si="147"/>
        <v/>
      </c>
      <c r="W704" s="18" t="str">
        <f t="shared" si="148"/>
        <v/>
      </c>
      <c r="X704" s="18" t="str">
        <f t="shared" si="149"/>
        <v/>
      </c>
      <c r="Y704" s="18" t="str">
        <f>IF(OR(L704="",V704=""),"",IFERROR(INDEX(لیست‌ها!$Q$3:$Q$53,MATCH(V704,لیست‌ها!$P$3:$P$53,0))+IF(W704&lt;=6,(W704-1)*31+X704,IF(W704&lt;=11,186+(W704-7)*30+X704,336+X704))-1,""))</f>
        <v/>
      </c>
      <c r="Z704" s="18" t="str">
        <f t="shared" si="150"/>
        <v/>
      </c>
      <c r="AA704" s="18" t="str">
        <f t="shared" si="151"/>
        <v/>
      </c>
      <c r="AB704" s="18" t="str">
        <f t="shared" si="152"/>
        <v/>
      </c>
      <c r="AC704" s="18" t="str">
        <f>IF(OR(H704="",Z704=""),"",IFERROR(INDEX(لیست‌ها!$Q$3:$Q$53,MATCH(Z704,لیست‌ها!$P$3:$P$53,0))+IF(AA704&lt;=6,(AA704-1)*31+AB704,IF(AA704&lt;=11,186+(AA704-7)*30+AB704,336+AB704))-1,""))</f>
        <v/>
      </c>
      <c r="AD704" s="18" t="str">
        <f t="shared" si="153"/>
        <v/>
      </c>
      <c r="AE704" s="18" t="str">
        <f t="shared" si="154"/>
        <v/>
      </c>
      <c r="AF704" s="18" t="str">
        <f t="shared" si="155"/>
        <v/>
      </c>
      <c r="AG704" s="18" t="str">
        <f>IF(OR(O704="",AD704=""),"",IFERROR(INDEX(لیست‌ها!$Q$3:$Q$53,MATCH(AD704,لیست‌ها!$P$3:$P$53,0))+IF(AE704&lt;=6,(AE704-1)*31+AF704,IF(AE704&lt;=11,186+(AE704-7)*30+AF704,336+AF704))-1,""))</f>
        <v/>
      </c>
      <c r="AH704" s="18" t="str">
        <f t="shared" si="156"/>
        <v/>
      </c>
      <c r="AI704" s="18" t="str">
        <f t="shared" si="157"/>
        <v/>
      </c>
      <c r="AJ704" s="18" t="str">
        <f t="shared" ca="1" si="158"/>
        <v/>
      </c>
    </row>
    <row r="705" spans="1:36">
      <c r="A705" s="18" t="str">
        <f t="shared" si="144"/>
        <v/>
      </c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8" t="str">
        <f t="shared" ca="1" si="145"/>
        <v/>
      </c>
      <c r="U705" s="18">
        <f t="shared" ca="1" si="146"/>
        <v>0</v>
      </c>
      <c r="V705" s="18" t="str">
        <f t="shared" si="147"/>
        <v/>
      </c>
      <c r="W705" s="18" t="str">
        <f t="shared" si="148"/>
        <v/>
      </c>
      <c r="X705" s="18" t="str">
        <f t="shared" si="149"/>
        <v/>
      </c>
      <c r="Y705" s="18" t="str">
        <f>IF(OR(L705="",V705=""),"",IFERROR(INDEX(لیست‌ها!$Q$3:$Q$53,MATCH(V705,لیست‌ها!$P$3:$P$53,0))+IF(W705&lt;=6,(W705-1)*31+X705,IF(W705&lt;=11,186+(W705-7)*30+X705,336+X705))-1,""))</f>
        <v/>
      </c>
      <c r="Z705" s="18" t="str">
        <f t="shared" si="150"/>
        <v/>
      </c>
      <c r="AA705" s="18" t="str">
        <f t="shared" si="151"/>
        <v/>
      </c>
      <c r="AB705" s="18" t="str">
        <f t="shared" si="152"/>
        <v/>
      </c>
      <c r="AC705" s="18" t="str">
        <f>IF(OR(H705="",Z705=""),"",IFERROR(INDEX(لیست‌ها!$Q$3:$Q$53,MATCH(Z705,لیست‌ها!$P$3:$P$53,0))+IF(AA705&lt;=6,(AA705-1)*31+AB705,IF(AA705&lt;=11,186+(AA705-7)*30+AB705,336+AB705))-1,""))</f>
        <v/>
      </c>
      <c r="AD705" s="18" t="str">
        <f t="shared" si="153"/>
        <v/>
      </c>
      <c r="AE705" s="18" t="str">
        <f t="shared" si="154"/>
        <v/>
      </c>
      <c r="AF705" s="18" t="str">
        <f t="shared" si="155"/>
        <v/>
      </c>
      <c r="AG705" s="18" t="str">
        <f>IF(OR(O705="",AD705=""),"",IFERROR(INDEX(لیست‌ها!$Q$3:$Q$53,MATCH(AD705,لیست‌ها!$P$3:$P$53,0))+IF(AE705&lt;=6,(AE705-1)*31+AF705,IF(AE705&lt;=11,186+(AE705-7)*30+AF705,336+AF705))-1,""))</f>
        <v/>
      </c>
      <c r="AH705" s="18" t="str">
        <f t="shared" si="156"/>
        <v/>
      </c>
      <c r="AI705" s="18" t="str">
        <f t="shared" si="157"/>
        <v/>
      </c>
      <c r="AJ705" s="18" t="str">
        <f t="shared" ca="1" si="158"/>
        <v/>
      </c>
    </row>
    <row r="706" spans="1:36">
      <c r="A706" s="18" t="str">
        <f t="shared" si="144"/>
        <v/>
      </c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8" t="str">
        <f t="shared" ca="1" si="145"/>
        <v/>
      </c>
      <c r="U706" s="18">
        <f t="shared" ca="1" si="146"/>
        <v>0</v>
      </c>
      <c r="V706" s="18" t="str">
        <f t="shared" si="147"/>
        <v/>
      </c>
      <c r="W706" s="18" t="str">
        <f t="shared" si="148"/>
        <v/>
      </c>
      <c r="X706" s="18" t="str">
        <f t="shared" si="149"/>
        <v/>
      </c>
      <c r="Y706" s="18" t="str">
        <f>IF(OR(L706="",V706=""),"",IFERROR(INDEX(لیست‌ها!$Q$3:$Q$53,MATCH(V706,لیست‌ها!$P$3:$P$53,0))+IF(W706&lt;=6,(W706-1)*31+X706,IF(W706&lt;=11,186+(W706-7)*30+X706,336+X706))-1,""))</f>
        <v/>
      </c>
      <c r="Z706" s="18" t="str">
        <f t="shared" si="150"/>
        <v/>
      </c>
      <c r="AA706" s="18" t="str">
        <f t="shared" si="151"/>
        <v/>
      </c>
      <c r="AB706" s="18" t="str">
        <f t="shared" si="152"/>
        <v/>
      </c>
      <c r="AC706" s="18" t="str">
        <f>IF(OR(H706="",Z706=""),"",IFERROR(INDEX(لیست‌ها!$Q$3:$Q$53,MATCH(Z706,لیست‌ها!$P$3:$P$53,0))+IF(AA706&lt;=6,(AA706-1)*31+AB706,IF(AA706&lt;=11,186+(AA706-7)*30+AB706,336+AB706))-1,""))</f>
        <v/>
      </c>
      <c r="AD706" s="18" t="str">
        <f t="shared" si="153"/>
        <v/>
      </c>
      <c r="AE706" s="18" t="str">
        <f t="shared" si="154"/>
        <v/>
      </c>
      <c r="AF706" s="18" t="str">
        <f t="shared" si="155"/>
        <v/>
      </c>
      <c r="AG706" s="18" t="str">
        <f>IF(OR(O706="",AD706=""),"",IFERROR(INDEX(لیست‌ها!$Q$3:$Q$53,MATCH(AD706,لیست‌ها!$P$3:$P$53,0))+IF(AE706&lt;=6,(AE706-1)*31+AF706,IF(AE706&lt;=11,186+(AE706-7)*30+AF706,336+AF706))-1,""))</f>
        <v/>
      </c>
      <c r="AH706" s="18" t="str">
        <f t="shared" si="156"/>
        <v/>
      </c>
      <c r="AI706" s="18" t="str">
        <f t="shared" si="157"/>
        <v/>
      </c>
      <c r="AJ706" s="18" t="str">
        <f t="shared" ca="1" si="158"/>
        <v/>
      </c>
    </row>
    <row r="707" spans="1:36">
      <c r="A707" s="18" t="str">
        <f t="shared" si="144"/>
        <v/>
      </c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8" t="str">
        <f t="shared" ca="1" si="145"/>
        <v/>
      </c>
      <c r="U707" s="18">
        <f t="shared" ca="1" si="146"/>
        <v>0</v>
      </c>
      <c r="V707" s="18" t="str">
        <f t="shared" si="147"/>
        <v/>
      </c>
      <c r="W707" s="18" t="str">
        <f t="shared" si="148"/>
        <v/>
      </c>
      <c r="X707" s="18" t="str">
        <f t="shared" si="149"/>
        <v/>
      </c>
      <c r="Y707" s="18" t="str">
        <f>IF(OR(L707="",V707=""),"",IFERROR(INDEX(لیست‌ها!$Q$3:$Q$53,MATCH(V707,لیست‌ها!$P$3:$P$53,0))+IF(W707&lt;=6,(W707-1)*31+X707,IF(W707&lt;=11,186+(W707-7)*30+X707,336+X707))-1,""))</f>
        <v/>
      </c>
      <c r="Z707" s="18" t="str">
        <f t="shared" si="150"/>
        <v/>
      </c>
      <c r="AA707" s="18" t="str">
        <f t="shared" si="151"/>
        <v/>
      </c>
      <c r="AB707" s="18" t="str">
        <f t="shared" si="152"/>
        <v/>
      </c>
      <c r="AC707" s="18" t="str">
        <f>IF(OR(H707="",Z707=""),"",IFERROR(INDEX(لیست‌ها!$Q$3:$Q$53,MATCH(Z707,لیست‌ها!$P$3:$P$53,0))+IF(AA707&lt;=6,(AA707-1)*31+AB707,IF(AA707&lt;=11,186+(AA707-7)*30+AB707,336+AB707))-1,""))</f>
        <v/>
      </c>
      <c r="AD707" s="18" t="str">
        <f t="shared" si="153"/>
        <v/>
      </c>
      <c r="AE707" s="18" t="str">
        <f t="shared" si="154"/>
        <v/>
      </c>
      <c r="AF707" s="18" t="str">
        <f t="shared" si="155"/>
        <v/>
      </c>
      <c r="AG707" s="18" t="str">
        <f>IF(OR(O707="",AD707=""),"",IFERROR(INDEX(لیست‌ها!$Q$3:$Q$53,MATCH(AD707,لیست‌ها!$P$3:$P$53,0))+IF(AE707&lt;=6,(AE707-1)*31+AF707,IF(AE707&lt;=11,186+(AE707-7)*30+AF707,336+AF707))-1,""))</f>
        <v/>
      </c>
      <c r="AH707" s="18" t="str">
        <f t="shared" si="156"/>
        <v/>
      </c>
      <c r="AI707" s="18" t="str">
        <f t="shared" si="157"/>
        <v/>
      </c>
      <c r="AJ707" s="18" t="str">
        <f t="shared" ca="1" si="158"/>
        <v/>
      </c>
    </row>
    <row r="708" spans="1:36">
      <c r="A708" s="18" t="str">
        <f t="shared" ref="A708:A771" si="159">IF(B708="","",ROW()-3)</f>
        <v/>
      </c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8" t="str">
        <f t="shared" ref="T708:T771" ca="1" si="160">IF(B708="","",IF(OR(I708&lt;&gt;"",O708&lt;&gt;""),"بسته",IF(AND(L708&lt;&gt;"",V708=""),"خطای فرمت تاریخ ایجاد",IF(AND(H708&lt;&gt;"",Z708=""),"خطای فرمت مهلت",IF(AND(H708&lt;&gt;"",AC708&lt;&gt;"",TODAY()&gt;AC708),"تاخیر",IF(L708&lt;&gt;"","در حال انجام",""))))))</f>
        <v/>
      </c>
      <c r="U708" s="18">
        <f t="shared" ref="U708:U771" ca="1" si="161">IF(T708="تاخیر",TODAY()-AC708,IF(AND(T708="بسته",AG708&lt;&gt;"",AC708&lt;&gt;"",AG708&gt;AC708),AG708-AC708,0))</f>
        <v>0</v>
      </c>
      <c r="V708" s="18" t="str">
        <f t="shared" ref="V708:V771" si="162">IF(L708="","",VALUE(LEFT(L708,FIND("/",L708)-1)))</f>
        <v/>
      </c>
      <c r="W708" s="18" t="str">
        <f t="shared" ref="W708:W771" si="163">IF(L708="","",VALUE(MID(L708,FIND("/",L708)+1,FIND("/",L708,FIND("/",L708)+1)-FIND("/",L708)-1)))</f>
        <v/>
      </c>
      <c r="X708" s="18" t="str">
        <f t="shared" ref="X708:X771" si="164">IF(L708="","",VALUE(MID(L708,FIND("/",L708,FIND("/",L708)+1)+1,LEN(L708)-FIND("/",L708,FIND("/",L708)+1))))</f>
        <v/>
      </c>
      <c r="Y708" s="18" t="str">
        <f>IF(OR(L708="",V708=""),"",IFERROR(INDEX(لیست‌ها!$Q$3:$Q$53,MATCH(V708,لیست‌ها!$P$3:$P$53,0))+IF(W708&lt;=6,(W708-1)*31+X708,IF(W708&lt;=11,186+(W708-7)*30+X708,336+X708))-1,""))</f>
        <v/>
      </c>
      <c r="Z708" s="18" t="str">
        <f t="shared" ref="Z708:Z771" si="165">IF(H708="","",VALUE(LEFT(H708,FIND("/",H708)-1)))</f>
        <v/>
      </c>
      <c r="AA708" s="18" t="str">
        <f t="shared" ref="AA708:AA771" si="166">IF(H708="","",VALUE(MID(H708,FIND("/",H708)+1,FIND("/",H708,FIND("/",H708)+1)-FIND("/",H708)-1)))</f>
        <v/>
      </c>
      <c r="AB708" s="18" t="str">
        <f t="shared" ref="AB708:AB771" si="167">IF(H708="","",VALUE(MID(H708,FIND("/",H708,FIND("/",H708)+1)+1,LEN(H708)-FIND("/",H708,FIND("/",H708)+1))))</f>
        <v/>
      </c>
      <c r="AC708" s="18" t="str">
        <f>IF(OR(H708="",Z708=""),"",IFERROR(INDEX(لیست‌ها!$Q$3:$Q$53,MATCH(Z708,لیست‌ها!$P$3:$P$53,0))+IF(AA708&lt;=6,(AA708-1)*31+AB708,IF(AA708&lt;=11,186+(AA708-7)*30+AB708,336+AB708))-1,""))</f>
        <v/>
      </c>
      <c r="AD708" s="18" t="str">
        <f t="shared" ref="AD708:AD771" si="168">IF(O708="","",VALUE(LEFT(O708,FIND("/",O708)-1)))</f>
        <v/>
      </c>
      <c r="AE708" s="18" t="str">
        <f t="shared" ref="AE708:AE771" si="169">IF(O708="","",VALUE(MID(O708,FIND("/",O708)+1,FIND("/",O708,FIND("/",O708)+1)-FIND("/",O708)-1)))</f>
        <v/>
      </c>
      <c r="AF708" s="18" t="str">
        <f t="shared" ref="AF708:AF771" si="170">IF(O708="","",VALUE(MID(O708,FIND("/",O708,FIND("/",O708)+1)+1,LEN(O708)-FIND("/",O708,FIND("/",O708)+1))))</f>
        <v/>
      </c>
      <c r="AG708" s="18" t="str">
        <f>IF(OR(O708="",AD708=""),"",IFERROR(INDEX(لیست‌ها!$Q$3:$Q$53,MATCH(AD708,لیست‌ها!$P$3:$P$53,0))+IF(AE708&lt;=6,(AE708-1)*31+AF708,IF(AE708&lt;=11,186+(AE708-7)*30+AF708,336+AF708))-1,""))</f>
        <v/>
      </c>
      <c r="AH708" s="18" t="str">
        <f t="shared" ref="AH708:AH771" si="171">IF(V708="","",V708&amp;"-"&amp;TEXT(W708,"00"))</f>
        <v/>
      </c>
      <c r="AI708" s="18" t="str">
        <f t="shared" ref="AI708:AI771" si="172">IF(V708="","",V708*12+W708)</f>
        <v/>
      </c>
      <c r="AJ708" s="18" t="str">
        <f t="shared" ref="AJ708:AJ771" ca="1" si="173">IF(T708="تاخیر",U708+ROW()/100000,"")</f>
        <v/>
      </c>
    </row>
    <row r="709" spans="1:36">
      <c r="A709" s="18" t="str">
        <f t="shared" si="159"/>
        <v/>
      </c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8" t="str">
        <f t="shared" ca="1" si="160"/>
        <v/>
      </c>
      <c r="U709" s="18">
        <f t="shared" ca="1" si="161"/>
        <v>0</v>
      </c>
      <c r="V709" s="18" t="str">
        <f t="shared" si="162"/>
        <v/>
      </c>
      <c r="W709" s="18" t="str">
        <f t="shared" si="163"/>
        <v/>
      </c>
      <c r="X709" s="18" t="str">
        <f t="shared" si="164"/>
        <v/>
      </c>
      <c r="Y709" s="18" t="str">
        <f>IF(OR(L709="",V709=""),"",IFERROR(INDEX(لیست‌ها!$Q$3:$Q$53,MATCH(V709,لیست‌ها!$P$3:$P$53,0))+IF(W709&lt;=6,(W709-1)*31+X709,IF(W709&lt;=11,186+(W709-7)*30+X709,336+X709))-1,""))</f>
        <v/>
      </c>
      <c r="Z709" s="18" t="str">
        <f t="shared" si="165"/>
        <v/>
      </c>
      <c r="AA709" s="18" t="str">
        <f t="shared" si="166"/>
        <v/>
      </c>
      <c r="AB709" s="18" t="str">
        <f t="shared" si="167"/>
        <v/>
      </c>
      <c r="AC709" s="18" t="str">
        <f>IF(OR(H709="",Z709=""),"",IFERROR(INDEX(لیست‌ها!$Q$3:$Q$53,MATCH(Z709,لیست‌ها!$P$3:$P$53,0))+IF(AA709&lt;=6,(AA709-1)*31+AB709,IF(AA709&lt;=11,186+(AA709-7)*30+AB709,336+AB709))-1,""))</f>
        <v/>
      </c>
      <c r="AD709" s="18" t="str">
        <f t="shared" si="168"/>
        <v/>
      </c>
      <c r="AE709" s="18" t="str">
        <f t="shared" si="169"/>
        <v/>
      </c>
      <c r="AF709" s="18" t="str">
        <f t="shared" si="170"/>
        <v/>
      </c>
      <c r="AG709" s="18" t="str">
        <f>IF(OR(O709="",AD709=""),"",IFERROR(INDEX(لیست‌ها!$Q$3:$Q$53,MATCH(AD709,لیست‌ها!$P$3:$P$53,0))+IF(AE709&lt;=6,(AE709-1)*31+AF709,IF(AE709&lt;=11,186+(AE709-7)*30+AF709,336+AF709))-1,""))</f>
        <v/>
      </c>
      <c r="AH709" s="18" t="str">
        <f t="shared" si="171"/>
        <v/>
      </c>
      <c r="AI709" s="18" t="str">
        <f t="shared" si="172"/>
        <v/>
      </c>
      <c r="AJ709" s="18" t="str">
        <f t="shared" ca="1" si="173"/>
        <v/>
      </c>
    </row>
    <row r="710" spans="1:36">
      <c r="A710" s="18" t="str">
        <f t="shared" si="159"/>
        <v/>
      </c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8" t="str">
        <f t="shared" ca="1" si="160"/>
        <v/>
      </c>
      <c r="U710" s="18">
        <f t="shared" ca="1" si="161"/>
        <v>0</v>
      </c>
      <c r="V710" s="18" t="str">
        <f t="shared" si="162"/>
        <v/>
      </c>
      <c r="W710" s="18" t="str">
        <f t="shared" si="163"/>
        <v/>
      </c>
      <c r="X710" s="18" t="str">
        <f t="shared" si="164"/>
        <v/>
      </c>
      <c r="Y710" s="18" t="str">
        <f>IF(OR(L710="",V710=""),"",IFERROR(INDEX(لیست‌ها!$Q$3:$Q$53,MATCH(V710,لیست‌ها!$P$3:$P$53,0))+IF(W710&lt;=6,(W710-1)*31+X710,IF(W710&lt;=11,186+(W710-7)*30+X710,336+X710))-1,""))</f>
        <v/>
      </c>
      <c r="Z710" s="18" t="str">
        <f t="shared" si="165"/>
        <v/>
      </c>
      <c r="AA710" s="18" t="str">
        <f t="shared" si="166"/>
        <v/>
      </c>
      <c r="AB710" s="18" t="str">
        <f t="shared" si="167"/>
        <v/>
      </c>
      <c r="AC710" s="18" t="str">
        <f>IF(OR(H710="",Z710=""),"",IFERROR(INDEX(لیست‌ها!$Q$3:$Q$53,MATCH(Z710,لیست‌ها!$P$3:$P$53,0))+IF(AA710&lt;=6,(AA710-1)*31+AB710,IF(AA710&lt;=11,186+(AA710-7)*30+AB710,336+AB710))-1,""))</f>
        <v/>
      </c>
      <c r="AD710" s="18" t="str">
        <f t="shared" si="168"/>
        <v/>
      </c>
      <c r="AE710" s="18" t="str">
        <f t="shared" si="169"/>
        <v/>
      </c>
      <c r="AF710" s="18" t="str">
        <f t="shared" si="170"/>
        <v/>
      </c>
      <c r="AG710" s="18" t="str">
        <f>IF(OR(O710="",AD710=""),"",IFERROR(INDEX(لیست‌ها!$Q$3:$Q$53,MATCH(AD710,لیست‌ها!$P$3:$P$53,0))+IF(AE710&lt;=6,(AE710-1)*31+AF710,IF(AE710&lt;=11,186+(AE710-7)*30+AF710,336+AF710))-1,""))</f>
        <v/>
      </c>
      <c r="AH710" s="18" t="str">
        <f t="shared" si="171"/>
        <v/>
      </c>
      <c r="AI710" s="18" t="str">
        <f t="shared" si="172"/>
        <v/>
      </c>
      <c r="AJ710" s="18" t="str">
        <f t="shared" ca="1" si="173"/>
        <v/>
      </c>
    </row>
    <row r="711" spans="1:36">
      <c r="A711" s="18" t="str">
        <f t="shared" si="159"/>
        <v/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8" t="str">
        <f t="shared" ca="1" si="160"/>
        <v/>
      </c>
      <c r="U711" s="18">
        <f t="shared" ca="1" si="161"/>
        <v>0</v>
      </c>
      <c r="V711" s="18" t="str">
        <f t="shared" si="162"/>
        <v/>
      </c>
      <c r="W711" s="18" t="str">
        <f t="shared" si="163"/>
        <v/>
      </c>
      <c r="X711" s="18" t="str">
        <f t="shared" si="164"/>
        <v/>
      </c>
      <c r="Y711" s="18" t="str">
        <f>IF(OR(L711="",V711=""),"",IFERROR(INDEX(لیست‌ها!$Q$3:$Q$53,MATCH(V711,لیست‌ها!$P$3:$P$53,0))+IF(W711&lt;=6,(W711-1)*31+X711,IF(W711&lt;=11,186+(W711-7)*30+X711,336+X711))-1,""))</f>
        <v/>
      </c>
      <c r="Z711" s="18" t="str">
        <f t="shared" si="165"/>
        <v/>
      </c>
      <c r="AA711" s="18" t="str">
        <f t="shared" si="166"/>
        <v/>
      </c>
      <c r="AB711" s="18" t="str">
        <f t="shared" si="167"/>
        <v/>
      </c>
      <c r="AC711" s="18" t="str">
        <f>IF(OR(H711="",Z711=""),"",IFERROR(INDEX(لیست‌ها!$Q$3:$Q$53,MATCH(Z711,لیست‌ها!$P$3:$P$53,0))+IF(AA711&lt;=6,(AA711-1)*31+AB711,IF(AA711&lt;=11,186+(AA711-7)*30+AB711,336+AB711))-1,""))</f>
        <v/>
      </c>
      <c r="AD711" s="18" t="str">
        <f t="shared" si="168"/>
        <v/>
      </c>
      <c r="AE711" s="18" t="str">
        <f t="shared" si="169"/>
        <v/>
      </c>
      <c r="AF711" s="18" t="str">
        <f t="shared" si="170"/>
        <v/>
      </c>
      <c r="AG711" s="18" t="str">
        <f>IF(OR(O711="",AD711=""),"",IFERROR(INDEX(لیست‌ها!$Q$3:$Q$53,MATCH(AD711,لیست‌ها!$P$3:$P$53,0))+IF(AE711&lt;=6,(AE711-1)*31+AF711,IF(AE711&lt;=11,186+(AE711-7)*30+AF711,336+AF711))-1,""))</f>
        <v/>
      </c>
      <c r="AH711" s="18" t="str">
        <f t="shared" si="171"/>
        <v/>
      </c>
      <c r="AI711" s="18" t="str">
        <f t="shared" si="172"/>
        <v/>
      </c>
      <c r="AJ711" s="18" t="str">
        <f t="shared" ca="1" si="173"/>
        <v/>
      </c>
    </row>
    <row r="712" spans="1:36">
      <c r="A712" s="18" t="str">
        <f t="shared" si="159"/>
        <v/>
      </c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8" t="str">
        <f t="shared" ca="1" si="160"/>
        <v/>
      </c>
      <c r="U712" s="18">
        <f t="shared" ca="1" si="161"/>
        <v>0</v>
      </c>
      <c r="V712" s="18" t="str">
        <f t="shared" si="162"/>
        <v/>
      </c>
      <c r="W712" s="18" t="str">
        <f t="shared" si="163"/>
        <v/>
      </c>
      <c r="X712" s="18" t="str">
        <f t="shared" si="164"/>
        <v/>
      </c>
      <c r="Y712" s="18" t="str">
        <f>IF(OR(L712="",V712=""),"",IFERROR(INDEX(لیست‌ها!$Q$3:$Q$53,MATCH(V712,لیست‌ها!$P$3:$P$53,0))+IF(W712&lt;=6,(W712-1)*31+X712,IF(W712&lt;=11,186+(W712-7)*30+X712,336+X712))-1,""))</f>
        <v/>
      </c>
      <c r="Z712" s="18" t="str">
        <f t="shared" si="165"/>
        <v/>
      </c>
      <c r="AA712" s="18" t="str">
        <f t="shared" si="166"/>
        <v/>
      </c>
      <c r="AB712" s="18" t="str">
        <f t="shared" si="167"/>
        <v/>
      </c>
      <c r="AC712" s="18" t="str">
        <f>IF(OR(H712="",Z712=""),"",IFERROR(INDEX(لیست‌ها!$Q$3:$Q$53,MATCH(Z712,لیست‌ها!$P$3:$P$53,0))+IF(AA712&lt;=6,(AA712-1)*31+AB712,IF(AA712&lt;=11,186+(AA712-7)*30+AB712,336+AB712))-1,""))</f>
        <v/>
      </c>
      <c r="AD712" s="18" t="str">
        <f t="shared" si="168"/>
        <v/>
      </c>
      <c r="AE712" s="18" t="str">
        <f t="shared" si="169"/>
        <v/>
      </c>
      <c r="AF712" s="18" t="str">
        <f t="shared" si="170"/>
        <v/>
      </c>
      <c r="AG712" s="18" t="str">
        <f>IF(OR(O712="",AD712=""),"",IFERROR(INDEX(لیست‌ها!$Q$3:$Q$53,MATCH(AD712,لیست‌ها!$P$3:$P$53,0))+IF(AE712&lt;=6,(AE712-1)*31+AF712,IF(AE712&lt;=11,186+(AE712-7)*30+AF712,336+AF712))-1,""))</f>
        <v/>
      </c>
      <c r="AH712" s="18" t="str">
        <f t="shared" si="171"/>
        <v/>
      </c>
      <c r="AI712" s="18" t="str">
        <f t="shared" si="172"/>
        <v/>
      </c>
      <c r="AJ712" s="18" t="str">
        <f t="shared" ca="1" si="173"/>
        <v/>
      </c>
    </row>
    <row r="713" spans="1:36">
      <c r="A713" s="18" t="str">
        <f t="shared" si="159"/>
        <v/>
      </c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8" t="str">
        <f t="shared" ca="1" si="160"/>
        <v/>
      </c>
      <c r="U713" s="18">
        <f t="shared" ca="1" si="161"/>
        <v>0</v>
      </c>
      <c r="V713" s="18" t="str">
        <f t="shared" si="162"/>
        <v/>
      </c>
      <c r="W713" s="18" t="str">
        <f t="shared" si="163"/>
        <v/>
      </c>
      <c r="X713" s="18" t="str">
        <f t="shared" si="164"/>
        <v/>
      </c>
      <c r="Y713" s="18" t="str">
        <f>IF(OR(L713="",V713=""),"",IFERROR(INDEX(لیست‌ها!$Q$3:$Q$53,MATCH(V713,لیست‌ها!$P$3:$P$53,0))+IF(W713&lt;=6,(W713-1)*31+X713,IF(W713&lt;=11,186+(W713-7)*30+X713,336+X713))-1,""))</f>
        <v/>
      </c>
      <c r="Z713" s="18" t="str">
        <f t="shared" si="165"/>
        <v/>
      </c>
      <c r="AA713" s="18" t="str">
        <f t="shared" si="166"/>
        <v/>
      </c>
      <c r="AB713" s="18" t="str">
        <f t="shared" si="167"/>
        <v/>
      </c>
      <c r="AC713" s="18" t="str">
        <f>IF(OR(H713="",Z713=""),"",IFERROR(INDEX(لیست‌ها!$Q$3:$Q$53,MATCH(Z713,لیست‌ها!$P$3:$P$53,0))+IF(AA713&lt;=6,(AA713-1)*31+AB713,IF(AA713&lt;=11,186+(AA713-7)*30+AB713,336+AB713))-1,""))</f>
        <v/>
      </c>
      <c r="AD713" s="18" t="str">
        <f t="shared" si="168"/>
        <v/>
      </c>
      <c r="AE713" s="18" t="str">
        <f t="shared" si="169"/>
        <v/>
      </c>
      <c r="AF713" s="18" t="str">
        <f t="shared" si="170"/>
        <v/>
      </c>
      <c r="AG713" s="18" t="str">
        <f>IF(OR(O713="",AD713=""),"",IFERROR(INDEX(لیست‌ها!$Q$3:$Q$53,MATCH(AD713,لیست‌ها!$P$3:$P$53,0))+IF(AE713&lt;=6,(AE713-1)*31+AF713,IF(AE713&lt;=11,186+(AE713-7)*30+AF713,336+AF713))-1,""))</f>
        <v/>
      </c>
      <c r="AH713" s="18" t="str">
        <f t="shared" si="171"/>
        <v/>
      </c>
      <c r="AI713" s="18" t="str">
        <f t="shared" si="172"/>
        <v/>
      </c>
      <c r="AJ713" s="18" t="str">
        <f t="shared" ca="1" si="173"/>
        <v/>
      </c>
    </row>
    <row r="714" spans="1:36">
      <c r="A714" s="18" t="str">
        <f t="shared" si="159"/>
        <v/>
      </c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8" t="str">
        <f t="shared" ca="1" si="160"/>
        <v/>
      </c>
      <c r="U714" s="18">
        <f t="shared" ca="1" si="161"/>
        <v>0</v>
      </c>
      <c r="V714" s="18" t="str">
        <f t="shared" si="162"/>
        <v/>
      </c>
      <c r="W714" s="18" t="str">
        <f t="shared" si="163"/>
        <v/>
      </c>
      <c r="X714" s="18" t="str">
        <f t="shared" si="164"/>
        <v/>
      </c>
      <c r="Y714" s="18" t="str">
        <f>IF(OR(L714="",V714=""),"",IFERROR(INDEX(لیست‌ها!$Q$3:$Q$53,MATCH(V714,لیست‌ها!$P$3:$P$53,0))+IF(W714&lt;=6,(W714-1)*31+X714,IF(W714&lt;=11,186+(W714-7)*30+X714,336+X714))-1,""))</f>
        <v/>
      </c>
      <c r="Z714" s="18" t="str">
        <f t="shared" si="165"/>
        <v/>
      </c>
      <c r="AA714" s="18" t="str">
        <f t="shared" si="166"/>
        <v/>
      </c>
      <c r="AB714" s="18" t="str">
        <f t="shared" si="167"/>
        <v/>
      </c>
      <c r="AC714" s="18" t="str">
        <f>IF(OR(H714="",Z714=""),"",IFERROR(INDEX(لیست‌ها!$Q$3:$Q$53,MATCH(Z714,لیست‌ها!$P$3:$P$53,0))+IF(AA714&lt;=6,(AA714-1)*31+AB714,IF(AA714&lt;=11,186+(AA714-7)*30+AB714,336+AB714))-1,""))</f>
        <v/>
      </c>
      <c r="AD714" s="18" t="str">
        <f t="shared" si="168"/>
        <v/>
      </c>
      <c r="AE714" s="18" t="str">
        <f t="shared" si="169"/>
        <v/>
      </c>
      <c r="AF714" s="18" t="str">
        <f t="shared" si="170"/>
        <v/>
      </c>
      <c r="AG714" s="18" t="str">
        <f>IF(OR(O714="",AD714=""),"",IFERROR(INDEX(لیست‌ها!$Q$3:$Q$53,MATCH(AD714,لیست‌ها!$P$3:$P$53,0))+IF(AE714&lt;=6,(AE714-1)*31+AF714,IF(AE714&lt;=11,186+(AE714-7)*30+AF714,336+AF714))-1,""))</f>
        <v/>
      </c>
      <c r="AH714" s="18" t="str">
        <f t="shared" si="171"/>
        <v/>
      </c>
      <c r="AI714" s="18" t="str">
        <f t="shared" si="172"/>
        <v/>
      </c>
      <c r="AJ714" s="18" t="str">
        <f t="shared" ca="1" si="173"/>
        <v/>
      </c>
    </row>
    <row r="715" spans="1:36">
      <c r="A715" s="18" t="str">
        <f t="shared" si="159"/>
        <v/>
      </c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8" t="str">
        <f t="shared" ca="1" si="160"/>
        <v/>
      </c>
      <c r="U715" s="18">
        <f t="shared" ca="1" si="161"/>
        <v>0</v>
      </c>
      <c r="V715" s="18" t="str">
        <f t="shared" si="162"/>
        <v/>
      </c>
      <c r="W715" s="18" t="str">
        <f t="shared" si="163"/>
        <v/>
      </c>
      <c r="X715" s="18" t="str">
        <f t="shared" si="164"/>
        <v/>
      </c>
      <c r="Y715" s="18" t="str">
        <f>IF(OR(L715="",V715=""),"",IFERROR(INDEX(لیست‌ها!$Q$3:$Q$53,MATCH(V715,لیست‌ها!$P$3:$P$53,0))+IF(W715&lt;=6,(W715-1)*31+X715,IF(W715&lt;=11,186+(W715-7)*30+X715,336+X715))-1,""))</f>
        <v/>
      </c>
      <c r="Z715" s="18" t="str">
        <f t="shared" si="165"/>
        <v/>
      </c>
      <c r="AA715" s="18" t="str">
        <f t="shared" si="166"/>
        <v/>
      </c>
      <c r="AB715" s="18" t="str">
        <f t="shared" si="167"/>
        <v/>
      </c>
      <c r="AC715" s="18" t="str">
        <f>IF(OR(H715="",Z715=""),"",IFERROR(INDEX(لیست‌ها!$Q$3:$Q$53,MATCH(Z715,لیست‌ها!$P$3:$P$53,0))+IF(AA715&lt;=6,(AA715-1)*31+AB715,IF(AA715&lt;=11,186+(AA715-7)*30+AB715,336+AB715))-1,""))</f>
        <v/>
      </c>
      <c r="AD715" s="18" t="str">
        <f t="shared" si="168"/>
        <v/>
      </c>
      <c r="AE715" s="18" t="str">
        <f t="shared" si="169"/>
        <v/>
      </c>
      <c r="AF715" s="18" t="str">
        <f t="shared" si="170"/>
        <v/>
      </c>
      <c r="AG715" s="18" t="str">
        <f>IF(OR(O715="",AD715=""),"",IFERROR(INDEX(لیست‌ها!$Q$3:$Q$53,MATCH(AD715,لیست‌ها!$P$3:$P$53,0))+IF(AE715&lt;=6,(AE715-1)*31+AF715,IF(AE715&lt;=11,186+(AE715-7)*30+AF715,336+AF715))-1,""))</f>
        <v/>
      </c>
      <c r="AH715" s="18" t="str">
        <f t="shared" si="171"/>
        <v/>
      </c>
      <c r="AI715" s="18" t="str">
        <f t="shared" si="172"/>
        <v/>
      </c>
      <c r="AJ715" s="18" t="str">
        <f t="shared" ca="1" si="173"/>
        <v/>
      </c>
    </row>
    <row r="716" spans="1:36">
      <c r="A716" s="18" t="str">
        <f t="shared" si="159"/>
        <v/>
      </c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8" t="str">
        <f t="shared" ca="1" si="160"/>
        <v/>
      </c>
      <c r="U716" s="18">
        <f t="shared" ca="1" si="161"/>
        <v>0</v>
      </c>
      <c r="V716" s="18" t="str">
        <f t="shared" si="162"/>
        <v/>
      </c>
      <c r="W716" s="18" t="str">
        <f t="shared" si="163"/>
        <v/>
      </c>
      <c r="X716" s="18" t="str">
        <f t="shared" si="164"/>
        <v/>
      </c>
      <c r="Y716" s="18" t="str">
        <f>IF(OR(L716="",V716=""),"",IFERROR(INDEX(لیست‌ها!$Q$3:$Q$53,MATCH(V716,لیست‌ها!$P$3:$P$53,0))+IF(W716&lt;=6,(W716-1)*31+X716,IF(W716&lt;=11,186+(W716-7)*30+X716,336+X716))-1,""))</f>
        <v/>
      </c>
      <c r="Z716" s="18" t="str">
        <f t="shared" si="165"/>
        <v/>
      </c>
      <c r="AA716" s="18" t="str">
        <f t="shared" si="166"/>
        <v/>
      </c>
      <c r="AB716" s="18" t="str">
        <f t="shared" si="167"/>
        <v/>
      </c>
      <c r="AC716" s="18" t="str">
        <f>IF(OR(H716="",Z716=""),"",IFERROR(INDEX(لیست‌ها!$Q$3:$Q$53,MATCH(Z716,لیست‌ها!$P$3:$P$53,0))+IF(AA716&lt;=6,(AA716-1)*31+AB716,IF(AA716&lt;=11,186+(AA716-7)*30+AB716,336+AB716))-1,""))</f>
        <v/>
      </c>
      <c r="AD716" s="18" t="str">
        <f t="shared" si="168"/>
        <v/>
      </c>
      <c r="AE716" s="18" t="str">
        <f t="shared" si="169"/>
        <v/>
      </c>
      <c r="AF716" s="18" t="str">
        <f t="shared" si="170"/>
        <v/>
      </c>
      <c r="AG716" s="18" t="str">
        <f>IF(OR(O716="",AD716=""),"",IFERROR(INDEX(لیست‌ها!$Q$3:$Q$53,MATCH(AD716,لیست‌ها!$P$3:$P$53,0))+IF(AE716&lt;=6,(AE716-1)*31+AF716,IF(AE716&lt;=11,186+(AE716-7)*30+AF716,336+AF716))-1,""))</f>
        <v/>
      </c>
      <c r="AH716" s="18" t="str">
        <f t="shared" si="171"/>
        <v/>
      </c>
      <c r="AI716" s="18" t="str">
        <f t="shared" si="172"/>
        <v/>
      </c>
      <c r="AJ716" s="18" t="str">
        <f t="shared" ca="1" si="173"/>
        <v/>
      </c>
    </row>
    <row r="717" spans="1:36">
      <c r="A717" s="18" t="str">
        <f t="shared" si="159"/>
        <v/>
      </c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8" t="str">
        <f t="shared" ca="1" si="160"/>
        <v/>
      </c>
      <c r="U717" s="18">
        <f t="shared" ca="1" si="161"/>
        <v>0</v>
      </c>
      <c r="V717" s="18" t="str">
        <f t="shared" si="162"/>
        <v/>
      </c>
      <c r="W717" s="18" t="str">
        <f t="shared" si="163"/>
        <v/>
      </c>
      <c r="X717" s="18" t="str">
        <f t="shared" si="164"/>
        <v/>
      </c>
      <c r="Y717" s="18" t="str">
        <f>IF(OR(L717="",V717=""),"",IFERROR(INDEX(لیست‌ها!$Q$3:$Q$53,MATCH(V717,لیست‌ها!$P$3:$P$53,0))+IF(W717&lt;=6,(W717-1)*31+X717,IF(W717&lt;=11,186+(W717-7)*30+X717,336+X717))-1,""))</f>
        <v/>
      </c>
      <c r="Z717" s="18" t="str">
        <f t="shared" si="165"/>
        <v/>
      </c>
      <c r="AA717" s="18" t="str">
        <f t="shared" si="166"/>
        <v/>
      </c>
      <c r="AB717" s="18" t="str">
        <f t="shared" si="167"/>
        <v/>
      </c>
      <c r="AC717" s="18" t="str">
        <f>IF(OR(H717="",Z717=""),"",IFERROR(INDEX(لیست‌ها!$Q$3:$Q$53,MATCH(Z717,لیست‌ها!$P$3:$P$53,0))+IF(AA717&lt;=6,(AA717-1)*31+AB717,IF(AA717&lt;=11,186+(AA717-7)*30+AB717,336+AB717))-1,""))</f>
        <v/>
      </c>
      <c r="AD717" s="18" t="str">
        <f t="shared" si="168"/>
        <v/>
      </c>
      <c r="AE717" s="18" t="str">
        <f t="shared" si="169"/>
        <v/>
      </c>
      <c r="AF717" s="18" t="str">
        <f t="shared" si="170"/>
        <v/>
      </c>
      <c r="AG717" s="18" t="str">
        <f>IF(OR(O717="",AD717=""),"",IFERROR(INDEX(لیست‌ها!$Q$3:$Q$53,MATCH(AD717,لیست‌ها!$P$3:$P$53,0))+IF(AE717&lt;=6,(AE717-1)*31+AF717,IF(AE717&lt;=11,186+(AE717-7)*30+AF717,336+AF717))-1,""))</f>
        <v/>
      </c>
      <c r="AH717" s="18" t="str">
        <f t="shared" si="171"/>
        <v/>
      </c>
      <c r="AI717" s="18" t="str">
        <f t="shared" si="172"/>
        <v/>
      </c>
      <c r="AJ717" s="18" t="str">
        <f t="shared" ca="1" si="173"/>
        <v/>
      </c>
    </row>
    <row r="718" spans="1:36">
      <c r="A718" s="18" t="str">
        <f t="shared" si="159"/>
        <v/>
      </c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8" t="str">
        <f t="shared" ca="1" si="160"/>
        <v/>
      </c>
      <c r="U718" s="18">
        <f t="shared" ca="1" si="161"/>
        <v>0</v>
      </c>
      <c r="V718" s="18" t="str">
        <f t="shared" si="162"/>
        <v/>
      </c>
      <c r="W718" s="18" t="str">
        <f t="shared" si="163"/>
        <v/>
      </c>
      <c r="X718" s="18" t="str">
        <f t="shared" si="164"/>
        <v/>
      </c>
      <c r="Y718" s="18" t="str">
        <f>IF(OR(L718="",V718=""),"",IFERROR(INDEX(لیست‌ها!$Q$3:$Q$53,MATCH(V718,لیست‌ها!$P$3:$P$53,0))+IF(W718&lt;=6,(W718-1)*31+X718,IF(W718&lt;=11,186+(W718-7)*30+X718,336+X718))-1,""))</f>
        <v/>
      </c>
      <c r="Z718" s="18" t="str">
        <f t="shared" si="165"/>
        <v/>
      </c>
      <c r="AA718" s="18" t="str">
        <f t="shared" si="166"/>
        <v/>
      </c>
      <c r="AB718" s="18" t="str">
        <f t="shared" si="167"/>
        <v/>
      </c>
      <c r="AC718" s="18" t="str">
        <f>IF(OR(H718="",Z718=""),"",IFERROR(INDEX(لیست‌ها!$Q$3:$Q$53,MATCH(Z718,لیست‌ها!$P$3:$P$53,0))+IF(AA718&lt;=6,(AA718-1)*31+AB718,IF(AA718&lt;=11,186+(AA718-7)*30+AB718,336+AB718))-1,""))</f>
        <v/>
      </c>
      <c r="AD718" s="18" t="str">
        <f t="shared" si="168"/>
        <v/>
      </c>
      <c r="AE718" s="18" t="str">
        <f t="shared" si="169"/>
        <v/>
      </c>
      <c r="AF718" s="18" t="str">
        <f t="shared" si="170"/>
        <v/>
      </c>
      <c r="AG718" s="18" t="str">
        <f>IF(OR(O718="",AD718=""),"",IFERROR(INDEX(لیست‌ها!$Q$3:$Q$53,MATCH(AD718,لیست‌ها!$P$3:$P$53,0))+IF(AE718&lt;=6,(AE718-1)*31+AF718,IF(AE718&lt;=11,186+(AE718-7)*30+AF718,336+AF718))-1,""))</f>
        <v/>
      </c>
      <c r="AH718" s="18" t="str">
        <f t="shared" si="171"/>
        <v/>
      </c>
      <c r="AI718" s="18" t="str">
        <f t="shared" si="172"/>
        <v/>
      </c>
      <c r="AJ718" s="18" t="str">
        <f t="shared" ca="1" si="173"/>
        <v/>
      </c>
    </row>
    <row r="719" spans="1:36">
      <c r="A719" s="18" t="str">
        <f t="shared" si="159"/>
        <v/>
      </c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8" t="str">
        <f t="shared" ca="1" si="160"/>
        <v/>
      </c>
      <c r="U719" s="18">
        <f t="shared" ca="1" si="161"/>
        <v>0</v>
      </c>
      <c r="V719" s="18" t="str">
        <f t="shared" si="162"/>
        <v/>
      </c>
      <c r="W719" s="18" t="str">
        <f t="shared" si="163"/>
        <v/>
      </c>
      <c r="X719" s="18" t="str">
        <f t="shared" si="164"/>
        <v/>
      </c>
      <c r="Y719" s="18" t="str">
        <f>IF(OR(L719="",V719=""),"",IFERROR(INDEX(لیست‌ها!$Q$3:$Q$53,MATCH(V719,لیست‌ها!$P$3:$P$53,0))+IF(W719&lt;=6,(W719-1)*31+X719,IF(W719&lt;=11,186+(W719-7)*30+X719,336+X719))-1,""))</f>
        <v/>
      </c>
      <c r="Z719" s="18" t="str">
        <f t="shared" si="165"/>
        <v/>
      </c>
      <c r="AA719" s="18" t="str">
        <f t="shared" si="166"/>
        <v/>
      </c>
      <c r="AB719" s="18" t="str">
        <f t="shared" si="167"/>
        <v/>
      </c>
      <c r="AC719" s="18" t="str">
        <f>IF(OR(H719="",Z719=""),"",IFERROR(INDEX(لیست‌ها!$Q$3:$Q$53,MATCH(Z719,لیست‌ها!$P$3:$P$53,0))+IF(AA719&lt;=6,(AA719-1)*31+AB719,IF(AA719&lt;=11,186+(AA719-7)*30+AB719,336+AB719))-1,""))</f>
        <v/>
      </c>
      <c r="AD719" s="18" t="str">
        <f t="shared" si="168"/>
        <v/>
      </c>
      <c r="AE719" s="18" t="str">
        <f t="shared" si="169"/>
        <v/>
      </c>
      <c r="AF719" s="18" t="str">
        <f t="shared" si="170"/>
        <v/>
      </c>
      <c r="AG719" s="18" t="str">
        <f>IF(OR(O719="",AD719=""),"",IFERROR(INDEX(لیست‌ها!$Q$3:$Q$53,MATCH(AD719,لیست‌ها!$P$3:$P$53,0))+IF(AE719&lt;=6,(AE719-1)*31+AF719,IF(AE719&lt;=11,186+(AE719-7)*30+AF719,336+AF719))-1,""))</f>
        <v/>
      </c>
      <c r="AH719" s="18" t="str">
        <f t="shared" si="171"/>
        <v/>
      </c>
      <c r="AI719" s="18" t="str">
        <f t="shared" si="172"/>
        <v/>
      </c>
      <c r="AJ719" s="18" t="str">
        <f t="shared" ca="1" si="173"/>
        <v/>
      </c>
    </row>
    <row r="720" spans="1:36">
      <c r="A720" s="18" t="str">
        <f t="shared" si="159"/>
        <v/>
      </c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8" t="str">
        <f t="shared" ca="1" si="160"/>
        <v/>
      </c>
      <c r="U720" s="18">
        <f t="shared" ca="1" si="161"/>
        <v>0</v>
      </c>
      <c r="V720" s="18" t="str">
        <f t="shared" si="162"/>
        <v/>
      </c>
      <c r="W720" s="18" t="str">
        <f t="shared" si="163"/>
        <v/>
      </c>
      <c r="X720" s="18" t="str">
        <f t="shared" si="164"/>
        <v/>
      </c>
      <c r="Y720" s="18" t="str">
        <f>IF(OR(L720="",V720=""),"",IFERROR(INDEX(لیست‌ها!$Q$3:$Q$53,MATCH(V720,لیست‌ها!$P$3:$P$53,0))+IF(W720&lt;=6,(W720-1)*31+X720,IF(W720&lt;=11,186+(W720-7)*30+X720,336+X720))-1,""))</f>
        <v/>
      </c>
      <c r="Z720" s="18" t="str">
        <f t="shared" si="165"/>
        <v/>
      </c>
      <c r="AA720" s="18" t="str">
        <f t="shared" si="166"/>
        <v/>
      </c>
      <c r="AB720" s="18" t="str">
        <f t="shared" si="167"/>
        <v/>
      </c>
      <c r="AC720" s="18" t="str">
        <f>IF(OR(H720="",Z720=""),"",IFERROR(INDEX(لیست‌ها!$Q$3:$Q$53,MATCH(Z720,لیست‌ها!$P$3:$P$53,0))+IF(AA720&lt;=6,(AA720-1)*31+AB720,IF(AA720&lt;=11,186+(AA720-7)*30+AB720,336+AB720))-1,""))</f>
        <v/>
      </c>
      <c r="AD720" s="18" t="str">
        <f t="shared" si="168"/>
        <v/>
      </c>
      <c r="AE720" s="18" t="str">
        <f t="shared" si="169"/>
        <v/>
      </c>
      <c r="AF720" s="18" t="str">
        <f t="shared" si="170"/>
        <v/>
      </c>
      <c r="AG720" s="18" t="str">
        <f>IF(OR(O720="",AD720=""),"",IFERROR(INDEX(لیست‌ها!$Q$3:$Q$53,MATCH(AD720,لیست‌ها!$P$3:$P$53,0))+IF(AE720&lt;=6,(AE720-1)*31+AF720,IF(AE720&lt;=11,186+(AE720-7)*30+AF720,336+AF720))-1,""))</f>
        <v/>
      </c>
      <c r="AH720" s="18" t="str">
        <f t="shared" si="171"/>
        <v/>
      </c>
      <c r="AI720" s="18" t="str">
        <f t="shared" si="172"/>
        <v/>
      </c>
      <c r="AJ720" s="18" t="str">
        <f t="shared" ca="1" si="173"/>
        <v/>
      </c>
    </row>
    <row r="721" spans="1:36">
      <c r="A721" s="18" t="str">
        <f t="shared" si="159"/>
        <v/>
      </c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8" t="str">
        <f t="shared" ca="1" si="160"/>
        <v/>
      </c>
      <c r="U721" s="18">
        <f t="shared" ca="1" si="161"/>
        <v>0</v>
      </c>
      <c r="V721" s="18" t="str">
        <f t="shared" si="162"/>
        <v/>
      </c>
      <c r="W721" s="18" t="str">
        <f t="shared" si="163"/>
        <v/>
      </c>
      <c r="X721" s="18" t="str">
        <f t="shared" si="164"/>
        <v/>
      </c>
      <c r="Y721" s="18" t="str">
        <f>IF(OR(L721="",V721=""),"",IFERROR(INDEX(لیست‌ها!$Q$3:$Q$53,MATCH(V721,لیست‌ها!$P$3:$P$53,0))+IF(W721&lt;=6,(W721-1)*31+X721,IF(W721&lt;=11,186+(W721-7)*30+X721,336+X721))-1,""))</f>
        <v/>
      </c>
      <c r="Z721" s="18" t="str">
        <f t="shared" si="165"/>
        <v/>
      </c>
      <c r="AA721" s="18" t="str">
        <f t="shared" si="166"/>
        <v/>
      </c>
      <c r="AB721" s="18" t="str">
        <f t="shared" si="167"/>
        <v/>
      </c>
      <c r="AC721" s="18" t="str">
        <f>IF(OR(H721="",Z721=""),"",IFERROR(INDEX(لیست‌ها!$Q$3:$Q$53,MATCH(Z721,لیست‌ها!$P$3:$P$53,0))+IF(AA721&lt;=6,(AA721-1)*31+AB721,IF(AA721&lt;=11,186+(AA721-7)*30+AB721,336+AB721))-1,""))</f>
        <v/>
      </c>
      <c r="AD721" s="18" t="str">
        <f t="shared" si="168"/>
        <v/>
      </c>
      <c r="AE721" s="18" t="str">
        <f t="shared" si="169"/>
        <v/>
      </c>
      <c r="AF721" s="18" t="str">
        <f t="shared" si="170"/>
        <v/>
      </c>
      <c r="AG721" s="18" t="str">
        <f>IF(OR(O721="",AD721=""),"",IFERROR(INDEX(لیست‌ها!$Q$3:$Q$53,MATCH(AD721,لیست‌ها!$P$3:$P$53,0))+IF(AE721&lt;=6,(AE721-1)*31+AF721,IF(AE721&lt;=11,186+(AE721-7)*30+AF721,336+AF721))-1,""))</f>
        <v/>
      </c>
      <c r="AH721" s="18" t="str">
        <f t="shared" si="171"/>
        <v/>
      </c>
      <c r="AI721" s="18" t="str">
        <f t="shared" si="172"/>
        <v/>
      </c>
      <c r="AJ721" s="18" t="str">
        <f t="shared" ca="1" si="173"/>
        <v/>
      </c>
    </row>
    <row r="722" spans="1:36">
      <c r="A722" s="18" t="str">
        <f t="shared" si="159"/>
        <v/>
      </c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8" t="str">
        <f t="shared" ca="1" si="160"/>
        <v/>
      </c>
      <c r="U722" s="18">
        <f t="shared" ca="1" si="161"/>
        <v>0</v>
      </c>
      <c r="V722" s="18" t="str">
        <f t="shared" si="162"/>
        <v/>
      </c>
      <c r="W722" s="18" t="str">
        <f t="shared" si="163"/>
        <v/>
      </c>
      <c r="X722" s="18" t="str">
        <f t="shared" si="164"/>
        <v/>
      </c>
      <c r="Y722" s="18" t="str">
        <f>IF(OR(L722="",V722=""),"",IFERROR(INDEX(لیست‌ها!$Q$3:$Q$53,MATCH(V722,لیست‌ها!$P$3:$P$53,0))+IF(W722&lt;=6,(W722-1)*31+X722,IF(W722&lt;=11,186+(W722-7)*30+X722,336+X722))-1,""))</f>
        <v/>
      </c>
      <c r="Z722" s="18" t="str">
        <f t="shared" si="165"/>
        <v/>
      </c>
      <c r="AA722" s="18" t="str">
        <f t="shared" si="166"/>
        <v/>
      </c>
      <c r="AB722" s="18" t="str">
        <f t="shared" si="167"/>
        <v/>
      </c>
      <c r="AC722" s="18" t="str">
        <f>IF(OR(H722="",Z722=""),"",IFERROR(INDEX(لیست‌ها!$Q$3:$Q$53,MATCH(Z722,لیست‌ها!$P$3:$P$53,0))+IF(AA722&lt;=6,(AA722-1)*31+AB722,IF(AA722&lt;=11,186+(AA722-7)*30+AB722,336+AB722))-1,""))</f>
        <v/>
      </c>
      <c r="AD722" s="18" t="str">
        <f t="shared" si="168"/>
        <v/>
      </c>
      <c r="AE722" s="18" t="str">
        <f t="shared" si="169"/>
        <v/>
      </c>
      <c r="AF722" s="18" t="str">
        <f t="shared" si="170"/>
        <v/>
      </c>
      <c r="AG722" s="18" t="str">
        <f>IF(OR(O722="",AD722=""),"",IFERROR(INDEX(لیست‌ها!$Q$3:$Q$53,MATCH(AD722,لیست‌ها!$P$3:$P$53,0))+IF(AE722&lt;=6,(AE722-1)*31+AF722,IF(AE722&lt;=11,186+(AE722-7)*30+AF722,336+AF722))-1,""))</f>
        <v/>
      </c>
      <c r="AH722" s="18" t="str">
        <f t="shared" si="171"/>
        <v/>
      </c>
      <c r="AI722" s="18" t="str">
        <f t="shared" si="172"/>
        <v/>
      </c>
      <c r="AJ722" s="18" t="str">
        <f t="shared" ca="1" si="173"/>
        <v/>
      </c>
    </row>
    <row r="723" spans="1:36">
      <c r="A723" s="18" t="str">
        <f t="shared" si="159"/>
        <v/>
      </c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8" t="str">
        <f t="shared" ca="1" si="160"/>
        <v/>
      </c>
      <c r="U723" s="18">
        <f t="shared" ca="1" si="161"/>
        <v>0</v>
      </c>
      <c r="V723" s="18" t="str">
        <f t="shared" si="162"/>
        <v/>
      </c>
      <c r="W723" s="18" t="str">
        <f t="shared" si="163"/>
        <v/>
      </c>
      <c r="X723" s="18" t="str">
        <f t="shared" si="164"/>
        <v/>
      </c>
      <c r="Y723" s="18" t="str">
        <f>IF(OR(L723="",V723=""),"",IFERROR(INDEX(لیست‌ها!$Q$3:$Q$53,MATCH(V723,لیست‌ها!$P$3:$P$53,0))+IF(W723&lt;=6,(W723-1)*31+X723,IF(W723&lt;=11,186+(W723-7)*30+X723,336+X723))-1,""))</f>
        <v/>
      </c>
      <c r="Z723" s="18" t="str">
        <f t="shared" si="165"/>
        <v/>
      </c>
      <c r="AA723" s="18" t="str">
        <f t="shared" si="166"/>
        <v/>
      </c>
      <c r="AB723" s="18" t="str">
        <f t="shared" si="167"/>
        <v/>
      </c>
      <c r="AC723" s="18" t="str">
        <f>IF(OR(H723="",Z723=""),"",IFERROR(INDEX(لیست‌ها!$Q$3:$Q$53,MATCH(Z723,لیست‌ها!$P$3:$P$53,0))+IF(AA723&lt;=6,(AA723-1)*31+AB723,IF(AA723&lt;=11,186+(AA723-7)*30+AB723,336+AB723))-1,""))</f>
        <v/>
      </c>
      <c r="AD723" s="18" t="str">
        <f t="shared" si="168"/>
        <v/>
      </c>
      <c r="AE723" s="18" t="str">
        <f t="shared" si="169"/>
        <v/>
      </c>
      <c r="AF723" s="18" t="str">
        <f t="shared" si="170"/>
        <v/>
      </c>
      <c r="AG723" s="18" t="str">
        <f>IF(OR(O723="",AD723=""),"",IFERROR(INDEX(لیست‌ها!$Q$3:$Q$53,MATCH(AD723,لیست‌ها!$P$3:$P$53,0))+IF(AE723&lt;=6,(AE723-1)*31+AF723,IF(AE723&lt;=11,186+(AE723-7)*30+AF723,336+AF723))-1,""))</f>
        <v/>
      </c>
      <c r="AH723" s="18" t="str">
        <f t="shared" si="171"/>
        <v/>
      </c>
      <c r="AI723" s="18" t="str">
        <f t="shared" si="172"/>
        <v/>
      </c>
      <c r="AJ723" s="18" t="str">
        <f t="shared" ca="1" si="173"/>
        <v/>
      </c>
    </row>
    <row r="724" spans="1:36">
      <c r="A724" s="18" t="str">
        <f t="shared" si="159"/>
        <v/>
      </c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8" t="str">
        <f t="shared" ca="1" si="160"/>
        <v/>
      </c>
      <c r="U724" s="18">
        <f t="shared" ca="1" si="161"/>
        <v>0</v>
      </c>
      <c r="V724" s="18" t="str">
        <f t="shared" si="162"/>
        <v/>
      </c>
      <c r="W724" s="18" t="str">
        <f t="shared" si="163"/>
        <v/>
      </c>
      <c r="X724" s="18" t="str">
        <f t="shared" si="164"/>
        <v/>
      </c>
      <c r="Y724" s="18" t="str">
        <f>IF(OR(L724="",V724=""),"",IFERROR(INDEX(لیست‌ها!$Q$3:$Q$53,MATCH(V724,لیست‌ها!$P$3:$P$53,0))+IF(W724&lt;=6,(W724-1)*31+X724,IF(W724&lt;=11,186+(W724-7)*30+X724,336+X724))-1,""))</f>
        <v/>
      </c>
      <c r="Z724" s="18" t="str">
        <f t="shared" si="165"/>
        <v/>
      </c>
      <c r="AA724" s="18" t="str">
        <f t="shared" si="166"/>
        <v/>
      </c>
      <c r="AB724" s="18" t="str">
        <f t="shared" si="167"/>
        <v/>
      </c>
      <c r="AC724" s="18" t="str">
        <f>IF(OR(H724="",Z724=""),"",IFERROR(INDEX(لیست‌ها!$Q$3:$Q$53,MATCH(Z724,لیست‌ها!$P$3:$P$53,0))+IF(AA724&lt;=6,(AA724-1)*31+AB724,IF(AA724&lt;=11,186+(AA724-7)*30+AB724,336+AB724))-1,""))</f>
        <v/>
      </c>
      <c r="AD724" s="18" t="str">
        <f t="shared" si="168"/>
        <v/>
      </c>
      <c r="AE724" s="18" t="str">
        <f t="shared" si="169"/>
        <v/>
      </c>
      <c r="AF724" s="18" t="str">
        <f t="shared" si="170"/>
        <v/>
      </c>
      <c r="AG724" s="18" t="str">
        <f>IF(OR(O724="",AD724=""),"",IFERROR(INDEX(لیست‌ها!$Q$3:$Q$53,MATCH(AD724,لیست‌ها!$P$3:$P$53,0))+IF(AE724&lt;=6,(AE724-1)*31+AF724,IF(AE724&lt;=11,186+(AE724-7)*30+AF724,336+AF724))-1,""))</f>
        <v/>
      </c>
      <c r="AH724" s="18" t="str">
        <f t="shared" si="171"/>
        <v/>
      </c>
      <c r="AI724" s="18" t="str">
        <f t="shared" si="172"/>
        <v/>
      </c>
      <c r="AJ724" s="18" t="str">
        <f t="shared" ca="1" si="173"/>
        <v/>
      </c>
    </row>
    <row r="725" spans="1:36">
      <c r="A725" s="18" t="str">
        <f t="shared" si="159"/>
        <v/>
      </c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8" t="str">
        <f t="shared" ca="1" si="160"/>
        <v/>
      </c>
      <c r="U725" s="18">
        <f t="shared" ca="1" si="161"/>
        <v>0</v>
      </c>
      <c r="V725" s="18" t="str">
        <f t="shared" si="162"/>
        <v/>
      </c>
      <c r="W725" s="18" t="str">
        <f t="shared" si="163"/>
        <v/>
      </c>
      <c r="X725" s="18" t="str">
        <f t="shared" si="164"/>
        <v/>
      </c>
      <c r="Y725" s="18" t="str">
        <f>IF(OR(L725="",V725=""),"",IFERROR(INDEX(لیست‌ها!$Q$3:$Q$53,MATCH(V725,لیست‌ها!$P$3:$P$53,0))+IF(W725&lt;=6,(W725-1)*31+X725,IF(W725&lt;=11,186+(W725-7)*30+X725,336+X725))-1,""))</f>
        <v/>
      </c>
      <c r="Z725" s="18" t="str">
        <f t="shared" si="165"/>
        <v/>
      </c>
      <c r="AA725" s="18" t="str">
        <f t="shared" si="166"/>
        <v/>
      </c>
      <c r="AB725" s="18" t="str">
        <f t="shared" si="167"/>
        <v/>
      </c>
      <c r="AC725" s="18" t="str">
        <f>IF(OR(H725="",Z725=""),"",IFERROR(INDEX(لیست‌ها!$Q$3:$Q$53,MATCH(Z725,لیست‌ها!$P$3:$P$53,0))+IF(AA725&lt;=6,(AA725-1)*31+AB725,IF(AA725&lt;=11,186+(AA725-7)*30+AB725,336+AB725))-1,""))</f>
        <v/>
      </c>
      <c r="AD725" s="18" t="str">
        <f t="shared" si="168"/>
        <v/>
      </c>
      <c r="AE725" s="18" t="str">
        <f t="shared" si="169"/>
        <v/>
      </c>
      <c r="AF725" s="18" t="str">
        <f t="shared" si="170"/>
        <v/>
      </c>
      <c r="AG725" s="18" t="str">
        <f>IF(OR(O725="",AD725=""),"",IFERROR(INDEX(لیست‌ها!$Q$3:$Q$53,MATCH(AD725,لیست‌ها!$P$3:$P$53,0))+IF(AE725&lt;=6,(AE725-1)*31+AF725,IF(AE725&lt;=11,186+(AE725-7)*30+AF725,336+AF725))-1,""))</f>
        <v/>
      </c>
      <c r="AH725" s="18" t="str">
        <f t="shared" si="171"/>
        <v/>
      </c>
      <c r="AI725" s="18" t="str">
        <f t="shared" si="172"/>
        <v/>
      </c>
      <c r="AJ725" s="18" t="str">
        <f t="shared" ca="1" si="173"/>
        <v/>
      </c>
    </row>
    <row r="726" spans="1:36">
      <c r="A726" s="18" t="str">
        <f t="shared" si="159"/>
        <v/>
      </c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8" t="str">
        <f t="shared" ca="1" si="160"/>
        <v/>
      </c>
      <c r="U726" s="18">
        <f t="shared" ca="1" si="161"/>
        <v>0</v>
      </c>
      <c r="V726" s="18" t="str">
        <f t="shared" si="162"/>
        <v/>
      </c>
      <c r="W726" s="18" t="str">
        <f t="shared" si="163"/>
        <v/>
      </c>
      <c r="X726" s="18" t="str">
        <f t="shared" si="164"/>
        <v/>
      </c>
      <c r="Y726" s="18" t="str">
        <f>IF(OR(L726="",V726=""),"",IFERROR(INDEX(لیست‌ها!$Q$3:$Q$53,MATCH(V726,لیست‌ها!$P$3:$P$53,0))+IF(W726&lt;=6,(W726-1)*31+X726,IF(W726&lt;=11,186+(W726-7)*30+X726,336+X726))-1,""))</f>
        <v/>
      </c>
      <c r="Z726" s="18" t="str">
        <f t="shared" si="165"/>
        <v/>
      </c>
      <c r="AA726" s="18" t="str">
        <f t="shared" si="166"/>
        <v/>
      </c>
      <c r="AB726" s="18" t="str">
        <f t="shared" si="167"/>
        <v/>
      </c>
      <c r="AC726" s="18" t="str">
        <f>IF(OR(H726="",Z726=""),"",IFERROR(INDEX(لیست‌ها!$Q$3:$Q$53,MATCH(Z726,لیست‌ها!$P$3:$P$53,0))+IF(AA726&lt;=6,(AA726-1)*31+AB726,IF(AA726&lt;=11,186+(AA726-7)*30+AB726,336+AB726))-1,""))</f>
        <v/>
      </c>
      <c r="AD726" s="18" t="str">
        <f t="shared" si="168"/>
        <v/>
      </c>
      <c r="AE726" s="18" t="str">
        <f t="shared" si="169"/>
        <v/>
      </c>
      <c r="AF726" s="18" t="str">
        <f t="shared" si="170"/>
        <v/>
      </c>
      <c r="AG726" s="18" t="str">
        <f>IF(OR(O726="",AD726=""),"",IFERROR(INDEX(لیست‌ها!$Q$3:$Q$53,MATCH(AD726,لیست‌ها!$P$3:$P$53,0))+IF(AE726&lt;=6,(AE726-1)*31+AF726,IF(AE726&lt;=11,186+(AE726-7)*30+AF726,336+AF726))-1,""))</f>
        <v/>
      </c>
      <c r="AH726" s="18" t="str">
        <f t="shared" si="171"/>
        <v/>
      </c>
      <c r="AI726" s="18" t="str">
        <f t="shared" si="172"/>
        <v/>
      </c>
      <c r="AJ726" s="18" t="str">
        <f t="shared" ca="1" si="173"/>
        <v/>
      </c>
    </row>
    <row r="727" spans="1:36">
      <c r="A727" s="18" t="str">
        <f t="shared" si="159"/>
        <v/>
      </c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8" t="str">
        <f t="shared" ca="1" si="160"/>
        <v/>
      </c>
      <c r="U727" s="18">
        <f t="shared" ca="1" si="161"/>
        <v>0</v>
      </c>
      <c r="V727" s="18" t="str">
        <f t="shared" si="162"/>
        <v/>
      </c>
      <c r="W727" s="18" t="str">
        <f t="shared" si="163"/>
        <v/>
      </c>
      <c r="X727" s="18" t="str">
        <f t="shared" si="164"/>
        <v/>
      </c>
      <c r="Y727" s="18" t="str">
        <f>IF(OR(L727="",V727=""),"",IFERROR(INDEX(لیست‌ها!$Q$3:$Q$53,MATCH(V727,لیست‌ها!$P$3:$P$53,0))+IF(W727&lt;=6,(W727-1)*31+X727,IF(W727&lt;=11,186+(W727-7)*30+X727,336+X727))-1,""))</f>
        <v/>
      </c>
      <c r="Z727" s="18" t="str">
        <f t="shared" si="165"/>
        <v/>
      </c>
      <c r="AA727" s="18" t="str">
        <f t="shared" si="166"/>
        <v/>
      </c>
      <c r="AB727" s="18" t="str">
        <f t="shared" si="167"/>
        <v/>
      </c>
      <c r="AC727" s="18" t="str">
        <f>IF(OR(H727="",Z727=""),"",IFERROR(INDEX(لیست‌ها!$Q$3:$Q$53,MATCH(Z727,لیست‌ها!$P$3:$P$53,0))+IF(AA727&lt;=6,(AA727-1)*31+AB727,IF(AA727&lt;=11,186+(AA727-7)*30+AB727,336+AB727))-1,""))</f>
        <v/>
      </c>
      <c r="AD727" s="18" t="str">
        <f t="shared" si="168"/>
        <v/>
      </c>
      <c r="AE727" s="18" t="str">
        <f t="shared" si="169"/>
        <v/>
      </c>
      <c r="AF727" s="18" t="str">
        <f t="shared" si="170"/>
        <v/>
      </c>
      <c r="AG727" s="18" t="str">
        <f>IF(OR(O727="",AD727=""),"",IFERROR(INDEX(لیست‌ها!$Q$3:$Q$53,MATCH(AD727,لیست‌ها!$P$3:$P$53,0))+IF(AE727&lt;=6,(AE727-1)*31+AF727,IF(AE727&lt;=11,186+(AE727-7)*30+AF727,336+AF727))-1,""))</f>
        <v/>
      </c>
      <c r="AH727" s="18" t="str">
        <f t="shared" si="171"/>
        <v/>
      </c>
      <c r="AI727" s="18" t="str">
        <f t="shared" si="172"/>
        <v/>
      </c>
      <c r="AJ727" s="18" t="str">
        <f t="shared" ca="1" si="173"/>
        <v/>
      </c>
    </row>
    <row r="728" spans="1:36">
      <c r="A728" s="18" t="str">
        <f t="shared" si="159"/>
        <v/>
      </c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8" t="str">
        <f t="shared" ca="1" si="160"/>
        <v/>
      </c>
      <c r="U728" s="18">
        <f t="shared" ca="1" si="161"/>
        <v>0</v>
      </c>
      <c r="V728" s="18" t="str">
        <f t="shared" si="162"/>
        <v/>
      </c>
      <c r="W728" s="18" t="str">
        <f t="shared" si="163"/>
        <v/>
      </c>
      <c r="X728" s="18" t="str">
        <f t="shared" si="164"/>
        <v/>
      </c>
      <c r="Y728" s="18" t="str">
        <f>IF(OR(L728="",V728=""),"",IFERROR(INDEX(لیست‌ها!$Q$3:$Q$53,MATCH(V728,لیست‌ها!$P$3:$P$53,0))+IF(W728&lt;=6,(W728-1)*31+X728,IF(W728&lt;=11,186+(W728-7)*30+X728,336+X728))-1,""))</f>
        <v/>
      </c>
      <c r="Z728" s="18" t="str">
        <f t="shared" si="165"/>
        <v/>
      </c>
      <c r="AA728" s="18" t="str">
        <f t="shared" si="166"/>
        <v/>
      </c>
      <c r="AB728" s="18" t="str">
        <f t="shared" si="167"/>
        <v/>
      </c>
      <c r="AC728" s="18" t="str">
        <f>IF(OR(H728="",Z728=""),"",IFERROR(INDEX(لیست‌ها!$Q$3:$Q$53,MATCH(Z728,لیست‌ها!$P$3:$P$53,0))+IF(AA728&lt;=6,(AA728-1)*31+AB728,IF(AA728&lt;=11,186+(AA728-7)*30+AB728,336+AB728))-1,""))</f>
        <v/>
      </c>
      <c r="AD728" s="18" t="str">
        <f t="shared" si="168"/>
        <v/>
      </c>
      <c r="AE728" s="18" t="str">
        <f t="shared" si="169"/>
        <v/>
      </c>
      <c r="AF728" s="18" t="str">
        <f t="shared" si="170"/>
        <v/>
      </c>
      <c r="AG728" s="18" t="str">
        <f>IF(OR(O728="",AD728=""),"",IFERROR(INDEX(لیست‌ها!$Q$3:$Q$53,MATCH(AD728,لیست‌ها!$P$3:$P$53,0))+IF(AE728&lt;=6,(AE728-1)*31+AF728,IF(AE728&lt;=11,186+(AE728-7)*30+AF728,336+AF728))-1,""))</f>
        <v/>
      </c>
      <c r="AH728" s="18" t="str">
        <f t="shared" si="171"/>
        <v/>
      </c>
      <c r="AI728" s="18" t="str">
        <f t="shared" si="172"/>
        <v/>
      </c>
      <c r="AJ728" s="18" t="str">
        <f t="shared" ca="1" si="173"/>
        <v/>
      </c>
    </row>
    <row r="729" spans="1:36">
      <c r="A729" s="18" t="str">
        <f t="shared" si="159"/>
        <v/>
      </c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8" t="str">
        <f t="shared" ca="1" si="160"/>
        <v/>
      </c>
      <c r="U729" s="18">
        <f t="shared" ca="1" si="161"/>
        <v>0</v>
      </c>
      <c r="V729" s="18" t="str">
        <f t="shared" si="162"/>
        <v/>
      </c>
      <c r="W729" s="18" t="str">
        <f t="shared" si="163"/>
        <v/>
      </c>
      <c r="X729" s="18" t="str">
        <f t="shared" si="164"/>
        <v/>
      </c>
      <c r="Y729" s="18" t="str">
        <f>IF(OR(L729="",V729=""),"",IFERROR(INDEX(لیست‌ها!$Q$3:$Q$53,MATCH(V729,لیست‌ها!$P$3:$P$53,0))+IF(W729&lt;=6,(W729-1)*31+X729,IF(W729&lt;=11,186+(W729-7)*30+X729,336+X729))-1,""))</f>
        <v/>
      </c>
      <c r="Z729" s="18" t="str">
        <f t="shared" si="165"/>
        <v/>
      </c>
      <c r="AA729" s="18" t="str">
        <f t="shared" si="166"/>
        <v/>
      </c>
      <c r="AB729" s="18" t="str">
        <f t="shared" si="167"/>
        <v/>
      </c>
      <c r="AC729" s="18" t="str">
        <f>IF(OR(H729="",Z729=""),"",IFERROR(INDEX(لیست‌ها!$Q$3:$Q$53,MATCH(Z729,لیست‌ها!$P$3:$P$53,0))+IF(AA729&lt;=6,(AA729-1)*31+AB729,IF(AA729&lt;=11,186+(AA729-7)*30+AB729,336+AB729))-1,""))</f>
        <v/>
      </c>
      <c r="AD729" s="18" t="str">
        <f t="shared" si="168"/>
        <v/>
      </c>
      <c r="AE729" s="18" t="str">
        <f t="shared" si="169"/>
        <v/>
      </c>
      <c r="AF729" s="18" t="str">
        <f t="shared" si="170"/>
        <v/>
      </c>
      <c r="AG729" s="18" t="str">
        <f>IF(OR(O729="",AD729=""),"",IFERROR(INDEX(لیست‌ها!$Q$3:$Q$53,MATCH(AD729,لیست‌ها!$P$3:$P$53,0))+IF(AE729&lt;=6,(AE729-1)*31+AF729,IF(AE729&lt;=11,186+(AE729-7)*30+AF729,336+AF729))-1,""))</f>
        <v/>
      </c>
      <c r="AH729" s="18" t="str">
        <f t="shared" si="171"/>
        <v/>
      </c>
      <c r="AI729" s="18" t="str">
        <f t="shared" si="172"/>
        <v/>
      </c>
      <c r="AJ729" s="18" t="str">
        <f t="shared" ca="1" si="173"/>
        <v/>
      </c>
    </row>
    <row r="730" spans="1:36">
      <c r="A730" s="18" t="str">
        <f t="shared" si="159"/>
        <v/>
      </c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8" t="str">
        <f t="shared" ca="1" si="160"/>
        <v/>
      </c>
      <c r="U730" s="18">
        <f t="shared" ca="1" si="161"/>
        <v>0</v>
      </c>
      <c r="V730" s="18" t="str">
        <f t="shared" si="162"/>
        <v/>
      </c>
      <c r="W730" s="18" t="str">
        <f t="shared" si="163"/>
        <v/>
      </c>
      <c r="X730" s="18" t="str">
        <f t="shared" si="164"/>
        <v/>
      </c>
      <c r="Y730" s="18" t="str">
        <f>IF(OR(L730="",V730=""),"",IFERROR(INDEX(لیست‌ها!$Q$3:$Q$53,MATCH(V730,لیست‌ها!$P$3:$P$53,0))+IF(W730&lt;=6,(W730-1)*31+X730,IF(W730&lt;=11,186+(W730-7)*30+X730,336+X730))-1,""))</f>
        <v/>
      </c>
      <c r="Z730" s="18" t="str">
        <f t="shared" si="165"/>
        <v/>
      </c>
      <c r="AA730" s="18" t="str">
        <f t="shared" si="166"/>
        <v/>
      </c>
      <c r="AB730" s="18" t="str">
        <f t="shared" si="167"/>
        <v/>
      </c>
      <c r="AC730" s="18" t="str">
        <f>IF(OR(H730="",Z730=""),"",IFERROR(INDEX(لیست‌ها!$Q$3:$Q$53,MATCH(Z730,لیست‌ها!$P$3:$P$53,0))+IF(AA730&lt;=6,(AA730-1)*31+AB730,IF(AA730&lt;=11,186+(AA730-7)*30+AB730,336+AB730))-1,""))</f>
        <v/>
      </c>
      <c r="AD730" s="18" t="str">
        <f t="shared" si="168"/>
        <v/>
      </c>
      <c r="AE730" s="18" t="str">
        <f t="shared" si="169"/>
        <v/>
      </c>
      <c r="AF730" s="18" t="str">
        <f t="shared" si="170"/>
        <v/>
      </c>
      <c r="AG730" s="18" t="str">
        <f>IF(OR(O730="",AD730=""),"",IFERROR(INDEX(لیست‌ها!$Q$3:$Q$53,MATCH(AD730,لیست‌ها!$P$3:$P$53,0))+IF(AE730&lt;=6,(AE730-1)*31+AF730,IF(AE730&lt;=11,186+(AE730-7)*30+AF730,336+AF730))-1,""))</f>
        <v/>
      </c>
      <c r="AH730" s="18" t="str">
        <f t="shared" si="171"/>
        <v/>
      </c>
      <c r="AI730" s="18" t="str">
        <f t="shared" si="172"/>
        <v/>
      </c>
      <c r="AJ730" s="18" t="str">
        <f t="shared" ca="1" si="173"/>
        <v/>
      </c>
    </row>
    <row r="731" spans="1:36">
      <c r="A731" s="18" t="str">
        <f t="shared" si="159"/>
        <v/>
      </c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8" t="str">
        <f t="shared" ca="1" si="160"/>
        <v/>
      </c>
      <c r="U731" s="18">
        <f t="shared" ca="1" si="161"/>
        <v>0</v>
      </c>
      <c r="V731" s="18" t="str">
        <f t="shared" si="162"/>
        <v/>
      </c>
      <c r="W731" s="18" t="str">
        <f t="shared" si="163"/>
        <v/>
      </c>
      <c r="X731" s="18" t="str">
        <f t="shared" si="164"/>
        <v/>
      </c>
      <c r="Y731" s="18" t="str">
        <f>IF(OR(L731="",V731=""),"",IFERROR(INDEX(لیست‌ها!$Q$3:$Q$53,MATCH(V731,لیست‌ها!$P$3:$P$53,0))+IF(W731&lt;=6,(W731-1)*31+X731,IF(W731&lt;=11,186+(W731-7)*30+X731,336+X731))-1,""))</f>
        <v/>
      </c>
      <c r="Z731" s="18" t="str">
        <f t="shared" si="165"/>
        <v/>
      </c>
      <c r="AA731" s="18" t="str">
        <f t="shared" si="166"/>
        <v/>
      </c>
      <c r="AB731" s="18" t="str">
        <f t="shared" si="167"/>
        <v/>
      </c>
      <c r="AC731" s="18" t="str">
        <f>IF(OR(H731="",Z731=""),"",IFERROR(INDEX(لیست‌ها!$Q$3:$Q$53,MATCH(Z731,لیست‌ها!$P$3:$P$53,0))+IF(AA731&lt;=6,(AA731-1)*31+AB731,IF(AA731&lt;=11,186+(AA731-7)*30+AB731,336+AB731))-1,""))</f>
        <v/>
      </c>
      <c r="AD731" s="18" t="str">
        <f t="shared" si="168"/>
        <v/>
      </c>
      <c r="AE731" s="18" t="str">
        <f t="shared" si="169"/>
        <v/>
      </c>
      <c r="AF731" s="18" t="str">
        <f t="shared" si="170"/>
        <v/>
      </c>
      <c r="AG731" s="18" t="str">
        <f>IF(OR(O731="",AD731=""),"",IFERROR(INDEX(لیست‌ها!$Q$3:$Q$53,MATCH(AD731,لیست‌ها!$P$3:$P$53,0))+IF(AE731&lt;=6,(AE731-1)*31+AF731,IF(AE731&lt;=11,186+(AE731-7)*30+AF731,336+AF731))-1,""))</f>
        <v/>
      </c>
      <c r="AH731" s="18" t="str">
        <f t="shared" si="171"/>
        <v/>
      </c>
      <c r="AI731" s="18" t="str">
        <f t="shared" si="172"/>
        <v/>
      </c>
      <c r="AJ731" s="18" t="str">
        <f t="shared" ca="1" si="173"/>
        <v/>
      </c>
    </row>
    <row r="732" spans="1:36">
      <c r="A732" s="18" t="str">
        <f t="shared" si="159"/>
        <v/>
      </c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8" t="str">
        <f t="shared" ca="1" si="160"/>
        <v/>
      </c>
      <c r="U732" s="18">
        <f t="shared" ca="1" si="161"/>
        <v>0</v>
      </c>
      <c r="V732" s="18" t="str">
        <f t="shared" si="162"/>
        <v/>
      </c>
      <c r="W732" s="18" t="str">
        <f t="shared" si="163"/>
        <v/>
      </c>
      <c r="X732" s="18" t="str">
        <f t="shared" si="164"/>
        <v/>
      </c>
      <c r="Y732" s="18" t="str">
        <f>IF(OR(L732="",V732=""),"",IFERROR(INDEX(لیست‌ها!$Q$3:$Q$53,MATCH(V732,لیست‌ها!$P$3:$P$53,0))+IF(W732&lt;=6,(W732-1)*31+X732,IF(W732&lt;=11,186+(W732-7)*30+X732,336+X732))-1,""))</f>
        <v/>
      </c>
      <c r="Z732" s="18" t="str">
        <f t="shared" si="165"/>
        <v/>
      </c>
      <c r="AA732" s="18" t="str">
        <f t="shared" si="166"/>
        <v/>
      </c>
      <c r="AB732" s="18" t="str">
        <f t="shared" si="167"/>
        <v/>
      </c>
      <c r="AC732" s="18" t="str">
        <f>IF(OR(H732="",Z732=""),"",IFERROR(INDEX(لیست‌ها!$Q$3:$Q$53,MATCH(Z732,لیست‌ها!$P$3:$P$53,0))+IF(AA732&lt;=6,(AA732-1)*31+AB732,IF(AA732&lt;=11,186+(AA732-7)*30+AB732,336+AB732))-1,""))</f>
        <v/>
      </c>
      <c r="AD732" s="18" t="str">
        <f t="shared" si="168"/>
        <v/>
      </c>
      <c r="AE732" s="18" t="str">
        <f t="shared" si="169"/>
        <v/>
      </c>
      <c r="AF732" s="18" t="str">
        <f t="shared" si="170"/>
        <v/>
      </c>
      <c r="AG732" s="18" t="str">
        <f>IF(OR(O732="",AD732=""),"",IFERROR(INDEX(لیست‌ها!$Q$3:$Q$53,MATCH(AD732,لیست‌ها!$P$3:$P$53,0))+IF(AE732&lt;=6,(AE732-1)*31+AF732,IF(AE732&lt;=11,186+(AE732-7)*30+AF732,336+AF732))-1,""))</f>
        <v/>
      </c>
      <c r="AH732" s="18" t="str">
        <f t="shared" si="171"/>
        <v/>
      </c>
      <c r="AI732" s="18" t="str">
        <f t="shared" si="172"/>
        <v/>
      </c>
      <c r="AJ732" s="18" t="str">
        <f t="shared" ca="1" si="173"/>
        <v/>
      </c>
    </row>
    <row r="733" spans="1:36">
      <c r="A733" s="18" t="str">
        <f t="shared" si="159"/>
        <v/>
      </c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8" t="str">
        <f t="shared" ca="1" si="160"/>
        <v/>
      </c>
      <c r="U733" s="18">
        <f t="shared" ca="1" si="161"/>
        <v>0</v>
      </c>
      <c r="V733" s="18" t="str">
        <f t="shared" si="162"/>
        <v/>
      </c>
      <c r="W733" s="18" t="str">
        <f t="shared" si="163"/>
        <v/>
      </c>
      <c r="X733" s="18" t="str">
        <f t="shared" si="164"/>
        <v/>
      </c>
      <c r="Y733" s="18" t="str">
        <f>IF(OR(L733="",V733=""),"",IFERROR(INDEX(لیست‌ها!$Q$3:$Q$53,MATCH(V733,لیست‌ها!$P$3:$P$53,0))+IF(W733&lt;=6,(W733-1)*31+X733,IF(W733&lt;=11,186+(W733-7)*30+X733,336+X733))-1,""))</f>
        <v/>
      </c>
      <c r="Z733" s="18" t="str">
        <f t="shared" si="165"/>
        <v/>
      </c>
      <c r="AA733" s="18" t="str">
        <f t="shared" si="166"/>
        <v/>
      </c>
      <c r="AB733" s="18" t="str">
        <f t="shared" si="167"/>
        <v/>
      </c>
      <c r="AC733" s="18" t="str">
        <f>IF(OR(H733="",Z733=""),"",IFERROR(INDEX(لیست‌ها!$Q$3:$Q$53,MATCH(Z733,لیست‌ها!$P$3:$P$53,0))+IF(AA733&lt;=6,(AA733-1)*31+AB733,IF(AA733&lt;=11,186+(AA733-7)*30+AB733,336+AB733))-1,""))</f>
        <v/>
      </c>
      <c r="AD733" s="18" t="str">
        <f t="shared" si="168"/>
        <v/>
      </c>
      <c r="AE733" s="18" t="str">
        <f t="shared" si="169"/>
        <v/>
      </c>
      <c r="AF733" s="18" t="str">
        <f t="shared" si="170"/>
        <v/>
      </c>
      <c r="AG733" s="18" t="str">
        <f>IF(OR(O733="",AD733=""),"",IFERROR(INDEX(لیست‌ها!$Q$3:$Q$53,MATCH(AD733,لیست‌ها!$P$3:$P$53,0))+IF(AE733&lt;=6,(AE733-1)*31+AF733,IF(AE733&lt;=11,186+(AE733-7)*30+AF733,336+AF733))-1,""))</f>
        <v/>
      </c>
      <c r="AH733" s="18" t="str">
        <f t="shared" si="171"/>
        <v/>
      </c>
      <c r="AI733" s="18" t="str">
        <f t="shared" si="172"/>
        <v/>
      </c>
      <c r="AJ733" s="18" t="str">
        <f t="shared" ca="1" si="173"/>
        <v/>
      </c>
    </row>
    <row r="734" spans="1:36">
      <c r="A734" s="18" t="str">
        <f t="shared" si="159"/>
        <v/>
      </c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8" t="str">
        <f t="shared" ca="1" si="160"/>
        <v/>
      </c>
      <c r="U734" s="18">
        <f t="shared" ca="1" si="161"/>
        <v>0</v>
      </c>
      <c r="V734" s="18" t="str">
        <f t="shared" si="162"/>
        <v/>
      </c>
      <c r="W734" s="18" t="str">
        <f t="shared" si="163"/>
        <v/>
      </c>
      <c r="X734" s="18" t="str">
        <f t="shared" si="164"/>
        <v/>
      </c>
      <c r="Y734" s="18" t="str">
        <f>IF(OR(L734="",V734=""),"",IFERROR(INDEX(لیست‌ها!$Q$3:$Q$53,MATCH(V734,لیست‌ها!$P$3:$P$53,0))+IF(W734&lt;=6,(W734-1)*31+X734,IF(W734&lt;=11,186+(W734-7)*30+X734,336+X734))-1,""))</f>
        <v/>
      </c>
      <c r="Z734" s="18" t="str">
        <f t="shared" si="165"/>
        <v/>
      </c>
      <c r="AA734" s="18" t="str">
        <f t="shared" si="166"/>
        <v/>
      </c>
      <c r="AB734" s="18" t="str">
        <f t="shared" si="167"/>
        <v/>
      </c>
      <c r="AC734" s="18" t="str">
        <f>IF(OR(H734="",Z734=""),"",IFERROR(INDEX(لیست‌ها!$Q$3:$Q$53,MATCH(Z734,لیست‌ها!$P$3:$P$53,0))+IF(AA734&lt;=6,(AA734-1)*31+AB734,IF(AA734&lt;=11,186+(AA734-7)*30+AB734,336+AB734))-1,""))</f>
        <v/>
      </c>
      <c r="AD734" s="18" t="str">
        <f t="shared" si="168"/>
        <v/>
      </c>
      <c r="AE734" s="18" t="str">
        <f t="shared" si="169"/>
        <v/>
      </c>
      <c r="AF734" s="18" t="str">
        <f t="shared" si="170"/>
        <v/>
      </c>
      <c r="AG734" s="18" t="str">
        <f>IF(OR(O734="",AD734=""),"",IFERROR(INDEX(لیست‌ها!$Q$3:$Q$53,MATCH(AD734,لیست‌ها!$P$3:$P$53,0))+IF(AE734&lt;=6,(AE734-1)*31+AF734,IF(AE734&lt;=11,186+(AE734-7)*30+AF734,336+AF734))-1,""))</f>
        <v/>
      </c>
      <c r="AH734" s="18" t="str">
        <f t="shared" si="171"/>
        <v/>
      </c>
      <c r="AI734" s="18" t="str">
        <f t="shared" si="172"/>
        <v/>
      </c>
      <c r="AJ734" s="18" t="str">
        <f t="shared" ca="1" si="173"/>
        <v/>
      </c>
    </row>
    <row r="735" spans="1:36">
      <c r="A735" s="18" t="str">
        <f t="shared" si="159"/>
        <v/>
      </c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8" t="str">
        <f t="shared" ca="1" si="160"/>
        <v/>
      </c>
      <c r="U735" s="18">
        <f t="shared" ca="1" si="161"/>
        <v>0</v>
      </c>
      <c r="V735" s="18" t="str">
        <f t="shared" si="162"/>
        <v/>
      </c>
      <c r="W735" s="18" t="str">
        <f t="shared" si="163"/>
        <v/>
      </c>
      <c r="X735" s="18" t="str">
        <f t="shared" si="164"/>
        <v/>
      </c>
      <c r="Y735" s="18" t="str">
        <f>IF(OR(L735="",V735=""),"",IFERROR(INDEX(لیست‌ها!$Q$3:$Q$53,MATCH(V735,لیست‌ها!$P$3:$P$53,0))+IF(W735&lt;=6,(W735-1)*31+X735,IF(W735&lt;=11,186+(W735-7)*30+X735,336+X735))-1,""))</f>
        <v/>
      </c>
      <c r="Z735" s="18" t="str">
        <f t="shared" si="165"/>
        <v/>
      </c>
      <c r="AA735" s="18" t="str">
        <f t="shared" si="166"/>
        <v/>
      </c>
      <c r="AB735" s="18" t="str">
        <f t="shared" si="167"/>
        <v/>
      </c>
      <c r="AC735" s="18" t="str">
        <f>IF(OR(H735="",Z735=""),"",IFERROR(INDEX(لیست‌ها!$Q$3:$Q$53,MATCH(Z735,لیست‌ها!$P$3:$P$53,0))+IF(AA735&lt;=6,(AA735-1)*31+AB735,IF(AA735&lt;=11,186+(AA735-7)*30+AB735,336+AB735))-1,""))</f>
        <v/>
      </c>
      <c r="AD735" s="18" t="str">
        <f t="shared" si="168"/>
        <v/>
      </c>
      <c r="AE735" s="18" t="str">
        <f t="shared" si="169"/>
        <v/>
      </c>
      <c r="AF735" s="18" t="str">
        <f t="shared" si="170"/>
        <v/>
      </c>
      <c r="AG735" s="18" t="str">
        <f>IF(OR(O735="",AD735=""),"",IFERROR(INDEX(لیست‌ها!$Q$3:$Q$53,MATCH(AD735,لیست‌ها!$P$3:$P$53,0))+IF(AE735&lt;=6,(AE735-1)*31+AF735,IF(AE735&lt;=11,186+(AE735-7)*30+AF735,336+AF735))-1,""))</f>
        <v/>
      </c>
      <c r="AH735" s="18" t="str">
        <f t="shared" si="171"/>
        <v/>
      </c>
      <c r="AI735" s="18" t="str">
        <f t="shared" si="172"/>
        <v/>
      </c>
      <c r="AJ735" s="18" t="str">
        <f t="shared" ca="1" si="173"/>
        <v/>
      </c>
    </row>
    <row r="736" spans="1:36">
      <c r="A736" s="18" t="str">
        <f t="shared" si="159"/>
        <v/>
      </c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8" t="str">
        <f t="shared" ca="1" si="160"/>
        <v/>
      </c>
      <c r="U736" s="18">
        <f t="shared" ca="1" si="161"/>
        <v>0</v>
      </c>
      <c r="V736" s="18" t="str">
        <f t="shared" si="162"/>
        <v/>
      </c>
      <c r="W736" s="18" t="str">
        <f t="shared" si="163"/>
        <v/>
      </c>
      <c r="X736" s="18" t="str">
        <f t="shared" si="164"/>
        <v/>
      </c>
      <c r="Y736" s="18" t="str">
        <f>IF(OR(L736="",V736=""),"",IFERROR(INDEX(لیست‌ها!$Q$3:$Q$53,MATCH(V736,لیست‌ها!$P$3:$P$53,0))+IF(W736&lt;=6,(W736-1)*31+X736,IF(W736&lt;=11,186+(W736-7)*30+X736,336+X736))-1,""))</f>
        <v/>
      </c>
      <c r="Z736" s="18" t="str">
        <f t="shared" si="165"/>
        <v/>
      </c>
      <c r="AA736" s="18" t="str">
        <f t="shared" si="166"/>
        <v/>
      </c>
      <c r="AB736" s="18" t="str">
        <f t="shared" si="167"/>
        <v/>
      </c>
      <c r="AC736" s="18" t="str">
        <f>IF(OR(H736="",Z736=""),"",IFERROR(INDEX(لیست‌ها!$Q$3:$Q$53,MATCH(Z736,لیست‌ها!$P$3:$P$53,0))+IF(AA736&lt;=6,(AA736-1)*31+AB736,IF(AA736&lt;=11,186+(AA736-7)*30+AB736,336+AB736))-1,""))</f>
        <v/>
      </c>
      <c r="AD736" s="18" t="str">
        <f t="shared" si="168"/>
        <v/>
      </c>
      <c r="AE736" s="18" t="str">
        <f t="shared" si="169"/>
        <v/>
      </c>
      <c r="AF736" s="18" t="str">
        <f t="shared" si="170"/>
        <v/>
      </c>
      <c r="AG736" s="18" t="str">
        <f>IF(OR(O736="",AD736=""),"",IFERROR(INDEX(لیست‌ها!$Q$3:$Q$53,MATCH(AD736,لیست‌ها!$P$3:$P$53,0))+IF(AE736&lt;=6,(AE736-1)*31+AF736,IF(AE736&lt;=11,186+(AE736-7)*30+AF736,336+AF736))-1,""))</f>
        <v/>
      </c>
      <c r="AH736" s="18" t="str">
        <f t="shared" si="171"/>
        <v/>
      </c>
      <c r="AI736" s="18" t="str">
        <f t="shared" si="172"/>
        <v/>
      </c>
      <c r="AJ736" s="18" t="str">
        <f t="shared" ca="1" si="173"/>
        <v/>
      </c>
    </row>
    <row r="737" spans="1:36">
      <c r="A737" s="18" t="str">
        <f t="shared" si="159"/>
        <v/>
      </c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8" t="str">
        <f t="shared" ca="1" si="160"/>
        <v/>
      </c>
      <c r="U737" s="18">
        <f t="shared" ca="1" si="161"/>
        <v>0</v>
      </c>
      <c r="V737" s="18" t="str">
        <f t="shared" si="162"/>
        <v/>
      </c>
      <c r="W737" s="18" t="str">
        <f t="shared" si="163"/>
        <v/>
      </c>
      <c r="X737" s="18" t="str">
        <f t="shared" si="164"/>
        <v/>
      </c>
      <c r="Y737" s="18" t="str">
        <f>IF(OR(L737="",V737=""),"",IFERROR(INDEX(لیست‌ها!$Q$3:$Q$53,MATCH(V737,لیست‌ها!$P$3:$P$53,0))+IF(W737&lt;=6,(W737-1)*31+X737,IF(W737&lt;=11,186+(W737-7)*30+X737,336+X737))-1,""))</f>
        <v/>
      </c>
      <c r="Z737" s="18" t="str">
        <f t="shared" si="165"/>
        <v/>
      </c>
      <c r="AA737" s="18" t="str">
        <f t="shared" si="166"/>
        <v/>
      </c>
      <c r="AB737" s="18" t="str">
        <f t="shared" si="167"/>
        <v/>
      </c>
      <c r="AC737" s="18" t="str">
        <f>IF(OR(H737="",Z737=""),"",IFERROR(INDEX(لیست‌ها!$Q$3:$Q$53,MATCH(Z737,لیست‌ها!$P$3:$P$53,0))+IF(AA737&lt;=6,(AA737-1)*31+AB737,IF(AA737&lt;=11,186+(AA737-7)*30+AB737,336+AB737))-1,""))</f>
        <v/>
      </c>
      <c r="AD737" s="18" t="str">
        <f t="shared" si="168"/>
        <v/>
      </c>
      <c r="AE737" s="18" t="str">
        <f t="shared" si="169"/>
        <v/>
      </c>
      <c r="AF737" s="18" t="str">
        <f t="shared" si="170"/>
        <v/>
      </c>
      <c r="AG737" s="18" t="str">
        <f>IF(OR(O737="",AD737=""),"",IFERROR(INDEX(لیست‌ها!$Q$3:$Q$53,MATCH(AD737,لیست‌ها!$P$3:$P$53,0))+IF(AE737&lt;=6,(AE737-1)*31+AF737,IF(AE737&lt;=11,186+(AE737-7)*30+AF737,336+AF737))-1,""))</f>
        <v/>
      </c>
      <c r="AH737" s="18" t="str">
        <f t="shared" si="171"/>
        <v/>
      </c>
      <c r="AI737" s="18" t="str">
        <f t="shared" si="172"/>
        <v/>
      </c>
      <c r="AJ737" s="18" t="str">
        <f t="shared" ca="1" si="173"/>
        <v/>
      </c>
    </row>
    <row r="738" spans="1:36">
      <c r="A738" s="18" t="str">
        <f t="shared" si="159"/>
        <v/>
      </c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8" t="str">
        <f t="shared" ca="1" si="160"/>
        <v/>
      </c>
      <c r="U738" s="18">
        <f t="shared" ca="1" si="161"/>
        <v>0</v>
      </c>
      <c r="V738" s="18" t="str">
        <f t="shared" si="162"/>
        <v/>
      </c>
      <c r="W738" s="18" t="str">
        <f t="shared" si="163"/>
        <v/>
      </c>
      <c r="X738" s="18" t="str">
        <f t="shared" si="164"/>
        <v/>
      </c>
      <c r="Y738" s="18" t="str">
        <f>IF(OR(L738="",V738=""),"",IFERROR(INDEX(لیست‌ها!$Q$3:$Q$53,MATCH(V738,لیست‌ها!$P$3:$P$53,0))+IF(W738&lt;=6,(W738-1)*31+X738,IF(W738&lt;=11,186+(W738-7)*30+X738,336+X738))-1,""))</f>
        <v/>
      </c>
      <c r="Z738" s="18" t="str">
        <f t="shared" si="165"/>
        <v/>
      </c>
      <c r="AA738" s="18" t="str">
        <f t="shared" si="166"/>
        <v/>
      </c>
      <c r="AB738" s="18" t="str">
        <f t="shared" si="167"/>
        <v/>
      </c>
      <c r="AC738" s="18" t="str">
        <f>IF(OR(H738="",Z738=""),"",IFERROR(INDEX(لیست‌ها!$Q$3:$Q$53,MATCH(Z738,لیست‌ها!$P$3:$P$53,0))+IF(AA738&lt;=6,(AA738-1)*31+AB738,IF(AA738&lt;=11,186+(AA738-7)*30+AB738,336+AB738))-1,""))</f>
        <v/>
      </c>
      <c r="AD738" s="18" t="str">
        <f t="shared" si="168"/>
        <v/>
      </c>
      <c r="AE738" s="18" t="str">
        <f t="shared" si="169"/>
        <v/>
      </c>
      <c r="AF738" s="18" t="str">
        <f t="shared" si="170"/>
        <v/>
      </c>
      <c r="AG738" s="18" t="str">
        <f>IF(OR(O738="",AD738=""),"",IFERROR(INDEX(لیست‌ها!$Q$3:$Q$53,MATCH(AD738,لیست‌ها!$P$3:$P$53,0))+IF(AE738&lt;=6,(AE738-1)*31+AF738,IF(AE738&lt;=11,186+(AE738-7)*30+AF738,336+AF738))-1,""))</f>
        <v/>
      </c>
      <c r="AH738" s="18" t="str">
        <f t="shared" si="171"/>
        <v/>
      </c>
      <c r="AI738" s="18" t="str">
        <f t="shared" si="172"/>
        <v/>
      </c>
      <c r="AJ738" s="18" t="str">
        <f t="shared" ca="1" si="173"/>
        <v/>
      </c>
    </row>
    <row r="739" spans="1:36">
      <c r="A739" s="18" t="str">
        <f t="shared" si="159"/>
        <v/>
      </c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8" t="str">
        <f t="shared" ca="1" si="160"/>
        <v/>
      </c>
      <c r="U739" s="18">
        <f t="shared" ca="1" si="161"/>
        <v>0</v>
      </c>
      <c r="V739" s="18" t="str">
        <f t="shared" si="162"/>
        <v/>
      </c>
      <c r="W739" s="18" t="str">
        <f t="shared" si="163"/>
        <v/>
      </c>
      <c r="X739" s="18" t="str">
        <f t="shared" si="164"/>
        <v/>
      </c>
      <c r="Y739" s="18" t="str">
        <f>IF(OR(L739="",V739=""),"",IFERROR(INDEX(لیست‌ها!$Q$3:$Q$53,MATCH(V739,لیست‌ها!$P$3:$P$53,0))+IF(W739&lt;=6,(W739-1)*31+X739,IF(W739&lt;=11,186+(W739-7)*30+X739,336+X739))-1,""))</f>
        <v/>
      </c>
      <c r="Z739" s="18" t="str">
        <f t="shared" si="165"/>
        <v/>
      </c>
      <c r="AA739" s="18" t="str">
        <f t="shared" si="166"/>
        <v/>
      </c>
      <c r="AB739" s="18" t="str">
        <f t="shared" si="167"/>
        <v/>
      </c>
      <c r="AC739" s="18" t="str">
        <f>IF(OR(H739="",Z739=""),"",IFERROR(INDEX(لیست‌ها!$Q$3:$Q$53,MATCH(Z739,لیست‌ها!$P$3:$P$53,0))+IF(AA739&lt;=6,(AA739-1)*31+AB739,IF(AA739&lt;=11,186+(AA739-7)*30+AB739,336+AB739))-1,""))</f>
        <v/>
      </c>
      <c r="AD739" s="18" t="str">
        <f t="shared" si="168"/>
        <v/>
      </c>
      <c r="AE739" s="18" t="str">
        <f t="shared" si="169"/>
        <v/>
      </c>
      <c r="AF739" s="18" t="str">
        <f t="shared" si="170"/>
        <v/>
      </c>
      <c r="AG739" s="18" t="str">
        <f>IF(OR(O739="",AD739=""),"",IFERROR(INDEX(لیست‌ها!$Q$3:$Q$53,MATCH(AD739,لیست‌ها!$P$3:$P$53,0))+IF(AE739&lt;=6,(AE739-1)*31+AF739,IF(AE739&lt;=11,186+(AE739-7)*30+AF739,336+AF739))-1,""))</f>
        <v/>
      </c>
      <c r="AH739" s="18" t="str">
        <f t="shared" si="171"/>
        <v/>
      </c>
      <c r="AI739" s="18" t="str">
        <f t="shared" si="172"/>
        <v/>
      </c>
      <c r="AJ739" s="18" t="str">
        <f t="shared" ca="1" si="173"/>
        <v/>
      </c>
    </row>
    <row r="740" spans="1:36">
      <c r="A740" s="18" t="str">
        <f t="shared" si="159"/>
        <v/>
      </c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8" t="str">
        <f t="shared" ca="1" si="160"/>
        <v/>
      </c>
      <c r="U740" s="18">
        <f t="shared" ca="1" si="161"/>
        <v>0</v>
      </c>
      <c r="V740" s="18" t="str">
        <f t="shared" si="162"/>
        <v/>
      </c>
      <c r="W740" s="18" t="str">
        <f t="shared" si="163"/>
        <v/>
      </c>
      <c r="X740" s="18" t="str">
        <f t="shared" si="164"/>
        <v/>
      </c>
      <c r="Y740" s="18" t="str">
        <f>IF(OR(L740="",V740=""),"",IFERROR(INDEX(لیست‌ها!$Q$3:$Q$53,MATCH(V740,لیست‌ها!$P$3:$P$53,0))+IF(W740&lt;=6,(W740-1)*31+X740,IF(W740&lt;=11,186+(W740-7)*30+X740,336+X740))-1,""))</f>
        <v/>
      </c>
      <c r="Z740" s="18" t="str">
        <f t="shared" si="165"/>
        <v/>
      </c>
      <c r="AA740" s="18" t="str">
        <f t="shared" si="166"/>
        <v/>
      </c>
      <c r="AB740" s="18" t="str">
        <f t="shared" si="167"/>
        <v/>
      </c>
      <c r="AC740" s="18" t="str">
        <f>IF(OR(H740="",Z740=""),"",IFERROR(INDEX(لیست‌ها!$Q$3:$Q$53,MATCH(Z740,لیست‌ها!$P$3:$P$53,0))+IF(AA740&lt;=6,(AA740-1)*31+AB740,IF(AA740&lt;=11,186+(AA740-7)*30+AB740,336+AB740))-1,""))</f>
        <v/>
      </c>
      <c r="AD740" s="18" t="str">
        <f t="shared" si="168"/>
        <v/>
      </c>
      <c r="AE740" s="18" t="str">
        <f t="shared" si="169"/>
        <v/>
      </c>
      <c r="AF740" s="18" t="str">
        <f t="shared" si="170"/>
        <v/>
      </c>
      <c r="AG740" s="18" t="str">
        <f>IF(OR(O740="",AD740=""),"",IFERROR(INDEX(لیست‌ها!$Q$3:$Q$53,MATCH(AD740,لیست‌ها!$P$3:$P$53,0))+IF(AE740&lt;=6,(AE740-1)*31+AF740,IF(AE740&lt;=11,186+(AE740-7)*30+AF740,336+AF740))-1,""))</f>
        <v/>
      </c>
      <c r="AH740" s="18" t="str">
        <f t="shared" si="171"/>
        <v/>
      </c>
      <c r="AI740" s="18" t="str">
        <f t="shared" si="172"/>
        <v/>
      </c>
      <c r="AJ740" s="18" t="str">
        <f t="shared" ca="1" si="173"/>
        <v/>
      </c>
    </row>
    <row r="741" spans="1:36">
      <c r="A741" s="18" t="str">
        <f t="shared" si="159"/>
        <v/>
      </c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8" t="str">
        <f t="shared" ca="1" si="160"/>
        <v/>
      </c>
      <c r="U741" s="18">
        <f t="shared" ca="1" si="161"/>
        <v>0</v>
      </c>
      <c r="V741" s="18" t="str">
        <f t="shared" si="162"/>
        <v/>
      </c>
      <c r="W741" s="18" t="str">
        <f t="shared" si="163"/>
        <v/>
      </c>
      <c r="X741" s="18" t="str">
        <f t="shared" si="164"/>
        <v/>
      </c>
      <c r="Y741" s="18" t="str">
        <f>IF(OR(L741="",V741=""),"",IFERROR(INDEX(لیست‌ها!$Q$3:$Q$53,MATCH(V741,لیست‌ها!$P$3:$P$53,0))+IF(W741&lt;=6,(W741-1)*31+X741,IF(W741&lt;=11,186+(W741-7)*30+X741,336+X741))-1,""))</f>
        <v/>
      </c>
      <c r="Z741" s="18" t="str">
        <f t="shared" si="165"/>
        <v/>
      </c>
      <c r="AA741" s="18" t="str">
        <f t="shared" si="166"/>
        <v/>
      </c>
      <c r="AB741" s="18" t="str">
        <f t="shared" si="167"/>
        <v/>
      </c>
      <c r="AC741" s="18" t="str">
        <f>IF(OR(H741="",Z741=""),"",IFERROR(INDEX(لیست‌ها!$Q$3:$Q$53,MATCH(Z741,لیست‌ها!$P$3:$P$53,0))+IF(AA741&lt;=6,(AA741-1)*31+AB741,IF(AA741&lt;=11,186+(AA741-7)*30+AB741,336+AB741))-1,""))</f>
        <v/>
      </c>
      <c r="AD741" s="18" t="str">
        <f t="shared" si="168"/>
        <v/>
      </c>
      <c r="AE741" s="18" t="str">
        <f t="shared" si="169"/>
        <v/>
      </c>
      <c r="AF741" s="18" t="str">
        <f t="shared" si="170"/>
        <v/>
      </c>
      <c r="AG741" s="18" t="str">
        <f>IF(OR(O741="",AD741=""),"",IFERROR(INDEX(لیست‌ها!$Q$3:$Q$53,MATCH(AD741,لیست‌ها!$P$3:$P$53,0))+IF(AE741&lt;=6,(AE741-1)*31+AF741,IF(AE741&lt;=11,186+(AE741-7)*30+AF741,336+AF741))-1,""))</f>
        <v/>
      </c>
      <c r="AH741" s="18" t="str">
        <f t="shared" si="171"/>
        <v/>
      </c>
      <c r="AI741" s="18" t="str">
        <f t="shared" si="172"/>
        <v/>
      </c>
      <c r="AJ741" s="18" t="str">
        <f t="shared" ca="1" si="173"/>
        <v/>
      </c>
    </row>
    <row r="742" spans="1:36">
      <c r="A742" s="18" t="str">
        <f t="shared" si="159"/>
        <v/>
      </c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8" t="str">
        <f t="shared" ca="1" si="160"/>
        <v/>
      </c>
      <c r="U742" s="18">
        <f t="shared" ca="1" si="161"/>
        <v>0</v>
      </c>
      <c r="V742" s="18" t="str">
        <f t="shared" si="162"/>
        <v/>
      </c>
      <c r="W742" s="18" t="str">
        <f t="shared" si="163"/>
        <v/>
      </c>
      <c r="X742" s="18" t="str">
        <f t="shared" si="164"/>
        <v/>
      </c>
      <c r="Y742" s="18" t="str">
        <f>IF(OR(L742="",V742=""),"",IFERROR(INDEX(لیست‌ها!$Q$3:$Q$53,MATCH(V742,لیست‌ها!$P$3:$P$53,0))+IF(W742&lt;=6,(W742-1)*31+X742,IF(W742&lt;=11,186+(W742-7)*30+X742,336+X742))-1,""))</f>
        <v/>
      </c>
      <c r="Z742" s="18" t="str">
        <f t="shared" si="165"/>
        <v/>
      </c>
      <c r="AA742" s="18" t="str">
        <f t="shared" si="166"/>
        <v/>
      </c>
      <c r="AB742" s="18" t="str">
        <f t="shared" si="167"/>
        <v/>
      </c>
      <c r="AC742" s="18" t="str">
        <f>IF(OR(H742="",Z742=""),"",IFERROR(INDEX(لیست‌ها!$Q$3:$Q$53,MATCH(Z742,لیست‌ها!$P$3:$P$53,0))+IF(AA742&lt;=6,(AA742-1)*31+AB742,IF(AA742&lt;=11,186+(AA742-7)*30+AB742,336+AB742))-1,""))</f>
        <v/>
      </c>
      <c r="AD742" s="18" t="str">
        <f t="shared" si="168"/>
        <v/>
      </c>
      <c r="AE742" s="18" t="str">
        <f t="shared" si="169"/>
        <v/>
      </c>
      <c r="AF742" s="18" t="str">
        <f t="shared" si="170"/>
        <v/>
      </c>
      <c r="AG742" s="18" t="str">
        <f>IF(OR(O742="",AD742=""),"",IFERROR(INDEX(لیست‌ها!$Q$3:$Q$53,MATCH(AD742,لیست‌ها!$P$3:$P$53,0))+IF(AE742&lt;=6,(AE742-1)*31+AF742,IF(AE742&lt;=11,186+(AE742-7)*30+AF742,336+AF742))-1,""))</f>
        <v/>
      </c>
      <c r="AH742" s="18" t="str">
        <f t="shared" si="171"/>
        <v/>
      </c>
      <c r="AI742" s="18" t="str">
        <f t="shared" si="172"/>
        <v/>
      </c>
      <c r="AJ742" s="18" t="str">
        <f t="shared" ca="1" si="173"/>
        <v/>
      </c>
    </row>
    <row r="743" spans="1:36">
      <c r="A743" s="18" t="str">
        <f t="shared" si="159"/>
        <v/>
      </c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8" t="str">
        <f t="shared" ca="1" si="160"/>
        <v/>
      </c>
      <c r="U743" s="18">
        <f t="shared" ca="1" si="161"/>
        <v>0</v>
      </c>
      <c r="V743" s="18" t="str">
        <f t="shared" si="162"/>
        <v/>
      </c>
      <c r="W743" s="18" t="str">
        <f t="shared" si="163"/>
        <v/>
      </c>
      <c r="X743" s="18" t="str">
        <f t="shared" si="164"/>
        <v/>
      </c>
      <c r="Y743" s="18" t="str">
        <f>IF(OR(L743="",V743=""),"",IFERROR(INDEX(لیست‌ها!$Q$3:$Q$53,MATCH(V743,لیست‌ها!$P$3:$P$53,0))+IF(W743&lt;=6,(W743-1)*31+X743,IF(W743&lt;=11,186+(W743-7)*30+X743,336+X743))-1,""))</f>
        <v/>
      </c>
      <c r="Z743" s="18" t="str">
        <f t="shared" si="165"/>
        <v/>
      </c>
      <c r="AA743" s="18" t="str">
        <f t="shared" si="166"/>
        <v/>
      </c>
      <c r="AB743" s="18" t="str">
        <f t="shared" si="167"/>
        <v/>
      </c>
      <c r="AC743" s="18" t="str">
        <f>IF(OR(H743="",Z743=""),"",IFERROR(INDEX(لیست‌ها!$Q$3:$Q$53,MATCH(Z743,لیست‌ها!$P$3:$P$53,0))+IF(AA743&lt;=6,(AA743-1)*31+AB743,IF(AA743&lt;=11,186+(AA743-7)*30+AB743,336+AB743))-1,""))</f>
        <v/>
      </c>
      <c r="AD743" s="18" t="str">
        <f t="shared" si="168"/>
        <v/>
      </c>
      <c r="AE743" s="18" t="str">
        <f t="shared" si="169"/>
        <v/>
      </c>
      <c r="AF743" s="18" t="str">
        <f t="shared" si="170"/>
        <v/>
      </c>
      <c r="AG743" s="18" t="str">
        <f>IF(OR(O743="",AD743=""),"",IFERROR(INDEX(لیست‌ها!$Q$3:$Q$53,MATCH(AD743,لیست‌ها!$P$3:$P$53,0))+IF(AE743&lt;=6,(AE743-1)*31+AF743,IF(AE743&lt;=11,186+(AE743-7)*30+AF743,336+AF743))-1,""))</f>
        <v/>
      </c>
      <c r="AH743" s="18" t="str">
        <f t="shared" si="171"/>
        <v/>
      </c>
      <c r="AI743" s="18" t="str">
        <f t="shared" si="172"/>
        <v/>
      </c>
      <c r="AJ743" s="18" t="str">
        <f t="shared" ca="1" si="173"/>
        <v/>
      </c>
    </row>
    <row r="744" spans="1:36">
      <c r="A744" s="18" t="str">
        <f t="shared" si="159"/>
        <v/>
      </c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8" t="str">
        <f t="shared" ca="1" si="160"/>
        <v/>
      </c>
      <c r="U744" s="18">
        <f t="shared" ca="1" si="161"/>
        <v>0</v>
      </c>
      <c r="V744" s="18" t="str">
        <f t="shared" si="162"/>
        <v/>
      </c>
      <c r="W744" s="18" t="str">
        <f t="shared" si="163"/>
        <v/>
      </c>
      <c r="X744" s="18" t="str">
        <f t="shared" si="164"/>
        <v/>
      </c>
      <c r="Y744" s="18" t="str">
        <f>IF(OR(L744="",V744=""),"",IFERROR(INDEX(لیست‌ها!$Q$3:$Q$53,MATCH(V744,لیست‌ها!$P$3:$P$53,0))+IF(W744&lt;=6,(W744-1)*31+X744,IF(W744&lt;=11,186+(W744-7)*30+X744,336+X744))-1,""))</f>
        <v/>
      </c>
      <c r="Z744" s="18" t="str">
        <f t="shared" si="165"/>
        <v/>
      </c>
      <c r="AA744" s="18" t="str">
        <f t="shared" si="166"/>
        <v/>
      </c>
      <c r="AB744" s="18" t="str">
        <f t="shared" si="167"/>
        <v/>
      </c>
      <c r="AC744" s="18" t="str">
        <f>IF(OR(H744="",Z744=""),"",IFERROR(INDEX(لیست‌ها!$Q$3:$Q$53,MATCH(Z744,لیست‌ها!$P$3:$P$53,0))+IF(AA744&lt;=6,(AA744-1)*31+AB744,IF(AA744&lt;=11,186+(AA744-7)*30+AB744,336+AB744))-1,""))</f>
        <v/>
      </c>
      <c r="AD744" s="18" t="str">
        <f t="shared" si="168"/>
        <v/>
      </c>
      <c r="AE744" s="18" t="str">
        <f t="shared" si="169"/>
        <v/>
      </c>
      <c r="AF744" s="18" t="str">
        <f t="shared" si="170"/>
        <v/>
      </c>
      <c r="AG744" s="18" t="str">
        <f>IF(OR(O744="",AD744=""),"",IFERROR(INDEX(لیست‌ها!$Q$3:$Q$53,MATCH(AD744,لیست‌ها!$P$3:$P$53,0))+IF(AE744&lt;=6,(AE744-1)*31+AF744,IF(AE744&lt;=11,186+(AE744-7)*30+AF744,336+AF744))-1,""))</f>
        <v/>
      </c>
      <c r="AH744" s="18" t="str">
        <f t="shared" si="171"/>
        <v/>
      </c>
      <c r="AI744" s="18" t="str">
        <f t="shared" si="172"/>
        <v/>
      </c>
      <c r="AJ744" s="18" t="str">
        <f t="shared" ca="1" si="173"/>
        <v/>
      </c>
    </row>
    <row r="745" spans="1:36">
      <c r="A745" s="18" t="str">
        <f t="shared" si="159"/>
        <v/>
      </c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8" t="str">
        <f t="shared" ca="1" si="160"/>
        <v/>
      </c>
      <c r="U745" s="18">
        <f t="shared" ca="1" si="161"/>
        <v>0</v>
      </c>
      <c r="V745" s="18" t="str">
        <f t="shared" si="162"/>
        <v/>
      </c>
      <c r="W745" s="18" t="str">
        <f t="shared" si="163"/>
        <v/>
      </c>
      <c r="X745" s="18" t="str">
        <f t="shared" si="164"/>
        <v/>
      </c>
      <c r="Y745" s="18" t="str">
        <f>IF(OR(L745="",V745=""),"",IFERROR(INDEX(لیست‌ها!$Q$3:$Q$53,MATCH(V745,لیست‌ها!$P$3:$P$53,0))+IF(W745&lt;=6,(W745-1)*31+X745,IF(W745&lt;=11,186+(W745-7)*30+X745,336+X745))-1,""))</f>
        <v/>
      </c>
      <c r="Z745" s="18" t="str">
        <f t="shared" si="165"/>
        <v/>
      </c>
      <c r="AA745" s="18" t="str">
        <f t="shared" si="166"/>
        <v/>
      </c>
      <c r="AB745" s="18" t="str">
        <f t="shared" si="167"/>
        <v/>
      </c>
      <c r="AC745" s="18" t="str">
        <f>IF(OR(H745="",Z745=""),"",IFERROR(INDEX(لیست‌ها!$Q$3:$Q$53,MATCH(Z745,لیست‌ها!$P$3:$P$53,0))+IF(AA745&lt;=6,(AA745-1)*31+AB745,IF(AA745&lt;=11,186+(AA745-7)*30+AB745,336+AB745))-1,""))</f>
        <v/>
      </c>
      <c r="AD745" s="18" t="str">
        <f t="shared" si="168"/>
        <v/>
      </c>
      <c r="AE745" s="18" t="str">
        <f t="shared" si="169"/>
        <v/>
      </c>
      <c r="AF745" s="18" t="str">
        <f t="shared" si="170"/>
        <v/>
      </c>
      <c r="AG745" s="18" t="str">
        <f>IF(OR(O745="",AD745=""),"",IFERROR(INDEX(لیست‌ها!$Q$3:$Q$53,MATCH(AD745,لیست‌ها!$P$3:$P$53,0))+IF(AE745&lt;=6,(AE745-1)*31+AF745,IF(AE745&lt;=11,186+(AE745-7)*30+AF745,336+AF745))-1,""))</f>
        <v/>
      </c>
      <c r="AH745" s="18" t="str">
        <f t="shared" si="171"/>
        <v/>
      </c>
      <c r="AI745" s="18" t="str">
        <f t="shared" si="172"/>
        <v/>
      </c>
      <c r="AJ745" s="18" t="str">
        <f t="shared" ca="1" si="173"/>
        <v/>
      </c>
    </row>
    <row r="746" spans="1:36">
      <c r="A746" s="18" t="str">
        <f t="shared" si="159"/>
        <v/>
      </c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8" t="str">
        <f t="shared" ca="1" si="160"/>
        <v/>
      </c>
      <c r="U746" s="18">
        <f t="shared" ca="1" si="161"/>
        <v>0</v>
      </c>
      <c r="V746" s="18" t="str">
        <f t="shared" si="162"/>
        <v/>
      </c>
      <c r="W746" s="18" t="str">
        <f t="shared" si="163"/>
        <v/>
      </c>
      <c r="X746" s="18" t="str">
        <f t="shared" si="164"/>
        <v/>
      </c>
      <c r="Y746" s="18" t="str">
        <f>IF(OR(L746="",V746=""),"",IFERROR(INDEX(لیست‌ها!$Q$3:$Q$53,MATCH(V746,لیست‌ها!$P$3:$P$53,0))+IF(W746&lt;=6,(W746-1)*31+X746,IF(W746&lt;=11,186+(W746-7)*30+X746,336+X746))-1,""))</f>
        <v/>
      </c>
      <c r="Z746" s="18" t="str">
        <f t="shared" si="165"/>
        <v/>
      </c>
      <c r="AA746" s="18" t="str">
        <f t="shared" si="166"/>
        <v/>
      </c>
      <c r="AB746" s="18" t="str">
        <f t="shared" si="167"/>
        <v/>
      </c>
      <c r="AC746" s="18" t="str">
        <f>IF(OR(H746="",Z746=""),"",IFERROR(INDEX(لیست‌ها!$Q$3:$Q$53,MATCH(Z746,لیست‌ها!$P$3:$P$53,0))+IF(AA746&lt;=6,(AA746-1)*31+AB746,IF(AA746&lt;=11,186+(AA746-7)*30+AB746,336+AB746))-1,""))</f>
        <v/>
      </c>
      <c r="AD746" s="18" t="str">
        <f t="shared" si="168"/>
        <v/>
      </c>
      <c r="AE746" s="18" t="str">
        <f t="shared" si="169"/>
        <v/>
      </c>
      <c r="AF746" s="18" t="str">
        <f t="shared" si="170"/>
        <v/>
      </c>
      <c r="AG746" s="18" t="str">
        <f>IF(OR(O746="",AD746=""),"",IFERROR(INDEX(لیست‌ها!$Q$3:$Q$53,MATCH(AD746,لیست‌ها!$P$3:$P$53,0))+IF(AE746&lt;=6,(AE746-1)*31+AF746,IF(AE746&lt;=11,186+(AE746-7)*30+AF746,336+AF746))-1,""))</f>
        <v/>
      </c>
      <c r="AH746" s="18" t="str">
        <f t="shared" si="171"/>
        <v/>
      </c>
      <c r="AI746" s="18" t="str">
        <f t="shared" si="172"/>
        <v/>
      </c>
      <c r="AJ746" s="18" t="str">
        <f t="shared" ca="1" si="173"/>
        <v/>
      </c>
    </row>
    <row r="747" spans="1:36">
      <c r="A747" s="18" t="str">
        <f t="shared" si="159"/>
        <v/>
      </c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8" t="str">
        <f t="shared" ca="1" si="160"/>
        <v/>
      </c>
      <c r="U747" s="18">
        <f t="shared" ca="1" si="161"/>
        <v>0</v>
      </c>
      <c r="V747" s="18" t="str">
        <f t="shared" si="162"/>
        <v/>
      </c>
      <c r="W747" s="18" t="str">
        <f t="shared" si="163"/>
        <v/>
      </c>
      <c r="X747" s="18" t="str">
        <f t="shared" si="164"/>
        <v/>
      </c>
      <c r="Y747" s="18" t="str">
        <f>IF(OR(L747="",V747=""),"",IFERROR(INDEX(لیست‌ها!$Q$3:$Q$53,MATCH(V747,لیست‌ها!$P$3:$P$53,0))+IF(W747&lt;=6,(W747-1)*31+X747,IF(W747&lt;=11,186+(W747-7)*30+X747,336+X747))-1,""))</f>
        <v/>
      </c>
      <c r="Z747" s="18" t="str">
        <f t="shared" si="165"/>
        <v/>
      </c>
      <c r="AA747" s="18" t="str">
        <f t="shared" si="166"/>
        <v/>
      </c>
      <c r="AB747" s="18" t="str">
        <f t="shared" si="167"/>
        <v/>
      </c>
      <c r="AC747" s="18" t="str">
        <f>IF(OR(H747="",Z747=""),"",IFERROR(INDEX(لیست‌ها!$Q$3:$Q$53,MATCH(Z747,لیست‌ها!$P$3:$P$53,0))+IF(AA747&lt;=6,(AA747-1)*31+AB747,IF(AA747&lt;=11,186+(AA747-7)*30+AB747,336+AB747))-1,""))</f>
        <v/>
      </c>
      <c r="AD747" s="18" t="str">
        <f t="shared" si="168"/>
        <v/>
      </c>
      <c r="AE747" s="18" t="str">
        <f t="shared" si="169"/>
        <v/>
      </c>
      <c r="AF747" s="18" t="str">
        <f t="shared" si="170"/>
        <v/>
      </c>
      <c r="AG747" s="18" t="str">
        <f>IF(OR(O747="",AD747=""),"",IFERROR(INDEX(لیست‌ها!$Q$3:$Q$53,MATCH(AD747,لیست‌ها!$P$3:$P$53,0))+IF(AE747&lt;=6,(AE747-1)*31+AF747,IF(AE747&lt;=11,186+(AE747-7)*30+AF747,336+AF747))-1,""))</f>
        <v/>
      </c>
      <c r="AH747" s="18" t="str">
        <f t="shared" si="171"/>
        <v/>
      </c>
      <c r="AI747" s="18" t="str">
        <f t="shared" si="172"/>
        <v/>
      </c>
      <c r="AJ747" s="18" t="str">
        <f t="shared" ca="1" si="173"/>
        <v/>
      </c>
    </row>
    <row r="748" spans="1:36">
      <c r="A748" s="18" t="str">
        <f t="shared" si="159"/>
        <v/>
      </c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8" t="str">
        <f t="shared" ca="1" si="160"/>
        <v/>
      </c>
      <c r="U748" s="18">
        <f t="shared" ca="1" si="161"/>
        <v>0</v>
      </c>
      <c r="V748" s="18" t="str">
        <f t="shared" si="162"/>
        <v/>
      </c>
      <c r="W748" s="18" t="str">
        <f t="shared" si="163"/>
        <v/>
      </c>
      <c r="X748" s="18" t="str">
        <f t="shared" si="164"/>
        <v/>
      </c>
      <c r="Y748" s="18" t="str">
        <f>IF(OR(L748="",V748=""),"",IFERROR(INDEX(لیست‌ها!$Q$3:$Q$53,MATCH(V748,لیست‌ها!$P$3:$P$53,0))+IF(W748&lt;=6,(W748-1)*31+X748,IF(W748&lt;=11,186+(W748-7)*30+X748,336+X748))-1,""))</f>
        <v/>
      </c>
      <c r="Z748" s="18" t="str">
        <f t="shared" si="165"/>
        <v/>
      </c>
      <c r="AA748" s="18" t="str">
        <f t="shared" si="166"/>
        <v/>
      </c>
      <c r="AB748" s="18" t="str">
        <f t="shared" si="167"/>
        <v/>
      </c>
      <c r="AC748" s="18" t="str">
        <f>IF(OR(H748="",Z748=""),"",IFERROR(INDEX(لیست‌ها!$Q$3:$Q$53,MATCH(Z748,لیست‌ها!$P$3:$P$53,0))+IF(AA748&lt;=6,(AA748-1)*31+AB748,IF(AA748&lt;=11,186+(AA748-7)*30+AB748,336+AB748))-1,""))</f>
        <v/>
      </c>
      <c r="AD748" s="18" t="str">
        <f t="shared" si="168"/>
        <v/>
      </c>
      <c r="AE748" s="18" t="str">
        <f t="shared" si="169"/>
        <v/>
      </c>
      <c r="AF748" s="18" t="str">
        <f t="shared" si="170"/>
        <v/>
      </c>
      <c r="AG748" s="18" t="str">
        <f>IF(OR(O748="",AD748=""),"",IFERROR(INDEX(لیست‌ها!$Q$3:$Q$53,MATCH(AD748,لیست‌ها!$P$3:$P$53,0))+IF(AE748&lt;=6,(AE748-1)*31+AF748,IF(AE748&lt;=11,186+(AE748-7)*30+AF748,336+AF748))-1,""))</f>
        <v/>
      </c>
      <c r="AH748" s="18" t="str">
        <f t="shared" si="171"/>
        <v/>
      </c>
      <c r="AI748" s="18" t="str">
        <f t="shared" si="172"/>
        <v/>
      </c>
      <c r="AJ748" s="18" t="str">
        <f t="shared" ca="1" si="173"/>
        <v/>
      </c>
    </row>
    <row r="749" spans="1:36">
      <c r="A749" s="18" t="str">
        <f t="shared" si="159"/>
        <v/>
      </c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8" t="str">
        <f t="shared" ca="1" si="160"/>
        <v/>
      </c>
      <c r="U749" s="18">
        <f t="shared" ca="1" si="161"/>
        <v>0</v>
      </c>
      <c r="V749" s="18" t="str">
        <f t="shared" si="162"/>
        <v/>
      </c>
      <c r="W749" s="18" t="str">
        <f t="shared" si="163"/>
        <v/>
      </c>
      <c r="X749" s="18" t="str">
        <f t="shared" si="164"/>
        <v/>
      </c>
      <c r="Y749" s="18" t="str">
        <f>IF(OR(L749="",V749=""),"",IFERROR(INDEX(لیست‌ها!$Q$3:$Q$53,MATCH(V749,لیست‌ها!$P$3:$P$53,0))+IF(W749&lt;=6,(W749-1)*31+X749,IF(W749&lt;=11,186+(W749-7)*30+X749,336+X749))-1,""))</f>
        <v/>
      </c>
      <c r="Z749" s="18" t="str">
        <f t="shared" si="165"/>
        <v/>
      </c>
      <c r="AA749" s="18" t="str">
        <f t="shared" si="166"/>
        <v/>
      </c>
      <c r="AB749" s="18" t="str">
        <f t="shared" si="167"/>
        <v/>
      </c>
      <c r="AC749" s="18" t="str">
        <f>IF(OR(H749="",Z749=""),"",IFERROR(INDEX(لیست‌ها!$Q$3:$Q$53,MATCH(Z749,لیست‌ها!$P$3:$P$53,0))+IF(AA749&lt;=6,(AA749-1)*31+AB749,IF(AA749&lt;=11,186+(AA749-7)*30+AB749,336+AB749))-1,""))</f>
        <v/>
      </c>
      <c r="AD749" s="18" t="str">
        <f t="shared" si="168"/>
        <v/>
      </c>
      <c r="AE749" s="18" t="str">
        <f t="shared" si="169"/>
        <v/>
      </c>
      <c r="AF749" s="18" t="str">
        <f t="shared" si="170"/>
        <v/>
      </c>
      <c r="AG749" s="18" t="str">
        <f>IF(OR(O749="",AD749=""),"",IFERROR(INDEX(لیست‌ها!$Q$3:$Q$53,MATCH(AD749,لیست‌ها!$P$3:$P$53,0))+IF(AE749&lt;=6,(AE749-1)*31+AF749,IF(AE749&lt;=11,186+(AE749-7)*30+AF749,336+AF749))-1,""))</f>
        <v/>
      </c>
      <c r="AH749" s="18" t="str">
        <f t="shared" si="171"/>
        <v/>
      </c>
      <c r="AI749" s="18" t="str">
        <f t="shared" si="172"/>
        <v/>
      </c>
      <c r="AJ749" s="18" t="str">
        <f t="shared" ca="1" si="173"/>
        <v/>
      </c>
    </row>
    <row r="750" spans="1:36">
      <c r="A750" s="18" t="str">
        <f t="shared" si="159"/>
        <v/>
      </c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8" t="str">
        <f t="shared" ca="1" si="160"/>
        <v/>
      </c>
      <c r="U750" s="18">
        <f t="shared" ca="1" si="161"/>
        <v>0</v>
      </c>
      <c r="V750" s="18" t="str">
        <f t="shared" si="162"/>
        <v/>
      </c>
      <c r="W750" s="18" t="str">
        <f t="shared" si="163"/>
        <v/>
      </c>
      <c r="X750" s="18" t="str">
        <f t="shared" si="164"/>
        <v/>
      </c>
      <c r="Y750" s="18" t="str">
        <f>IF(OR(L750="",V750=""),"",IFERROR(INDEX(لیست‌ها!$Q$3:$Q$53,MATCH(V750,لیست‌ها!$P$3:$P$53,0))+IF(W750&lt;=6,(W750-1)*31+X750,IF(W750&lt;=11,186+(W750-7)*30+X750,336+X750))-1,""))</f>
        <v/>
      </c>
      <c r="Z750" s="18" t="str">
        <f t="shared" si="165"/>
        <v/>
      </c>
      <c r="AA750" s="18" t="str">
        <f t="shared" si="166"/>
        <v/>
      </c>
      <c r="AB750" s="18" t="str">
        <f t="shared" si="167"/>
        <v/>
      </c>
      <c r="AC750" s="18" t="str">
        <f>IF(OR(H750="",Z750=""),"",IFERROR(INDEX(لیست‌ها!$Q$3:$Q$53,MATCH(Z750,لیست‌ها!$P$3:$P$53,0))+IF(AA750&lt;=6,(AA750-1)*31+AB750,IF(AA750&lt;=11,186+(AA750-7)*30+AB750,336+AB750))-1,""))</f>
        <v/>
      </c>
      <c r="AD750" s="18" t="str">
        <f t="shared" si="168"/>
        <v/>
      </c>
      <c r="AE750" s="18" t="str">
        <f t="shared" si="169"/>
        <v/>
      </c>
      <c r="AF750" s="18" t="str">
        <f t="shared" si="170"/>
        <v/>
      </c>
      <c r="AG750" s="18" t="str">
        <f>IF(OR(O750="",AD750=""),"",IFERROR(INDEX(لیست‌ها!$Q$3:$Q$53,MATCH(AD750,لیست‌ها!$P$3:$P$53,0))+IF(AE750&lt;=6,(AE750-1)*31+AF750,IF(AE750&lt;=11,186+(AE750-7)*30+AF750,336+AF750))-1,""))</f>
        <v/>
      </c>
      <c r="AH750" s="18" t="str">
        <f t="shared" si="171"/>
        <v/>
      </c>
      <c r="AI750" s="18" t="str">
        <f t="shared" si="172"/>
        <v/>
      </c>
      <c r="AJ750" s="18" t="str">
        <f t="shared" ca="1" si="173"/>
        <v/>
      </c>
    </row>
    <row r="751" spans="1:36">
      <c r="A751" s="18" t="str">
        <f t="shared" si="159"/>
        <v/>
      </c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8" t="str">
        <f t="shared" ca="1" si="160"/>
        <v/>
      </c>
      <c r="U751" s="18">
        <f t="shared" ca="1" si="161"/>
        <v>0</v>
      </c>
      <c r="V751" s="18" t="str">
        <f t="shared" si="162"/>
        <v/>
      </c>
      <c r="W751" s="18" t="str">
        <f t="shared" si="163"/>
        <v/>
      </c>
      <c r="X751" s="18" t="str">
        <f t="shared" si="164"/>
        <v/>
      </c>
      <c r="Y751" s="18" t="str">
        <f>IF(OR(L751="",V751=""),"",IFERROR(INDEX(لیست‌ها!$Q$3:$Q$53,MATCH(V751,لیست‌ها!$P$3:$P$53,0))+IF(W751&lt;=6,(W751-1)*31+X751,IF(W751&lt;=11,186+(W751-7)*30+X751,336+X751))-1,""))</f>
        <v/>
      </c>
      <c r="Z751" s="18" t="str">
        <f t="shared" si="165"/>
        <v/>
      </c>
      <c r="AA751" s="18" t="str">
        <f t="shared" si="166"/>
        <v/>
      </c>
      <c r="AB751" s="18" t="str">
        <f t="shared" si="167"/>
        <v/>
      </c>
      <c r="AC751" s="18" t="str">
        <f>IF(OR(H751="",Z751=""),"",IFERROR(INDEX(لیست‌ها!$Q$3:$Q$53,MATCH(Z751,لیست‌ها!$P$3:$P$53,0))+IF(AA751&lt;=6,(AA751-1)*31+AB751,IF(AA751&lt;=11,186+(AA751-7)*30+AB751,336+AB751))-1,""))</f>
        <v/>
      </c>
      <c r="AD751" s="18" t="str">
        <f t="shared" si="168"/>
        <v/>
      </c>
      <c r="AE751" s="18" t="str">
        <f t="shared" si="169"/>
        <v/>
      </c>
      <c r="AF751" s="18" t="str">
        <f t="shared" si="170"/>
        <v/>
      </c>
      <c r="AG751" s="18" t="str">
        <f>IF(OR(O751="",AD751=""),"",IFERROR(INDEX(لیست‌ها!$Q$3:$Q$53,MATCH(AD751,لیست‌ها!$P$3:$P$53,0))+IF(AE751&lt;=6,(AE751-1)*31+AF751,IF(AE751&lt;=11,186+(AE751-7)*30+AF751,336+AF751))-1,""))</f>
        <v/>
      </c>
      <c r="AH751" s="18" t="str">
        <f t="shared" si="171"/>
        <v/>
      </c>
      <c r="AI751" s="18" t="str">
        <f t="shared" si="172"/>
        <v/>
      </c>
      <c r="AJ751" s="18" t="str">
        <f t="shared" ca="1" si="173"/>
        <v/>
      </c>
    </row>
    <row r="752" spans="1:36">
      <c r="A752" s="18" t="str">
        <f t="shared" si="159"/>
        <v/>
      </c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8" t="str">
        <f t="shared" ca="1" si="160"/>
        <v/>
      </c>
      <c r="U752" s="18">
        <f t="shared" ca="1" si="161"/>
        <v>0</v>
      </c>
      <c r="V752" s="18" t="str">
        <f t="shared" si="162"/>
        <v/>
      </c>
      <c r="W752" s="18" t="str">
        <f t="shared" si="163"/>
        <v/>
      </c>
      <c r="X752" s="18" t="str">
        <f t="shared" si="164"/>
        <v/>
      </c>
      <c r="Y752" s="18" t="str">
        <f>IF(OR(L752="",V752=""),"",IFERROR(INDEX(لیست‌ها!$Q$3:$Q$53,MATCH(V752,لیست‌ها!$P$3:$P$53,0))+IF(W752&lt;=6,(W752-1)*31+X752,IF(W752&lt;=11,186+(W752-7)*30+X752,336+X752))-1,""))</f>
        <v/>
      </c>
      <c r="Z752" s="18" t="str">
        <f t="shared" si="165"/>
        <v/>
      </c>
      <c r="AA752" s="18" t="str">
        <f t="shared" si="166"/>
        <v/>
      </c>
      <c r="AB752" s="18" t="str">
        <f t="shared" si="167"/>
        <v/>
      </c>
      <c r="AC752" s="18" t="str">
        <f>IF(OR(H752="",Z752=""),"",IFERROR(INDEX(لیست‌ها!$Q$3:$Q$53,MATCH(Z752,لیست‌ها!$P$3:$P$53,0))+IF(AA752&lt;=6,(AA752-1)*31+AB752,IF(AA752&lt;=11,186+(AA752-7)*30+AB752,336+AB752))-1,""))</f>
        <v/>
      </c>
      <c r="AD752" s="18" t="str">
        <f t="shared" si="168"/>
        <v/>
      </c>
      <c r="AE752" s="18" t="str">
        <f t="shared" si="169"/>
        <v/>
      </c>
      <c r="AF752" s="18" t="str">
        <f t="shared" si="170"/>
        <v/>
      </c>
      <c r="AG752" s="18" t="str">
        <f>IF(OR(O752="",AD752=""),"",IFERROR(INDEX(لیست‌ها!$Q$3:$Q$53,MATCH(AD752,لیست‌ها!$P$3:$P$53,0))+IF(AE752&lt;=6,(AE752-1)*31+AF752,IF(AE752&lt;=11,186+(AE752-7)*30+AF752,336+AF752))-1,""))</f>
        <v/>
      </c>
      <c r="AH752" s="18" t="str">
        <f t="shared" si="171"/>
        <v/>
      </c>
      <c r="AI752" s="18" t="str">
        <f t="shared" si="172"/>
        <v/>
      </c>
      <c r="AJ752" s="18" t="str">
        <f t="shared" ca="1" si="173"/>
        <v/>
      </c>
    </row>
    <row r="753" spans="1:36">
      <c r="A753" s="18" t="str">
        <f t="shared" si="159"/>
        <v/>
      </c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8" t="str">
        <f t="shared" ca="1" si="160"/>
        <v/>
      </c>
      <c r="U753" s="18">
        <f t="shared" ca="1" si="161"/>
        <v>0</v>
      </c>
      <c r="V753" s="18" t="str">
        <f t="shared" si="162"/>
        <v/>
      </c>
      <c r="W753" s="18" t="str">
        <f t="shared" si="163"/>
        <v/>
      </c>
      <c r="X753" s="18" t="str">
        <f t="shared" si="164"/>
        <v/>
      </c>
      <c r="Y753" s="18" t="str">
        <f>IF(OR(L753="",V753=""),"",IFERROR(INDEX(لیست‌ها!$Q$3:$Q$53,MATCH(V753,لیست‌ها!$P$3:$P$53,0))+IF(W753&lt;=6,(W753-1)*31+X753,IF(W753&lt;=11,186+(W753-7)*30+X753,336+X753))-1,""))</f>
        <v/>
      </c>
      <c r="Z753" s="18" t="str">
        <f t="shared" si="165"/>
        <v/>
      </c>
      <c r="AA753" s="18" t="str">
        <f t="shared" si="166"/>
        <v/>
      </c>
      <c r="AB753" s="18" t="str">
        <f t="shared" si="167"/>
        <v/>
      </c>
      <c r="AC753" s="18" t="str">
        <f>IF(OR(H753="",Z753=""),"",IFERROR(INDEX(لیست‌ها!$Q$3:$Q$53,MATCH(Z753,لیست‌ها!$P$3:$P$53,0))+IF(AA753&lt;=6,(AA753-1)*31+AB753,IF(AA753&lt;=11,186+(AA753-7)*30+AB753,336+AB753))-1,""))</f>
        <v/>
      </c>
      <c r="AD753" s="18" t="str">
        <f t="shared" si="168"/>
        <v/>
      </c>
      <c r="AE753" s="18" t="str">
        <f t="shared" si="169"/>
        <v/>
      </c>
      <c r="AF753" s="18" t="str">
        <f t="shared" si="170"/>
        <v/>
      </c>
      <c r="AG753" s="18" t="str">
        <f>IF(OR(O753="",AD753=""),"",IFERROR(INDEX(لیست‌ها!$Q$3:$Q$53,MATCH(AD753,لیست‌ها!$P$3:$P$53,0))+IF(AE753&lt;=6,(AE753-1)*31+AF753,IF(AE753&lt;=11,186+(AE753-7)*30+AF753,336+AF753))-1,""))</f>
        <v/>
      </c>
      <c r="AH753" s="18" t="str">
        <f t="shared" si="171"/>
        <v/>
      </c>
      <c r="AI753" s="18" t="str">
        <f t="shared" si="172"/>
        <v/>
      </c>
      <c r="AJ753" s="18" t="str">
        <f t="shared" ca="1" si="173"/>
        <v/>
      </c>
    </row>
    <row r="754" spans="1:36">
      <c r="A754" s="18" t="str">
        <f t="shared" si="159"/>
        <v/>
      </c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8" t="str">
        <f t="shared" ca="1" si="160"/>
        <v/>
      </c>
      <c r="U754" s="18">
        <f t="shared" ca="1" si="161"/>
        <v>0</v>
      </c>
      <c r="V754" s="18" t="str">
        <f t="shared" si="162"/>
        <v/>
      </c>
      <c r="W754" s="18" t="str">
        <f t="shared" si="163"/>
        <v/>
      </c>
      <c r="X754" s="18" t="str">
        <f t="shared" si="164"/>
        <v/>
      </c>
      <c r="Y754" s="18" t="str">
        <f>IF(OR(L754="",V754=""),"",IFERROR(INDEX(لیست‌ها!$Q$3:$Q$53,MATCH(V754,لیست‌ها!$P$3:$P$53,0))+IF(W754&lt;=6,(W754-1)*31+X754,IF(W754&lt;=11,186+(W754-7)*30+X754,336+X754))-1,""))</f>
        <v/>
      </c>
      <c r="Z754" s="18" t="str">
        <f t="shared" si="165"/>
        <v/>
      </c>
      <c r="AA754" s="18" t="str">
        <f t="shared" si="166"/>
        <v/>
      </c>
      <c r="AB754" s="18" t="str">
        <f t="shared" si="167"/>
        <v/>
      </c>
      <c r="AC754" s="18" t="str">
        <f>IF(OR(H754="",Z754=""),"",IFERROR(INDEX(لیست‌ها!$Q$3:$Q$53,MATCH(Z754,لیست‌ها!$P$3:$P$53,0))+IF(AA754&lt;=6,(AA754-1)*31+AB754,IF(AA754&lt;=11,186+(AA754-7)*30+AB754,336+AB754))-1,""))</f>
        <v/>
      </c>
      <c r="AD754" s="18" t="str">
        <f t="shared" si="168"/>
        <v/>
      </c>
      <c r="AE754" s="18" t="str">
        <f t="shared" si="169"/>
        <v/>
      </c>
      <c r="AF754" s="18" t="str">
        <f t="shared" si="170"/>
        <v/>
      </c>
      <c r="AG754" s="18" t="str">
        <f>IF(OR(O754="",AD754=""),"",IFERROR(INDEX(لیست‌ها!$Q$3:$Q$53,MATCH(AD754,لیست‌ها!$P$3:$P$53,0))+IF(AE754&lt;=6,(AE754-1)*31+AF754,IF(AE754&lt;=11,186+(AE754-7)*30+AF754,336+AF754))-1,""))</f>
        <v/>
      </c>
      <c r="AH754" s="18" t="str">
        <f t="shared" si="171"/>
        <v/>
      </c>
      <c r="AI754" s="18" t="str">
        <f t="shared" si="172"/>
        <v/>
      </c>
      <c r="AJ754" s="18" t="str">
        <f t="shared" ca="1" si="173"/>
        <v/>
      </c>
    </row>
    <row r="755" spans="1:36">
      <c r="A755" s="18" t="str">
        <f t="shared" si="159"/>
        <v/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8" t="str">
        <f t="shared" ca="1" si="160"/>
        <v/>
      </c>
      <c r="U755" s="18">
        <f t="shared" ca="1" si="161"/>
        <v>0</v>
      </c>
      <c r="V755" s="18" t="str">
        <f t="shared" si="162"/>
        <v/>
      </c>
      <c r="W755" s="18" t="str">
        <f t="shared" si="163"/>
        <v/>
      </c>
      <c r="X755" s="18" t="str">
        <f t="shared" si="164"/>
        <v/>
      </c>
      <c r="Y755" s="18" t="str">
        <f>IF(OR(L755="",V755=""),"",IFERROR(INDEX(لیست‌ها!$Q$3:$Q$53,MATCH(V755,لیست‌ها!$P$3:$P$53,0))+IF(W755&lt;=6,(W755-1)*31+X755,IF(W755&lt;=11,186+(W755-7)*30+X755,336+X755))-1,""))</f>
        <v/>
      </c>
      <c r="Z755" s="18" t="str">
        <f t="shared" si="165"/>
        <v/>
      </c>
      <c r="AA755" s="18" t="str">
        <f t="shared" si="166"/>
        <v/>
      </c>
      <c r="AB755" s="18" t="str">
        <f t="shared" si="167"/>
        <v/>
      </c>
      <c r="AC755" s="18" t="str">
        <f>IF(OR(H755="",Z755=""),"",IFERROR(INDEX(لیست‌ها!$Q$3:$Q$53,MATCH(Z755,لیست‌ها!$P$3:$P$53,0))+IF(AA755&lt;=6,(AA755-1)*31+AB755,IF(AA755&lt;=11,186+(AA755-7)*30+AB755,336+AB755))-1,""))</f>
        <v/>
      </c>
      <c r="AD755" s="18" t="str">
        <f t="shared" si="168"/>
        <v/>
      </c>
      <c r="AE755" s="18" t="str">
        <f t="shared" si="169"/>
        <v/>
      </c>
      <c r="AF755" s="18" t="str">
        <f t="shared" si="170"/>
        <v/>
      </c>
      <c r="AG755" s="18" t="str">
        <f>IF(OR(O755="",AD755=""),"",IFERROR(INDEX(لیست‌ها!$Q$3:$Q$53,MATCH(AD755,لیست‌ها!$P$3:$P$53,0))+IF(AE755&lt;=6,(AE755-1)*31+AF755,IF(AE755&lt;=11,186+(AE755-7)*30+AF755,336+AF755))-1,""))</f>
        <v/>
      </c>
      <c r="AH755" s="18" t="str">
        <f t="shared" si="171"/>
        <v/>
      </c>
      <c r="AI755" s="18" t="str">
        <f t="shared" si="172"/>
        <v/>
      </c>
      <c r="AJ755" s="18" t="str">
        <f t="shared" ca="1" si="173"/>
        <v/>
      </c>
    </row>
    <row r="756" spans="1:36">
      <c r="A756" s="18" t="str">
        <f t="shared" si="159"/>
        <v/>
      </c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8" t="str">
        <f t="shared" ca="1" si="160"/>
        <v/>
      </c>
      <c r="U756" s="18">
        <f t="shared" ca="1" si="161"/>
        <v>0</v>
      </c>
      <c r="V756" s="18" t="str">
        <f t="shared" si="162"/>
        <v/>
      </c>
      <c r="W756" s="18" t="str">
        <f t="shared" si="163"/>
        <v/>
      </c>
      <c r="X756" s="18" t="str">
        <f t="shared" si="164"/>
        <v/>
      </c>
      <c r="Y756" s="18" t="str">
        <f>IF(OR(L756="",V756=""),"",IFERROR(INDEX(لیست‌ها!$Q$3:$Q$53,MATCH(V756,لیست‌ها!$P$3:$P$53,0))+IF(W756&lt;=6,(W756-1)*31+X756,IF(W756&lt;=11,186+(W756-7)*30+X756,336+X756))-1,""))</f>
        <v/>
      </c>
      <c r="Z756" s="18" t="str">
        <f t="shared" si="165"/>
        <v/>
      </c>
      <c r="AA756" s="18" t="str">
        <f t="shared" si="166"/>
        <v/>
      </c>
      <c r="AB756" s="18" t="str">
        <f t="shared" si="167"/>
        <v/>
      </c>
      <c r="AC756" s="18" t="str">
        <f>IF(OR(H756="",Z756=""),"",IFERROR(INDEX(لیست‌ها!$Q$3:$Q$53,MATCH(Z756,لیست‌ها!$P$3:$P$53,0))+IF(AA756&lt;=6,(AA756-1)*31+AB756,IF(AA756&lt;=11,186+(AA756-7)*30+AB756,336+AB756))-1,""))</f>
        <v/>
      </c>
      <c r="AD756" s="18" t="str">
        <f t="shared" si="168"/>
        <v/>
      </c>
      <c r="AE756" s="18" t="str">
        <f t="shared" si="169"/>
        <v/>
      </c>
      <c r="AF756" s="18" t="str">
        <f t="shared" si="170"/>
        <v/>
      </c>
      <c r="AG756" s="18" t="str">
        <f>IF(OR(O756="",AD756=""),"",IFERROR(INDEX(لیست‌ها!$Q$3:$Q$53,MATCH(AD756,لیست‌ها!$P$3:$P$53,0))+IF(AE756&lt;=6,(AE756-1)*31+AF756,IF(AE756&lt;=11,186+(AE756-7)*30+AF756,336+AF756))-1,""))</f>
        <v/>
      </c>
      <c r="AH756" s="18" t="str">
        <f t="shared" si="171"/>
        <v/>
      </c>
      <c r="AI756" s="18" t="str">
        <f t="shared" si="172"/>
        <v/>
      </c>
      <c r="AJ756" s="18" t="str">
        <f t="shared" ca="1" si="173"/>
        <v/>
      </c>
    </row>
    <row r="757" spans="1:36">
      <c r="A757" s="18" t="str">
        <f t="shared" si="159"/>
        <v/>
      </c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8" t="str">
        <f t="shared" ca="1" si="160"/>
        <v/>
      </c>
      <c r="U757" s="18">
        <f t="shared" ca="1" si="161"/>
        <v>0</v>
      </c>
      <c r="V757" s="18" t="str">
        <f t="shared" si="162"/>
        <v/>
      </c>
      <c r="W757" s="18" t="str">
        <f t="shared" si="163"/>
        <v/>
      </c>
      <c r="X757" s="18" t="str">
        <f t="shared" si="164"/>
        <v/>
      </c>
      <c r="Y757" s="18" t="str">
        <f>IF(OR(L757="",V757=""),"",IFERROR(INDEX(لیست‌ها!$Q$3:$Q$53,MATCH(V757,لیست‌ها!$P$3:$P$53,0))+IF(W757&lt;=6,(W757-1)*31+X757,IF(W757&lt;=11,186+(W757-7)*30+X757,336+X757))-1,""))</f>
        <v/>
      </c>
      <c r="Z757" s="18" t="str">
        <f t="shared" si="165"/>
        <v/>
      </c>
      <c r="AA757" s="18" t="str">
        <f t="shared" si="166"/>
        <v/>
      </c>
      <c r="AB757" s="18" t="str">
        <f t="shared" si="167"/>
        <v/>
      </c>
      <c r="AC757" s="18" t="str">
        <f>IF(OR(H757="",Z757=""),"",IFERROR(INDEX(لیست‌ها!$Q$3:$Q$53,MATCH(Z757,لیست‌ها!$P$3:$P$53,0))+IF(AA757&lt;=6,(AA757-1)*31+AB757,IF(AA757&lt;=11,186+(AA757-7)*30+AB757,336+AB757))-1,""))</f>
        <v/>
      </c>
      <c r="AD757" s="18" t="str">
        <f t="shared" si="168"/>
        <v/>
      </c>
      <c r="AE757" s="18" t="str">
        <f t="shared" si="169"/>
        <v/>
      </c>
      <c r="AF757" s="18" t="str">
        <f t="shared" si="170"/>
        <v/>
      </c>
      <c r="AG757" s="18" t="str">
        <f>IF(OR(O757="",AD757=""),"",IFERROR(INDEX(لیست‌ها!$Q$3:$Q$53,MATCH(AD757,لیست‌ها!$P$3:$P$53,0))+IF(AE757&lt;=6,(AE757-1)*31+AF757,IF(AE757&lt;=11,186+(AE757-7)*30+AF757,336+AF757))-1,""))</f>
        <v/>
      </c>
      <c r="AH757" s="18" t="str">
        <f t="shared" si="171"/>
        <v/>
      </c>
      <c r="AI757" s="18" t="str">
        <f t="shared" si="172"/>
        <v/>
      </c>
      <c r="AJ757" s="18" t="str">
        <f t="shared" ca="1" si="173"/>
        <v/>
      </c>
    </row>
    <row r="758" spans="1:36">
      <c r="A758" s="18" t="str">
        <f t="shared" si="159"/>
        <v/>
      </c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8" t="str">
        <f t="shared" ca="1" si="160"/>
        <v/>
      </c>
      <c r="U758" s="18">
        <f t="shared" ca="1" si="161"/>
        <v>0</v>
      </c>
      <c r="V758" s="18" t="str">
        <f t="shared" si="162"/>
        <v/>
      </c>
      <c r="W758" s="18" t="str">
        <f t="shared" si="163"/>
        <v/>
      </c>
      <c r="X758" s="18" t="str">
        <f t="shared" si="164"/>
        <v/>
      </c>
      <c r="Y758" s="18" t="str">
        <f>IF(OR(L758="",V758=""),"",IFERROR(INDEX(لیست‌ها!$Q$3:$Q$53,MATCH(V758,لیست‌ها!$P$3:$P$53,0))+IF(W758&lt;=6,(W758-1)*31+X758,IF(W758&lt;=11,186+(W758-7)*30+X758,336+X758))-1,""))</f>
        <v/>
      </c>
      <c r="Z758" s="18" t="str">
        <f t="shared" si="165"/>
        <v/>
      </c>
      <c r="AA758" s="18" t="str">
        <f t="shared" si="166"/>
        <v/>
      </c>
      <c r="AB758" s="18" t="str">
        <f t="shared" si="167"/>
        <v/>
      </c>
      <c r="AC758" s="18" t="str">
        <f>IF(OR(H758="",Z758=""),"",IFERROR(INDEX(لیست‌ها!$Q$3:$Q$53,MATCH(Z758,لیست‌ها!$P$3:$P$53,0))+IF(AA758&lt;=6,(AA758-1)*31+AB758,IF(AA758&lt;=11,186+(AA758-7)*30+AB758,336+AB758))-1,""))</f>
        <v/>
      </c>
      <c r="AD758" s="18" t="str">
        <f t="shared" si="168"/>
        <v/>
      </c>
      <c r="AE758" s="18" t="str">
        <f t="shared" si="169"/>
        <v/>
      </c>
      <c r="AF758" s="18" t="str">
        <f t="shared" si="170"/>
        <v/>
      </c>
      <c r="AG758" s="18" t="str">
        <f>IF(OR(O758="",AD758=""),"",IFERROR(INDEX(لیست‌ها!$Q$3:$Q$53,MATCH(AD758,لیست‌ها!$P$3:$P$53,0))+IF(AE758&lt;=6,(AE758-1)*31+AF758,IF(AE758&lt;=11,186+(AE758-7)*30+AF758,336+AF758))-1,""))</f>
        <v/>
      </c>
      <c r="AH758" s="18" t="str">
        <f t="shared" si="171"/>
        <v/>
      </c>
      <c r="AI758" s="18" t="str">
        <f t="shared" si="172"/>
        <v/>
      </c>
      <c r="AJ758" s="18" t="str">
        <f t="shared" ca="1" si="173"/>
        <v/>
      </c>
    </row>
    <row r="759" spans="1:36">
      <c r="A759" s="18" t="str">
        <f t="shared" si="159"/>
        <v/>
      </c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8" t="str">
        <f t="shared" ca="1" si="160"/>
        <v/>
      </c>
      <c r="U759" s="18">
        <f t="shared" ca="1" si="161"/>
        <v>0</v>
      </c>
      <c r="V759" s="18" t="str">
        <f t="shared" si="162"/>
        <v/>
      </c>
      <c r="W759" s="18" t="str">
        <f t="shared" si="163"/>
        <v/>
      </c>
      <c r="X759" s="18" t="str">
        <f t="shared" si="164"/>
        <v/>
      </c>
      <c r="Y759" s="18" t="str">
        <f>IF(OR(L759="",V759=""),"",IFERROR(INDEX(لیست‌ها!$Q$3:$Q$53,MATCH(V759,لیست‌ها!$P$3:$P$53,0))+IF(W759&lt;=6,(W759-1)*31+X759,IF(W759&lt;=11,186+(W759-7)*30+X759,336+X759))-1,""))</f>
        <v/>
      </c>
      <c r="Z759" s="18" t="str">
        <f t="shared" si="165"/>
        <v/>
      </c>
      <c r="AA759" s="18" t="str">
        <f t="shared" si="166"/>
        <v/>
      </c>
      <c r="AB759" s="18" t="str">
        <f t="shared" si="167"/>
        <v/>
      </c>
      <c r="AC759" s="18" t="str">
        <f>IF(OR(H759="",Z759=""),"",IFERROR(INDEX(لیست‌ها!$Q$3:$Q$53,MATCH(Z759,لیست‌ها!$P$3:$P$53,0))+IF(AA759&lt;=6,(AA759-1)*31+AB759,IF(AA759&lt;=11,186+(AA759-7)*30+AB759,336+AB759))-1,""))</f>
        <v/>
      </c>
      <c r="AD759" s="18" t="str">
        <f t="shared" si="168"/>
        <v/>
      </c>
      <c r="AE759" s="18" t="str">
        <f t="shared" si="169"/>
        <v/>
      </c>
      <c r="AF759" s="18" t="str">
        <f t="shared" si="170"/>
        <v/>
      </c>
      <c r="AG759" s="18" t="str">
        <f>IF(OR(O759="",AD759=""),"",IFERROR(INDEX(لیست‌ها!$Q$3:$Q$53,MATCH(AD759,لیست‌ها!$P$3:$P$53,0))+IF(AE759&lt;=6,(AE759-1)*31+AF759,IF(AE759&lt;=11,186+(AE759-7)*30+AF759,336+AF759))-1,""))</f>
        <v/>
      </c>
      <c r="AH759" s="18" t="str">
        <f t="shared" si="171"/>
        <v/>
      </c>
      <c r="AI759" s="18" t="str">
        <f t="shared" si="172"/>
        <v/>
      </c>
      <c r="AJ759" s="18" t="str">
        <f t="shared" ca="1" si="173"/>
        <v/>
      </c>
    </row>
    <row r="760" spans="1:36">
      <c r="A760" s="18" t="str">
        <f t="shared" si="159"/>
        <v/>
      </c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8" t="str">
        <f t="shared" ca="1" si="160"/>
        <v/>
      </c>
      <c r="U760" s="18">
        <f t="shared" ca="1" si="161"/>
        <v>0</v>
      </c>
      <c r="V760" s="18" t="str">
        <f t="shared" si="162"/>
        <v/>
      </c>
      <c r="W760" s="18" t="str">
        <f t="shared" si="163"/>
        <v/>
      </c>
      <c r="X760" s="18" t="str">
        <f t="shared" si="164"/>
        <v/>
      </c>
      <c r="Y760" s="18" t="str">
        <f>IF(OR(L760="",V760=""),"",IFERROR(INDEX(لیست‌ها!$Q$3:$Q$53,MATCH(V760,لیست‌ها!$P$3:$P$53,0))+IF(W760&lt;=6,(W760-1)*31+X760,IF(W760&lt;=11,186+(W760-7)*30+X760,336+X760))-1,""))</f>
        <v/>
      </c>
      <c r="Z760" s="18" t="str">
        <f t="shared" si="165"/>
        <v/>
      </c>
      <c r="AA760" s="18" t="str">
        <f t="shared" si="166"/>
        <v/>
      </c>
      <c r="AB760" s="18" t="str">
        <f t="shared" si="167"/>
        <v/>
      </c>
      <c r="AC760" s="18" t="str">
        <f>IF(OR(H760="",Z760=""),"",IFERROR(INDEX(لیست‌ها!$Q$3:$Q$53,MATCH(Z760,لیست‌ها!$P$3:$P$53,0))+IF(AA760&lt;=6,(AA760-1)*31+AB760,IF(AA760&lt;=11,186+(AA760-7)*30+AB760,336+AB760))-1,""))</f>
        <v/>
      </c>
      <c r="AD760" s="18" t="str">
        <f t="shared" si="168"/>
        <v/>
      </c>
      <c r="AE760" s="18" t="str">
        <f t="shared" si="169"/>
        <v/>
      </c>
      <c r="AF760" s="18" t="str">
        <f t="shared" si="170"/>
        <v/>
      </c>
      <c r="AG760" s="18" t="str">
        <f>IF(OR(O760="",AD760=""),"",IFERROR(INDEX(لیست‌ها!$Q$3:$Q$53,MATCH(AD760,لیست‌ها!$P$3:$P$53,0))+IF(AE760&lt;=6,(AE760-1)*31+AF760,IF(AE760&lt;=11,186+(AE760-7)*30+AF760,336+AF760))-1,""))</f>
        <v/>
      </c>
      <c r="AH760" s="18" t="str">
        <f t="shared" si="171"/>
        <v/>
      </c>
      <c r="AI760" s="18" t="str">
        <f t="shared" si="172"/>
        <v/>
      </c>
      <c r="AJ760" s="18" t="str">
        <f t="shared" ca="1" si="173"/>
        <v/>
      </c>
    </row>
    <row r="761" spans="1:36">
      <c r="A761" s="18" t="str">
        <f t="shared" si="159"/>
        <v/>
      </c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8" t="str">
        <f t="shared" ca="1" si="160"/>
        <v/>
      </c>
      <c r="U761" s="18">
        <f t="shared" ca="1" si="161"/>
        <v>0</v>
      </c>
      <c r="V761" s="18" t="str">
        <f t="shared" si="162"/>
        <v/>
      </c>
      <c r="W761" s="18" t="str">
        <f t="shared" si="163"/>
        <v/>
      </c>
      <c r="X761" s="18" t="str">
        <f t="shared" si="164"/>
        <v/>
      </c>
      <c r="Y761" s="18" t="str">
        <f>IF(OR(L761="",V761=""),"",IFERROR(INDEX(لیست‌ها!$Q$3:$Q$53,MATCH(V761,لیست‌ها!$P$3:$P$53,0))+IF(W761&lt;=6,(W761-1)*31+X761,IF(W761&lt;=11,186+(W761-7)*30+X761,336+X761))-1,""))</f>
        <v/>
      </c>
      <c r="Z761" s="18" t="str">
        <f t="shared" si="165"/>
        <v/>
      </c>
      <c r="AA761" s="18" t="str">
        <f t="shared" si="166"/>
        <v/>
      </c>
      <c r="AB761" s="18" t="str">
        <f t="shared" si="167"/>
        <v/>
      </c>
      <c r="AC761" s="18" t="str">
        <f>IF(OR(H761="",Z761=""),"",IFERROR(INDEX(لیست‌ها!$Q$3:$Q$53,MATCH(Z761,لیست‌ها!$P$3:$P$53,0))+IF(AA761&lt;=6,(AA761-1)*31+AB761,IF(AA761&lt;=11,186+(AA761-7)*30+AB761,336+AB761))-1,""))</f>
        <v/>
      </c>
      <c r="AD761" s="18" t="str">
        <f t="shared" si="168"/>
        <v/>
      </c>
      <c r="AE761" s="18" t="str">
        <f t="shared" si="169"/>
        <v/>
      </c>
      <c r="AF761" s="18" t="str">
        <f t="shared" si="170"/>
        <v/>
      </c>
      <c r="AG761" s="18" t="str">
        <f>IF(OR(O761="",AD761=""),"",IFERROR(INDEX(لیست‌ها!$Q$3:$Q$53,MATCH(AD761,لیست‌ها!$P$3:$P$53,0))+IF(AE761&lt;=6,(AE761-1)*31+AF761,IF(AE761&lt;=11,186+(AE761-7)*30+AF761,336+AF761))-1,""))</f>
        <v/>
      </c>
      <c r="AH761" s="18" t="str">
        <f t="shared" si="171"/>
        <v/>
      </c>
      <c r="AI761" s="18" t="str">
        <f t="shared" si="172"/>
        <v/>
      </c>
      <c r="AJ761" s="18" t="str">
        <f t="shared" ca="1" si="173"/>
        <v/>
      </c>
    </row>
    <row r="762" spans="1:36">
      <c r="A762" s="18" t="str">
        <f t="shared" si="159"/>
        <v/>
      </c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8" t="str">
        <f t="shared" ca="1" si="160"/>
        <v/>
      </c>
      <c r="U762" s="18">
        <f t="shared" ca="1" si="161"/>
        <v>0</v>
      </c>
      <c r="V762" s="18" t="str">
        <f t="shared" si="162"/>
        <v/>
      </c>
      <c r="W762" s="18" t="str">
        <f t="shared" si="163"/>
        <v/>
      </c>
      <c r="X762" s="18" t="str">
        <f t="shared" si="164"/>
        <v/>
      </c>
      <c r="Y762" s="18" t="str">
        <f>IF(OR(L762="",V762=""),"",IFERROR(INDEX(لیست‌ها!$Q$3:$Q$53,MATCH(V762,لیست‌ها!$P$3:$P$53,0))+IF(W762&lt;=6,(W762-1)*31+X762,IF(W762&lt;=11,186+(W762-7)*30+X762,336+X762))-1,""))</f>
        <v/>
      </c>
      <c r="Z762" s="18" t="str">
        <f t="shared" si="165"/>
        <v/>
      </c>
      <c r="AA762" s="18" t="str">
        <f t="shared" si="166"/>
        <v/>
      </c>
      <c r="AB762" s="18" t="str">
        <f t="shared" si="167"/>
        <v/>
      </c>
      <c r="AC762" s="18" t="str">
        <f>IF(OR(H762="",Z762=""),"",IFERROR(INDEX(لیست‌ها!$Q$3:$Q$53,MATCH(Z762,لیست‌ها!$P$3:$P$53,0))+IF(AA762&lt;=6,(AA762-1)*31+AB762,IF(AA762&lt;=11,186+(AA762-7)*30+AB762,336+AB762))-1,""))</f>
        <v/>
      </c>
      <c r="AD762" s="18" t="str">
        <f t="shared" si="168"/>
        <v/>
      </c>
      <c r="AE762" s="18" t="str">
        <f t="shared" si="169"/>
        <v/>
      </c>
      <c r="AF762" s="18" t="str">
        <f t="shared" si="170"/>
        <v/>
      </c>
      <c r="AG762" s="18" t="str">
        <f>IF(OR(O762="",AD762=""),"",IFERROR(INDEX(لیست‌ها!$Q$3:$Q$53,MATCH(AD762,لیست‌ها!$P$3:$P$53,0))+IF(AE762&lt;=6,(AE762-1)*31+AF762,IF(AE762&lt;=11,186+(AE762-7)*30+AF762,336+AF762))-1,""))</f>
        <v/>
      </c>
      <c r="AH762" s="18" t="str">
        <f t="shared" si="171"/>
        <v/>
      </c>
      <c r="AI762" s="18" t="str">
        <f t="shared" si="172"/>
        <v/>
      </c>
      <c r="AJ762" s="18" t="str">
        <f t="shared" ca="1" si="173"/>
        <v/>
      </c>
    </row>
    <row r="763" spans="1:36">
      <c r="A763" s="18" t="str">
        <f t="shared" si="159"/>
        <v/>
      </c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8" t="str">
        <f t="shared" ca="1" si="160"/>
        <v/>
      </c>
      <c r="U763" s="18">
        <f t="shared" ca="1" si="161"/>
        <v>0</v>
      </c>
      <c r="V763" s="18" t="str">
        <f t="shared" si="162"/>
        <v/>
      </c>
      <c r="W763" s="18" t="str">
        <f t="shared" si="163"/>
        <v/>
      </c>
      <c r="X763" s="18" t="str">
        <f t="shared" si="164"/>
        <v/>
      </c>
      <c r="Y763" s="18" t="str">
        <f>IF(OR(L763="",V763=""),"",IFERROR(INDEX(لیست‌ها!$Q$3:$Q$53,MATCH(V763,لیست‌ها!$P$3:$P$53,0))+IF(W763&lt;=6,(W763-1)*31+X763,IF(W763&lt;=11,186+(W763-7)*30+X763,336+X763))-1,""))</f>
        <v/>
      </c>
      <c r="Z763" s="18" t="str">
        <f t="shared" si="165"/>
        <v/>
      </c>
      <c r="AA763" s="18" t="str">
        <f t="shared" si="166"/>
        <v/>
      </c>
      <c r="AB763" s="18" t="str">
        <f t="shared" si="167"/>
        <v/>
      </c>
      <c r="AC763" s="18" t="str">
        <f>IF(OR(H763="",Z763=""),"",IFERROR(INDEX(لیست‌ها!$Q$3:$Q$53,MATCH(Z763,لیست‌ها!$P$3:$P$53,0))+IF(AA763&lt;=6,(AA763-1)*31+AB763,IF(AA763&lt;=11,186+(AA763-7)*30+AB763,336+AB763))-1,""))</f>
        <v/>
      </c>
      <c r="AD763" s="18" t="str">
        <f t="shared" si="168"/>
        <v/>
      </c>
      <c r="AE763" s="18" t="str">
        <f t="shared" si="169"/>
        <v/>
      </c>
      <c r="AF763" s="18" t="str">
        <f t="shared" si="170"/>
        <v/>
      </c>
      <c r="AG763" s="18" t="str">
        <f>IF(OR(O763="",AD763=""),"",IFERROR(INDEX(لیست‌ها!$Q$3:$Q$53,MATCH(AD763,لیست‌ها!$P$3:$P$53,0))+IF(AE763&lt;=6,(AE763-1)*31+AF763,IF(AE763&lt;=11,186+(AE763-7)*30+AF763,336+AF763))-1,""))</f>
        <v/>
      </c>
      <c r="AH763" s="18" t="str">
        <f t="shared" si="171"/>
        <v/>
      </c>
      <c r="AI763" s="18" t="str">
        <f t="shared" si="172"/>
        <v/>
      </c>
      <c r="AJ763" s="18" t="str">
        <f t="shared" ca="1" si="173"/>
        <v/>
      </c>
    </row>
    <row r="764" spans="1:36">
      <c r="A764" s="18" t="str">
        <f t="shared" si="159"/>
        <v/>
      </c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8" t="str">
        <f t="shared" ca="1" si="160"/>
        <v/>
      </c>
      <c r="U764" s="18">
        <f t="shared" ca="1" si="161"/>
        <v>0</v>
      </c>
      <c r="V764" s="18" t="str">
        <f t="shared" si="162"/>
        <v/>
      </c>
      <c r="W764" s="18" t="str">
        <f t="shared" si="163"/>
        <v/>
      </c>
      <c r="X764" s="18" t="str">
        <f t="shared" si="164"/>
        <v/>
      </c>
      <c r="Y764" s="18" t="str">
        <f>IF(OR(L764="",V764=""),"",IFERROR(INDEX(لیست‌ها!$Q$3:$Q$53,MATCH(V764,لیست‌ها!$P$3:$P$53,0))+IF(W764&lt;=6,(W764-1)*31+X764,IF(W764&lt;=11,186+(W764-7)*30+X764,336+X764))-1,""))</f>
        <v/>
      </c>
      <c r="Z764" s="18" t="str">
        <f t="shared" si="165"/>
        <v/>
      </c>
      <c r="AA764" s="18" t="str">
        <f t="shared" si="166"/>
        <v/>
      </c>
      <c r="AB764" s="18" t="str">
        <f t="shared" si="167"/>
        <v/>
      </c>
      <c r="AC764" s="18" t="str">
        <f>IF(OR(H764="",Z764=""),"",IFERROR(INDEX(لیست‌ها!$Q$3:$Q$53,MATCH(Z764,لیست‌ها!$P$3:$P$53,0))+IF(AA764&lt;=6,(AA764-1)*31+AB764,IF(AA764&lt;=11,186+(AA764-7)*30+AB764,336+AB764))-1,""))</f>
        <v/>
      </c>
      <c r="AD764" s="18" t="str">
        <f t="shared" si="168"/>
        <v/>
      </c>
      <c r="AE764" s="18" t="str">
        <f t="shared" si="169"/>
        <v/>
      </c>
      <c r="AF764" s="18" t="str">
        <f t="shared" si="170"/>
        <v/>
      </c>
      <c r="AG764" s="18" t="str">
        <f>IF(OR(O764="",AD764=""),"",IFERROR(INDEX(لیست‌ها!$Q$3:$Q$53,MATCH(AD764,لیست‌ها!$P$3:$P$53,0))+IF(AE764&lt;=6,(AE764-1)*31+AF764,IF(AE764&lt;=11,186+(AE764-7)*30+AF764,336+AF764))-1,""))</f>
        <v/>
      </c>
      <c r="AH764" s="18" t="str">
        <f t="shared" si="171"/>
        <v/>
      </c>
      <c r="AI764" s="18" t="str">
        <f t="shared" si="172"/>
        <v/>
      </c>
      <c r="AJ764" s="18" t="str">
        <f t="shared" ca="1" si="173"/>
        <v/>
      </c>
    </row>
    <row r="765" spans="1:36">
      <c r="A765" s="18" t="str">
        <f t="shared" si="159"/>
        <v/>
      </c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8" t="str">
        <f t="shared" ca="1" si="160"/>
        <v/>
      </c>
      <c r="U765" s="18">
        <f t="shared" ca="1" si="161"/>
        <v>0</v>
      </c>
      <c r="V765" s="18" t="str">
        <f t="shared" si="162"/>
        <v/>
      </c>
      <c r="W765" s="18" t="str">
        <f t="shared" si="163"/>
        <v/>
      </c>
      <c r="X765" s="18" t="str">
        <f t="shared" si="164"/>
        <v/>
      </c>
      <c r="Y765" s="18" t="str">
        <f>IF(OR(L765="",V765=""),"",IFERROR(INDEX(لیست‌ها!$Q$3:$Q$53,MATCH(V765,لیست‌ها!$P$3:$P$53,0))+IF(W765&lt;=6,(W765-1)*31+X765,IF(W765&lt;=11,186+(W765-7)*30+X765,336+X765))-1,""))</f>
        <v/>
      </c>
      <c r="Z765" s="18" t="str">
        <f t="shared" si="165"/>
        <v/>
      </c>
      <c r="AA765" s="18" t="str">
        <f t="shared" si="166"/>
        <v/>
      </c>
      <c r="AB765" s="18" t="str">
        <f t="shared" si="167"/>
        <v/>
      </c>
      <c r="AC765" s="18" t="str">
        <f>IF(OR(H765="",Z765=""),"",IFERROR(INDEX(لیست‌ها!$Q$3:$Q$53,MATCH(Z765,لیست‌ها!$P$3:$P$53,0))+IF(AA765&lt;=6,(AA765-1)*31+AB765,IF(AA765&lt;=11,186+(AA765-7)*30+AB765,336+AB765))-1,""))</f>
        <v/>
      </c>
      <c r="AD765" s="18" t="str">
        <f t="shared" si="168"/>
        <v/>
      </c>
      <c r="AE765" s="18" t="str">
        <f t="shared" si="169"/>
        <v/>
      </c>
      <c r="AF765" s="18" t="str">
        <f t="shared" si="170"/>
        <v/>
      </c>
      <c r="AG765" s="18" t="str">
        <f>IF(OR(O765="",AD765=""),"",IFERROR(INDEX(لیست‌ها!$Q$3:$Q$53,MATCH(AD765,لیست‌ها!$P$3:$P$53,0))+IF(AE765&lt;=6,(AE765-1)*31+AF765,IF(AE765&lt;=11,186+(AE765-7)*30+AF765,336+AF765))-1,""))</f>
        <v/>
      </c>
      <c r="AH765" s="18" t="str">
        <f t="shared" si="171"/>
        <v/>
      </c>
      <c r="AI765" s="18" t="str">
        <f t="shared" si="172"/>
        <v/>
      </c>
      <c r="AJ765" s="18" t="str">
        <f t="shared" ca="1" si="173"/>
        <v/>
      </c>
    </row>
    <row r="766" spans="1:36">
      <c r="A766" s="18" t="str">
        <f t="shared" si="159"/>
        <v/>
      </c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8" t="str">
        <f t="shared" ca="1" si="160"/>
        <v/>
      </c>
      <c r="U766" s="18">
        <f t="shared" ca="1" si="161"/>
        <v>0</v>
      </c>
      <c r="V766" s="18" t="str">
        <f t="shared" si="162"/>
        <v/>
      </c>
      <c r="W766" s="18" t="str">
        <f t="shared" si="163"/>
        <v/>
      </c>
      <c r="X766" s="18" t="str">
        <f t="shared" si="164"/>
        <v/>
      </c>
      <c r="Y766" s="18" t="str">
        <f>IF(OR(L766="",V766=""),"",IFERROR(INDEX(لیست‌ها!$Q$3:$Q$53,MATCH(V766,لیست‌ها!$P$3:$P$53,0))+IF(W766&lt;=6,(W766-1)*31+X766,IF(W766&lt;=11,186+(W766-7)*30+X766,336+X766))-1,""))</f>
        <v/>
      </c>
      <c r="Z766" s="18" t="str">
        <f t="shared" si="165"/>
        <v/>
      </c>
      <c r="AA766" s="18" t="str">
        <f t="shared" si="166"/>
        <v/>
      </c>
      <c r="AB766" s="18" t="str">
        <f t="shared" si="167"/>
        <v/>
      </c>
      <c r="AC766" s="18" t="str">
        <f>IF(OR(H766="",Z766=""),"",IFERROR(INDEX(لیست‌ها!$Q$3:$Q$53,MATCH(Z766,لیست‌ها!$P$3:$P$53,0))+IF(AA766&lt;=6,(AA766-1)*31+AB766,IF(AA766&lt;=11,186+(AA766-7)*30+AB766,336+AB766))-1,""))</f>
        <v/>
      </c>
      <c r="AD766" s="18" t="str">
        <f t="shared" si="168"/>
        <v/>
      </c>
      <c r="AE766" s="18" t="str">
        <f t="shared" si="169"/>
        <v/>
      </c>
      <c r="AF766" s="18" t="str">
        <f t="shared" si="170"/>
        <v/>
      </c>
      <c r="AG766" s="18" t="str">
        <f>IF(OR(O766="",AD766=""),"",IFERROR(INDEX(لیست‌ها!$Q$3:$Q$53,MATCH(AD766,لیست‌ها!$P$3:$P$53,0))+IF(AE766&lt;=6,(AE766-1)*31+AF766,IF(AE766&lt;=11,186+(AE766-7)*30+AF766,336+AF766))-1,""))</f>
        <v/>
      </c>
      <c r="AH766" s="18" t="str">
        <f t="shared" si="171"/>
        <v/>
      </c>
      <c r="AI766" s="18" t="str">
        <f t="shared" si="172"/>
        <v/>
      </c>
      <c r="AJ766" s="18" t="str">
        <f t="shared" ca="1" si="173"/>
        <v/>
      </c>
    </row>
    <row r="767" spans="1:36">
      <c r="A767" s="18" t="str">
        <f t="shared" si="159"/>
        <v/>
      </c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8" t="str">
        <f t="shared" ca="1" si="160"/>
        <v/>
      </c>
      <c r="U767" s="18">
        <f t="shared" ca="1" si="161"/>
        <v>0</v>
      </c>
      <c r="V767" s="18" t="str">
        <f t="shared" si="162"/>
        <v/>
      </c>
      <c r="W767" s="18" t="str">
        <f t="shared" si="163"/>
        <v/>
      </c>
      <c r="X767" s="18" t="str">
        <f t="shared" si="164"/>
        <v/>
      </c>
      <c r="Y767" s="18" t="str">
        <f>IF(OR(L767="",V767=""),"",IFERROR(INDEX(لیست‌ها!$Q$3:$Q$53,MATCH(V767,لیست‌ها!$P$3:$P$53,0))+IF(W767&lt;=6,(W767-1)*31+X767,IF(W767&lt;=11,186+(W767-7)*30+X767,336+X767))-1,""))</f>
        <v/>
      </c>
      <c r="Z767" s="18" t="str">
        <f t="shared" si="165"/>
        <v/>
      </c>
      <c r="AA767" s="18" t="str">
        <f t="shared" si="166"/>
        <v/>
      </c>
      <c r="AB767" s="18" t="str">
        <f t="shared" si="167"/>
        <v/>
      </c>
      <c r="AC767" s="18" t="str">
        <f>IF(OR(H767="",Z767=""),"",IFERROR(INDEX(لیست‌ها!$Q$3:$Q$53,MATCH(Z767,لیست‌ها!$P$3:$P$53,0))+IF(AA767&lt;=6,(AA767-1)*31+AB767,IF(AA767&lt;=11,186+(AA767-7)*30+AB767,336+AB767))-1,""))</f>
        <v/>
      </c>
      <c r="AD767" s="18" t="str">
        <f t="shared" si="168"/>
        <v/>
      </c>
      <c r="AE767" s="18" t="str">
        <f t="shared" si="169"/>
        <v/>
      </c>
      <c r="AF767" s="18" t="str">
        <f t="shared" si="170"/>
        <v/>
      </c>
      <c r="AG767" s="18" t="str">
        <f>IF(OR(O767="",AD767=""),"",IFERROR(INDEX(لیست‌ها!$Q$3:$Q$53,MATCH(AD767,لیست‌ها!$P$3:$P$53,0))+IF(AE767&lt;=6,(AE767-1)*31+AF767,IF(AE767&lt;=11,186+(AE767-7)*30+AF767,336+AF767))-1,""))</f>
        <v/>
      </c>
      <c r="AH767" s="18" t="str">
        <f t="shared" si="171"/>
        <v/>
      </c>
      <c r="AI767" s="18" t="str">
        <f t="shared" si="172"/>
        <v/>
      </c>
      <c r="AJ767" s="18" t="str">
        <f t="shared" ca="1" si="173"/>
        <v/>
      </c>
    </row>
    <row r="768" spans="1:36">
      <c r="A768" s="18" t="str">
        <f t="shared" si="159"/>
        <v/>
      </c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8" t="str">
        <f t="shared" ca="1" si="160"/>
        <v/>
      </c>
      <c r="U768" s="18">
        <f t="shared" ca="1" si="161"/>
        <v>0</v>
      </c>
      <c r="V768" s="18" t="str">
        <f t="shared" si="162"/>
        <v/>
      </c>
      <c r="W768" s="18" t="str">
        <f t="shared" si="163"/>
        <v/>
      </c>
      <c r="X768" s="18" t="str">
        <f t="shared" si="164"/>
        <v/>
      </c>
      <c r="Y768" s="18" t="str">
        <f>IF(OR(L768="",V768=""),"",IFERROR(INDEX(لیست‌ها!$Q$3:$Q$53,MATCH(V768,لیست‌ها!$P$3:$P$53,0))+IF(W768&lt;=6,(W768-1)*31+X768,IF(W768&lt;=11,186+(W768-7)*30+X768,336+X768))-1,""))</f>
        <v/>
      </c>
      <c r="Z768" s="18" t="str">
        <f t="shared" si="165"/>
        <v/>
      </c>
      <c r="AA768" s="18" t="str">
        <f t="shared" si="166"/>
        <v/>
      </c>
      <c r="AB768" s="18" t="str">
        <f t="shared" si="167"/>
        <v/>
      </c>
      <c r="AC768" s="18" t="str">
        <f>IF(OR(H768="",Z768=""),"",IFERROR(INDEX(لیست‌ها!$Q$3:$Q$53,MATCH(Z768,لیست‌ها!$P$3:$P$53,0))+IF(AA768&lt;=6,(AA768-1)*31+AB768,IF(AA768&lt;=11,186+(AA768-7)*30+AB768,336+AB768))-1,""))</f>
        <v/>
      </c>
      <c r="AD768" s="18" t="str">
        <f t="shared" si="168"/>
        <v/>
      </c>
      <c r="AE768" s="18" t="str">
        <f t="shared" si="169"/>
        <v/>
      </c>
      <c r="AF768" s="18" t="str">
        <f t="shared" si="170"/>
        <v/>
      </c>
      <c r="AG768" s="18" t="str">
        <f>IF(OR(O768="",AD768=""),"",IFERROR(INDEX(لیست‌ها!$Q$3:$Q$53,MATCH(AD768,لیست‌ها!$P$3:$P$53,0))+IF(AE768&lt;=6,(AE768-1)*31+AF768,IF(AE768&lt;=11,186+(AE768-7)*30+AF768,336+AF768))-1,""))</f>
        <v/>
      </c>
      <c r="AH768" s="18" t="str">
        <f t="shared" si="171"/>
        <v/>
      </c>
      <c r="AI768" s="18" t="str">
        <f t="shared" si="172"/>
        <v/>
      </c>
      <c r="AJ768" s="18" t="str">
        <f t="shared" ca="1" si="173"/>
        <v/>
      </c>
    </row>
    <row r="769" spans="1:36">
      <c r="A769" s="18" t="str">
        <f t="shared" si="159"/>
        <v/>
      </c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8" t="str">
        <f t="shared" ca="1" si="160"/>
        <v/>
      </c>
      <c r="U769" s="18">
        <f t="shared" ca="1" si="161"/>
        <v>0</v>
      </c>
      <c r="V769" s="18" t="str">
        <f t="shared" si="162"/>
        <v/>
      </c>
      <c r="W769" s="18" t="str">
        <f t="shared" si="163"/>
        <v/>
      </c>
      <c r="X769" s="18" t="str">
        <f t="shared" si="164"/>
        <v/>
      </c>
      <c r="Y769" s="18" t="str">
        <f>IF(OR(L769="",V769=""),"",IFERROR(INDEX(لیست‌ها!$Q$3:$Q$53,MATCH(V769,لیست‌ها!$P$3:$P$53,0))+IF(W769&lt;=6,(W769-1)*31+X769,IF(W769&lt;=11,186+(W769-7)*30+X769,336+X769))-1,""))</f>
        <v/>
      </c>
      <c r="Z769" s="18" t="str">
        <f t="shared" si="165"/>
        <v/>
      </c>
      <c r="AA769" s="18" t="str">
        <f t="shared" si="166"/>
        <v/>
      </c>
      <c r="AB769" s="18" t="str">
        <f t="shared" si="167"/>
        <v/>
      </c>
      <c r="AC769" s="18" t="str">
        <f>IF(OR(H769="",Z769=""),"",IFERROR(INDEX(لیست‌ها!$Q$3:$Q$53,MATCH(Z769,لیست‌ها!$P$3:$P$53,0))+IF(AA769&lt;=6,(AA769-1)*31+AB769,IF(AA769&lt;=11,186+(AA769-7)*30+AB769,336+AB769))-1,""))</f>
        <v/>
      </c>
      <c r="AD769" s="18" t="str">
        <f t="shared" si="168"/>
        <v/>
      </c>
      <c r="AE769" s="18" t="str">
        <f t="shared" si="169"/>
        <v/>
      </c>
      <c r="AF769" s="18" t="str">
        <f t="shared" si="170"/>
        <v/>
      </c>
      <c r="AG769" s="18" t="str">
        <f>IF(OR(O769="",AD769=""),"",IFERROR(INDEX(لیست‌ها!$Q$3:$Q$53,MATCH(AD769,لیست‌ها!$P$3:$P$53,0))+IF(AE769&lt;=6,(AE769-1)*31+AF769,IF(AE769&lt;=11,186+(AE769-7)*30+AF769,336+AF769))-1,""))</f>
        <v/>
      </c>
      <c r="AH769" s="18" t="str">
        <f t="shared" si="171"/>
        <v/>
      </c>
      <c r="AI769" s="18" t="str">
        <f t="shared" si="172"/>
        <v/>
      </c>
      <c r="AJ769" s="18" t="str">
        <f t="shared" ca="1" si="173"/>
        <v/>
      </c>
    </row>
    <row r="770" spans="1:36">
      <c r="A770" s="18" t="str">
        <f t="shared" si="159"/>
        <v/>
      </c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8" t="str">
        <f t="shared" ca="1" si="160"/>
        <v/>
      </c>
      <c r="U770" s="18">
        <f t="shared" ca="1" si="161"/>
        <v>0</v>
      </c>
      <c r="V770" s="18" t="str">
        <f t="shared" si="162"/>
        <v/>
      </c>
      <c r="W770" s="18" t="str">
        <f t="shared" si="163"/>
        <v/>
      </c>
      <c r="X770" s="18" t="str">
        <f t="shared" si="164"/>
        <v/>
      </c>
      <c r="Y770" s="18" t="str">
        <f>IF(OR(L770="",V770=""),"",IFERROR(INDEX(لیست‌ها!$Q$3:$Q$53,MATCH(V770,لیست‌ها!$P$3:$P$53,0))+IF(W770&lt;=6,(W770-1)*31+X770,IF(W770&lt;=11,186+(W770-7)*30+X770,336+X770))-1,""))</f>
        <v/>
      </c>
      <c r="Z770" s="18" t="str">
        <f t="shared" si="165"/>
        <v/>
      </c>
      <c r="AA770" s="18" t="str">
        <f t="shared" si="166"/>
        <v/>
      </c>
      <c r="AB770" s="18" t="str">
        <f t="shared" si="167"/>
        <v/>
      </c>
      <c r="AC770" s="18" t="str">
        <f>IF(OR(H770="",Z770=""),"",IFERROR(INDEX(لیست‌ها!$Q$3:$Q$53,MATCH(Z770,لیست‌ها!$P$3:$P$53,0))+IF(AA770&lt;=6,(AA770-1)*31+AB770,IF(AA770&lt;=11,186+(AA770-7)*30+AB770,336+AB770))-1,""))</f>
        <v/>
      </c>
      <c r="AD770" s="18" t="str">
        <f t="shared" si="168"/>
        <v/>
      </c>
      <c r="AE770" s="18" t="str">
        <f t="shared" si="169"/>
        <v/>
      </c>
      <c r="AF770" s="18" t="str">
        <f t="shared" si="170"/>
        <v/>
      </c>
      <c r="AG770" s="18" t="str">
        <f>IF(OR(O770="",AD770=""),"",IFERROR(INDEX(لیست‌ها!$Q$3:$Q$53,MATCH(AD770,لیست‌ها!$P$3:$P$53,0))+IF(AE770&lt;=6,(AE770-1)*31+AF770,IF(AE770&lt;=11,186+(AE770-7)*30+AF770,336+AF770))-1,""))</f>
        <v/>
      </c>
      <c r="AH770" s="18" t="str">
        <f t="shared" si="171"/>
        <v/>
      </c>
      <c r="AI770" s="18" t="str">
        <f t="shared" si="172"/>
        <v/>
      </c>
      <c r="AJ770" s="18" t="str">
        <f t="shared" ca="1" si="173"/>
        <v/>
      </c>
    </row>
    <row r="771" spans="1:36">
      <c r="A771" s="18" t="str">
        <f t="shared" si="159"/>
        <v/>
      </c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8" t="str">
        <f t="shared" ca="1" si="160"/>
        <v/>
      </c>
      <c r="U771" s="18">
        <f t="shared" ca="1" si="161"/>
        <v>0</v>
      </c>
      <c r="V771" s="18" t="str">
        <f t="shared" si="162"/>
        <v/>
      </c>
      <c r="W771" s="18" t="str">
        <f t="shared" si="163"/>
        <v/>
      </c>
      <c r="X771" s="18" t="str">
        <f t="shared" si="164"/>
        <v/>
      </c>
      <c r="Y771" s="18" t="str">
        <f>IF(OR(L771="",V771=""),"",IFERROR(INDEX(لیست‌ها!$Q$3:$Q$53,MATCH(V771,لیست‌ها!$P$3:$P$53,0))+IF(W771&lt;=6,(W771-1)*31+X771,IF(W771&lt;=11,186+(W771-7)*30+X771,336+X771))-1,""))</f>
        <v/>
      </c>
      <c r="Z771" s="18" t="str">
        <f t="shared" si="165"/>
        <v/>
      </c>
      <c r="AA771" s="18" t="str">
        <f t="shared" si="166"/>
        <v/>
      </c>
      <c r="AB771" s="18" t="str">
        <f t="shared" si="167"/>
        <v/>
      </c>
      <c r="AC771" s="18" t="str">
        <f>IF(OR(H771="",Z771=""),"",IFERROR(INDEX(لیست‌ها!$Q$3:$Q$53,MATCH(Z771,لیست‌ها!$P$3:$P$53,0))+IF(AA771&lt;=6,(AA771-1)*31+AB771,IF(AA771&lt;=11,186+(AA771-7)*30+AB771,336+AB771))-1,""))</f>
        <v/>
      </c>
      <c r="AD771" s="18" t="str">
        <f t="shared" si="168"/>
        <v/>
      </c>
      <c r="AE771" s="18" t="str">
        <f t="shared" si="169"/>
        <v/>
      </c>
      <c r="AF771" s="18" t="str">
        <f t="shared" si="170"/>
        <v/>
      </c>
      <c r="AG771" s="18" t="str">
        <f>IF(OR(O771="",AD771=""),"",IFERROR(INDEX(لیست‌ها!$Q$3:$Q$53,MATCH(AD771,لیست‌ها!$P$3:$P$53,0))+IF(AE771&lt;=6,(AE771-1)*31+AF771,IF(AE771&lt;=11,186+(AE771-7)*30+AF771,336+AF771))-1,""))</f>
        <v/>
      </c>
      <c r="AH771" s="18" t="str">
        <f t="shared" si="171"/>
        <v/>
      </c>
      <c r="AI771" s="18" t="str">
        <f t="shared" si="172"/>
        <v/>
      </c>
      <c r="AJ771" s="18" t="str">
        <f t="shared" ca="1" si="173"/>
        <v/>
      </c>
    </row>
    <row r="772" spans="1:36">
      <c r="A772" s="18" t="str">
        <f t="shared" ref="A772:A803" si="174">IF(B772="","",ROW()-3)</f>
        <v/>
      </c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8" t="str">
        <f t="shared" ref="T772:T803" ca="1" si="175">IF(B772="","",IF(OR(I772&lt;&gt;"",O772&lt;&gt;""),"بسته",IF(AND(L772&lt;&gt;"",V772=""),"خطای فرمت تاریخ ایجاد",IF(AND(H772&lt;&gt;"",Z772=""),"خطای فرمت مهلت",IF(AND(H772&lt;&gt;"",AC772&lt;&gt;"",TODAY()&gt;AC772),"تاخیر",IF(L772&lt;&gt;"","در حال انجام",""))))))</f>
        <v/>
      </c>
      <c r="U772" s="18">
        <f t="shared" ref="U772:U803" ca="1" si="176">IF(T772="تاخیر",TODAY()-AC772,IF(AND(T772="بسته",AG772&lt;&gt;"",AC772&lt;&gt;"",AG772&gt;AC772),AG772-AC772,0))</f>
        <v>0</v>
      </c>
      <c r="V772" s="18" t="str">
        <f t="shared" ref="V772:V803" si="177">IF(L772="","",VALUE(LEFT(L772,FIND("/",L772)-1)))</f>
        <v/>
      </c>
      <c r="W772" s="18" t="str">
        <f t="shared" ref="W772:W803" si="178">IF(L772="","",VALUE(MID(L772,FIND("/",L772)+1,FIND("/",L772,FIND("/",L772)+1)-FIND("/",L772)-1)))</f>
        <v/>
      </c>
      <c r="X772" s="18" t="str">
        <f t="shared" ref="X772:X803" si="179">IF(L772="","",VALUE(MID(L772,FIND("/",L772,FIND("/",L772)+1)+1,LEN(L772)-FIND("/",L772,FIND("/",L772)+1))))</f>
        <v/>
      </c>
      <c r="Y772" s="18" t="str">
        <f>IF(OR(L772="",V772=""),"",IFERROR(INDEX(لیست‌ها!$Q$3:$Q$53,MATCH(V772,لیست‌ها!$P$3:$P$53,0))+IF(W772&lt;=6,(W772-1)*31+X772,IF(W772&lt;=11,186+(W772-7)*30+X772,336+X772))-1,""))</f>
        <v/>
      </c>
      <c r="Z772" s="18" t="str">
        <f t="shared" ref="Z772:Z803" si="180">IF(H772="","",VALUE(LEFT(H772,FIND("/",H772)-1)))</f>
        <v/>
      </c>
      <c r="AA772" s="18" t="str">
        <f t="shared" ref="AA772:AA803" si="181">IF(H772="","",VALUE(MID(H772,FIND("/",H772)+1,FIND("/",H772,FIND("/",H772)+1)-FIND("/",H772)-1)))</f>
        <v/>
      </c>
      <c r="AB772" s="18" t="str">
        <f t="shared" ref="AB772:AB803" si="182">IF(H772="","",VALUE(MID(H772,FIND("/",H772,FIND("/",H772)+1)+1,LEN(H772)-FIND("/",H772,FIND("/",H772)+1))))</f>
        <v/>
      </c>
      <c r="AC772" s="18" t="str">
        <f>IF(OR(H772="",Z772=""),"",IFERROR(INDEX(لیست‌ها!$Q$3:$Q$53,MATCH(Z772,لیست‌ها!$P$3:$P$53,0))+IF(AA772&lt;=6,(AA772-1)*31+AB772,IF(AA772&lt;=11,186+(AA772-7)*30+AB772,336+AB772))-1,""))</f>
        <v/>
      </c>
      <c r="AD772" s="18" t="str">
        <f t="shared" ref="AD772:AD803" si="183">IF(O772="","",VALUE(LEFT(O772,FIND("/",O772)-1)))</f>
        <v/>
      </c>
      <c r="AE772" s="18" t="str">
        <f t="shared" ref="AE772:AE803" si="184">IF(O772="","",VALUE(MID(O772,FIND("/",O772)+1,FIND("/",O772,FIND("/",O772)+1)-FIND("/",O772)-1)))</f>
        <v/>
      </c>
      <c r="AF772" s="18" t="str">
        <f t="shared" ref="AF772:AF803" si="185">IF(O772="","",VALUE(MID(O772,FIND("/",O772,FIND("/",O772)+1)+1,LEN(O772)-FIND("/",O772,FIND("/",O772)+1))))</f>
        <v/>
      </c>
      <c r="AG772" s="18" t="str">
        <f>IF(OR(O772="",AD772=""),"",IFERROR(INDEX(لیست‌ها!$Q$3:$Q$53,MATCH(AD772,لیست‌ها!$P$3:$P$53,0))+IF(AE772&lt;=6,(AE772-1)*31+AF772,IF(AE772&lt;=11,186+(AE772-7)*30+AF772,336+AF772))-1,""))</f>
        <v/>
      </c>
      <c r="AH772" s="18" t="str">
        <f t="shared" ref="AH772:AH803" si="186">IF(V772="","",V772&amp;"-"&amp;TEXT(W772,"00"))</f>
        <v/>
      </c>
      <c r="AI772" s="18" t="str">
        <f t="shared" ref="AI772:AI803" si="187">IF(V772="","",V772*12+W772)</f>
        <v/>
      </c>
      <c r="AJ772" s="18" t="str">
        <f t="shared" ref="AJ772:AJ803" ca="1" si="188">IF(T772="تاخیر",U772+ROW()/100000,"")</f>
        <v/>
      </c>
    </row>
    <row r="773" spans="1:36">
      <c r="A773" s="18" t="str">
        <f t="shared" si="174"/>
        <v/>
      </c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8" t="str">
        <f t="shared" ca="1" si="175"/>
        <v/>
      </c>
      <c r="U773" s="18">
        <f t="shared" ca="1" si="176"/>
        <v>0</v>
      </c>
      <c r="V773" s="18" t="str">
        <f t="shared" si="177"/>
        <v/>
      </c>
      <c r="W773" s="18" t="str">
        <f t="shared" si="178"/>
        <v/>
      </c>
      <c r="X773" s="18" t="str">
        <f t="shared" si="179"/>
        <v/>
      </c>
      <c r="Y773" s="18" t="str">
        <f>IF(OR(L773="",V773=""),"",IFERROR(INDEX(لیست‌ها!$Q$3:$Q$53,MATCH(V773,لیست‌ها!$P$3:$P$53,0))+IF(W773&lt;=6,(W773-1)*31+X773,IF(W773&lt;=11,186+(W773-7)*30+X773,336+X773))-1,""))</f>
        <v/>
      </c>
      <c r="Z773" s="18" t="str">
        <f t="shared" si="180"/>
        <v/>
      </c>
      <c r="AA773" s="18" t="str">
        <f t="shared" si="181"/>
        <v/>
      </c>
      <c r="AB773" s="18" t="str">
        <f t="shared" si="182"/>
        <v/>
      </c>
      <c r="AC773" s="18" t="str">
        <f>IF(OR(H773="",Z773=""),"",IFERROR(INDEX(لیست‌ها!$Q$3:$Q$53,MATCH(Z773,لیست‌ها!$P$3:$P$53,0))+IF(AA773&lt;=6,(AA773-1)*31+AB773,IF(AA773&lt;=11,186+(AA773-7)*30+AB773,336+AB773))-1,""))</f>
        <v/>
      </c>
      <c r="AD773" s="18" t="str">
        <f t="shared" si="183"/>
        <v/>
      </c>
      <c r="AE773" s="18" t="str">
        <f t="shared" si="184"/>
        <v/>
      </c>
      <c r="AF773" s="18" t="str">
        <f t="shared" si="185"/>
        <v/>
      </c>
      <c r="AG773" s="18" t="str">
        <f>IF(OR(O773="",AD773=""),"",IFERROR(INDEX(لیست‌ها!$Q$3:$Q$53,MATCH(AD773,لیست‌ها!$P$3:$P$53,0))+IF(AE773&lt;=6,(AE773-1)*31+AF773,IF(AE773&lt;=11,186+(AE773-7)*30+AF773,336+AF773))-1,""))</f>
        <v/>
      </c>
      <c r="AH773" s="18" t="str">
        <f t="shared" si="186"/>
        <v/>
      </c>
      <c r="AI773" s="18" t="str">
        <f t="shared" si="187"/>
        <v/>
      </c>
      <c r="AJ773" s="18" t="str">
        <f t="shared" ca="1" si="188"/>
        <v/>
      </c>
    </row>
    <row r="774" spans="1:36">
      <c r="A774" s="18" t="str">
        <f t="shared" si="174"/>
        <v/>
      </c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8" t="str">
        <f t="shared" ca="1" si="175"/>
        <v/>
      </c>
      <c r="U774" s="18">
        <f t="shared" ca="1" si="176"/>
        <v>0</v>
      </c>
      <c r="V774" s="18" t="str">
        <f t="shared" si="177"/>
        <v/>
      </c>
      <c r="W774" s="18" t="str">
        <f t="shared" si="178"/>
        <v/>
      </c>
      <c r="X774" s="18" t="str">
        <f t="shared" si="179"/>
        <v/>
      </c>
      <c r="Y774" s="18" t="str">
        <f>IF(OR(L774="",V774=""),"",IFERROR(INDEX(لیست‌ها!$Q$3:$Q$53,MATCH(V774,لیست‌ها!$P$3:$P$53,0))+IF(W774&lt;=6,(W774-1)*31+X774,IF(W774&lt;=11,186+(W774-7)*30+X774,336+X774))-1,""))</f>
        <v/>
      </c>
      <c r="Z774" s="18" t="str">
        <f t="shared" si="180"/>
        <v/>
      </c>
      <c r="AA774" s="18" t="str">
        <f t="shared" si="181"/>
        <v/>
      </c>
      <c r="AB774" s="18" t="str">
        <f t="shared" si="182"/>
        <v/>
      </c>
      <c r="AC774" s="18" t="str">
        <f>IF(OR(H774="",Z774=""),"",IFERROR(INDEX(لیست‌ها!$Q$3:$Q$53,MATCH(Z774,لیست‌ها!$P$3:$P$53,0))+IF(AA774&lt;=6,(AA774-1)*31+AB774,IF(AA774&lt;=11,186+(AA774-7)*30+AB774,336+AB774))-1,""))</f>
        <v/>
      </c>
      <c r="AD774" s="18" t="str">
        <f t="shared" si="183"/>
        <v/>
      </c>
      <c r="AE774" s="18" t="str">
        <f t="shared" si="184"/>
        <v/>
      </c>
      <c r="AF774" s="18" t="str">
        <f t="shared" si="185"/>
        <v/>
      </c>
      <c r="AG774" s="18" t="str">
        <f>IF(OR(O774="",AD774=""),"",IFERROR(INDEX(لیست‌ها!$Q$3:$Q$53,MATCH(AD774,لیست‌ها!$P$3:$P$53,0))+IF(AE774&lt;=6,(AE774-1)*31+AF774,IF(AE774&lt;=11,186+(AE774-7)*30+AF774,336+AF774))-1,""))</f>
        <v/>
      </c>
      <c r="AH774" s="18" t="str">
        <f t="shared" si="186"/>
        <v/>
      </c>
      <c r="AI774" s="18" t="str">
        <f t="shared" si="187"/>
        <v/>
      </c>
      <c r="AJ774" s="18" t="str">
        <f t="shared" ca="1" si="188"/>
        <v/>
      </c>
    </row>
    <row r="775" spans="1:36">
      <c r="A775" s="18" t="str">
        <f t="shared" si="174"/>
        <v/>
      </c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8" t="str">
        <f t="shared" ca="1" si="175"/>
        <v/>
      </c>
      <c r="U775" s="18">
        <f t="shared" ca="1" si="176"/>
        <v>0</v>
      </c>
      <c r="V775" s="18" t="str">
        <f t="shared" si="177"/>
        <v/>
      </c>
      <c r="W775" s="18" t="str">
        <f t="shared" si="178"/>
        <v/>
      </c>
      <c r="X775" s="18" t="str">
        <f t="shared" si="179"/>
        <v/>
      </c>
      <c r="Y775" s="18" t="str">
        <f>IF(OR(L775="",V775=""),"",IFERROR(INDEX(لیست‌ها!$Q$3:$Q$53,MATCH(V775,لیست‌ها!$P$3:$P$53,0))+IF(W775&lt;=6,(W775-1)*31+X775,IF(W775&lt;=11,186+(W775-7)*30+X775,336+X775))-1,""))</f>
        <v/>
      </c>
      <c r="Z775" s="18" t="str">
        <f t="shared" si="180"/>
        <v/>
      </c>
      <c r="AA775" s="18" t="str">
        <f t="shared" si="181"/>
        <v/>
      </c>
      <c r="AB775" s="18" t="str">
        <f t="shared" si="182"/>
        <v/>
      </c>
      <c r="AC775" s="18" t="str">
        <f>IF(OR(H775="",Z775=""),"",IFERROR(INDEX(لیست‌ها!$Q$3:$Q$53,MATCH(Z775,لیست‌ها!$P$3:$P$53,0))+IF(AA775&lt;=6,(AA775-1)*31+AB775,IF(AA775&lt;=11,186+(AA775-7)*30+AB775,336+AB775))-1,""))</f>
        <v/>
      </c>
      <c r="AD775" s="18" t="str">
        <f t="shared" si="183"/>
        <v/>
      </c>
      <c r="AE775" s="18" t="str">
        <f t="shared" si="184"/>
        <v/>
      </c>
      <c r="AF775" s="18" t="str">
        <f t="shared" si="185"/>
        <v/>
      </c>
      <c r="AG775" s="18" t="str">
        <f>IF(OR(O775="",AD775=""),"",IFERROR(INDEX(لیست‌ها!$Q$3:$Q$53,MATCH(AD775,لیست‌ها!$P$3:$P$53,0))+IF(AE775&lt;=6,(AE775-1)*31+AF775,IF(AE775&lt;=11,186+(AE775-7)*30+AF775,336+AF775))-1,""))</f>
        <v/>
      </c>
      <c r="AH775" s="18" t="str">
        <f t="shared" si="186"/>
        <v/>
      </c>
      <c r="AI775" s="18" t="str">
        <f t="shared" si="187"/>
        <v/>
      </c>
      <c r="AJ775" s="18" t="str">
        <f t="shared" ca="1" si="188"/>
        <v/>
      </c>
    </row>
    <row r="776" spans="1:36">
      <c r="A776" s="18" t="str">
        <f t="shared" si="174"/>
        <v/>
      </c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8" t="str">
        <f t="shared" ca="1" si="175"/>
        <v/>
      </c>
      <c r="U776" s="18">
        <f t="shared" ca="1" si="176"/>
        <v>0</v>
      </c>
      <c r="V776" s="18" t="str">
        <f t="shared" si="177"/>
        <v/>
      </c>
      <c r="W776" s="18" t="str">
        <f t="shared" si="178"/>
        <v/>
      </c>
      <c r="X776" s="18" t="str">
        <f t="shared" si="179"/>
        <v/>
      </c>
      <c r="Y776" s="18" t="str">
        <f>IF(OR(L776="",V776=""),"",IFERROR(INDEX(لیست‌ها!$Q$3:$Q$53,MATCH(V776,لیست‌ها!$P$3:$P$53,0))+IF(W776&lt;=6,(W776-1)*31+X776,IF(W776&lt;=11,186+(W776-7)*30+X776,336+X776))-1,""))</f>
        <v/>
      </c>
      <c r="Z776" s="18" t="str">
        <f t="shared" si="180"/>
        <v/>
      </c>
      <c r="AA776" s="18" t="str">
        <f t="shared" si="181"/>
        <v/>
      </c>
      <c r="AB776" s="18" t="str">
        <f t="shared" si="182"/>
        <v/>
      </c>
      <c r="AC776" s="18" t="str">
        <f>IF(OR(H776="",Z776=""),"",IFERROR(INDEX(لیست‌ها!$Q$3:$Q$53,MATCH(Z776,لیست‌ها!$P$3:$P$53,0))+IF(AA776&lt;=6,(AA776-1)*31+AB776,IF(AA776&lt;=11,186+(AA776-7)*30+AB776,336+AB776))-1,""))</f>
        <v/>
      </c>
      <c r="AD776" s="18" t="str">
        <f t="shared" si="183"/>
        <v/>
      </c>
      <c r="AE776" s="18" t="str">
        <f t="shared" si="184"/>
        <v/>
      </c>
      <c r="AF776" s="18" t="str">
        <f t="shared" si="185"/>
        <v/>
      </c>
      <c r="AG776" s="18" t="str">
        <f>IF(OR(O776="",AD776=""),"",IFERROR(INDEX(لیست‌ها!$Q$3:$Q$53,MATCH(AD776,لیست‌ها!$P$3:$P$53,0))+IF(AE776&lt;=6,(AE776-1)*31+AF776,IF(AE776&lt;=11,186+(AE776-7)*30+AF776,336+AF776))-1,""))</f>
        <v/>
      </c>
      <c r="AH776" s="18" t="str">
        <f t="shared" si="186"/>
        <v/>
      </c>
      <c r="AI776" s="18" t="str">
        <f t="shared" si="187"/>
        <v/>
      </c>
      <c r="AJ776" s="18" t="str">
        <f t="shared" ca="1" si="188"/>
        <v/>
      </c>
    </row>
    <row r="777" spans="1:36">
      <c r="A777" s="18" t="str">
        <f t="shared" si="174"/>
        <v/>
      </c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8" t="str">
        <f t="shared" ca="1" si="175"/>
        <v/>
      </c>
      <c r="U777" s="18">
        <f t="shared" ca="1" si="176"/>
        <v>0</v>
      </c>
      <c r="V777" s="18" t="str">
        <f t="shared" si="177"/>
        <v/>
      </c>
      <c r="W777" s="18" t="str">
        <f t="shared" si="178"/>
        <v/>
      </c>
      <c r="X777" s="18" t="str">
        <f t="shared" si="179"/>
        <v/>
      </c>
      <c r="Y777" s="18" t="str">
        <f>IF(OR(L777="",V777=""),"",IFERROR(INDEX(لیست‌ها!$Q$3:$Q$53,MATCH(V777,لیست‌ها!$P$3:$P$53,0))+IF(W777&lt;=6,(W777-1)*31+X777,IF(W777&lt;=11,186+(W777-7)*30+X777,336+X777))-1,""))</f>
        <v/>
      </c>
      <c r="Z777" s="18" t="str">
        <f t="shared" si="180"/>
        <v/>
      </c>
      <c r="AA777" s="18" t="str">
        <f t="shared" si="181"/>
        <v/>
      </c>
      <c r="AB777" s="18" t="str">
        <f t="shared" si="182"/>
        <v/>
      </c>
      <c r="AC777" s="18" t="str">
        <f>IF(OR(H777="",Z777=""),"",IFERROR(INDEX(لیست‌ها!$Q$3:$Q$53,MATCH(Z777,لیست‌ها!$P$3:$P$53,0))+IF(AA777&lt;=6,(AA777-1)*31+AB777,IF(AA777&lt;=11,186+(AA777-7)*30+AB777,336+AB777))-1,""))</f>
        <v/>
      </c>
      <c r="AD777" s="18" t="str">
        <f t="shared" si="183"/>
        <v/>
      </c>
      <c r="AE777" s="18" t="str">
        <f t="shared" si="184"/>
        <v/>
      </c>
      <c r="AF777" s="18" t="str">
        <f t="shared" si="185"/>
        <v/>
      </c>
      <c r="AG777" s="18" t="str">
        <f>IF(OR(O777="",AD777=""),"",IFERROR(INDEX(لیست‌ها!$Q$3:$Q$53,MATCH(AD777,لیست‌ها!$P$3:$P$53,0))+IF(AE777&lt;=6,(AE777-1)*31+AF777,IF(AE777&lt;=11,186+(AE777-7)*30+AF777,336+AF777))-1,""))</f>
        <v/>
      </c>
      <c r="AH777" s="18" t="str">
        <f t="shared" si="186"/>
        <v/>
      </c>
      <c r="AI777" s="18" t="str">
        <f t="shared" si="187"/>
        <v/>
      </c>
      <c r="AJ777" s="18" t="str">
        <f t="shared" ca="1" si="188"/>
        <v/>
      </c>
    </row>
    <row r="778" spans="1:36">
      <c r="A778" s="18" t="str">
        <f t="shared" si="174"/>
        <v/>
      </c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8" t="str">
        <f t="shared" ca="1" si="175"/>
        <v/>
      </c>
      <c r="U778" s="18">
        <f t="shared" ca="1" si="176"/>
        <v>0</v>
      </c>
      <c r="V778" s="18" t="str">
        <f t="shared" si="177"/>
        <v/>
      </c>
      <c r="W778" s="18" t="str">
        <f t="shared" si="178"/>
        <v/>
      </c>
      <c r="X778" s="18" t="str">
        <f t="shared" si="179"/>
        <v/>
      </c>
      <c r="Y778" s="18" t="str">
        <f>IF(OR(L778="",V778=""),"",IFERROR(INDEX(لیست‌ها!$Q$3:$Q$53,MATCH(V778,لیست‌ها!$P$3:$P$53,0))+IF(W778&lt;=6,(W778-1)*31+X778,IF(W778&lt;=11,186+(W778-7)*30+X778,336+X778))-1,""))</f>
        <v/>
      </c>
      <c r="Z778" s="18" t="str">
        <f t="shared" si="180"/>
        <v/>
      </c>
      <c r="AA778" s="18" t="str">
        <f t="shared" si="181"/>
        <v/>
      </c>
      <c r="AB778" s="18" t="str">
        <f t="shared" si="182"/>
        <v/>
      </c>
      <c r="AC778" s="18" t="str">
        <f>IF(OR(H778="",Z778=""),"",IFERROR(INDEX(لیست‌ها!$Q$3:$Q$53,MATCH(Z778,لیست‌ها!$P$3:$P$53,0))+IF(AA778&lt;=6,(AA778-1)*31+AB778,IF(AA778&lt;=11,186+(AA778-7)*30+AB778,336+AB778))-1,""))</f>
        <v/>
      </c>
      <c r="AD778" s="18" t="str">
        <f t="shared" si="183"/>
        <v/>
      </c>
      <c r="AE778" s="18" t="str">
        <f t="shared" si="184"/>
        <v/>
      </c>
      <c r="AF778" s="18" t="str">
        <f t="shared" si="185"/>
        <v/>
      </c>
      <c r="AG778" s="18" t="str">
        <f>IF(OR(O778="",AD778=""),"",IFERROR(INDEX(لیست‌ها!$Q$3:$Q$53,MATCH(AD778,لیست‌ها!$P$3:$P$53,0))+IF(AE778&lt;=6,(AE778-1)*31+AF778,IF(AE778&lt;=11,186+(AE778-7)*30+AF778,336+AF778))-1,""))</f>
        <v/>
      </c>
      <c r="AH778" s="18" t="str">
        <f t="shared" si="186"/>
        <v/>
      </c>
      <c r="AI778" s="18" t="str">
        <f t="shared" si="187"/>
        <v/>
      </c>
      <c r="AJ778" s="18" t="str">
        <f t="shared" ca="1" si="188"/>
        <v/>
      </c>
    </row>
    <row r="779" spans="1:36">
      <c r="A779" s="18" t="str">
        <f t="shared" si="174"/>
        <v/>
      </c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8" t="str">
        <f t="shared" ca="1" si="175"/>
        <v/>
      </c>
      <c r="U779" s="18">
        <f t="shared" ca="1" si="176"/>
        <v>0</v>
      </c>
      <c r="V779" s="18" t="str">
        <f t="shared" si="177"/>
        <v/>
      </c>
      <c r="W779" s="18" t="str">
        <f t="shared" si="178"/>
        <v/>
      </c>
      <c r="X779" s="18" t="str">
        <f t="shared" si="179"/>
        <v/>
      </c>
      <c r="Y779" s="18" t="str">
        <f>IF(OR(L779="",V779=""),"",IFERROR(INDEX(لیست‌ها!$Q$3:$Q$53,MATCH(V779,لیست‌ها!$P$3:$P$53,0))+IF(W779&lt;=6,(W779-1)*31+X779,IF(W779&lt;=11,186+(W779-7)*30+X779,336+X779))-1,""))</f>
        <v/>
      </c>
      <c r="Z779" s="18" t="str">
        <f t="shared" si="180"/>
        <v/>
      </c>
      <c r="AA779" s="18" t="str">
        <f t="shared" si="181"/>
        <v/>
      </c>
      <c r="AB779" s="18" t="str">
        <f t="shared" si="182"/>
        <v/>
      </c>
      <c r="AC779" s="18" t="str">
        <f>IF(OR(H779="",Z779=""),"",IFERROR(INDEX(لیست‌ها!$Q$3:$Q$53,MATCH(Z779,لیست‌ها!$P$3:$P$53,0))+IF(AA779&lt;=6,(AA779-1)*31+AB779,IF(AA779&lt;=11,186+(AA779-7)*30+AB779,336+AB779))-1,""))</f>
        <v/>
      </c>
      <c r="AD779" s="18" t="str">
        <f t="shared" si="183"/>
        <v/>
      </c>
      <c r="AE779" s="18" t="str">
        <f t="shared" si="184"/>
        <v/>
      </c>
      <c r="AF779" s="18" t="str">
        <f t="shared" si="185"/>
        <v/>
      </c>
      <c r="AG779" s="18" t="str">
        <f>IF(OR(O779="",AD779=""),"",IFERROR(INDEX(لیست‌ها!$Q$3:$Q$53,MATCH(AD779,لیست‌ها!$P$3:$P$53,0))+IF(AE779&lt;=6,(AE779-1)*31+AF779,IF(AE779&lt;=11,186+(AE779-7)*30+AF779,336+AF779))-1,""))</f>
        <v/>
      </c>
      <c r="AH779" s="18" t="str">
        <f t="shared" si="186"/>
        <v/>
      </c>
      <c r="AI779" s="18" t="str">
        <f t="shared" si="187"/>
        <v/>
      </c>
      <c r="AJ779" s="18" t="str">
        <f t="shared" ca="1" si="188"/>
        <v/>
      </c>
    </row>
    <row r="780" spans="1:36">
      <c r="A780" s="18" t="str">
        <f t="shared" si="174"/>
        <v/>
      </c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8" t="str">
        <f t="shared" ca="1" si="175"/>
        <v/>
      </c>
      <c r="U780" s="18">
        <f t="shared" ca="1" si="176"/>
        <v>0</v>
      </c>
      <c r="V780" s="18" t="str">
        <f t="shared" si="177"/>
        <v/>
      </c>
      <c r="W780" s="18" t="str">
        <f t="shared" si="178"/>
        <v/>
      </c>
      <c r="X780" s="18" t="str">
        <f t="shared" si="179"/>
        <v/>
      </c>
      <c r="Y780" s="18" t="str">
        <f>IF(OR(L780="",V780=""),"",IFERROR(INDEX(لیست‌ها!$Q$3:$Q$53,MATCH(V780,لیست‌ها!$P$3:$P$53,0))+IF(W780&lt;=6,(W780-1)*31+X780,IF(W780&lt;=11,186+(W780-7)*30+X780,336+X780))-1,""))</f>
        <v/>
      </c>
      <c r="Z780" s="18" t="str">
        <f t="shared" si="180"/>
        <v/>
      </c>
      <c r="AA780" s="18" t="str">
        <f t="shared" si="181"/>
        <v/>
      </c>
      <c r="AB780" s="18" t="str">
        <f t="shared" si="182"/>
        <v/>
      </c>
      <c r="AC780" s="18" t="str">
        <f>IF(OR(H780="",Z780=""),"",IFERROR(INDEX(لیست‌ها!$Q$3:$Q$53,MATCH(Z780,لیست‌ها!$P$3:$P$53,0))+IF(AA780&lt;=6,(AA780-1)*31+AB780,IF(AA780&lt;=11,186+(AA780-7)*30+AB780,336+AB780))-1,""))</f>
        <v/>
      </c>
      <c r="AD780" s="18" t="str">
        <f t="shared" si="183"/>
        <v/>
      </c>
      <c r="AE780" s="18" t="str">
        <f t="shared" si="184"/>
        <v/>
      </c>
      <c r="AF780" s="18" t="str">
        <f t="shared" si="185"/>
        <v/>
      </c>
      <c r="AG780" s="18" t="str">
        <f>IF(OR(O780="",AD780=""),"",IFERROR(INDEX(لیست‌ها!$Q$3:$Q$53,MATCH(AD780,لیست‌ها!$P$3:$P$53,0))+IF(AE780&lt;=6,(AE780-1)*31+AF780,IF(AE780&lt;=11,186+(AE780-7)*30+AF780,336+AF780))-1,""))</f>
        <v/>
      </c>
      <c r="AH780" s="18" t="str">
        <f t="shared" si="186"/>
        <v/>
      </c>
      <c r="AI780" s="18" t="str">
        <f t="shared" si="187"/>
        <v/>
      </c>
      <c r="AJ780" s="18" t="str">
        <f t="shared" ca="1" si="188"/>
        <v/>
      </c>
    </row>
    <row r="781" spans="1:36">
      <c r="A781" s="18" t="str">
        <f t="shared" si="174"/>
        <v/>
      </c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8" t="str">
        <f t="shared" ca="1" si="175"/>
        <v/>
      </c>
      <c r="U781" s="18">
        <f t="shared" ca="1" si="176"/>
        <v>0</v>
      </c>
      <c r="V781" s="18" t="str">
        <f t="shared" si="177"/>
        <v/>
      </c>
      <c r="W781" s="18" t="str">
        <f t="shared" si="178"/>
        <v/>
      </c>
      <c r="X781" s="18" t="str">
        <f t="shared" si="179"/>
        <v/>
      </c>
      <c r="Y781" s="18" t="str">
        <f>IF(OR(L781="",V781=""),"",IFERROR(INDEX(لیست‌ها!$Q$3:$Q$53,MATCH(V781,لیست‌ها!$P$3:$P$53,0))+IF(W781&lt;=6,(W781-1)*31+X781,IF(W781&lt;=11,186+(W781-7)*30+X781,336+X781))-1,""))</f>
        <v/>
      </c>
      <c r="Z781" s="18" t="str">
        <f t="shared" si="180"/>
        <v/>
      </c>
      <c r="AA781" s="18" t="str">
        <f t="shared" si="181"/>
        <v/>
      </c>
      <c r="AB781" s="18" t="str">
        <f t="shared" si="182"/>
        <v/>
      </c>
      <c r="AC781" s="18" t="str">
        <f>IF(OR(H781="",Z781=""),"",IFERROR(INDEX(لیست‌ها!$Q$3:$Q$53,MATCH(Z781,لیست‌ها!$P$3:$P$53,0))+IF(AA781&lt;=6,(AA781-1)*31+AB781,IF(AA781&lt;=11,186+(AA781-7)*30+AB781,336+AB781))-1,""))</f>
        <v/>
      </c>
      <c r="AD781" s="18" t="str">
        <f t="shared" si="183"/>
        <v/>
      </c>
      <c r="AE781" s="18" t="str">
        <f t="shared" si="184"/>
        <v/>
      </c>
      <c r="AF781" s="18" t="str">
        <f t="shared" si="185"/>
        <v/>
      </c>
      <c r="AG781" s="18" t="str">
        <f>IF(OR(O781="",AD781=""),"",IFERROR(INDEX(لیست‌ها!$Q$3:$Q$53,MATCH(AD781,لیست‌ها!$P$3:$P$53,0))+IF(AE781&lt;=6,(AE781-1)*31+AF781,IF(AE781&lt;=11,186+(AE781-7)*30+AF781,336+AF781))-1,""))</f>
        <v/>
      </c>
      <c r="AH781" s="18" t="str">
        <f t="shared" si="186"/>
        <v/>
      </c>
      <c r="AI781" s="18" t="str">
        <f t="shared" si="187"/>
        <v/>
      </c>
      <c r="AJ781" s="18" t="str">
        <f t="shared" ca="1" si="188"/>
        <v/>
      </c>
    </row>
    <row r="782" spans="1:36">
      <c r="A782" s="18" t="str">
        <f t="shared" si="174"/>
        <v/>
      </c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8" t="str">
        <f t="shared" ca="1" si="175"/>
        <v/>
      </c>
      <c r="U782" s="18">
        <f t="shared" ca="1" si="176"/>
        <v>0</v>
      </c>
      <c r="V782" s="18" t="str">
        <f t="shared" si="177"/>
        <v/>
      </c>
      <c r="W782" s="18" t="str">
        <f t="shared" si="178"/>
        <v/>
      </c>
      <c r="X782" s="18" t="str">
        <f t="shared" si="179"/>
        <v/>
      </c>
      <c r="Y782" s="18" t="str">
        <f>IF(OR(L782="",V782=""),"",IFERROR(INDEX(لیست‌ها!$Q$3:$Q$53,MATCH(V782,لیست‌ها!$P$3:$P$53,0))+IF(W782&lt;=6,(W782-1)*31+X782,IF(W782&lt;=11,186+(W782-7)*30+X782,336+X782))-1,""))</f>
        <v/>
      </c>
      <c r="Z782" s="18" t="str">
        <f t="shared" si="180"/>
        <v/>
      </c>
      <c r="AA782" s="18" t="str">
        <f t="shared" si="181"/>
        <v/>
      </c>
      <c r="AB782" s="18" t="str">
        <f t="shared" si="182"/>
        <v/>
      </c>
      <c r="AC782" s="18" t="str">
        <f>IF(OR(H782="",Z782=""),"",IFERROR(INDEX(لیست‌ها!$Q$3:$Q$53,MATCH(Z782,لیست‌ها!$P$3:$P$53,0))+IF(AA782&lt;=6,(AA782-1)*31+AB782,IF(AA782&lt;=11,186+(AA782-7)*30+AB782,336+AB782))-1,""))</f>
        <v/>
      </c>
      <c r="AD782" s="18" t="str">
        <f t="shared" si="183"/>
        <v/>
      </c>
      <c r="AE782" s="18" t="str">
        <f t="shared" si="184"/>
        <v/>
      </c>
      <c r="AF782" s="18" t="str">
        <f t="shared" si="185"/>
        <v/>
      </c>
      <c r="AG782" s="18" t="str">
        <f>IF(OR(O782="",AD782=""),"",IFERROR(INDEX(لیست‌ها!$Q$3:$Q$53,MATCH(AD782,لیست‌ها!$P$3:$P$53,0))+IF(AE782&lt;=6,(AE782-1)*31+AF782,IF(AE782&lt;=11,186+(AE782-7)*30+AF782,336+AF782))-1,""))</f>
        <v/>
      </c>
      <c r="AH782" s="18" t="str">
        <f t="shared" si="186"/>
        <v/>
      </c>
      <c r="AI782" s="18" t="str">
        <f t="shared" si="187"/>
        <v/>
      </c>
      <c r="AJ782" s="18" t="str">
        <f t="shared" ca="1" si="188"/>
        <v/>
      </c>
    </row>
    <row r="783" spans="1:36">
      <c r="A783" s="18" t="str">
        <f t="shared" si="174"/>
        <v/>
      </c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8" t="str">
        <f t="shared" ca="1" si="175"/>
        <v/>
      </c>
      <c r="U783" s="18">
        <f t="shared" ca="1" si="176"/>
        <v>0</v>
      </c>
      <c r="V783" s="18" t="str">
        <f t="shared" si="177"/>
        <v/>
      </c>
      <c r="W783" s="18" t="str">
        <f t="shared" si="178"/>
        <v/>
      </c>
      <c r="X783" s="18" t="str">
        <f t="shared" si="179"/>
        <v/>
      </c>
      <c r="Y783" s="18" t="str">
        <f>IF(OR(L783="",V783=""),"",IFERROR(INDEX(لیست‌ها!$Q$3:$Q$53,MATCH(V783,لیست‌ها!$P$3:$P$53,0))+IF(W783&lt;=6,(W783-1)*31+X783,IF(W783&lt;=11,186+(W783-7)*30+X783,336+X783))-1,""))</f>
        <v/>
      </c>
      <c r="Z783" s="18" t="str">
        <f t="shared" si="180"/>
        <v/>
      </c>
      <c r="AA783" s="18" t="str">
        <f t="shared" si="181"/>
        <v/>
      </c>
      <c r="AB783" s="18" t="str">
        <f t="shared" si="182"/>
        <v/>
      </c>
      <c r="AC783" s="18" t="str">
        <f>IF(OR(H783="",Z783=""),"",IFERROR(INDEX(لیست‌ها!$Q$3:$Q$53,MATCH(Z783,لیست‌ها!$P$3:$P$53,0))+IF(AA783&lt;=6,(AA783-1)*31+AB783,IF(AA783&lt;=11,186+(AA783-7)*30+AB783,336+AB783))-1,""))</f>
        <v/>
      </c>
      <c r="AD783" s="18" t="str">
        <f t="shared" si="183"/>
        <v/>
      </c>
      <c r="AE783" s="18" t="str">
        <f t="shared" si="184"/>
        <v/>
      </c>
      <c r="AF783" s="18" t="str">
        <f t="shared" si="185"/>
        <v/>
      </c>
      <c r="AG783" s="18" t="str">
        <f>IF(OR(O783="",AD783=""),"",IFERROR(INDEX(لیست‌ها!$Q$3:$Q$53,MATCH(AD783,لیست‌ها!$P$3:$P$53,0))+IF(AE783&lt;=6,(AE783-1)*31+AF783,IF(AE783&lt;=11,186+(AE783-7)*30+AF783,336+AF783))-1,""))</f>
        <v/>
      </c>
      <c r="AH783" s="18" t="str">
        <f t="shared" si="186"/>
        <v/>
      </c>
      <c r="AI783" s="18" t="str">
        <f t="shared" si="187"/>
        <v/>
      </c>
      <c r="AJ783" s="18" t="str">
        <f t="shared" ca="1" si="188"/>
        <v/>
      </c>
    </row>
    <row r="784" spans="1:36">
      <c r="A784" s="18" t="str">
        <f t="shared" si="174"/>
        <v/>
      </c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8" t="str">
        <f t="shared" ca="1" si="175"/>
        <v/>
      </c>
      <c r="U784" s="18">
        <f t="shared" ca="1" si="176"/>
        <v>0</v>
      </c>
      <c r="V784" s="18" t="str">
        <f t="shared" si="177"/>
        <v/>
      </c>
      <c r="W784" s="18" t="str">
        <f t="shared" si="178"/>
        <v/>
      </c>
      <c r="X784" s="18" t="str">
        <f t="shared" si="179"/>
        <v/>
      </c>
      <c r="Y784" s="18" t="str">
        <f>IF(OR(L784="",V784=""),"",IFERROR(INDEX(لیست‌ها!$Q$3:$Q$53,MATCH(V784,لیست‌ها!$P$3:$P$53,0))+IF(W784&lt;=6,(W784-1)*31+X784,IF(W784&lt;=11,186+(W784-7)*30+X784,336+X784))-1,""))</f>
        <v/>
      </c>
      <c r="Z784" s="18" t="str">
        <f t="shared" si="180"/>
        <v/>
      </c>
      <c r="AA784" s="18" t="str">
        <f t="shared" si="181"/>
        <v/>
      </c>
      <c r="AB784" s="18" t="str">
        <f t="shared" si="182"/>
        <v/>
      </c>
      <c r="AC784" s="18" t="str">
        <f>IF(OR(H784="",Z784=""),"",IFERROR(INDEX(لیست‌ها!$Q$3:$Q$53,MATCH(Z784,لیست‌ها!$P$3:$P$53,0))+IF(AA784&lt;=6,(AA784-1)*31+AB784,IF(AA784&lt;=11,186+(AA784-7)*30+AB784,336+AB784))-1,""))</f>
        <v/>
      </c>
      <c r="AD784" s="18" t="str">
        <f t="shared" si="183"/>
        <v/>
      </c>
      <c r="AE784" s="18" t="str">
        <f t="shared" si="184"/>
        <v/>
      </c>
      <c r="AF784" s="18" t="str">
        <f t="shared" si="185"/>
        <v/>
      </c>
      <c r="AG784" s="18" t="str">
        <f>IF(OR(O784="",AD784=""),"",IFERROR(INDEX(لیست‌ها!$Q$3:$Q$53,MATCH(AD784,لیست‌ها!$P$3:$P$53,0))+IF(AE784&lt;=6,(AE784-1)*31+AF784,IF(AE784&lt;=11,186+(AE784-7)*30+AF784,336+AF784))-1,""))</f>
        <v/>
      </c>
      <c r="AH784" s="18" t="str">
        <f t="shared" si="186"/>
        <v/>
      </c>
      <c r="AI784" s="18" t="str">
        <f t="shared" si="187"/>
        <v/>
      </c>
      <c r="AJ784" s="18" t="str">
        <f t="shared" ca="1" si="188"/>
        <v/>
      </c>
    </row>
    <row r="785" spans="1:36">
      <c r="A785" s="18" t="str">
        <f t="shared" si="174"/>
        <v/>
      </c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8" t="str">
        <f t="shared" ca="1" si="175"/>
        <v/>
      </c>
      <c r="U785" s="18">
        <f t="shared" ca="1" si="176"/>
        <v>0</v>
      </c>
      <c r="V785" s="18" t="str">
        <f t="shared" si="177"/>
        <v/>
      </c>
      <c r="W785" s="18" t="str">
        <f t="shared" si="178"/>
        <v/>
      </c>
      <c r="X785" s="18" t="str">
        <f t="shared" si="179"/>
        <v/>
      </c>
      <c r="Y785" s="18" t="str">
        <f>IF(OR(L785="",V785=""),"",IFERROR(INDEX(لیست‌ها!$Q$3:$Q$53,MATCH(V785,لیست‌ها!$P$3:$P$53,0))+IF(W785&lt;=6,(W785-1)*31+X785,IF(W785&lt;=11,186+(W785-7)*30+X785,336+X785))-1,""))</f>
        <v/>
      </c>
      <c r="Z785" s="18" t="str">
        <f t="shared" si="180"/>
        <v/>
      </c>
      <c r="AA785" s="18" t="str">
        <f t="shared" si="181"/>
        <v/>
      </c>
      <c r="AB785" s="18" t="str">
        <f t="shared" si="182"/>
        <v/>
      </c>
      <c r="AC785" s="18" t="str">
        <f>IF(OR(H785="",Z785=""),"",IFERROR(INDEX(لیست‌ها!$Q$3:$Q$53,MATCH(Z785,لیست‌ها!$P$3:$P$53,0))+IF(AA785&lt;=6,(AA785-1)*31+AB785,IF(AA785&lt;=11,186+(AA785-7)*30+AB785,336+AB785))-1,""))</f>
        <v/>
      </c>
      <c r="AD785" s="18" t="str">
        <f t="shared" si="183"/>
        <v/>
      </c>
      <c r="AE785" s="18" t="str">
        <f t="shared" si="184"/>
        <v/>
      </c>
      <c r="AF785" s="18" t="str">
        <f t="shared" si="185"/>
        <v/>
      </c>
      <c r="AG785" s="18" t="str">
        <f>IF(OR(O785="",AD785=""),"",IFERROR(INDEX(لیست‌ها!$Q$3:$Q$53,MATCH(AD785,لیست‌ها!$P$3:$P$53,0))+IF(AE785&lt;=6,(AE785-1)*31+AF785,IF(AE785&lt;=11,186+(AE785-7)*30+AF785,336+AF785))-1,""))</f>
        <v/>
      </c>
      <c r="AH785" s="18" t="str">
        <f t="shared" si="186"/>
        <v/>
      </c>
      <c r="AI785" s="18" t="str">
        <f t="shared" si="187"/>
        <v/>
      </c>
      <c r="AJ785" s="18" t="str">
        <f t="shared" ca="1" si="188"/>
        <v/>
      </c>
    </row>
    <row r="786" spans="1:36">
      <c r="A786" s="18" t="str">
        <f t="shared" si="174"/>
        <v/>
      </c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8" t="str">
        <f t="shared" ca="1" si="175"/>
        <v/>
      </c>
      <c r="U786" s="18">
        <f t="shared" ca="1" si="176"/>
        <v>0</v>
      </c>
      <c r="V786" s="18" t="str">
        <f t="shared" si="177"/>
        <v/>
      </c>
      <c r="W786" s="18" t="str">
        <f t="shared" si="178"/>
        <v/>
      </c>
      <c r="X786" s="18" t="str">
        <f t="shared" si="179"/>
        <v/>
      </c>
      <c r="Y786" s="18" t="str">
        <f>IF(OR(L786="",V786=""),"",IFERROR(INDEX(لیست‌ها!$Q$3:$Q$53,MATCH(V786,لیست‌ها!$P$3:$P$53,0))+IF(W786&lt;=6,(W786-1)*31+X786,IF(W786&lt;=11,186+(W786-7)*30+X786,336+X786))-1,""))</f>
        <v/>
      </c>
      <c r="Z786" s="18" t="str">
        <f t="shared" si="180"/>
        <v/>
      </c>
      <c r="AA786" s="18" t="str">
        <f t="shared" si="181"/>
        <v/>
      </c>
      <c r="AB786" s="18" t="str">
        <f t="shared" si="182"/>
        <v/>
      </c>
      <c r="AC786" s="18" t="str">
        <f>IF(OR(H786="",Z786=""),"",IFERROR(INDEX(لیست‌ها!$Q$3:$Q$53,MATCH(Z786,لیست‌ها!$P$3:$P$53,0))+IF(AA786&lt;=6,(AA786-1)*31+AB786,IF(AA786&lt;=11,186+(AA786-7)*30+AB786,336+AB786))-1,""))</f>
        <v/>
      </c>
      <c r="AD786" s="18" t="str">
        <f t="shared" si="183"/>
        <v/>
      </c>
      <c r="AE786" s="18" t="str">
        <f t="shared" si="184"/>
        <v/>
      </c>
      <c r="AF786" s="18" t="str">
        <f t="shared" si="185"/>
        <v/>
      </c>
      <c r="AG786" s="18" t="str">
        <f>IF(OR(O786="",AD786=""),"",IFERROR(INDEX(لیست‌ها!$Q$3:$Q$53,MATCH(AD786,لیست‌ها!$P$3:$P$53,0))+IF(AE786&lt;=6,(AE786-1)*31+AF786,IF(AE786&lt;=11,186+(AE786-7)*30+AF786,336+AF786))-1,""))</f>
        <v/>
      </c>
      <c r="AH786" s="18" t="str">
        <f t="shared" si="186"/>
        <v/>
      </c>
      <c r="AI786" s="18" t="str">
        <f t="shared" si="187"/>
        <v/>
      </c>
      <c r="AJ786" s="18" t="str">
        <f t="shared" ca="1" si="188"/>
        <v/>
      </c>
    </row>
    <row r="787" spans="1:36">
      <c r="A787" s="18" t="str">
        <f t="shared" si="174"/>
        <v/>
      </c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8" t="str">
        <f t="shared" ca="1" si="175"/>
        <v/>
      </c>
      <c r="U787" s="18">
        <f t="shared" ca="1" si="176"/>
        <v>0</v>
      </c>
      <c r="V787" s="18" t="str">
        <f t="shared" si="177"/>
        <v/>
      </c>
      <c r="W787" s="18" t="str">
        <f t="shared" si="178"/>
        <v/>
      </c>
      <c r="X787" s="18" t="str">
        <f t="shared" si="179"/>
        <v/>
      </c>
      <c r="Y787" s="18" t="str">
        <f>IF(OR(L787="",V787=""),"",IFERROR(INDEX(لیست‌ها!$Q$3:$Q$53,MATCH(V787,لیست‌ها!$P$3:$P$53,0))+IF(W787&lt;=6,(W787-1)*31+X787,IF(W787&lt;=11,186+(W787-7)*30+X787,336+X787))-1,""))</f>
        <v/>
      </c>
      <c r="Z787" s="18" t="str">
        <f t="shared" si="180"/>
        <v/>
      </c>
      <c r="AA787" s="18" t="str">
        <f t="shared" si="181"/>
        <v/>
      </c>
      <c r="AB787" s="18" t="str">
        <f t="shared" si="182"/>
        <v/>
      </c>
      <c r="AC787" s="18" t="str">
        <f>IF(OR(H787="",Z787=""),"",IFERROR(INDEX(لیست‌ها!$Q$3:$Q$53,MATCH(Z787,لیست‌ها!$P$3:$P$53,0))+IF(AA787&lt;=6,(AA787-1)*31+AB787,IF(AA787&lt;=11,186+(AA787-7)*30+AB787,336+AB787))-1,""))</f>
        <v/>
      </c>
      <c r="AD787" s="18" t="str">
        <f t="shared" si="183"/>
        <v/>
      </c>
      <c r="AE787" s="18" t="str">
        <f t="shared" si="184"/>
        <v/>
      </c>
      <c r="AF787" s="18" t="str">
        <f t="shared" si="185"/>
        <v/>
      </c>
      <c r="AG787" s="18" t="str">
        <f>IF(OR(O787="",AD787=""),"",IFERROR(INDEX(لیست‌ها!$Q$3:$Q$53,MATCH(AD787,لیست‌ها!$P$3:$P$53,0))+IF(AE787&lt;=6,(AE787-1)*31+AF787,IF(AE787&lt;=11,186+(AE787-7)*30+AF787,336+AF787))-1,""))</f>
        <v/>
      </c>
      <c r="AH787" s="18" t="str">
        <f t="shared" si="186"/>
        <v/>
      </c>
      <c r="AI787" s="18" t="str">
        <f t="shared" si="187"/>
        <v/>
      </c>
      <c r="AJ787" s="18" t="str">
        <f t="shared" ca="1" si="188"/>
        <v/>
      </c>
    </row>
    <row r="788" spans="1:36">
      <c r="A788" s="18" t="str">
        <f t="shared" si="174"/>
        <v/>
      </c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8" t="str">
        <f t="shared" ca="1" si="175"/>
        <v/>
      </c>
      <c r="U788" s="18">
        <f t="shared" ca="1" si="176"/>
        <v>0</v>
      </c>
      <c r="V788" s="18" t="str">
        <f t="shared" si="177"/>
        <v/>
      </c>
      <c r="W788" s="18" t="str">
        <f t="shared" si="178"/>
        <v/>
      </c>
      <c r="X788" s="18" t="str">
        <f t="shared" si="179"/>
        <v/>
      </c>
      <c r="Y788" s="18" t="str">
        <f>IF(OR(L788="",V788=""),"",IFERROR(INDEX(لیست‌ها!$Q$3:$Q$53,MATCH(V788,لیست‌ها!$P$3:$P$53,0))+IF(W788&lt;=6,(W788-1)*31+X788,IF(W788&lt;=11,186+(W788-7)*30+X788,336+X788))-1,""))</f>
        <v/>
      </c>
      <c r="Z788" s="18" t="str">
        <f t="shared" si="180"/>
        <v/>
      </c>
      <c r="AA788" s="18" t="str">
        <f t="shared" si="181"/>
        <v/>
      </c>
      <c r="AB788" s="18" t="str">
        <f t="shared" si="182"/>
        <v/>
      </c>
      <c r="AC788" s="18" t="str">
        <f>IF(OR(H788="",Z788=""),"",IFERROR(INDEX(لیست‌ها!$Q$3:$Q$53,MATCH(Z788,لیست‌ها!$P$3:$P$53,0))+IF(AA788&lt;=6,(AA788-1)*31+AB788,IF(AA788&lt;=11,186+(AA788-7)*30+AB788,336+AB788))-1,""))</f>
        <v/>
      </c>
      <c r="AD788" s="18" t="str">
        <f t="shared" si="183"/>
        <v/>
      </c>
      <c r="AE788" s="18" t="str">
        <f t="shared" si="184"/>
        <v/>
      </c>
      <c r="AF788" s="18" t="str">
        <f t="shared" si="185"/>
        <v/>
      </c>
      <c r="AG788" s="18" t="str">
        <f>IF(OR(O788="",AD788=""),"",IFERROR(INDEX(لیست‌ها!$Q$3:$Q$53,MATCH(AD788,لیست‌ها!$P$3:$P$53,0))+IF(AE788&lt;=6,(AE788-1)*31+AF788,IF(AE788&lt;=11,186+(AE788-7)*30+AF788,336+AF788))-1,""))</f>
        <v/>
      </c>
      <c r="AH788" s="18" t="str">
        <f t="shared" si="186"/>
        <v/>
      </c>
      <c r="AI788" s="18" t="str">
        <f t="shared" si="187"/>
        <v/>
      </c>
      <c r="AJ788" s="18" t="str">
        <f t="shared" ca="1" si="188"/>
        <v/>
      </c>
    </row>
    <row r="789" spans="1:36">
      <c r="A789" s="18" t="str">
        <f t="shared" si="174"/>
        <v/>
      </c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8" t="str">
        <f t="shared" ca="1" si="175"/>
        <v/>
      </c>
      <c r="U789" s="18">
        <f t="shared" ca="1" si="176"/>
        <v>0</v>
      </c>
      <c r="V789" s="18" t="str">
        <f t="shared" si="177"/>
        <v/>
      </c>
      <c r="W789" s="18" t="str">
        <f t="shared" si="178"/>
        <v/>
      </c>
      <c r="X789" s="18" t="str">
        <f t="shared" si="179"/>
        <v/>
      </c>
      <c r="Y789" s="18" t="str">
        <f>IF(OR(L789="",V789=""),"",IFERROR(INDEX(لیست‌ها!$Q$3:$Q$53,MATCH(V789,لیست‌ها!$P$3:$P$53,0))+IF(W789&lt;=6,(W789-1)*31+X789,IF(W789&lt;=11,186+(W789-7)*30+X789,336+X789))-1,""))</f>
        <v/>
      </c>
      <c r="Z789" s="18" t="str">
        <f t="shared" si="180"/>
        <v/>
      </c>
      <c r="AA789" s="18" t="str">
        <f t="shared" si="181"/>
        <v/>
      </c>
      <c r="AB789" s="18" t="str">
        <f t="shared" si="182"/>
        <v/>
      </c>
      <c r="AC789" s="18" t="str">
        <f>IF(OR(H789="",Z789=""),"",IFERROR(INDEX(لیست‌ها!$Q$3:$Q$53,MATCH(Z789,لیست‌ها!$P$3:$P$53,0))+IF(AA789&lt;=6,(AA789-1)*31+AB789,IF(AA789&lt;=11,186+(AA789-7)*30+AB789,336+AB789))-1,""))</f>
        <v/>
      </c>
      <c r="AD789" s="18" t="str">
        <f t="shared" si="183"/>
        <v/>
      </c>
      <c r="AE789" s="18" t="str">
        <f t="shared" si="184"/>
        <v/>
      </c>
      <c r="AF789" s="18" t="str">
        <f t="shared" si="185"/>
        <v/>
      </c>
      <c r="AG789" s="18" t="str">
        <f>IF(OR(O789="",AD789=""),"",IFERROR(INDEX(لیست‌ها!$Q$3:$Q$53,MATCH(AD789,لیست‌ها!$P$3:$P$53,0))+IF(AE789&lt;=6,(AE789-1)*31+AF789,IF(AE789&lt;=11,186+(AE789-7)*30+AF789,336+AF789))-1,""))</f>
        <v/>
      </c>
      <c r="AH789" s="18" t="str">
        <f t="shared" si="186"/>
        <v/>
      </c>
      <c r="AI789" s="18" t="str">
        <f t="shared" si="187"/>
        <v/>
      </c>
      <c r="AJ789" s="18" t="str">
        <f t="shared" ca="1" si="188"/>
        <v/>
      </c>
    </row>
    <row r="790" spans="1:36">
      <c r="A790" s="18" t="str">
        <f t="shared" si="174"/>
        <v/>
      </c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8" t="str">
        <f t="shared" ca="1" si="175"/>
        <v/>
      </c>
      <c r="U790" s="18">
        <f t="shared" ca="1" si="176"/>
        <v>0</v>
      </c>
      <c r="V790" s="18" t="str">
        <f t="shared" si="177"/>
        <v/>
      </c>
      <c r="W790" s="18" t="str">
        <f t="shared" si="178"/>
        <v/>
      </c>
      <c r="X790" s="18" t="str">
        <f t="shared" si="179"/>
        <v/>
      </c>
      <c r="Y790" s="18" t="str">
        <f>IF(OR(L790="",V790=""),"",IFERROR(INDEX(لیست‌ها!$Q$3:$Q$53,MATCH(V790,لیست‌ها!$P$3:$P$53,0))+IF(W790&lt;=6,(W790-1)*31+X790,IF(W790&lt;=11,186+(W790-7)*30+X790,336+X790))-1,""))</f>
        <v/>
      </c>
      <c r="Z790" s="18" t="str">
        <f t="shared" si="180"/>
        <v/>
      </c>
      <c r="AA790" s="18" t="str">
        <f t="shared" si="181"/>
        <v/>
      </c>
      <c r="AB790" s="18" t="str">
        <f t="shared" si="182"/>
        <v/>
      </c>
      <c r="AC790" s="18" t="str">
        <f>IF(OR(H790="",Z790=""),"",IFERROR(INDEX(لیست‌ها!$Q$3:$Q$53,MATCH(Z790,لیست‌ها!$P$3:$P$53,0))+IF(AA790&lt;=6,(AA790-1)*31+AB790,IF(AA790&lt;=11,186+(AA790-7)*30+AB790,336+AB790))-1,""))</f>
        <v/>
      </c>
      <c r="AD790" s="18" t="str">
        <f t="shared" si="183"/>
        <v/>
      </c>
      <c r="AE790" s="18" t="str">
        <f t="shared" si="184"/>
        <v/>
      </c>
      <c r="AF790" s="18" t="str">
        <f t="shared" si="185"/>
        <v/>
      </c>
      <c r="AG790" s="18" t="str">
        <f>IF(OR(O790="",AD790=""),"",IFERROR(INDEX(لیست‌ها!$Q$3:$Q$53,MATCH(AD790,لیست‌ها!$P$3:$P$53,0))+IF(AE790&lt;=6,(AE790-1)*31+AF790,IF(AE790&lt;=11,186+(AE790-7)*30+AF790,336+AF790))-1,""))</f>
        <v/>
      </c>
      <c r="AH790" s="18" t="str">
        <f t="shared" si="186"/>
        <v/>
      </c>
      <c r="AI790" s="18" t="str">
        <f t="shared" si="187"/>
        <v/>
      </c>
      <c r="AJ790" s="18" t="str">
        <f t="shared" ca="1" si="188"/>
        <v/>
      </c>
    </row>
    <row r="791" spans="1:36">
      <c r="A791" s="18" t="str">
        <f t="shared" si="174"/>
        <v/>
      </c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8" t="str">
        <f t="shared" ca="1" si="175"/>
        <v/>
      </c>
      <c r="U791" s="18">
        <f t="shared" ca="1" si="176"/>
        <v>0</v>
      </c>
      <c r="V791" s="18" t="str">
        <f t="shared" si="177"/>
        <v/>
      </c>
      <c r="W791" s="18" t="str">
        <f t="shared" si="178"/>
        <v/>
      </c>
      <c r="X791" s="18" t="str">
        <f t="shared" si="179"/>
        <v/>
      </c>
      <c r="Y791" s="18" t="str">
        <f>IF(OR(L791="",V791=""),"",IFERROR(INDEX(لیست‌ها!$Q$3:$Q$53,MATCH(V791,لیست‌ها!$P$3:$P$53,0))+IF(W791&lt;=6,(W791-1)*31+X791,IF(W791&lt;=11,186+(W791-7)*30+X791,336+X791))-1,""))</f>
        <v/>
      </c>
      <c r="Z791" s="18" t="str">
        <f t="shared" si="180"/>
        <v/>
      </c>
      <c r="AA791" s="18" t="str">
        <f t="shared" si="181"/>
        <v/>
      </c>
      <c r="AB791" s="18" t="str">
        <f t="shared" si="182"/>
        <v/>
      </c>
      <c r="AC791" s="18" t="str">
        <f>IF(OR(H791="",Z791=""),"",IFERROR(INDEX(لیست‌ها!$Q$3:$Q$53,MATCH(Z791,لیست‌ها!$P$3:$P$53,0))+IF(AA791&lt;=6,(AA791-1)*31+AB791,IF(AA791&lt;=11,186+(AA791-7)*30+AB791,336+AB791))-1,""))</f>
        <v/>
      </c>
      <c r="AD791" s="18" t="str">
        <f t="shared" si="183"/>
        <v/>
      </c>
      <c r="AE791" s="18" t="str">
        <f t="shared" si="184"/>
        <v/>
      </c>
      <c r="AF791" s="18" t="str">
        <f t="shared" si="185"/>
        <v/>
      </c>
      <c r="AG791" s="18" t="str">
        <f>IF(OR(O791="",AD791=""),"",IFERROR(INDEX(لیست‌ها!$Q$3:$Q$53,MATCH(AD791,لیست‌ها!$P$3:$P$53,0))+IF(AE791&lt;=6,(AE791-1)*31+AF791,IF(AE791&lt;=11,186+(AE791-7)*30+AF791,336+AF791))-1,""))</f>
        <v/>
      </c>
      <c r="AH791" s="18" t="str">
        <f t="shared" si="186"/>
        <v/>
      </c>
      <c r="AI791" s="18" t="str">
        <f t="shared" si="187"/>
        <v/>
      </c>
      <c r="AJ791" s="18" t="str">
        <f t="shared" ca="1" si="188"/>
        <v/>
      </c>
    </row>
    <row r="792" spans="1:36">
      <c r="A792" s="18" t="str">
        <f t="shared" si="174"/>
        <v/>
      </c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8" t="str">
        <f t="shared" ca="1" si="175"/>
        <v/>
      </c>
      <c r="U792" s="18">
        <f t="shared" ca="1" si="176"/>
        <v>0</v>
      </c>
      <c r="V792" s="18" t="str">
        <f t="shared" si="177"/>
        <v/>
      </c>
      <c r="W792" s="18" t="str">
        <f t="shared" si="178"/>
        <v/>
      </c>
      <c r="X792" s="18" t="str">
        <f t="shared" si="179"/>
        <v/>
      </c>
      <c r="Y792" s="18" t="str">
        <f>IF(OR(L792="",V792=""),"",IFERROR(INDEX(لیست‌ها!$Q$3:$Q$53,MATCH(V792,لیست‌ها!$P$3:$P$53,0))+IF(W792&lt;=6,(W792-1)*31+X792,IF(W792&lt;=11,186+(W792-7)*30+X792,336+X792))-1,""))</f>
        <v/>
      </c>
      <c r="Z792" s="18" t="str">
        <f t="shared" si="180"/>
        <v/>
      </c>
      <c r="AA792" s="18" t="str">
        <f t="shared" si="181"/>
        <v/>
      </c>
      <c r="AB792" s="18" t="str">
        <f t="shared" si="182"/>
        <v/>
      </c>
      <c r="AC792" s="18" t="str">
        <f>IF(OR(H792="",Z792=""),"",IFERROR(INDEX(لیست‌ها!$Q$3:$Q$53,MATCH(Z792,لیست‌ها!$P$3:$P$53,0))+IF(AA792&lt;=6,(AA792-1)*31+AB792,IF(AA792&lt;=11,186+(AA792-7)*30+AB792,336+AB792))-1,""))</f>
        <v/>
      </c>
      <c r="AD792" s="18" t="str">
        <f t="shared" si="183"/>
        <v/>
      </c>
      <c r="AE792" s="18" t="str">
        <f t="shared" si="184"/>
        <v/>
      </c>
      <c r="AF792" s="18" t="str">
        <f t="shared" si="185"/>
        <v/>
      </c>
      <c r="AG792" s="18" t="str">
        <f>IF(OR(O792="",AD792=""),"",IFERROR(INDEX(لیست‌ها!$Q$3:$Q$53,MATCH(AD792,لیست‌ها!$P$3:$P$53,0))+IF(AE792&lt;=6,(AE792-1)*31+AF792,IF(AE792&lt;=11,186+(AE792-7)*30+AF792,336+AF792))-1,""))</f>
        <v/>
      </c>
      <c r="AH792" s="18" t="str">
        <f t="shared" si="186"/>
        <v/>
      </c>
      <c r="AI792" s="18" t="str">
        <f t="shared" si="187"/>
        <v/>
      </c>
      <c r="AJ792" s="18" t="str">
        <f t="shared" ca="1" si="188"/>
        <v/>
      </c>
    </row>
    <row r="793" spans="1:36">
      <c r="A793" s="18" t="str">
        <f t="shared" si="174"/>
        <v/>
      </c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8" t="str">
        <f t="shared" ca="1" si="175"/>
        <v/>
      </c>
      <c r="U793" s="18">
        <f t="shared" ca="1" si="176"/>
        <v>0</v>
      </c>
      <c r="V793" s="18" t="str">
        <f t="shared" si="177"/>
        <v/>
      </c>
      <c r="W793" s="18" t="str">
        <f t="shared" si="178"/>
        <v/>
      </c>
      <c r="X793" s="18" t="str">
        <f t="shared" si="179"/>
        <v/>
      </c>
      <c r="Y793" s="18" t="str">
        <f>IF(OR(L793="",V793=""),"",IFERROR(INDEX(لیست‌ها!$Q$3:$Q$53,MATCH(V793,لیست‌ها!$P$3:$P$53,0))+IF(W793&lt;=6,(W793-1)*31+X793,IF(W793&lt;=11,186+(W793-7)*30+X793,336+X793))-1,""))</f>
        <v/>
      </c>
      <c r="Z793" s="18" t="str">
        <f t="shared" si="180"/>
        <v/>
      </c>
      <c r="AA793" s="18" t="str">
        <f t="shared" si="181"/>
        <v/>
      </c>
      <c r="AB793" s="18" t="str">
        <f t="shared" si="182"/>
        <v/>
      </c>
      <c r="AC793" s="18" t="str">
        <f>IF(OR(H793="",Z793=""),"",IFERROR(INDEX(لیست‌ها!$Q$3:$Q$53,MATCH(Z793,لیست‌ها!$P$3:$P$53,0))+IF(AA793&lt;=6,(AA793-1)*31+AB793,IF(AA793&lt;=11,186+(AA793-7)*30+AB793,336+AB793))-1,""))</f>
        <v/>
      </c>
      <c r="AD793" s="18" t="str">
        <f t="shared" si="183"/>
        <v/>
      </c>
      <c r="AE793" s="18" t="str">
        <f t="shared" si="184"/>
        <v/>
      </c>
      <c r="AF793" s="18" t="str">
        <f t="shared" si="185"/>
        <v/>
      </c>
      <c r="AG793" s="18" t="str">
        <f>IF(OR(O793="",AD793=""),"",IFERROR(INDEX(لیست‌ها!$Q$3:$Q$53,MATCH(AD793,لیست‌ها!$P$3:$P$53,0))+IF(AE793&lt;=6,(AE793-1)*31+AF793,IF(AE793&lt;=11,186+(AE793-7)*30+AF793,336+AF793))-1,""))</f>
        <v/>
      </c>
      <c r="AH793" s="18" t="str">
        <f t="shared" si="186"/>
        <v/>
      </c>
      <c r="AI793" s="18" t="str">
        <f t="shared" si="187"/>
        <v/>
      </c>
      <c r="AJ793" s="18" t="str">
        <f t="shared" ca="1" si="188"/>
        <v/>
      </c>
    </row>
    <row r="794" spans="1:36">
      <c r="A794" s="18" t="str">
        <f t="shared" si="174"/>
        <v/>
      </c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8" t="str">
        <f t="shared" ca="1" si="175"/>
        <v/>
      </c>
      <c r="U794" s="18">
        <f t="shared" ca="1" si="176"/>
        <v>0</v>
      </c>
      <c r="V794" s="18" t="str">
        <f t="shared" si="177"/>
        <v/>
      </c>
      <c r="W794" s="18" t="str">
        <f t="shared" si="178"/>
        <v/>
      </c>
      <c r="X794" s="18" t="str">
        <f t="shared" si="179"/>
        <v/>
      </c>
      <c r="Y794" s="18" t="str">
        <f>IF(OR(L794="",V794=""),"",IFERROR(INDEX(لیست‌ها!$Q$3:$Q$53,MATCH(V794,لیست‌ها!$P$3:$P$53,0))+IF(W794&lt;=6,(W794-1)*31+X794,IF(W794&lt;=11,186+(W794-7)*30+X794,336+X794))-1,""))</f>
        <v/>
      </c>
      <c r="Z794" s="18" t="str">
        <f t="shared" si="180"/>
        <v/>
      </c>
      <c r="AA794" s="18" t="str">
        <f t="shared" si="181"/>
        <v/>
      </c>
      <c r="AB794" s="18" t="str">
        <f t="shared" si="182"/>
        <v/>
      </c>
      <c r="AC794" s="18" t="str">
        <f>IF(OR(H794="",Z794=""),"",IFERROR(INDEX(لیست‌ها!$Q$3:$Q$53,MATCH(Z794,لیست‌ها!$P$3:$P$53,0))+IF(AA794&lt;=6,(AA794-1)*31+AB794,IF(AA794&lt;=11,186+(AA794-7)*30+AB794,336+AB794))-1,""))</f>
        <v/>
      </c>
      <c r="AD794" s="18" t="str">
        <f t="shared" si="183"/>
        <v/>
      </c>
      <c r="AE794" s="18" t="str">
        <f t="shared" si="184"/>
        <v/>
      </c>
      <c r="AF794" s="18" t="str">
        <f t="shared" si="185"/>
        <v/>
      </c>
      <c r="AG794" s="18" t="str">
        <f>IF(OR(O794="",AD794=""),"",IFERROR(INDEX(لیست‌ها!$Q$3:$Q$53,MATCH(AD794,لیست‌ها!$P$3:$P$53,0))+IF(AE794&lt;=6,(AE794-1)*31+AF794,IF(AE794&lt;=11,186+(AE794-7)*30+AF794,336+AF794))-1,""))</f>
        <v/>
      </c>
      <c r="AH794" s="18" t="str">
        <f t="shared" si="186"/>
        <v/>
      </c>
      <c r="AI794" s="18" t="str">
        <f t="shared" si="187"/>
        <v/>
      </c>
      <c r="AJ794" s="18" t="str">
        <f t="shared" ca="1" si="188"/>
        <v/>
      </c>
    </row>
    <row r="795" spans="1:36">
      <c r="A795" s="18" t="str">
        <f t="shared" si="174"/>
        <v/>
      </c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8" t="str">
        <f t="shared" ca="1" si="175"/>
        <v/>
      </c>
      <c r="U795" s="18">
        <f t="shared" ca="1" si="176"/>
        <v>0</v>
      </c>
      <c r="V795" s="18" t="str">
        <f t="shared" si="177"/>
        <v/>
      </c>
      <c r="W795" s="18" t="str">
        <f t="shared" si="178"/>
        <v/>
      </c>
      <c r="X795" s="18" t="str">
        <f t="shared" si="179"/>
        <v/>
      </c>
      <c r="Y795" s="18" t="str">
        <f>IF(OR(L795="",V795=""),"",IFERROR(INDEX(لیست‌ها!$Q$3:$Q$53,MATCH(V795,لیست‌ها!$P$3:$P$53,0))+IF(W795&lt;=6,(W795-1)*31+X795,IF(W795&lt;=11,186+(W795-7)*30+X795,336+X795))-1,""))</f>
        <v/>
      </c>
      <c r="Z795" s="18" t="str">
        <f t="shared" si="180"/>
        <v/>
      </c>
      <c r="AA795" s="18" t="str">
        <f t="shared" si="181"/>
        <v/>
      </c>
      <c r="AB795" s="18" t="str">
        <f t="shared" si="182"/>
        <v/>
      </c>
      <c r="AC795" s="18" t="str">
        <f>IF(OR(H795="",Z795=""),"",IFERROR(INDEX(لیست‌ها!$Q$3:$Q$53,MATCH(Z795,لیست‌ها!$P$3:$P$53,0))+IF(AA795&lt;=6,(AA795-1)*31+AB795,IF(AA795&lt;=11,186+(AA795-7)*30+AB795,336+AB795))-1,""))</f>
        <v/>
      </c>
      <c r="AD795" s="18" t="str">
        <f t="shared" si="183"/>
        <v/>
      </c>
      <c r="AE795" s="18" t="str">
        <f t="shared" si="184"/>
        <v/>
      </c>
      <c r="AF795" s="18" t="str">
        <f t="shared" si="185"/>
        <v/>
      </c>
      <c r="AG795" s="18" t="str">
        <f>IF(OR(O795="",AD795=""),"",IFERROR(INDEX(لیست‌ها!$Q$3:$Q$53,MATCH(AD795,لیست‌ها!$P$3:$P$53,0))+IF(AE795&lt;=6,(AE795-1)*31+AF795,IF(AE795&lt;=11,186+(AE795-7)*30+AF795,336+AF795))-1,""))</f>
        <v/>
      </c>
      <c r="AH795" s="18" t="str">
        <f t="shared" si="186"/>
        <v/>
      </c>
      <c r="AI795" s="18" t="str">
        <f t="shared" si="187"/>
        <v/>
      </c>
      <c r="AJ795" s="18" t="str">
        <f t="shared" ca="1" si="188"/>
        <v/>
      </c>
    </row>
    <row r="796" spans="1:36">
      <c r="A796" s="18" t="str">
        <f t="shared" si="174"/>
        <v/>
      </c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8" t="str">
        <f t="shared" ca="1" si="175"/>
        <v/>
      </c>
      <c r="U796" s="18">
        <f t="shared" ca="1" si="176"/>
        <v>0</v>
      </c>
      <c r="V796" s="18" t="str">
        <f t="shared" si="177"/>
        <v/>
      </c>
      <c r="W796" s="18" t="str">
        <f t="shared" si="178"/>
        <v/>
      </c>
      <c r="X796" s="18" t="str">
        <f t="shared" si="179"/>
        <v/>
      </c>
      <c r="Y796" s="18" t="str">
        <f>IF(OR(L796="",V796=""),"",IFERROR(INDEX(لیست‌ها!$Q$3:$Q$53,MATCH(V796,لیست‌ها!$P$3:$P$53,0))+IF(W796&lt;=6,(W796-1)*31+X796,IF(W796&lt;=11,186+(W796-7)*30+X796,336+X796))-1,""))</f>
        <v/>
      </c>
      <c r="Z796" s="18" t="str">
        <f t="shared" si="180"/>
        <v/>
      </c>
      <c r="AA796" s="18" t="str">
        <f t="shared" si="181"/>
        <v/>
      </c>
      <c r="AB796" s="18" t="str">
        <f t="shared" si="182"/>
        <v/>
      </c>
      <c r="AC796" s="18" t="str">
        <f>IF(OR(H796="",Z796=""),"",IFERROR(INDEX(لیست‌ها!$Q$3:$Q$53,MATCH(Z796,لیست‌ها!$P$3:$P$53,0))+IF(AA796&lt;=6,(AA796-1)*31+AB796,IF(AA796&lt;=11,186+(AA796-7)*30+AB796,336+AB796))-1,""))</f>
        <v/>
      </c>
      <c r="AD796" s="18" t="str">
        <f t="shared" si="183"/>
        <v/>
      </c>
      <c r="AE796" s="18" t="str">
        <f t="shared" si="184"/>
        <v/>
      </c>
      <c r="AF796" s="18" t="str">
        <f t="shared" si="185"/>
        <v/>
      </c>
      <c r="AG796" s="18" t="str">
        <f>IF(OR(O796="",AD796=""),"",IFERROR(INDEX(لیست‌ها!$Q$3:$Q$53,MATCH(AD796,لیست‌ها!$P$3:$P$53,0))+IF(AE796&lt;=6,(AE796-1)*31+AF796,IF(AE796&lt;=11,186+(AE796-7)*30+AF796,336+AF796))-1,""))</f>
        <v/>
      </c>
      <c r="AH796" s="18" t="str">
        <f t="shared" si="186"/>
        <v/>
      </c>
      <c r="AI796" s="18" t="str">
        <f t="shared" si="187"/>
        <v/>
      </c>
      <c r="AJ796" s="18" t="str">
        <f t="shared" ca="1" si="188"/>
        <v/>
      </c>
    </row>
    <row r="797" spans="1:36">
      <c r="A797" s="18" t="str">
        <f t="shared" si="174"/>
        <v/>
      </c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8" t="str">
        <f t="shared" ca="1" si="175"/>
        <v/>
      </c>
      <c r="U797" s="18">
        <f t="shared" ca="1" si="176"/>
        <v>0</v>
      </c>
      <c r="V797" s="18" t="str">
        <f t="shared" si="177"/>
        <v/>
      </c>
      <c r="W797" s="18" t="str">
        <f t="shared" si="178"/>
        <v/>
      </c>
      <c r="X797" s="18" t="str">
        <f t="shared" si="179"/>
        <v/>
      </c>
      <c r="Y797" s="18" t="str">
        <f>IF(OR(L797="",V797=""),"",IFERROR(INDEX(لیست‌ها!$Q$3:$Q$53,MATCH(V797,لیست‌ها!$P$3:$P$53,0))+IF(W797&lt;=6,(W797-1)*31+X797,IF(W797&lt;=11,186+(W797-7)*30+X797,336+X797))-1,""))</f>
        <v/>
      </c>
      <c r="Z797" s="18" t="str">
        <f t="shared" si="180"/>
        <v/>
      </c>
      <c r="AA797" s="18" t="str">
        <f t="shared" si="181"/>
        <v/>
      </c>
      <c r="AB797" s="18" t="str">
        <f t="shared" si="182"/>
        <v/>
      </c>
      <c r="AC797" s="18" t="str">
        <f>IF(OR(H797="",Z797=""),"",IFERROR(INDEX(لیست‌ها!$Q$3:$Q$53,MATCH(Z797,لیست‌ها!$P$3:$P$53,0))+IF(AA797&lt;=6,(AA797-1)*31+AB797,IF(AA797&lt;=11,186+(AA797-7)*30+AB797,336+AB797))-1,""))</f>
        <v/>
      </c>
      <c r="AD797" s="18" t="str">
        <f t="shared" si="183"/>
        <v/>
      </c>
      <c r="AE797" s="18" t="str">
        <f t="shared" si="184"/>
        <v/>
      </c>
      <c r="AF797" s="18" t="str">
        <f t="shared" si="185"/>
        <v/>
      </c>
      <c r="AG797" s="18" t="str">
        <f>IF(OR(O797="",AD797=""),"",IFERROR(INDEX(لیست‌ها!$Q$3:$Q$53,MATCH(AD797,لیست‌ها!$P$3:$P$53,0))+IF(AE797&lt;=6,(AE797-1)*31+AF797,IF(AE797&lt;=11,186+(AE797-7)*30+AF797,336+AF797))-1,""))</f>
        <v/>
      </c>
      <c r="AH797" s="18" t="str">
        <f t="shared" si="186"/>
        <v/>
      </c>
      <c r="AI797" s="18" t="str">
        <f t="shared" si="187"/>
        <v/>
      </c>
      <c r="AJ797" s="18" t="str">
        <f t="shared" ca="1" si="188"/>
        <v/>
      </c>
    </row>
    <row r="798" spans="1:36">
      <c r="A798" s="18" t="str">
        <f t="shared" si="174"/>
        <v/>
      </c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8" t="str">
        <f t="shared" ca="1" si="175"/>
        <v/>
      </c>
      <c r="U798" s="18">
        <f t="shared" ca="1" si="176"/>
        <v>0</v>
      </c>
      <c r="V798" s="18" t="str">
        <f t="shared" si="177"/>
        <v/>
      </c>
      <c r="W798" s="18" t="str">
        <f t="shared" si="178"/>
        <v/>
      </c>
      <c r="X798" s="18" t="str">
        <f t="shared" si="179"/>
        <v/>
      </c>
      <c r="Y798" s="18" t="str">
        <f>IF(OR(L798="",V798=""),"",IFERROR(INDEX(لیست‌ها!$Q$3:$Q$53,MATCH(V798,لیست‌ها!$P$3:$P$53,0))+IF(W798&lt;=6,(W798-1)*31+X798,IF(W798&lt;=11,186+(W798-7)*30+X798,336+X798))-1,""))</f>
        <v/>
      </c>
      <c r="Z798" s="18" t="str">
        <f t="shared" si="180"/>
        <v/>
      </c>
      <c r="AA798" s="18" t="str">
        <f t="shared" si="181"/>
        <v/>
      </c>
      <c r="AB798" s="18" t="str">
        <f t="shared" si="182"/>
        <v/>
      </c>
      <c r="AC798" s="18" t="str">
        <f>IF(OR(H798="",Z798=""),"",IFERROR(INDEX(لیست‌ها!$Q$3:$Q$53,MATCH(Z798,لیست‌ها!$P$3:$P$53,0))+IF(AA798&lt;=6,(AA798-1)*31+AB798,IF(AA798&lt;=11,186+(AA798-7)*30+AB798,336+AB798))-1,""))</f>
        <v/>
      </c>
      <c r="AD798" s="18" t="str">
        <f t="shared" si="183"/>
        <v/>
      </c>
      <c r="AE798" s="18" t="str">
        <f t="shared" si="184"/>
        <v/>
      </c>
      <c r="AF798" s="18" t="str">
        <f t="shared" si="185"/>
        <v/>
      </c>
      <c r="AG798" s="18" t="str">
        <f>IF(OR(O798="",AD798=""),"",IFERROR(INDEX(لیست‌ها!$Q$3:$Q$53,MATCH(AD798,لیست‌ها!$P$3:$P$53,0))+IF(AE798&lt;=6,(AE798-1)*31+AF798,IF(AE798&lt;=11,186+(AE798-7)*30+AF798,336+AF798))-1,""))</f>
        <v/>
      </c>
      <c r="AH798" s="18" t="str">
        <f t="shared" si="186"/>
        <v/>
      </c>
      <c r="AI798" s="18" t="str">
        <f t="shared" si="187"/>
        <v/>
      </c>
      <c r="AJ798" s="18" t="str">
        <f t="shared" ca="1" si="188"/>
        <v/>
      </c>
    </row>
    <row r="799" spans="1:36">
      <c r="A799" s="18" t="str">
        <f t="shared" si="174"/>
        <v/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8" t="str">
        <f t="shared" ca="1" si="175"/>
        <v/>
      </c>
      <c r="U799" s="18">
        <f t="shared" ca="1" si="176"/>
        <v>0</v>
      </c>
      <c r="V799" s="18" t="str">
        <f t="shared" si="177"/>
        <v/>
      </c>
      <c r="W799" s="18" t="str">
        <f t="shared" si="178"/>
        <v/>
      </c>
      <c r="X799" s="18" t="str">
        <f t="shared" si="179"/>
        <v/>
      </c>
      <c r="Y799" s="18" t="str">
        <f>IF(OR(L799="",V799=""),"",IFERROR(INDEX(لیست‌ها!$Q$3:$Q$53,MATCH(V799,لیست‌ها!$P$3:$P$53,0))+IF(W799&lt;=6,(W799-1)*31+X799,IF(W799&lt;=11,186+(W799-7)*30+X799,336+X799))-1,""))</f>
        <v/>
      </c>
      <c r="Z799" s="18" t="str">
        <f t="shared" si="180"/>
        <v/>
      </c>
      <c r="AA799" s="18" t="str">
        <f t="shared" si="181"/>
        <v/>
      </c>
      <c r="AB799" s="18" t="str">
        <f t="shared" si="182"/>
        <v/>
      </c>
      <c r="AC799" s="18" t="str">
        <f>IF(OR(H799="",Z799=""),"",IFERROR(INDEX(لیست‌ها!$Q$3:$Q$53,MATCH(Z799,لیست‌ها!$P$3:$P$53,0))+IF(AA799&lt;=6,(AA799-1)*31+AB799,IF(AA799&lt;=11,186+(AA799-7)*30+AB799,336+AB799))-1,""))</f>
        <v/>
      </c>
      <c r="AD799" s="18" t="str">
        <f t="shared" si="183"/>
        <v/>
      </c>
      <c r="AE799" s="18" t="str">
        <f t="shared" si="184"/>
        <v/>
      </c>
      <c r="AF799" s="18" t="str">
        <f t="shared" si="185"/>
        <v/>
      </c>
      <c r="AG799" s="18" t="str">
        <f>IF(OR(O799="",AD799=""),"",IFERROR(INDEX(لیست‌ها!$Q$3:$Q$53,MATCH(AD799,لیست‌ها!$P$3:$P$53,0))+IF(AE799&lt;=6,(AE799-1)*31+AF799,IF(AE799&lt;=11,186+(AE799-7)*30+AF799,336+AF799))-1,""))</f>
        <v/>
      </c>
      <c r="AH799" s="18" t="str">
        <f t="shared" si="186"/>
        <v/>
      </c>
      <c r="AI799" s="18" t="str">
        <f t="shared" si="187"/>
        <v/>
      </c>
      <c r="AJ799" s="18" t="str">
        <f t="shared" ca="1" si="188"/>
        <v/>
      </c>
    </row>
    <row r="800" spans="1:36">
      <c r="A800" s="18" t="str">
        <f t="shared" si="174"/>
        <v/>
      </c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8" t="str">
        <f t="shared" ca="1" si="175"/>
        <v/>
      </c>
      <c r="U800" s="18">
        <f t="shared" ca="1" si="176"/>
        <v>0</v>
      </c>
      <c r="V800" s="18" t="str">
        <f t="shared" si="177"/>
        <v/>
      </c>
      <c r="W800" s="18" t="str">
        <f t="shared" si="178"/>
        <v/>
      </c>
      <c r="X800" s="18" t="str">
        <f t="shared" si="179"/>
        <v/>
      </c>
      <c r="Y800" s="18" t="str">
        <f>IF(OR(L800="",V800=""),"",IFERROR(INDEX(لیست‌ها!$Q$3:$Q$53,MATCH(V800,لیست‌ها!$P$3:$P$53,0))+IF(W800&lt;=6,(W800-1)*31+X800,IF(W800&lt;=11,186+(W800-7)*30+X800,336+X800))-1,""))</f>
        <v/>
      </c>
      <c r="Z800" s="18" t="str">
        <f t="shared" si="180"/>
        <v/>
      </c>
      <c r="AA800" s="18" t="str">
        <f t="shared" si="181"/>
        <v/>
      </c>
      <c r="AB800" s="18" t="str">
        <f t="shared" si="182"/>
        <v/>
      </c>
      <c r="AC800" s="18" t="str">
        <f>IF(OR(H800="",Z800=""),"",IFERROR(INDEX(لیست‌ها!$Q$3:$Q$53,MATCH(Z800,لیست‌ها!$P$3:$P$53,0))+IF(AA800&lt;=6,(AA800-1)*31+AB800,IF(AA800&lt;=11,186+(AA800-7)*30+AB800,336+AB800))-1,""))</f>
        <v/>
      </c>
      <c r="AD800" s="18" t="str">
        <f t="shared" si="183"/>
        <v/>
      </c>
      <c r="AE800" s="18" t="str">
        <f t="shared" si="184"/>
        <v/>
      </c>
      <c r="AF800" s="18" t="str">
        <f t="shared" si="185"/>
        <v/>
      </c>
      <c r="AG800" s="18" t="str">
        <f>IF(OR(O800="",AD800=""),"",IFERROR(INDEX(لیست‌ها!$Q$3:$Q$53,MATCH(AD800,لیست‌ها!$P$3:$P$53,0))+IF(AE800&lt;=6,(AE800-1)*31+AF800,IF(AE800&lt;=11,186+(AE800-7)*30+AF800,336+AF800))-1,""))</f>
        <v/>
      </c>
      <c r="AH800" s="18" t="str">
        <f t="shared" si="186"/>
        <v/>
      </c>
      <c r="AI800" s="18" t="str">
        <f t="shared" si="187"/>
        <v/>
      </c>
      <c r="AJ800" s="18" t="str">
        <f t="shared" ca="1" si="188"/>
        <v/>
      </c>
    </row>
    <row r="801" spans="1:36">
      <c r="A801" s="18" t="str">
        <f t="shared" si="174"/>
        <v/>
      </c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8" t="str">
        <f t="shared" ca="1" si="175"/>
        <v/>
      </c>
      <c r="U801" s="18">
        <f t="shared" ca="1" si="176"/>
        <v>0</v>
      </c>
      <c r="V801" s="18" t="str">
        <f t="shared" si="177"/>
        <v/>
      </c>
      <c r="W801" s="18" t="str">
        <f t="shared" si="178"/>
        <v/>
      </c>
      <c r="X801" s="18" t="str">
        <f t="shared" si="179"/>
        <v/>
      </c>
      <c r="Y801" s="18" t="str">
        <f>IF(OR(L801="",V801=""),"",IFERROR(INDEX(لیست‌ها!$Q$3:$Q$53,MATCH(V801,لیست‌ها!$P$3:$P$53,0))+IF(W801&lt;=6,(W801-1)*31+X801,IF(W801&lt;=11,186+(W801-7)*30+X801,336+X801))-1,""))</f>
        <v/>
      </c>
      <c r="Z801" s="18" t="str">
        <f t="shared" si="180"/>
        <v/>
      </c>
      <c r="AA801" s="18" t="str">
        <f t="shared" si="181"/>
        <v/>
      </c>
      <c r="AB801" s="18" t="str">
        <f t="shared" si="182"/>
        <v/>
      </c>
      <c r="AC801" s="18" t="str">
        <f>IF(OR(H801="",Z801=""),"",IFERROR(INDEX(لیست‌ها!$Q$3:$Q$53,MATCH(Z801,لیست‌ها!$P$3:$P$53,0))+IF(AA801&lt;=6,(AA801-1)*31+AB801,IF(AA801&lt;=11,186+(AA801-7)*30+AB801,336+AB801))-1,""))</f>
        <v/>
      </c>
      <c r="AD801" s="18" t="str">
        <f t="shared" si="183"/>
        <v/>
      </c>
      <c r="AE801" s="18" t="str">
        <f t="shared" si="184"/>
        <v/>
      </c>
      <c r="AF801" s="18" t="str">
        <f t="shared" si="185"/>
        <v/>
      </c>
      <c r="AG801" s="18" t="str">
        <f>IF(OR(O801="",AD801=""),"",IFERROR(INDEX(لیست‌ها!$Q$3:$Q$53,MATCH(AD801,لیست‌ها!$P$3:$P$53,0))+IF(AE801&lt;=6,(AE801-1)*31+AF801,IF(AE801&lt;=11,186+(AE801-7)*30+AF801,336+AF801))-1,""))</f>
        <v/>
      </c>
      <c r="AH801" s="18" t="str">
        <f t="shared" si="186"/>
        <v/>
      </c>
      <c r="AI801" s="18" t="str">
        <f t="shared" si="187"/>
        <v/>
      </c>
      <c r="AJ801" s="18" t="str">
        <f t="shared" ca="1" si="188"/>
        <v/>
      </c>
    </row>
    <row r="802" spans="1:36">
      <c r="A802" s="18" t="str">
        <f t="shared" si="174"/>
        <v/>
      </c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8" t="str">
        <f t="shared" ca="1" si="175"/>
        <v/>
      </c>
      <c r="U802" s="18">
        <f t="shared" ca="1" si="176"/>
        <v>0</v>
      </c>
      <c r="V802" s="18" t="str">
        <f t="shared" si="177"/>
        <v/>
      </c>
      <c r="W802" s="18" t="str">
        <f t="shared" si="178"/>
        <v/>
      </c>
      <c r="X802" s="18" t="str">
        <f t="shared" si="179"/>
        <v/>
      </c>
      <c r="Y802" s="18" t="str">
        <f>IF(OR(L802="",V802=""),"",IFERROR(INDEX(لیست‌ها!$Q$3:$Q$53,MATCH(V802,لیست‌ها!$P$3:$P$53,0))+IF(W802&lt;=6,(W802-1)*31+X802,IF(W802&lt;=11,186+(W802-7)*30+X802,336+X802))-1,""))</f>
        <v/>
      </c>
      <c r="Z802" s="18" t="str">
        <f t="shared" si="180"/>
        <v/>
      </c>
      <c r="AA802" s="18" t="str">
        <f t="shared" si="181"/>
        <v/>
      </c>
      <c r="AB802" s="18" t="str">
        <f t="shared" si="182"/>
        <v/>
      </c>
      <c r="AC802" s="18" t="str">
        <f>IF(OR(H802="",Z802=""),"",IFERROR(INDEX(لیست‌ها!$Q$3:$Q$53,MATCH(Z802,لیست‌ها!$P$3:$P$53,0))+IF(AA802&lt;=6,(AA802-1)*31+AB802,IF(AA802&lt;=11,186+(AA802-7)*30+AB802,336+AB802))-1,""))</f>
        <v/>
      </c>
      <c r="AD802" s="18" t="str">
        <f t="shared" si="183"/>
        <v/>
      </c>
      <c r="AE802" s="18" t="str">
        <f t="shared" si="184"/>
        <v/>
      </c>
      <c r="AF802" s="18" t="str">
        <f t="shared" si="185"/>
        <v/>
      </c>
      <c r="AG802" s="18" t="str">
        <f>IF(OR(O802="",AD802=""),"",IFERROR(INDEX(لیست‌ها!$Q$3:$Q$53,MATCH(AD802,لیست‌ها!$P$3:$P$53,0))+IF(AE802&lt;=6,(AE802-1)*31+AF802,IF(AE802&lt;=11,186+(AE802-7)*30+AF802,336+AF802))-1,""))</f>
        <v/>
      </c>
      <c r="AH802" s="18" t="str">
        <f t="shared" si="186"/>
        <v/>
      </c>
      <c r="AI802" s="18" t="str">
        <f t="shared" si="187"/>
        <v/>
      </c>
      <c r="AJ802" s="18" t="str">
        <f t="shared" ca="1" si="188"/>
        <v/>
      </c>
    </row>
    <row r="803" spans="1:36">
      <c r="A803" s="18" t="str">
        <f t="shared" si="174"/>
        <v/>
      </c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8" t="str">
        <f t="shared" ca="1" si="175"/>
        <v/>
      </c>
      <c r="U803" s="18">
        <f t="shared" ca="1" si="176"/>
        <v>0</v>
      </c>
      <c r="V803" s="18" t="str">
        <f t="shared" si="177"/>
        <v/>
      </c>
      <c r="W803" s="18" t="str">
        <f t="shared" si="178"/>
        <v/>
      </c>
      <c r="X803" s="18" t="str">
        <f t="shared" si="179"/>
        <v/>
      </c>
      <c r="Y803" s="18" t="str">
        <f>IF(OR(L803="",V803=""),"",IFERROR(INDEX(لیست‌ها!$Q$3:$Q$53,MATCH(V803,لیست‌ها!$P$3:$P$53,0))+IF(W803&lt;=6,(W803-1)*31+X803,IF(W803&lt;=11,186+(W803-7)*30+X803,336+X803))-1,""))</f>
        <v/>
      </c>
      <c r="Z803" s="18" t="str">
        <f t="shared" si="180"/>
        <v/>
      </c>
      <c r="AA803" s="18" t="str">
        <f t="shared" si="181"/>
        <v/>
      </c>
      <c r="AB803" s="18" t="str">
        <f t="shared" si="182"/>
        <v/>
      </c>
      <c r="AC803" s="18" t="str">
        <f>IF(OR(H803="",Z803=""),"",IFERROR(INDEX(لیست‌ها!$Q$3:$Q$53,MATCH(Z803,لیست‌ها!$P$3:$P$53,0))+IF(AA803&lt;=6,(AA803-1)*31+AB803,IF(AA803&lt;=11,186+(AA803-7)*30+AB803,336+AB803))-1,""))</f>
        <v/>
      </c>
      <c r="AD803" s="18" t="str">
        <f t="shared" si="183"/>
        <v/>
      </c>
      <c r="AE803" s="18" t="str">
        <f t="shared" si="184"/>
        <v/>
      </c>
      <c r="AF803" s="18" t="str">
        <f t="shared" si="185"/>
        <v/>
      </c>
      <c r="AG803" s="18" t="str">
        <f>IF(OR(O803="",AD803=""),"",IFERROR(INDEX(لیست‌ها!$Q$3:$Q$53,MATCH(AD803,لیست‌ها!$P$3:$P$53,0))+IF(AE803&lt;=6,(AE803-1)*31+AF803,IF(AE803&lt;=11,186+(AE803-7)*30+AF803,336+AF803))-1,""))</f>
        <v/>
      </c>
      <c r="AH803" s="18" t="str">
        <f t="shared" si="186"/>
        <v/>
      </c>
      <c r="AI803" s="18" t="str">
        <f t="shared" si="187"/>
        <v/>
      </c>
      <c r="AJ803" s="18" t="str">
        <f t="shared" ca="1" si="188"/>
        <v/>
      </c>
    </row>
  </sheetData>
  <mergeCells count="1">
    <mergeCell ref="A1:U1"/>
  </mergeCells>
  <phoneticPr fontId="20" type="noConversion"/>
  <conditionalFormatting sqref="D4:D803">
    <cfRule type="expression" dxfId="6" priority="6">
      <formula>AND($C4="اقدام اصلاحی",$D4="")</formula>
    </cfRule>
  </conditionalFormatting>
  <conditionalFormatting sqref="T4:T803">
    <cfRule type="cellIs" dxfId="5" priority="2" operator="equal">
      <formula>"بسته"</formula>
    </cfRule>
    <cfRule type="cellIs" dxfId="4" priority="3" operator="equal">
      <formula>"تاخیر"</formula>
    </cfRule>
    <cfRule type="cellIs" dxfId="3" priority="4" operator="equal">
      <formula>"در حال انجام"</formula>
    </cfRule>
    <cfRule type="expression" dxfId="2" priority="5">
      <formula>LEFT(T4,7)="خطای فرمت"</formula>
    </cfRule>
  </conditionalFormatting>
  <dataValidations count="1">
    <dataValidation type="custom" allowBlank="1" showInputMessage="1" showErrorMessage="1" errorTitle="فرمت نامعتبر" error="تاریخ باید به فرمت شمسی سال/ماه/روز باشد" promptTitle="تاریخ شمسی" prompt="فرمت سال/ماه/روز — مثال: 1404/07/04" sqref="H4:H803 O4:O803 L4:L803" xr:uid="{00000000-0002-0000-0100-000006000000}">
      <formula1>AND(ISNUMBER(FIND("/",H4)),LEN(H4)-LEN(SUBSTITUTE(H4,"/",""))=2)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لیست‌ها!$B$3:$B$4</xm:f>
          </x14:formula1>
          <x14:formula2>
            <xm:f>0</xm:f>
          </x14:formula2>
          <xm:sqref>C4:C803</xm:sqref>
        </x14:dataValidation>
        <x14:dataValidation type="list" allowBlank="1" xr:uid="{00000000-0002-0000-0100-000001000000}">
          <x14:formula1>
            <xm:f>لیست‌ها!$D$3:$D$17</xm:f>
          </x14:formula1>
          <x14:formula2>
            <xm:f>0</xm:f>
          </x14:formula2>
          <xm:sqref>D4:D803</xm:sqref>
        </x14:dataValidation>
        <x14:dataValidation type="list" allowBlank="1" xr:uid="{00000000-0002-0000-0100-000002000000}">
          <x14:formula1>
            <xm:f>لیست‌ها!$H$3:$H$18</xm:f>
          </x14:formula1>
          <x14:formula2>
            <xm:f>0</xm:f>
          </x14:formula2>
          <xm:sqref>G4:G803</xm:sqref>
        </x14:dataValidation>
        <x14:dataValidation type="list" allowBlank="1" xr:uid="{00000000-0002-0000-0100-000003000000}">
          <x14:formula1>
            <xm:f>لیست‌ها!$J$3:$J$5</xm:f>
          </x14:formula1>
          <x14:formula2>
            <xm:f>0</xm:f>
          </x14:formula2>
          <xm:sqref>I4:I803</xm:sqref>
        </x14:dataValidation>
        <x14:dataValidation type="list" allowBlank="1" xr:uid="{00000000-0002-0000-0100-000004000000}">
          <x14:formula1>
            <xm:f>لیست‌ها!$F$3:$F$20</xm:f>
          </x14:formula1>
          <x14:formula2>
            <xm:f>0</xm:f>
          </x14:formula2>
          <xm:sqref>N4:N803</xm:sqref>
        </x14:dataValidation>
        <x14:dataValidation type="list" allowBlank="1" xr:uid="{00000000-0002-0000-0100-000005000000}">
          <x14:formula1>
            <xm:f>لیست‌ها!$L$3:$L$14</xm:f>
          </x14:formula1>
          <x14:formula2>
            <xm:f>0</xm:f>
          </x14:formula2>
          <xm:sqref>M4:M803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A6A6"/>
  </sheetPr>
  <dimension ref="B1:T53"/>
  <sheetViews>
    <sheetView showGridLines="0" rightToLeft="1" zoomScaleNormal="100" workbookViewId="0"/>
  </sheetViews>
  <sheetFormatPr defaultColWidth="8.7109375" defaultRowHeight="15"/>
  <cols>
    <col min="2" max="2" width="26" customWidth="1"/>
    <col min="4" max="4" width="26" customWidth="1"/>
    <col min="6" max="6" width="26" customWidth="1"/>
    <col min="8" max="8" width="26" customWidth="1"/>
    <col min="10" max="10" width="26" customWidth="1"/>
    <col min="12" max="12" width="26" customWidth="1"/>
    <col min="16" max="17" width="13" hidden="1" customWidth="1"/>
    <col min="19" max="20" width="13" hidden="1" customWidth="1"/>
  </cols>
  <sheetData>
    <row r="1" spans="2:20">
      <c r="P1" s="5" t="s">
        <v>78</v>
      </c>
    </row>
    <row r="2" spans="2:20">
      <c r="B2" s="6" t="s">
        <v>18</v>
      </c>
      <c r="D2" s="6" t="s">
        <v>19</v>
      </c>
      <c r="F2" s="6" t="s">
        <v>79</v>
      </c>
      <c r="H2" s="6" t="s">
        <v>22</v>
      </c>
      <c r="J2" s="6" t="s">
        <v>7</v>
      </c>
      <c r="L2" s="6" t="s">
        <v>27</v>
      </c>
      <c r="P2" s="5" t="s">
        <v>80</v>
      </c>
      <c r="Q2" s="5" t="s">
        <v>81</v>
      </c>
      <c r="S2" s="5" t="s">
        <v>82</v>
      </c>
      <c r="T2" s="5" t="s">
        <v>83</v>
      </c>
    </row>
    <row r="3" spans="2:20">
      <c r="B3" s="7" t="s">
        <v>36</v>
      </c>
      <c r="D3" s="7" t="s">
        <v>43</v>
      </c>
      <c r="F3" s="7" t="s">
        <v>84</v>
      </c>
      <c r="H3" s="7" t="s">
        <v>44</v>
      </c>
      <c r="J3" s="7" t="s">
        <v>59</v>
      </c>
      <c r="L3" s="7" t="s">
        <v>45</v>
      </c>
      <c r="P3">
        <v>1385</v>
      </c>
      <c r="Q3" s="8">
        <v>38797</v>
      </c>
      <c r="S3" s="5">
        <f ca="1">INDEX(لیست‌ها!$P$3:$P$53,MATCH(TODAY(),لیست‌ها!$Q$3:$Q$53,1))</f>
        <v>1405</v>
      </c>
      <c r="T3" s="5">
        <f ca="1">IF((TODAY()-INDEX(لیست‌ها!$Q$3:$Q$53,MATCH(TODAY(),لیست‌ها!$Q$3:$Q$53,1))+1)&lt;=31,1,IF((TODAY()-INDEX(لیست‌ها!$Q$3:$Q$53,MATCH(TODAY(),لیست‌ها!$Q$3:$Q$53,1))+1)&lt;=62,2,IF((TODAY()-INDEX(لیست‌ها!$Q$3:$Q$53,MATCH(TODAY(),لیست‌ها!$Q$3:$Q$53,1))+1)&lt;=93,3,IF((TODAY()-INDEX(لیست‌ها!$Q$3:$Q$53,MATCH(TODAY(),لیست‌ها!$Q$3:$Q$53,1))+1)&lt;=124,4,IF((TODAY()-INDEX(لیست‌ها!$Q$3:$Q$53,MATCH(TODAY(),لیست‌ها!$Q$3:$Q$53,1))+1)&lt;=155,5,IF((TODAY()-INDEX(لیست‌ها!$Q$3:$Q$53,MATCH(TODAY(),لیست‌ها!$Q$3:$Q$53,1))+1)&lt;=186,6,IF((TODAY()-INDEX(لیست‌ها!$Q$3:$Q$53,MATCH(TODAY(),لیست‌ها!$Q$3:$Q$53,1))+1)&lt;=216,7,IF((TODAY()-INDEX(لیست‌ها!$Q$3:$Q$53,MATCH(TODAY(),لیست‌ها!$Q$3:$Q$53,1))+1)&lt;=246,8,IF((TODAY()-INDEX(لیست‌ها!$Q$3:$Q$53,MATCH(TODAY(),لیست‌ها!$Q$3:$Q$53,1))+1)&lt;=276,9,IF((TODAY()-INDEX(لیست‌ها!$Q$3:$Q$53,MATCH(TODAY(),لیست‌ها!$Q$3:$Q$53,1))+1)&lt;=306,10,IF((TODAY()-INDEX(لیست‌ها!$Q$3:$Q$53,MATCH(TODAY(),لیست‌ها!$Q$3:$Q$53,1))+1)&lt;=336,11,12)))))))))))</f>
        <v>7</v>
      </c>
    </row>
    <row r="4" spans="2:20">
      <c r="B4" s="7" t="s">
        <v>68</v>
      </c>
      <c r="D4" s="7" t="s">
        <v>85</v>
      </c>
      <c r="F4" s="7" t="s">
        <v>86</v>
      </c>
      <c r="H4" s="7" t="s">
        <v>67</v>
      </c>
      <c r="J4" s="7" t="s">
        <v>38</v>
      </c>
      <c r="L4" s="7" t="s">
        <v>51</v>
      </c>
      <c r="P4">
        <v>1386</v>
      </c>
      <c r="Q4" s="8">
        <v>39162</v>
      </c>
    </row>
    <row r="5" spans="2:20">
      <c r="D5" s="7" t="s">
        <v>69</v>
      </c>
      <c r="F5" s="7" t="s">
        <v>48</v>
      </c>
      <c r="H5" s="7" t="s">
        <v>42</v>
      </c>
      <c r="J5" s="7" t="s">
        <v>77</v>
      </c>
      <c r="L5" s="7" t="s">
        <v>46</v>
      </c>
      <c r="P5">
        <v>1387</v>
      </c>
      <c r="Q5" s="8">
        <v>39527</v>
      </c>
    </row>
    <row r="6" spans="2:20">
      <c r="D6" s="7" t="s">
        <v>74</v>
      </c>
      <c r="F6" s="7" t="s">
        <v>42</v>
      </c>
      <c r="H6" s="7" t="s">
        <v>65</v>
      </c>
      <c r="L6" s="7" t="s">
        <v>47</v>
      </c>
      <c r="P6">
        <v>1388</v>
      </c>
      <c r="Q6" s="8">
        <v>39893</v>
      </c>
    </row>
    <row r="7" spans="2:20">
      <c r="D7" s="7" t="s">
        <v>76</v>
      </c>
      <c r="F7" s="7" t="s">
        <v>39</v>
      </c>
      <c r="H7" s="7" t="s">
        <v>71</v>
      </c>
      <c r="L7" s="7" t="s">
        <v>50</v>
      </c>
      <c r="P7">
        <v>1389</v>
      </c>
      <c r="Q7" s="8">
        <v>40258</v>
      </c>
    </row>
    <row r="8" spans="2:20">
      <c r="D8" s="7" t="s">
        <v>62</v>
      </c>
      <c r="F8" s="7" t="s">
        <v>87</v>
      </c>
      <c r="H8" s="7" t="s">
        <v>88</v>
      </c>
      <c r="L8" s="7" t="s">
        <v>55</v>
      </c>
      <c r="P8">
        <v>1390</v>
      </c>
      <c r="Q8" s="8">
        <v>40623</v>
      </c>
    </row>
    <row r="9" spans="2:20">
      <c r="D9" s="7" t="s">
        <v>89</v>
      </c>
      <c r="F9" s="7" t="s">
        <v>90</v>
      </c>
      <c r="H9" s="7" t="s">
        <v>39</v>
      </c>
      <c r="L9" s="7" t="s">
        <v>57</v>
      </c>
      <c r="P9">
        <v>1391</v>
      </c>
      <c r="Q9" s="8">
        <v>40988</v>
      </c>
    </row>
    <row r="10" spans="2:20">
      <c r="D10" s="7" t="s">
        <v>64</v>
      </c>
      <c r="F10" s="7" t="s">
        <v>40</v>
      </c>
      <c r="H10" s="7" t="s">
        <v>52</v>
      </c>
      <c r="L10" s="7" t="s">
        <v>56</v>
      </c>
      <c r="P10">
        <v>1392</v>
      </c>
      <c r="Q10" s="8">
        <v>41354</v>
      </c>
    </row>
    <row r="11" spans="2:20">
      <c r="D11" s="7" t="s">
        <v>66</v>
      </c>
      <c r="F11" s="7" t="s">
        <v>54</v>
      </c>
      <c r="H11" s="7" t="s">
        <v>63</v>
      </c>
      <c r="L11" s="7" t="s">
        <v>60</v>
      </c>
      <c r="P11">
        <v>1393</v>
      </c>
      <c r="Q11" s="8">
        <v>41719</v>
      </c>
    </row>
    <row r="12" spans="2:20">
      <c r="D12" s="7" t="s">
        <v>91</v>
      </c>
      <c r="F12" s="7" t="s">
        <v>92</v>
      </c>
      <c r="H12" s="7" t="s">
        <v>70</v>
      </c>
      <c r="L12" s="7" t="s">
        <v>72</v>
      </c>
      <c r="P12">
        <v>1394</v>
      </c>
      <c r="Q12" s="8">
        <v>42084</v>
      </c>
    </row>
    <row r="13" spans="2:20">
      <c r="D13" s="7" t="s">
        <v>93</v>
      </c>
      <c r="F13" s="7" t="s">
        <v>58</v>
      </c>
      <c r="H13" s="7" t="s">
        <v>94</v>
      </c>
      <c r="L13" s="7" t="s">
        <v>24</v>
      </c>
      <c r="P13">
        <v>1395</v>
      </c>
      <c r="Q13" s="8">
        <v>42449</v>
      </c>
    </row>
    <row r="14" spans="2:20">
      <c r="D14" s="7" t="s">
        <v>95</v>
      </c>
      <c r="F14" s="7" t="s">
        <v>52</v>
      </c>
      <c r="H14" s="7" t="s">
        <v>96</v>
      </c>
      <c r="L14" s="7" t="s">
        <v>61</v>
      </c>
      <c r="P14">
        <v>1396</v>
      </c>
      <c r="Q14" s="8">
        <v>42815</v>
      </c>
    </row>
    <row r="15" spans="2:20">
      <c r="D15" s="7" t="s">
        <v>97</v>
      </c>
      <c r="F15" s="7" t="s">
        <v>49</v>
      </c>
      <c r="H15" s="7" t="s">
        <v>41</v>
      </c>
      <c r="P15">
        <v>1397</v>
      </c>
      <c r="Q15" s="8">
        <v>43180</v>
      </c>
    </row>
    <row r="16" spans="2:20">
      <c r="D16" s="7" t="s">
        <v>98</v>
      </c>
      <c r="F16" s="7" t="s">
        <v>41</v>
      </c>
      <c r="H16" s="7" t="s">
        <v>75</v>
      </c>
      <c r="P16">
        <v>1398</v>
      </c>
      <c r="Q16" s="8">
        <v>43545</v>
      </c>
    </row>
    <row r="17" spans="4:17">
      <c r="D17" s="7" t="s">
        <v>37</v>
      </c>
      <c r="F17" s="7" t="s">
        <v>99</v>
      </c>
      <c r="H17" s="7" t="s">
        <v>73</v>
      </c>
      <c r="P17">
        <v>1399</v>
      </c>
      <c r="Q17" s="8">
        <v>43910</v>
      </c>
    </row>
    <row r="18" spans="4:17">
      <c r="F18" s="7" t="s">
        <v>53</v>
      </c>
      <c r="H18" s="7" t="s">
        <v>100</v>
      </c>
      <c r="P18">
        <v>1400</v>
      </c>
      <c r="Q18" s="8">
        <v>44276</v>
      </c>
    </row>
    <row r="19" spans="4:17">
      <c r="F19" s="7" t="s">
        <v>101</v>
      </c>
      <c r="P19">
        <v>1401</v>
      </c>
      <c r="Q19" s="8">
        <v>44641</v>
      </c>
    </row>
    <row r="20" spans="4:17">
      <c r="F20" s="7" t="s">
        <v>102</v>
      </c>
      <c r="P20">
        <v>1402</v>
      </c>
      <c r="Q20" s="8">
        <v>45006</v>
      </c>
    </row>
    <row r="21" spans="4:17">
      <c r="P21">
        <v>1403</v>
      </c>
      <c r="Q21" s="8">
        <v>45371</v>
      </c>
    </row>
    <row r="22" spans="4:17">
      <c r="P22">
        <v>1404</v>
      </c>
      <c r="Q22" s="8">
        <v>45737</v>
      </c>
    </row>
    <row r="23" spans="4:17">
      <c r="P23">
        <v>1405</v>
      </c>
      <c r="Q23" s="8">
        <v>46102</v>
      </c>
    </row>
    <row r="24" spans="4:17">
      <c r="P24">
        <v>1406</v>
      </c>
      <c r="Q24" s="8">
        <v>46467</v>
      </c>
    </row>
    <row r="25" spans="4:17">
      <c r="P25">
        <v>1407</v>
      </c>
      <c r="Q25" s="8">
        <v>46832</v>
      </c>
    </row>
    <row r="26" spans="4:17">
      <c r="P26">
        <v>1408</v>
      </c>
      <c r="Q26" s="8">
        <v>47197</v>
      </c>
    </row>
    <row r="27" spans="4:17">
      <c r="P27">
        <v>1409</v>
      </c>
      <c r="Q27" s="8">
        <v>47563</v>
      </c>
    </row>
    <row r="28" spans="4:17">
      <c r="P28">
        <v>1410</v>
      </c>
      <c r="Q28" s="8">
        <v>47928</v>
      </c>
    </row>
    <row r="29" spans="4:17">
      <c r="P29">
        <v>1411</v>
      </c>
      <c r="Q29" s="8">
        <v>48293</v>
      </c>
    </row>
    <row r="30" spans="4:17">
      <c r="P30">
        <v>1412</v>
      </c>
      <c r="Q30" s="8">
        <v>48658</v>
      </c>
    </row>
    <row r="31" spans="4:17">
      <c r="P31">
        <v>1413</v>
      </c>
      <c r="Q31" s="8">
        <v>49024</v>
      </c>
    </row>
    <row r="32" spans="4:17">
      <c r="P32">
        <v>1414</v>
      </c>
      <c r="Q32" s="8">
        <v>49389</v>
      </c>
    </row>
    <row r="33" spans="16:17">
      <c r="P33">
        <v>1415</v>
      </c>
      <c r="Q33" s="8">
        <v>49754</v>
      </c>
    </row>
    <row r="34" spans="16:17">
      <c r="P34">
        <v>1416</v>
      </c>
      <c r="Q34" s="8">
        <v>50119</v>
      </c>
    </row>
    <row r="35" spans="16:17">
      <c r="P35">
        <v>1417</v>
      </c>
      <c r="Q35" s="8">
        <v>50485</v>
      </c>
    </row>
    <row r="36" spans="16:17">
      <c r="P36">
        <v>1418</v>
      </c>
      <c r="Q36" s="8">
        <v>50850</v>
      </c>
    </row>
    <row r="37" spans="16:17">
      <c r="P37">
        <v>1419</v>
      </c>
      <c r="Q37" s="8">
        <v>51215</v>
      </c>
    </row>
    <row r="38" spans="16:17">
      <c r="P38">
        <v>1420</v>
      </c>
      <c r="Q38" s="8">
        <v>51580</v>
      </c>
    </row>
    <row r="39" spans="16:17">
      <c r="P39">
        <v>1421</v>
      </c>
      <c r="Q39" s="8">
        <v>51946</v>
      </c>
    </row>
    <row r="40" spans="16:17">
      <c r="P40">
        <v>1422</v>
      </c>
      <c r="Q40" s="8">
        <v>52311</v>
      </c>
    </row>
    <row r="41" spans="16:17">
      <c r="P41">
        <v>1423</v>
      </c>
      <c r="Q41" s="8">
        <v>52676</v>
      </c>
    </row>
    <row r="42" spans="16:17">
      <c r="P42">
        <v>1424</v>
      </c>
      <c r="Q42" s="8">
        <v>53041</v>
      </c>
    </row>
    <row r="43" spans="16:17">
      <c r="P43">
        <v>1425</v>
      </c>
      <c r="Q43" s="8">
        <v>53407</v>
      </c>
    </row>
    <row r="44" spans="16:17">
      <c r="P44">
        <v>1426</v>
      </c>
      <c r="Q44" s="8">
        <v>53772</v>
      </c>
    </row>
    <row r="45" spans="16:17">
      <c r="P45">
        <v>1427</v>
      </c>
      <c r="Q45" s="8">
        <v>54137</v>
      </c>
    </row>
    <row r="46" spans="16:17">
      <c r="P46">
        <v>1428</v>
      </c>
      <c r="Q46" s="8">
        <v>54502</v>
      </c>
    </row>
    <row r="47" spans="16:17">
      <c r="P47">
        <v>1429</v>
      </c>
      <c r="Q47" s="8">
        <v>54868</v>
      </c>
    </row>
    <row r="48" spans="16:17">
      <c r="P48">
        <v>1430</v>
      </c>
      <c r="Q48" s="8">
        <v>55233</v>
      </c>
    </row>
    <row r="49" spans="16:17">
      <c r="P49">
        <v>1431</v>
      </c>
      <c r="Q49" s="8">
        <v>55598</v>
      </c>
    </row>
    <row r="50" spans="16:17">
      <c r="P50">
        <v>1432</v>
      </c>
      <c r="Q50" s="8">
        <v>55963</v>
      </c>
    </row>
    <row r="51" spans="16:17">
      <c r="P51">
        <v>1433</v>
      </c>
      <c r="Q51" s="8">
        <v>56329</v>
      </c>
    </row>
    <row r="52" spans="16:17">
      <c r="P52">
        <v>1434</v>
      </c>
      <c r="Q52" s="8">
        <v>56694</v>
      </c>
    </row>
    <row r="53" spans="16:17">
      <c r="P53">
        <v>1435</v>
      </c>
      <c r="Q53" s="8">
        <v>57059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8449"/>
    <pageSetUpPr fitToPage="1"/>
  </sheetPr>
  <dimension ref="A1:K92"/>
  <sheetViews>
    <sheetView showGridLines="0" rightToLeft="1" tabSelected="1" topLeftCell="D1" zoomScaleNormal="100" workbookViewId="0">
      <selection activeCell="E45" sqref="E45"/>
    </sheetView>
  </sheetViews>
  <sheetFormatPr defaultColWidth="8.7109375" defaultRowHeight="15"/>
  <cols>
    <col min="1" max="1" width="3" customWidth="1"/>
    <col min="2" max="2" width="24" customWidth="1"/>
    <col min="3" max="3" width="16" customWidth="1"/>
    <col min="4" max="4" width="18" customWidth="1"/>
    <col min="5" max="5" width="22" customWidth="1"/>
    <col min="6" max="6" width="12" customWidth="1"/>
    <col min="7" max="7" width="3" customWidth="1"/>
    <col min="8" max="8" width="22" customWidth="1"/>
    <col min="9" max="9" width="12" customWidth="1"/>
    <col min="10" max="10" width="3" customWidth="1"/>
  </cols>
  <sheetData>
    <row r="1" spans="1:11" ht="27.75" customHeight="1">
      <c r="A1" s="21" t="s">
        <v>103</v>
      </c>
      <c r="B1" s="21"/>
      <c r="C1" s="21"/>
      <c r="D1" s="21"/>
      <c r="E1" s="21"/>
      <c r="F1" s="21"/>
      <c r="G1" s="21"/>
      <c r="H1" s="21"/>
      <c r="I1" s="21"/>
      <c r="J1" s="21"/>
    </row>
    <row r="4" spans="1:11" ht="30" customHeight="1">
      <c r="B4" s="22" t="s">
        <v>104</v>
      </c>
      <c r="C4" s="22"/>
      <c r="D4" s="23" t="s">
        <v>105</v>
      </c>
      <c r="E4" s="23"/>
      <c r="F4" s="24" t="s">
        <v>106</v>
      </c>
      <c r="G4" s="24"/>
      <c r="H4" s="25" t="s">
        <v>107</v>
      </c>
      <c r="I4" s="25"/>
      <c r="J4" s="26" t="s">
        <v>108</v>
      </c>
      <c r="K4" s="26"/>
    </row>
    <row r="5" spans="1:11">
      <c r="B5" s="29">
        <f>COUNTIF('ورودی اقدامات'!$B$4:$B$803,"&lt;&gt;")</f>
        <v>255</v>
      </c>
      <c r="C5" s="29"/>
      <c r="D5" s="30">
        <f ca="1">COUNTIF('ورودی اقدامات'!$T$4:$T$803,"در حال انجام")</f>
        <v>0</v>
      </c>
      <c r="E5" s="30"/>
      <c r="F5" s="31">
        <f ca="1">COUNTIF('ورودی اقدامات'!$T$4:$T$803,"تاخیر")</f>
        <v>0</v>
      </c>
      <c r="G5" s="31"/>
      <c r="H5" s="32">
        <f ca="1">COUNTIF('ورودی اقدامات'!$T$4:$T$803,"بسته")</f>
        <v>4</v>
      </c>
      <c r="I5" s="32"/>
      <c r="J5" s="33">
        <f ca="1">IFERROR(COUNTIFS('ورودی اقدامات'!$T$4:$T$803,"بسته",'ورودی اقدامات'!$O$4:$O$803,"&lt;&gt;",'ورودی اقدامات'!$U$4:$U$803,0)/COUNTIFS('ورودی اقدامات'!$T$4:$T$803,"بسته",'ورودی اقدامات'!$O$4:$O$803,"&lt;&gt;"),"—")</f>
        <v>0</v>
      </c>
      <c r="K5" s="33"/>
    </row>
    <row r="6" spans="1:11">
      <c r="B6" s="29"/>
      <c r="C6" s="29"/>
      <c r="D6" s="30"/>
      <c r="E6" s="30"/>
      <c r="F6" s="31"/>
      <c r="G6" s="31"/>
      <c r="H6" s="32"/>
      <c r="I6" s="32"/>
      <c r="J6" s="33"/>
      <c r="K6" s="33"/>
    </row>
    <row r="7" spans="1:11" ht="24" customHeight="1">
      <c r="B7" s="27" t="s">
        <v>109</v>
      </c>
      <c r="C7" s="27"/>
      <c r="D7" s="27"/>
      <c r="E7" s="27"/>
      <c r="F7" s="27"/>
      <c r="G7" s="27"/>
      <c r="H7" s="27"/>
      <c r="I7" s="27"/>
      <c r="J7" s="27"/>
    </row>
    <row r="9" spans="1:11" ht="21.75" customHeight="1">
      <c r="B9" s="28" t="str">
        <f ca="1">"از مجموع "&amp;TEXT(COUNTIF('ورودی اقدامات'!$B$4:$B$803,"&lt;&gt;"),"#,##0")&amp;" اقدام ثبت‌شده، "&amp;TEXT(COUNTIF('ورودی اقدامات'!$T$4:$T$803,"بسته"),"#,##0")&amp;" مورد ("&amp;TEXT(IFERROR(COUNTIF('ورودی اقدامات'!$T$4:$T$803,"بسته")/COUNTIF('ورودی اقدامات'!$B$4:$B$803,"&lt;&gt;"),0),"0%")&amp;") بسته شده و "&amp;TEXT(COUNTIF('ورودی اقدامات'!$T$4:$T$803,"تاخیر"),"#,##0")&amp;" مورد ("&amp;TEXT(IFERROR(COUNTIF('ورودی اقدامات'!$T$4:$T$803,"تاخیر")/COUNTIF('ورودی اقدامات'!$B$4:$B$803,"&lt;&gt;"),0),"0%")&amp;") با تاخیر مواجه هستند. "&amp;TEXT(COUNTIF('ورودی اقدامات'!$T$4:$T$803,"در حال انجام"),"#,##0")&amp;" مورد در حال انجام (بدون تاخیر) است. اثربخشی "&amp;TEXT(IFERROR(COUNTIF('ورودی اقدامات'!$I$4:$I$803,"می‌باشد")/COUNTIF('ورودی اقدامات'!$I$4:$I$803,"&lt;&gt;"),0),"0%")&amp;" از اقدامات بسته‌شده تایید شده است."</f>
        <v>از مجموع 255 اقدام ثبت‌شده، 4 مورد (2%) بسته شده و 0 مورد (0%) با تاخیر مواجه هستند. 0 مورد در حال انجام (بدون تاخیر) است. اثربخشی 100% از اقدامات بسته‌شده تایید شده است.</v>
      </c>
      <c r="C9" s="28"/>
      <c r="D9" s="28"/>
      <c r="E9" s="28"/>
      <c r="F9" s="28"/>
      <c r="G9" s="28"/>
      <c r="H9" s="28"/>
      <c r="I9" s="28"/>
      <c r="J9" s="28"/>
    </row>
    <row r="10" spans="1:11" ht="21.75" customHeight="1">
      <c r="B10" s="28"/>
      <c r="C10" s="28"/>
      <c r="D10" s="28"/>
      <c r="E10" s="28"/>
      <c r="F10" s="28"/>
      <c r="G10" s="28"/>
      <c r="H10" s="28"/>
      <c r="I10" s="28"/>
      <c r="J10" s="28"/>
    </row>
    <row r="12" spans="1:11">
      <c r="B12" s="9" t="s">
        <v>34</v>
      </c>
      <c r="E12" s="9" t="s">
        <v>110</v>
      </c>
      <c r="H12" s="9" t="s">
        <v>111</v>
      </c>
    </row>
    <row r="13" spans="1:11">
      <c r="B13" s="10" t="s">
        <v>112</v>
      </c>
      <c r="C13" s="10" t="s">
        <v>113</v>
      </c>
      <c r="E13" s="10" t="s">
        <v>18</v>
      </c>
      <c r="F13" s="10" t="s">
        <v>113</v>
      </c>
      <c r="H13" s="10" t="s">
        <v>79</v>
      </c>
      <c r="I13" s="10" t="s">
        <v>113</v>
      </c>
    </row>
    <row r="14" spans="1:11">
      <c r="B14" s="7" t="s">
        <v>105</v>
      </c>
      <c r="C14" s="11">
        <f ca="1">COUNTIF('ورودی اقدامات'!$T$4:$T$803,B14)</f>
        <v>0</v>
      </c>
      <c r="E14" s="7" t="s">
        <v>36</v>
      </c>
      <c r="F14" s="11">
        <f>COUNTIF('ورودی اقدامات'!$C$4:$C$803,E14)</f>
        <v>241</v>
      </c>
      <c r="H14" s="7" t="str">
        <f>لیست‌ها!F3</f>
        <v>بازرگانی</v>
      </c>
      <c r="I14" s="11">
        <f>COUNTIF('ورودی اقدامات'!$N$4:$N$803,H14)</f>
        <v>0</v>
      </c>
    </row>
    <row r="15" spans="1:11">
      <c r="B15" s="7" t="s">
        <v>114</v>
      </c>
      <c r="C15" s="11">
        <f ca="1">COUNTIF('ورودی اقدامات'!$T$4:$T$803,B15)</f>
        <v>0</v>
      </c>
      <c r="E15" s="7" t="s">
        <v>68</v>
      </c>
      <c r="F15" s="11">
        <f>COUNTIF('ورودی اقدامات'!$C$4:$C$803,E15)</f>
        <v>14</v>
      </c>
      <c r="H15" s="7" t="str">
        <f>لیست‌ها!F4</f>
        <v>تدارکات</v>
      </c>
      <c r="I15" s="11">
        <f>COUNTIF('ورودی اقدامات'!$N$4:$N$803,H15)</f>
        <v>0</v>
      </c>
    </row>
    <row r="16" spans="1:11">
      <c r="B16" s="7" t="s">
        <v>115</v>
      </c>
      <c r="C16" s="11">
        <f ca="1">COUNTIF('ورودی اقدامات'!$T$4:$T$803,B16)</f>
        <v>4</v>
      </c>
      <c r="H16" s="7" t="str">
        <f>لیست‌ها!F5</f>
        <v>طراحی و مهندسی</v>
      </c>
      <c r="I16" s="11">
        <f>COUNTIF('ورودی اقدامات'!$N$4:$N$803,H16)</f>
        <v>0</v>
      </c>
    </row>
    <row r="17" spans="8:9">
      <c r="H17" s="7" t="str">
        <f>لیست‌ها!F6</f>
        <v>تولید</v>
      </c>
      <c r="I17" s="11">
        <f>COUNTIF('ورودی اقدامات'!$N$4:$N$803,H17)</f>
        <v>0</v>
      </c>
    </row>
    <row r="18" spans="8:9">
      <c r="H18" s="7" t="str">
        <f>لیست‌ها!F7</f>
        <v>برنامه‌ریزی</v>
      </c>
      <c r="I18" s="11">
        <f>COUNTIF('ورودی اقدامات'!$N$4:$N$803,H18)</f>
        <v>1</v>
      </c>
    </row>
    <row r="19" spans="8:9">
      <c r="H19" s="7" t="str">
        <f>لیست‌ها!F8</f>
        <v>مدیریت</v>
      </c>
      <c r="I19" s="11">
        <f>COUNTIF('ورودی اقدامات'!$N$4:$N$803,H19)</f>
        <v>0</v>
      </c>
    </row>
    <row r="20" spans="8:9">
      <c r="H20" s="7" t="str">
        <f>لیست‌ها!F9</f>
        <v>کیفیت</v>
      </c>
      <c r="I20" s="11">
        <f>COUNTIF('ورودی اقدامات'!$N$4:$N$803,H20)</f>
        <v>0</v>
      </c>
    </row>
    <row r="21" spans="8:9">
      <c r="H21" s="7" t="str">
        <f>لیست‌ها!F10</f>
        <v>تضمین کیفیت</v>
      </c>
      <c r="I21" s="11">
        <f>COUNTIF('ورودی اقدامات'!$N$4:$N$803,H21)</f>
        <v>0</v>
      </c>
    </row>
    <row r="22" spans="8:9">
      <c r="H22" s="7" t="str">
        <f>لیست‌ها!F11</f>
        <v>مهندسی کیفیت</v>
      </c>
      <c r="I22" s="11">
        <f>COUNTIF('ورودی اقدامات'!$N$4:$N$803,H22)</f>
        <v>0</v>
      </c>
    </row>
    <row r="23" spans="8:9">
      <c r="H23" s="7" t="str">
        <f>لیست‌ها!F12</f>
        <v>پروژه‌ها</v>
      </c>
      <c r="I23" s="11">
        <f>COUNTIF('ورودی اقدامات'!$N$4:$N$803,H23)</f>
        <v>0</v>
      </c>
    </row>
    <row r="24" spans="8:9">
      <c r="H24" s="7" t="str">
        <f>لیست‌ها!F13</f>
        <v>IT</v>
      </c>
      <c r="I24" s="11">
        <f>COUNTIF('ورودی اقدامات'!$N$4:$N$803,H24)</f>
        <v>0</v>
      </c>
    </row>
    <row r="25" spans="8:9">
      <c r="H25" s="7" t="str">
        <f>لیست‌ها!F14</f>
        <v>نگهداری و تعمیرات</v>
      </c>
      <c r="I25" s="11">
        <f>COUNTIF('ورودی اقدامات'!$N$4:$N$803,H25)</f>
        <v>0</v>
      </c>
    </row>
    <row r="26" spans="8:9">
      <c r="H26" s="7" t="str">
        <f>لیست‌ها!F15</f>
        <v>اداری</v>
      </c>
      <c r="I26" s="11">
        <f>COUNTIF('ورودی اقدامات'!$N$4:$N$803,H26)</f>
        <v>0</v>
      </c>
    </row>
    <row r="27" spans="8:9">
      <c r="H27" s="7" t="str">
        <f>لیست‌ها!F16</f>
        <v>فروش</v>
      </c>
      <c r="I27" s="11">
        <f>COUNTIF('ورودی اقدامات'!$N$4:$N$803,H27)</f>
        <v>3</v>
      </c>
    </row>
    <row r="28" spans="8:9">
      <c r="H28" s="7" t="str">
        <f>لیست‌ها!F17</f>
        <v>مالی</v>
      </c>
      <c r="I28" s="11">
        <f>COUNTIF('ورودی اقدامات'!$N$4:$N$803,H28)</f>
        <v>0</v>
      </c>
    </row>
    <row r="29" spans="8:9">
      <c r="H29" s="7" t="str">
        <f>لیست‌ها!F18</f>
        <v>ایمنی</v>
      </c>
      <c r="I29" s="11">
        <f>COUNTIF('ورودی اقدامات'!$N$4:$N$803,H29)</f>
        <v>0</v>
      </c>
    </row>
    <row r="30" spans="8:9">
      <c r="H30" s="7" t="str">
        <f>لیست‌ها!F19</f>
        <v>آزمایشگاه</v>
      </c>
      <c r="I30" s="11">
        <f>COUNTIF('ورودی اقدامات'!$N$4:$N$803,H30)</f>
        <v>0</v>
      </c>
    </row>
    <row r="31" spans="8:9">
      <c r="H31" s="7" t="str">
        <f>لیست‌ها!F20</f>
        <v>آموزش</v>
      </c>
      <c r="I31" s="11">
        <f>COUNTIF('ورودی اقدامات'!$N$4:$N$803,H31)</f>
        <v>0</v>
      </c>
    </row>
    <row r="34" spans="2:6">
      <c r="B34" s="9" t="s">
        <v>116</v>
      </c>
      <c r="E34" s="9" t="s">
        <v>117</v>
      </c>
    </row>
    <row r="35" spans="2:6">
      <c r="B35" s="10" t="s">
        <v>118</v>
      </c>
      <c r="C35" s="10" t="s">
        <v>113</v>
      </c>
      <c r="E35" s="10" t="s">
        <v>119</v>
      </c>
      <c r="F35" s="10" t="s">
        <v>113</v>
      </c>
    </row>
    <row r="36" spans="2:6">
      <c r="B36" s="7" t="s">
        <v>43</v>
      </c>
      <c r="C36" s="11">
        <f>COUNTIF('ورودی اقدامات'!$D$4:$D$803,B36)</f>
        <v>143</v>
      </c>
      <c r="E36" s="11" t="str">
        <f>INT((((IF(MAX('ورودی اقدامات'!$AI$4:$AI$803)=0,(لیست‌ها!$S$3*12+لیست‌ها!$T$3),MAX('ورودی اقدامات'!$AI$4:$AI$803)))+(-11))-1)/12)&amp;"-"&amp;TEXT(MOD(((IF(MAX('ورودی اقدامات'!$AI$4:$AI$803)=0,(لیست‌ها!$S$3*12+لیست‌ها!$T$3),MAX('ورودی اقدامات'!$AI$4:$AI$803)))+(-11))-1,12)+1,"00")</f>
        <v>1404-02</v>
      </c>
      <c r="F36" s="11">
        <f>COUNTIF('ورودی اقدامات'!$AH$4:$AH$803,E36)</f>
        <v>0</v>
      </c>
    </row>
    <row r="37" spans="2:6">
      <c r="B37" s="7" t="s">
        <v>85</v>
      </c>
      <c r="C37" s="11">
        <f>COUNTIF('ورودی اقدامات'!$D$4:$D$803,B37)</f>
        <v>0</v>
      </c>
      <c r="E37" s="11" t="str">
        <f>INT((((IF(MAX('ورودی اقدامات'!$AI$4:$AI$803)=0,(لیست‌ها!$S$3*12+لیست‌ها!$T$3),MAX('ورودی اقدامات'!$AI$4:$AI$803)))+(-10))-1)/12)&amp;"-"&amp;TEXT(MOD(((IF(MAX('ورودی اقدامات'!$AI$4:$AI$803)=0,(لیست‌ها!$S$3*12+لیست‌ها!$T$3),MAX('ورودی اقدامات'!$AI$4:$AI$803)))+(-10))-1,12)+1,"00")</f>
        <v>1404-03</v>
      </c>
      <c r="F37" s="11">
        <f>COUNTIF('ورودی اقدامات'!$AH$4:$AH$803,E37)</f>
        <v>0</v>
      </c>
    </row>
    <row r="38" spans="2:6">
      <c r="B38" s="7" t="s">
        <v>69</v>
      </c>
      <c r="C38" s="11">
        <f>COUNTIF('ورودی اقدامات'!$D$4:$D$803,B38)</f>
        <v>29</v>
      </c>
      <c r="E38" s="11" t="str">
        <f>INT((((IF(MAX('ورودی اقدامات'!$AI$4:$AI$803)=0,(لیست‌ها!$S$3*12+لیست‌ها!$T$3),MAX('ورودی اقدامات'!$AI$4:$AI$803)))+(-9))-1)/12)&amp;"-"&amp;TEXT(MOD(((IF(MAX('ورودی اقدامات'!$AI$4:$AI$803)=0,(لیست‌ها!$S$3*12+لیست‌ها!$T$3),MAX('ورودی اقدامات'!$AI$4:$AI$803)))+(-9))-1,12)+1,"00")</f>
        <v>1404-04</v>
      </c>
      <c r="F38" s="11">
        <f>COUNTIF('ورودی اقدامات'!$AH$4:$AH$803,E38)</f>
        <v>0</v>
      </c>
    </row>
    <row r="39" spans="2:6">
      <c r="B39" s="7" t="s">
        <v>74</v>
      </c>
      <c r="C39" s="11">
        <f>COUNTIF('ورودی اقدامات'!$D$4:$D$803,B39)</f>
        <v>1</v>
      </c>
      <c r="E39" s="11" t="str">
        <f>INT((((IF(MAX('ورودی اقدامات'!$AI$4:$AI$803)=0,(لیست‌ها!$S$3*12+لیست‌ها!$T$3),MAX('ورودی اقدامات'!$AI$4:$AI$803)))+(-8))-1)/12)&amp;"-"&amp;TEXT(MOD(((IF(MAX('ورودی اقدامات'!$AI$4:$AI$803)=0,(لیست‌ها!$S$3*12+لیست‌ها!$T$3),MAX('ورودی اقدامات'!$AI$4:$AI$803)))+(-8))-1,12)+1,"00")</f>
        <v>1404-05</v>
      </c>
      <c r="F39" s="11">
        <f>COUNTIF('ورودی اقدامات'!$AH$4:$AH$803,E39)</f>
        <v>0</v>
      </c>
    </row>
    <row r="40" spans="2:6">
      <c r="B40" s="7" t="s">
        <v>76</v>
      </c>
      <c r="C40" s="11">
        <f>COUNTIF('ورودی اقدامات'!$D$4:$D$803,B40)</f>
        <v>0</v>
      </c>
      <c r="E40" s="11" t="str">
        <f>INT((((IF(MAX('ورودی اقدامات'!$AI$4:$AI$803)=0,(لیست‌ها!$S$3*12+لیست‌ها!$T$3),MAX('ورودی اقدامات'!$AI$4:$AI$803)))+(-7))-1)/12)&amp;"-"&amp;TEXT(MOD(((IF(MAX('ورودی اقدامات'!$AI$4:$AI$803)=0,(لیست‌ها!$S$3*12+لیست‌ها!$T$3),MAX('ورودی اقدامات'!$AI$4:$AI$803)))+(-7))-1,12)+1,"00")</f>
        <v>1404-06</v>
      </c>
      <c r="F40" s="11">
        <f>COUNTIF('ورودی اقدامات'!$AH$4:$AH$803,E40)</f>
        <v>0</v>
      </c>
    </row>
    <row r="41" spans="2:6">
      <c r="B41" s="7" t="s">
        <v>62</v>
      </c>
      <c r="C41" s="11">
        <f>COUNTIF('ورودی اقدامات'!$D$4:$D$803,B41)</f>
        <v>0</v>
      </c>
      <c r="E41" s="11" t="str">
        <f>INT((((IF(MAX('ورودی اقدامات'!$AI$4:$AI$803)=0,(لیست‌ها!$S$3*12+لیست‌ها!$T$3),MAX('ورودی اقدامات'!$AI$4:$AI$803)))+(-6))-1)/12)&amp;"-"&amp;TEXT(MOD(((IF(MAX('ورودی اقدامات'!$AI$4:$AI$803)=0,(لیست‌ها!$S$3*12+لیست‌ها!$T$3),MAX('ورودی اقدامات'!$AI$4:$AI$803)))+(-6))-1,12)+1,"00")</f>
        <v>1404-07</v>
      </c>
      <c r="F41" s="11">
        <f>COUNTIF('ورودی اقدامات'!$AH$4:$AH$803,E41)</f>
        <v>0</v>
      </c>
    </row>
    <row r="42" spans="2:6">
      <c r="B42" s="7" t="s">
        <v>89</v>
      </c>
      <c r="C42" s="11">
        <f>COUNTIF('ورودی اقدامات'!$D$4:$D$803,B42)</f>
        <v>0</v>
      </c>
      <c r="E42" s="11" t="str">
        <f>INT((((IF(MAX('ورودی اقدامات'!$AI$4:$AI$803)=0,(لیست‌ها!$S$3*12+لیست‌ها!$T$3),MAX('ورودی اقدامات'!$AI$4:$AI$803)))+(-5))-1)/12)&amp;"-"&amp;TEXT(MOD(((IF(MAX('ورودی اقدامات'!$AI$4:$AI$803)=0,(لیست‌ها!$S$3*12+لیست‌ها!$T$3),MAX('ورودی اقدامات'!$AI$4:$AI$803)))+(-5))-1,12)+1,"00")</f>
        <v>1404-08</v>
      </c>
      <c r="F42" s="11">
        <f>COUNTIF('ورودی اقدامات'!$AH$4:$AH$803,E42)</f>
        <v>0</v>
      </c>
    </row>
    <row r="43" spans="2:6">
      <c r="B43" s="7" t="s">
        <v>64</v>
      </c>
      <c r="C43" s="11">
        <f>COUNTIF('ورودی اقدامات'!$D$4:$D$803,B43)</f>
        <v>31</v>
      </c>
      <c r="E43" s="11" t="str">
        <f>INT((((IF(MAX('ورودی اقدامات'!$AI$4:$AI$803)=0,(لیست‌ها!$S$3*12+لیست‌ها!$T$3),MAX('ورودی اقدامات'!$AI$4:$AI$803)))+(-4))-1)/12)&amp;"-"&amp;TEXT(MOD(((IF(MAX('ورودی اقدامات'!$AI$4:$AI$803)=0,(لیست‌ها!$S$3*12+لیست‌ها!$T$3),MAX('ورودی اقدامات'!$AI$4:$AI$803)))+(-4))-1,12)+1,"00")</f>
        <v>1404-09</v>
      </c>
      <c r="F43" s="11">
        <f>COUNTIF('ورودی اقدامات'!$AH$4:$AH$803,E43)</f>
        <v>0</v>
      </c>
    </row>
    <row r="44" spans="2:6">
      <c r="B44" s="7" t="s">
        <v>66</v>
      </c>
      <c r="C44" s="11">
        <f>COUNTIF('ورودی اقدامات'!$D$4:$D$803,B44)</f>
        <v>27</v>
      </c>
      <c r="E44" s="11" t="str">
        <f>INT((((IF(MAX('ورودی اقدامات'!$AI$4:$AI$803)=0,(لیست‌ها!$S$3*12+لیست‌ها!$T$3),MAX('ورودی اقدامات'!$AI$4:$AI$803)))+(-3))-1)/12)&amp;"-"&amp;TEXT(MOD(((IF(MAX('ورودی اقدامات'!$AI$4:$AI$803)=0,(لیست‌ها!$S$3*12+لیست‌ها!$T$3),MAX('ورودی اقدامات'!$AI$4:$AI$803)))+(-3))-1,12)+1,"00")</f>
        <v>1404-10</v>
      </c>
      <c r="F44" s="11">
        <f>COUNTIF('ورودی اقدامات'!$AH$4:$AH$803,E44)</f>
        <v>0</v>
      </c>
    </row>
    <row r="45" spans="2:6">
      <c r="B45" s="7" t="s">
        <v>91</v>
      </c>
      <c r="C45" s="11">
        <f>COUNTIF('ورودی اقدامات'!$D$4:$D$803,B45)</f>
        <v>0</v>
      </c>
      <c r="E45" s="11" t="str">
        <f>INT((((IF(MAX('ورودی اقدامات'!$AI$4:$AI$803)=0,(لیست‌ها!$S$3*12+لیست‌ها!$T$3),MAX('ورودی اقدامات'!$AI$4:$AI$803)))+(-2))-1)/12)&amp;"-"&amp;TEXT(MOD(((IF(MAX('ورودی اقدامات'!$AI$4:$AI$803)=0,(لیست‌ها!$S$3*12+لیست‌ها!$T$3),MAX('ورودی اقدامات'!$AI$4:$AI$803)))+(-2))-1,12)+1,"00")</f>
        <v>1404-11</v>
      </c>
      <c r="F45" s="11">
        <f>COUNTIF('ورودی اقدامات'!$AH$4:$AH$803,E45)</f>
        <v>0</v>
      </c>
    </row>
    <row r="46" spans="2:6">
      <c r="B46" s="7" t="s">
        <v>93</v>
      </c>
      <c r="C46" s="11">
        <f>COUNTIF('ورودی اقدامات'!$D$4:$D$803,B46)</f>
        <v>0</v>
      </c>
      <c r="E46" s="11" t="str">
        <f>INT((((IF(MAX('ورودی اقدامات'!$AI$4:$AI$803)=0,(لیست‌ها!$S$3*12+لیست‌ها!$T$3),MAX('ورودی اقدامات'!$AI$4:$AI$803)))+(-1))-1)/12)&amp;"-"&amp;TEXT(MOD(((IF(MAX('ورودی اقدامات'!$AI$4:$AI$803)=0,(لیست‌ها!$S$3*12+لیست‌ها!$T$3),MAX('ورودی اقدامات'!$AI$4:$AI$803)))+(-1))-1,12)+1,"00")</f>
        <v>1404-12</v>
      </c>
      <c r="F46" s="11">
        <f>COUNTIF('ورودی اقدامات'!$AH$4:$AH$803,E46)</f>
        <v>0</v>
      </c>
    </row>
    <row r="47" spans="2:6">
      <c r="B47" s="7" t="s">
        <v>95</v>
      </c>
      <c r="C47" s="11">
        <f>COUNTIF('ورودی اقدامات'!$D$4:$D$803,B47)</f>
        <v>0</v>
      </c>
      <c r="E47" s="11" t="str">
        <f>INT((((IF(MAX('ورودی اقدامات'!$AI$4:$AI$803)=0,(لیست‌ها!$S$3*12+لیست‌ها!$T$3),MAX('ورودی اقدامات'!$AI$4:$AI$803)))+(0))-1)/12)&amp;"-"&amp;TEXT(MOD(((IF(MAX('ورودی اقدامات'!$AI$4:$AI$803)=0,(لیست‌ها!$S$3*12+لیست‌ها!$T$3),MAX('ورودی اقدامات'!$AI$4:$AI$803)))+(0))-1,12)+1,"00")</f>
        <v>1405-01</v>
      </c>
      <c r="F47" s="11">
        <f>COUNTIF('ورودی اقدامات'!$AH$4:$AH$803,E47)</f>
        <v>4</v>
      </c>
    </row>
    <row r="48" spans="2:6">
      <c r="B48" s="7" t="s">
        <v>97</v>
      </c>
      <c r="C48" s="11">
        <f>COUNTIF('ورودی اقدامات'!$D$4:$D$803,B48)</f>
        <v>0</v>
      </c>
    </row>
    <row r="49" spans="2:6">
      <c r="B49" s="7" t="s">
        <v>98</v>
      </c>
      <c r="C49" s="11">
        <f>COUNTIF('ورودی اقدامات'!$D$4:$D$803,B49)</f>
        <v>0</v>
      </c>
    </row>
    <row r="50" spans="2:6">
      <c r="B50" s="7" t="s">
        <v>37</v>
      </c>
      <c r="C50" s="11">
        <f>COUNTIF('ورودی اقدامات'!$D$4:$D$803,B50)</f>
        <v>23</v>
      </c>
      <c r="E50" s="9" t="s">
        <v>7</v>
      </c>
    </row>
    <row r="51" spans="2:6">
      <c r="E51" s="10" t="s">
        <v>120</v>
      </c>
      <c r="F51" s="10" t="s">
        <v>113</v>
      </c>
    </row>
    <row r="52" spans="2:6">
      <c r="E52" s="7" t="s">
        <v>59</v>
      </c>
      <c r="F52" s="11">
        <f>COUNTIF('ورودی اقدامات'!$I$4:$I$803,E52)</f>
        <v>3</v>
      </c>
    </row>
    <row r="53" spans="2:6">
      <c r="B53" s="9" t="s">
        <v>22</v>
      </c>
      <c r="E53" s="7" t="s">
        <v>38</v>
      </c>
      <c r="F53" s="11">
        <f>COUNTIF('ورودی اقدامات'!$I$4:$I$803,E53)</f>
        <v>0</v>
      </c>
    </row>
    <row r="54" spans="2:6">
      <c r="B54" s="10" t="s">
        <v>121</v>
      </c>
      <c r="C54" s="10" t="s">
        <v>113</v>
      </c>
      <c r="E54" s="7" t="s">
        <v>77</v>
      </c>
      <c r="F54" s="11">
        <f>COUNTIF('ورودی اقدامات'!$I$4:$I$803,E54)</f>
        <v>0</v>
      </c>
    </row>
    <row r="55" spans="2:6">
      <c r="B55" s="7" t="s">
        <v>44</v>
      </c>
      <c r="C55" s="11">
        <f>COUNTIF('ورودی اقدامات'!$G$4:$G$803,B55)</f>
        <v>3</v>
      </c>
    </row>
    <row r="56" spans="2:6">
      <c r="B56" s="7" t="s">
        <v>67</v>
      </c>
      <c r="C56" s="11">
        <f>COUNTIF('ورودی اقدامات'!$G$4:$G$803,B56)</f>
        <v>0</v>
      </c>
    </row>
    <row r="57" spans="2:6">
      <c r="B57" s="7" t="s">
        <v>42</v>
      </c>
      <c r="C57" s="11">
        <f>COUNTIF('ورودی اقدامات'!$G$4:$G$803,B57)</f>
        <v>0</v>
      </c>
    </row>
    <row r="58" spans="2:6">
      <c r="B58" s="7" t="s">
        <v>65</v>
      </c>
      <c r="C58" s="11">
        <f>COUNTIF('ورودی اقدامات'!$G$4:$G$803,B58)</f>
        <v>0</v>
      </c>
    </row>
    <row r="59" spans="2:6">
      <c r="B59" s="7" t="s">
        <v>71</v>
      </c>
      <c r="C59" s="11">
        <f>COUNTIF('ورودی اقدامات'!$G$4:$G$803,B59)</f>
        <v>0</v>
      </c>
    </row>
    <row r="60" spans="2:6">
      <c r="B60" s="7" t="s">
        <v>88</v>
      </c>
      <c r="C60" s="11">
        <f>COUNTIF('ورودی اقدامات'!$G$4:$G$803,B60)</f>
        <v>0</v>
      </c>
    </row>
    <row r="61" spans="2:6">
      <c r="B61" s="7" t="s">
        <v>39</v>
      </c>
      <c r="C61" s="11">
        <f>COUNTIF('ورودی اقدامات'!$G$4:$G$803,B61)</f>
        <v>1</v>
      </c>
    </row>
    <row r="62" spans="2:6">
      <c r="B62" s="7" t="s">
        <v>52</v>
      </c>
      <c r="C62" s="11">
        <f>COUNTIF('ورودی اقدامات'!$G$4:$G$803,B62)</f>
        <v>0</v>
      </c>
    </row>
    <row r="63" spans="2:6">
      <c r="B63" s="7" t="s">
        <v>63</v>
      </c>
      <c r="C63" s="11">
        <f>COUNTIF('ورودی اقدامات'!$G$4:$G$803,B63)</f>
        <v>0</v>
      </c>
    </row>
    <row r="64" spans="2:6">
      <c r="B64" s="7" t="s">
        <v>70</v>
      </c>
      <c r="C64" s="11">
        <f>COUNTIF('ورودی اقدامات'!$G$4:$G$803,B64)</f>
        <v>0</v>
      </c>
    </row>
    <row r="65" spans="2:3">
      <c r="B65" s="7" t="s">
        <v>94</v>
      </c>
      <c r="C65" s="11">
        <f>COUNTIF('ورودی اقدامات'!$G$4:$G$803,B65)</f>
        <v>0</v>
      </c>
    </row>
    <row r="66" spans="2:3">
      <c r="B66" s="7" t="s">
        <v>96</v>
      </c>
      <c r="C66" s="11">
        <f>COUNTIF('ورودی اقدامات'!$G$4:$G$803,B66)</f>
        <v>0</v>
      </c>
    </row>
    <row r="67" spans="2:3">
      <c r="B67" s="7" t="s">
        <v>41</v>
      </c>
      <c r="C67" s="11">
        <f>COUNTIF('ورودی اقدامات'!$G$4:$G$803,B67)</f>
        <v>0</v>
      </c>
    </row>
    <row r="68" spans="2:3">
      <c r="B68" s="7" t="s">
        <v>75</v>
      </c>
      <c r="C68" s="11">
        <f>COUNTIF('ورودی اقدامات'!$G$4:$G$803,B68)</f>
        <v>0</v>
      </c>
    </row>
    <row r="69" spans="2:3">
      <c r="B69" s="7" t="s">
        <v>73</v>
      </c>
      <c r="C69" s="11">
        <f>COUNTIF('ورودی اقدامات'!$G$4:$G$803,B69)</f>
        <v>0</v>
      </c>
    </row>
    <row r="70" spans="2:3">
      <c r="B70" s="7" t="s">
        <v>100</v>
      </c>
      <c r="C70" s="11">
        <f>COUNTIF('ورودی اقدامات'!$G$4:$G$803,B70)</f>
        <v>0</v>
      </c>
    </row>
    <row r="73" spans="2:3">
      <c r="B73" s="9" t="s">
        <v>122</v>
      </c>
    </row>
    <row r="74" spans="2:3">
      <c r="B74" s="10" t="s">
        <v>123</v>
      </c>
      <c r="C74" s="10" t="s">
        <v>113</v>
      </c>
    </row>
    <row r="75" spans="2:3">
      <c r="B75" s="7" t="s">
        <v>124</v>
      </c>
      <c r="C75" s="11">
        <f ca="1">COUNTIFS('ورودی اقدامات'!$T$4:$T$803,"تاخیر",'ورودی اقدامات'!$U$4:$U$803,"&gt;="&amp;1,'ورودی اقدامات'!$U$4:$U$803,"&lt;="&amp;30)</f>
        <v>0</v>
      </c>
    </row>
    <row r="76" spans="2:3">
      <c r="B76" s="7" t="s">
        <v>125</v>
      </c>
      <c r="C76" s="11">
        <f ca="1">COUNTIFS('ورودی اقدامات'!$T$4:$T$803,"تاخیر",'ورودی اقدامات'!$U$4:$U$803,"&gt;="&amp;31,'ورودی اقدامات'!$U$4:$U$803,"&lt;="&amp;60)</f>
        <v>0</v>
      </c>
    </row>
    <row r="77" spans="2:3">
      <c r="B77" s="7" t="s">
        <v>126</v>
      </c>
      <c r="C77" s="11">
        <f ca="1">COUNTIFS('ورودی اقدامات'!$T$4:$T$803,"تاخیر",'ورودی اقدامات'!$U$4:$U$803,"&gt;="&amp;61,'ورودی اقدامات'!$U$4:$U$803,"&lt;="&amp;90)</f>
        <v>0</v>
      </c>
    </row>
    <row r="78" spans="2:3">
      <c r="B78" s="7" t="s">
        <v>127</v>
      </c>
      <c r="C78" s="11">
        <f ca="1">COUNTIFS('ورودی اقدامات'!$T$4:$T$803,"تاخیر",'ورودی اقدامات'!$U$4:$U$803,"&gt;="&amp;91)</f>
        <v>0</v>
      </c>
    </row>
    <row r="81" spans="2:6">
      <c r="B81" s="12" t="s">
        <v>128</v>
      </c>
    </row>
    <row r="82" spans="2:6">
      <c r="B82" s="13" t="s">
        <v>17</v>
      </c>
      <c r="C82" s="13" t="s">
        <v>79</v>
      </c>
      <c r="D82" s="13" t="s">
        <v>129</v>
      </c>
      <c r="E82" s="13" t="s">
        <v>130</v>
      </c>
      <c r="F82" s="13" t="s">
        <v>35</v>
      </c>
    </row>
    <row r="83" spans="2:6">
      <c r="B83" s="7" t="str">
        <f ca="1">IF(IFERROR(LARGE('ورودی اقدامات'!$AJ$4:$AJ$803,1),"")="","",INDEX('ورودی اقدامات'!$B$4:$B$803,IFERROR(MATCH(IFERROR(LARGE('ورودی اقدامات'!$AJ$4:$AJ$803,1),""),'ورودی اقدامات'!$AJ$4:$AJ$803,0),"")))</f>
        <v/>
      </c>
      <c r="C83" s="14" t="str">
        <f ca="1">IF(IFERROR(LARGE('ورودی اقدامات'!$AJ$4:$AJ$803,1),"")="","",INDEX('ورودی اقدامات'!$N$4:$N$803,IFERROR(MATCH(IFERROR(LARGE('ورودی اقدامات'!$AJ$4:$AJ$803,1),""),'ورودی اقدامات'!$AJ$4:$AJ$803,0),"")))</f>
        <v/>
      </c>
      <c r="D83" s="14" t="str">
        <f ca="1">IF(IFERROR(LARGE('ورودی اقدامات'!$AJ$4:$AJ$803,1),"")="","",INDEX('ورودی اقدامات'!$G$4:$G$803,IFERROR(MATCH(IFERROR(LARGE('ورودی اقدامات'!$AJ$4:$AJ$803,1),""),'ورودی اقدامات'!$AJ$4:$AJ$803,0),"")))</f>
        <v/>
      </c>
      <c r="E83" s="11" t="str">
        <f ca="1">IF(IFERROR(LARGE('ورودی اقدامات'!$AJ$4:$AJ$803,1),"")="","",INDEX('ورودی اقدامات'!$H$4:$H$803,IFERROR(MATCH(IFERROR(LARGE('ورودی اقدامات'!$AJ$4:$AJ$803,1),""),'ورودی اقدامات'!$AJ$4:$AJ$803,0),"")))</f>
        <v/>
      </c>
      <c r="F83" s="11" t="str">
        <f ca="1">IF(IFERROR(LARGE('ورودی اقدامات'!$AJ$4:$AJ$803,1),"")="","",INDEX('ورودی اقدامات'!$U$4:$U$803,IFERROR(MATCH(IFERROR(LARGE('ورودی اقدامات'!$AJ$4:$AJ$803,1),""),'ورودی اقدامات'!$AJ$4:$AJ$803,0),"")))</f>
        <v/>
      </c>
    </row>
    <row r="84" spans="2:6">
      <c r="B84" s="7" t="str">
        <f ca="1">IF(IFERROR(LARGE('ورودی اقدامات'!$AJ$4:$AJ$803,2),"")="","",INDEX('ورودی اقدامات'!$B$4:$B$803,IFERROR(MATCH(IFERROR(LARGE('ورودی اقدامات'!$AJ$4:$AJ$803,2),""),'ورودی اقدامات'!$AJ$4:$AJ$803,0),"")))</f>
        <v/>
      </c>
      <c r="C84" s="14" t="str">
        <f ca="1">IF(IFERROR(LARGE('ورودی اقدامات'!$AJ$4:$AJ$803,2),"")="","",INDEX('ورودی اقدامات'!$N$4:$N$803,IFERROR(MATCH(IFERROR(LARGE('ورودی اقدامات'!$AJ$4:$AJ$803,2),""),'ورودی اقدامات'!$AJ$4:$AJ$803,0),"")))</f>
        <v/>
      </c>
      <c r="D84" s="14" t="str">
        <f ca="1">IF(IFERROR(LARGE('ورودی اقدامات'!$AJ$4:$AJ$803,2),"")="","",INDEX('ورودی اقدامات'!$G$4:$G$803,IFERROR(MATCH(IFERROR(LARGE('ورودی اقدامات'!$AJ$4:$AJ$803,2),""),'ورودی اقدامات'!$AJ$4:$AJ$803,0),"")))</f>
        <v/>
      </c>
      <c r="E84" s="11" t="str">
        <f ca="1">IF(IFERROR(LARGE('ورودی اقدامات'!$AJ$4:$AJ$803,2),"")="","",INDEX('ورودی اقدامات'!$H$4:$H$803,IFERROR(MATCH(IFERROR(LARGE('ورودی اقدامات'!$AJ$4:$AJ$803,2),""),'ورودی اقدامات'!$AJ$4:$AJ$803,0),"")))</f>
        <v/>
      </c>
      <c r="F84" s="11" t="str">
        <f ca="1">IF(IFERROR(LARGE('ورودی اقدامات'!$AJ$4:$AJ$803,2),"")="","",INDEX('ورودی اقدامات'!$U$4:$U$803,IFERROR(MATCH(IFERROR(LARGE('ورودی اقدامات'!$AJ$4:$AJ$803,2),""),'ورودی اقدامات'!$AJ$4:$AJ$803,0),"")))</f>
        <v/>
      </c>
    </row>
    <row r="85" spans="2:6">
      <c r="B85" s="7" t="str">
        <f ca="1">IF(IFERROR(LARGE('ورودی اقدامات'!$AJ$4:$AJ$803,3),"")="","",INDEX('ورودی اقدامات'!$B$4:$B$803,IFERROR(MATCH(IFERROR(LARGE('ورودی اقدامات'!$AJ$4:$AJ$803,3),""),'ورودی اقدامات'!$AJ$4:$AJ$803,0),"")))</f>
        <v/>
      </c>
      <c r="C85" s="14" t="str">
        <f ca="1">IF(IFERROR(LARGE('ورودی اقدامات'!$AJ$4:$AJ$803,3),"")="","",INDEX('ورودی اقدامات'!$N$4:$N$803,IFERROR(MATCH(IFERROR(LARGE('ورودی اقدامات'!$AJ$4:$AJ$803,3),""),'ورودی اقدامات'!$AJ$4:$AJ$803,0),"")))</f>
        <v/>
      </c>
      <c r="D85" s="14" t="str">
        <f ca="1">IF(IFERROR(LARGE('ورودی اقدامات'!$AJ$4:$AJ$803,3),"")="","",INDEX('ورودی اقدامات'!$G$4:$G$803,IFERROR(MATCH(IFERROR(LARGE('ورودی اقدامات'!$AJ$4:$AJ$803,3),""),'ورودی اقدامات'!$AJ$4:$AJ$803,0),"")))</f>
        <v/>
      </c>
      <c r="E85" s="11" t="str">
        <f ca="1">IF(IFERROR(LARGE('ورودی اقدامات'!$AJ$4:$AJ$803,3),"")="","",INDEX('ورودی اقدامات'!$H$4:$H$803,IFERROR(MATCH(IFERROR(LARGE('ورودی اقدامات'!$AJ$4:$AJ$803,3),""),'ورودی اقدامات'!$AJ$4:$AJ$803,0),"")))</f>
        <v/>
      </c>
      <c r="F85" s="11" t="str">
        <f ca="1">IF(IFERROR(LARGE('ورودی اقدامات'!$AJ$4:$AJ$803,3),"")="","",INDEX('ورودی اقدامات'!$U$4:$U$803,IFERROR(MATCH(IFERROR(LARGE('ورودی اقدامات'!$AJ$4:$AJ$803,3),""),'ورودی اقدامات'!$AJ$4:$AJ$803,0),"")))</f>
        <v/>
      </c>
    </row>
    <row r="86" spans="2:6">
      <c r="B86" s="7" t="str">
        <f ca="1">IF(IFERROR(LARGE('ورودی اقدامات'!$AJ$4:$AJ$803,4),"")="","",INDEX('ورودی اقدامات'!$B$4:$B$803,IFERROR(MATCH(IFERROR(LARGE('ورودی اقدامات'!$AJ$4:$AJ$803,4),""),'ورودی اقدامات'!$AJ$4:$AJ$803,0),"")))</f>
        <v/>
      </c>
      <c r="C86" s="14" t="str">
        <f ca="1">IF(IFERROR(LARGE('ورودی اقدامات'!$AJ$4:$AJ$803,4),"")="","",INDEX('ورودی اقدامات'!$N$4:$N$803,IFERROR(MATCH(IFERROR(LARGE('ورودی اقدامات'!$AJ$4:$AJ$803,4),""),'ورودی اقدامات'!$AJ$4:$AJ$803,0),"")))</f>
        <v/>
      </c>
      <c r="D86" s="14" t="str">
        <f ca="1">IF(IFERROR(LARGE('ورودی اقدامات'!$AJ$4:$AJ$803,4),"")="","",INDEX('ورودی اقدامات'!$G$4:$G$803,IFERROR(MATCH(IFERROR(LARGE('ورودی اقدامات'!$AJ$4:$AJ$803,4),""),'ورودی اقدامات'!$AJ$4:$AJ$803,0),"")))</f>
        <v/>
      </c>
      <c r="E86" s="11" t="str">
        <f ca="1">IF(IFERROR(LARGE('ورودی اقدامات'!$AJ$4:$AJ$803,4),"")="","",INDEX('ورودی اقدامات'!$H$4:$H$803,IFERROR(MATCH(IFERROR(LARGE('ورودی اقدامات'!$AJ$4:$AJ$803,4),""),'ورودی اقدامات'!$AJ$4:$AJ$803,0),"")))</f>
        <v/>
      </c>
      <c r="F86" s="11" t="str">
        <f ca="1">IF(IFERROR(LARGE('ورودی اقدامات'!$AJ$4:$AJ$803,4),"")="","",INDEX('ورودی اقدامات'!$U$4:$U$803,IFERROR(MATCH(IFERROR(LARGE('ورودی اقدامات'!$AJ$4:$AJ$803,4),""),'ورودی اقدامات'!$AJ$4:$AJ$803,0),"")))</f>
        <v/>
      </c>
    </row>
    <row r="87" spans="2:6">
      <c r="B87" s="7" t="str">
        <f ca="1">IF(IFERROR(LARGE('ورودی اقدامات'!$AJ$4:$AJ$803,5),"")="","",INDEX('ورودی اقدامات'!$B$4:$B$803,IFERROR(MATCH(IFERROR(LARGE('ورودی اقدامات'!$AJ$4:$AJ$803,5),""),'ورودی اقدامات'!$AJ$4:$AJ$803,0),"")))</f>
        <v/>
      </c>
      <c r="C87" s="14" t="str">
        <f ca="1">IF(IFERROR(LARGE('ورودی اقدامات'!$AJ$4:$AJ$803,5),"")="","",INDEX('ورودی اقدامات'!$N$4:$N$803,IFERROR(MATCH(IFERROR(LARGE('ورودی اقدامات'!$AJ$4:$AJ$803,5),""),'ورودی اقدامات'!$AJ$4:$AJ$803,0),"")))</f>
        <v/>
      </c>
      <c r="D87" s="14" t="str">
        <f ca="1">IF(IFERROR(LARGE('ورودی اقدامات'!$AJ$4:$AJ$803,5),"")="","",INDEX('ورودی اقدامات'!$G$4:$G$803,IFERROR(MATCH(IFERROR(LARGE('ورودی اقدامات'!$AJ$4:$AJ$803,5),""),'ورودی اقدامات'!$AJ$4:$AJ$803,0),"")))</f>
        <v/>
      </c>
      <c r="E87" s="11" t="str">
        <f ca="1">IF(IFERROR(LARGE('ورودی اقدامات'!$AJ$4:$AJ$803,5),"")="","",INDEX('ورودی اقدامات'!$H$4:$H$803,IFERROR(MATCH(IFERROR(LARGE('ورودی اقدامات'!$AJ$4:$AJ$803,5),""),'ورودی اقدامات'!$AJ$4:$AJ$803,0),"")))</f>
        <v/>
      </c>
      <c r="F87" s="11" t="str">
        <f ca="1">IF(IFERROR(LARGE('ورودی اقدامات'!$AJ$4:$AJ$803,5),"")="","",INDEX('ورودی اقدامات'!$U$4:$U$803,IFERROR(MATCH(IFERROR(LARGE('ورودی اقدامات'!$AJ$4:$AJ$803,5),""),'ورودی اقدامات'!$AJ$4:$AJ$803,0),"")))</f>
        <v/>
      </c>
    </row>
    <row r="88" spans="2:6">
      <c r="B88" s="7" t="str">
        <f ca="1">IF(IFERROR(LARGE('ورودی اقدامات'!$AJ$4:$AJ$803,6),"")="","",INDEX('ورودی اقدامات'!$B$4:$B$803,IFERROR(MATCH(IFERROR(LARGE('ورودی اقدامات'!$AJ$4:$AJ$803,6),""),'ورودی اقدامات'!$AJ$4:$AJ$803,0),"")))</f>
        <v/>
      </c>
      <c r="C88" s="14" t="str">
        <f ca="1">IF(IFERROR(LARGE('ورودی اقدامات'!$AJ$4:$AJ$803,6),"")="","",INDEX('ورودی اقدامات'!$N$4:$N$803,IFERROR(MATCH(IFERROR(LARGE('ورودی اقدامات'!$AJ$4:$AJ$803,6),""),'ورودی اقدامات'!$AJ$4:$AJ$803,0),"")))</f>
        <v/>
      </c>
      <c r="D88" s="14" t="str">
        <f ca="1">IF(IFERROR(LARGE('ورودی اقدامات'!$AJ$4:$AJ$803,6),"")="","",INDEX('ورودی اقدامات'!$G$4:$G$803,IFERROR(MATCH(IFERROR(LARGE('ورودی اقدامات'!$AJ$4:$AJ$803,6),""),'ورودی اقدامات'!$AJ$4:$AJ$803,0),"")))</f>
        <v/>
      </c>
      <c r="E88" s="11" t="str">
        <f ca="1">IF(IFERROR(LARGE('ورودی اقدامات'!$AJ$4:$AJ$803,6),"")="","",INDEX('ورودی اقدامات'!$H$4:$H$803,IFERROR(MATCH(IFERROR(LARGE('ورودی اقدامات'!$AJ$4:$AJ$803,6),""),'ورودی اقدامات'!$AJ$4:$AJ$803,0),"")))</f>
        <v/>
      </c>
      <c r="F88" s="11" t="str">
        <f ca="1">IF(IFERROR(LARGE('ورودی اقدامات'!$AJ$4:$AJ$803,6),"")="","",INDEX('ورودی اقدامات'!$U$4:$U$803,IFERROR(MATCH(IFERROR(LARGE('ورودی اقدامات'!$AJ$4:$AJ$803,6),""),'ورودی اقدامات'!$AJ$4:$AJ$803,0),"")))</f>
        <v/>
      </c>
    </row>
    <row r="89" spans="2:6">
      <c r="B89" s="7" t="str">
        <f ca="1">IF(IFERROR(LARGE('ورودی اقدامات'!$AJ$4:$AJ$803,7),"")="","",INDEX('ورودی اقدامات'!$B$4:$B$803,IFERROR(MATCH(IFERROR(LARGE('ورودی اقدامات'!$AJ$4:$AJ$803,7),""),'ورودی اقدامات'!$AJ$4:$AJ$803,0),"")))</f>
        <v/>
      </c>
      <c r="C89" s="14" t="str">
        <f ca="1">IF(IFERROR(LARGE('ورودی اقدامات'!$AJ$4:$AJ$803,7),"")="","",INDEX('ورودی اقدامات'!$N$4:$N$803,IFERROR(MATCH(IFERROR(LARGE('ورودی اقدامات'!$AJ$4:$AJ$803,7),""),'ورودی اقدامات'!$AJ$4:$AJ$803,0),"")))</f>
        <v/>
      </c>
      <c r="D89" s="14" t="str">
        <f ca="1">IF(IFERROR(LARGE('ورودی اقدامات'!$AJ$4:$AJ$803,7),"")="","",INDEX('ورودی اقدامات'!$G$4:$G$803,IFERROR(MATCH(IFERROR(LARGE('ورودی اقدامات'!$AJ$4:$AJ$803,7),""),'ورودی اقدامات'!$AJ$4:$AJ$803,0),"")))</f>
        <v/>
      </c>
      <c r="E89" s="11" t="str">
        <f ca="1">IF(IFERROR(LARGE('ورودی اقدامات'!$AJ$4:$AJ$803,7),"")="","",INDEX('ورودی اقدامات'!$H$4:$H$803,IFERROR(MATCH(IFERROR(LARGE('ورودی اقدامات'!$AJ$4:$AJ$803,7),""),'ورودی اقدامات'!$AJ$4:$AJ$803,0),"")))</f>
        <v/>
      </c>
      <c r="F89" s="11" t="str">
        <f ca="1">IF(IFERROR(LARGE('ورودی اقدامات'!$AJ$4:$AJ$803,7),"")="","",INDEX('ورودی اقدامات'!$U$4:$U$803,IFERROR(MATCH(IFERROR(LARGE('ورودی اقدامات'!$AJ$4:$AJ$803,7),""),'ورودی اقدامات'!$AJ$4:$AJ$803,0),"")))</f>
        <v/>
      </c>
    </row>
    <row r="90" spans="2:6">
      <c r="B90" s="7" t="str">
        <f ca="1">IF(IFERROR(LARGE('ورودی اقدامات'!$AJ$4:$AJ$803,8),"")="","",INDEX('ورودی اقدامات'!$B$4:$B$803,IFERROR(MATCH(IFERROR(LARGE('ورودی اقدامات'!$AJ$4:$AJ$803,8),""),'ورودی اقدامات'!$AJ$4:$AJ$803,0),"")))</f>
        <v/>
      </c>
      <c r="C90" s="14" t="str">
        <f ca="1">IF(IFERROR(LARGE('ورودی اقدامات'!$AJ$4:$AJ$803,8),"")="","",INDEX('ورودی اقدامات'!$N$4:$N$803,IFERROR(MATCH(IFERROR(LARGE('ورودی اقدامات'!$AJ$4:$AJ$803,8),""),'ورودی اقدامات'!$AJ$4:$AJ$803,0),"")))</f>
        <v/>
      </c>
      <c r="D90" s="14" t="str">
        <f ca="1">IF(IFERROR(LARGE('ورودی اقدامات'!$AJ$4:$AJ$803,8),"")="","",INDEX('ورودی اقدامات'!$G$4:$G$803,IFERROR(MATCH(IFERROR(LARGE('ورودی اقدامات'!$AJ$4:$AJ$803,8),""),'ورودی اقدامات'!$AJ$4:$AJ$803,0),"")))</f>
        <v/>
      </c>
      <c r="E90" s="11" t="str">
        <f ca="1">IF(IFERROR(LARGE('ورودی اقدامات'!$AJ$4:$AJ$803,8),"")="","",INDEX('ورودی اقدامات'!$H$4:$H$803,IFERROR(MATCH(IFERROR(LARGE('ورودی اقدامات'!$AJ$4:$AJ$803,8),""),'ورودی اقدامات'!$AJ$4:$AJ$803,0),"")))</f>
        <v/>
      </c>
      <c r="F90" s="11" t="str">
        <f ca="1">IF(IFERROR(LARGE('ورودی اقدامات'!$AJ$4:$AJ$803,8),"")="","",INDEX('ورودی اقدامات'!$U$4:$U$803,IFERROR(MATCH(IFERROR(LARGE('ورودی اقدامات'!$AJ$4:$AJ$803,8),""),'ورودی اقدامات'!$AJ$4:$AJ$803,0),"")))</f>
        <v/>
      </c>
    </row>
    <row r="91" spans="2:6">
      <c r="B91" s="7" t="str">
        <f ca="1">IF(IFERROR(LARGE('ورودی اقدامات'!$AJ$4:$AJ$803,9),"")="","",INDEX('ورودی اقدامات'!$B$4:$B$803,IFERROR(MATCH(IFERROR(LARGE('ورودی اقدامات'!$AJ$4:$AJ$803,9),""),'ورودی اقدامات'!$AJ$4:$AJ$803,0),"")))</f>
        <v/>
      </c>
      <c r="C91" s="14" t="str">
        <f ca="1">IF(IFERROR(LARGE('ورودی اقدامات'!$AJ$4:$AJ$803,9),"")="","",INDEX('ورودی اقدامات'!$N$4:$N$803,IFERROR(MATCH(IFERROR(LARGE('ورودی اقدامات'!$AJ$4:$AJ$803,9),""),'ورودی اقدامات'!$AJ$4:$AJ$803,0),"")))</f>
        <v/>
      </c>
      <c r="D91" s="14" t="str">
        <f ca="1">IF(IFERROR(LARGE('ورودی اقدامات'!$AJ$4:$AJ$803,9),"")="","",INDEX('ورودی اقدامات'!$G$4:$G$803,IFERROR(MATCH(IFERROR(LARGE('ورودی اقدامات'!$AJ$4:$AJ$803,9),""),'ورودی اقدامات'!$AJ$4:$AJ$803,0),"")))</f>
        <v/>
      </c>
      <c r="E91" s="11" t="str">
        <f ca="1">IF(IFERROR(LARGE('ورودی اقدامات'!$AJ$4:$AJ$803,9),"")="","",INDEX('ورودی اقدامات'!$H$4:$H$803,IFERROR(MATCH(IFERROR(LARGE('ورودی اقدامات'!$AJ$4:$AJ$803,9),""),'ورودی اقدامات'!$AJ$4:$AJ$803,0),"")))</f>
        <v/>
      </c>
      <c r="F91" s="11" t="str">
        <f ca="1">IF(IFERROR(LARGE('ورودی اقدامات'!$AJ$4:$AJ$803,9),"")="","",INDEX('ورودی اقدامات'!$U$4:$U$803,IFERROR(MATCH(IFERROR(LARGE('ورودی اقدامات'!$AJ$4:$AJ$803,9),""),'ورودی اقدامات'!$AJ$4:$AJ$803,0),"")))</f>
        <v/>
      </c>
    </row>
    <row r="92" spans="2:6">
      <c r="B92" s="7" t="str">
        <f ca="1">IF(IFERROR(LARGE('ورودی اقدامات'!$AJ$4:$AJ$803,10),"")="","",INDEX('ورودی اقدامات'!$B$4:$B$803,IFERROR(MATCH(IFERROR(LARGE('ورودی اقدامات'!$AJ$4:$AJ$803,10),""),'ورودی اقدامات'!$AJ$4:$AJ$803,0),"")))</f>
        <v/>
      </c>
      <c r="C92" s="14" t="str">
        <f ca="1">IF(IFERROR(LARGE('ورودی اقدامات'!$AJ$4:$AJ$803,10),"")="","",INDEX('ورودی اقدامات'!$N$4:$N$803,IFERROR(MATCH(IFERROR(LARGE('ورودی اقدامات'!$AJ$4:$AJ$803,10),""),'ورودی اقدامات'!$AJ$4:$AJ$803,0),"")))</f>
        <v/>
      </c>
      <c r="D92" s="14" t="str">
        <f ca="1">IF(IFERROR(LARGE('ورودی اقدامات'!$AJ$4:$AJ$803,10),"")="","",INDEX('ورودی اقدامات'!$G$4:$G$803,IFERROR(MATCH(IFERROR(LARGE('ورودی اقدامات'!$AJ$4:$AJ$803,10),""),'ورودی اقدامات'!$AJ$4:$AJ$803,0),"")))</f>
        <v/>
      </c>
      <c r="E92" s="11" t="str">
        <f ca="1">IF(IFERROR(LARGE('ورودی اقدامات'!$AJ$4:$AJ$803,10),"")="","",INDEX('ورودی اقدامات'!$H$4:$H$803,IFERROR(MATCH(IFERROR(LARGE('ورودی اقدامات'!$AJ$4:$AJ$803,10),""),'ورودی اقدامات'!$AJ$4:$AJ$803,0),"")))</f>
        <v/>
      </c>
      <c r="F92" s="11" t="str">
        <f ca="1">IF(IFERROR(LARGE('ورودی اقدامات'!$AJ$4:$AJ$803,10),"")="","",INDEX('ورودی اقدامات'!$U$4:$U$803,IFERROR(MATCH(IFERROR(LARGE('ورودی اقدامات'!$AJ$4:$AJ$803,10),""),'ورودی اقدامات'!$AJ$4:$AJ$803,0),"")))</f>
        <v/>
      </c>
    </row>
  </sheetData>
  <mergeCells count="13">
    <mergeCell ref="B7:J7"/>
    <mergeCell ref="B9:J10"/>
    <mergeCell ref="B5:C6"/>
    <mergeCell ref="D5:E6"/>
    <mergeCell ref="F5:G6"/>
    <mergeCell ref="H5:I6"/>
    <mergeCell ref="J5:K6"/>
    <mergeCell ref="A1:J1"/>
    <mergeCell ref="B4:C4"/>
    <mergeCell ref="D4:E4"/>
    <mergeCell ref="F4:G4"/>
    <mergeCell ref="H4:I4"/>
    <mergeCell ref="J4:K4"/>
  </mergeCells>
  <conditionalFormatting sqref="F83:F92">
    <cfRule type="cellIs" dxfId="1" priority="2" operator="greaterThan">
      <formula>90</formula>
    </cfRule>
    <cfRule type="cellIs" dxfId="0" priority="3" operator="between">
      <formula>31</formula>
      <formula>90</formula>
    </cfRule>
  </conditionalFormatting>
  <printOptions horizontalCentered="1" verticalCentered="1"/>
  <pageMargins left="0" right="0" top="0" bottom="0" header="0" footer="0"/>
  <pageSetup scale="84" fitToHeight="0" orientation="landscape" horizontalDpi="300" verticalDpi="300" r:id="rId1"/>
  <headerFooter>
    <oddHeader>&amp;Cداشبورد مدیریتی اقدامات اصلاحی / پیشگیرانه</oddHeader>
    <oddFooter>&amp;C&amp;P از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راهنما</vt:lpstr>
      <vt:lpstr>ورودی اقدامات</vt:lpstr>
      <vt:lpstr>لیست‌ها</vt:lpstr>
      <vt:lpstr>داشبورد</vt:lpstr>
      <vt:lpstr>داشبورد!Print_Area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Tazmin1</cp:lastModifiedBy>
  <cp:revision>2</cp:revision>
  <cp:lastPrinted>2026-09-30T06:51:56Z</cp:lastPrinted>
  <dcterms:created xsi:type="dcterms:W3CDTF">2026-09-29T02:37:01Z</dcterms:created>
  <dcterms:modified xsi:type="dcterms:W3CDTF">2026-09-30T08:08:32Z</dcterms:modified>
  <dc:language>en-US</dc:language>
</cp:coreProperties>
</file>